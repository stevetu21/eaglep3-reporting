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2" i="1" l="1"/>
  <c r="K191" i="1"/>
  <c r="L191" i="1"/>
  <c r="M191" i="1"/>
  <c r="N191" i="1" s="1"/>
  <c r="V191" i="1"/>
  <c r="AA191" i="1"/>
  <c r="AB191" i="1"/>
  <c r="AC191" i="1"/>
  <c r="AD191" i="1"/>
  <c r="X191" i="1" s="1"/>
  <c r="AE191" i="1"/>
  <c r="AF191" i="1"/>
  <c r="AH191" i="1"/>
  <c r="AM191" i="1"/>
  <c r="AN191" i="1"/>
  <c r="AO191" i="1"/>
  <c r="X189" i="1"/>
  <c r="K188" i="1"/>
  <c r="L188" i="1"/>
  <c r="M188" i="1"/>
  <c r="N188" i="1" s="1"/>
  <c r="V188" i="1"/>
  <c r="AA188" i="1"/>
  <c r="AB188" i="1"/>
  <c r="AC188" i="1"/>
  <c r="AD188" i="1"/>
  <c r="T188" i="1" s="1"/>
  <c r="AE188" i="1"/>
  <c r="R34" i="3" s="1"/>
  <c r="AF188" i="1"/>
  <c r="AH188" i="1"/>
  <c r="AM188" i="1"/>
  <c r="AN188" i="1"/>
  <c r="AO188" i="1"/>
  <c r="X187" i="1"/>
  <c r="K185" i="1"/>
  <c r="L185" i="1"/>
  <c r="M185" i="1"/>
  <c r="N185" i="1" s="1"/>
  <c r="V185" i="1"/>
  <c r="AA185" i="1"/>
  <c r="AB185" i="1"/>
  <c r="AC185" i="1"/>
  <c r="AD185" i="1"/>
  <c r="T185" i="1" s="1"/>
  <c r="AE185" i="1"/>
  <c r="AF185" i="1"/>
  <c r="AH185" i="1"/>
  <c r="AM185" i="1"/>
  <c r="AN185" i="1"/>
  <c r="AO185" i="1"/>
  <c r="K186" i="1"/>
  <c r="L186" i="1"/>
  <c r="M186" i="1"/>
  <c r="N186" i="1" s="1"/>
  <c r="V186" i="1"/>
  <c r="Y186" i="1"/>
  <c r="AA186" i="1"/>
  <c r="AB186" i="1"/>
  <c r="AC186" i="1"/>
  <c r="AD186" i="1"/>
  <c r="T186" i="1" s="1"/>
  <c r="AE186" i="1"/>
  <c r="AF186" i="1"/>
  <c r="AH186" i="1"/>
  <c r="AM186" i="1"/>
  <c r="AN186" i="1"/>
  <c r="AO186" i="1"/>
  <c r="X182" i="1"/>
  <c r="X183" i="1"/>
  <c r="K182" i="1"/>
  <c r="L182" i="1"/>
  <c r="M182" i="1"/>
  <c r="N182" i="1" s="1"/>
  <c r="V182" i="1"/>
  <c r="AA182" i="1"/>
  <c r="AB182" i="1"/>
  <c r="AC182" i="1"/>
  <c r="AD182" i="1"/>
  <c r="T182" i="1" s="1"/>
  <c r="AE182" i="1"/>
  <c r="AF182" i="1"/>
  <c r="AH182" i="1"/>
  <c r="AM182" i="1"/>
  <c r="AN182" i="1"/>
  <c r="AO182" i="1"/>
  <c r="X179" i="1"/>
  <c r="X180" i="1"/>
  <c r="K179" i="1"/>
  <c r="L179" i="1"/>
  <c r="M179" i="1"/>
  <c r="N179" i="1" s="1"/>
  <c r="V179" i="1"/>
  <c r="AA179" i="1"/>
  <c r="AB179" i="1"/>
  <c r="AC179" i="1"/>
  <c r="AD179" i="1"/>
  <c r="AE179" i="1"/>
  <c r="AF179" i="1"/>
  <c r="AH179" i="1"/>
  <c r="AM179" i="1"/>
  <c r="AN179" i="1"/>
  <c r="AO179" i="1"/>
  <c r="X156" i="1"/>
  <c r="X157" i="1"/>
  <c r="K156" i="1"/>
  <c r="L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X92" i="1"/>
  <c r="X93" i="1"/>
  <c r="X94" i="1"/>
  <c r="K92" i="1"/>
  <c r="L92" i="1"/>
  <c r="M92" i="1"/>
  <c r="V92" i="1"/>
  <c r="AA92" i="1"/>
  <c r="AB92" i="1"/>
  <c r="AC92" i="1"/>
  <c r="AD92" i="1"/>
  <c r="T92" i="1" s="1"/>
  <c r="AE92" i="1"/>
  <c r="AF92" i="1"/>
  <c r="AH92" i="1"/>
  <c r="AM92" i="1"/>
  <c r="AN92" i="1"/>
  <c r="AO92" i="1"/>
  <c r="P91" i="1"/>
  <c r="P61" i="1"/>
  <c r="P40" i="1"/>
  <c r="P24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Z35" i="1"/>
  <c r="AA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A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T56" i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Z60" i="1"/>
  <c r="AA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V61" i="1"/>
  <c r="X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A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X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X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5" i="1"/>
  <c r="AM95" i="1"/>
  <c r="AN95" i="1"/>
  <c r="AO95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98" i="1"/>
  <c r="AM98" i="1"/>
  <c r="AN98" i="1"/>
  <c r="AO98" i="1"/>
  <c r="K164" i="1"/>
  <c r="L164" i="1"/>
  <c r="M164" i="1"/>
  <c r="N164" i="1" s="1"/>
  <c r="V164" i="1"/>
  <c r="S32" i="3" s="1"/>
  <c r="Y164" i="1"/>
  <c r="Z164" i="1"/>
  <c r="AB164" i="1"/>
  <c r="AC164" i="1"/>
  <c r="AD164" i="1"/>
  <c r="AE164" i="1"/>
  <c r="R32" i="3" s="1"/>
  <c r="AF164" i="1"/>
  <c r="AH99" i="1"/>
  <c r="AM99" i="1"/>
  <c r="AN99" i="1"/>
  <c r="AO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0" i="1"/>
  <c r="AM100" i="1"/>
  <c r="AN100" i="1"/>
  <c r="AO100" i="1"/>
  <c r="K166" i="1"/>
  <c r="L166" i="1"/>
  <c r="M166" i="1"/>
  <c r="N166" i="1" s="1"/>
  <c r="V166" i="1"/>
  <c r="Y166" i="1"/>
  <c r="AA166" i="1" s="1"/>
  <c r="Z166" i="1"/>
  <c r="AB166" i="1"/>
  <c r="AC166" i="1"/>
  <c r="AD166" i="1"/>
  <c r="AE166" i="1"/>
  <c r="AF166" i="1"/>
  <c r="AH101" i="1"/>
  <c r="AM101" i="1"/>
  <c r="AN101" i="1"/>
  <c r="AO101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02" i="1"/>
  <c r="AM102" i="1"/>
  <c r="AN102" i="1"/>
  <c r="AO102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 s="1"/>
  <c r="T169" i="1"/>
  <c r="V169" i="1"/>
  <c r="Y169" i="1"/>
  <c r="AA169" i="1" s="1"/>
  <c r="Z169" i="1"/>
  <c r="AB169" i="1"/>
  <c r="AC169" i="1"/>
  <c r="AD169" i="1"/>
  <c r="AE169" i="1"/>
  <c r="AF169" i="1"/>
  <c r="AH104" i="1"/>
  <c r="AM104" i="1"/>
  <c r="AN104" i="1"/>
  <c r="AO104" i="1"/>
  <c r="K95" i="1"/>
  <c r="L95" i="1"/>
  <c r="M95" i="1"/>
  <c r="N95" i="1" s="1"/>
  <c r="T95" i="1"/>
  <c r="V95" i="1"/>
  <c r="Y95" i="1"/>
  <c r="Z95" i="1"/>
  <c r="AA95" i="1" s="1"/>
  <c r="AB95" i="1"/>
  <c r="AC95" i="1"/>
  <c r="AD95" i="1"/>
  <c r="X95" i="1" s="1"/>
  <c r="AE95" i="1"/>
  <c r="AF95" i="1"/>
  <c r="AH105" i="1"/>
  <c r="AM105" i="1"/>
  <c r="AN105" i="1"/>
  <c r="AO105" i="1"/>
  <c r="K170" i="1"/>
  <c r="L170" i="1"/>
  <c r="M170" i="1"/>
  <c r="N170" i="1"/>
  <c r="V170" i="1"/>
  <c r="Y170" i="1"/>
  <c r="Z170" i="1"/>
  <c r="AA170" i="1" s="1"/>
  <c r="AB170" i="1"/>
  <c r="AC170" i="1"/>
  <c r="AD170" i="1"/>
  <c r="AE170" i="1"/>
  <c r="AF170" i="1"/>
  <c r="AH106" i="1"/>
  <c r="AM106" i="1"/>
  <c r="AN106" i="1"/>
  <c r="AO106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107" i="1"/>
  <c r="AM107" i="1"/>
  <c r="AN107" i="1"/>
  <c r="AO107" i="1"/>
  <c r="K172" i="1"/>
  <c r="L172" i="1"/>
  <c r="M172" i="1"/>
  <c r="N172" i="1" s="1"/>
  <c r="T172" i="1"/>
  <c r="V172" i="1"/>
  <c r="Y172" i="1"/>
  <c r="Z172" i="1"/>
  <c r="AA172" i="1"/>
  <c r="AB172" i="1"/>
  <c r="AC172" i="1"/>
  <c r="AD172" i="1"/>
  <c r="X172" i="1" s="1"/>
  <c r="AE172" i="1"/>
  <c r="AF172" i="1"/>
  <c r="AH108" i="1"/>
  <c r="AM108" i="1"/>
  <c r="AN108" i="1"/>
  <c r="AO108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09" i="1"/>
  <c r="AM109" i="1"/>
  <c r="AN109" i="1"/>
  <c r="AO109" i="1"/>
  <c r="K174" i="1"/>
  <c r="L174" i="1"/>
  <c r="M174" i="1"/>
  <c r="N174" i="1"/>
  <c r="V174" i="1"/>
  <c r="Y174" i="1"/>
  <c r="Z174" i="1"/>
  <c r="AA174" i="1" s="1"/>
  <c r="AB174" i="1"/>
  <c r="AC174" i="1"/>
  <c r="AD174" i="1"/>
  <c r="AE174" i="1"/>
  <c r="AF174" i="1"/>
  <c r="AH110" i="1"/>
  <c r="AM110" i="1"/>
  <c r="AN110" i="1"/>
  <c r="AO110" i="1"/>
  <c r="K175" i="1"/>
  <c r="L175" i="1"/>
  <c r="M175" i="1"/>
  <c r="N175" i="1"/>
  <c r="V175" i="1"/>
  <c r="Y175" i="1"/>
  <c r="Z175" i="1"/>
  <c r="AB175" i="1"/>
  <c r="AC175" i="1"/>
  <c r="AD175" i="1"/>
  <c r="AE175" i="1"/>
  <c r="AF175" i="1"/>
  <c r="AH111" i="1"/>
  <c r="AM111" i="1"/>
  <c r="AN111" i="1"/>
  <c r="AO111" i="1"/>
  <c r="K176" i="1"/>
  <c r="L176" i="1"/>
  <c r="M176" i="1"/>
  <c r="N176" i="1" s="1"/>
  <c r="T176" i="1"/>
  <c r="V176" i="1"/>
  <c r="Y176" i="1"/>
  <c r="Z176" i="1"/>
  <c r="AA176" i="1"/>
  <c r="AB176" i="1"/>
  <c r="AC176" i="1"/>
  <c r="AD176" i="1"/>
  <c r="AE176" i="1"/>
  <c r="AF176" i="1"/>
  <c r="AH112" i="1"/>
  <c r="AM112" i="1"/>
  <c r="AN112" i="1"/>
  <c r="AO11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96" i="1"/>
  <c r="L96" i="1"/>
  <c r="M96" i="1"/>
  <c r="N96" i="1" s="1"/>
  <c r="V96" i="1"/>
  <c r="Y96" i="1"/>
  <c r="AA96" i="1" s="1"/>
  <c r="Z96" i="1"/>
  <c r="AB96" i="1"/>
  <c r="AC96" i="1"/>
  <c r="AD96" i="1"/>
  <c r="AE96" i="1"/>
  <c r="AF96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AO116" i="1"/>
  <c r="K181" i="1"/>
  <c r="L181" i="1"/>
  <c r="M181" i="1"/>
  <c r="N181" i="1" s="1"/>
  <c r="T181" i="1"/>
  <c r="V181" i="1"/>
  <c r="Y181" i="1"/>
  <c r="AA181" i="1" s="1"/>
  <c r="Z181" i="1"/>
  <c r="AB181" i="1"/>
  <c r="AC181" i="1"/>
  <c r="AD181" i="1"/>
  <c r="X181" i="1" s="1"/>
  <c r="AE181" i="1"/>
  <c r="AF181" i="1"/>
  <c r="AH117" i="1"/>
  <c r="AM117" i="1"/>
  <c r="AN117" i="1"/>
  <c r="AO117" i="1"/>
  <c r="K183" i="1"/>
  <c r="L183" i="1"/>
  <c r="M183" i="1"/>
  <c r="N183" i="1" s="1"/>
  <c r="T183" i="1"/>
  <c r="V183" i="1"/>
  <c r="Y183" i="1"/>
  <c r="Z183" i="1"/>
  <c r="AB183" i="1"/>
  <c r="AC183" i="1"/>
  <c r="AD183" i="1"/>
  <c r="AE183" i="1"/>
  <c r="AF183" i="1"/>
  <c r="AH118" i="1"/>
  <c r="AM118" i="1"/>
  <c r="AN118" i="1"/>
  <c r="AO118" i="1"/>
  <c r="K184" i="1"/>
  <c r="L184" i="1"/>
  <c r="M184" i="1"/>
  <c r="N184" i="1" s="1"/>
  <c r="V184" i="1"/>
  <c r="X184" i="1"/>
  <c r="Y184" i="1"/>
  <c r="Z184" i="1"/>
  <c r="AB184" i="1"/>
  <c r="AC184" i="1"/>
  <c r="AD184" i="1"/>
  <c r="T184" i="1" s="1"/>
  <c r="AE184" i="1"/>
  <c r="AF184" i="1"/>
  <c r="AH119" i="1"/>
  <c r="AM119" i="1"/>
  <c r="AN119" i="1"/>
  <c r="AO119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120" i="1"/>
  <c r="AM120" i="1"/>
  <c r="AN120" i="1"/>
  <c r="AO120" i="1"/>
  <c r="K189" i="1"/>
  <c r="L189" i="1"/>
  <c r="M189" i="1"/>
  <c r="V189" i="1"/>
  <c r="Y189" i="1"/>
  <c r="Z189" i="1"/>
  <c r="AB189" i="1"/>
  <c r="AC189" i="1"/>
  <c r="AD189" i="1"/>
  <c r="T189" i="1" s="1"/>
  <c r="AE189" i="1"/>
  <c r="AF189" i="1"/>
  <c r="AH121" i="1"/>
  <c r="AM121" i="1"/>
  <c r="AN121" i="1"/>
  <c r="AO12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2" i="1"/>
  <c r="AM122" i="1"/>
  <c r="AN122" i="1"/>
  <c r="AO12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3" i="1"/>
  <c r="AM123" i="1"/>
  <c r="AN123" i="1"/>
  <c r="AO12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4" i="1"/>
  <c r="AM124" i="1"/>
  <c r="AN124" i="1"/>
  <c r="AO124" i="1"/>
  <c r="K193" i="1"/>
  <c r="L193" i="1"/>
  <c r="M193" i="1"/>
  <c r="N193" i="1" s="1"/>
  <c r="V193" i="1"/>
  <c r="AB193" i="1"/>
  <c r="AC193" i="1"/>
  <c r="AD193" i="1"/>
  <c r="T193" i="1" s="1"/>
  <c r="AE193" i="1"/>
  <c r="AF193" i="1"/>
  <c r="AH125" i="1"/>
  <c r="AM125" i="1"/>
  <c r="AN125" i="1"/>
  <c r="AO125" i="1"/>
  <c r="K194" i="1"/>
  <c r="L194" i="1"/>
  <c r="M194" i="1"/>
  <c r="N194" i="1" s="1"/>
  <c r="V194" i="1"/>
  <c r="Y194" i="1"/>
  <c r="AA194" i="1" s="1"/>
  <c r="Z194" i="1"/>
  <c r="AB194" i="1"/>
  <c r="AC194" i="1"/>
  <c r="AD194" i="1"/>
  <c r="T194" i="1" s="1"/>
  <c r="AE194" i="1"/>
  <c r="AF194" i="1"/>
  <c r="AH126" i="1"/>
  <c r="AM126" i="1"/>
  <c r="AN126" i="1"/>
  <c r="AO126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H127" i="1"/>
  <c r="AM127" i="1"/>
  <c r="AN127" i="1"/>
  <c r="AO12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28" i="1"/>
  <c r="AM128" i="1"/>
  <c r="AN128" i="1"/>
  <c r="AO128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29" i="1"/>
  <c r="AM129" i="1"/>
  <c r="AN129" i="1"/>
  <c r="AO129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0" i="1"/>
  <c r="AM130" i="1"/>
  <c r="AN130" i="1"/>
  <c r="AO130" i="1"/>
  <c r="K100" i="1"/>
  <c r="L100" i="1"/>
  <c r="M100" i="1"/>
  <c r="N100" i="1" s="1"/>
  <c r="V100" i="1"/>
  <c r="Y100" i="1"/>
  <c r="AA100" i="1" s="1"/>
  <c r="Z100" i="1"/>
  <c r="AB100" i="1"/>
  <c r="AC100" i="1"/>
  <c r="AD100" i="1"/>
  <c r="AE100" i="1"/>
  <c r="AF100" i="1"/>
  <c r="AH131" i="1"/>
  <c r="AM131" i="1"/>
  <c r="AN131" i="1"/>
  <c r="AO131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2" i="1"/>
  <c r="AM132" i="1"/>
  <c r="AN132" i="1"/>
  <c r="AO132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3" i="1"/>
  <c r="AM133" i="1"/>
  <c r="AN133" i="1"/>
  <c r="AO133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4" i="1"/>
  <c r="AM134" i="1"/>
  <c r="AN134" i="1"/>
  <c r="AO134" i="1"/>
  <c r="K104" i="1"/>
  <c r="L104" i="1"/>
  <c r="M104" i="1"/>
  <c r="N104" i="1" s="1"/>
  <c r="V104" i="1"/>
  <c r="Y104" i="1"/>
  <c r="AA104" i="1" s="1"/>
  <c r="Z104" i="1"/>
  <c r="AB104" i="1"/>
  <c r="AC104" i="1"/>
  <c r="AD104" i="1"/>
  <c r="AE104" i="1"/>
  <c r="AF104" i="1"/>
  <c r="AH135" i="1"/>
  <c r="AM135" i="1"/>
  <c r="AN135" i="1"/>
  <c r="AO135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36" i="1"/>
  <c r="AM136" i="1"/>
  <c r="AN136" i="1"/>
  <c r="AO136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37" i="1"/>
  <c r="AM137" i="1"/>
  <c r="AN137" i="1"/>
  <c r="AO137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38" i="1"/>
  <c r="AM138" i="1"/>
  <c r="AN138" i="1"/>
  <c r="AO138" i="1"/>
  <c r="K106" i="1"/>
  <c r="L106" i="1"/>
  <c r="M106" i="1"/>
  <c r="N106" i="1" s="1"/>
  <c r="V106" i="1"/>
  <c r="Y106" i="1"/>
  <c r="AA106" i="1" s="1"/>
  <c r="Z106" i="1"/>
  <c r="AB106" i="1"/>
  <c r="AC106" i="1"/>
  <c r="AD106" i="1"/>
  <c r="AE106" i="1"/>
  <c r="AF106" i="1"/>
  <c r="AH139" i="1"/>
  <c r="AM139" i="1"/>
  <c r="AN139" i="1"/>
  <c r="AO139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0" i="1"/>
  <c r="AM140" i="1"/>
  <c r="AN140" i="1"/>
  <c r="AO140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1" i="1"/>
  <c r="AM141" i="1"/>
  <c r="AN141" i="1"/>
  <c r="AO141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2" i="1"/>
  <c r="AM142" i="1"/>
  <c r="AN142" i="1"/>
  <c r="AO142" i="1"/>
  <c r="K110" i="1"/>
  <c r="L110" i="1"/>
  <c r="M110" i="1"/>
  <c r="N110" i="1" s="1"/>
  <c r="V110" i="1"/>
  <c r="Y110" i="1"/>
  <c r="AA110" i="1" s="1"/>
  <c r="Z110" i="1"/>
  <c r="AB110" i="1"/>
  <c r="AC110" i="1"/>
  <c r="AD110" i="1"/>
  <c r="AE110" i="1"/>
  <c r="AF110" i="1"/>
  <c r="AH143" i="1"/>
  <c r="AM143" i="1"/>
  <c r="AN143" i="1"/>
  <c r="AO143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4" i="1"/>
  <c r="AM144" i="1"/>
  <c r="AN144" i="1"/>
  <c r="AO144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5" i="1"/>
  <c r="AM145" i="1"/>
  <c r="AN145" i="1"/>
  <c r="AO145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6" i="1"/>
  <c r="AM146" i="1"/>
  <c r="AN146" i="1"/>
  <c r="AO146" i="1"/>
  <c r="K114" i="1"/>
  <c r="L114" i="1"/>
  <c r="M114" i="1"/>
  <c r="N114" i="1" s="1"/>
  <c r="V114" i="1"/>
  <c r="Y114" i="1"/>
  <c r="AA114" i="1" s="1"/>
  <c r="Z114" i="1"/>
  <c r="AB114" i="1"/>
  <c r="AC114" i="1"/>
  <c r="AD114" i="1"/>
  <c r="AE114" i="1"/>
  <c r="AF114" i="1"/>
  <c r="AH147" i="1"/>
  <c r="AM147" i="1"/>
  <c r="AN147" i="1"/>
  <c r="AO147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48" i="1"/>
  <c r="AM148" i="1"/>
  <c r="AN148" i="1"/>
  <c r="AO148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49" i="1"/>
  <c r="AM149" i="1"/>
  <c r="AN149" i="1"/>
  <c r="AO149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0" i="1"/>
  <c r="AM150" i="1"/>
  <c r="AN150" i="1"/>
  <c r="AO150" i="1"/>
  <c r="K118" i="1"/>
  <c r="L118" i="1"/>
  <c r="M118" i="1"/>
  <c r="N118" i="1" s="1"/>
  <c r="V118" i="1"/>
  <c r="Y118" i="1"/>
  <c r="AA118" i="1" s="1"/>
  <c r="Z118" i="1"/>
  <c r="AB118" i="1"/>
  <c r="AC118" i="1"/>
  <c r="AD118" i="1"/>
  <c r="AE118" i="1"/>
  <c r="AF118" i="1"/>
  <c r="AH151" i="1"/>
  <c r="AM151" i="1"/>
  <c r="AN151" i="1"/>
  <c r="AO151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52" i="1"/>
  <c r="AM152" i="1"/>
  <c r="AN152" i="1"/>
  <c r="AO152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53" i="1"/>
  <c r="AM153" i="1"/>
  <c r="AN153" i="1"/>
  <c r="AO153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4" i="1"/>
  <c r="AM154" i="1"/>
  <c r="AN154" i="1"/>
  <c r="AO154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5" i="1"/>
  <c r="AM155" i="1"/>
  <c r="AN155" i="1"/>
  <c r="AO155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57" i="1"/>
  <c r="AM157" i="1"/>
  <c r="AN157" i="1"/>
  <c r="AO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AM158" i="1"/>
  <c r="AN158" i="1"/>
  <c r="AO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AM159" i="1"/>
  <c r="AN159" i="1"/>
  <c r="AO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AO160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AO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AN162" i="1"/>
  <c r="AO162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3" i="1"/>
  <c r="AM163" i="1"/>
  <c r="AN163" i="1"/>
  <c r="AO163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64" i="1"/>
  <c r="AM164" i="1"/>
  <c r="AN164" i="1"/>
  <c r="AO164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5" i="1"/>
  <c r="AM165" i="1"/>
  <c r="AN165" i="1"/>
  <c r="AO165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6" i="1"/>
  <c r="AM166" i="1"/>
  <c r="AN166" i="1"/>
  <c r="AO166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67" i="1"/>
  <c r="AM167" i="1"/>
  <c r="AN167" i="1"/>
  <c r="AO167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68" i="1"/>
  <c r="AM168" i="1"/>
  <c r="AN168" i="1"/>
  <c r="AO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M169" i="1"/>
  <c r="AN169" i="1"/>
  <c r="AO16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0" i="1"/>
  <c r="AM170" i="1"/>
  <c r="AN170" i="1"/>
  <c r="AO170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1" i="1"/>
  <c r="AM171" i="1"/>
  <c r="AN171" i="1"/>
  <c r="AO171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72" i="1"/>
  <c r="AM172" i="1"/>
  <c r="AN172" i="1"/>
  <c r="AO172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3" i="1"/>
  <c r="AM173" i="1"/>
  <c r="AN173" i="1"/>
  <c r="AO173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4" i="1"/>
  <c r="AM174" i="1"/>
  <c r="AN174" i="1"/>
  <c r="AO174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75" i="1"/>
  <c r="AM175" i="1"/>
  <c r="AN175" i="1"/>
  <c r="AO175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76" i="1"/>
  <c r="AM176" i="1"/>
  <c r="AN176" i="1"/>
  <c r="AO176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7" i="1"/>
  <c r="AM177" i="1"/>
  <c r="AN177" i="1"/>
  <c r="AO177" i="1"/>
  <c r="K144" i="1"/>
  <c r="L144" i="1"/>
  <c r="M144" i="1"/>
  <c r="N144" i="1"/>
  <c r="V144" i="1"/>
  <c r="Y144" i="1"/>
  <c r="Z144" i="1"/>
  <c r="AA144" i="1"/>
  <c r="AB144" i="1"/>
  <c r="AC144" i="1"/>
  <c r="AD144" i="1"/>
  <c r="AE144" i="1"/>
  <c r="AF144" i="1"/>
  <c r="AH178" i="1"/>
  <c r="AM178" i="1"/>
  <c r="AN178" i="1"/>
  <c r="AO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AN180" i="1"/>
  <c r="AO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AO181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83" i="1"/>
  <c r="AM183" i="1"/>
  <c r="AN183" i="1"/>
  <c r="AO183" i="1"/>
  <c r="K148" i="1"/>
  <c r="L148" i="1"/>
  <c r="M148" i="1"/>
  <c r="V148" i="1"/>
  <c r="Y148" i="1"/>
  <c r="Z148" i="1"/>
  <c r="AA148" i="1" s="1"/>
  <c r="AB148" i="1"/>
  <c r="AC148" i="1"/>
  <c r="AD148" i="1"/>
  <c r="AE148" i="1"/>
  <c r="AF148" i="1"/>
  <c r="AH184" i="1"/>
  <c r="AM184" i="1"/>
  <c r="AN184" i="1"/>
  <c r="AO184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89" i="1"/>
  <c r="AM189" i="1"/>
  <c r="AN189" i="1"/>
  <c r="AO189" i="1"/>
  <c r="K151" i="1"/>
  <c r="L151" i="1"/>
  <c r="M151" i="1"/>
  <c r="N151" i="1" s="1"/>
  <c r="V151" i="1"/>
  <c r="S13" i="3" s="1"/>
  <c r="Y151" i="1"/>
  <c r="Z151" i="1"/>
  <c r="AB151" i="1"/>
  <c r="AC151" i="1"/>
  <c r="AD151" i="1"/>
  <c r="AE151" i="1"/>
  <c r="R11" i="3" s="1"/>
  <c r="AF151" i="1"/>
  <c r="AH190" i="1"/>
  <c r="AM190" i="1"/>
  <c r="AN190" i="1"/>
  <c r="AO190" i="1"/>
  <c r="K152" i="1"/>
  <c r="L152" i="1"/>
  <c r="M152" i="1"/>
  <c r="N152" i="1"/>
  <c r="V152" i="1"/>
  <c r="S24" i="3" s="1"/>
  <c r="Y152" i="1"/>
  <c r="Z152" i="1"/>
  <c r="AA152" i="1"/>
  <c r="AB152" i="1"/>
  <c r="AC152" i="1"/>
  <c r="AD152" i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95" i="1"/>
  <c r="AM195" i="1"/>
  <c r="AN195" i="1"/>
  <c r="AO195" i="1"/>
  <c r="K157" i="1"/>
  <c r="L157" i="1"/>
  <c r="M157" i="1"/>
  <c r="N157" i="1" s="1"/>
  <c r="V157" i="1"/>
  <c r="S7" i="3" s="1"/>
  <c r="Y157" i="1"/>
  <c r="Z157" i="1"/>
  <c r="AA157" i="1" s="1"/>
  <c r="AB157" i="1"/>
  <c r="AC157" i="1"/>
  <c r="AD157" i="1"/>
  <c r="AE157" i="1"/>
  <c r="AF157" i="1"/>
  <c r="AH196" i="1"/>
  <c r="AM196" i="1"/>
  <c r="AN196" i="1"/>
  <c r="AO196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97" i="1"/>
  <c r="AM197" i="1"/>
  <c r="AN197" i="1"/>
  <c r="AO197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AF159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/>
  <c r="V198" i="1"/>
  <c r="Y198" i="1"/>
  <c r="Z198" i="1"/>
  <c r="AA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R42" i="3" s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/>
  <c r="V206" i="1"/>
  <c r="Y206" i="1"/>
  <c r="Z206" i="1"/>
  <c r="AA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AO210" i="1"/>
  <c r="K209" i="1"/>
  <c r="L209" i="1"/>
  <c r="M209" i="1"/>
  <c r="N209" i="1" s="1"/>
  <c r="V209" i="1"/>
  <c r="S41" i="3" s="1"/>
  <c r="Y209" i="1"/>
  <c r="Z209" i="1"/>
  <c r="AA209" i="1" s="1"/>
  <c r="AB209" i="1"/>
  <c r="AC209" i="1"/>
  <c r="AD209" i="1"/>
  <c r="AE209" i="1"/>
  <c r="R39" i="3" s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212" i="1"/>
  <c r="AM212" i="1"/>
  <c r="AN212" i="1"/>
  <c r="AO212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A215" i="1" s="1"/>
  <c r="AB215" i="1"/>
  <c r="AC215" i="1"/>
  <c r="AD215" i="1"/>
  <c r="X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24" i="1"/>
  <c r="AM224" i="1"/>
  <c r="AN224" i="1"/>
  <c r="AO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26" i="1"/>
  <c r="AM226" i="1"/>
  <c r="AN226" i="1"/>
  <c r="AO226" i="1"/>
  <c r="M42" i="3"/>
  <c r="S42" i="3"/>
  <c r="U42" i="3"/>
  <c r="T42" i="3" s="1"/>
  <c r="V42" i="3"/>
  <c r="X42" i="3"/>
  <c r="M40" i="3"/>
  <c r="S40" i="3"/>
  <c r="U40" i="3"/>
  <c r="V40" i="3"/>
  <c r="X40" i="3"/>
  <c r="M20" i="3"/>
  <c r="R20" i="3"/>
  <c r="S20" i="3"/>
  <c r="U20" i="3"/>
  <c r="V20" i="3"/>
  <c r="X20" i="3"/>
  <c r="M43" i="3"/>
  <c r="S43" i="3"/>
  <c r="U43" i="3"/>
  <c r="T43" i="3" s="1"/>
  <c r="V43" i="3"/>
  <c r="X43" i="3"/>
  <c r="M39" i="3"/>
  <c r="S39" i="3"/>
  <c r="U39" i="3"/>
  <c r="T39" i="3" s="1"/>
  <c r="V39" i="3"/>
  <c r="X39" i="3"/>
  <c r="AC39" i="3"/>
  <c r="M41" i="3"/>
  <c r="R41" i="3"/>
  <c r="U41" i="3"/>
  <c r="V41" i="3"/>
  <c r="X41" i="3"/>
  <c r="M21" i="3"/>
  <c r="R21" i="3"/>
  <c r="S21" i="3"/>
  <c r="U21" i="3"/>
  <c r="T21" i="3" s="1"/>
  <c r="V21" i="3"/>
  <c r="AE21" i="3" s="1"/>
  <c r="X21" i="3"/>
  <c r="M19" i="3"/>
  <c r="R19" i="3"/>
  <c r="S19" i="3"/>
  <c r="U19" i="3"/>
  <c r="T19" i="3" s="1"/>
  <c r="V19" i="3"/>
  <c r="X19" i="3"/>
  <c r="M32" i="3"/>
  <c r="U32" i="3"/>
  <c r="T32" i="3" s="1"/>
  <c r="V32" i="3"/>
  <c r="X32" i="3"/>
  <c r="M14" i="3"/>
  <c r="R14" i="3"/>
  <c r="S14" i="3"/>
  <c r="U14" i="3"/>
  <c r="AD14" i="3" s="1"/>
  <c r="V14" i="3"/>
  <c r="X14" i="3"/>
  <c r="M15" i="3"/>
  <c r="R15" i="3"/>
  <c r="S15" i="3"/>
  <c r="U15" i="3"/>
  <c r="T15" i="3" s="1"/>
  <c r="V15" i="3"/>
  <c r="X15" i="3"/>
  <c r="M16" i="3"/>
  <c r="R16" i="3"/>
  <c r="S16" i="3"/>
  <c r="U16" i="3"/>
  <c r="T16" i="3" s="1"/>
  <c r="V16" i="3"/>
  <c r="X16" i="3"/>
  <c r="M17" i="3"/>
  <c r="R17" i="3"/>
  <c r="S17" i="3"/>
  <c r="U17" i="3"/>
  <c r="T17" i="3" s="1"/>
  <c r="V17" i="3"/>
  <c r="X17" i="3"/>
  <c r="M22" i="3"/>
  <c r="R22" i="3"/>
  <c r="S22" i="3"/>
  <c r="U22" i="3"/>
  <c r="AD22" i="3" s="1"/>
  <c r="V22" i="3"/>
  <c r="X22" i="3"/>
  <c r="M10" i="3"/>
  <c r="R10" i="3"/>
  <c r="S10" i="3"/>
  <c r="U10" i="3"/>
  <c r="AD10" i="3" s="1"/>
  <c r="V10" i="3"/>
  <c r="X10" i="3"/>
  <c r="AD21" i="3"/>
  <c r="M33" i="3"/>
  <c r="R33" i="3"/>
  <c r="S33" i="3"/>
  <c r="U33" i="3"/>
  <c r="T33" i="3" s="1"/>
  <c r="V33" i="3"/>
  <c r="X33" i="3"/>
  <c r="M18" i="3"/>
  <c r="R18" i="3"/>
  <c r="S18" i="3"/>
  <c r="U18" i="3"/>
  <c r="V18" i="3"/>
  <c r="X18" i="3"/>
  <c r="M8" i="3"/>
  <c r="R8" i="3"/>
  <c r="S8" i="3"/>
  <c r="U8" i="3"/>
  <c r="V8" i="3"/>
  <c r="X8" i="3"/>
  <c r="AD25" i="3"/>
  <c r="M29" i="3"/>
  <c r="R29" i="3"/>
  <c r="S29" i="3"/>
  <c r="U29" i="3"/>
  <c r="T29" i="3" s="1"/>
  <c r="V29" i="3"/>
  <c r="X29" i="3"/>
  <c r="M30" i="3"/>
  <c r="R30" i="3"/>
  <c r="S30" i="3"/>
  <c r="U30" i="3"/>
  <c r="V30" i="3"/>
  <c r="X30" i="3"/>
  <c r="AC30" i="3"/>
  <c r="M26" i="3"/>
  <c r="R26" i="3"/>
  <c r="S26" i="3"/>
  <c r="U26" i="3"/>
  <c r="AD26" i="3" s="1"/>
  <c r="V26" i="3"/>
  <c r="X26" i="3"/>
  <c r="M36" i="3"/>
  <c r="R36" i="3"/>
  <c r="S36" i="3"/>
  <c r="T36" i="3"/>
  <c r="U36" i="3"/>
  <c r="V36" i="3"/>
  <c r="X36" i="3"/>
  <c r="AC36" i="3"/>
  <c r="M37" i="3"/>
  <c r="R37" i="3"/>
  <c r="S37" i="3"/>
  <c r="U37" i="3"/>
  <c r="T37" i="3" s="1"/>
  <c r="V37" i="3"/>
  <c r="AE37" i="3" s="1"/>
  <c r="X37" i="3"/>
  <c r="AD30" i="3"/>
  <c r="M9" i="3"/>
  <c r="R9" i="3"/>
  <c r="S9" i="3"/>
  <c r="U9" i="3"/>
  <c r="T9" i="3" s="1"/>
  <c r="V9" i="3"/>
  <c r="X9" i="3"/>
  <c r="M23" i="3"/>
  <c r="R23" i="3"/>
  <c r="S23" i="3"/>
  <c r="U23" i="3"/>
  <c r="V23" i="3"/>
  <c r="X23" i="3"/>
  <c r="M27" i="3"/>
  <c r="R27" i="3"/>
  <c r="S27" i="3"/>
  <c r="U27" i="3"/>
  <c r="T27" i="3" s="1"/>
  <c r="V27" i="3"/>
  <c r="X27" i="3"/>
  <c r="M31" i="3"/>
  <c r="R31" i="3"/>
  <c r="S31" i="3"/>
  <c r="U31" i="3"/>
  <c r="T31" i="3" s="1"/>
  <c r="V31" i="3"/>
  <c r="X31" i="3"/>
  <c r="M12" i="3"/>
  <c r="R12" i="3"/>
  <c r="S12" i="3"/>
  <c r="U12" i="3"/>
  <c r="V12" i="3"/>
  <c r="X12" i="3"/>
  <c r="M25" i="3"/>
  <c r="R25" i="3"/>
  <c r="S25" i="3"/>
  <c r="U25" i="3"/>
  <c r="V25" i="3"/>
  <c r="X25" i="3"/>
  <c r="M34" i="3"/>
  <c r="S34" i="3"/>
  <c r="U34" i="3"/>
  <c r="T34" i="3" s="1"/>
  <c r="V34" i="3"/>
  <c r="X34" i="3"/>
  <c r="AD37" i="3"/>
  <c r="M28" i="3"/>
  <c r="R28" i="3"/>
  <c r="S28" i="3"/>
  <c r="U28" i="3"/>
  <c r="T28" i="3" s="1"/>
  <c r="V28" i="3"/>
  <c r="X28" i="3"/>
  <c r="AC28" i="3"/>
  <c r="M38" i="3"/>
  <c r="R38" i="3"/>
  <c r="S38" i="3"/>
  <c r="U38" i="3"/>
  <c r="T38" i="3" s="1"/>
  <c r="V38" i="3"/>
  <c r="X38" i="3"/>
  <c r="M35" i="3"/>
  <c r="R35" i="3"/>
  <c r="S35" i="3"/>
  <c r="U35" i="3"/>
  <c r="V35" i="3"/>
  <c r="X35" i="3"/>
  <c r="M13" i="3"/>
  <c r="R13" i="3"/>
  <c r="U13" i="3"/>
  <c r="T13" i="3" s="1"/>
  <c r="V13" i="3"/>
  <c r="X13" i="3"/>
  <c r="AD41" i="3"/>
  <c r="AE41" i="3"/>
  <c r="M24" i="3"/>
  <c r="R24" i="3"/>
  <c r="U24" i="3"/>
  <c r="T24" i="3" s="1"/>
  <c r="V24" i="3"/>
  <c r="X24" i="3"/>
  <c r="AD42" i="3"/>
  <c r="M11" i="3"/>
  <c r="S11" i="3"/>
  <c r="U11" i="3"/>
  <c r="V11" i="3"/>
  <c r="X11" i="3"/>
  <c r="AC11" i="3"/>
  <c r="M7" i="3"/>
  <c r="R7" i="3"/>
  <c r="U7" i="3"/>
  <c r="V7" i="3"/>
  <c r="X7" i="3"/>
  <c r="AG191" i="1"/>
  <c r="AG188" i="1"/>
  <c r="AG185" i="1"/>
  <c r="AG186" i="1"/>
  <c r="AG182" i="1"/>
  <c r="AG179" i="1"/>
  <c r="AG156" i="1"/>
  <c r="AG92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2" i="1"/>
  <c r="AG76" i="1"/>
  <c r="AG80" i="1"/>
  <c r="AG84" i="1"/>
  <c r="AG88" i="1"/>
  <c r="AG93" i="1"/>
  <c r="AG162" i="1"/>
  <c r="AG166" i="1"/>
  <c r="AG95" i="1"/>
  <c r="AG173" i="1"/>
  <c r="AG177" i="1"/>
  <c r="AG192" i="1"/>
  <c r="AG193" i="1"/>
  <c r="AG103" i="1"/>
  <c r="AG109" i="1"/>
  <c r="AG117" i="1"/>
  <c r="AG181" i="1"/>
  <c r="AG100" i="1"/>
  <c r="AG106" i="1"/>
  <c r="AG114" i="1"/>
  <c r="AG120" i="1"/>
  <c r="AG124" i="1"/>
  <c r="AG128" i="1"/>
  <c r="AG132" i="1"/>
  <c r="AG136" i="1"/>
  <c r="AG140" i="1"/>
  <c r="AG144" i="1"/>
  <c r="AG148" i="1"/>
  <c r="AG152" i="1"/>
  <c r="AG157" i="1"/>
  <c r="AG198" i="1"/>
  <c r="AG202" i="1"/>
  <c r="AG206" i="1"/>
  <c r="AG210" i="1"/>
  <c r="AG216" i="1"/>
  <c r="AG220" i="1"/>
  <c r="AG224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160" i="1"/>
  <c r="AG164" i="1"/>
  <c r="AG168" i="1"/>
  <c r="AG171" i="1"/>
  <c r="AG175" i="1"/>
  <c r="AG180" i="1"/>
  <c r="AG184" i="1"/>
  <c r="AG99" i="1"/>
  <c r="AG105" i="1"/>
  <c r="AG113" i="1"/>
  <c r="AG190" i="1"/>
  <c r="AG195" i="1"/>
  <c r="AG104" i="1"/>
  <c r="AG110" i="1"/>
  <c r="AG118" i="1"/>
  <c r="AG122" i="1"/>
  <c r="AG126" i="1"/>
  <c r="AG130" i="1"/>
  <c r="AG134" i="1"/>
  <c r="AG138" i="1"/>
  <c r="AG142" i="1"/>
  <c r="AG146" i="1"/>
  <c r="AG150" i="1"/>
  <c r="AG154" i="1"/>
  <c r="AG159" i="1"/>
  <c r="AG200" i="1"/>
  <c r="AG204" i="1"/>
  <c r="AG208" i="1"/>
  <c r="AG214" i="1"/>
  <c r="AG218" i="1"/>
  <c r="AG222" i="1"/>
  <c r="AG226" i="1"/>
  <c r="AG15" i="1"/>
  <c r="AG19" i="1"/>
  <c r="AG23" i="1"/>
  <c r="AG27" i="1"/>
  <c r="AG31" i="1"/>
  <c r="AG35" i="1"/>
  <c r="AG39" i="1"/>
  <c r="AG43" i="1"/>
  <c r="AG51" i="1"/>
  <c r="AG55" i="1"/>
  <c r="AG59" i="1"/>
  <c r="AG63" i="1"/>
  <c r="AG67" i="1"/>
  <c r="AG71" i="1"/>
  <c r="AG79" i="1"/>
  <c r="AG83" i="1"/>
  <c r="AG87" i="1"/>
  <c r="AG161" i="1"/>
  <c r="AG165" i="1"/>
  <c r="AG47" i="1"/>
  <c r="AG75" i="1"/>
  <c r="AG91" i="1"/>
  <c r="AG169" i="1"/>
  <c r="AG21" i="1"/>
  <c r="AG37" i="1"/>
  <c r="AG53" i="1"/>
  <c r="AG69" i="1"/>
  <c r="AG85" i="1"/>
  <c r="AG167" i="1"/>
  <c r="AG176" i="1"/>
  <c r="AG189" i="1"/>
  <c r="AG107" i="1"/>
  <c r="AG194" i="1"/>
  <c r="AG213" i="1"/>
  <c r="AG119" i="1"/>
  <c r="AG127" i="1"/>
  <c r="AG135" i="1"/>
  <c r="AG143" i="1"/>
  <c r="AG151" i="1"/>
  <c r="AG197" i="1"/>
  <c r="AG205" i="1"/>
  <c r="AG215" i="1"/>
  <c r="AG223" i="1"/>
  <c r="AG155" i="1"/>
  <c r="AG33" i="1"/>
  <c r="AG65" i="1"/>
  <c r="AG163" i="1"/>
  <c r="AG174" i="1"/>
  <c r="AG212" i="1"/>
  <c r="AG116" i="1"/>
  <c r="AG133" i="1"/>
  <c r="AG158" i="1"/>
  <c r="AG221" i="1"/>
  <c r="AG25" i="1"/>
  <c r="AG41" i="1"/>
  <c r="AG57" i="1"/>
  <c r="AG73" i="1"/>
  <c r="AG89" i="1"/>
  <c r="AG170" i="1"/>
  <c r="AG178" i="1"/>
  <c r="AG196" i="1"/>
  <c r="AG111" i="1"/>
  <c r="AG97" i="1"/>
  <c r="AG108" i="1"/>
  <c r="AG121" i="1"/>
  <c r="AG129" i="1"/>
  <c r="AG137" i="1"/>
  <c r="AG145" i="1"/>
  <c r="AG153" i="1"/>
  <c r="AG199" i="1"/>
  <c r="AG207" i="1"/>
  <c r="AG217" i="1"/>
  <c r="AG225" i="1"/>
  <c r="AG29" i="1"/>
  <c r="AG45" i="1"/>
  <c r="AG61" i="1"/>
  <c r="AG77" i="1"/>
  <c r="AG94" i="1"/>
  <c r="AG172" i="1"/>
  <c r="AG187" i="1"/>
  <c r="AG101" i="1"/>
  <c r="AG115" i="1"/>
  <c r="AG98" i="1"/>
  <c r="AG112" i="1"/>
  <c r="AG123" i="1"/>
  <c r="AG131" i="1"/>
  <c r="AG139" i="1"/>
  <c r="AG147" i="1"/>
  <c r="AG201" i="1"/>
  <c r="AG209" i="1"/>
  <c r="AG219" i="1"/>
  <c r="AG49" i="1"/>
  <c r="AG102" i="1"/>
  <c r="AG149" i="1"/>
  <c r="AG211" i="1"/>
  <c r="AG17" i="1"/>
  <c r="AG81" i="1"/>
  <c r="AG96" i="1"/>
  <c r="AG183" i="1"/>
  <c r="AG125" i="1"/>
  <c r="AG141" i="1"/>
  <c r="AG203" i="1"/>
  <c r="W41" i="3"/>
  <c r="W7" i="3"/>
  <c r="W15" i="3"/>
  <c r="W39" i="3"/>
  <c r="W30" i="3"/>
  <c r="W11" i="3"/>
  <c r="W23" i="3"/>
  <c r="W28" i="3"/>
  <c r="W16" i="3"/>
  <c r="W37" i="3"/>
  <c r="W14" i="3"/>
  <c r="W8" i="3"/>
  <c r="W10" i="3"/>
  <c r="W32" i="3"/>
  <c r="W9" i="3"/>
  <c r="W22" i="3"/>
  <c r="W36" i="3"/>
  <c r="W43" i="3"/>
  <c r="W31" i="3"/>
  <c r="W25" i="3"/>
  <c r="W20" i="3"/>
  <c r="W27" i="3"/>
  <c r="W17" i="3"/>
  <c r="W12" i="3"/>
  <c r="W34" i="3"/>
  <c r="W29" i="3"/>
  <c r="W13" i="3"/>
  <c r="W40" i="3"/>
  <c r="W35" i="3"/>
  <c r="W21" i="3"/>
  <c r="W42" i="3"/>
  <c r="W18" i="3"/>
  <c r="W38" i="3"/>
  <c r="W26" i="3"/>
  <c r="W33" i="3"/>
  <c r="W24" i="3"/>
  <c r="W19" i="3"/>
  <c r="T191" i="1" l="1"/>
  <c r="AI191" i="1"/>
  <c r="U191" i="1"/>
  <c r="S191" i="1" s="1"/>
  <c r="W191" i="1"/>
  <c r="AI188" i="1"/>
  <c r="U188" i="1"/>
  <c r="S188" i="1" s="1"/>
  <c r="W188" i="1"/>
  <c r="X188" i="1"/>
  <c r="AI186" i="1"/>
  <c r="U186" i="1"/>
  <c r="S186" i="1" s="1"/>
  <c r="AI185" i="1"/>
  <c r="U185" i="1"/>
  <c r="S185" i="1" s="1"/>
  <c r="W185" i="1"/>
  <c r="W186" i="1"/>
  <c r="X186" i="1"/>
  <c r="X185" i="1"/>
  <c r="U182" i="1"/>
  <c r="S182" i="1" s="1"/>
  <c r="AI182" i="1"/>
  <c r="W182" i="1"/>
  <c r="T179" i="1"/>
  <c r="AI179" i="1"/>
  <c r="U179" i="1"/>
  <c r="S179" i="1" s="1"/>
  <c r="W179" i="1"/>
  <c r="AI156" i="1"/>
  <c r="U156" i="1"/>
  <c r="S156" i="1" s="1"/>
  <c r="W156" i="1"/>
  <c r="AD33" i="3"/>
  <c r="AD27" i="3"/>
  <c r="AC19" i="3"/>
  <c r="AD38" i="3"/>
  <c r="AD29" i="3"/>
  <c r="AC33" i="3"/>
  <c r="U92" i="1"/>
  <c r="AI92" i="1"/>
  <c r="W92" i="1"/>
  <c r="AA48" i="1"/>
  <c r="AA46" i="1"/>
  <c r="AA33" i="1"/>
  <c r="AA29" i="1"/>
  <c r="AA25" i="1"/>
  <c r="AA21" i="1"/>
  <c r="AA17" i="1"/>
  <c r="AA225" i="1"/>
  <c r="W225" i="1" s="1"/>
  <c r="AA221" i="1"/>
  <c r="AA214" i="1"/>
  <c r="AA192" i="1"/>
  <c r="X177" i="1"/>
  <c r="AA162" i="1"/>
  <c r="AA84" i="1"/>
  <c r="AA80" i="1"/>
  <c r="AA76" i="1"/>
  <c r="W76" i="1" s="1"/>
  <c r="AA65" i="1"/>
  <c r="AA52" i="1"/>
  <c r="AA50" i="1"/>
  <c r="AA36" i="1"/>
  <c r="AA34" i="1"/>
  <c r="AA30" i="1"/>
  <c r="AA26" i="1"/>
  <c r="AA22" i="1"/>
  <c r="W22" i="1" s="1"/>
  <c r="AA18" i="1"/>
  <c r="AA207" i="1"/>
  <c r="AA205" i="1"/>
  <c r="AA199" i="1"/>
  <c r="AA197" i="1"/>
  <c r="AA153" i="1"/>
  <c r="AA151" i="1"/>
  <c r="AA145" i="1"/>
  <c r="AA143" i="1"/>
  <c r="AA139" i="1"/>
  <c r="AA135" i="1"/>
  <c r="AA131" i="1"/>
  <c r="W131" i="1" s="1"/>
  <c r="AA121" i="1"/>
  <c r="AA116" i="1"/>
  <c r="AA112" i="1"/>
  <c r="AA108" i="1"/>
  <c r="W108" i="1" s="1"/>
  <c r="AA213" i="1"/>
  <c r="AA102" i="1"/>
  <c r="AA98" i="1"/>
  <c r="AA189" i="1"/>
  <c r="AA184" i="1"/>
  <c r="AA175" i="1"/>
  <c r="X173" i="1"/>
  <c r="AA171" i="1"/>
  <c r="W171" i="1" s="1"/>
  <c r="AA71" i="1"/>
  <c r="AA70" i="1"/>
  <c r="X69" i="1"/>
  <c r="AA67" i="1"/>
  <c r="W67" i="1" s="1"/>
  <c r="X63" i="1"/>
  <c r="X60" i="1"/>
  <c r="AA58" i="1"/>
  <c r="AA57" i="1"/>
  <c r="AA56" i="1"/>
  <c r="AA54" i="1"/>
  <c r="AA53" i="1"/>
  <c r="AA40" i="1"/>
  <c r="W40" i="1" s="1"/>
  <c r="AA38" i="1"/>
  <c r="AA37" i="1"/>
  <c r="AA31" i="1"/>
  <c r="AA27" i="1"/>
  <c r="W27" i="1" s="1"/>
  <c r="AA23" i="1"/>
  <c r="AA19" i="1"/>
  <c r="AA15" i="1"/>
  <c r="AA223" i="1"/>
  <c r="W223" i="1" s="1"/>
  <c r="AA219" i="1"/>
  <c r="T214" i="1"/>
  <c r="AA208" i="1"/>
  <c r="AA200" i="1"/>
  <c r="W200" i="1" s="1"/>
  <c r="AA154" i="1"/>
  <c r="AA146" i="1"/>
  <c r="AA140" i="1"/>
  <c r="AA136" i="1"/>
  <c r="W136" i="1" s="1"/>
  <c r="AA132" i="1"/>
  <c r="AA128" i="1"/>
  <c r="AA124" i="1"/>
  <c r="AA122" i="1"/>
  <c r="W122" i="1" s="1"/>
  <c r="AA178" i="1"/>
  <c r="AA177" i="1"/>
  <c r="AA165" i="1"/>
  <c r="AA164" i="1"/>
  <c r="W164" i="1" s="1"/>
  <c r="AA160" i="1"/>
  <c r="AA90" i="1"/>
  <c r="AA86" i="1"/>
  <c r="AA82" i="1"/>
  <c r="W82" i="1" s="1"/>
  <c r="AA78" i="1"/>
  <c r="AA74" i="1"/>
  <c r="AA73" i="1"/>
  <c r="AA44" i="1"/>
  <c r="AA42" i="1"/>
  <c r="AA32" i="1"/>
  <c r="AA28" i="1"/>
  <c r="AA24" i="1"/>
  <c r="W24" i="1" s="1"/>
  <c r="AA20" i="1"/>
  <c r="AA16" i="1"/>
  <c r="AA218" i="1"/>
  <c r="AA217" i="1"/>
  <c r="W217" i="1" s="1"/>
  <c r="AA216" i="1"/>
  <c r="AA117" i="1"/>
  <c r="AA113" i="1"/>
  <c r="AA109" i="1"/>
  <c r="W109" i="1" s="1"/>
  <c r="AA190" i="1"/>
  <c r="AA183" i="1"/>
  <c r="X175" i="1"/>
  <c r="T173" i="1"/>
  <c r="U173" i="1" s="1"/>
  <c r="S173" i="1" s="1"/>
  <c r="X170" i="1"/>
  <c r="T170" i="1"/>
  <c r="X171" i="1"/>
  <c r="T215" i="1"/>
  <c r="U215" i="1" s="1"/>
  <c r="S215" i="1" s="1"/>
  <c r="X174" i="1"/>
  <c r="T174" i="1"/>
  <c r="AA127" i="1"/>
  <c r="AA126" i="1"/>
  <c r="W126" i="1" s="1"/>
  <c r="AA125" i="1"/>
  <c r="AA115" i="1"/>
  <c r="AA111" i="1"/>
  <c r="AA107" i="1"/>
  <c r="AA212" i="1"/>
  <c r="AA101" i="1"/>
  <c r="AA196" i="1"/>
  <c r="AA97" i="1"/>
  <c r="T96" i="1"/>
  <c r="X96" i="1"/>
  <c r="X178" i="1"/>
  <c r="T178" i="1"/>
  <c r="T175" i="1"/>
  <c r="X73" i="1"/>
  <c r="AA72" i="1"/>
  <c r="T69" i="1"/>
  <c r="U69" i="1" s="1"/>
  <c r="S69" i="1" s="1"/>
  <c r="X65" i="1"/>
  <c r="AA64" i="1"/>
  <c r="X62" i="1"/>
  <c r="X59" i="1"/>
  <c r="X67" i="1"/>
  <c r="X58" i="1"/>
  <c r="X57" i="1"/>
  <c r="AA14" i="1"/>
  <c r="W14" i="1" s="1"/>
  <c r="AA105" i="1"/>
  <c r="AA103" i="1"/>
  <c r="AA99" i="1"/>
  <c r="AA193" i="1"/>
  <c r="W193" i="1" s="1"/>
  <c r="AA187" i="1"/>
  <c r="AA180" i="1"/>
  <c r="X176" i="1"/>
  <c r="X169" i="1"/>
  <c r="AA68" i="1"/>
  <c r="X56" i="1"/>
  <c r="U226" i="1"/>
  <c r="S226" i="1" s="1"/>
  <c r="AI226" i="1"/>
  <c r="U225" i="1"/>
  <c r="S225" i="1" s="1"/>
  <c r="AI225" i="1"/>
  <c r="U224" i="1"/>
  <c r="S224" i="1" s="1"/>
  <c r="AI224" i="1"/>
  <c r="U223" i="1"/>
  <c r="S223" i="1" s="1"/>
  <c r="AI223" i="1"/>
  <c r="U222" i="1"/>
  <c r="S222" i="1" s="1"/>
  <c r="AI222" i="1"/>
  <c r="U221" i="1"/>
  <c r="S221" i="1" s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AI215" i="1"/>
  <c r="U214" i="1"/>
  <c r="S214" i="1" s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0" i="1"/>
  <c r="AI189" i="1"/>
  <c r="AI187" i="1"/>
  <c r="AI184" i="1"/>
  <c r="AI183" i="1"/>
  <c r="AI181" i="1"/>
  <c r="AI180" i="1"/>
  <c r="AI178" i="1"/>
  <c r="W143" i="1"/>
  <c r="AI177" i="1"/>
  <c r="W142" i="1"/>
  <c r="AI176" i="1"/>
  <c r="W141" i="1"/>
  <c r="AI175" i="1"/>
  <c r="AI174" i="1"/>
  <c r="AI173" i="1"/>
  <c r="AI172" i="1"/>
  <c r="AI171" i="1"/>
  <c r="AI170" i="1"/>
  <c r="AI169" i="1"/>
  <c r="AI168" i="1"/>
  <c r="AI167" i="1"/>
  <c r="AI166" i="1"/>
  <c r="AI165" i="1"/>
  <c r="U131" i="1"/>
  <c r="S131" i="1" s="1"/>
  <c r="AI164" i="1"/>
  <c r="U130" i="1"/>
  <c r="S130" i="1" s="1"/>
  <c r="AI163" i="1"/>
  <c r="U129" i="1"/>
  <c r="S129" i="1" s="1"/>
  <c r="AI162" i="1"/>
  <c r="U128" i="1"/>
  <c r="S128" i="1" s="1"/>
  <c r="AI161" i="1"/>
  <c r="U127" i="1"/>
  <c r="S127" i="1" s="1"/>
  <c r="AI160" i="1"/>
  <c r="U126" i="1"/>
  <c r="S126" i="1" s="1"/>
  <c r="AI159" i="1"/>
  <c r="U125" i="1"/>
  <c r="S125" i="1" s="1"/>
  <c r="AI158" i="1"/>
  <c r="U124" i="1"/>
  <c r="S124" i="1" s="1"/>
  <c r="AI157" i="1"/>
  <c r="U123" i="1"/>
  <c r="S123" i="1" s="1"/>
  <c r="AI155" i="1"/>
  <c r="U122" i="1"/>
  <c r="S122" i="1" s="1"/>
  <c r="AI154" i="1"/>
  <c r="U121" i="1"/>
  <c r="S121" i="1" s="1"/>
  <c r="AI153" i="1"/>
  <c r="U120" i="1"/>
  <c r="S120" i="1" s="1"/>
  <c r="AI152" i="1"/>
  <c r="U119" i="1"/>
  <c r="S119" i="1" s="1"/>
  <c r="AI151" i="1"/>
  <c r="AI149" i="1"/>
  <c r="AI147" i="1"/>
  <c r="AI145" i="1"/>
  <c r="AI143" i="1"/>
  <c r="AI141" i="1"/>
  <c r="AI139" i="1"/>
  <c r="AI137" i="1"/>
  <c r="AI135" i="1"/>
  <c r="AI133" i="1"/>
  <c r="AI131" i="1"/>
  <c r="AI129" i="1"/>
  <c r="U195" i="1"/>
  <c r="S195" i="1" s="1"/>
  <c r="AI127" i="1"/>
  <c r="U97" i="1"/>
  <c r="S97" i="1" s="1"/>
  <c r="AI123" i="1"/>
  <c r="AI117" i="1"/>
  <c r="U181" i="1"/>
  <c r="S181" i="1" s="1"/>
  <c r="AI126" i="1"/>
  <c r="W194" i="1"/>
  <c r="U194" i="1"/>
  <c r="S194" i="1" s="1"/>
  <c r="AI122" i="1"/>
  <c r="W190" i="1"/>
  <c r="U190" i="1"/>
  <c r="S190" i="1" s="1"/>
  <c r="AI118" i="1"/>
  <c r="U183" i="1"/>
  <c r="S183" i="1" s="1"/>
  <c r="AI150" i="1"/>
  <c r="AI148" i="1"/>
  <c r="AI146" i="1"/>
  <c r="AI144" i="1"/>
  <c r="AI142" i="1"/>
  <c r="AI140" i="1"/>
  <c r="AI138" i="1"/>
  <c r="AI136" i="1"/>
  <c r="AI134" i="1"/>
  <c r="AI132" i="1"/>
  <c r="AI130" i="1"/>
  <c r="AI128" i="1"/>
  <c r="U193" i="1"/>
  <c r="S193" i="1" s="1"/>
  <c r="AI125" i="1"/>
  <c r="U189" i="1"/>
  <c r="AI121" i="1"/>
  <c r="AI119" i="1"/>
  <c r="U184" i="1"/>
  <c r="S184" i="1" s="1"/>
  <c r="U96" i="1"/>
  <c r="S96" i="1" s="1"/>
  <c r="AI115" i="1"/>
  <c r="U192" i="1"/>
  <c r="S192" i="1" s="1"/>
  <c r="AI124" i="1"/>
  <c r="AI120" i="1"/>
  <c r="U187" i="1"/>
  <c r="S187" i="1" s="1"/>
  <c r="AI116" i="1"/>
  <c r="U180" i="1"/>
  <c r="S180" i="1" s="1"/>
  <c r="U178" i="1"/>
  <c r="S178" i="1" s="1"/>
  <c r="AI114" i="1"/>
  <c r="U177" i="1"/>
  <c r="S177" i="1" s="1"/>
  <c r="AI113" i="1"/>
  <c r="U176" i="1"/>
  <c r="S176" i="1" s="1"/>
  <c r="AI112" i="1"/>
  <c r="U175" i="1"/>
  <c r="S175" i="1" s="1"/>
  <c r="AI111" i="1"/>
  <c r="U174" i="1"/>
  <c r="S174" i="1" s="1"/>
  <c r="AI110" i="1"/>
  <c r="W174" i="1"/>
  <c r="AI109" i="1"/>
  <c r="U172" i="1"/>
  <c r="S172" i="1" s="1"/>
  <c r="AI108" i="1"/>
  <c r="U171" i="1"/>
  <c r="S171" i="1" s="1"/>
  <c r="AI107" i="1"/>
  <c r="U170" i="1"/>
  <c r="S170" i="1" s="1"/>
  <c r="AI106" i="1"/>
  <c r="W170" i="1"/>
  <c r="U95" i="1"/>
  <c r="S95" i="1" s="1"/>
  <c r="AI105" i="1"/>
  <c r="U169" i="1"/>
  <c r="S169" i="1" s="1"/>
  <c r="AI104" i="1"/>
  <c r="W169" i="1"/>
  <c r="AI103" i="1"/>
  <c r="W168" i="1"/>
  <c r="AI102" i="1"/>
  <c r="W167" i="1"/>
  <c r="AI101" i="1"/>
  <c r="W166" i="1"/>
  <c r="AI100" i="1"/>
  <c r="W165" i="1"/>
  <c r="AI99" i="1"/>
  <c r="AI98" i="1"/>
  <c r="W163" i="1"/>
  <c r="AI97" i="1"/>
  <c r="AI96" i="1"/>
  <c r="AI95" i="1"/>
  <c r="AI94" i="1"/>
  <c r="AI93" i="1"/>
  <c r="AI91" i="1"/>
  <c r="AI90" i="1"/>
  <c r="AI89" i="1"/>
  <c r="AI88" i="1"/>
  <c r="AI87" i="1"/>
  <c r="AI86" i="1"/>
  <c r="AI85" i="1"/>
  <c r="AI84" i="1"/>
  <c r="AI83" i="1"/>
  <c r="AI82" i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AI16" i="1"/>
  <c r="U16" i="1"/>
  <c r="S16" i="1" s="1"/>
  <c r="AI15" i="1"/>
  <c r="U15" i="1"/>
  <c r="S15" i="1" s="1"/>
  <c r="AI14" i="1"/>
  <c r="U14" i="1"/>
  <c r="S14" i="1" s="1"/>
  <c r="W206" i="1"/>
  <c r="W202" i="1"/>
  <c r="W198" i="1"/>
  <c r="W157" i="1"/>
  <c r="W152" i="1"/>
  <c r="W148" i="1"/>
  <c r="W144" i="1"/>
  <c r="W209" i="1"/>
  <c r="W205" i="1"/>
  <c r="W201" i="1"/>
  <c r="W197" i="1"/>
  <c r="W155" i="1"/>
  <c r="W151" i="1"/>
  <c r="W147" i="1"/>
  <c r="W211" i="1"/>
  <c r="W207" i="1"/>
  <c r="W210" i="1"/>
  <c r="W214" i="1"/>
  <c r="W226" i="1"/>
  <c r="W224" i="1"/>
  <c r="W222" i="1"/>
  <c r="W221" i="1"/>
  <c r="W220" i="1"/>
  <c r="W219" i="1"/>
  <c r="W218" i="1"/>
  <c r="W216" i="1"/>
  <c r="W215" i="1"/>
  <c r="W208" i="1"/>
  <c r="W204" i="1"/>
  <c r="W159" i="1"/>
  <c r="W154" i="1"/>
  <c r="W150" i="1"/>
  <c r="W146" i="1"/>
  <c r="W203" i="1"/>
  <c r="W199" i="1"/>
  <c r="W158" i="1"/>
  <c r="W153" i="1"/>
  <c r="W149" i="1"/>
  <c r="W145" i="1"/>
  <c r="X226" i="1"/>
  <c r="X225" i="1"/>
  <c r="X224" i="1"/>
  <c r="X223" i="1"/>
  <c r="X221" i="1"/>
  <c r="X218" i="1"/>
  <c r="X217" i="1"/>
  <c r="X216" i="1"/>
  <c r="W140" i="1"/>
  <c r="W139" i="1"/>
  <c r="W138" i="1"/>
  <c r="W137" i="1"/>
  <c r="W135" i="1"/>
  <c r="W134" i="1"/>
  <c r="W133" i="1"/>
  <c r="W132" i="1"/>
  <c r="W130" i="1"/>
  <c r="W129" i="1"/>
  <c r="W128" i="1"/>
  <c r="W127" i="1"/>
  <c r="W125" i="1"/>
  <c r="W124" i="1"/>
  <c r="W115" i="1"/>
  <c r="W111" i="1"/>
  <c r="W107" i="1"/>
  <c r="W212" i="1"/>
  <c r="W101" i="1"/>
  <c r="W196" i="1"/>
  <c r="W97" i="1"/>
  <c r="W178" i="1"/>
  <c r="X222" i="1"/>
  <c r="X220" i="1"/>
  <c r="X219" i="1"/>
  <c r="R43" i="3"/>
  <c r="R40" i="3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W123" i="1"/>
  <c r="W116" i="1"/>
  <c r="W112" i="1"/>
  <c r="W213" i="1"/>
  <c r="W102" i="1"/>
  <c r="W98" i="1"/>
  <c r="W192" i="1"/>
  <c r="W176" i="1"/>
  <c r="W121" i="1"/>
  <c r="W120" i="1"/>
  <c r="W119" i="1"/>
  <c r="W117" i="1"/>
  <c r="W113" i="1"/>
  <c r="W105" i="1"/>
  <c r="W103" i="1"/>
  <c r="W99" i="1"/>
  <c r="W118" i="1"/>
  <c r="W114" i="1"/>
  <c r="W110" i="1"/>
  <c r="W106" i="1"/>
  <c r="W104" i="1"/>
  <c r="W100" i="1"/>
  <c r="W195" i="1"/>
  <c r="W172" i="1"/>
  <c r="W183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212" i="1"/>
  <c r="U212" i="1" s="1"/>
  <c r="S212" i="1" s="1"/>
  <c r="X212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196" i="1"/>
  <c r="U196" i="1" s="1"/>
  <c r="S196" i="1" s="1"/>
  <c r="X196" i="1"/>
  <c r="W189" i="1"/>
  <c r="W184" i="1"/>
  <c r="W96" i="1"/>
  <c r="W177" i="1"/>
  <c r="W173" i="1"/>
  <c r="W95" i="1"/>
  <c r="W187" i="1"/>
  <c r="W18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213" i="1"/>
  <c r="U213" i="1" s="1"/>
  <c r="S213" i="1" s="1"/>
  <c r="X213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W181" i="1"/>
  <c r="W175" i="1"/>
  <c r="X195" i="1"/>
  <c r="X194" i="1"/>
  <c r="X193" i="1"/>
  <c r="X97" i="1"/>
  <c r="X190" i="1"/>
  <c r="W72" i="1"/>
  <c r="W71" i="1"/>
  <c r="W64" i="1"/>
  <c r="W63" i="1"/>
  <c r="W61" i="1"/>
  <c r="W162" i="1"/>
  <c r="W161" i="1"/>
  <c r="W160" i="1"/>
  <c r="W94" i="1"/>
  <c r="W93" i="1"/>
  <c r="W91" i="1"/>
  <c r="W90" i="1"/>
  <c r="W89" i="1"/>
  <c r="W88" i="1"/>
  <c r="W87" i="1"/>
  <c r="W86" i="1"/>
  <c r="W85" i="1"/>
  <c r="W84" i="1"/>
  <c r="W83" i="1"/>
  <c r="W81" i="1"/>
  <c r="W80" i="1"/>
  <c r="W79" i="1"/>
  <c r="W78" i="1"/>
  <c r="W77" i="1"/>
  <c r="W75" i="1"/>
  <c r="W74" i="1"/>
  <c r="W73" i="1"/>
  <c r="W66" i="1"/>
  <c r="W65" i="1"/>
  <c r="W5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94" i="1"/>
  <c r="U94" i="1" s="1"/>
  <c r="S94" i="1" s="1"/>
  <c r="T93" i="1"/>
  <c r="U93" i="1" s="1"/>
  <c r="S93" i="1" s="1"/>
  <c r="T91" i="1"/>
  <c r="U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W68" i="1"/>
  <c r="W57" i="1"/>
  <c r="W70" i="1"/>
  <c r="W69" i="1"/>
  <c r="W62" i="1"/>
  <c r="W60" i="1"/>
  <c r="X80" i="1"/>
  <c r="X79" i="1"/>
  <c r="X78" i="1"/>
  <c r="X77" i="1"/>
  <c r="X76" i="1"/>
  <c r="X75" i="1"/>
  <c r="X74" i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S66" i="1" s="1"/>
  <c r="T62" i="1"/>
  <c r="U62" i="1" s="1"/>
  <c r="S62" i="1" s="1"/>
  <c r="W54" i="1"/>
  <c r="W50" i="1"/>
  <c r="W46" i="1"/>
  <c r="W42" i="1"/>
  <c r="W38" i="1"/>
  <c r="W53" i="1"/>
  <c r="W49" i="1"/>
  <c r="W45" i="1"/>
  <c r="W41" i="1"/>
  <c r="W52" i="1"/>
  <c r="W48" i="1"/>
  <c r="W44" i="1"/>
  <c r="T64" i="1"/>
  <c r="U64" i="1" s="1"/>
  <c r="S64" i="1" s="1"/>
  <c r="W55" i="1"/>
  <c r="W51" i="1"/>
  <c r="W47" i="1"/>
  <c r="W43" i="1"/>
  <c r="W39" i="1"/>
  <c r="W33" i="1"/>
  <c r="W32" i="1"/>
  <c r="W31" i="1"/>
  <c r="W30" i="1"/>
  <c r="W29" i="1"/>
  <c r="W28" i="1"/>
  <c r="W26" i="1"/>
  <c r="W25" i="1"/>
  <c r="W23" i="1"/>
  <c r="W21" i="1"/>
  <c r="W20" i="1"/>
  <c r="W19" i="1"/>
  <c r="W18" i="1"/>
  <c r="W17" i="1"/>
  <c r="W16" i="1"/>
  <c r="W15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34" i="3"/>
  <c r="AE25" i="3"/>
  <c r="AD23" i="3"/>
  <c r="AC10" i="3"/>
  <c r="T10" i="3"/>
  <c r="AC17" i="3"/>
  <c r="AD18" i="3"/>
  <c r="AD17" i="3"/>
  <c r="AE10" i="3"/>
  <c r="AD35" i="3"/>
  <c r="AC37" i="3"/>
  <c r="AE29" i="3"/>
  <c r="AC21" i="3"/>
  <c r="AD11" i="3"/>
  <c r="AC34" i="3"/>
  <c r="AC12" i="3"/>
  <c r="AC13" i="3"/>
  <c r="AC38" i="3"/>
  <c r="AC31" i="3"/>
  <c r="AE33" i="3"/>
  <c r="AC8" i="3"/>
  <c r="T8" i="3"/>
  <c r="AC18" i="3"/>
  <c r="AC16" i="3"/>
  <c r="AE17" i="3"/>
  <c r="AC20" i="3"/>
  <c r="T20" i="3"/>
  <c r="AC42" i="3"/>
  <c r="AC27" i="3"/>
  <c r="AC9" i="3"/>
  <c r="AC29" i="3"/>
  <c r="AC15" i="3"/>
  <c r="AC32" i="3"/>
  <c r="AC43" i="3"/>
  <c r="AC24" i="3"/>
  <c r="Y37" i="3"/>
  <c r="Y19" i="3"/>
  <c r="Y13" i="3"/>
  <c r="Y31" i="3"/>
  <c r="Y16" i="3"/>
  <c r="Y24" i="3"/>
  <c r="Y29" i="3"/>
  <c r="Y43" i="3"/>
  <c r="Y28" i="3"/>
  <c r="Y33" i="3"/>
  <c r="Y34" i="3"/>
  <c r="Y36" i="3"/>
  <c r="Y23" i="3"/>
  <c r="Y26" i="3"/>
  <c r="Y22" i="3"/>
  <c r="Y11" i="3"/>
  <c r="Y38" i="3"/>
  <c r="Y12" i="3"/>
  <c r="Y9" i="3"/>
  <c r="Y30" i="3"/>
  <c r="Y18" i="3"/>
  <c r="Y17" i="3"/>
  <c r="Y32" i="3"/>
  <c r="Y39" i="3"/>
  <c r="Y42" i="3"/>
  <c r="Y27" i="3"/>
  <c r="Y10" i="3"/>
  <c r="Y15" i="3"/>
  <c r="Y21" i="3"/>
  <c r="Y20" i="3"/>
  <c r="Y8" i="3"/>
  <c r="Y7" i="3"/>
  <c r="Y35" i="3"/>
  <c r="Y25" i="3"/>
  <c r="Y14" i="3"/>
  <c r="Y41" i="3"/>
  <c r="Y40" i="3"/>
  <c r="AC7" i="3"/>
  <c r="AD40" i="3"/>
  <c r="AC35" i="3"/>
  <c r="T35" i="3"/>
  <c r="AE40" i="3"/>
  <c r="AD24" i="3"/>
  <c r="AE24" i="3"/>
  <c r="T7" i="3"/>
  <c r="AD36" i="3"/>
  <c r="AC25" i="3"/>
  <c r="T25" i="3"/>
  <c r="AE36" i="3"/>
  <c r="T22" i="3"/>
  <c r="AE20" i="3"/>
  <c r="AC22" i="3"/>
  <c r="AD20" i="3"/>
  <c r="AD43" i="3"/>
  <c r="T11" i="3"/>
  <c r="AE43" i="3"/>
  <c r="AD16" i="3"/>
  <c r="T14" i="3"/>
  <c r="AE16" i="3"/>
  <c r="AC14" i="3"/>
  <c r="T26" i="3"/>
  <c r="AE28" i="3"/>
  <c r="AC26" i="3"/>
  <c r="AD28" i="3"/>
  <c r="AD13" i="3"/>
  <c r="T41" i="3"/>
  <c r="AE13" i="3"/>
  <c r="AC41" i="3"/>
  <c r="T23" i="3"/>
  <c r="AC23" i="3"/>
  <c r="AD32" i="3"/>
  <c r="AE32" i="3"/>
  <c r="AD9" i="3"/>
  <c r="T40" i="3"/>
  <c r="AE9" i="3"/>
  <c r="AC40" i="3"/>
  <c r="AE39" i="3"/>
  <c r="AE35" i="3"/>
  <c r="T12" i="3"/>
  <c r="AE27" i="3"/>
  <c r="T30" i="3"/>
  <c r="AE23" i="3"/>
  <c r="T18" i="3"/>
  <c r="AE42" i="3"/>
  <c r="AD39" i="3"/>
  <c r="AE38" i="3"/>
  <c r="AE34" i="3"/>
  <c r="AD31" i="3"/>
  <c r="AE30" i="3"/>
  <c r="AE26" i="3"/>
  <c r="AE22" i="3"/>
  <c r="AD19" i="3"/>
  <c r="AE18" i="3"/>
  <c r="AD15" i="3"/>
  <c r="AE14" i="3"/>
  <c r="AD12" i="3"/>
  <c r="AE11" i="3"/>
  <c r="AD8" i="3"/>
  <c r="AE31" i="3"/>
  <c r="AE19" i="3"/>
  <c r="AE15" i="3"/>
  <c r="AE12" i="3"/>
  <c r="AE8" i="3"/>
  <c r="M44" i="3"/>
  <c r="U44" i="3"/>
  <c r="X44" i="3"/>
  <c r="W44" i="3"/>
  <c r="S91" i="1" l="1"/>
  <c r="AD44" i="3"/>
  <c r="R44" i="3"/>
  <c r="Y44" i="3"/>
  <c r="M30" i="5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7" i="3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44" i="3" l="1"/>
  <c r="V44" i="3"/>
  <c r="AE44" i="3" s="1"/>
  <c r="AC44" i="3"/>
  <c r="V13" i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N29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1" i="3" l="1"/>
  <c r="N26" i="3"/>
  <c r="N37" i="3"/>
  <c r="N36" i="3"/>
  <c r="N10" i="3"/>
  <c r="N22" i="3"/>
  <c r="N19" i="3"/>
  <c r="N17" i="3"/>
  <c r="N16" i="3"/>
  <c r="N15" i="3"/>
  <c r="N14" i="3"/>
  <c r="N28" i="3"/>
  <c r="N38" i="3"/>
  <c r="N9" i="3"/>
  <c r="N13" i="3"/>
  <c r="N11" i="3"/>
  <c r="N35" i="3"/>
  <c r="N34" i="3"/>
  <c r="N25" i="3"/>
  <c r="N23" i="3"/>
  <c r="N8" i="3"/>
  <c r="N33" i="3"/>
  <c r="N21" i="3"/>
  <c r="N20" i="3"/>
  <c r="N12" i="3"/>
  <c r="N27" i="3"/>
  <c r="N40" i="3"/>
  <c r="N42" i="3"/>
  <c r="N30" i="3"/>
  <c r="N24" i="3"/>
  <c r="N18" i="3"/>
  <c r="N32" i="3"/>
  <c r="N39" i="3"/>
  <c r="N41" i="3"/>
  <c r="N43" i="3"/>
  <c r="N4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44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<sst xmlns="http://schemas.openxmlformats.org/spreadsheetml/2006/main" count="2711" uniqueCount="1020">
  <si>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</si>
  <si>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</si>
  <si>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</si>
  <si>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</si>
  <si>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</si>
  <si>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</si>
  <si>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</si>
  <si>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</si>
  <si>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</si>
  <si>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</si>
  <si>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</si>
  <si>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</si>
  <si>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</si>
  <si>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</si>
  <si>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</si>
  <si>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</si>
  <si>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</si>
  <si>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</si>
  <si>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</si>
  <si>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</si>
  <si>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</si>
  <si>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</si>
  <si>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</si>
  <si>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</si>
  <si>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</si>
  <si>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</si>
  <si>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</si>
  <si>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</si>
  <si>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</si>
  <si>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</si>
  <si>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</si>
  <si>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</si>
  <si>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</si>
  <si>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</si>
  <si>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</si>
  <si>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</si>
  <si>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</si>
  <si>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</si>
  <si>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</si>
  <si>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</si>
  <si>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</si>
  <si>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</si>
  <si>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</si>
  <si>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</si>
  <si>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</si>
  <si>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</si>
  <si>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</si>
  <si>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</si>
  <si>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</si>
  <si>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</si>
  <si>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</si>
  <si>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</si>
  <si>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</si>
  <si>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</si>
  <si>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</si>
  <si>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</si>
  <si>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</si>
  <si>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</si>
  <si>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</si>
  <si>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</si>
  <si>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</si>
  <si>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</si>
  <si>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</si>
  <si>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</si>
  <si>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</si>
  <si>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</si>
  <si>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</si>
  <si>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</si>
  <si>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</si>
  <si>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</si>
  <si>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</si>
  <si>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</si>
  <si>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</si>
  <si>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</si>
  <si>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</si>
  <si>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</si>
  <si>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</si>
  <si>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</si>
  <si>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</si>
  <si>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</si>
  <si>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</si>
  <si>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</si>
  <si>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</si>
  <si>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</si>
  <si>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</si>
  <si>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</si>
  <si>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</si>
  <si>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</si>
  <si>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</si>
  <si>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</si>
  <si>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</si>
  <si>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</si>
  <si>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</si>
  <si>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</si>
  <si>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</si>
  <si>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</si>
  <si>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</si>
  <si>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</si>
  <si>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</si>
  <si>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</si>
  <si>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</si>
  <si>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</si>
  <si>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</si>
  <si>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</si>
  <si>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</si>
  <si>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</si>
  <si>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</si>
  <si>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</si>
  <si>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</si>
  <si>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</si>
  <si>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</si>
  <si>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</si>
  <si>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</si>
  <si>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</si>
  <si>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</si>
  <si>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</si>
  <si>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</si>
  <si>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</si>
  <si>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</si>
  <si>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</si>
  <si>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</si>
  <si>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</si>
  <si>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</si>
  <si>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</si>
  <si>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</si>
  <si>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</si>
  <si>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</si>
  <si>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</si>
  <si>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</si>
  <si>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</si>
  <si>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</si>
  <si>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</si>
  <si>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</si>
  <si>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</si>
  <si>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</si>
  <si>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</si>
  <si>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</si>
  <si>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</si>
  <si>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</si>
  <si>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</si>
  <si>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</si>
  <si>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</si>
  <si>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</si>
  <si>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</si>
  <si>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</si>
  <si>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</si>
  <si>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</si>
  <si>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</si>
  <si>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</si>
  <si>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</si>
  <si>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</si>
  <si>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</si>
  <si>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</si>
  <si>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</si>
  <si>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</si>
  <si>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</si>
  <si>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</si>
  <si>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</si>
  <si>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</si>
  <si>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</si>
  <si>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</si>
  <si>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</si>
  <si>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</si>
  <si>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</si>
  <si>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</si>
  <si>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</si>
  <si>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</si>
  <si>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</si>
  <si>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</si>
  <si>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</si>
  <si>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</si>
  <si>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</si>
  <si>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</si>
  <si>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</si>
  <si>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</si>
  <si>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</si>
  <si>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</si>
  <si>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</si>
  <si>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</si>
  <si>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</si>
  <si>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</si>
  <si>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</si>
  <si>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</si>
  <si>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</si>
  <si>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</si>
  <si>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</si>
  <si>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</si>
  <si>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</si>
  <si>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</si>
  <si>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</si>
  <si>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</si>
  <si>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</si>
  <si>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</si>
  <si>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</si>
  <si>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</si>
  <si>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</si>
  <si>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</si>
  <si>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</si>
  <si>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</si>
  <si>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</si>
  <si>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</si>
  <si>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</si>
  <si>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</si>
  <si>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</si>
  <si>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</si>
  <si>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</si>
  <si>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</si>
  <si>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</si>
  <si>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</si>
  <si>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</si>
  <si>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</si>
  <si>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</si>
  <si>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</si>
  <si>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</si>
  <si>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</si>
  <si>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</si>
  <si>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</si>
  <si>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</si>
  <si>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</si>
  <si>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</si>
  <si>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</si>
  <si>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</si>
  <si>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</si>
  <si>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</si>
  <si>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</si>
  <si>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</si>
  <si>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</si>
  <si>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</si>
  <si>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</si>
  <si>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</si>
  <si>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</si>
  <si>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</si>
  <si>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</si>
  <si>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</si>
  <si>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</si>
  <si>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</si>
  <si>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</si>
  <si>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</si>
  <si>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</si>
  <si>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</si>
  <si>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</si>
  <si>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</si>
  <si>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</si>
  <si>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</si>
  <si>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</si>
  <si>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</si>
  <si>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</si>
  <si>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</si>
  <si>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</si>
  <si>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</si>
  <si>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</si>
  <si>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</si>
  <si>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</si>
  <si>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</si>
  <si>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</si>
  <si>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</si>
  <si>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</si>
  <si>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</si>
  <si>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</si>
  <si>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</si>
  <si>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</si>
  <si>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</si>
  <si>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</si>
  <si>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</si>
  <si>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</si>
  <si>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</si>
  <si>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</si>
  <si>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</si>
  <si>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</si>
  <si>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</si>
  <si>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</si>
  <si>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</si>
  <si>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</si>
  <si>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</si>
  <si>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</si>
  <si>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</si>
  <si>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</si>
  <si>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</si>
  <si>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</si>
  <si>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</si>
  <si>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</si>
  <si>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</si>
  <si>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</si>
  <si>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</si>
  <si>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</si>
  <si>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</si>
  <si>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</si>
  <si>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</si>
  <si>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</si>
  <si>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</si>
  <si>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</si>
  <si>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</si>
  <si>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</si>
  <si>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</si>
  <si>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</si>
  <si>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</si>
  <si>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</si>
  <si>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</si>
  <si>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</si>
  <si>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</si>
  <si>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</si>
  <si>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</si>
  <si>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</si>
  <si>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</si>
  <si>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</si>
  <si>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</si>
  <si>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</si>
  <si>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</si>
  <si>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</si>
  <si>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</si>
  <si>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</si>
  <si>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</si>
  <si>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</si>
  <si>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</si>
  <si>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</si>
  <si>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</si>
  <si>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</si>
  <si>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</si>
  <si>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</si>
  <si>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</si>
  <si>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</si>
  <si>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</si>
  <si>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</si>
  <si>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</si>
  <si>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</si>
  <si>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</si>
  <si>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</si>
  <si>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</si>
  <si>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</si>
  <si>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</si>
  <si>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</si>
  <si>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</si>
  <si>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</si>
  <si>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</si>
  <si>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</si>
  <si>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</si>
  <si>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</si>
  <si>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</si>
  <si>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</si>
  <si>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</si>
  <si>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</si>
  <si>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</si>
  <si>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</si>
  <si>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</si>
  <si>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</si>
  <si>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</si>
  <si>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</si>
  <si>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</si>
  <si>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</si>
  <si>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</si>
  <si>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</si>
  <si>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</si>
  <si>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</si>
  <si>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</si>
  <si>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</si>
  <si>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</si>
  <si>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</si>
  <si>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</si>
  <si>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</si>
  <si>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</si>
  <si>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</si>
  <si>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</si>
  <si>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</si>
  <si>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</si>
  <si>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</si>
  <si>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</si>
  <si>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</si>
  <si>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</si>
  <si>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</si>
  <si>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</si>
  <si>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HART</t>
  </si>
  <si>
    <t>KEVIN</t>
  </si>
  <si>
    <t>204:139</t>
  </si>
  <si>
    <t>NICHOLSON</t>
  </si>
  <si>
    <t>WESLEY</t>
  </si>
  <si>
    <t>204:451</t>
  </si>
  <si>
    <t>rtdc.l.rtdc.4058:itc</t>
  </si>
  <si>
    <t>204:154</t>
  </si>
  <si>
    <t>204:466</t>
  </si>
  <si>
    <t>204:447</t>
  </si>
  <si>
    <t>YORK</t>
  </si>
  <si>
    <t>EDGAR</t>
  </si>
  <si>
    <t>rtdc.l.rtdc.4057:itc</t>
  </si>
  <si>
    <t>Y</t>
  </si>
  <si>
    <t>204:232982</t>
  </si>
  <si>
    <t>204:457</t>
  </si>
  <si>
    <t>Sat - Sun = 36 Trips</t>
  </si>
  <si>
    <t>"Summary View"</t>
  </si>
  <si>
    <t>rtdc.l.rtdc.4010:itc</t>
  </si>
  <si>
    <t>rtdc.l.rtdc.4063:itc</t>
  </si>
  <si>
    <t>rtdc.l.rtdc.4042:itc</t>
  </si>
  <si>
    <t>rtdc.l.rtdc.4064:itc</t>
  </si>
  <si>
    <t>ROCHA</t>
  </si>
  <si>
    <t>YAOTL</t>
  </si>
  <si>
    <t>204:233000</t>
  </si>
  <si>
    <t>precipType</t>
  </si>
  <si>
    <t>rain</t>
  </si>
  <si>
    <t>partly-cloudy-night</t>
  </si>
  <si>
    <t>Mostly Cloudy</t>
  </si>
  <si>
    <t>204:444</t>
  </si>
  <si>
    <t>204:233291</t>
  </si>
  <si>
    <t>Partly Cloudy</t>
  </si>
  <si>
    <t>204:233297</t>
  </si>
  <si>
    <t>204:438</t>
  </si>
  <si>
    <t>204:467</t>
  </si>
  <si>
    <t>204:232994</t>
  </si>
  <si>
    <t>204:473</t>
  </si>
  <si>
    <t>204:233300</t>
  </si>
  <si>
    <t>204:233334</t>
  </si>
  <si>
    <t>204:449</t>
  </si>
  <si>
    <t>rtdc.l.rtdc.4061:itc</t>
  </si>
  <si>
    <t>rtdc.l.rtdc.4055:itc</t>
  </si>
  <si>
    <t>DAVID</t>
  </si>
  <si>
    <t>204:233009</t>
  </si>
  <si>
    <t>204:233278</t>
  </si>
  <si>
    <t>204:233002</t>
  </si>
  <si>
    <t>204:232979</t>
  </si>
  <si>
    <t>204:232992</t>
  </si>
  <si>
    <t>Wi-MAX data drop</t>
  </si>
  <si>
    <t>MICHAEL</t>
  </si>
  <si>
    <t>rtdc.l.rtdc.4008:itc</t>
  </si>
  <si>
    <t>204:165</t>
  </si>
  <si>
    <t>204:974</t>
  </si>
  <si>
    <t>204:160</t>
  </si>
  <si>
    <t>SPECTOR</t>
  </si>
  <si>
    <t>rtdc.l.rtdc.4002:itc</t>
  </si>
  <si>
    <t>DAVIDSON</t>
  </si>
  <si>
    <t>204:233325</t>
  </si>
  <si>
    <t>204:233276</t>
  </si>
  <si>
    <t>204:437</t>
  </si>
  <si>
    <t>204:233303</t>
  </si>
  <si>
    <t>204:232980</t>
  </si>
  <si>
    <t>204:233008</t>
  </si>
  <si>
    <t>204:232985</t>
  </si>
  <si>
    <t>204:233331</t>
  </si>
  <si>
    <t>300:58929</t>
  </si>
  <si>
    <t>rtdc.l.rtdc.4007:itc</t>
  </si>
  <si>
    <t>FORTUNATO</t>
  </si>
  <si>
    <t>FRANK</t>
  </si>
  <si>
    <t>BIRKHOLZ</t>
  </si>
  <si>
    <t>NADINE</t>
  </si>
  <si>
    <t>ZEWDU</t>
  </si>
  <si>
    <t>DEREJE</t>
  </si>
  <si>
    <t>clear-night</t>
  </si>
  <si>
    <t>Clear</t>
  </si>
  <si>
    <t>204:233357</t>
  </si>
  <si>
    <t>204:233318</t>
  </si>
  <si>
    <t>204:232983</t>
  </si>
  <si>
    <t>204:233021</t>
  </si>
  <si>
    <t>204:233006</t>
  </si>
  <si>
    <t>204:232986</t>
  </si>
  <si>
    <t>204:435</t>
  </si>
  <si>
    <t>300:23346</t>
  </si>
  <si>
    <t>300:23299</t>
  </si>
  <si>
    <t>204:965</t>
  </si>
  <si>
    <t>rtdc.l.rtdc.4066:itc</t>
  </si>
  <si>
    <t>rtdc.l.rtdc.4027:itc</t>
  </si>
  <si>
    <t>rtdc.l.rtdc.4028:itc</t>
  </si>
  <si>
    <t>rtdc.l.rtdc.4018:itc</t>
  </si>
  <si>
    <t>rtdc.l.rtdc.4017:itc</t>
  </si>
  <si>
    <t>SWITCH UNKNOWN</t>
  </si>
  <si>
    <t>Track device (7)</t>
  </si>
  <si>
    <t>rtdc.l.rtdc.4065:itc</t>
  </si>
  <si>
    <t>309-04</t>
  </si>
  <si>
    <t>rtdc.l.rtdc.4009:itc</t>
  </si>
  <si>
    <t>GEBRETEKLE</t>
  </si>
  <si>
    <t>DAGNEW</t>
  </si>
  <si>
    <t>BERLING</t>
  </si>
  <si>
    <t>GARY</t>
  </si>
  <si>
    <t>DELGADO</t>
  </si>
  <si>
    <t>DIANAH</t>
  </si>
  <si>
    <t>HOLCOMB</t>
  </si>
  <si>
    <t>KAMDEN</t>
  </si>
  <si>
    <t>MCREYNOLDS</t>
  </si>
  <si>
    <t>KYLE</t>
  </si>
  <si>
    <t>311-04</t>
  </si>
  <si>
    <t>50-05</t>
  </si>
  <si>
    <t>300-05</t>
  </si>
  <si>
    <t>clear-day</t>
  </si>
  <si>
    <t>204:426</t>
  </si>
  <si>
    <t>204:233306</t>
  </si>
  <si>
    <t>204:233280</t>
  </si>
  <si>
    <t>204:232975</t>
  </si>
  <si>
    <t>204:462</t>
  </si>
  <si>
    <t>204:233284</t>
  </si>
  <si>
    <t>204:233314</t>
  </si>
  <si>
    <t>204:233305</t>
  </si>
  <si>
    <t>204:233349</t>
  </si>
  <si>
    <t>204:232988</t>
  </si>
  <si>
    <t>204:138</t>
  </si>
  <si>
    <t>204:233011</t>
  </si>
  <si>
    <t>204:233328</t>
  </si>
  <si>
    <t>204:233005</t>
  </si>
  <si>
    <t>300:23310</t>
  </si>
  <si>
    <t>204:691</t>
  </si>
  <si>
    <t>%REDMINEAPIKEY%</t>
  </si>
  <si>
    <t>rtdc.l.rtdc.4041:itc</t>
  </si>
  <si>
    <t>rtdc.l.rtdc.4001:itc</t>
  </si>
  <si>
    <t>rtdc.l.rtdc.4012:itc</t>
  </si>
  <si>
    <t>rtdc.l.rtdc.4043:itc</t>
  </si>
  <si>
    <t>rtdc.l.rtdc.4016:itc</t>
  </si>
  <si>
    <t>rtdc.l.rtdc.4015:itc</t>
  </si>
  <si>
    <t>225-05</t>
  </si>
  <si>
    <t>849-05</t>
  </si>
  <si>
    <t>rtdc.l.rtdc.4044:itc</t>
  </si>
  <si>
    <t>MAELZER</t>
  </si>
  <si>
    <t>KURT</t>
  </si>
  <si>
    <t>WILLIAMS</t>
  </si>
  <si>
    <t>DONTE</t>
  </si>
  <si>
    <t>BADERTSCHER</t>
  </si>
  <si>
    <t>DIANE</t>
  </si>
  <si>
    <t>STEWART</t>
  </si>
  <si>
    <t>76-05</t>
  </si>
  <si>
    <t>WEST</t>
  </si>
  <si>
    <t>BRYAN</t>
  </si>
  <si>
    <t>222-05</t>
  </si>
  <si>
    <t>843-05</t>
  </si>
  <si>
    <t>227-05</t>
  </si>
  <si>
    <t>224-05</t>
  </si>
  <si>
    <t>842-05</t>
  </si>
  <si>
    <t>226-05</t>
  </si>
  <si>
    <t>229-05</t>
  </si>
  <si>
    <t>845-05</t>
  </si>
  <si>
    <t>231-05</t>
  </si>
  <si>
    <t>228-05</t>
  </si>
  <si>
    <t>844-05</t>
  </si>
  <si>
    <t>233-05</t>
  </si>
  <si>
    <t>230-05</t>
  </si>
  <si>
    <t>847-05</t>
  </si>
  <si>
    <t>235-05</t>
  </si>
  <si>
    <t>232-05</t>
  </si>
  <si>
    <t>846-05</t>
  </si>
  <si>
    <t>234-05</t>
  </si>
  <si>
    <t>237-05</t>
  </si>
  <si>
    <t>239-05</t>
  </si>
  <si>
    <t>236-05</t>
  </si>
  <si>
    <t>908-05</t>
  </si>
  <si>
    <t>241-05</t>
  </si>
  <si>
    <t>238-05</t>
  </si>
  <si>
    <t>243-05</t>
  </si>
  <si>
    <t>240-05</t>
  </si>
  <si>
    <t>313-05</t>
  </si>
  <si>
    <t>242-05</t>
  </si>
  <si>
    <t>307-05</t>
  </si>
  <si>
    <t>244-05</t>
  </si>
  <si>
    <t>309-05</t>
  </si>
  <si>
    <t>311-05</t>
  </si>
  <si>
    <t>300-06</t>
  </si>
  <si>
    <t>fog</t>
  </si>
  <si>
    <t>Foggy</t>
  </si>
  <si>
    <t>cloudy</t>
  </si>
  <si>
    <t>Overcast</t>
  </si>
  <si>
    <t>204:232991</t>
  </si>
  <si>
    <t>204:233295</t>
  </si>
  <si>
    <t>204:440</t>
  </si>
  <si>
    <t>204:136</t>
  </si>
  <si>
    <t>204:233321</t>
  </si>
  <si>
    <t>204:233309</t>
  </si>
  <si>
    <t>204:233301</t>
  </si>
  <si>
    <t>204:232977</t>
  </si>
  <si>
    <t>204:129</t>
  </si>
  <si>
    <t>204:232976</t>
  </si>
  <si>
    <t>204:480</t>
  </si>
  <si>
    <t>204:233013</t>
  </si>
  <si>
    <t>204:233338</t>
  </si>
  <si>
    <t>204:233023</t>
  </si>
  <si>
    <t>204:132</t>
  </si>
  <si>
    <t>300:23306</t>
  </si>
  <si>
    <t>300:24216</t>
  </si>
  <si>
    <t>204:464</t>
  </si>
  <si>
    <t>204:1148</t>
  </si>
  <si>
    <t>300:58982</t>
  </si>
  <si>
    <t>300:58683</t>
  </si>
  <si>
    <t>204:696</t>
  </si>
  <si>
    <t>204:971</t>
  </si>
  <si>
    <t>300:58924</t>
  </si>
  <si>
    <t>300:58608</t>
  </si>
  <si>
    <t>300:58997</t>
  </si>
  <si>
    <t>300:58676</t>
  </si>
  <si>
    <t>300:58994</t>
  </si>
  <si>
    <t>300:58927</t>
  </si>
  <si>
    <t>204:981</t>
  </si>
  <si>
    <t>Went active too close to signal</t>
  </si>
  <si>
    <t>rtdc.l.rtdc.4059:itc</t>
  </si>
  <si>
    <t>300-08</t>
  </si>
  <si>
    <t>306-08</t>
  </si>
  <si>
    <t>102-08</t>
  </si>
  <si>
    <t>rtdc.l.rtdc.4005:itc</t>
  </si>
  <si>
    <t>312-08</t>
  </si>
  <si>
    <t>SWITCH ALIGNMENT</t>
  </si>
  <si>
    <t>112-08</t>
  </si>
  <si>
    <t>rtdc.l.rtdc.4032:itc</t>
  </si>
  <si>
    <t>127-08</t>
  </si>
  <si>
    <t>1804-08</t>
  </si>
  <si>
    <t>126-08</t>
  </si>
  <si>
    <t>rtdc.l.rtdc.4035:itc</t>
  </si>
  <si>
    <t>140-08</t>
  </si>
  <si>
    <t>1810-08</t>
  </si>
  <si>
    <t>rtdc.l.rtdc.4049:itc</t>
  </si>
  <si>
    <t>148-08</t>
  </si>
  <si>
    <t>rtdc.l.rtdc.4036:itc</t>
  </si>
  <si>
    <t>167-08</t>
  </si>
  <si>
    <t>1818-08</t>
  </si>
  <si>
    <t>1820-08</t>
  </si>
  <si>
    <t>1821-08</t>
  </si>
  <si>
    <t>198-08</t>
  </si>
  <si>
    <t>rtdc.l.rtdc.4050:itc</t>
  </si>
  <si>
    <t>203-08</t>
  </si>
  <si>
    <t>1823-08</t>
  </si>
  <si>
    <t>1824-08</t>
  </si>
  <si>
    <t>217-08</t>
  </si>
  <si>
    <t>1828-08</t>
  </si>
  <si>
    <t>1829-08</t>
  </si>
  <si>
    <t>1832-08</t>
  </si>
  <si>
    <t>236-08</t>
  </si>
  <si>
    <t>237-08</t>
  </si>
  <si>
    <t>242-08</t>
  </si>
  <si>
    <t>rtdc.l.rtdc.4024:itc</t>
  </si>
  <si>
    <t>245-07</t>
  </si>
  <si>
    <t>BARRON</t>
  </si>
  <si>
    <t>PERLA</t>
  </si>
  <si>
    <t>rtdc.l.rtdc.4052:itc</t>
  </si>
  <si>
    <t>243-07</t>
  </si>
  <si>
    <t>307-07</t>
  </si>
  <si>
    <t>rtdc.l.rtdc.4051:itc</t>
  </si>
  <si>
    <t>244-07</t>
  </si>
  <si>
    <t>309-07</t>
  </si>
  <si>
    <t>ELBAUM</t>
  </si>
  <si>
    <t>MIKE</t>
  </si>
  <si>
    <t>rtdc.l.rtdc.4023:itc</t>
  </si>
  <si>
    <t>246-07</t>
  </si>
  <si>
    <t>313-07</t>
  </si>
  <si>
    <t>THOMPSON</t>
  </si>
  <si>
    <t>LESTER</t>
  </si>
  <si>
    <t>302-08</t>
  </si>
  <si>
    <t>rtdc.l.rtdc.4060:itc</t>
  </si>
  <si>
    <t>51-08</t>
  </si>
  <si>
    <t>101-08</t>
  </si>
  <si>
    <t>52-08</t>
  </si>
  <si>
    <t>103-08</t>
  </si>
  <si>
    <t>304-08</t>
  </si>
  <si>
    <t>LANGERAK</t>
  </si>
  <si>
    <t>WILLIAM</t>
  </si>
  <si>
    <t>LALONDE</t>
  </si>
  <si>
    <t>GREGORY</t>
  </si>
  <si>
    <t>105-08</t>
  </si>
  <si>
    <t>308-08</t>
  </si>
  <si>
    <t>107-08</t>
  </si>
  <si>
    <t>104-08</t>
  </si>
  <si>
    <t>109-08</t>
  </si>
  <si>
    <t>rtdc.l.rtdc.4031:itc</t>
  </si>
  <si>
    <t>310-08</t>
  </si>
  <si>
    <t>106-08</t>
  </si>
  <si>
    <t>108-08</t>
  </si>
  <si>
    <t>113-08</t>
  </si>
  <si>
    <t>1901-08</t>
  </si>
  <si>
    <t>MACDONALD</t>
  </si>
  <si>
    <t>THOMAS</t>
  </si>
  <si>
    <t>LAMAR</t>
  </si>
  <si>
    <t>NEKESHA</t>
  </si>
  <si>
    <t>115-08</t>
  </si>
  <si>
    <t>110-08</t>
  </si>
  <si>
    <t>1800-08</t>
  </si>
  <si>
    <t>111-08</t>
  </si>
  <si>
    <t>rtdc.l.rtdc.4006:itc</t>
  </si>
  <si>
    <t>117-08</t>
  </si>
  <si>
    <t>119-08</t>
  </si>
  <si>
    <t>114-08</t>
  </si>
  <si>
    <t>1801-08</t>
  </si>
  <si>
    <t>121-08</t>
  </si>
  <si>
    <t>116-08</t>
  </si>
  <si>
    <t>123-08</t>
  </si>
  <si>
    <t>1802-08</t>
  </si>
  <si>
    <t>120-08</t>
  </si>
  <si>
    <t>118-08</t>
  </si>
  <si>
    <t>125-08</t>
  </si>
  <si>
    <t>122-08</t>
  </si>
  <si>
    <t>1803-08</t>
  </si>
  <si>
    <t>129-08</t>
  </si>
  <si>
    <t>124-08</t>
  </si>
  <si>
    <t>131-08</t>
  </si>
  <si>
    <t>133-08</t>
  </si>
  <si>
    <t>61-08</t>
  </si>
  <si>
    <t>128-08</t>
  </si>
  <si>
    <t>135-08</t>
  </si>
  <si>
    <t>137-08</t>
  </si>
  <si>
    <t>1805-08</t>
  </si>
  <si>
    <t>130-08</t>
  </si>
  <si>
    <t>63-08</t>
  </si>
  <si>
    <t>LOPES</t>
  </si>
  <si>
    <t>KIMBERLY</t>
  </si>
  <si>
    <t>139-08</t>
  </si>
  <si>
    <t>1806-08</t>
  </si>
  <si>
    <t>132-08</t>
  </si>
  <si>
    <t>134-08</t>
  </si>
  <si>
    <t>136-08</t>
  </si>
  <si>
    <t>141-08</t>
  </si>
  <si>
    <t>143-08</t>
  </si>
  <si>
    <t>138-08</t>
  </si>
  <si>
    <t>1807-08</t>
  </si>
  <si>
    <t>145-08</t>
  </si>
  <si>
    <t>147-08</t>
  </si>
  <si>
    <t>1808-08</t>
  </si>
  <si>
    <t>142-08</t>
  </si>
  <si>
    <t>149-08</t>
  </si>
  <si>
    <t>151-08</t>
  </si>
  <si>
    <t>144-08</t>
  </si>
  <si>
    <t>146-08</t>
  </si>
  <si>
    <t>1809-08</t>
  </si>
  <si>
    <t>153-08</t>
  </si>
  <si>
    <t>150-08</t>
  </si>
  <si>
    <t>155-08</t>
  </si>
  <si>
    <t>152-08</t>
  </si>
  <si>
    <t>157-08</t>
  </si>
  <si>
    <t>GONZALEZ</t>
  </si>
  <si>
    <t>ARMANDO</t>
  </si>
  <si>
    <t>159-08</t>
  </si>
  <si>
    <t>154-08</t>
  </si>
  <si>
    <t>1811-08</t>
  </si>
  <si>
    <t>161-08</t>
  </si>
  <si>
    <t>156-08</t>
  </si>
  <si>
    <t>163-08</t>
  </si>
  <si>
    <t>1812-08</t>
  </si>
  <si>
    <t>158-08</t>
  </si>
  <si>
    <t>ROMERO</t>
  </si>
  <si>
    <t>CHAD</t>
  </si>
  <si>
    <t>165-08</t>
  </si>
  <si>
    <t>GUZMAN</t>
  </si>
  <si>
    <t>DANNY</t>
  </si>
  <si>
    <t>160-08</t>
  </si>
  <si>
    <t>1813-08</t>
  </si>
  <si>
    <t>162-08</t>
  </si>
  <si>
    <t>169-08</t>
  </si>
  <si>
    <t>164-08</t>
  </si>
  <si>
    <t>1814-08</t>
  </si>
  <si>
    <t>171-08</t>
  </si>
  <si>
    <t>166-08</t>
  </si>
  <si>
    <t>173-08</t>
  </si>
  <si>
    <t>SMITH</t>
  </si>
  <si>
    <t>168-08</t>
  </si>
  <si>
    <t>175-08</t>
  </si>
  <si>
    <t>170-08</t>
  </si>
  <si>
    <t>1815-08</t>
  </si>
  <si>
    <t>177-08</t>
  </si>
  <si>
    <t>SAFIEF</t>
  </si>
  <si>
    <t>AEIMEN</t>
  </si>
  <si>
    <t>172-08</t>
  </si>
  <si>
    <t>179-08</t>
  </si>
  <si>
    <t>1816-08</t>
  </si>
  <si>
    <t>174-08</t>
  </si>
  <si>
    <t>181-08</t>
  </si>
  <si>
    <t>178-08</t>
  </si>
  <si>
    <t>183-08</t>
  </si>
  <si>
    <t>176-08</t>
  </si>
  <si>
    <t>1817-08</t>
  </si>
  <si>
    <t>180-08</t>
  </si>
  <si>
    <t>185-08</t>
  </si>
  <si>
    <t>187-08</t>
  </si>
  <si>
    <t>182-08</t>
  </si>
  <si>
    <t>189-08</t>
  </si>
  <si>
    <t>184-08</t>
  </si>
  <si>
    <t>191-08</t>
  </si>
  <si>
    <t>1819-08</t>
  </si>
  <si>
    <t>186-08</t>
  </si>
  <si>
    <t>193-08</t>
  </si>
  <si>
    <t>188-08</t>
  </si>
  <si>
    <t>195-08</t>
  </si>
  <si>
    <t>197-08</t>
  </si>
  <si>
    <t>190-08</t>
  </si>
  <si>
    <t>192-08</t>
  </si>
  <si>
    <t>199-08</t>
  </si>
  <si>
    <t>194-08</t>
  </si>
  <si>
    <t>201-08</t>
  </si>
  <si>
    <t>196-08</t>
  </si>
  <si>
    <t>1822-08</t>
  </si>
  <si>
    <t>75-08</t>
  </si>
  <si>
    <t>205-08</t>
  </si>
  <si>
    <t>200-08</t>
  </si>
  <si>
    <t>207-08</t>
  </si>
  <si>
    <t>202-08</t>
  </si>
  <si>
    <t>209-08</t>
  </si>
  <si>
    <t>STAMBAUGH</t>
  </si>
  <si>
    <t>77-08</t>
  </si>
  <si>
    <t>206-08</t>
  </si>
  <si>
    <t>204-08</t>
  </si>
  <si>
    <t>211-08</t>
  </si>
  <si>
    <t>208-08</t>
  </si>
  <si>
    <t>213-08</t>
  </si>
  <si>
    <t>215-08</t>
  </si>
  <si>
    <t>KILLION</t>
  </si>
  <si>
    <t>74-08</t>
  </si>
  <si>
    <t>CASSIDY</t>
  </si>
  <si>
    <t>BRANDON</t>
  </si>
  <si>
    <t>1825-08</t>
  </si>
  <si>
    <t>210-08</t>
  </si>
  <si>
    <t>212-08</t>
  </si>
  <si>
    <t>219-08</t>
  </si>
  <si>
    <t>1826-08</t>
  </si>
  <si>
    <t>301-08</t>
  </si>
  <si>
    <t>214-08</t>
  </si>
  <si>
    <t>216-08</t>
  </si>
  <si>
    <t>221-08</t>
  </si>
  <si>
    <t>218-08</t>
  </si>
  <si>
    <t>1827-08</t>
  </si>
  <si>
    <t>303-08</t>
  </si>
  <si>
    <t>220-08</t>
  </si>
  <si>
    <t>223-08</t>
  </si>
  <si>
    <t>305-08</t>
  </si>
  <si>
    <t>222-08</t>
  </si>
  <si>
    <t>225-08</t>
  </si>
  <si>
    <t>79-08</t>
  </si>
  <si>
    <t>GUNTHIER</t>
  </si>
  <si>
    <t>ERIC</t>
  </si>
  <si>
    <t>227-08</t>
  </si>
  <si>
    <t>224-08</t>
  </si>
  <si>
    <t>1830-08</t>
  </si>
  <si>
    <t>229-08</t>
  </si>
  <si>
    <t>226-08</t>
  </si>
  <si>
    <t>1831-08</t>
  </si>
  <si>
    <t>228-08</t>
  </si>
  <si>
    <t>231-08</t>
  </si>
  <si>
    <t>233-08</t>
  </si>
  <si>
    <t>230-08</t>
  </si>
  <si>
    <t>1833-08</t>
  </si>
  <si>
    <t>235-08</t>
  </si>
  <si>
    <t>1834-08</t>
  </si>
  <si>
    <t>232-08</t>
  </si>
  <si>
    <t>234-08</t>
  </si>
  <si>
    <t>1835-08</t>
  </si>
  <si>
    <t>ANDERS</t>
  </si>
  <si>
    <t>STEVEN</t>
  </si>
  <si>
    <t>239-08</t>
  </si>
  <si>
    <t>1902-08</t>
  </si>
  <si>
    <t>238-08</t>
  </si>
  <si>
    <t>241-08</t>
  </si>
  <si>
    <t>243-08</t>
  </si>
  <si>
    <t>240-08</t>
  </si>
  <si>
    <t>313-08</t>
  </si>
  <si>
    <t>307-08</t>
  </si>
  <si>
    <t>244-08</t>
  </si>
  <si>
    <t>309-08</t>
  </si>
  <si>
    <t>311-08</t>
  </si>
  <si>
    <t>rtdc.l.rtdc.4013:itc</t>
  </si>
  <si>
    <t>52-09</t>
  </si>
  <si>
    <t>precipAccumulation</t>
  </si>
  <si>
    <t>snow</t>
  </si>
  <si>
    <t>Light Snow</t>
  </si>
  <si>
    <t>204:834</t>
  </si>
  <si>
    <t>204:233030</t>
  </si>
  <si>
    <t>204:232967</t>
  </si>
  <si>
    <t>204:233017</t>
  </si>
  <si>
    <t>204:233240</t>
  </si>
  <si>
    <t>204:233246</t>
  </si>
  <si>
    <t>204:232955</t>
  </si>
  <si>
    <t>204:233261</t>
  </si>
  <si>
    <t>204:232938</t>
  </si>
  <si>
    <t>204:233351</t>
  </si>
  <si>
    <t>204:233027</t>
  </si>
  <si>
    <t>204:482</t>
  </si>
  <si>
    <t>204:478</t>
  </si>
  <si>
    <t>204:174</t>
  </si>
  <si>
    <t>204:233336</t>
  </si>
  <si>
    <t>204:233015</t>
  </si>
  <si>
    <t>204:187</t>
  </si>
  <si>
    <t>204:190481</t>
  </si>
  <si>
    <t>204:1230</t>
  </si>
  <si>
    <t>204:232964</t>
  </si>
  <si>
    <t>204:471</t>
  </si>
  <si>
    <t>204:233259</t>
  </si>
  <si>
    <t>204:232942</t>
  </si>
  <si>
    <t>204:233036</t>
  </si>
  <si>
    <t>204:233359</t>
  </si>
  <si>
    <t>204:484</t>
  </si>
  <si>
    <t>204:232957</t>
  </si>
  <si>
    <t>204:233285</t>
  </si>
  <si>
    <t>204:233323</t>
  </si>
  <si>
    <t>204:16503</t>
  </si>
  <si>
    <t>204:233324</t>
  </si>
  <si>
    <t>204:232948</t>
  </si>
  <si>
    <t>204:232990</t>
  </si>
  <si>
    <t>204:233385</t>
  </si>
  <si>
    <t>204:233032</t>
  </si>
  <si>
    <t>204:233234</t>
  </si>
  <si>
    <t>204:232950</t>
  </si>
  <si>
    <t>204:431</t>
  </si>
  <si>
    <t>204:233298</t>
  </si>
  <si>
    <t>204:121</t>
  </si>
  <si>
    <t>204:36797</t>
  </si>
  <si>
    <t>204:130</t>
  </si>
  <si>
    <t>300:58611</t>
  </si>
  <si>
    <t>300:58914</t>
  </si>
  <si>
    <t>300:58600</t>
  </si>
  <si>
    <t>204:715</t>
  </si>
  <si>
    <t>204:985</t>
  </si>
  <si>
    <t>300:58901</t>
  </si>
  <si>
    <t>300:58594</t>
  </si>
  <si>
    <t>300:58604</t>
  </si>
  <si>
    <t>204:659</t>
  </si>
  <si>
    <t>204:955</t>
  </si>
  <si>
    <t>300:58912</t>
  </si>
  <si>
    <t>204:1226</t>
  </si>
  <si>
    <t>204:233307</t>
  </si>
  <si>
    <t>204:769</t>
  </si>
  <si>
    <t>204:1058</t>
  </si>
  <si>
    <t>300:58907</t>
  </si>
  <si>
    <t>204:673</t>
  </si>
  <si>
    <t>204:953</t>
  </si>
  <si>
    <t>300:58589</t>
  </si>
  <si>
    <t>204:699</t>
  </si>
  <si>
    <t>300:58918</t>
  </si>
  <si>
    <t>300:58585</t>
  </si>
  <si>
    <t>204:733</t>
  </si>
  <si>
    <t>204:992</t>
  </si>
  <si>
    <t>300:58992</t>
  </si>
  <si>
    <t>300:57242</t>
  </si>
  <si>
    <t>204:4567</t>
  </si>
  <si>
    <t>300:57238</t>
  </si>
  <si>
    <t>204:4571</t>
  </si>
  <si>
    <t>204:4591</t>
  </si>
  <si>
    <t>300:58996</t>
  </si>
  <si>
    <t>204:1525</t>
  </si>
  <si>
    <t>204:1943</t>
  </si>
  <si>
    <t>204:1941</t>
  </si>
  <si>
    <t>300:58993</t>
  </si>
  <si>
    <t>300:59005</t>
  </si>
  <si>
    <t>300:58687</t>
  </si>
  <si>
    <t>300:58035</t>
  </si>
  <si>
    <t>204:993</t>
  </si>
  <si>
    <t>204:680</t>
  </si>
  <si>
    <t>204:488</t>
  </si>
  <si>
    <t>300:29957</t>
  </si>
  <si>
    <t>300:58658</t>
  </si>
  <si>
    <t>300:28784</t>
  </si>
  <si>
    <t>204:233010</t>
  </si>
  <si>
    <t>204:232998</t>
  </si>
  <si>
    <t>204:420</t>
  </si>
  <si>
    <t>204:233317</t>
  </si>
  <si>
    <t>204:127</t>
  </si>
  <si>
    <t>204:233316</t>
  </si>
  <si>
    <t>204:232996</t>
  </si>
  <si>
    <t>204:233329</t>
  </si>
  <si>
    <t>204:109</t>
  </si>
  <si>
    <t>204:233322</t>
  </si>
  <si>
    <t>204:233003</t>
  </si>
  <si>
    <t>204:233028</t>
  </si>
  <si>
    <t>204:418</t>
  </si>
  <si>
    <t>204:233438</t>
  </si>
  <si>
    <t>204:233161</t>
  </si>
  <si>
    <t>204:233315</t>
  </si>
  <si>
    <t>204:233340</t>
  </si>
  <si>
    <t>204:233442</t>
  </si>
  <si>
    <t>204:233145</t>
  </si>
  <si>
    <t>204:112</t>
  </si>
  <si>
    <t>204:125</t>
  </si>
  <si>
    <t>204:233320</t>
  </si>
  <si>
    <t>204:427</t>
  </si>
  <si>
    <t>204:233439</t>
  </si>
  <si>
    <t>204:233113</t>
  </si>
  <si>
    <t>204:233360</t>
  </si>
  <si>
    <t>204:233044</t>
  </si>
  <si>
    <t>204:170</t>
  </si>
  <si>
    <t>204:233402</t>
  </si>
  <si>
    <t>204:233068</t>
  </si>
  <si>
    <t>300:23421</t>
  </si>
  <si>
    <t>300:20206</t>
  </si>
  <si>
    <t>300:23302</t>
  </si>
  <si>
    <t>300:22299</t>
  </si>
  <si>
    <t>300:23593</t>
  </si>
  <si>
    <t>204:4602</t>
  </si>
  <si>
    <t>300:23312</t>
  </si>
  <si>
    <t>300:23631</t>
  </si>
  <si>
    <t>300:23646</t>
  </si>
  <si>
    <t>300:22792</t>
  </si>
  <si>
    <t>300:19403</t>
  </si>
  <si>
    <t>300:19401</t>
  </si>
  <si>
    <t>204:4533</t>
  </si>
  <si>
    <t>204:429</t>
  </si>
  <si>
    <t>204:3332</t>
  </si>
  <si>
    <t>204:1285</t>
  </si>
  <si>
    <t>204:3001</t>
  </si>
  <si>
    <t>204:1156</t>
  </si>
  <si>
    <t>300:23521</t>
  </si>
  <si>
    <t>300:23180</t>
  </si>
  <si>
    <t>204:1173</t>
  </si>
  <si>
    <t>204:1483</t>
  </si>
  <si>
    <t>204:3342</t>
  </si>
  <si>
    <t>204:2999</t>
  </si>
  <si>
    <t>204:1147</t>
  </si>
  <si>
    <t>300:23851</t>
  </si>
  <si>
    <t>204:2102</t>
  </si>
  <si>
    <t>204:1475</t>
  </si>
  <si>
    <t>300:23618</t>
  </si>
  <si>
    <t>204:2595</t>
  </si>
  <si>
    <t>204:1160</t>
  </si>
  <si>
    <t>300:23308</t>
  </si>
  <si>
    <t>300:24193</t>
  </si>
  <si>
    <t>start /low /b %USERPROFILE%\Documents\GitHub\eaglep3\Utilities\DownloadLogsFromS3.py --loco 4050 --day 2017-10-08</t>
  </si>
  <si>
    <t>start /low /b %USERPROFILE%\Documents\GitHub\eaglep3\Utilities\DownloadLogsFromS3.py --loco 4016 --day 2017-10-08</t>
  </si>
  <si>
    <t>start /low /b %USERPROFILE%\Documents\GitHub\eaglep3\Utilities\DownloadLogsFromS3.py --loco 4032 --day 2017-10-08</t>
  </si>
  <si>
    <t>start /low /b %USERPROFILE%\Documents\GitHub\eaglep3\Utilities\DownloadLogsFromS3.py --loco 4049 --day 2017-10-08</t>
  </si>
  <si>
    <t>start /low /b %USERPROFILE%\Documents\GitHub\eaglep3\Utilities\DownloadLogsFromS3.py --loco 4065 --day 2017-10-08</t>
  </si>
  <si>
    <t>start /low /b %USERPROFILE%\Documents\GitHub\eaglep3\Utilities\DownloadLogsFromS3.py --loco 4063 --day 2017-10-08</t>
  </si>
  <si>
    <t>start /low /b %USERPROFILE%\Documents\GitHub\eaglep3\Utilities\DownloadLogsFromS3.py --loco 4015 --day 2017-10-08</t>
  </si>
  <si>
    <t>start /low /b %USERPROFILE%\Documents\GitHub\eaglep3\Utilities\DownloadLogsFromS3.py --loco 4049 --day 2017-10-09</t>
  </si>
  <si>
    <t>start /low /b %USERPROFILE%\Documents\GitHub\eaglep3\Utilities\DownloadLogsFromS3.py --loco 4036 --day 2017-10-08</t>
  </si>
  <si>
    <t>start /low /b %USERPROFILE%\Documents\GitHub\eaglep3\Utilities\DownloadLogsFromS3.py --loco 4035 --day 2017-10-08</t>
  </si>
  <si>
    <t>start /low /b %USERPROFILE%\Documents\GitHub\eaglep3\Utilities\DownloadLogsFromS3.py --loco 4065 --day 2017-10-09</t>
  </si>
  <si>
    <t>start /low /b %USERPROFILE%\Documents\GitHub\eaglep3\Utilities\DownloadLogsFromS3.py --loco 4050 --day 2017-10-09</t>
  </si>
  <si>
    <t>start /low /b %USERPROFILE%\Documents\GitHub\eaglep3\Utilities\DownloadLogsFromS3.py --loco 4036 --day 2017-10-09</t>
  </si>
  <si>
    <t>start /low /b %USERPROFILE%\Documents\GitHub\eaglep3\Utilities\DownloadLogsFromS3.py --loco 4015 --day 2017-10-09</t>
  </si>
  <si>
    <t>start /low /b %USERPROFILE%\Documents\GitHub\eaglep3\Utilities\DownloadLogsFromS3.py --loco 4064 --day 2017-10-08</t>
  </si>
  <si>
    <t>start /low /b %USERPROFILE%\Documents\GitHub\eaglep3\Utilities\DownloadLogsFromS3.py --loco 4016 --day 2017-10-09</t>
  </si>
  <si>
    <t>Poor GPS signal at DIA</t>
  </si>
  <si>
    <t>Wi-MAX data drops (several)</t>
  </si>
  <si>
    <t>Delay - Cascade from 127</t>
  </si>
  <si>
    <t>Minor onboard in-route failure caused signal unknown banner</t>
  </si>
  <si>
    <t>Poor GPS under Wawetta St overpass</t>
  </si>
  <si>
    <t>Wi-MAX data drop (trip 127)</t>
  </si>
  <si>
    <t>Selected wrong track</t>
  </si>
  <si>
    <t>Consist spam, power cycle fixed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</si>
</sst>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1" fillId="0" borderId="0" xfId="0" applyNumberFormat="1" applyFont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64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COUNTIFS($N$13:$N$9407,"&gt;0",$AG$13:$AG$9407,I1)</f>
        <v>140</v>
      </c>
      <c r="K5" s="39"/>
      <c r="L5" s="172"/>
      <c r="M5" s="40">
        <f>AVERAGEIFS($N$13:$N$9407,$AG$13:$AG$9407,I1)</f>
        <v>37.680238094588276</v>
      </c>
      <c r="N5" s="38">
        <f t="array" ref="N5">MIN(IF($AG$13:$AG$9407=I1,IF(ISNUMBER($N$13:$N$9407),IF($N$13:$N$9407&gt;0,$N$13:$N$9407))))</f>
        <v>34.066666667349637</v>
      </c>
      <c r="O5" s="3">
        <f t="array" ref="O5">MAX(IF($AG$13:$AG$9407=I1,IF(ISNUMBER($N$13:$N$9407),IF($N$13:$N$9407&gt;0,$N$13:$N$9407))))</f>
        <v>52.116666664369404</v>
      </c>
      <c r="P5" s="2"/>
      <c r="R5" s="163" t="s">
        <v>17</v>
      </c>
      <c r="S5" s="207">
        <f>COUNTIFS($N$13:$N$9407,"&gt;0",$AG$13:$AG$9407,R1)</f>
        <v>36</v>
      </c>
      <c r="T5" s="172"/>
      <c r="U5" s="195"/>
      <c r="V5" s="211">
        <f>AVERAGEIFS($N$13:$N$9407,$AG$13:$AG$9407,R1)</f>
        <v>13.83287037111586</v>
      </c>
      <c r="W5" s="212">
        <f t="array" ref="W5">MIN(IF($AG$13:$AG$9407=R1,IF(ISNUMBER($N$13:$N$9407),IF($N$13:$N$9407&gt;0,$N$13:$N$9407))))</f>
        <v>12.20000000204891</v>
      </c>
      <c r="X5" s="200">
        <f t="array" ref="X5">MAX(IF($AG$13:$AG$9407=R1,IF(ISNUMBER($N$13:$N$9407),IF($N$13:$N$9407&gt;0,$N$13:$N$9407))))</f>
        <v>24.933333336375654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COUNT($O$13:$O$172)</f>
        <v>0</v>
      </c>
      <c r="K6" s="39"/>
      <c r="L6" s="172"/>
      <c r="M6" s="40">
        <f>IFERROR(AVERAGE($O$13:$O$172),0)</f>
        <v>0</v>
      </c>
      <c r="N6" s="38">
        <f>MIN($O$13:$O$172)</f>
        <v>0</v>
      </c>
      <c r="O6" s="3">
        <f>MAX($O$13:$O$172)</f>
        <v>0</v>
      </c>
      <c r="P6" s="2"/>
      <c r="R6" s="164" t="s">
        <v>43</v>
      </c>
      <c r="S6" s="207">
        <f>COUNT($O$13:$O$172)</f>
        <v>0</v>
      </c>
      <c r="T6" s="172"/>
      <c r="U6" s="195"/>
      <c r="V6" s="211">
        <f>IFERROR(AVERAGE($O$13:$O$172),0)</f>
        <v>0</v>
      </c>
      <c r="W6" s="212">
        <f>MIN($O$13:$O$172)</f>
        <v>0</v>
      </c>
      <c r="X6" s="200">
        <f>MAX($O$13:$O$172)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COUNTIFS($P$13:$P$9407,"&gt;0",$AG$13:$AG$9407,I1)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COUNTIFS($P$13:$P$9407,"&gt;0",$AG$13:$AG$9407,R1)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37.680238094588276</v>
      </c>
      <c r="N8" s="38">
        <f>N5</f>
        <v>34.066666667349637</v>
      </c>
      <c r="O8" s="3">
        <f>O5</f>
        <v>52.116666664369404</v>
      </c>
      <c r="P8" s="2"/>
      <c r="R8" s="163" t="s">
        <v>16</v>
      </c>
      <c r="S8" s="207">
        <f>S5</f>
        <v>36</v>
      </c>
      <c r="T8" s="172"/>
      <c r="U8" s="195"/>
      <c r="V8" s="211">
        <f>V5</f>
        <v>13.83287037111586</v>
      </c>
      <c r="W8" s="212">
        <f>W5</f>
        <v>12.20000000204891</v>
      </c>
      <c r="X8" s="200">
        <f>X5</f>
        <v>24.933333336375654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- 2017-10-08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AVERAGE(S13:S112)</f>
        <v>0.99484536082474229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637</v>
      </c>
      <c r="B13" s="7">
        <v>4016</v>
      </c>
      <c r="C13" s="21" t="s">
        <v>194</v>
      </c>
      <c r="D13" s="21" t="s">
        <v>847</v>
      </c>
      <c r="E13" s="13">
        <v>43016.133715277778</v>
      </c>
      <c r="F13" s="13">
        <v>43016.135821759257</v>
      </c>
      <c r="G13" s="7">
        <v>80</v>
      </c>
      <c r="H13" s="21" t="s">
        <v>553</v>
      </c>
      <c r="I13" s="13">
        <v>43016.160428240742</v>
      </c>
      <c r="J13" s="7">
        <v>0</v>
      </c>
      <c r="K13" s="89" t="str">
        <f t="shared" ref="K13:K44" si="0">IF(ISEVEN(B13),(B13-1)&amp;"/"&amp;B13,B13&amp;"/"&amp;(B13+1))</f>
        <v>4015/4016</v>
      </c>
      <c r="L13" s="185" t="str">
        <f>VLOOKUP(A13,'Trips&amp;Operators'!$C$1:$G$99911,5,FALSE)</f>
        <v>THOMPSON LESTER</v>
      </c>
      <c r="M13" s="6">
        <f t="shared" ref="M13:M44" si="1">I13-F13</f>
        <v>2.4606481485534459E-2</v>
      </c>
      <c r="N13" s="7">
        <f>24*60*SUM($M13:$M13)</f>
        <v>35.433333339169621</v>
      </c>
      <c r="O13" s="7"/>
      <c r="P13" s="7"/>
      <c r="Q13" s="22"/>
      <c r="R13" s="167"/>
      <c r="S13" s="221">
        <f>1/IF(AG13="EC",12,1)*SUM(U13:U13)</f>
        <v>1</v>
      </c>
      <c r="T13" s="174" t="str">
        <f t="shared" ref="T13:T44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-08T02:12:33-0600',mode:absolute,to:'2017-10-08T04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204" t="str">
        <f>IF(AA13&lt;VLOOKUP(AG13,Variables!$AC$3:$AD$8,2,FALSE),"Y","N")</f>
        <v>N</v>
      </c>
      <c r="X13" s="204" t="e">
        <f t="shared" ref="X13:X44" si="4">VALUE(LEFT(AD13,4))-VALUE(LEFT(AD12,4))</f>
        <v>#VALUE!</v>
      </c>
      <c r="Y13" s="204">
        <f t="shared" ref="Y13:Y44" si="5">RIGHT(D13,LEN(D13)-4)/10000</f>
        <v>8.3400000000000002E-2</v>
      </c>
      <c r="Z13" s="204">
        <f t="shared" ref="Z13:Z44" si="6">RIGHT(H13,LEN(H13)-4)/10000</f>
        <v>23.329499999999999</v>
      </c>
      <c r="AA13" s="204">
        <f t="shared" ref="AA13:AA44" si="7">ABS(Z13-Y13)</f>
        <v>23.246099999999998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44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/stypes="app*4016*20171008*" /stext=" 09:.+((SYSTEM_STATE.+slice.+state.+changed )|(ment ac)|(multiple cpu faults)|(system.+state.+changed )|(\[timeout)|(PRM\|1\|D)|(kpr)|(kdp)|(train st.+moving)|(\|lc)|(penalty))"</v>
      </c>
      <c r="AG13" s="182" t="str">
        <f t="shared" ref="AG13:AG44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4016 --swversion DE.1.0.9.0 --startMP 204:834 --initTime 2017-10-08T03:12:33 --startdatetime 2017-10-08T03:15:35 --delay 80 --endMP 204:233295 --enddatetime 2017-10-08T03:51:01 --enforcementcount 0 &gt;&gt;%USERPROFILE%\Documents\GitHub\eaglep3-reporting\EC\2017-10-08-refined-times.txt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{"issue":{"subject":"","project_id":79,"tracker_id":40,"status_id":1,"priority_id":2,"assigned_to_id":338,"start_date":"2017-10-08","description":"","custom_fields":[{"id":1,"name":"Subdivision","value":"EC"},{"id":4,"name":"Milepost","value":"23.3295"},{"id":17,"name":"Train ID","value":"101-08"},{"id":16,"name":"Locomotive ID","value":"4016"},{"id":130,"name":"Impact","value":""},{"id":150,"name":"Time of Event (Mountain Time)","value":"03:51:01"},{"id":151,"name":"Denver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4016 --day 2017-10-08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-08T02:12:33-0600',mode:absolute,to:'2017-10-08T04:51:01-0600'))&amp;_a=(columns:!('Message%20ID',Summary),filters:!(),index:'emp_*',interval:auto,query:(query_string:(analyze_wildcard:!t,query:'%22rtdc.l.rtdc.4016%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586</v>
      </c>
      <c r="B14" s="7">
        <v>4015</v>
      </c>
      <c r="C14" s="21" t="s">
        <v>194</v>
      </c>
      <c r="D14" s="21" t="s">
        <v>450</v>
      </c>
      <c r="E14" s="13">
        <v>43016.172893518517</v>
      </c>
      <c r="F14" s="13">
        <v>43016.175208333334</v>
      </c>
      <c r="G14" s="7">
        <v>75</v>
      </c>
      <c r="H14" s="21" t="s">
        <v>336</v>
      </c>
      <c r="I14" s="13">
        <v>43016.201238425929</v>
      </c>
      <c r="J14" s="7">
        <v>0</v>
      </c>
      <c r="K14" s="89" t="str">
        <f t="shared" si="0"/>
        <v>4015/4016</v>
      </c>
      <c r="L14" s="185" t="str">
        <f>VLOOKUP(A14,'Trips&amp;Operators'!$C$1:$G$99911,5,FALSE)</f>
        <v>THOMPSON LESTER</v>
      </c>
      <c r="M14" s="6">
        <f t="shared" si="1"/>
        <v>2.6030092594737653E-2</v>
      </c>
      <c r="N14" s="7">
        <f>24*60*SUM($M14:$M14)</f>
        <v>37.48333333642222</v>
      </c>
      <c r="O14" s="7"/>
      <c r="P14" s="7"/>
      <c r="Q14" s="22"/>
      <c r="R14" s="174"/>
      <c r="S14" s="221">
        <f>1/IF(AG14="EC",12,1)*SUM(U14:U14)</f>
        <v>1</v>
      </c>
      <c r="T14" s="174" t="str">
        <f t="shared" si="2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-10-08T03:08:58-0600',mode:absolute,to:'2017-10-08T05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204" t="str">
        <f>IF(AA14&lt;VLOOKUP(AG14,Variables!$AC$3:$AD$8,2,FALSE),"Y","N")</f>
        <v>N</v>
      </c>
      <c r="X14" s="204">
        <f t="shared" si="4"/>
        <v>1</v>
      </c>
      <c r="Y14" s="204">
        <f t="shared" si="5"/>
        <v>23.2986</v>
      </c>
      <c r="Z14" s="204">
        <f t="shared" si="6"/>
        <v>1.49E-2</v>
      </c>
      <c r="AA14" s="204">
        <f t="shared" si="7"/>
        <v>23.2837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8"/>
        <v>102</v>
      </c>
      <c r="AE14" s="77" t="str">
        <f t="shared" si="9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4" s="74" t="str">
        <f t="shared" si="10"/>
        <v>"C:\Program Files (x86)\AstroGrep\AstroGrep.exe" /e /r /s /spath="%USERPROFILE%\AppData\Local\Temp\OnboardLogs" /stypes="app*4015*20171008*"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4015 --swversion DE.1.0.9.0 --startMP 204:232986 --initTime 2017-10-08T04:08:58 --startdatetime 2017-10-08T04:12:18 --delay 75 --endMP 204:149 --enddatetime 2017-10-08T04:49:47 --enforcementcount 0 &gt;&gt;%USERPROFILE%\Documents\GitHub\eaglep3-reporting\EC\2017-10-08-refined-times.txt</v>
      </c>
      <c r="AI14" s="96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{"issue":{"subject":"","project_id":79,"tracker_id":40,"status_id":1,"priority_id":2,"assigned_to_id":338,"start_date":"2017-10-08","description":"","custom_fields":[{"id":1,"name":"Subdivision","value":"EC"},{"id":4,"name":"Milepost","value":"0.0149"},{"id":17,"name":"Train ID","value":"102-08"},{"id":16,"name":"Locomotive ID","value":"4015"},{"id":130,"name":"Impact","value":""},{"id":150,"name":"Time of Event (Mountain Time)","value":"04:49:47"},{"id":151,"name":"Denver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19">"start /low /b "&amp;dls3logs&amp;" --loco "&amp;B14&amp;" --day "&amp;TEXT(F14,"YYYY-MM-DD")</f>
        <v>start /low /b %USERPROFILE%\Documents\GitHub\eaglep3\Utilities\DownloadLogsFromS3.py --loco 4015 --day 2017-10-08</v>
      </c>
      <c r="AN14" s="151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-08T03:08:58-0600',mode:absolute,to:'2017-10-08T05:49:47-0600'))&amp;_a=(columns:!('Message%20ID',Summary),filters:!(),index:'emp_*',interval:auto,query:(query_string:(analyze_wildcard:!t,query:'%22rtdc.l.rtdc.4015%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639</v>
      </c>
      <c r="B15" s="7">
        <v>4002</v>
      </c>
      <c r="C15" s="21" t="s">
        <v>194</v>
      </c>
      <c r="D15" s="21" t="s">
        <v>409</v>
      </c>
      <c r="E15" s="13">
        <v>43016.14403935185</v>
      </c>
      <c r="F15" s="13">
        <v>43016.156435185185</v>
      </c>
      <c r="G15" s="7">
        <v>56</v>
      </c>
      <c r="H15" s="21" t="s">
        <v>487</v>
      </c>
      <c r="I15" s="13">
        <v>43016.181087962963</v>
      </c>
      <c r="J15" s="7">
        <v>0</v>
      </c>
      <c r="K15" s="89" t="str">
        <f t="shared" si="0"/>
        <v>4001/4002</v>
      </c>
      <c r="L15" s="185" t="str">
        <f>VLOOKUP(A15,'Trips&amp;Operators'!$C$1:$G$99911,5,FALSE)</f>
        <v>MAELZER KURT</v>
      </c>
      <c r="M15" s="6">
        <f t="shared" si="1"/>
        <v>2.4652777778101154E-2</v>
      </c>
      <c r="N15" s="7">
        <f>24*60*SUM($M15:$M15)</f>
        <v>35.500000000465661</v>
      </c>
      <c r="O15" s="7"/>
      <c r="P15" s="7"/>
      <c r="Q15" s="22"/>
      <c r="R15" s="174"/>
      <c r="S15" s="221">
        <f>1/IF(AG15="EC",12,1)*SUM(U15:U15)</f>
        <v>1</v>
      </c>
      <c r="T15" s="174" t="str">
        <f t="shared" si="2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-10-08T02:27:25-0600',mode:absolute,to:'2017-10-08T05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204" t="str">
        <f>IF(AA15&lt;VLOOKUP(AG15,Variables!$AC$3:$AD$8,2,FALSE),"Y","N")</f>
        <v>N</v>
      </c>
      <c r="X15" s="204">
        <f t="shared" si="4"/>
        <v>1</v>
      </c>
      <c r="Y15" s="204">
        <f t="shared" si="5"/>
        <v>4.4900000000000002E-2</v>
      </c>
      <c r="Z15" s="204">
        <f t="shared" si="6"/>
        <v>23.334900000000001</v>
      </c>
      <c r="AA15" s="204">
        <f t="shared" si="7"/>
        <v>23.290000000000003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8"/>
        <v>103</v>
      </c>
      <c r="AE15" s="77" t="str">
        <f t="shared" si="9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15" s="74" t="str">
        <f t="shared" si="10"/>
        <v>"C:\Program Files (x86)\AstroGrep\AstroGrep.exe" /e /r /s /spath="%USERPROFILE%\AppData\Local\Temp\OnboardLogs" /stypes="app*4002*20171008*" /stext=" 10:.+((SYSTEM_STATE.+slice.+state.+changed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7"/>
        <v>"%USERPROFILE%\Documents\GitHub\eaglep3\Utilities\RefineRTDCRunTimes.py" --tripid 103-08 --locoid 4002 --swversion DE.1.0.9.0 --startMP 204:449 --initTime 2017-10-08T03:27:25 --startdatetime 2017-10-08T03:45:16 --delay 56 --endMP 204:233349 --enddatetime 2017-10-08T04:20:46 --enforcementcount 0 &gt;&gt;%USERPROFILE%\Documents\GitHub\eaglep3-reporting\EC\2017-10-08-refined-times.txt</v>
      </c>
      <c r="AI1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{"issue":{"subject":"","project_id":79,"tracker_id":40,"status_id":1,"priority_id":2,"assigned_to_id":338,"start_date":"2017-10-08","description":"","custom_fields":[{"id":1,"name":"Subdivision","value":"EC"},{"id":4,"name":"Milepost","value":"23.3349"},{"id":17,"name":"Train ID","value":"103-08"},{"id":16,"name":"Locomotive ID","value":"4002"},{"id":130,"name":"Impact","value":""},{"id":150,"name":"Time of Event (Mountain Time)","value":"04:20:46"},{"id":151,"name":"Denver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4002 --day 2017-10-08</v>
      </c>
      <c r="AN1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-10-08T02:27:25-0600',mode:absolute,to:'2017-10-08T05:20:46-0600'))&amp;_a=(columns:!('Message%20ID',Summary),filters:!(),index:'emp_*',interval:auto,query:(query_string:(analyze_wildcard:!t,query:'%22rtdc.l.rtdc.4002%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648</v>
      </c>
      <c r="B16" s="7">
        <v>4001</v>
      </c>
      <c r="C16" s="21" t="s">
        <v>194</v>
      </c>
      <c r="D16" s="21" t="s">
        <v>848</v>
      </c>
      <c r="E16" s="13">
        <v>43016.190405092595</v>
      </c>
      <c r="F16" s="13">
        <v>43016.196076388886</v>
      </c>
      <c r="G16" s="7">
        <v>44</v>
      </c>
      <c r="H16" s="21" t="s">
        <v>372</v>
      </c>
      <c r="I16" s="13">
        <v>43016.222407407404</v>
      </c>
      <c r="J16" s="7">
        <v>0</v>
      </c>
      <c r="K16" s="89" t="str">
        <f t="shared" si="0"/>
        <v>4001/4002</v>
      </c>
      <c r="L16" s="185" t="str">
        <f>VLOOKUP(A16,'Trips&amp;Operators'!$C$1:$G$99911,5,FALSE)</f>
        <v>MAELZER KURT</v>
      </c>
      <c r="M16" s="6">
        <f t="shared" si="1"/>
        <v>2.6331018518249039E-2</v>
      </c>
      <c r="N16" s="7">
        <f>24*60*SUM($M16:$M16)</f>
        <v>37.916666666278616</v>
      </c>
      <c r="O16" s="7"/>
      <c r="P16" s="7"/>
      <c r="Q16" s="22"/>
      <c r="R16" s="174"/>
      <c r="S16" s="221">
        <f>1/IF(AG16="EC",12,1)*SUM(U16:U16)</f>
        <v>1</v>
      </c>
      <c r="T16" s="174" t="str">
        <f t="shared" si="2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-10-08T03:34:11-0600',mode:absolute,to:'2017-10-08T06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204" t="str">
        <f>IF(AA16&lt;VLOOKUP(AG16,Variables!$AC$3:$AD$8,2,FALSE),"Y","N")</f>
        <v>N</v>
      </c>
      <c r="X16" s="204">
        <f t="shared" si="4"/>
        <v>1</v>
      </c>
      <c r="Y16" s="204">
        <f t="shared" si="5"/>
        <v>23.303000000000001</v>
      </c>
      <c r="Z16" s="204">
        <f t="shared" si="6"/>
        <v>1.3899999999999999E-2</v>
      </c>
      <c r="AA16" s="204">
        <f t="shared" si="7"/>
        <v>23.289100000000001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8"/>
        <v>104</v>
      </c>
      <c r="AE16" s="77" t="str">
        <f t="shared" si="9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6" s="74" t="str">
        <f t="shared" si="10"/>
        <v>"C:\Program Files (x86)\AstroGrep\AstroGrep.exe" /e /r /s /spath="%USERPROFILE%\AppData\Local\Temp\OnboardLogs" /stypes="app*4001*20171008*"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7"/>
        <v>"%USERPROFILE%\Documents\GitHub\eaglep3\Utilities\RefineRTDCRunTimes.py" --tripid 104-08 --locoid 4001 --swversion DE.1.0.9.0 --startMP 204:233030 --initTime 2017-10-08T04:34:11 --startdatetime 2017-10-08T04:42:21 --delay 44 --endMP 204:139 --enddatetime 2017-10-08T05:20:16 --enforcementcount 0 &gt;&gt;%USERPROFILE%\Documents\GitHub\eaglep3-reporting\EC\2017-10-08-refined-times.txt</v>
      </c>
      <c r="AI16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{"issue":{"subject":"","project_id":79,"tracker_id":40,"status_id":1,"priority_id":2,"assigned_to_id":338,"start_date":"2017-10-08","description":"","custom_fields":[{"id":1,"name":"Subdivision","value":"EC"},{"id":4,"name":"Milepost","value":"0.0139"},{"id":17,"name":"Train ID","value":"104-08"},{"id":16,"name":"Locomotive ID","value":"4001"},{"id":130,"name":"Impact","value":""},{"id":150,"name":"Time of Event (Mountain Time)","value":"05:20:16"},{"id":151,"name":"Denver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4001 --day 2017-10-08</v>
      </c>
      <c r="AN16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-10-08T03:34:11-0600',mode:absolute,to:'2017-10-08T06:20:16-0600'))&amp;_a=(columns:!('Message%20ID',Summary),filters:!(),index:'emp_*',interval:auto,query:(query_string:(analyze_wildcard:!t,query:'%22rtdc.l.rtdc.4001%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645</v>
      </c>
      <c r="B17" s="7">
        <v>4050</v>
      </c>
      <c r="C17" s="21" t="s">
        <v>194</v>
      </c>
      <c r="D17" s="21" t="s">
        <v>479</v>
      </c>
      <c r="E17" s="13">
        <v>43016.171458333331</v>
      </c>
      <c r="F17" s="13">
        <v>43016.177314814813</v>
      </c>
      <c r="G17" s="7">
        <v>73</v>
      </c>
      <c r="H17" s="21" t="s">
        <v>403</v>
      </c>
      <c r="I17" s="13">
        <v>43016.202175925922</v>
      </c>
      <c r="J17" s="7">
        <v>0</v>
      </c>
      <c r="K17" s="89" t="str">
        <f t="shared" si="0"/>
        <v>4049/4050</v>
      </c>
      <c r="L17" s="185" t="str">
        <f>VLOOKUP(A17,'Trips&amp;Operators'!$C$1:$G$99911,5,FALSE)</f>
        <v>LANGERAK WILLIAM</v>
      </c>
      <c r="M17" s="6">
        <f t="shared" si="1"/>
        <v>2.4861111109203193E-2</v>
      </c>
      <c r="N17" s="7"/>
      <c r="O17" s="7"/>
      <c r="P17" s="7"/>
      <c r="Q17" s="22"/>
      <c r="R17" s="174"/>
      <c r="S17" s="221"/>
      <c r="T17" s="174" t="str">
        <f t="shared" si="2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-10-08T03:06:54-0600',mode:absolute,to:'2017-10-08T05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Y</v>
      </c>
      <c r="X17" s="204">
        <f t="shared" si="4"/>
        <v>1</v>
      </c>
      <c r="Y17" s="204">
        <f t="shared" si="5"/>
        <v>4.2599999999999999E-2</v>
      </c>
      <c r="Z17" s="204">
        <f t="shared" si="6"/>
        <v>4.3799999999999999E-2</v>
      </c>
      <c r="AA17" s="204">
        <f t="shared" si="7"/>
        <v>1.1999999999999997E-3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8"/>
        <v>105</v>
      </c>
      <c r="AE17" s="77" t="str">
        <f t="shared" si="9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7" s="74" t="str">
        <f t="shared" si="10"/>
        <v>"C:\Program Files (x86)\AstroGrep\AstroGrep.exe" /e /r /s /spath="%USERPROFILE%\AppData\Local\Temp\OnboardLogs" /stypes="app*4050*20171008*" /stext=" 10:.+((SYSTEM_STATE.+slice.+state.+changed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7"/>
        <v>"%USERPROFILE%\Documents\GitHub\eaglep3\Utilities\RefineRTDCRunTimes.py" --tripid 105-08 --locoid 4050 --swversion DE.1.0.9.0 --startMP 204:426 --initTime 2017-10-08T04:06:54 --startdatetime 2017-10-08T04:15:20 --delay 73 --endMP 204:438 --enddatetime 2017-10-08T04:51:08 --enforcementcount 0 &gt;&gt;%USERPROFILE%\Documents\GitHub\eaglep3-reporting\EC\2017-10-08-refined-times.txt</v>
      </c>
      <c r="AI17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{"issue":{"subject":"","project_id":79,"tracker_id":40,"status_id":1,"priority_id":2,"assigned_to_id":338,"start_date":"2017-10-08","description":"","custom_fields":[{"id":1,"name":"Subdivision","value":"EC"},{"id":4,"name":"Milepost","value":"0.0438"},{"id":17,"name":"Train ID","value":"105-08"},{"id":16,"name":"Locomotive ID","value":"4050"},{"id":130,"name":"Impact","value":""},{"id":150,"name":"Time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4050 --day 2017-10-08</v>
      </c>
      <c r="AN17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-10-08T03:06:54-0600',mode:absolute,to:'2017-10-08T05:51:08-0600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645</v>
      </c>
      <c r="B18" s="7">
        <v>4050</v>
      </c>
      <c r="C18" s="21" t="s">
        <v>194</v>
      </c>
      <c r="D18" s="21" t="s">
        <v>429</v>
      </c>
      <c r="E18" s="13">
        <v>43016.175717592596</v>
      </c>
      <c r="F18" s="13">
        <v>43016.177314814813</v>
      </c>
      <c r="G18" s="7">
        <v>53</v>
      </c>
      <c r="H18" s="21" t="s">
        <v>400</v>
      </c>
      <c r="I18" s="13">
        <v>43016.202175925922</v>
      </c>
      <c r="J18" s="7">
        <v>0</v>
      </c>
      <c r="K18" s="89" t="str">
        <f t="shared" si="0"/>
        <v>4049/4050</v>
      </c>
      <c r="L18" s="185" t="str">
        <f>VLOOKUP(A18,'Trips&amp;Operators'!$C$1:$G$99911,5,FALSE)</f>
        <v>LANGERAK WILLIAM</v>
      </c>
      <c r="M18" s="6">
        <f t="shared" si="1"/>
        <v>2.4861111109203193E-2</v>
      </c>
      <c r="N18" s="7">
        <f t="shared" ref="N18:N23" si="22">24*60*SUM($M18:$M18)</f>
        <v>35.799999997252598</v>
      </c>
      <c r="O18" s="7"/>
      <c r="P18" s="7"/>
      <c r="Q18" s="22"/>
      <c r="R18" s="174"/>
      <c r="S18" s="221">
        <f t="shared" ref="S18:S23" si="23">1/IF(AG18="EC",12,1)*SUM(U18:U18)</f>
        <v>1</v>
      </c>
      <c r="T18" s="174" t="str">
        <f t="shared" si="2"/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-10-08T03:13:02-0600',mode:absolute,to:'2017-10-08T05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" s="204" t="str">
        <f>IF(AA18&lt;VLOOKUP(AG18,Variables!$AC$3:$AD$8,2,FALSE),"Y","N")</f>
        <v>N</v>
      </c>
      <c r="X18" s="204">
        <f t="shared" si="4"/>
        <v>0</v>
      </c>
      <c r="Y18" s="204">
        <f t="shared" si="5"/>
        <v>4.3700000000000003E-2</v>
      </c>
      <c r="Z18" s="204">
        <f t="shared" si="6"/>
        <v>23.3291</v>
      </c>
      <c r="AA18" s="204">
        <f t="shared" si="7"/>
        <v>23.285399999999999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8"/>
        <v>105</v>
      </c>
      <c r="AE18" s="77" t="str">
        <f t="shared" si="9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8" s="74" t="str">
        <f t="shared" si="10"/>
        <v>"C:\Program Files (x86)\AstroGrep\AstroGrep.exe" /e /r /s /spath="%USERPROFILE%\AppData\Local\Temp\OnboardLogs" /stypes="app*4050*20171008*" /stext=" 10:.+((SYSTEM_STATE.+slice.+state.+changed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7"/>
        <v>"%USERPROFILE%\Documents\GitHub\eaglep3\Utilities\RefineRTDCRunTimes.py" --tripid 105-08 --locoid 4050 --swversion DE.1.0.9.0 --startMP 204:437 --initTime 2017-10-08T04:13:02 --startdatetime 2017-10-08T04:15:20 --delay 53 --endMP 204:233291 --enddatetime 2017-10-08T04:51:08 --enforcementcount 0 &gt;&gt;%USERPROFILE%\Documents\GitHub\eaglep3-reporting\EC\2017-10-08-refined-times.txt</v>
      </c>
      <c r="AI18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{"issue":{"subject":"","project_id":79,"tracker_id":40,"status_id":1,"priority_id":2,"assigned_to_id":338,"start_date":"2017-10-08","description":"","custom_fields":[{"id":1,"name":"Subdivision","value":"EC"},{"id":4,"name":"Milepost","value":"23.3291"},{"id":17,"name":"Train ID","value":"105-08"},{"id":16,"name":"Locomotive ID","value":"4050"},{"id":130,"name":"Impact","value":""},{"id":150,"name":"Time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4050 --day 2017-10-08</v>
      </c>
      <c r="AN18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1"/>
        <v>https://d0f6bd738d7f1b3e5a7ca70fe4ff75f0.us-east-1.aws.found.io/app/kibana#/discover/Steve-Slow-Train-Analysis-(2080s-and-2083s)?_g=(refreshInterval:(display:Off,pause:!f,section:0,value:0),time:(from:'2017-10-08T03:13:02-0600',mode:absolute,to:'2017-10-08T05:51:08-0600'))&amp;_a=(columns:!('Message%20ID',Summary),filters:!(),index:'emp_*',interval:auto,query:(query_string:(analyze_wildcard:!t,query:'%22rtdc.l.rtdc.4050%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652</v>
      </c>
      <c r="B19" s="7">
        <v>4049</v>
      </c>
      <c r="C19" s="21" t="s">
        <v>194</v>
      </c>
      <c r="D19" s="21" t="s">
        <v>849</v>
      </c>
      <c r="E19" s="13">
        <v>43016.204050925924</v>
      </c>
      <c r="F19" s="13">
        <v>43016.216840277775</v>
      </c>
      <c r="G19" s="7">
        <v>65</v>
      </c>
      <c r="H19" s="21" t="s">
        <v>423</v>
      </c>
      <c r="I19" s="13">
        <v>43016.244479166664</v>
      </c>
      <c r="J19" s="7">
        <v>0</v>
      </c>
      <c r="K19" s="89" t="str">
        <f t="shared" si="0"/>
        <v>4049/4050</v>
      </c>
      <c r="L19" s="185" t="str">
        <f>VLOOKUP(A19,'Trips&amp;Operators'!$C$1:$G$99911,5,FALSE)</f>
        <v>LANGERAK WILLIAM</v>
      </c>
      <c r="M19" s="6">
        <f t="shared" si="1"/>
        <v>2.7638888888759539E-2</v>
      </c>
      <c r="N19" s="7">
        <f t="shared" si="22"/>
        <v>39.799999999813735</v>
      </c>
      <c r="O19" s="7"/>
      <c r="P19" s="7"/>
      <c r="Q19" s="22"/>
      <c r="R19" s="174"/>
      <c r="S19" s="221">
        <f t="shared" si="23"/>
        <v>1</v>
      </c>
      <c r="T19" s="174" t="str">
        <f t="shared" si="2"/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-10-08T03:53:50-0600',mode:absolute,to:'2017-10-08T06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23.296700000000001</v>
      </c>
      <c r="Z19" s="204">
        <f t="shared" si="6"/>
        <v>1.6E-2</v>
      </c>
      <c r="AA19" s="204">
        <f t="shared" si="7"/>
        <v>23.280700000000003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8"/>
        <v>106</v>
      </c>
      <c r="AE19" s="77" t="str">
        <f t="shared" si="9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19" s="74" t="str">
        <f t="shared" si="10"/>
        <v>"C:\Program Files (x86)\AstroGrep\AstroGrep.exe" /e /r /s /spath="%USERPROFILE%\AppData\Local\Temp\OnboardLogs" /stypes="app*4049*20171008*"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7"/>
        <v>"%USERPROFILE%\Documents\GitHub\eaglep3\Utilities\RefineRTDCRunTimes.py" --tripid 106-08 --locoid 4049 --swversion DE.1.0.9.0 --startMP 204:232967 --initTime 2017-10-08T04:53:50 --startdatetime 2017-10-08T05:12:15 --delay 65 --endMP 204:160 --enddatetime 2017-10-08T05:52:03 --enforcementcount 0 &gt;&gt;%USERPROFILE%\Documents\GitHub\eaglep3-reporting\EC\2017-10-08-refined-times.txt</v>
      </c>
      <c r="AI19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{"issue":{"subject":"","project_id":79,"tracker_id":40,"status_id":1,"priority_id":2,"assigned_to_id":338,"start_date":"2017-10-08","description":"","custom_fields":[{"id":1,"name":"Subdivision","value":"EC"},{"id":4,"name":"Milepost","value":"0.016"},{"id":17,"name":"Train ID","value":"106-08"},{"id":16,"name":"Locomotive ID","value":"4049"},{"id":130,"name":"Impact","value":""},{"id":150,"name":"Time of Event (Mountain Time)","value":"05:52:03"},{"id":151,"name":"Denver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4049 --day 2017-10-08</v>
      </c>
      <c r="AN19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-10-08T03:53:50-0600',mode:absolute,to:'2017-10-08T06:52:03-0600'))&amp;_a=(columns:!('Message%20ID',Summary),filters:!(),index:'emp_*',interval:auto,query:(query_string:(analyze_wildcard:!t,query:'%22rtdc.l.rtdc.4049%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647</v>
      </c>
      <c r="B20" s="7">
        <v>4066</v>
      </c>
      <c r="C20" s="21" t="s">
        <v>194</v>
      </c>
      <c r="D20" s="21" t="s">
        <v>429</v>
      </c>
      <c r="E20" s="13">
        <v>43016.184675925928</v>
      </c>
      <c r="F20" s="13">
        <v>43016.187662037039</v>
      </c>
      <c r="G20" s="7">
        <v>79</v>
      </c>
      <c r="H20" s="21" t="s">
        <v>427</v>
      </c>
      <c r="I20" s="13">
        <v>43016.212048611109</v>
      </c>
      <c r="J20" s="7">
        <v>0</v>
      </c>
      <c r="K20" s="89" t="str">
        <f t="shared" si="0"/>
        <v>4065/4066</v>
      </c>
      <c r="L20" s="185" t="str">
        <f>VLOOKUP(A20,'Trips&amp;Operators'!$C$1:$G$99911,5,FALSE)</f>
        <v>LALONDE GREGORY</v>
      </c>
      <c r="M20" s="6">
        <f t="shared" si="1"/>
        <v>2.438657407037681E-2</v>
      </c>
      <c r="N20" s="7">
        <f t="shared" si="22"/>
        <v>35.116666661342606</v>
      </c>
      <c r="O20" s="7"/>
      <c r="P20" s="7"/>
      <c r="Q20" s="22"/>
      <c r="R20" s="174"/>
      <c r="S20" s="221">
        <f t="shared" si="23"/>
        <v>1</v>
      </c>
      <c r="T20" s="174" t="str">
        <f t="shared" si="2"/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-10-08T03:25:56-0600',mode:absolute,to:'2017-10-08T06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" s="204" t="str">
        <f>IF(AA20&lt;VLOOKUP(AG20,Variables!$AC$3:$AD$8,2,FALSE),"Y","N")</f>
        <v>N</v>
      </c>
      <c r="X20" s="204">
        <f t="shared" si="4"/>
        <v>1</v>
      </c>
      <c r="Y20" s="204">
        <f t="shared" si="5"/>
        <v>4.3700000000000003E-2</v>
      </c>
      <c r="Z20" s="204">
        <f t="shared" si="6"/>
        <v>23.3325</v>
      </c>
      <c r="AA20" s="204">
        <f t="shared" si="7"/>
        <v>23.288799999999998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8"/>
        <v>107</v>
      </c>
      <c r="AE20" s="77" t="str">
        <f t="shared" si="9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20" s="74" t="str">
        <f t="shared" si="10"/>
        <v>"C:\Program Files (x86)\AstroGrep\AstroGrep.exe" /e /r /s /spath="%USERPROFILE%\AppData\Local\Temp\OnboardLogs" /stypes="app*4066*20171008*" /stext=" 11:.+((SYSTEM_STATE.+slice.+state.+changed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7"/>
        <v>"%USERPROFILE%\Documents\GitHub\eaglep3\Utilities\RefineRTDCRunTimes.py" --tripid 107-08 --locoid 4066 --swversion DE.1.0.9.0 --startMP 204:437 --initTime 2017-10-08T04:25:56 --startdatetime 2017-10-08T04:30:14 --delay 79 --endMP 204:233325 --enddatetime 2017-10-08T05:05:21 --enforcementcount 0 &gt;&gt;%USERPROFILE%\Documents\GitHub\eaglep3-reporting\EC\2017-10-08-refined-times.txt</v>
      </c>
      <c r="AI20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{"issue":{"subject":"","project_id":79,"tracker_id":40,"status_id":1,"priority_id":2,"assigned_to_id":338,"start_date":"2017-10-08","description":"","custom_fields":[{"id":1,"name":"Subdivision","value":"EC"},{"id":4,"name":"Milepost","value":"23.3325"},{"id":17,"name":"Train ID","value":"107-08"},{"id":16,"name":"Locomotive ID","value":"4066"},{"id":130,"name":"Impact","value":""},{"id":150,"name":"Time of Event (Mountain Time)","value":"05:05:21"},{"id":151,"name":"Denver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4066 --day 2017-10-08</v>
      </c>
      <c r="AN20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-10-08T03:25:56-0600',mode:absolute,to:'2017-10-08T06:05:21-0600'))&amp;_a=(columns:!('Message%20ID',Summary),filters:!(),index:'emp_*',interval:auto,query:(query_string:(analyze_wildcard:!t,query:'%22rtdc.l.rtdc.4066%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653</v>
      </c>
      <c r="B21" s="7">
        <v>4065</v>
      </c>
      <c r="C21" s="21" t="s">
        <v>194</v>
      </c>
      <c r="D21" s="21" t="s">
        <v>850</v>
      </c>
      <c r="E21" s="13">
        <v>43016.21361111111</v>
      </c>
      <c r="F21" s="13">
        <v>43016.227256944447</v>
      </c>
      <c r="G21" s="7">
        <v>46</v>
      </c>
      <c r="H21" s="21" t="s">
        <v>359</v>
      </c>
      <c r="I21" s="13">
        <v>43016.254224537035</v>
      </c>
      <c r="J21" s="7">
        <v>0</v>
      </c>
      <c r="K21" s="89" t="str">
        <f t="shared" si="0"/>
        <v>4065/4066</v>
      </c>
      <c r="L21" s="185" t="str">
        <f>VLOOKUP(A21,'Trips&amp;Operators'!$C$1:$G$99911,5,FALSE)</f>
        <v>LALONDE GREGORY</v>
      </c>
      <c r="M21" s="6">
        <f t="shared" si="1"/>
        <v>2.696759258833481E-2</v>
      </c>
      <c r="N21" s="7">
        <f t="shared" si="22"/>
        <v>38.833333327202126</v>
      </c>
      <c r="O21" s="7"/>
      <c r="P21" s="7"/>
      <c r="Q21" s="22"/>
      <c r="R21" s="174"/>
      <c r="S21" s="221">
        <f t="shared" si="23"/>
        <v>1</v>
      </c>
      <c r="T21" s="174" t="str">
        <f t="shared" si="2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-10-08T04:07:36-0600',mode:absolute,to:'2017-10-08T07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23.3017</v>
      </c>
      <c r="Z21" s="204">
        <f t="shared" si="6"/>
        <v>1.4500000000000001E-2</v>
      </c>
      <c r="AA21" s="204">
        <f t="shared" si="7"/>
        <v>23.287199999999999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8"/>
        <v>108</v>
      </c>
      <c r="AE21" s="77" t="str">
        <f t="shared" si="9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21" s="74" t="str">
        <f t="shared" si="10"/>
        <v>"C:\Program Files (x86)\AstroGrep\AstroGrep.exe" /e /r /s /spath="%USERPROFILE%\AppData\Local\Temp\OnboardLogs" /stypes="app*4065*20171008*"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7"/>
        <v>"%USERPROFILE%\Documents\GitHub\eaglep3\Utilities\RefineRTDCRunTimes.py" --tripid 108-08 --locoid 4065 --swversion DE.1.0.9.0 --startMP 204:233017 --initTime 2017-10-08T05:07:36 --startdatetime 2017-10-08T05:27:15 --delay 46 --endMP 204:145 --enddatetime 2017-10-08T06:06:05 --enforcementcount 0 &gt;&gt;%USERPROFILE%\Documents\GitHub\eaglep3-reporting\EC\2017-10-08-refined-times.txt</v>
      </c>
      <c r="AI21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{"issue":{"subject":"","project_id":79,"tracker_id":40,"status_id":1,"priority_id":2,"assigned_to_id":338,"start_date":"2017-10-08","description":"","custom_fields":[{"id":1,"name":"Subdivision","value":"EC"},{"id":4,"name":"Milepost","value":"0.0145"},{"id":17,"name":"Train ID","value":"108-08"},{"id":16,"name":"Locomotive ID","value":"4065"},{"id":130,"name":"Impact","value":""},{"id":150,"name":"Time of Event (Mountain Time)","value":"06:06:05"},{"id":151,"name":"Denver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4065 --day 2017-10-08</v>
      </c>
      <c r="AN21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-10-08T04:07:36-0600',mode:absolute,to:'2017-10-08T07:06:05-0600'))&amp;_a=(columns:!('Message%20ID',Summary),filters:!(),index:'emp_*',interval:auto,query:(query_string:(analyze_wildcard:!t,query:'%22rtdc.l.rtdc.4065%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649</v>
      </c>
      <c r="B22" s="7">
        <v>4036</v>
      </c>
      <c r="C22" s="21" t="s">
        <v>194</v>
      </c>
      <c r="D22" s="21" t="s">
        <v>346</v>
      </c>
      <c r="E22" s="13">
        <v>43016.193599537037</v>
      </c>
      <c r="F22" s="13">
        <v>43016.198194444441</v>
      </c>
      <c r="G22" s="7">
        <v>96</v>
      </c>
      <c r="H22" s="21" t="s">
        <v>484</v>
      </c>
      <c r="I22" s="13">
        <v>43016.223043981481</v>
      </c>
      <c r="J22" s="7">
        <v>0</v>
      </c>
      <c r="K22" s="89" t="str">
        <f t="shared" si="0"/>
        <v>4035/4036</v>
      </c>
      <c r="L22" s="185" t="str">
        <f>VLOOKUP(A22,'Trips&amp;Operators'!$C$1:$G$99911,5,FALSE)</f>
        <v>GEBRETEKLE DAGNEW</v>
      </c>
      <c r="M22" s="6">
        <f t="shared" si="1"/>
        <v>2.4849537039699499E-2</v>
      </c>
      <c r="N22" s="7">
        <f t="shared" si="22"/>
        <v>35.783333337167278</v>
      </c>
      <c r="O22" s="7"/>
      <c r="P22" s="7"/>
      <c r="Q22" s="22"/>
      <c r="R22" s="174"/>
      <c r="S22" s="221">
        <f t="shared" si="23"/>
        <v>1</v>
      </c>
      <c r="T22" s="174" t="str">
        <f t="shared" si="2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-10-08T03:38:47-0600',mode:absolute,to:'2017-10-08T06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4.5499999999999999E-2</v>
      </c>
      <c r="Z22" s="204">
        <f t="shared" si="6"/>
        <v>23.328399999999998</v>
      </c>
      <c r="AA22" s="204">
        <f t="shared" si="7"/>
        <v>23.282899999999998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8"/>
        <v>109</v>
      </c>
      <c r="AE22" s="77" t="str">
        <f t="shared" si="9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22" s="74" t="str">
        <f t="shared" si="10"/>
        <v>"C:\Program Files (x86)\AstroGrep\AstroGrep.exe" /e /r /s /spath="%USERPROFILE%\AppData\Local\Temp\OnboardLogs" /stypes="app*4036*20171008*" /stext=" 11:.+((SYSTEM_STATE.+slice.+state.+changed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7"/>
        <v>"%USERPROFILE%\Documents\GitHub\eaglep3\Utilities\RefineRTDCRunTimes.py" --tripid 109-08 --locoid 4036 --swversion DE.1.0.9.0 --startMP 204:455 --initTime 2017-10-08T04:38:47 --startdatetime 2017-10-08T04:45:24 --delay 96 --endMP 204:233284 --enddatetime 2017-10-08T05:21:11 --enforcementcount 0 &gt;&gt;%USERPROFILE%\Documents\GitHub\eaglep3-reporting\EC\2017-10-08-refined-times.txt</v>
      </c>
      <c r="AI22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{"issue":{"subject":"","project_id":79,"tracker_id":40,"status_id":1,"priority_id":2,"assigned_to_id":338,"start_date":"2017-10-08","description":"","custom_fields":[{"id":1,"name":"Subdivision","value":"EC"},{"id":4,"name":"Milepost","value":"23.3284"},{"id":17,"name":"Train ID","value":"109-08"},{"id":16,"name":"Locomotive ID","value":"4036"},{"id":130,"name":"Impact","value":""},{"id":150,"name":"Time of Event (Mountain Time)","value":"05:21:11"},{"id":151,"name":"Denver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4036 --day 2017-10-08</v>
      </c>
      <c r="AN22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-10-08T03:38:47-0600',mode:absolute,to:'2017-10-08T06:21:11-0600'))&amp;_a=(columns:!('Message%20ID',Summary),filters:!(),index:'emp_*',interval:auto,query:(query_string:(analyze_wildcard:!t,query:'%22rtdc.l.rtdc.4036%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661</v>
      </c>
      <c r="B23" s="7">
        <v>4035</v>
      </c>
      <c r="C23" s="21" t="s">
        <v>194</v>
      </c>
      <c r="D23" s="21" t="s">
        <v>559</v>
      </c>
      <c r="E23" s="13">
        <v>43016.224930555552</v>
      </c>
      <c r="F23" s="13">
        <v>43016.237719907411</v>
      </c>
      <c r="G23" s="7">
        <v>61</v>
      </c>
      <c r="H23" s="21" t="s">
        <v>361</v>
      </c>
      <c r="I23" s="13">
        <v>43016.263912037037</v>
      </c>
      <c r="J23" s="7">
        <v>0</v>
      </c>
      <c r="K23" s="89" t="str">
        <f t="shared" si="0"/>
        <v>4035/4036</v>
      </c>
      <c r="L23" s="185" t="str">
        <f>VLOOKUP(A23,'Trips&amp;Operators'!$C$1:$G$99911,5,FALSE)</f>
        <v>GEBRETEKLE DAGNEW</v>
      </c>
      <c r="M23" s="6">
        <f t="shared" si="1"/>
        <v>2.619212962599704E-2</v>
      </c>
      <c r="N23" s="7">
        <f t="shared" si="22"/>
        <v>37.716666661435738</v>
      </c>
      <c r="O23" s="7"/>
      <c r="P23" s="7"/>
      <c r="Q23" s="22"/>
      <c r="R23" s="174"/>
      <c r="S23" s="221">
        <f t="shared" si="23"/>
        <v>1</v>
      </c>
      <c r="T23" s="174" t="str">
        <f t="shared" si="2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-10-08T04:23:54-0600',mode:absolute,to:'2017-10-08T07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23.297699999999999</v>
      </c>
      <c r="Z23" s="204">
        <f t="shared" si="6"/>
        <v>1.5599999999999999E-2</v>
      </c>
      <c r="AA23" s="204">
        <f t="shared" si="7"/>
        <v>23.2821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8"/>
        <v>110</v>
      </c>
      <c r="AE23" s="77" t="str">
        <f t="shared" si="9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23" s="74" t="str">
        <f t="shared" si="10"/>
        <v>"C:\Program Files (x86)\AstroGrep\AstroGrep.exe" /e /r /s /spath="%USERPROFILE%\AppData\Local\Temp\OnboardLogs" /stypes="app*4035*20171008*"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7"/>
        <v>"%USERPROFILE%\Documents\GitHub\eaglep3\Utilities\RefineRTDCRunTimes.py" --tripid 110-08 --locoid 4035 --swversion DE.1.0.9.0 --startMP 204:232977 --initTime 2017-10-08T05:23:54 --startdatetime 2017-10-08T05:42:19 --delay 61 --endMP 204:156 --enddatetime 2017-10-08T06:20:02 --enforcementcount 0 &gt;&gt;%USERPROFILE%\Documents\GitHub\eaglep3-reporting\EC\2017-10-08-refined-times.txt</v>
      </c>
      <c r="AI23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{"issue":{"subject":"","project_id":79,"tracker_id":40,"status_id":1,"priority_id":2,"assigned_to_id":338,"start_date":"2017-10-08","description":"","custom_fields":[{"id":1,"name":"Subdivision","value":"EC"},{"id":4,"name":"Milepost","value":"0.0156"},{"id":17,"name":"Train ID","value":"110-08"},{"id":16,"name":"Locomotive ID","value":"4035"},{"id":130,"name":"Impact","value":""},{"id":150,"name":"Time of Event (Mountain Time)","value":"06:20:02"},{"id":151,"name":"Denver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4035 --day 2017-10-08</v>
      </c>
      <c r="AN23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1"/>
        <v>https://d0f6bd738d7f1b3e5a7ca70fe4ff75f0.us-east-1.aws.found.io/app/kibana#/discover/Steve-Slow-Train-Analysis-(2080s-and-2083s)?_g=(refreshInterval:(display:Off,pause:!f,section:0,value:0),time:(from:'2017-10-08T04:23:54-0600',mode:absolute,to:'2017-10-08T07:20:02-0600'))&amp;_a=(columns:!('Message%20ID',Summary),filters:!(),index:'emp_*',interval:auto,query:(query_string:(analyze_wildcard:!t,query:'%22rtdc.l.rtdc.4035%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663</v>
      </c>
      <c r="B24" s="7">
        <v>4016</v>
      </c>
      <c r="C24" s="21" t="s">
        <v>194</v>
      </c>
      <c r="D24" s="21" t="s">
        <v>851</v>
      </c>
      <c r="E24" s="13">
        <v>43016.236284722225</v>
      </c>
      <c r="F24" s="13">
        <v>43016.281527777777</v>
      </c>
      <c r="G24" s="7">
        <v>48</v>
      </c>
      <c r="H24" s="21" t="s">
        <v>852</v>
      </c>
      <c r="I24" s="13">
        <v>43016.305763888886</v>
      </c>
      <c r="J24" s="7">
        <v>0</v>
      </c>
      <c r="K24" s="89" t="str">
        <f t="shared" si="0"/>
        <v>4015/4016</v>
      </c>
      <c r="L24" s="185" t="str">
        <f>VLOOKUP(A24,'Trips&amp;Operators'!$C$1:$G$99911,5,FALSE)</f>
        <v>THOMPSON LESTER</v>
      </c>
      <c r="M24" s="6">
        <f t="shared" si="1"/>
        <v>2.4236111108621117E-2</v>
      </c>
      <c r="N24" s="7"/>
      <c r="O24" s="7"/>
      <c r="P24" s="7">
        <f>24*60*SUM($M24:$M24)</f>
        <v>34.899999996414408</v>
      </c>
      <c r="Q24" s="22"/>
      <c r="R24" s="174" t="s">
        <v>1012</v>
      </c>
      <c r="S24" s="221"/>
      <c r="T24" s="174" t="str">
        <f t="shared" si="2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-10-08T04:40:15-0600',mode:absolute,to:'2017-10-08T08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" s="204" t="str">
        <f>IF(AA24&lt;VLOOKUP(AG24,Variables!$AC$3:$AD$8,2,FALSE),"Y","N")</f>
        <v>Y</v>
      </c>
      <c r="X24" s="204">
        <f t="shared" si="4"/>
        <v>1</v>
      </c>
      <c r="Y24" s="204">
        <f t="shared" si="5"/>
        <v>23.324000000000002</v>
      </c>
      <c r="Z24" s="204">
        <f t="shared" si="6"/>
        <v>23.3246</v>
      </c>
      <c r="AA24" s="204">
        <f t="shared" si="7"/>
        <v>5.9999999999860165E-4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8"/>
        <v>111</v>
      </c>
      <c r="AE24" s="77" t="str">
        <f t="shared" si="9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24" s="74" t="str">
        <f t="shared" si="10"/>
        <v>"C:\Program Files (x86)\AstroGrep\AstroGrep.exe" /e /r /s /spath="%USERPROFILE%\AppData\Local\Temp\OnboardLogs" /stypes="app*4016*20171008*" /stext=" 13:.+((SYSTEM_STATE.+slice.+state.+changed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7"/>
        <v>"%USERPROFILE%\Documents\GitHub\eaglep3\Utilities\RefineRTDCRunTimes.py" --tripid 111-08 --locoid 4016 --swversion DE.1.0.9.0 --startMP 204:233240 --initTime 2017-10-08T05:40:15 --startdatetime 2017-10-08T06:45:24 --delay 48 --endMP 204:233246 --enddatetime 2017-10-08T07:20:18 --enforcementcount 0 &gt;&gt;%USERPROFILE%\Documents\GitHub\eaglep3-reporting\EC\2017-10-08-refined-times.txt</v>
      </c>
      <c r="AI24" s="96" t="str">
        <f t="shared" si="18"/>
        <v>echo {"issue":{"subject":"Poor GPS signal at DIA","project_id":79,"tracker_id":40,"status_id":1,"priority_id":2,"assigned_to_id":338,"start_date":"2017-10-08","description":"","custom_fields":[{"id":1,"name":"Subdivision","value":"EC"},{"id":4,"name":"Milepost","value":"23.3246"},{"id":17,"name":"Train ID","value":"111-08"},{"id":16,"name":"Locomotive ID","value":"4016"},{"id":130,"name":"Impact","value":""},{"id":150,"name":"Time of Event (Mountain Time)","value":"07:20:18"},{"id":151,"name":"Denver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4016 --day 2017-10-08</v>
      </c>
      <c r="AN24" s="151" t="str">
        <f t="shared" si="20"/>
        <v>echo {"issue":{"subject":"Poor GPS signal at DIA","project_id":30,"tracker_id":4,"status_id":1,"priority_id":1,"assigned_to_id":10,"start_date":"2017-10-08","description":"","custom_fields":[{"id":30,"name":"Category","value":"Issue"},{"id":3,"name":"Functional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-10-08T04:40:15-0600',mode:absolute,to:'2017-10-08T08:20:18-0600'))&amp;_a=(columns:!('Message%20ID',Summary),filters:!(),index:'emp_*',interval:auto,query:(query_string:(analyze_wildcard:!t,query:'%22rtdc.l.rtdc.4016%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590</v>
      </c>
      <c r="B25" s="7">
        <v>4015</v>
      </c>
      <c r="C25" s="21" t="s">
        <v>194</v>
      </c>
      <c r="D25" s="21" t="s">
        <v>853</v>
      </c>
      <c r="E25" s="13">
        <v>43016.244340277779</v>
      </c>
      <c r="F25" s="13">
        <v>43016.248252314814</v>
      </c>
      <c r="G25" s="7">
        <v>56</v>
      </c>
      <c r="H25" s="21" t="s">
        <v>377</v>
      </c>
      <c r="I25" s="13">
        <v>43016.275173611109</v>
      </c>
      <c r="J25" s="7">
        <v>0</v>
      </c>
      <c r="K25" s="89" t="str">
        <f t="shared" si="0"/>
        <v>4015/4016</v>
      </c>
      <c r="L25" s="185" t="str">
        <f>VLOOKUP(A25,'Trips&amp;Operators'!$C$1:$G$99911,5,FALSE)</f>
        <v>THOMPSON LESTER</v>
      </c>
      <c r="M25" s="6">
        <f t="shared" si="1"/>
        <v>2.6921296295768116E-2</v>
      </c>
      <c r="N25" s="7">
        <f t="shared" ref="N25:N39" si="24">24*60*SUM($M25:$M25)</f>
        <v>38.766666665906087</v>
      </c>
      <c r="O25" s="7"/>
      <c r="P25" s="7"/>
      <c r="Q25" s="22"/>
      <c r="R25" s="174"/>
      <c r="S25" s="221">
        <f t="shared" ref="S25:S56" si="25">1/IF(AG25="EC",12,1)*SUM(U25:U25)</f>
        <v>1</v>
      </c>
      <c r="T25" s="174" t="str">
        <f t="shared" si="2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-10-08T04:51:51-0600',mode:absolute,to:'2017-10-08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23.295500000000001</v>
      </c>
      <c r="Z25" s="204">
        <f t="shared" si="6"/>
        <v>1.54E-2</v>
      </c>
      <c r="AA25" s="204">
        <f t="shared" si="7"/>
        <v>23.280100000000001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8"/>
        <v>112</v>
      </c>
      <c r="AE25" s="77" t="str">
        <f t="shared" si="9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25" s="74" t="str">
        <f t="shared" si="10"/>
        <v>"C:\Program Files (x86)\AstroGrep\AstroGrep.exe" /e /r /s /spath="%USERPROFILE%\AppData\Local\Temp\OnboardLogs" /stypes="app*4015*20171008*"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7"/>
        <v>"%USERPROFILE%\Documents\GitHub\eaglep3\Utilities\RefineRTDCRunTimes.py" --tripid 112-08 --locoid 4015 --swversion DE.1.0.9.0 --startMP 204:232955 --initTime 2017-10-08T05:51:51 --startdatetime 2017-10-08T05:57:29 --delay 56 --endMP 204:154 --enddatetime 2017-10-08T06:36:15 --enforcementcount 0 &gt;&gt;%USERPROFILE%\Documents\GitHub\eaglep3-reporting\EC\2017-10-08-refined-times.txt</v>
      </c>
      <c r="AI2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{"issue":{"subject":"","project_id":79,"tracker_id":40,"status_id":1,"priority_id":2,"assigned_to_id":338,"start_date":"2017-10-08","description":"","custom_fields":[{"id":1,"name":"Subdivision","value":"EC"},{"id":4,"name":"Milepost","value":"0.0154"},{"id":17,"name":"Train ID","value":"112-08"},{"id":16,"name":"Locomotive ID","value":"4015"},{"id":130,"name":"Impact","value":""},{"id":150,"name":"Time of Event (Mountain Time)","value":"06:36:15"},{"id":151,"name":"Denver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4015 --day 2017-10-08</v>
      </c>
      <c r="AN2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-10-08T04:51:51-0600',mode:absolute,to:'2017-10-08T07:36:15-0600'))&amp;_a=(columns:!('Message%20ID',Summary),filters:!(),index:'emp_*',interval:auto,query:(query_string:(analyze_wildcard:!t,query:'%22rtdc.l.rtdc.4015%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654</v>
      </c>
      <c r="B26" s="7">
        <v>4032</v>
      </c>
      <c r="C26" s="21" t="s">
        <v>194</v>
      </c>
      <c r="D26" s="21" t="s">
        <v>483</v>
      </c>
      <c r="E26" s="13">
        <v>43016.213773148149</v>
      </c>
      <c r="F26" s="13">
        <v>43016.218993055554</v>
      </c>
      <c r="G26" s="7">
        <v>99</v>
      </c>
      <c r="H26" s="21" t="s">
        <v>854</v>
      </c>
      <c r="I26" s="13">
        <v>43016.245729166665</v>
      </c>
      <c r="J26" s="7">
        <v>0</v>
      </c>
      <c r="K26" s="89" t="str">
        <f t="shared" si="0"/>
        <v>4031/4032</v>
      </c>
      <c r="L26" s="185" t="str">
        <f>VLOOKUP(A26,'Trips&amp;Operators'!$C$1:$G$99911,5,FALSE)</f>
        <v>WILLIAMS DONTE</v>
      </c>
      <c r="M26" s="6">
        <f t="shared" si="1"/>
        <v>2.6736111110949423E-2</v>
      </c>
      <c r="N26" s="7">
        <f t="shared" si="24"/>
        <v>38.499999999767169</v>
      </c>
      <c r="O26" s="7"/>
      <c r="P26" s="7"/>
      <c r="Q26" s="22"/>
      <c r="R26" s="174"/>
      <c r="S26" s="221">
        <f t="shared" si="25"/>
        <v>1</v>
      </c>
      <c r="T26" s="174" t="str">
        <f t="shared" si="2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-10-08T04:07:50-0600',mode:absolute,to:'2017-10-08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4.6199999999999998E-2</v>
      </c>
      <c r="Z26" s="204">
        <f t="shared" si="6"/>
        <v>23.3261</v>
      </c>
      <c r="AA26" s="204">
        <f t="shared" si="7"/>
        <v>23.279900000000001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8"/>
        <v>113</v>
      </c>
      <c r="AE26" s="77" t="str">
        <f t="shared" si="9"/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AF26" s="74" t="str">
        <f t="shared" si="10"/>
        <v>"C:\Program Files (x86)\AstroGrep\AstroGrep.exe" /e /r /s /spath="%USERPROFILE%\AppData\Local\Temp\OnboardLogs" /stypes="app*4032*20171008*" /stext=" 11:.+((SYSTEM_STATE.+slice.+state.+changed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7"/>
        <v>"%USERPROFILE%\Documents\GitHub\eaglep3\Utilities\RefineRTDCRunTimes.py" --tripid 113-08 --locoid 4032 --swversion DE.1.0.9.0 --startMP 204:462 --initTime 2017-10-08T05:07:50 --startdatetime 2017-10-08T05:15:21 --delay 99 --endMP 204:233261 --enddatetime 2017-10-08T05:53:51 --enforcementcount 0 &gt;&gt;%USERPROFILE%\Documents\GitHub\eaglep3-reporting\EC\2017-10-08-refined-times.txt</v>
      </c>
      <c r="AI26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{"issue":{"subject":"","project_id":79,"tracker_id":40,"status_id":1,"priority_id":2,"assigned_to_id":338,"start_date":"2017-10-08","description":"","custom_fields":[{"id":1,"name":"Subdivision","value":"EC"},{"id":4,"name":"Milepost","value":"23.3261"},{"id":17,"name":"Train ID","value":"113-08"},{"id":16,"name":"Locomotive ID","value":"4032"},{"id":130,"name":"Impact","value":""},{"id":150,"name":"Time of Event (Mountain Time)","value":"05:53:51"},{"id":151,"name":"Denver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4032 --day 2017-10-08</v>
      </c>
      <c r="AN26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-10-08T04:07:50-0600',mode:absolute,to:'2017-10-08T06:53:51-0600'))&amp;_a=(columns:!('Message%20ID',Summary),filters:!(),index:'emp_*',interval:auto,query:(query_string:(analyze_wildcard:!t,query:'%22rtdc.l.rtdc.4032%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667</v>
      </c>
      <c r="B27" s="7">
        <v>4031</v>
      </c>
      <c r="C27" s="21" t="s">
        <v>194</v>
      </c>
      <c r="D27" s="21" t="s">
        <v>855</v>
      </c>
      <c r="E27" s="13">
        <v>43016.254618055558</v>
      </c>
      <c r="F27" s="13">
        <v>43016.25849537037</v>
      </c>
      <c r="G27" s="7">
        <v>70</v>
      </c>
      <c r="H27" s="21" t="s">
        <v>423</v>
      </c>
      <c r="I27" s="13">
        <v>43016.28528935185</v>
      </c>
      <c r="J27" s="7">
        <v>0</v>
      </c>
      <c r="K27" s="89" t="str">
        <f t="shared" si="0"/>
        <v>4031/4032</v>
      </c>
      <c r="L27" s="185" t="str">
        <f>VLOOKUP(A27,'Trips&amp;Operators'!$C$1:$G$99911,5,FALSE)</f>
        <v>WILLIAMS DONTE</v>
      </c>
      <c r="M27" s="6">
        <f t="shared" si="1"/>
        <v>2.679398148029577E-2</v>
      </c>
      <c r="N27" s="7">
        <f t="shared" si="24"/>
        <v>38.583333331625909</v>
      </c>
      <c r="O27" s="7"/>
      <c r="P27" s="7"/>
      <c r="Q27" s="22"/>
      <c r="R27" s="174"/>
      <c r="S27" s="221">
        <f t="shared" si="25"/>
        <v>1</v>
      </c>
      <c r="T27" s="174" t="str">
        <f t="shared" si="2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-10-08T05:06:39-0600',mode:absolute,to:'2017-10-08T07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23.293800000000001</v>
      </c>
      <c r="Z27" s="204">
        <f t="shared" si="6"/>
        <v>1.6E-2</v>
      </c>
      <c r="AA27" s="204">
        <f t="shared" si="7"/>
        <v>23.277800000000003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8"/>
        <v>114</v>
      </c>
      <c r="AE27" s="77" t="str">
        <f t="shared" si="9"/>
        <v>aws s3 cp s3://rtdc.mdm.uploadarchive.raw/RTDC4031/ "%USERPROFILE%\AppData\Local\Temp\OnboardLogs"\RTDC4031\2017-10-08 --exclude "*" --recursive --include "*20171008*" &amp; "%USERPROFILE%\Documents\GitHub\mrs-test-scripts\Headless Mode &amp; Sideloading\WalkAndUnGZ.bat" "%USERPROFILE%\AppData\Local\Temp\OnboardLogs"\RTDC4031\2017-10-08 &amp; aws s3 cp s3://rtdc.mdm.uploadarchive.raw/RTDC4031/ "%USERPROFILE%\AppData\Local\Temp\OnboardLogs"\RTDC4031\2017-10-09 --exclude "*" --recursive --include "*20171009*" &amp; "%USERPROFILE%\Documents\GitHub\mrs-test-scripts\Headless Mode &amp; Sideloading\WalkAndUnGZ.bat" "%USERPROFILE%\AppData\Local\Temp\OnboardLogs"\RTDC4031\2017-10-09</v>
      </c>
      <c r="AF27" s="74" t="str">
        <f t="shared" si="10"/>
        <v>"C:\Program Files (x86)\AstroGrep\AstroGrep.exe" /e /r /s /spath="%USERPROFILE%\AppData\Local\Temp\OnboardLogs" /stypes="app*4031*20171008*"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7"/>
        <v>"%USERPROFILE%\Documents\GitHub\eaglep3\Utilities\RefineRTDCRunTimes.py" --tripid 114-08 --locoid 4031 --swversion DE.1.0.9.0 --startMP 204:232938 --initTime 2017-10-08T06:06:39 --startdatetime 2017-10-08T06:12:14 --delay 70 --endMP 204:160 --enddatetime 2017-10-08T06:50:49 --enforcementcount 0 &gt;&gt;%USERPROFILE%\Documents\GitHub\eaglep3-reporting\EC\2017-10-08-refined-times.txt</v>
      </c>
      <c r="AI27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{"issue":{"subject":"","project_id":79,"tracker_id":40,"status_id":1,"priority_id":2,"assigned_to_id":338,"start_date":"2017-10-08","description":"","custom_fields":[{"id":1,"name":"Subdivision","value":"EC"},{"id":4,"name":"Milepost","value":"0.016"},{"id":17,"name":"Train ID","value":"114-08"},{"id":16,"name":"Locomotive ID","value":"4031"},{"id":130,"name":"Impact","value":""},{"id":150,"name":"Time of Event (Mountain Time)","value":"06:50:49"},{"id":151,"name":"Denver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4031 --day 2017-10-08</v>
      </c>
      <c r="AN27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-10-08T05:06:39-0600',mode:absolute,to:'2017-10-08T07:50:49-0600'))&amp;_a=(columns:!('Message%20ID',Summary),filters:!(),index:'emp_*',interval:auto,query:(query_string:(analyze_wildcard:!t,query:'%22rtdc.l.rtdc.4031%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660</v>
      </c>
      <c r="B28" s="7">
        <v>4002</v>
      </c>
      <c r="C28" s="21" t="s">
        <v>194</v>
      </c>
      <c r="D28" s="21" t="s">
        <v>334</v>
      </c>
      <c r="E28" s="13">
        <v>43016.224305555559</v>
      </c>
      <c r="F28" s="13">
        <v>43016.229756944442</v>
      </c>
      <c r="G28" s="7">
        <v>47</v>
      </c>
      <c r="H28" s="21" t="s">
        <v>856</v>
      </c>
      <c r="I28" s="13">
        <v>43016.25439814815</v>
      </c>
      <c r="J28" s="7">
        <v>0</v>
      </c>
      <c r="K28" s="89" t="str">
        <f t="shared" si="0"/>
        <v>4001/4002</v>
      </c>
      <c r="L28" s="185" t="str">
        <f>VLOOKUP(A28,'Trips&amp;Operators'!$C$1:$G$99911,5,FALSE)</f>
        <v>MAELZER KURT</v>
      </c>
      <c r="M28" s="6">
        <f t="shared" si="1"/>
        <v>2.4641203708597459E-2</v>
      </c>
      <c r="N28" s="7">
        <f t="shared" si="24"/>
        <v>35.483333340380341</v>
      </c>
      <c r="O28" s="7"/>
      <c r="P28" s="7"/>
      <c r="Q28" s="22"/>
      <c r="R28" s="174"/>
      <c r="S28" s="221">
        <f t="shared" si="25"/>
        <v>1</v>
      </c>
      <c r="T28" s="174" t="str">
        <f t="shared" si="2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-10-08T04:23:00-0600',mode:absolute,to:'2017-10-08T07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4.4600000000000001E-2</v>
      </c>
      <c r="Z28" s="204">
        <f t="shared" si="6"/>
        <v>23.335100000000001</v>
      </c>
      <c r="AA28" s="204">
        <f t="shared" si="7"/>
        <v>23.290500000000002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8"/>
        <v>115</v>
      </c>
      <c r="AE28" s="77" t="str">
        <f t="shared" si="9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28" s="74" t="str">
        <f t="shared" si="10"/>
        <v>"C:\Program Files (x86)\AstroGrep\AstroGrep.exe" /e /r /s /spath="%USERPROFILE%\AppData\Local\Temp\OnboardLogs" /stypes="app*4002*20171008*" /stext=" 12:.+((SYSTEM_STATE.+slice.+state.+changed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7"/>
        <v>"%USERPROFILE%\Documents\GitHub\eaglep3\Utilities\RefineRTDCRunTimes.py" --tripid 115-08 --locoid 4002 --swversion DE.1.0.9.0 --startMP 204:446 --initTime 2017-10-08T05:23:00 --startdatetime 2017-10-08T05:30:51 --delay 47 --endMP 204:233351 --enddatetime 2017-10-08T06:06:20 --enforcementcount 0 &gt;&gt;%USERPROFILE%\Documents\GitHub\eaglep3-reporting\EC\2017-10-08-refined-times.txt</v>
      </c>
      <c r="AI28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{"issue":{"subject":"","project_id":79,"tracker_id":40,"status_id":1,"priority_id":2,"assigned_to_id":338,"start_date":"2017-10-08","description":"","custom_fields":[{"id":1,"name":"Subdivision","value":"EC"},{"id":4,"name":"Milepost","value":"23.3351"},{"id":17,"name":"Train ID","value":"115-08"},{"id":16,"name":"Locomotive ID","value":"4002"},{"id":130,"name":"Impact","value":""},{"id":150,"name":"Time of Event (Mountain Time)","value":"06:06:20"},{"id":151,"name":"Denver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4002 --day 2017-10-08</v>
      </c>
      <c r="AN28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-10-08T04:23:00-0600',mode:absolute,to:'2017-10-08T07:06:20-0600'))&amp;_a=(columns:!('Message%20ID',Summary),filters:!(),index:'emp_*',interval:auto,query:(query_string:(analyze_wildcard:!t,query:'%22rtdc.l.rtdc.4002%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670</v>
      </c>
      <c r="B29" s="7">
        <v>4001</v>
      </c>
      <c r="C29" s="21" t="s">
        <v>194</v>
      </c>
      <c r="D29" s="21" t="s">
        <v>857</v>
      </c>
      <c r="E29" s="13">
        <v>43016.264097222222</v>
      </c>
      <c r="F29" s="13">
        <v>43016.26898148148</v>
      </c>
      <c r="G29" s="7">
        <v>46</v>
      </c>
      <c r="H29" s="21" t="s">
        <v>359</v>
      </c>
      <c r="I29" s="13">
        <v>43016.294710648152</v>
      </c>
      <c r="J29" s="7">
        <v>0</v>
      </c>
      <c r="K29" s="89" t="str">
        <f t="shared" si="0"/>
        <v>4001/4002</v>
      </c>
      <c r="L29" s="185" t="str">
        <f>VLOOKUP(A29,'Trips&amp;Operators'!$C$1:$G$99911,5,FALSE)</f>
        <v>MAELZER KURT</v>
      </c>
      <c r="M29" s="6">
        <f t="shared" si="1"/>
        <v>2.5729166671226267E-2</v>
      </c>
      <c r="N29" s="7">
        <f t="shared" si="24"/>
        <v>37.050000006565824</v>
      </c>
      <c r="O29" s="7"/>
      <c r="P29" s="7"/>
      <c r="Q29" s="22"/>
      <c r="R29" s="174"/>
      <c r="S29" s="221">
        <f t="shared" si="25"/>
        <v>1</v>
      </c>
      <c r="T29" s="174" t="str">
        <f t="shared" si="2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-10-08T05:20:18-0600',mode:absolute,to:'2017-10-08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23.302700000000002</v>
      </c>
      <c r="Z29" s="204">
        <f t="shared" si="6"/>
        <v>1.4500000000000001E-2</v>
      </c>
      <c r="AA29" s="204">
        <f t="shared" si="7"/>
        <v>23.2882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8"/>
        <v>116</v>
      </c>
      <c r="AE29" s="77" t="str">
        <f t="shared" si="9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29" s="74" t="str">
        <f t="shared" si="10"/>
        <v>"C:\Program Files (x86)\AstroGrep\AstroGrep.exe" /e /r /s /spath="%USERPROFILE%\AppData\Local\Temp\OnboardLogs" /stypes="app*4001*20171008*"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7"/>
        <v>"%USERPROFILE%\Documents\GitHub\eaglep3\Utilities\RefineRTDCRunTimes.py" --tripid 116-08 --locoid 4001 --swversion DE.1.0.9.0 --startMP 204:233027 --initTime 2017-10-08T06:20:18 --startdatetime 2017-10-08T06:27:20 --delay 46 --endMP 204:145 --enddatetime 2017-10-08T07:04:23 --enforcementcount 0 &gt;&gt;%USERPROFILE%\Documents\GitHub\eaglep3-reporting\EC\2017-10-08-refined-times.txt</v>
      </c>
      <c r="AI29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{"issue":{"subject":"","project_id":79,"tracker_id":40,"status_id":1,"priority_id":2,"assigned_to_id":338,"start_date":"2017-10-08","description":"","custom_fields":[{"id":1,"name":"Subdivision","value":"EC"},{"id":4,"name":"Milepost","value":"0.0145"},{"id":17,"name":"Train ID","value":"116-08"},{"id":16,"name":"Locomotive ID","value":"4001"},{"id":130,"name":"Impact","value":""},{"id":150,"name":"Time of Event (Mountain Time)","value":"07:04:23"},{"id":151,"name":"Denver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4001 --day 2017-10-08</v>
      </c>
      <c r="AN29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-10-08T05:20:18-0600',mode:absolute,to:'2017-10-08T08:04:23-0600'))&amp;_a=(columns:!('Message%20ID',Summary),filters:!(),index:'emp_*',interval:auto,query:(query_string:(analyze_wildcard:!t,query:'%22rtdc.l.rtdc.4001%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665</v>
      </c>
      <c r="B30" s="7">
        <v>4006</v>
      </c>
      <c r="C30" s="21" t="s">
        <v>194</v>
      </c>
      <c r="D30" s="21" t="s">
        <v>858</v>
      </c>
      <c r="E30" s="13">
        <v>43016.238865740743</v>
      </c>
      <c r="F30" s="13">
        <v>43016.240324074075</v>
      </c>
      <c r="G30" s="7">
        <v>74</v>
      </c>
      <c r="H30" s="21" t="s">
        <v>400</v>
      </c>
      <c r="I30" s="13">
        <v>43016.265023148146</v>
      </c>
      <c r="J30" s="7">
        <v>0</v>
      </c>
      <c r="K30" s="89" t="str">
        <f t="shared" si="0"/>
        <v>4005/4006</v>
      </c>
      <c r="L30" s="185" t="str">
        <f>VLOOKUP(A30,'Trips&amp;Operators'!$C$1:$G$99911,5,FALSE)</f>
        <v>LAMAR NEKESHA</v>
      </c>
      <c r="M30" s="6">
        <f t="shared" si="1"/>
        <v>2.4699074070667848E-2</v>
      </c>
      <c r="N30" s="7">
        <f t="shared" si="24"/>
        <v>35.566666661761701</v>
      </c>
      <c r="O30" s="7"/>
      <c r="P30" s="7"/>
      <c r="Q30" s="22"/>
      <c r="R30" s="174"/>
      <c r="S30" s="221">
        <f t="shared" si="25"/>
        <v>1</v>
      </c>
      <c r="T30" s="174" t="str">
        <f t="shared" si="2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-10-08T04:43:58-0600',mode:absolute,to:'2017-10-08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4.82E-2</v>
      </c>
      <c r="Z30" s="204">
        <f t="shared" si="6"/>
        <v>23.3291</v>
      </c>
      <c r="AA30" s="204">
        <f t="shared" si="7"/>
        <v>23.280899999999999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8"/>
        <v>117</v>
      </c>
      <c r="AE30" s="77" t="str">
        <f t="shared" si="9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30" s="74" t="str">
        <f t="shared" si="10"/>
        <v>"C:\Program Files (x86)\AstroGrep\AstroGrep.exe" /e /r /s /spath="%USERPROFILE%\AppData\Local\Temp\OnboardLogs" /stypes="app*4006*20171008*" /stext=" 12:.+((SYSTEM_STATE.+slice.+state.+changed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7"/>
        <v>"%USERPROFILE%\Documents\GitHub\eaglep3\Utilities\RefineRTDCRunTimes.py" --tripid 117-08 --locoid 4006 --swversion DE.1.0.9.0 --startMP 204:482 --initTime 2017-10-08T05:43:58 --startdatetime 2017-10-08T05:46:04 --delay 74 --endMP 204:233291 --enddatetime 2017-10-08T06:21:38 --enforcementcount 0 &gt;&gt;%USERPROFILE%\Documents\GitHub\eaglep3-reporting\EC\2017-10-08-refined-times.txt</v>
      </c>
      <c r="AI30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{"issue":{"subject":"","project_id":79,"tracker_id":40,"status_id":1,"priority_id":2,"assigned_to_id":338,"start_date":"2017-10-08","description":"","custom_fields":[{"id":1,"name":"Subdivision","value":"EC"},{"id":4,"name":"Milepost","value":"23.3291"},{"id":17,"name":"Train ID","value":"117-08"},{"id":16,"name":"Locomotive ID","value":"4006"},{"id":130,"name":"Impact","value":""},{"id":150,"name":"Time of Event (Mountain Time)","value":"06:21:38"},{"id":151,"name":"Denver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4006 --day 2017-10-08</v>
      </c>
      <c r="AN30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-10-08T04:43:58-0600',mode:absolute,to:'2017-10-08T07:21:38-0600'))&amp;_a=(columns:!('Message%20ID',Summary),filters:!(),index:'emp_*',interval:auto,query:(query_string:(analyze_wildcard:!t,query:'%22rtdc.l.rtdc.4006%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674</v>
      </c>
      <c r="B31" s="7">
        <v>4005</v>
      </c>
      <c r="C31" s="21" t="s">
        <v>194</v>
      </c>
      <c r="D31" s="21" t="s">
        <v>384</v>
      </c>
      <c r="E31" s="13">
        <v>43016.277002314811</v>
      </c>
      <c r="F31" s="13">
        <v>43016.279374999998</v>
      </c>
      <c r="G31" s="7">
        <v>63</v>
      </c>
      <c r="H31" s="21" t="s">
        <v>421</v>
      </c>
      <c r="I31" s="13">
        <v>43016.305092592593</v>
      </c>
      <c r="J31" s="7">
        <v>0</v>
      </c>
      <c r="K31" s="89" t="str">
        <f t="shared" si="0"/>
        <v>4005/4006</v>
      </c>
      <c r="L31" s="185" t="str">
        <f>VLOOKUP(A31,'Trips&amp;Operators'!$C$1:$G$99911,5,FALSE)</f>
        <v>LAMAR NEKESHA</v>
      </c>
      <c r="M31" s="6">
        <f t="shared" si="1"/>
        <v>2.5717592594446614E-2</v>
      </c>
      <c r="N31" s="7">
        <f t="shared" si="24"/>
        <v>37.033333336003125</v>
      </c>
      <c r="O31" s="7"/>
      <c r="P31" s="7"/>
      <c r="Q31" s="22"/>
      <c r="R31" s="174"/>
      <c r="S31" s="221">
        <f t="shared" si="25"/>
        <v>1</v>
      </c>
      <c r="T31" s="174" t="str">
        <f t="shared" si="2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-10-08T05:38:53-0600',mode:absolute,to:'2017-10-08T08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23.298200000000001</v>
      </c>
      <c r="Z31" s="204">
        <f t="shared" si="6"/>
        <v>1.6500000000000001E-2</v>
      </c>
      <c r="AA31" s="204">
        <f t="shared" si="7"/>
        <v>23.281700000000001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8"/>
        <v>118</v>
      </c>
      <c r="AE31" s="77" t="str">
        <f t="shared" si="9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31" s="74" t="str">
        <f t="shared" si="10"/>
        <v>"C:\Program Files (x86)\AstroGrep\AstroGrep.exe" /e /r /s /spath="%USERPROFILE%\AppData\Local\Temp\OnboardLogs" /stypes="app*4005*20171008*"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7"/>
        <v>"%USERPROFILE%\Documents\GitHub\eaglep3\Utilities\RefineRTDCRunTimes.py" --tripid 118-08 --locoid 4005 --swversion DE.1.0.9.0 --startMP 204:232982 --initTime 2017-10-08T06:38:53 --startdatetime 2017-10-08T06:42:18 --delay 63 --endMP 204:165 --enddatetime 2017-10-08T07:19:20 --enforcementcount 0 &gt;&gt;%USERPROFILE%\Documents\GitHub\eaglep3-reporting\EC\2017-10-08-refined-times.txt</v>
      </c>
      <c r="AI31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{"issue":{"subject":"","project_id":79,"tracker_id":40,"status_id":1,"priority_id":2,"assigned_to_id":338,"start_date":"2017-10-08","description":"","custom_fields":[{"id":1,"name":"Subdivision","value":"EC"},{"id":4,"name":"Milepost","value":"0.0165"},{"id":17,"name":"Train ID","value":"118-08"},{"id":16,"name":"Locomotive ID","value":"4005"},{"id":130,"name":"Impact","value":""},{"id":150,"name":"Time of Event (Mountain Time)","value":"07:19:20"},{"id":151,"name":"Denver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4005 --day 2017-10-08</v>
      </c>
      <c r="AN31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-10-08T05:38:53-0600',mode:absolute,to:'2017-10-08T08:19:20-0600'))&amp;_a=(columns:!('Message%20ID',Summary),filters:!(),index:'emp_*',interval:auto,query:(query_string:(analyze_wildcard:!t,query:'%22rtdc.l.rtdc.4005%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666</v>
      </c>
      <c r="B32" s="7">
        <v>4050</v>
      </c>
      <c r="C32" s="21" t="s">
        <v>194</v>
      </c>
      <c r="D32" s="21" t="s">
        <v>859</v>
      </c>
      <c r="E32" s="13">
        <v>43016.245891203704</v>
      </c>
      <c r="F32" s="13">
        <v>43016.250254629631</v>
      </c>
      <c r="G32" s="7">
        <v>67</v>
      </c>
      <c r="H32" s="21" t="s">
        <v>485</v>
      </c>
      <c r="I32" s="13">
        <v>43016.275312500002</v>
      </c>
      <c r="J32" s="7">
        <v>0</v>
      </c>
      <c r="K32" s="89" t="str">
        <f t="shared" si="0"/>
        <v>4049/4050</v>
      </c>
      <c r="L32" s="185" t="str">
        <f>VLOOKUP(A32,'Trips&amp;Operators'!$C$1:$G$99911,5,FALSE)</f>
        <v>LANGERAK WILLIAM</v>
      </c>
      <c r="M32" s="6">
        <f t="shared" si="1"/>
        <v>2.5057870370801538E-2</v>
      </c>
      <c r="N32" s="7">
        <f t="shared" si="24"/>
        <v>36.083333333954215</v>
      </c>
      <c r="O32" s="7"/>
      <c r="P32" s="7"/>
      <c r="Q32" s="22"/>
      <c r="R32" s="174"/>
      <c r="S32" s="221">
        <f t="shared" si="25"/>
        <v>1</v>
      </c>
      <c r="T32" s="174" t="str">
        <f t="shared" si="2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-10-08T04:54:05-0600',mode:absolute,to:'2017-10-08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4.7800000000000002E-2</v>
      </c>
      <c r="Z32" s="204">
        <f t="shared" si="6"/>
        <v>23.331399999999999</v>
      </c>
      <c r="AA32" s="204">
        <f t="shared" si="7"/>
        <v>23.2836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8"/>
        <v>119</v>
      </c>
      <c r="AE32" s="77" t="str">
        <f t="shared" si="9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32" s="74" t="str">
        <f t="shared" si="10"/>
        <v>"C:\Program Files (x86)\AstroGrep\AstroGrep.exe" /e /r /s /spath="%USERPROFILE%\AppData\Local\Temp\OnboardLogs" /stypes="app*4050*20171008*" /stext=" 12:.+((SYSTEM_STATE.+slice.+state.+changed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7"/>
        <v>"%USERPROFILE%\Documents\GitHub\eaglep3\Utilities\RefineRTDCRunTimes.py" --tripid 119-08 --locoid 4050 --swversion DE.1.0.9.0 --startMP 204:478 --initTime 2017-10-08T05:54:05 --startdatetime 2017-10-08T06:00:22 --delay 67 --endMP 204:233314 --enddatetime 2017-10-08T06:36:27 --enforcementcount 0 &gt;&gt;%USERPROFILE%\Documents\GitHub\eaglep3-reporting\EC\2017-10-08-refined-times.txt</v>
      </c>
      <c r="AI32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{"issue":{"subject":"","project_id":79,"tracker_id":40,"status_id":1,"priority_id":2,"assigned_to_id":338,"start_date":"2017-10-08","description":"","custom_fields":[{"id":1,"name":"Subdivision","value":"EC"},{"id":4,"name":"Milepost","value":"23.3314"},{"id":17,"name":"Train ID","value":"119-08"},{"id":16,"name":"Locomotive ID","value":"4050"},{"id":130,"name":"Impact","value":""},{"id":150,"name":"Time of Event (Mountain Time)","value":"06:36:27"},{"id":151,"name":"Denver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4050 --day 2017-10-08</v>
      </c>
      <c r="AN32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-10-08T04:54:05-0600',mode:absolute,to:'2017-10-08T07:36:27-0600'))&amp;_a=(columns:!('Message%20ID',Summary),filters:!(),index:'emp_*',interval:auto,query:(query_string:(analyze_wildcard:!t,query:'%22rtdc.l.rtdc.4050%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673</v>
      </c>
      <c r="B33" s="7">
        <v>4049</v>
      </c>
      <c r="C33" s="21" t="s">
        <v>194</v>
      </c>
      <c r="D33" s="21" t="s">
        <v>394</v>
      </c>
      <c r="E33" s="13">
        <v>43016.27648148148</v>
      </c>
      <c r="F33" s="13">
        <v>43016.289780092593</v>
      </c>
      <c r="G33" s="7">
        <v>65</v>
      </c>
      <c r="H33" s="21" t="s">
        <v>860</v>
      </c>
      <c r="I33" s="13">
        <v>43016.315983796296</v>
      </c>
      <c r="J33" s="7">
        <v>0</v>
      </c>
      <c r="K33" s="89" t="str">
        <f t="shared" si="0"/>
        <v>4049/4050</v>
      </c>
      <c r="L33" s="185" t="str">
        <f>VLOOKUP(A33,'Trips&amp;Operators'!$C$1:$G$99911,5,FALSE)</f>
        <v>LANGERAK WILLIAM</v>
      </c>
      <c r="M33" s="6">
        <f t="shared" si="1"/>
        <v>2.6203703702776693E-2</v>
      </c>
      <c r="N33" s="7">
        <f t="shared" si="24"/>
        <v>37.733333331998438</v>
      </c>
      <c r="O33" s="7"/>
      <c r="P33" s="7"/>
      <c r="Q33" s="22"/>
      <c r="R33" s="174"/>
      <c r="S33" s="221">
        <f t="shared" si="25"/>
        <v>1</v>
      </c>
      <c r="T33" s="174" t="str">
        <f t="shared" si="2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-10-08T05:38:08-0600',mode:absolute,to:'2017-10-08T08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23.3</v>
      </c>
      <c r="Z33" s="204">
        <f t="shared" si="6"/>
        <v>1.7399999999999999E-2</v>
      </c>
      <c r="AA33" s="204">
        <f t="shared" si="7"/>
        <v>23.282600000000002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8"/>
        <v>120</v>
      </c>
      <c r="AE33" s="77" t="str">
        <f t="shared" si="9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33" s="74" t="str">
        <f t="shared" si="10"/>
        <v>"C:\Program Files (x86)\AstroGrep\AstroGrep.exe" /e /r /s /spath="%USERPROFILE%\AppData\Local\Temp\OnboardLogs" /stypes="app*4049*20171008*"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7"/>
        <v>"%USERPROFILE%\Documents\GitHub\eaglep3\Utilities\RefineRTDCRunTimes.py" --tripid 120-08 --locoid 4049 --swversion DE.1.0.9.0 --startMP 204:233000 --initTime 2017-10-08T06:38:08 --startdatetime 2017-10-08T06:57:17 --delay 65 --endMP 204:174 --enddatetime 2017-10-08T07:35:01 --enforcementcount 0 &gt;&gt;%USERPROFILE%\Documents\GitHub\eaglep3-reporting\EC\2017-10-08-refined-times.txt</v>
      </c>
      <c r="AI33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{"issue":{"subject":"","project_id":79,"tracker_id":40,"status_id":1,"priority_id":2,"assigned_to_id":338,"start_date":"2017-10-08","description":"","custom_fields":[{"id":1,"name":"Subdivision","value":"EC"},{"id":4,"name":"Milepost","value":"0.0174"},{"id":17,"name":"Train ID","value":"120-08"},{"id":16,"name":"Locomotive ID","value":"4049"},{"id":130,"name":"Impact","value":""},{"id":150,"name":"Time of Event (Mountain Time)","value":"07:35:01"},{"id":151,"name":"Denver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4049 --day 2017-10-08</v>
      </c>
      <c r="AN33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-10-08T05:38:08-0600',mode:absolute,to:'2017-10-08T08:35:01-0600'))&amp;_a=(columns:!('Message%20ID',Summary),filters:!(),index:'emp_*',interval:auto,query:(query_string:(analyze_wildcard:!t,query:'%22rtdc.l.rtdc.4049%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669</v>
      </c>
      <c r="B34" s="7">
        <v>4066</v>
      </c>
      <c r="C34" s="21" t="s">
        <v>194</v>
      </c>
      <c r="D34" s="21" t="s">
        <v>355</v>
      </c>
      <c r="E34" s="13">
        <v>43016.259155092594</v>
      </c>
      <c r="F34" s="13">
        <v>43016.260636574072</v>
      </c>
      <c r="G34" s="7">
        <v>44</v>
      </c>
      <c r="H34" s="21" t="s">
        <v>861</v>
      </c>
      <c r="I34" s="13">
        <v>43016.28429398148</v>
      </c>
      <c r="J34" s="7">
        <v>0</v>
      </c>
      <c r="K34" s="89" t="str">
        <f t="shared" si="0"/>
        <v>4065/4066</v>
      </c>
      <c r="L34" s="185" t="str">
        <f>VLOOKUP(A34,'Trips&amp;Operators'!$C$1:$G$99911,5,FALSE)</f>
        <v>LALONDE GREGORY</v>
      </c>
      <c r="M34" s="6">
        <f t="shared" si="1"/>
        <v>2.3657407407881692E-2</v>
      </c>
      <c r="N34" s="7">
        <f t="shared" si="24"/>
        <v>34.066666667349637</v>
      </c>
      <c r="O34" s="7"/>
      <c r="P34" s="7"/>
      <c r="Q34" s="22"/>
      <c r="R34" s="174"/>
      <c r="S34" s="221">
        <f t="shared" si="25"/>
        <v>1</v>
      </c>
      <c r="T34" s="174" t="str">
        <f t="shared" si="2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-10-08T05:13:11-0600',mode:absolute,to:'2017-10-08T07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4.58E-2</v>
      </c>
      <c r="Z34" s="204">
        <f t="shared" si="6"/>
        <v>23.333600000000001</v>
      </c>
      <c r="AA34" s="204">
        <f t="shared" si="7"/>
        <v>23.287800000000001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8"/>
        <v>121</v>
      </c>
      <c r="AE34" s="77" t="str">
        <f t="shared" si="9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34" s="74" t="str">
        <f t="shared" si="10"/>
        <v>"C:\Program Files (x86)\AstroGrep\AstroGrep.exe" /e /r /s /spath="%USERPROFILE%\AppData\Local\Temp\OnboardLogs" /stypes="app*4066*20171008*" /stext=" 12:.+((SYSTEM_STATE.+slice.+state.+changed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7"/>
        <v>"%USERPROFILE%\Documents\GitHub\eaglep3\Utilities\RefineRTDCRunTimes.py" --tripid 121-08 --locoid 4066 --swversion DE.1.0.9.0 --startMP 204:458 --initTime 2017-10-08T06:13:11 --startdatetime 2017-10-08T06:15:19 --delay 44 --endMP 204:233336 --enddatetime 2017-10-08T06:49:23 --enforcementcount 0 &gt;&gt;%USERPROFILE%\Documents\GitHub\eaglep3-reporting\EC\2017-10-08-refined-times.txt</v>
      </c>
      <c r="AI34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{"issue":{"subject":"","project_id":79,"tracker_id":40,"status_id":1,"priority_id":2,"assigned_to_id":338,"start_date":"2017-10-08","description":"","custom_fields":[{"id":1,"name":"Subdivision","value":"EC"},{"id":4,"name":"Milepost","value":"23.3336"},{"id":17,"name":"Train ID","value":"121-08"},{"id":16,"name":"Locomotive ID","value":"4066"},{"id":130,"name":"Impact","value":""},{"id":150,"name":"Time of Event (Mountain Time)","value":"06:49:23"},{"id":151,"name":"Denver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4066 --day 2017-10-08</v>
      </c>
      <c r="AN34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-10-08T05:13:11-0600',mode:absolute,to:'2017-10-08T07:49:23-0600'))&amp;_a=(columns:!('Message%20ID',Summary),filters:!(),index:'emp_*',interval:auto,query:(query_string:(analyze_wildcard:!t,query:'%22rtdc.l.rtdc.4066%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676</v>
      </c>
      <c r="B35" s="7">
        <v>4065</v>
      </c>
      <c r="C35" s="21" t="s">
        <v>194</v>
      </c>
      <c r="D35" s="21" t="s">
        <v>862</v>
      </c>
      <c r="E35" s="13">
        <v>43016.286793981482</v>
      </c>
      <c r="F35" s="13">
        <v>43016.300150462965</v>
      </c>
      <c r="G35" s="7">
        <v>54</v>
      </c>
      <c r="H35" s="21" t="s">
        <v>361</v>
      </c>
      <c r="I35" s="13">
        <v>43016.328946759262</v>
      </c>
      <c r="J35" s="7">
        <v>0</v>
      </c>
      <c r="K35" s="89" t="str">
        <f t="shared" si="0"/>
        <v>4065/4066</v>
      </c>
      <c r="L35" s="185" t="str">
        <f>VLOOKUP(A35,'Trips&amp;Operators'!$C$1:$G$99911,5,FALSE)</f>
        <v>LALONDE GREGORY</v>
      </c>
      <c r="M35" s="6">
        <f t="shared" si="1"/>
        <v>2.8796296297514345E-2</v>
      </c>
      <c r="N35" s="7">
        <f t="shared" si="24"/>
        <v>41.466666668420658</v>
      </c>
      <c r="O35" s="7"/>
      <c r="P35" s="7"/>
      <c r="Q35" s="22"/>
      <c r="R35" s="174"/>
      <c r="S35" s="221">
        <f t="shared" si="25"/>
        <v>1</v>
      </c>
      <c r="T35" s="174" t="str">
        <f t="shared" si="2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-10-08T05:52:59-0600',mode:absolute,to:'2017-10-08T08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23.301500000000001</v>
      </c>
      <c r="Z35" s="204">
        <f t="shared" si="6"/>
        <v>1.5599999999999999E-2</v>
      </c>
      <c r="AA35" s="204">
        <f t="shared" si="7"/>
        <v>23.285900000000002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8"/>
        <v>122</v>
      </c>
      <c r="AE35" s="77" t="str">
        <f t="shared" si="9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35" s="74" t="str">
        <f t="shared" si="10"/>
        <v>"C:\Program Files (x86)\AstroGrep\AstroGrep.exe" /e /r /s /spath="%USERPROFILE%\AppData\Local\Temp\OnboardLogs" /stypes="app*4065*20171008*"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7"/>
        <v>"%USERPROFILE%\Documents\GitHub\eaglep3\Utilities\RefineRTDCRunTimes.py" --tripid 122-08 --locoid 4065 --swversion DE.1.0.9.0 --startMP 204:233015 --initTime 2017-10-08T06:52:59 --startdatetime 2017-10-08T07:12:13 --delay 54 --endMP 204:156 --enddatetime 2017-10-08T07:53:41 --enforcementcount 0 &gt;&gt;%USERPROFILE%\Documents\GitHub\eaglep3-reporting\EC\2017-10-08-refined-times.txt</v>
      </c>
      <c r="AI3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{"issue":{"subject":"","project_id":79,"tracker_id":40,"status_id":1,"priority_id":2,"assigned_to_id":338,"start_date":"2017-10-08","description":"","custom_fields":[{"id":1,"name":"Subdivision","value":"EC"},{"id":4,"name":"Milepost","value":"0.0156"},{"id":17,"name":"Train ID","value":"122-08"},{"id":16,"name":"Locomotive ID","value":"4065"},{"id":130,"name":"Impact","value":""},{"id":150,"name":"Time of Event (Mountain Time)","value":"07:53:41"},{"id":151,"name":"Denver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4065 --day 2017-10-08</v>
      </c>
      <c r="AN3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-10-08T05:52:59-0600',mode:absolute,to:'2017-10-08T08:53:41-0600'))&amp;_a=(columns:!('Message%20ID',Summary),filters:!(),index:'emp_*',interval:auto,query:(query_string:(analyze_wildcard:!t,query:'%22rtdc.l.rtdc.4065%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671</v>
      </c>
      <c r="B36" s="7">
        <v>4036</v>
      </c>
      <c r="C36" s="21" t="s">
        <v>194</v>
      </c>
      <c r="D36" s="21" t="s">
        <v>483</v>
      </c>
      <c r="E36" s="13">
        <v>43016.266689814816</v>
      </c>
      <c r="F36" s="13">
        <v>43016.271099537036</v>
      </c>
      <c r="G36" s="7">
        <v>62</v>
      </c>
      <c r="H36" s="21" t="s">
        <v>427</v>
      </c>
      <c r="I36" s="13">
        <v>43016.295740740738</v>
      </c>
      <c r="J36" s="7">
        <v>0</v>
      </c>
      <c r="K36" s="89" t="str">
        <f t="shared" si="0"/>
        <v>4035/4036</v>
      </c>
      <c r="L36" s="185" t="str">
        <f>VLOOKUP(A36,'Trips&amp;Operators'!$C$1:$G$99911,5,FALSE)</f>
        <v>GEBRETEKLE DAGNEW</v>
      </c>
      <c r="M36" s="6">
        <f t="shared" si="1"/>
        <v>2.4641203701321501E-2</v>
      </c>
      <c r="N36" s="7">
        <f t="shared" si="24"/>
        <v>35.483333329902962</v>
      </c>
      <c r="O36" s="7"/>
      <c r="P36" s="7"/>
      <c r="Q36" s="22"/>
      <c r="R36" s="174"/>
      <c r="S36" s="221">
        <f t="shared" si="25"/>
        <v>1</v>
      </c>
      <c r="T36" s="174" t="str">
        <f t="shared" si="2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-10-08T05:24:02-0600',mode:absolute,to:'2017-10-08T08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4.6199999999999998E-2</v>
      </c>
      <c r="Z36" s="204">
        <f t="shared" si="6"/>
        <v>23.3325</v>
      </c>
      <c r="AA36" s="204">
        <f t="shared" si="7"/>
        <v>23.286300000000001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8"/>
        <v>123</v>
      </c>
      <c r="AE36" s="77" t="str">
        <f t="shared" si="9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36" s="74" t="str">
        <f t="shared" si="10"/>
        <v>"C:\Program Files (x86)\AstroGrep\AstroGrep.exe" /e /r /s /spath="%USERPROFILE%\AppData\Local\Temp\OnboardLogs" /stypes="app*4036*20171008*" /stext=" 13:.+((SYSTEM_STATE.+slice.+state.+changed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7"/>
        <v>"%USERPROFILE%\Documents\GitHub\eaglep3\Utilities\RefineRTDCRunTimes.py" --tripid 123-08 --locoid 4036 --swversion DE.1.0.9.0 --startMP 204:462 --initTime 2017-10-08T06:24:02 --startdatetime 2017-10-08T06:30:23 --delay 62 --endMP 204:233325 --enddatetime 2017-10-08T07:05:52 --enforcementcount 0 &gt;&gt;%USERPROFILE%\Documents\GitHub\eaglep3-reporting\EC\2017-10-08-refined-times.txt</v>
      </c>
      <c r="AI36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{"issue":{"subject":"","project_id":79,"tracker_id":40,"status_id":1,"priority_id":2,"assigned_to_id":338,"start_date":"2017-10-08","description":"","custom_fields":[{"id":1,"name":"Subdivision","value":"EC"},{"id":4,"name":"Milepost","value":"23.3325"},{"id":17,"name":"Train ID","value":"123-08"},{"id":16,"name":"Locomotive ID","value":"4036"},{"id":130,"name":"Impact","value":""},{"id":150,"name":"Time of Event (Mountain Time)","value":"07:05:52"},{"id":151,"name":"Denver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4036 --day 2017-10-08</v>
      </c>
      <c r="AN36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-10-08T05:24:02-0600',mode:absolute,to:'2017-10-08T08:05:52-0600'))&amp;_a=(columns:!('Message%20ID',Summary),filters:!(),index:'emp_*',interval:auto,query:(query_string:(analyze_wildcard:!t,query:'%22rtdc.l.rtdc.4036%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679</v>
      </c>
      <c r="B37" s="7">
        <v>4035</v>
      </c>
      <c r="C37" s="21" t="s">
        <v>194</v>
      </c>
      <c r="D37" s="21" t="s">
        <v>432</v>
      </c>
      <c r="E37" s="13">
        <v>43016.297592592593</v>
      </c>
      <c r="F37" s="13">
        <v>43016.31082175926</v>
      </c>
      <c r="G37" s="7">
        <v>50</v>
      </c>
      <c r="H37" s="21" t="s">
        <v>335</v>
      </c>
      <c r="I37" s="13">
        <v>43016.346805555557</v>
      </c>
      <c r="J37" s="7">
        <v>0</v>
      </c>
      <c r="K37" s="89" t="str">
        <f t="shared" si="0"/>
        <v>4035/4036</v>
      </c>
      <c r="L37" s="185" t="str">
        <f>VLOOKUP(A37,'Trips&amp;Operators'!$C$1:$G$99911,5,FALSE)</f>
        <v>GEBRETEKLE DAGNEW</v>
      </c>
      <c r="M37" s="6">
        <f t="shared" si="1"/>
        <v>3.5983796296932269E-2</v>
      </c>
      <c r="N37" s="7">
        <f t="shared" si="24"/>
        <v>51.816666667582467</v>
      </c>
      <c r="O37" s="7"/>
      <c r="P37" s="7"/>
      <c r="Q37" s="22"/>
      <c r="R37" s="174" t="s">
        <v>1014</v>
      </c>
      <c r="S37" s="221">
        <f t="shared" si="25"/>
        <v>1</v>
      </c>
      <c r="T37" s="174" t="str">
        <f t="shared" si="2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-10-08T06:08:32-0600',mode:absolute,to:'2017-10-08T09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23.300799999999999</v>
      </c>
      <c r="Z37" s="204">
        <f t="shared" si="6"/>
        <v>1.4999999999999999E-2</v>
      </c>
      <c r="AA37" s="204">
        <f t="shared" si="7"/>
        <v>23.285799999999998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8"/>
        <v>124</v>
      </c>
      <c r="AE37" s="77" t="str">
        <f t="shared" si="9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37" s="74" t="str">
        <f t="shared" si="10"/>
        <v>"C:\Program Files (x86)\AstroGrep\AstroGrep.exe" /e /r /s /spath="%USERPROFILE%\AppData\Local\Temp\OnboardLogs" /stypes="app*4035*20171008*"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7"/>
        <v>"%USERPROFILE%\Documents\GitHub\eaglep3\Utilities\RefineRTDCRunTimes.py" --tripid 124-08 --locoid 4035 --swversion DE.1.0.9.0 --startMP 204:233008 --initTime 2017-10-08T07:08:32 --startdatetime 2017-10-08T07:27:35 --delay 50 --endMP 204:150 --enddatetime 2017-10-08T08:19:24 --enforcementcount 0 &gt;&gt;%USERPROFILE%\Documents\GitHub\eaglep3-reporting\EC\2017-10-08-refined-times.txt</v>
      </c>
      <c r="AI37" s="96" t="str">
        <f t="shared" si="18"/>
        <v>echo {"issue":{"subject":"Delay - Cascade from 127","project_id":79,"tracker_id":40,"status_id":1,"priority_id":2,"assigned_to_id":338,"start_date":"2017-10-08","description":"","custom_fields":[{"id":1,"name":"Subdivision","value":"EC"},{"id":4,"name":"Milepost","value":"0.015"},{"id":17,"name":"Train ID","value":"124-08"},{"id":16,"name":"Locomotive ID","value":"4035"},{"id":130,"name":"Impact","value":""},{"id":150,"name":"Time of Event (Mountain Time)","value":"08:19:24"},{"id":151,"name":"Denver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4035 --day 2017-10-08</v>
      </c>
      <c r="AN37" s="151" t="str">
        <f t="shared" si="20"/>
        <v>echo {"issue":{"subject":"Delay - Cascade from 127","project_id":30,"tracker_id":4,"status_id":1,"priority_id":1,"assigned_to_id":10,"start_date":"2017-10-08","description":"","custom_fields":[{"id":30,"name":"Category","value":"Issue"},{"id":3,"name":"Functional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-10-08T06:08:32-0600',mode:absolute,to:'2017-10-08T09:19:24-0600'))&amp;_a=(columns:!('Message%20ID',Summary),filters:!(),index:'emp_*',interval:auto,query:(query_string:(analyze_wildcard:!t,query:'%22rtdc.l.rtdc.4035%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675</v>
      </c>
      <c r="B38" s="7">
        <v>4016</v>
      </c>
      <c r="C38" s="21" t="s">
        <v>194</v>
      </c>
      <c r="D38" s="21" t="s">
        <v>409</v>
      </c>
      <c r="E38" s="13">
        <v>43016.277465277781</v>
      </c>
      <c r="F38" s="13">
        <v>43016.281527777777</v>
      </c>
      <c r="G38" s="7">
        <v>55</v>
      </c>
      <c r="H38" s="21" t="s">
        <v>553</v>
      </c>
      <c r="I38" s="13">
        <v>43016.305763888886</v>
      </c>
      <c r="J38" s="7">
        <v>0</v>
      </c>
      <c r="K38" s="89" t="str">
        <f t="shared" si="0"/>
        <v>4015/4016</v>
      </c>
      <c r="L38" s="185" t="str">
        <f>VLOOKUP(A38,'Trips&amp;Operators'!$C$1:$G$99911,5,FALSE)</f>
        <v>THOMPSON LESTER</v>
      </c>
      <c r="M38" s="6">
        <f t="shared" si="1"/>
        <v>2.4236111108621117E-2</v>
      </c>
      <c r="N38" s="7">
        <f t="shared" si="24"/>
        <v>34.899999996414408</v>
      </c>
      <c r="O38" s="7"/>
      <c r="P38" s="7"/>
      <c r="Q38" s="22"/>
      <c r="R38" s="174"/>
      <c r="S38" s="221">
        <f t="shared" si="25"/>
        <v>1</v>
      </c>
      <c r="T38" s="174" t="str">
        <f t="shared" si="2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-10-08T05:39:33-0600',mode:absolute,to:'2017-10-08T08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4.4900000000000002E-2</v>
      </c>
      <c r="Z38" s="204">
        <f t="shared" si="6"/>
        <v>23.329499999999999</v>
      </c>
      <c r="AA38" s="204">
        <f t="shared" si="7"/>
        <v>23.284600000000001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8"/>
        <v>125</v>
      </c>
      <c r="AE38" s="77" t="str">
        <f t="shared" si="9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38" s="74" t="str">
        <f t="shared" si="10"/>
        <v>"C:\Program Files (x86)\AstroGrep\AstroGrep.exe" /e /r /s /spath="%USERPROFILE%\AppData\Local\Temp\OnboardLogs" /stypes="app*4016*20171008*" /stext=" 13:.+((SYSTEM_STATE.+slice.+state.+changed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7"/>
        <v>"%USERPROFILE%\Documents\GitHub\eaglep3\Utilities\RefineRTDCRunTimes.py" --tripid 125-08 --locoid 4016 --swversion DE.1.0.9.0 --startMP 204:449 --initTime 2017-10-08T06:39:33 --startdatetime 2017-10-08T06:45:24 --delay 55 --endMP 204:233295 --enddatetime 2017-10-08T07:20:18 --enforcementcount 0 &gt;&gt;%USERPROFILE%\Documents\GitHub\eaglep3-reporting\EC\2017-10-08-refined-times.txt</v>
      </c>
      <c r="AI38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{"issue":{"subject":"","project_id":79,"tracker_id":40,"status_id":1,"priority_id":2,"assigned_to_id":338,"start_date":"2017-10-08","description":"","custom_fields":[{"id":1,"name":"Subdivision","value":"EC"},{"id":4,"name":"Milepost","value":"23.3295"},{"id":17,"name":"Train ID","value":"125-08"},{"id":16,"name":"Locomotive ID","value":"4016"},{"id":130,"name":"Impact","value":""},{"id":150,"name":"Time of Event (Mountain Time)","value":"07:20:18"},{"id":151,"name":"Denver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4016 --day 2017-10-08</v>
      </c>
      <c r="AN38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-10-08T05:39:33-0600',mode:absolute,to:'2017-10-08T08:20:18-0600'))&amp;_a=(columns:!('Message%20ID',Summary),filters:!(),index:'emp_*',interval:auto,query:(query_string:(analyze_wildcard:!t,query:'%22rtdc.l.rtdc.4016%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594</v>
      </c>
      <c r="B39" s="7">
        <v>4015</v>
      </c>
      <c r="C39" s="21" t="s">
        <v>194</v>
      </c>
      <c r="D39" s="21" t="s">
        <v>431</v>
      </c>
      <c r="E39" s="13">
        <v>43016.317731481482</v>
      </c>
      <c r="F39" s="13">
        <v>43016.321122685185</v>
      </c>
      <c r="G39" s="7">
        <v>59</v>
      </c>
      <c r="H39" s="21" t="s">
        <v>863</v>
      </c>
      <c r="I39" s="13">
        <v>43016.357314814813</v>
      </c>
      <c r="J39" s="7">
        <v>0</v>
      </c>
      <c r="K39" s="89" t="str">
        <f t="shared" si="0"/>
        <v>4015/4016</v>
      </c>
      <c r="L39" s="185" t="str">
        <f>VLOOKUP(A39,'Trips&amp;Operators'!$C$1:$G$99911,5,FALSE)</f>
        <v>THOMPSON LESTER</v>
      </c>
      <c r="M39" s="6">
        <f t="shared" si="1"/>
        <v>3.6192129628034309E-2</v>
      </c>
      <c r="N39" s="7">
        <f t="shared" si="24"/>
        <v>52.116666664369404</v>
      </c>
      <c r="O39" s="7"/>
      <c r="P39" s="7"/>
      <c r="Q39" s="22"/>
      <c r="R39" s="174" t="s">
        <v>1014</v>
      </c>
      <c r="S39" s="221">
        <f t="shared" si="25"/>
        <v>1</v>
      </c>
      <c r="T39" s="174" t="str">
        <f t="shared" si="2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-10-08T06:37:32-0600',mode:absolute,to:'2017-10-08T09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23.297999999999998</v>
      </c>
      <c r="Z39" s="204">
        <f t="shared" si="6"/>
        <v>1.8700000000000001E-2</v>
      </c>
      <c r="AA39" s="204">
        <f t="shared" si="7"/>
        <v>23.279299999999999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8"/>
        <v>126</v>
      </c>
      <c r="AE39" s="77" t="str">
        <f t="shared" si="9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39" s="74" t="str">
        <f t="shared" si="10"/>
        <v>"C:\Program Files (x86)\AstroGrep\AstroGrep.exe" /e /r /s /spath="%USERPROFILE%\AppData\Local\Temp\OnboardLogs" /stypes="app*4015*20171008*"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7"/>
        <v>"%USERPROFILE%\Documents\GitHub\eaglep3\Utilities\RefineRTDCRunTimes.py" --tripid 126-08 --locoid 4015 --swversion DE.1.0.9.0 --startMP 204:232980 --initTime 2017-10-08T07:37:32 --startdatetime 2017-10-08T07:42:25 --delay 59 --endMP 204:187 --enddatetime 2017-10-08T08:34:32 --enforcementcount 0 &gt;&gt;%USERPROFILE%\Documents\GitHub\eaglep3-reporting\EC\2017-10-08-refined-times.txt</v>
      </c>
      <c r="AI39" s="96" t="str">
        <f t="shared" si="18"/>
        <v>echo {"issue":{"subject":"Delay - Cascade from 127","project_id":79,"tracker_id":40,"status_id":1,"priority_id":2,"assigned_to_id":338,"start_date":"2017-10-08","description":"","custom_fields":[{"id":1,"name":"Subdivision","value":"EC"},{"id":4,"name":"Milepost","value":"0.0187"},{"id":17,"name":"Train ID","value":"126-08"},{"id":16,"name":"Locomotive ID","value":"4015"},{"id":130,"name":"Impact","value":""},{"id":150,"name":"Time of Event (Mountain Time)","value":"08:34:32"},{"id":151,"name":"Denver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4015 --day 2017-10-08</v>
      </c>
      <c r="AN39" s="151" t="str">
        <f t="shared" si="20"/>
        <v>echo {"issue":{"subject":"Delay - Cascade from 127","project_id":30,"tracker_id":4,"status_id":1,"priority_id":1,"assigned_to_id":10,"start_date":"2017-10-08","description":"","custom_fields":[{"id":30,"name":"Category","value":"Issue"},{"id":3,"name":"Functional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-10-08T06:37:32-0600',mode:absolute,to:'2017-10-08T09:34:32-0600'))&amp;_a=(columns:!('Message%20ID',Summary),filters:!(),index:'emp_*',interval:auto,query:(query_string:(analyze_wildcard:!t,query:'%22rtdc.l.rtdc.4015%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592</v>
      </c>
      <c r="B40" s="7">
        <v>4032</v>
      </c>
      <c r="C40" s="21" t="s">
        <v>194</v>
      </c>
      <c r="D40" s="21" t="s">
        <v>406</v>
      </c>
      <c r="E40" s="13">
        <v>43016.286712962959</v>
      </c>
      <c r="F40" s="13">
        <v>43016.291875000003</v>
      </c>
      <c r="G40" s="7">
        <v>56</v>
      </c>
      <c r="H40" s="21" t="s">
        <v>864</v>
      </c>
      <c r="I40" s="13">
        <v>43016.323148148149</v>
      </c>
      <c r="J40" s="7">
        <v>0</v>
      </c>
      <c r="K40" s="89" t="str">
        <f t="shared" si="0"/>
        <v>4031/4032</v>
      </c>
      <c r="L40" s="185" t="str">
        <f>VLOOKUP(A40,'Trips&amp;Operators'!$C$1:$G$99911,5,FALSE)</f>
        <v>WILLIAMS DONTE</v>
      </c>
      <c r="M40" s="6">
        <f t="shared" si="1"/>
        <v>3.1273148146283347E-2</v>
      </c>
      <c r="N40" s="7"/>
      <c r="O40" s="7"/>
      <c r="P40" s="7">
        <f>24*60*SUM($M40:$M40)</f>
        <v>45.03333333064802</v>
      </c>
      <c r="Q40" s="22"/>
      <c r="R40" s="174" t="s">
        <v>1013</v>
      </c>
      <c r="S40" s="221">
        <f t="shared" si="25"/>
        <v>1</v>
      </c>
      <c r="T40" s="174" t="str">
        <f t="shared" si="2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0" s="204" t="str">
        <f>IF(AA40&lt;VLOOKUP(AG40,Variables!$AC$3:$AD$8,2,FALSE),"Y","N")</f>
        <v>Y</v>
      </c>
      <c r="X40" s="204">
        <f t="shared" si="4"/>
        <v>1</v>
      </c>
      <c r="Y40" s="204">
        <f t="shared" si="5"/>
        <v>4.7300000000000002E-2</v>
      </c>
      <c r="Z40" s="204">
        <f t="shared" si="6"/>
        <v>19.048100000000002</v>
      </c>
      <c r="AA40" s="204">
        <f t="shared" si="7"/>
        <v>19.000800000000002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8"/>
        <v>127</v>
      </c>
      <c r="AE40" s="77" t="str">
        <f t="shared" si="9"/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AF40" s="74" t="str">
        <f t="shared" si="10"/>
        <v>"C:\Program Files (x86)\AstroGrep\AstroGrep.exe" /e /r /s /spath="%USERPROFILE%\AppData\Local\Temp\OnboardLogs" /stypes="app*4032*20171008*" /stext=" 13:.+((SYSTEM_STATE.+slice.+state.+changed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7"/>
        <v>"%USERPROFILE%\Documents\GitHub\eaglep3\Utilities\RefineRTDCRunTimes.py" --tripid 127-08 --locoid 4032 --swversion DE.1.0.9.0 --startMP 204:473 --initTime 2017-10-08T06:52:52 --startdatetime 2017-10-08T07:00:18 --delay 56 --endMP 204:190481 --enddatetime 2017-10-08T07:45:20 --enforcementcount 0 &gt;&gt;%USERPROFILE%\Documents\GitHub\eaglep3-reporting\EC\2017-10-08-refined-times.txt</v>
      </c>
      <c r="AI40" s="96" t="str">
        <f t="shared" si="18"/>
        <v>echo {"issue":{"subject":"Wi-MAX data drops (several)","project_id":79,"tracker_id":40,"status_id":1,"priority_id":2,"assigned_to_id":338,"start_date":"2017-10-08","description":"","custom_fields":[{"id":1,"name":"Subdivision","value":"EC"},{"id":4,"name":"Milepost","value":"19.0481"},{"id":17,"name":"Train ID","value":"127-08"},{"id":16,"name":"Locomotive ID","value":"4032"},{"id":130,"name":"Impact","value":""},{"id":150,"name":"Time of Event (Mountain Time)","value":"07:45:20"},{"id":151,"name":"Denver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4032 --day 2017-10-08</v>
      </c>
      <c r="AN40" s="151" t="str">
        <f t="shared" si="20"/>
        <v>echo {"issue":{"subject":"Wi-MAX data drops (several)","project_id":30,"tracker_id":4,"status_id":1,"priority_id":1,"assigned_to_id":10,"start_date":"2017-10-08","description":"","custom_fields":[{"id":30,"name":"Category","value":"Issue"},{"id":3,"name":"Functional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13:45:20"},{"id":29,"name":"Sharepoint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Message%20ID',Summary),filters:!(),index:'emp_*',interval:auto,query:(query_string:(analyze_wildcard:!t,query:'%22rtdc.l.rtdc.4032%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683</v>
      </c>
      <c r="B41" s="7">
        <v>4031</v>
      </c>
      <c r="C41" s="21" t="s">
        <v>194</v>
      </c>
      <c r="D41" s="21" t="s">
        <v>447</v>
      </c>
      <c r="E41" s="13">
        <v>43016.330254629633</v>
      </c>
      <c r="F41" s="13">
        <v>43016.331724537034</v>
      </c>
      <c r="G41" s="7">
        <v>58</v>
      </c>
      <c r="H41" s="21" t="s">
        <v>865</v>
      </c>
      <c r="I41" s="13">
        <v>43016.361400462964</v>
      </c>
      <c r="J41" s="7">
        <v>0</v>
      </c>
      <c r="K41" s="89" t="str">
        <f t="shared" si="0"/>
        <v>4031/4032</v>
      </c>
      <c r="L41" s="185" t="str">
        <f>VLOOKUP(A41,'Trips&amp;Operators'!$C$1:$G$99911,5,FALSE)</f>
        <v>WILLIAMS DONTE</v>
      </c>
      <c r="M41" s="6">
        <f t="shared" si="1"/>
        <v>2.9675925929041114E-2</v>
      </c>
      <c r="N41" s="7">
        <f t="shared" ref="N41:N60" si="26">24*60*SUM($M41:$M41)</f>
        <v>42.733333337819204</v>
      </c>
      <c r="O41" s="7"/>
      <c r="P41" s="7"/>
      <c r="Q41" s="22"/>
      <c r="R41" s="174"/>
      <c r="S41" s="221">
        <f t="shared" si="25"/>
        <v>1</v>
      </c>
      <c r="T41" s="174" t="str">
        <f t="shared" si="2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-10-08T06:55:34-0600',mode:absolute,to:'2017-10-08T09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23.298300000000001</v>
      </c>
      <c r="Z41" s="204">
        <f t="shared" si="6"/>
        <v>0.123</v>
      </c>
      <c r="AA41" s="204">
        <f t="shared" si="7"/>
        <v>23.1753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8"/>
        <v>128</v>
      </c>
      <c r="AE41" s="77" t="str">
        <f t="shared" si="9"/>
        <v>aws s3 cp s3://rtdc.mdm.uploadarchive.raw/RTDC4031/ "%USERPROFILE%\AppData\Local\Temp\OnboardLogs"\RTDC4031\2017-10-08 --exclude "*" --recursive --include "*20171008*" &amp; "%USERPROFILE%\Documents\GitHub\mrs-test-scripts\Headless Mode &amp; Sideloading\WalkAndUnGZ.bat" "%USERPROFILE%\AppData\Local\Temp\OnboardLogs"\RTDC4031\2017-10-08 &amp; aws s3 cp s3://rtdc.mdm.uploadarchive.raw/RTDC4031/ "%USERPROFILE%\AppData\Local\Temp\OnboardLogs"\RTDC4031\2017-10-09 --exclude "*" --recursive --include "*20171009*" &amp; "%USERPROFILE%\Documents\GitHub\mrs-test-scripts\Headless Mode &amp; Sideloading\WalkAndUnGZ.bat" "%USERPROFILE%\AppData\Local\Temp\OnboardLogs"\RTDC4031\2017-10-09</v>
      </c>
      <c r="AF41" s="74" t="str">
        <f t="shared" si="10"/>
        <v>"C:\Program Files (x86)\AstroGrep\AstroGrep.exe" /e /r /s /spath="%USERPROFILE%\AppData\Local\Temp\OnboardLogs" /stypes="app*4031*20171008*"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7"/>
        <v>"%USERPROFILE%\Documents\GitHub\eaglep3\Utilities\RefineRTDCRunTimes.py" --tripid 128-08 --locoid 4031 --swversion DE.1.0.9.0 --startMP 204:232983 --initTime 2017-10-08T07:55:34 --startdatetime 2017-10-08T07:57:41 --delay 58 --endMP 204:1230 --enddatetime 2017-10-08T08:40:25 --enforcementcount 0 &gt;&gt;%USERPROFILE%\Documents\GitHub\eaglep3-reporting\EC\2017-10-08-refined-times.txt</v>
      </c>
      <c r="AI41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{"issue":{"subject":"","project_id":79,"tracker_id":40,"status_id":1,"priority_id":2,"assigned_to_id":338,"start_date":"2017-10-08","description":"","custom_fields":[{"id":1,"name":"Subdivision","value":"EC"},{"id":4,"name":"Milepost","value":"0.123"},{"id":17,"name":"Train ID","value":"128-08"},{"id":16,"name":"Locomotive ID","value":"4031"},{"id":130,"name":"Impact","value":""},{"id":150,"name":"Time of Event (Mountain Time)","value":"08:40:25"},{"id":151,"name":"Denver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4031 --day 2017-10-08</v>
      </c>
      <c r="AN41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-10-08T06:55:34-0600',mode:absolute,to:'2017-10-08T09:40:25-0600'))&amp;_a=(columns:!('Message%20ID',Summary),filters:!(),index:'emp_*',interval:auto,query:(query_string:(analyze_wildcard:!t,query:'%22rtdc.l.rtdc.4031%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678</v>
      </c>
      <c r="B42" s="7">
        <v>4002</v>
      </c>
      <c r="C42" s="21" t="s">
        <v>194</v>
      </c>
      <c r="D42" s="21" t="s">
        <v>366</v>
      </c>
      <c r="E42" s="13">
        <v>43016.297384259262</v>
      </c>
      <c r="F42" s="13">
        <v>43016.302268518521</v>
      </c>
      <c r="G42" s="7">
        <v>46</v>
      </c>
      <c r="H42" s="21" t="s">
        <v>486</v>
      </c>
      <c r="I42" s="13">
        <v>43016.334930555553</v>
      </c>
      <c r="J42" s="7">
        <v>0</v>
      </c>
      <c r="K42" s="89" t="str">
        <f t="shared" si="0"/>
        <v>4001/4002</v>
      </c>
      <c r="L42" s="185" t="str">
        <f>VLOOKUP(A42,'Trips&amp;Operators'!$C$1:$G$99911,5,FALSE)</f>
        <v>MAELZER KURT</v>
      </c>
      <c r="M42" s="6">
        <f t="shared" si="1"/>
        <v>3.2662037032423541E-2</v>
      </c>
      <c r="N42" s="7">
        <f t="shared" si="26"/>
        <v>47.033333326689899</v>
      </c>
      <c r="O42" s="7"/>
      <c r="P42" s="7"/>
      <c r="Q42" s="22"/>
      <c r="R42" s="174" t="s">
        <v>1014</v>
      </c>
      <c r="S42" s="221">
        <f t="shared" si="25"/>
        <v>1</v>
      </c>
      <c r="T42" s="174" t="str">
        <f t="shared" si="2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-10-08T06:08:14-0600',mode:absolute,to:'2017-10-08T09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4.5999999999999999E-2</v>
      </c>
      <c r="Z42" s="204">
        <f t="shared" si="6"/>
        <v>23.330500000000001</v>
      </c>
      <c r="AA42" s="204">
        <f t="shared" si="7"/>
        <v>23.284500000000001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8"/>
        <v>129</v>
      </c>
      <c r="AE42" s="77" t="str">
        <f t="shared" si="9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42" s="74" t="str">
        <f t="shared" si="10"/>
        <v>"C:\Program Files (x86)\AstroGrep\AstroGrep.exe" /e /r /s /spath="%USERPROFILE%\AppData\Local\Temp\OnboardLogs" /stypes="app*4002*20171008*" /stext=" 14:.+((SYSTEM_STATE.+slice.+state.+changed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7"/>
        <v>"%USERPROFILE%\Documents\GitHub\eaglep3\Utilities\RefineRTDCRunTimes.py" --tripid 129-08 --locoid 4002 --swversion DE.1.0.9.0 --startMP 204:460 --initTime 2017-10-08T07:08:14 --startdatetime 2017-10-08T07:15:16 --delay 46 --endMP 204:233305 --enddatetime 2017-10-08T08:02:18 --enforcementcount 0 &gt;&gt;%USERPROFILE%\Documents\GitHub\eaglep3-reporting\EC\2017-10-08-refined-times.txt</v>
      </c>
      <c r="AI42" s="96" t="str">
        <f t="shared" si="18"/>
        <v>echo {"issue":{"subject":"Delay - Cascade from 127","project_id":79,"tracker_id":40,"status_id":1,"priority_id":2,"assigned_to_id":338,"start_date":"2017-10-08","description":"","custom_fields":[{"id":1,"name":"Subdivision","value":"EC"},{"id":4,"name":"Milepost","value":"23.3305"},{"id":17,"name":"Train ID","value":"129-08"},{"id":16,"name":"Locomotive ID","value":"4002"},{"id":130,"name":"Impact","value":""},{"id":150,"name":"Time of Event (Mountain Time)","value":"08:02:18"},{"id":151,"name":"Denver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4002 --day 2017-10-08</v>
      </c>
      <c r="AN42" s="151" t="str">
        <f t="shared" si="20"/>
        <v>echo {"issue":{"subject":"Delay - Cascade from 127","project_id":30,"tracker_id":4,"status_id":1,"priority_id":1,"assigned_to_id":10,"start_date":"2017-10-08","description":"","custom_fields":[{"id":30,"name":"Category","value":"Issue"},{"id":3,"name":"Functional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-10-08T06:08:14-0600',mode:absolute,to:'2017-10-08T09:02:18-0600'))&amp;_a=(columns:!('Message%20ID',Summary),filters:!(),index:'emp_*',interval:auto,query:(query_string:(analyze_wildcard:!t,query:'%22rtdc.l.rtdc.4002%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687</v>
      </c>
      <c r="B43" s="7">
        <v>4001</v>
      </c>
      <c r="C43" s="21" t="s">
        <v>194</v>
      </c>
      <c r="D43" s="21" t="s">
        <v>417</v>
      </c>
      <c r="E43" s="13">
        <v>43016.338865740741</v>
      </c>
      <c r="F43" s="13">
        <v>43016.341967592591</v>
      </c>
      <c r="G43" s="7">
        <v>54</v>
      </c>
      <c r="H43" s="21" t="s">
        <v>340</v>
      </c>
      <c r="I43" s="13">
        <v>43016.368020833332</v>
      </c>
      <c r="J43" s="7">
        <v>0</v>
      </c>
      <c r="K43" s="89" t="str">
        <f t="shared" si="0"/>
        <v>4001/4002</v>
      </c>
      <c r="L43" s="185" t="str">
        <f>VLOOKUP(A43,'Trips&amp;Operators'!$C$1:$G$99911,5,FALSE)</f>
        <v>MAELZER KURT</v>
      </c>
      <c r="M43" s="6">
        <f t="shared" si="1"/>
        <v>2.6053240741021E-2</v>
      </c>
      <c r="N43" s="7">
        <f t="shared" si="26"/>
        <v>37.51666666707024</v>
      </c>
      <c r="O43" s="7"/>
      <c r="P43" s="7"/>
      <c r="Q43" s="22"/>
      <c r="R43" s="174"/>
      <c r="S43" s="221">
        <f t="shared" si="25"/>
        <v>1</v>
      </c>
      <c r="T43" s="174" t="str">
        <f t="shared" si="2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-10-08T07:07:58-0600',mode:absolute,to:'2017-10-08T09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23.299199999999999</v>
      </c>
      <c r="Z43" s="204">
        <f t="shared" si="6"/>
        <v>1.47E-2</v>
      </c>
      <c r="AA43" s="204">
        <f t="shared" si="7"/>
        <v>23.284499999999998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8"/>
        <v>130</v>
      </c>
      <c r="AE43" s="77" t="str">
        <f t="shared" si="9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43" s="74" t="str">
        <f t="shared" si="10"/>
        <v>"C:\Program Files (x86)\AstroGrep\AstroGrep.exe" /e /r /s /spath="%USERPROFILE%\AppData\Local\Temp\OnboardLogs" /stypes="app*4001*20171008*"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7"/>
        <v>"%USERPROFILE%\Documents\GitHub\eaglep3\Utilities\RefineRTDCRunTimes.py" --tripid 130-08 --locoid 4001 --swversion DE.1.0.9.0 --startMP 204:232992 --initTime 2017-10-08T08:07:58 --startdatetime 2017-10-08T08:12:26 --delay 54 --endMP 204:147 --enddatetime 2017-10-08T08:49:57 --enforcementcount 0 &gt;&gt;%USERPROFILE%\Documents\GitHub\eaglep3-reporting\EC\2017-10-08-refined-times.txt</v>
      </c>
      <c r="AI43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ID","value":"130-08"},{"id":16,"name":"Locomotive ID","value":"4001"},{"id":130,"name":"Impact","value":""},{"id":150,"name":"Time of Event (Mountain Time)","value":"08:49:57"},{"id":151,"name":"Denver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4001 --day 2017-10-08</v>
      </c>
      <c r="AN43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-10-08T07:07:58-0600',mode:absolute,to:'2017-10-08T09:49:57-0600'))&amp;_a=(columns:!('Message%20ID',Summary),filters:!(),index:'emp_*',interval:auto,query:(query_string:(analyze_wildcard:!t,query:'%22rtdc.l.rtdc.4001%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680</v>
      </c>
      <c r="B44" s="7">
        <v>4006</v>
      </c>
      <c r="C44" s="21" t="s">
        <v>194</v>
      </c>
      <c r="D44" s="21" t="s">
        <v>385</v>
      </c>
      <c r="E44" s="13">
        <v>43016.306643518517</v>
      </c>
      <c r="F44" s="13">
        <v>43016.312708333331</v>
      </c>
      <c r="G44" s="7">
        <v>53</v>
      </c>
      <c r="H44" s="21" t="s">
        <v>414</v>
      </c>
      <c r="I44" s="13">
        <v>43016.341249999998</v>
      </c>
      <c r="J44" s="7">
        <v>0</v>
      </c>
      <c r="K44" s="89" t="str">
        <f t="shared" si="0"/>
        <v>4005/4006</v>
      </c>
      <c r="L44" s="185" t="str">
        <f>VLOOKUP(A44,'Trips&amp;Operators'!$C$1:$G$99911,5,FALSE)</f>
        <v>LAMAR NEKESHA</v>
      </c>
      <c r="M44" s="6">
        <f t="shared" si="1"/>
        <v>2.8541666666569654E-2</v>
      </c>
      <c r="N44" s="7">
        <f t="shared" si="26"/>
        <v>41.099999999860302</v>
      </c>
      <c r="O44" s="7"/>
      <c r="P44" s="7"/>
      <c r="Q44" s="22"/>
      <c r="R44" s="174"/>
      <c r="S44" s="221">
        <f t="shared" si="25"/>
        <v>1</v>
      </c>
      <c r="T44" s="174" t="str">
        <f t="shared" si="2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-10-08T06:21:34-0600',mode:absolute,to:'2017-10-08T09:11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4.5699999999999998E-2</v>
      </c>
      <c r="Z44" s="204">
        <f t="shared" si="6"/>
        <v>23.3278</v>
      </c>
      <c r="AA44" s="204">
        <f t="shared" si="7"/>
        <v>23.2821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8"/>
        <v>131</v>
      </c>
      <c r="AE44" s="77" t="str">
        <f t="shared" si="9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44" s="74" t="str">
        <f t="shared" si="10"/>
        <v>"C:\Program Files (x86)\AstroGrep\AstroGrep.exe" /e /r /s /spath="%USERPROFILE%\AppData\Local\Temp\OnboardLogs" /stypes="app*4006*20171008*" /stext=" 14:.+((SYSTEM_STATE.+slice.+state.+changed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7"/>
        <v>"%USERPROFILE%\Documents\GitHub\eaglep3\Utilities\RefineRTDCRunTimes.py" --tripid 131-08 --locoid 4006 --swversion DE.1.0.9.0 --startMP 204:457 --initTime 2017-10-08T07:21:34 --startdatetime 2017-10-08T07:30:18 --delay 53 --endMP 204:233278 --enddatetime 2017-10-08T08:11:24 --enforcementcount 0 &gt;&gt;%USERPROFILE%\Documents\GitHub\eaglep3-reporting\EC\2017-10-08-refined-times.txt</v>
      </c>
      <c r="AI44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{"issue":{"subject":"","project_id":79,"tracker_id":40,"status_id":1,"priority_id":2,"assigned_to_id":338,"start_date":"2017-10-08","description":"","custom_fields":[{"id":1,"name":"Subdivision","value":"EC"},{"id":4,"name":"Milepost","value":"23.3278"},{"id":17,"name":"Train ID","value":"131-08"},{"id":16,"name":"Locomotive ID","value":"4006"},{"id":130,"name":"Impact","value":""},{"id":150,"name":"Time of Event (Mountain Time)","value":"08:11:24"},{"id":151,"name":"Denver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4006 --day 2017-10-08</v>
      </c>
      <c r="AN44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14:11:24"},{"id":29,"name":"Sharepoint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-10-08T06:21:34-0600',mode:absolute,to:'2017-10-08T09:11:24-0600'))&amp;_a=(columns:!('Message%20ID',Summary),filters:!(),index:'emp_*',interval:auto,query:(query_string:(analyze_wildcard:!t,query:'%22rtdc.l.rtdc.4006%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693</v>
      </c>
      <c r="B45" s="7">
        <v>4005</v>
      </c>
      <c r="C45" s="21" t="s">
        <v>194</v>
      </c>
      <c r="D45" s="21" t="s">
        <v>866</v>
      </c>
      <c r="E45" s="13">
        <v>43016.349328703705</v>
      </c>
      <c r="F45" s="13">
        <v>43016.352256944447</v>
      </c>
      <c r="G45" s="7">
        <v>67</v>
      </c>
      <c r="H45" s="21" t="s">
        <v>359</v>
      </c>
      <c r="I45" s="13">
        <v>43016.378703703704</v>
      </c>
      <c r="J45" s="7">
        <v>0</v>
      </c>
      <c r="K45" s="89" t="str">
        <f t="shared" ref="K45:K76" si="27">IF(ISEVEN(B45),(B45-1)&amp;"/"&amp;B45,B45&amp;"/"&amp;(B45+1))</f>
        <v>4005/4006</v>
      </c>
      <c r="L45" s="185" t="str">
        <f>VLOOKUP(A45,'Trips&amp;Operators'!$C$1:$G$99911,5,FALSE)</f>
        <v>LAMAR NEKESHA</v>
      </c>
      <c r="M45" s="6">
        <f t="shared" ref="M45:M76" si="28">I45-F45</f>
        <v>2.6446759256941732E-2</v>
      </c>
      <c r="N45" s="7">
        <f t="shared" si="26"/>
        <v>38.083333329996094</v>
      </c>
      <c r="O45" s="7"/>
      <c r="P45" s="7"/>
      <c r="Q45" s="22"/>
      <c r="R45" s="174"/>
      <c r="S45" s="221">
        <f t="shared" si="25"/>
        <v>1</v>
      </c>
      <c r="T45" s="174" t="str">
        <f t="shared" ref="T45:T76" si="29"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-10-08T07:23:02-0600',mode:absolute,to:'2017-10-08T10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5" s="204" t="str">
        <f>IF(AA45&lt;VLOOKUP(AG45,Variables!$AC$3:$AD$8,2,FALSE),"Y","N")</f>
        <v>N</v>
      </c>
      <c r="X45" s="204">
        <f t="shared" ref="X45:X76" si="30">VALUE(LEFT(AD45,4))-VALUE(LEFT(AD44,4))</f>
        <v>1</v>
      </c>
      <c r="Y45" s="204">
        <f t="shared" ref="Y45:Y76" si="31">RIGHT(D45,LEN(D45)-4)/10000</f>
        <v>23.296399999999998</v>
      </c>
      <c r="Z45" s="204">
        <f t="shared" ref="Z45:Z76" si="32">RIGHT(H45,LEN(H45)-4)/10000</f>
        <v>1.4500000000000001E-2</v>
      </c>
      <c r="AA45" s="204">
        <f t="shared" ref="AA45:AA76" si="33">ABS(Z45-Y45)</f>
        <v>23.281899999999997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ref="AD45:AD76" si="34">VALUE(LEFT(A45,LEN(A45)-3))</f>
        <v>132</v>
      </c>
      <c r="AE45" s="77" t="str">
        <f t="shared" si="9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45" s="74" t="str">
        <f t="shared" si="10"/>
        <v>"C:\Program Files (x86)\AstroGrep\AstroGrep.exe" /e /r /s /spath="%USERPROFILE%\AppData\Local\Temp\OnboardLogs" /stypes="app*4005*20171008*" /stext=" 15:.+((SYSTEM_STATE.+slice.+state.+changed )|(ment ac)|(multiple cpu faults)|(system.+state.+changed )|(\[timeout)|(PRM\|1\|D)|(kpr)|(kdp)|(train st.+moving)|(\|lc)|(penalty))"</v>
      </c>
      <c r="AG45" s="182" t="str">
        <f t="shared" ref="AG45:AG76" si="35">DetSubdiv(A45)</f>
        <v>EC</v>
      </c>
      <c r="AH45" s="78" t="str">
        <f t="shared" si="17"/>
        <v>"%USERPROFILE%\Documents\GitHub\eaglep3\Utilities\RefineRTDCRunTimes.py" --tripid 132-08 --locoid 4005 --swversion DE.1.0.9.0 --startMP 204:232964 --initTime 2017-10-08T08:23:02 --startdatetime 2017-10-08T08:27:15 --delay 67 --endMP 204:145 --enddatetime 2017-10-08T09:05:20 --enforcementcount 0 &gt;&gt;%USERPROFILE%\Documents\GitHub\eaglep3-reporting\EC\2017-10-08-refined-times.txt</v>
      </c>
      <c r="AI4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{"issue":{"subject":"","project_id":79,"tracker_id":40,"status_id":1,"priority_id":2,"assigned_to_id":338,"start_date":"2017-10-08","description":"","custom_fields":[{"id":1,"name":"Subdivision","value":"EC"},{"id":4,"name":"Milepost","value":"0.0145"},{"id":17,"name":"Train ID","value":"132-08"},{"id":16,"name":"Locomotive ID","value":"4005"},{"id":130,"name":"Impact","value":""},{"id":150,"name":"Time of Event (Mountain Time)","value":"09:05:20"},{"id":151,"name":"Denver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4005 --day 2017-10-08</v>
      </c>
      <c r="AN4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-10-08T07:23:02-0600',mode:absolute,to:'2017-10-08T10:05:20-0600'))&amp;_a=(columns:!('Message%20ID',Summary),filters:!(),index:'emp_*',interval:auto,query:(query_string:(analyze_wildcard:!t,query:'%22rtdc.l.rtdc.4005%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681</v>
      </c>
      <c r="B46" s="7">
        <v>4050</v>
      </c>
      <c r="C46" s="21" t="s">
        <v>194</v>
      </c>
      <c r="D46" s="21" t="s">
        <v>867</v>
      </c>
      <c r="E46" s="13">
        <v>43016.317569444444</v>
      </c>
      <c r="F46" s="13">
        <v>43016.323101851849</v>
      </c>
      <c r="G46" s="7">
        <v>56</v>
      </c>
      <c r="H46" s="21" t="s">
        <v>868</v>
      </c>
      <c r="I46" s="13">
        <v>43016.349328703705</v>
      </c>
      <c r="J46" s="7">
        <v>0</v>
      </c>
      <c r="K46" s="89" t="str">
        <f t="shared" si="27"/>
        <v>4049/4050</v>
      </c>
      <c r="L46" s="185" t="str">
        <f>VLOOKUP(A46,'Trips&amp;Operators'!$C$1:$G$99911,5,FALSE)</f>
        <v>LANGERAK WILLIAM</v>
      </c>
      <c r="M46" s="6">
        <f t="shared" si="28"/>
        <v>2.6226851856335998E-2</v>
      </c>
      <c r="N46" s="7">
        <f t="shared" si="26"/>
        <v>37.766666673123837</v>
      </c>
      <c r="O46" s="7"/>
      <c r="P46" s="7"/>
      <c r="Q46" s="22"/>
      <c r="R46" s="174"/>
      <c r="S46" s="221">
        <f t="shared" si="25"/>
        <v>1</v>
      </c>
      <c r="T46" s="174" t="str">
        <f t="shared" si="29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-10-08T06:37:18-0600',mode:absolute,to:'2017-10-08T09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6" s="204" t="str">
        <f>IF(AA46&lt;VLOOKUP(AG46,Variables!$AC$3:$AD$8,2,FALSE),"Y","N")</f>
        <v>N</v>
      </c>
      <c r="X46" s="204">
        <f t="shared" si="30"/>
        <v>1</v>
      </c>
      <c r="Y46" s="204">
        <f t="shared" si="31"/>
        <v>4.7100000000000003E-2</v>
      </c>
      <c r="Z46" s="204">
        <f t="shared" si="32"/>
        <v>23.325900000000001</v>
      </c>
      <c r="AA46" s="204">
        <f t="shared" si="33"/>
        <v>23.2788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34"/>
        <v>133</v>
      </c>
      <c r="AE46" s="77" t="str">
        <f t="shared" si="9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46" s="74" t="str">
        <f t="shared" si="10"/>
        <v>"C:\Program Files (x86)\AstroGrep\AstroGrep.exe" /e /r /s /spath="%USERPROFILE%\AppData\Local\Temp\OnboardLogs" /stypes="app*4050*20171008*" /stext=" 14:.+((SYSTEM_STATE.+slice.+state.+changed )|(ment ac)|(multiple cpu faults)|(system.+state.+changed )|(\[timeout)|(PRM\|1\|D)|(kpr)|(kdp)|(train st.+moving)|(\|lc)|(penalty))"</v>
      </c>
      <c r="AG46" s="182" t="str">
        <f t="shared" si="35"/>
        <v>EC</v>
      </c>
      <c r="AH46" s="78" t="str">
        <f t="shared" si="17"/>
        <v>"%USERPROFILE%\Documents\GitHub\eaglep3\Utilities\RefineRTDCRunTimes.py" --tripid 133-08 --locoid 4050 --swversion DE.1.0.9.0 --startMP 204:471 --initTime 2017-10-08T07:37:18 --startdatetime 2017-10-08T07:45:16 --delay 56 --endMP 204:233259 --enddatetime 2017-10-08T08:23:02 --enforcementcount 0 &gt;&gt;%USERPROFILE%\Documents\GitHub\eaglep3-reporting\EC\2017-10-08-refined-times.txt</v>
      </c>
      <c r="AI46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{"issue":{"subject":"","project_id":79,"tracker_id":40,"status_id":1,"priority_id":2,"assigned_to_id":338,"start_date":"2017-10-08","description":"","custom_fields":[{"id":1,"name":"Subdivision","value":"EC"},{"id":4,"name":"Milepost","value":"23.3259"},{"id":17,"name":"Train ID","value":"133-08"},{"id":16,"name":"Locomotive ID","value":"4050"},{"id":130,"name":"Impact","value":""},{"id":150,"name":"Time of Event (Mountain Time)","value":"08:23:02"},{"id":151,"name":"Denver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4050 --day 2017-10-08</v>
      </c>
      <c r="AN46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-10-08T06:37:18-0600',mode:absolute,to:'2017-10-08T09:23:02-0600'))&amp;_a=(columns:!('Message%20ID',Summary),filters:!(),index:'emp_*',interval:auto,query:(query_string:(analyze_wildcard:!t,query:'%22rtdc.l.rtdc.4050%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694</v>
      </c>
      <c r="B47" s="7">
        <v>4049</v>
      </c>
      <c r="C47" s="21" t="s">
        <v>194</v>
      </c>
      <c r="D47" s="21" t="s">
        <v>869</v>
      </c>
      <c r="E47" s="13">
        <v>43016.350682870368</v>
      </c>
      <c r="F47" s="13">
        <v>43016.362673611111</v>
      </c>
      <c r="G47" s="7">
        <v>52</v>
      </c>
      <c r="H47" s="21" t="s">
        <v>377</v>
      </c>
      <c r="I47" s="13">
        <v>43016.389409722222</v>
      </c>
      <c r="J47" s="7">
        <v>0</v>
      </c>
      <c r="K47" s="89" t="str">
        <f t="shared" si="27"/>
        <v>4049/4050</v>
      </c>
      <c r="L47" s="185" t="str">
        <f>VLOOKUP(A47,'Trips&amp;Operators'!$C$1:$G$99911,5,FALSE)</f>
        <v>LANGERAK WILLIAM</v>
      </c>
      <c r="M47" s="6">
        <f t="shared" si="28"/>
        <v>2.6736111110949423E-2</v>
      </c>
      <c r="N47" s="7">
        <f t="shared" si="26"/>
        <v>38.499999999767169</v>
      </c>
      <c r="O47" s="7"/>
      <c r="P47" s="7"/>
      <c r="Q47" s="22"/>
      <c r="R47" s="174"/>
      <c r="S47" s="221">
        <f t="shared" si="25"/>
        <v>1</v>
      </c>
      <c r="T47" s="174" t="str">
        <f t="shared" si="29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-10-08T07:24:59-0600',mode:absolute,to:'2017-10-08T10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7" s="204" t="str">
        <f>IF(AA47&lt;VLOOKUP(AG47,Variables!$AC$3:$AD$8,2,FALSE),"Y","N")</f>
        <v>N</v>
      </c>
      <c r="X47" s="204">
        <f t="shared" si="30"/>
        <v>1</v>
      </c>
      <c r="Y47" s="204">
        <f t="shared" si="31"/>
        <v>23.2942</v>
      </c>
      <c r="Z47" s="204">
        <f t="shared" si="32"/>
        <v>1.54E-2</v>
      </c>
      <c r="AA47" s="204">
        <f t="shared" si="33"/>
        <v>23.2788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34"/>
        <v>134</v>
      </c>
      <c r="AE47" s="77" t="str">
        <f t="shared" si="9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47" s="74" t="str">
        <f t="shared" si="10"/>
        <v>"C:\Program Files (x86)\AstroGrep\AstroGrep.exe" /e /r /s /spath="%USERPROFILE%\AppData\Local\Temp\OnboardLogs" /stypes="app*4049*20171008*" /stext=" 15:.+((SYSTEM_STATE.+slice.+state.+changed )|(ment ac)|(multiple cpu faults)|(system.+state.+changed )|(\[timeout)|(PRM\|1\|D)|(kpr)|(kdp)|(train st.+moving)|(\|lc)|(penalty))"</v>
      </c>
      <c r="AG47" s="182" t="str">
        <f t="shared" si="35"/>
        <v>EC</v>
      </c>
      <c r="AH47" s="78" t="str">
        <f t="shared" si="17"/>
        <v>"%USERPROFILE%\Documents\GitHub\eaglep3\Utilities\RefineRTDCRunTimes.py" --tripid 134-08 --locoid 4049 --swversion DE.1.0.9.0 --startMP 204:232942 --initTime 2017-10-08T08:24:59 --startdatetime 2017-10-08T08:42:15 --delay 52 --endMP 204:154 --enddatetime 2017-10-08T09:20:45 --enforcementcount 0 &gt;&gt;%USERPROFILE%\Documents\GitHub\eaglep3-reporting\EC\2017-10-08-refined-times.txt</v>
      </c>
      <c r="AI47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{"issue":{"subject":"","project_id":79,"tracker_id":40,"status_id":1,"priority_id":2,"assigned_to_id":338,"start_date":"2017-10-08","description":"","custom_fields":[{"id":1,"name":"Subdivision","value":"EC"},{"id":4,"name":"Milepost","value":"0.0154"},{"id":17,"name":"Train ID","value":"134-08"},{"id":16,"name":"Locomotive ID","value":"4049"},{"id":130,"name":"Impact","value":""},{"id":150,"name":"Time of Event (Mountain Time)","value":"09:20:45"},{"id":151,"name":"Denver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4049 --day 2017-10-08</v>
      </c>
      <c r="AN47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-10-08T07:24:59-0600',mode:absolute,to:'2017-10-08T10:20:45-0600'))&amp;_a=(columns:!('Message%20ID',Summary),filters:!(),index:'emp_*',interval:auto,query:(query_string:(analyze_wildcard:!t,query:'%22rtdc.l.rtdc.4049%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684</v>
      </c>
      <c r="B48" s="7">
        <v>4066</v>
      </c>
      <c r="C48" s="21" t="s">
        <v>194</v>
      </c>
      <c r="D48" s="21" t="s">
        <v>346</v>
      </c>
      <c r="E48" s="13">
        <v>43016.330277777779</v>
      </c>
      <c r="F48" s="13">
        <v>43016.333483796298</v>
      </c>
      <c r="G48" s="7">
        <v>55</v>
      </c>
      <c r="H48" s="21" t="s">
        <v>408</v>
      </c>
      <c r="I48" s="13">
        <v>43016.358101851853</v>
      </c>
      <c r="J48" s="7">
        <v>0</v>
      </c>
      <c r="K48" s="89" t="str">
        <f t="shared" si="27"/>
        <v>4065/4066</v>
      </c>
      <c r="L48" s="185" t="str">
        <f>VLOOKUP(A48,'Trips&amp;Operators'!$C$1:$G$99911,5,FALSE)</f>
        <v>LALONDE GREGORY</v>
      </c>
      <c r="M48" s="6">
        <f t="shared" si="28"/>
        <v>2.4618055555038154E-2</v>
      </c>
      <c r="N48" s="7">
        <f t="shared" si="26"/>
        <v>35.449999999254942</v>
      </c>
      <c r="O48" s="7"/>
      <c r="P48" s="7"/>
      <c r="Q48" s="22"/>
      <c r="R48" s="174"/>
      <c r="S48" s="221">
        <f t="shared" si="25"/>
        <v>1</v>
      </c>
      <c r="T48" s="174" t="str">
        <f t="shared" si="29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-10-08T06:55:36-0600',mode:absolute,to:'2017-10-08T09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8" s="204" t="str">
        <f>IF(AA48&lt;VLOOKUP(AG48,Variables!$AC$3:$AD$8,2,FALSE),"Y","N")</f>
        <v>N</v>
      </c>
      <c r="X48" s="204">
        <f t="shared" si="30"/>
        <v>1</v>
      </c>
      <c r="Y48" s="204">
        <f t="shared" si="31"/>
        <v>4.5499999999999999E-2</v>
      </c>
      <c r="Z48" s="204">
        <f t="shared" si="32"/>
        <v>23.333400000000001</v>
      </c>
      <c r="AA48" s="204">
        <f t="shared" si="33"/>
        <v>23.2879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34"/>
        <v>135</v>
      </c>
      <c r="AE48" s="77" t="str">
        <f t="shared" si="9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48" s="74" t="str">
        <f t="shared" si="10"/>
        <v>"C:\Program Files (x86)\AstroGrep\AstroGrep.exe" /e /r /s /spath="%USERPROFILE%\AppData\Local\Temp\OnboardLogs" /stypes="app*4066*20171008*" /stext=" 14:.+((SYSTEM_STATE.+slice.+state.+changed )|(ment ac)|(multiple cpu faults)|(system.+state.+changed )|(\[timeout)|(PRM\|1\|D)|(kpr)|(kdp)|(train st.+moving)|(\|lc)|(penalty))"</v>
      </c>
      <c r="AG48" s="182" t="str">
        <f t="shared" si="35"/>
        <v>EC</v>
      </c>
      <c r="AH48" s="78" t="str">
        <f t="shared" si="17"/>
        <v>"%USERPROFILE%\Documents\GitHub\eaglep3\Utilities\RefineRTDCRunTimes.py" --tripid 135-08 --locoid 4066 --swversion DE.1.0.9.0 --startMP 204:455 --initTime 2017-10-08T07:55:36 --startdatetime 2017-10-08T08:00:13 --delay 55 --endMP 204:233334 --enddatetime 2017-10-08T08:35:40 --enforcementcount 0 &gt;&gt;%USERPROFILE%\Documents\GitHub\eaglep3-reporting\EC\2017-10-08-refined-times.txt</v>
      </c>
      <c r="AI48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{"issue":{"subject":"","project_id":79,"tracker_id":40,"status_id":1,"priority_id":2,"assigned_to_id":338,"start_date":"2017-10-08","description":"","custom_fields":[{"id":1,"name":"Subdivision","value":"EC"},{"id":4,"name":"Milepost","value":"23.3334"},{"id":17,"name":"Train ID","value":"135-08"},{"id":16,"name":"Locomotive ID","value":"4066"},{"id":130,"name":"Impact","value":""},{"id":150,"name":"Time of Event (Mountain Time)","value":"08:35:40"},{"id":151,"name":"Denver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4066 --day 2017-10-08</v>
      </c>
      <c r="AN48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-10-08T06:55:36-0600',mode:absolute,to:'2017-10-08T09:35:40-0600'))&amp;_a=(columns:!('Message%20ID',Summary),filters:!(),index:'emp_*',interval:auto,query:(query_string:(analyze_wildcard:!t,query:'%22rtdc.l.rtdc.4066%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695</v>
      </c>
      <c r="B49" s="7">
        <v>4065</v>
      </c>
      <c r="C49" s="21" t="s">
        <v>194</v>
      </c>
      <c r="D49" s="21" t="s">
        <v>870</v>
      </c>
      <c r="E49" s="13">
        <v>43016.359282407408</v>
      </c>
      <c r="F49" s="13">
        <v>43016.373078703706</v>
      </c>
      <c r="G49" s="7">
        <v>47</v>
      </c>
      <c r="H49" s="21" t="s">
        <v>367</v>
      </c>
      <c r="I49" s="13">
        <v>43016.398298611108</v>
      </c>
      <c r="J49" s="7">
        <v>0</v>
      </c>
      <c r="K49" s="89" t="str">
        <f t="shared" si="27"/>
        <v>4065/4066</v>
      </c>
      <c r="L49" s="185" t="str">
        <f>VLOOKUP(A49,'Trips&amp;Operators'!$C$1:$G$99911,5,FALSE)</f>
        <v>LALONDE GREGORY</v>
      </c>
      <c r="M49" s="6">
        <f t="shared" si="28"/>
        <v>2.5219907402060926E-2</v>
      </c>
      <c r="N49" s="7">
        <f t="shared" si="26"/>
        <v>36.316666658967733</v>
      </c>
      <c r="O49" s="7"/>
      <c r="P49" s="7"/>
      <c r="Q49" s="22"/>
      <c r="R49" s="174"/>
      <c r="S49" s="221">
        <f t="shared" si="25"/>
        <v>1</v>
      </c>
      <c r="T49" s="174" t="str">
        <f t="shared" si="29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-10-08T07:37:22-0600',mode:absolute,to:'2017-10-08T10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9" s="204" t="str">
        <f>IF(AA49&lt;VLOOKUP(AG49,Variables!$AC$3:$AD$8,2,FALSE),"Y","N")</f>
        <v>N</v>
      </c>
      <c r="X49" s="204">
        <f t="shared" si="30"/>
        <v>1</v>
      </c>
      <c r="Y49" s="204">
        <f t="shared" si="31"/>
        <v>23.303599999999999</v>
      </c>
      <c r="Z49" s="204">
        <f t="shared" si="32"/>
        <v>1.5800000000000002E-2</v>
      </c>
      <c r="AA49" s="204">
        <f t="shared" si="33"/>
        <v>23.287800000000001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34"/>
        <v>136</v>
      </c>
      <c r="AE49" s="77" t="str">
        <f t="shared" si="9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49" s="74" t="str">
        <f t="shared" si="10"/>
        <v>"C:\Program Files (x86)\AstroGrep\AstroGrep.exe" /e /r /s /spath="%USERPROFILE%\AppData\Local\Temp\OnboardLogs" /stypes="app*4065*20171008*" /stext=" 15:.+((SYSTEM_STATE.+slice.+state.+changed )|(ment ac)|(multiple cpu faults)|(system.+state.+changed )|(\[timeout)|(PRM\|1\|D)|(kpr)|(kdp)|(train st.+moving)|(\|lc)|(penalty))"</v>
      </c>
      <c r="AG49" s="182" t="str">
        <f t="shared" si="35"/>
        <v>EC</v>
      </c>
      <c r="AH49" s="78" t="str">
        <f t="shared" si="17"/>
        <v>"%USERPROFILE%\Documents\GitHub\eaglep3\Utilities\RefineRTDCRunTimes.py" --tripid 136-08 --locoid 4065 --swversion DE.1.0.9.0 --startMP 204:233036 --initTime 2017-10-08T08:37:22 --startdatetime 2017-10-08T08:57:14 --delay 47 --endMP 204:158 --enddatetime 2017-10-08T09:33:33 --enforcementcount 0 &gt;&gt;%USERPROFILE%\Documents\GitHub\eaglep3-reporting\EC\2017-10-08-refined-times.txt</v>
      </c>
      <c r="AI49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{"issue":{"subject":"","project_id":79,"tracker_id":40,"status_id":1,"priority_id":2,"assigned_to_id":338,"start_date":"2017-10-08","description":"","custom_fields":[{"id":1,"name":"Subdivision","value":"EC"},{"id":4,"name":"Milepost","value":"0.0158"},{"id":17,"name":"Train ID","value":"136-08"},{"id":16,"name":"Locomotive ID","value":"4065"},{"id":130,"name":"Impact","value":""},{"id":150,"name":"Time of Event (Mountain Time)","value":"09:33:33"},{"id":151,"name":"Denver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4065 --day 2017-10-08</v>
      </c>
      <c r="AN49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-10-08T07:37:22-0600',mode:absolute,to:'2017-10-08T10:33:33-0600'))&amp;_a=(columns:!('Message%20ID',Summary),filters:!(),index:'emp_*',interval:auto,query:(query_string:(analyze_wildcard:!t,query:'%22rtdc.l.rtdc.4065%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685</v>
      </c>
      <c r="B50" s="7">
        <v>4060</v>
      </c>
      <c r="C50" s="21" t="s">
        <v>194</v>
      </c>
      <c r="D50" s="21" t="s">
        <v>451</v>
      </c>
      <c r="E50" s="13">
        <v>43016.336736111109</v>
      </c>
      <c r="F50" s="13">
        <v>43016.343923611108</v>
      </c>
      <c r="G50" s="7">
        <v>66</v>
      </c>
      <c r="H50" s="21" t="s">
        <v>871</v>
      </c>
      <c r="I50" s="13">
        <v>43016.36787037037</v>
      </c>
      <c r="J50" s="7">
        <v>0</v>
      </c>
      <c r="K50" s="89" t="str">
        <f t="shared" si="27"/>
        <v>4059/4060</v>
      </c>
      <c r="L50" s="185" t="str">
        <f>VLOOKUP(A50,'Trips&amp;Operators'!$C$1:$G$99911,5,FALSE)</f>
        <v>DELGADO DIANAH</v>
      </c>
      <c r="M50" s="6">
        <f t="shared" si="28"/>
        <v>2.3946759261889383E-2</v>
      </c>
      <c r="N50" s="7">
        <f t="shared" si="26"/>
        <v>34.483333337120712</v>
      </c>
      <c r="O50" s="7"/>
      <c r="P50" s="7"/>
      <c r="Q50" s="22"/>
      <c r="R50" s="174"/>
      <c r="S50" s="221">
        <f t="shared" si="25"/>
        <v>1</v>
      </c>
      <c r="T50" s="174" t="str">
        <f t="shared" si="29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-10-08T07:04:54-0600',mode:absolute,to:'2017-10-08T09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0" s="204" t="str">
        <f>IF(AA50&lt;VLOOKUP(AG50,Variables!$AC$3:$AD$8,2,FALSE),"Y","N")</f>
        <v>N</v>
      </c>
      <c r="X50" s="204">
        <f t="shared" si="30"/>
        <v>1</v>
      </c>
      <c r="Y50" s="204">
        <f t="shared" si="31"/>
        <v>4.3499999999999997E-2</v>
      </c>
      <c r="Z50" s="204">
        <f t="shared" si="32"/>
        <v>23.335899999999999</v>
      </c>
      <c r="AA50" s="204">
        <f t="shared" si="33"/>
        <v>23.292399999999997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34"/>
        <v>137</v>
      </c>
      <c r="AE50" s="77" t="str">
        <f t="shared" si="9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50" s="74" t="str">
        <f t="shared" si="10"/>
        <v>"C:\Program Files (x86)\AstroGrep\AstroGrep.exe" /e /r /s /spath="%USERPROFILE%\AppData\Local\Temp\OnboardLogs" /stypes="app*4060*20171008*" /stext=" 14:.+((SYSTEM_STATE.+slice.+state.+changed )|(ment ac)|(multiple cpu faults)|(system.+state.+changed )|(\[timeout)|(PRM\|1\|D)|(kpr)|(kdp)|(train st.+moving)|(\|lc)|(penalty))"</v>
      </c>
      <c r="AG50" s="182" t="str">
        <f t="shared" si="35"/>
        <v>EC</v>
      </c>
      <c r="AH50" s="78" t="str">
        <f t="shared" si="17"/>
        <v>"%USERPROFILE%\Documents\GitHub\eaglep3\Utilities\RefineRTDCRunTimes.py" --tripid 137-08 --locoid 4060 --swversion DE.1.0.9.0 --startMP 204:435 --initTime 2017-10-08T08:04:54 --startdatetime 2017-10-08T08:15:15 --delay 66 --endMP 204:233359 --enddatetime 2017-10-08T08:49:44 --enforcementcount 0 &gt;&gt;%USERPROFILE%\Documents\GitHub\eaglep3-reporting\EC\2017-10-08-refined-times.txt</v>
      </c>
      <c r="AI50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{"issue":{"subject":"","project_id":79,"tracker_id":40,"status_id":1,"priority_id":2,"assigned_to_id":338,"start_date":"2017-10-08","description":"","custom_fields":[{"id":1,"name":"Subdivision","value":"EC"},{"id":4,"name":"Milepost","value":"23.3359"},{"id":17,"name":"Train ID","value":"137-08"},{"id":16,"name":"Locomotive ID","value":"4060"},{"id":130,"name":"Impact","value":""},{"id":150,"name":"Time of Event (Mountain Time)","value":"08:49:44"},{"id":151,"name":"Denver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4060 --day 2017-10-08</v>
      </c>
      <c r="AN50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-10-08T07:04:54-0600',mode:absolute,to:'2017-10-08T09:49:44-0600'))&amp;_a=(columns:!('Message%20ID',Summary),filters:!(),index:'emp_*',interval:auto,query:(query_string:(analyze_wildcard:!t,query:'%22rtdc.l.rtdc.4060%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698</v>
      </c>
      <c r="B51" s="7">
        <v>4059</v>
      </c>
      <c r="C51" s="21" t="s">
        <v>194</v>
      </c>
      <c r="D51" s="21" t="s">
        <v>565</v>
      </c>
      <c r="E51" s="13">
        <v>43016.375451388885</v>
      </c>
      <c r="F51" s="13">
        <v>43016.383506944447</v>
      </c>
      <c r="G51" s="7">
        <v>125</v>
      </c>
      <c r="H51" s="21" t="s">
        <v>423</v>
      </c>
      <c r="I51" s="13">
        <v>43016.409108796295</v>
      </c>
      <c r="J51" s="7">
        <v>0</v>
      </c>
      <c r="K51" s="89" t="str">
        <f t="shared" si="27"/>
        <v>4059/4060</v>
      </c>
      <c r="L51" s="185" t="str">
        <f>VLOOKUP(A51,'Trips&amp;Operators'!$C$1:$G$99911,5,FALSE)</f>
        <v>DELGADO DIANAH</v>
      </c>
      <c r="M51" s="6">
        <f t="shared" si="28"/>
        <v>2.5601851848477963E-2</v>
      </c>
      <c r="N51" s="7">
        <f t="shared" si="26"/>
        <v>36.866666661808267</v>
      </c>
      <c r="O51" s="7"/>
      <c r="P51" s="7"/>
      <c r="Q51" s="22"/>
      <c r="R51" s="174"/>
      <c r="S51" s="221">
        <f t="shared" si="25"/>
        <v>1</v>
      </c>
      <c r="T51" s="174" t="str">
        <f t="shared" si="29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-10-08T08:00:39-0600',mode:absolute,to:'2017-10-08T10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1" s="204" t="str">
        <f>IF(AA51&lt;VLOOKUP(AG51,Variables!$AC$3:$AD$8,2,FALSE),"Y","N")</f>
        <v>N</v>
      </c>
      <c r="X51" s="204">
        <f t="shared" si="30"/>
        <v>1</v>
      </c>
      <c r="Y51" s="204">
        <f t="shared" si="31"/>
        <v>23.302299999999999</v>
      </c>
      <c r="Z51" s="204">
        <f t="shared" si="32"/>
        <v>1.6E-2</v>
      </c>
      <c r="AA51" s="204">
        <f t="shared" si="33"/>
        <v>23.286300000000001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34"/>
        <v>138</v>
      </c>
      <c r="AE51" s="77" t="str">
        <f t="shared" si="9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51" s="74" t="str">
        <f t="shared" si="10"/>
        <v>"C:\Program Files (x86)\AstroGrep\AstroGrep.exe" /e /r /s /spath="%USERPROFILE%\AppData\Local\Temp\OnboardLogs" /stypes="app*4059*20171008*" /stext=" 15:.+((SYSTEM_STATE.+slice.+state.+changed )|(ment ac)|(multiple cpu faults)|(system.+state.+changed )|(\[timeout)|(PRM\|1\|D)|(kpr)|(kdp)|(train st.+moving)|(\|lc)|(penalty))"</v>
      </c>
      <c r="AG51" s="182" t="str">
        <f t="shared" si="35"/>
        <v>EC</v>
      </c>
      <c r="AH51" s="78" t="str">
        <f t="shared" si="17"/>
        <v>"%USERPROFILE%\Documents\GitHub\eaglep3\Utilities\RefineRTDCRunTimes.py" --tripid 138-08 --locoid 4059 --swversion DE.1.0.9.0 --startMP 204:233023 --initTime 2017-10-08T09:00:39 --startdatetime 2017-10-08T09:12:15 --delay 125 --endMP 204:160 --enddatetime 2017-10-08T09:49:07 --enforcementcount 0 &gt;&gt;%USERPROFILE%\Documents\GitHub\eaglep3-reporting\EC\2017-10-08-refined-times.txt</v>
      </c>
      <c r="AI51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{"issue":{"subject":"","project_id":79,"tracker_id":40,"status_id":1,"priority_id":2,"assigned_to_id":338,"start_date":"2017-10-08","description":"","custom_fields":[{"id":1,"name":"Subdivision","value":"EC"},{"id":4,"name":"Milepost","value":"0.016"},{"id":17,"name":"Train ID","value":"138-08"},{"id":16,"name":"Locomotive ID","value":"4059"},{"id":130,"name":"Impact","value":""},{"id":150,"name":"Time of Event (Mountain Time)","value":"09:49:07"},{"id":151,"name":"Denver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4059 --day 2017-10-08</v>
      </c>
      <c r="AN51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-10-08T08:00:39-0600',mode:absolute,to:'2017-10-08T10:49:07-0600'))&amp;_a=(columns:!('Message%20ID',Summary),filters:!(),index:'emp_*',interval:auto,query:(query_string:(analyze_wildcard:!t,query:'%22rtdc.l.rtdc.4059%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691</v>
      </c>
      <c r="B52" s="7">
        <v>4036</v>
      </c>
      <c r="C52" s="21" t="s">
        <v>194</v>
      </c>
      <c r="D52" s="21" t="s">
        <v>366</v>
      </c>
      <c r="E52" s="13">
        <v>43016.34851851852</v>
      </c>
      <c r="F52" s="13">
        <v>43016.35434027778</v>
      </c>
      <c r="G52" s="7">
        <v>76</v>
      </c>
      <c r="H52" s="21" t="s">
        <v>556</v>
      </c>
      <c r="I52" s="13">
        <v>43016.378888888888</v>
      </c>
      <c r="J52" s="7">
        <v>0</v>
      </c>
      <c r="K52" s="89" t="str">
        <f t="shared" si="27"/>
        <v>4035/4036</v>
      </c>
      <c r="L52" s="185" t="str">
        <f>VLOOKUP(A52,'Trips&amp;Operators'!$C$1:$G$99911,5,FALSE)</f>
        <v>LOPES KIMBERLY</v>
      </c>
      <c r="M52" s="6">
        <f t="shared" si="28"/>
        <v>2.4548611108912155E-2</v>
      </c>
      <c r="N52" s="7">
        <f t="shared" si="26"/>
        <v>35.349999996833503</v>
      </c>
      <c r="O52" s="7"/>
      <c r="P52" s="7"/>
      <c r="Q52" s="22"/>
      <c r="R52" s="174"/>
      <c r="S52" s="221">
        <f t="shared" si="25"/>
        <v>1</v>
      </c>
      <c r="T52" s="174" t="str">
        <f t="shared" si="29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-10-08T07:21:52-0600',mode:absolute,to:'2017-10-08T10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2" s="204" t="str">
        <f>IF(AA52&lt;VLOOKUP(AG52,Variables!$AC$3:$AD$8,2,FALSE),"Y","N")</f>
        <v>N</v>
      </c>
      <c r="X52" s="204">
        <f t="shared" si="30"/>
        <v>1</v>
      </c>
      <c r="Y52" s="204">
        <f t="shared" si="31"/>
        <v>4.5999999999999999E-2</v>
      </c>
      <c r="Z52" s="204">
        <f t="shared" si="32"/>
        <v>23.332100000000001</v>
      </c>
      <c r="AA52" s="204">
        <f t="shared" si="33"/>
        <v>23.286100000000001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34"/>
        <v>139</v>
      </c>
      <c r="AE52" s="77" t="str">
        <f t="shared" si="9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52" s="74" t="str">
        <f t="shared" si="10"/>
        <v>"C:\Program Files (x86)\AstroGrep\AstroGrep.exe" /e /r /s /spath="%USERPROFILE%\AppData\Local\Temp\OnboardLogs" /stypes="app*4036*20171008*" /stext=" 15:.+((SYSTEM_STATE.+slice.+state.+changed )|(ment ac)|(multiple cpu faults)|(system.+state.+changed )|(\[timeout)|(PRM\|1\|D)|(kpr)|(kdp)|(train st.+moving)|(\|lc)|(penalty))"</v>
      </c>
      <c r="AG52" s="182" t="str">
        <f t="shared" si="35"/>
        <v>EC</v>
      </c>
      <c r="AH52" s="78" t="str">
        <f t="shared" si="17"/>
        <v>"%USERPROFILE%\Documents\GitHub\eaglep3\Utilities\RefineRTDCRunTimes.py" --tripid 139-08 --locoid 4036 --swversion DE.1.0.9.0 --startMP 204:460 --initTime 2017-10-08T08:21:52 --startdatetime 2017-10-08T08:30:15 --delay 76 --endMP 204:233321 --enddatetime 2017-10-08T09:05:36 --enforcementcount 0 &gt;&gt;%USERPROFILE%\Documents\GitHub\eaglep3-reporting\EC\2017-10-08-refined-times.txt</v>
      </c>
      <c r="AI52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{"issue":{"subject":"","project_id":79,"tracker_id":40,"status_id":1,"priority_id":2,"assigned_to_id":338,"start_date":"2017-10-08","description":"","custom_fields":[{"id":1,"name":"Subdivision","value":"EC"},{"id":4,"name":"Milepost","value":"23.3321"},{"id":17,"name":"Train ID","value":"139-08"},{"id":16,"name":"Locomotive ID","value":"4036"},{"id":130,"name":"Impact","value":""},{"id":150,"name":"Time of Event (Mountain Time)","value":"09:05:36"},{"id":151,"name":"Denver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4036 --day 2017-10-08</v>
      </c>
      <c r="AN52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-10-08T07:21:52-0600',mode:absolute,to:'2017-10-08T10:05:36-0600'))&amp;_a=(columns:!('Message%20ID',Summary),filters:!(),index:'emp_*',interval:auto,query:(query_string:(analyze_wildcard:!t,query:'%22rtdc.l.rtdc.4036%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596</v>
      </c>
      <c r="B53" s="7">
        <v>4035</v>
      </c>
      <c r="C53" s="21" t="s">
        <v>194</v>
      </c>
      <c r="D53" s="21" t="s">
        <v>490</v>
      </c>
      <c r="E53" s="13">
        <v>43016.387638888889</v>
      </c>
      <c r="F53" s="13">
        <v>43016.393935185188</v>
      </c>
      <c r="G53" s="7">
        <v>117</v>
      </c>
      <c r="H53" s="21" t="s">
        <v>489</v>
      </c>
      <c r="I53" s="13">
        <v>43016.419930555552</v>
      </c>
      <c r="J53" s="7">
        <v>0</v>
      </c>
      <c r="K53" s="89" t="str">
        <f t="shared" si="27"/>
        <v>4035/4036</v>
      </c>
      <c r="L53" s="185" t="str">
        <f>VLOOKUP(A53,'Trips&amp;Operators'!$C$1:$G$99911,5,FALSE)</f>
        <v>LOPES KIMBERLY</v>
      </c>
      <c r="M53" s="6">
        <f t="shared" si="28"/>
        <v>2.5995370364398696E-2</v>
      </c>
      <c r="N53" s="7">
        <f t="shared" si="26"/>
        <v>37.433333324734122</v>
      </c>
      <c r="O53" s="7"/>
      <c r="P53" s="7"/>
      <c r="Q53" s="22"/>
      <c r="R53" s="174"/>
      <c r="S53" s="221">
        <f t="shared" si="25"/>
        <v>1</v>
      </c>
      <c r="T53" s="174" t="str">
        <f t="shared" si="29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-10-08T08:18:12-0600',mode:absolute,to:'2017-10-08T11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3" s="204" t="str">
        <f>IF(AA53&lt;VLOOKUP(AG53,Variables!$AC$3:$AD$8,2,FALSE),"Y","N")</f>
        <v>N</v>
      </c>
      <c r="X53" s="204">
        <f t="shared" si="30"/>
        <v>1</v>
      </c>
      <c r="Y53" s="204">
        <f t="shared" si="31"/>
        <v>23.301100000000002</v>
      </c>
      <c r="Z53" s="204">
        <f t="shared" si="32"/>
        <v>1.38E-2</v>
      </c>
      <c r="AA53" s="204">
        <f t="shared" si="33"/>
        <v>23.287300000000002</v>
      </c>
      <c r="AB53" s="54" t="str">
        <f>VLOOKUP(A53,Enforcements!$C$7:$K$11,8,0)</f>
        <v>Bulletin (2)</v>
      </c>
      <c r="AC53" s="51" t="str">
        <f>VLOOKUP(A53,Enforcements!$C$7:$E$11,3,0)</f>
        <v>GRADE CROSSING</v>
      </c>
      <c r="AD53" s="179">
        <f t="shared" si="34"/>
        <v>140</v>
      </c>
      <c r="AE53" s="77" t="str">
        <f t="shared" si="9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53" s="74" t="str">
        <f t="shared" si="10"/>
        <v>"C:\Program Files (x86)\AstroGrep\AstroGrep.exe" /e /r /s /spath="%USERPROFILE%\AppData\Local\Temp\OnboardLogs" /stypes="app*4035*20171008*" /stext=" 16:.+((SYSTEM_STATE.+slice.+state.+changed )|(ment ac)|(multiple cpu faults)|(system.+state.+changed )|(\[timeout)|(PRM\|1\|D)|(kpr)|(kdp)|(train st.+moving)|(\|lc)|(penalty))"</v>
      </c>
      <c r="AG53" s="182" t="str">
        <f t="shared" si="35"/>
        <v>EC</v>
      </c>
      <c r="AH53" s="78" t="str">
        <f t="shared" si="17"/>
        <v>"%USERPROFILE%\Documents\GitHub\eaglep3\Utilities\RefineRTDCRunTimes.py" --tripid 140-08 --locoid 4035 --swversion DE.1.0.9.0 --startMP 204:233011 --initTime 2017-10-08T09:18:12 --startdatetime 2017-10-08T09:27:16 --delay 117 --endMP 204:138 --enddatetime 2017-10-08T10:04:42 --enforcementcount 0 &gt;&gt;%USERPROFILE%\Documents\GitHub\eaglep3-reporting\EC\2017-10-08-refined-times.txt</v>
      </c>
      <c r="AI53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{"issue":{"subject":"","project_id":79,"tracker_id":40,"status_id":1,"priority_id":2,"assigned_to_id":338,"start_date":"2017-10-08","description":"","custom_fields":[{"id":1,"name":"Subdivision","value":"EC"},{"id":4,"name":"Milepost","value":"0.0138"},{"id":17,"name":"Train ID","value":"140-08"},{"id":16,"name":"Locomotive ID","value":"4035"},{"id":130,"name":"Impact","value":""},{"id":150,"name":"Time of Event (Mountain Time)","value":"10:04:42"},{"id":151,"name":"Denver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4035 --day 2017-10-08</v>
      </c>
      <c r="AN53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-10-08T08:18:12-0600',mode:absolute,to:'2017-10-08T11:04:42-0600'))&amp;_a=(columns:!('Message%20ID',Summary),filters:!(),index:'emp_*',interval:auto,query:(query_string:(analyze_wildcard:!t,query:'%22rtdc.l.rtdc.4035%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696</v>
      </c>
      <c r="B54" s="7">
        <v>4016</v>
      </c>
      <c r="C54" s="21" t="s">
        <v>194</v>
      </c>
      <c r="D54" s="21" t="s">
        <v>872</v>
      </c>
      <c r="E54" s="13">
        <v>43016.364618055559</v>
      </c>
      <c r="F54" s="13">
        <v>43016.366157407407</v>
      </c>
      <c r="G54" s="7">
        <v>70</v>
      </c>
      <c r="H54" s="21" t="s">
        <v>428</v>
      </c>
      <c r="I54" s="13">
        <v>43016.391030092593</v>
      </c>
      <c r="J54" s="7">
        <v>0</v>
      </c>
      <c r="K54" s="89" t="str">
        <f t="shared" si="27"/>
        <v>4015/4016</v>
      </c>
      <c r="L54" s="185" t="str">
        <f>VLOOKUP(A54,'Trips&amp;Operators'!$C$1:$G$99911,5,FALSE)</f>
        <v>WILLIAMS DONTE</v>
      </c>
      <c r="M54" s="6">
        <f t="shared" si="28"/>
        <v>2.4872685185982846E-2</v>
      </c>
      <c r="N54" s="7">
        <f t="shared" si="26"/>
        <v>35.816666667815298</v>
      </c>
      <c r="O54" s="7"/>
      <c r="P54" s="7"/>
      <c r="Q54" s="22"/>
      <c r="R54" s="174"/>
      <c r="S54" s="221">
        <f t="shared" si="25"/>
        <v>1</v>
      </c>
      <c r="T54" s="174" t="str">
        <f t="shared" si="29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-10-08T07:45:03-0600',mode:absolute,to:'2017-10-08T10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4" s="204" t="str">
        <f>IF(AA54&lt;VLOOKUP(AG54,Variables!$AC$3:$AD$8,2,FALSE),"Y","N")</f>
        <v>N</v>
      </c>
      <c r="X54" s="204">
        <f t="shared" si="30"/>
        <v>1</v>
      </c>
      <c r="Y54" s="204">
        <f t="shared" si="31"/>
        <v>4.8399999999999999E-2</v>
      </c>
      <c r="Z54" s="204">
        <f t="shared" si="32"/>
        <v>23.3276</v>
      </c>
      <c r="AA54" s="204">
        <f t="shared" si="33"/>
        <v>23.279199999999999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34"/>
        <v>141</v>
      </c>
      <c r="AE54" s="77" t="str">
        <f t="shared" si="9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54" s="74" t="str">
        <f t="shared" si="10"/>
        <v>"C:\Program Files (x86)\AstroGrep\AstroGrep.exe" /e /r /s /spath="%USERPROFILE%\AppData\Local\Temp\OnboardLogs" /stypes="app*4016*20171008*" /stext=" 15:.+((SYSTEM_STATE.+slice.+state.+changed )|(ment ac)|(multiple cpu faults)|(system.+state.+changed )|(\[timeout)|(PRM\|1\|D)|(kpr)|(kdp)|(train st.+moving)|(\|lc)|(penalty))"</v>
      </c>
      <c r="AG54" s="182" t="str">
        <f t="shared" si="35"/>
        <v>EC</v>
      </c>
      <c r="AH54" s="78" t="str">
        <f t="shared" si="17"/>
        <v>"%USERPROFILE%\Documents\GitHub\eaglep3\Utilities\RefineRTDCRunTimes.py" --tripid 141-08 --locoid 4016 --swversion DE.1.0.9.0 --startMP 204:484 --initTime 2017-10-08T08:45:03 --startdatetime 2017-10-08T08:47:16 --delay 70 --endMP 204:233276 --enddatetime 2017-10-08T09:23:05 --enforcementcount 0 &gt;&gt;%USERPROFILE%\Documents\GitHub\eaglep3-reporting\EC\2017-10-08-refined-times.txt</v>
      </c>
      <c r="AI54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{"issue":{"subject":"","project_id":79,"tracker_id":40,"status_id":1,"priority_id":2,"assigned_to_id":338,"start_date":"2017-10-08","description":"","custom_fields":[{"id":1,"name":"Subdivision","value":"EC"},{"id":4,"name":"Milepost","value":"23.3276"},{"id":17,"name":"Train ID","value":"141-08"},{"id":16,"name":"Locomotive ID","value":"4016"},{"id":130,"name":"Impact","value":""},{"id":150,"name":"Time of Event (Mountain Time)","value":"09:23:05"},{"id":151,"name":"Denver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4016 --day 2017-10-08</v>
      </c>
      <c r="AN54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-10-08T07:45:03-0600',mode:absolute,to:'2017-10-08T10:23:05-0600'))&amp;_a=(columns:!('Message%20ID',Summary),filters:!(),index:'emp_*',interval:auto,query:(query_string:(analyze_wildcard:!t,query:'%22rtdc.l.rtdc.4016%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703</v>
      </c>
      <c r="B55" s="7">
        <v>4015</v>
      </c>
      <c r="C55" s="21" t="s">
        <v>194</v>
      </c>
      <c r="D55" s="21" t="s">
        <v>873</v>
      </c>
      <c r="E55" s="13">
        <v>43016.400150462963</v>
      </c>
      <c r="F55" s="13">
        <v>43016.404363425929</v>
      </c>
      <c r="G55" s="7">
        <v>106</v>
      </c>
      <c r="H55" s="21" t="s">
        <v>423</v>
      </c>
      <c r="I55" s="13">
        <v>43016.431527777779</v>
      </c>
      <c r="J55" s="7">
        <v>0</v>
      </c>
      <c r="K55" s="89" t="str">
        <f t="shared" si="27"/>
        <v>4015/4016</v>
      </c>
      <c r="L55" s="185" t="str">
        <f>VLOOKUP(A55,'Trips&amp;Operators'!$C$1:$G$99911,5,FALSE)</f>
        <v>WILLIAMS DONTE</v>
      </c>
      <c r="M55" s="6">
        <f t="shared" si="28"/>
        <v>2.7164351849933155E-2</v>
      </c>
      <c r="N55" s="7">
        <f t="shared" si="26"/>
        <v>39.116666663903743</v>
      </c>
      <c r="O55" s="7"/>
      <c r="P55" s="7"/>
      <c r="Q55" s="22"/>
      <c r="R55" s="174"/>
      <c r="S55" s="221">
        <f t="shared" si="25"/>
        <v>1</v>
      </c>
      <c r="T55" s="174" t="str">
        <f t="shared" si="29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-10-08T08:36:13-0600',mode:absolute,to:'2017-10-08T11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5" s="204" t="str">
        <f>IF(AA55&lt;VLOOKUP(AG55,Variables!$AC$3:$AD$8,2,FALSE),"Y","N")</f>
        <v>N</v>
      </c>
      <c r="X55" s="204">
        <f t="shared" si="30"/>
        <v>1</v>
      </c>
      <c r="Y55" s="204">
        <f t="shared" si="31"/>
        <v>23.2957</v>
      </c>
      <c r="Z55" s="204">
        <f t="shared" si="32"/>
        <v>1.6E-2</v>
      </c>
      <c r="AA55" s="204">
        <f t="shared" si="33"/>
        <v>23.279700000000002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34"/>
        <v>142</v>
      </c>
      <c r="AE55" s="77" t="str">
        <f t="shared" si="9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55" s="74" t="str">
        <f t="shared" si="10"/>
        <v>"C:\Program Files (x86)\AstroGrep\AstroGrep.exe" /e /r /s /spath="%USERPROFILE%\AppData\Local\Temp\OnboardLogs" /stypes="app*4015*20171008*" /stext=" 16:.+((SYSTEM_STATE.+slice.+state.+changed )|(ment ac)|(multiple cpu faults)|(system.+state.+changed )|(\[timeout)|(PRM\|1\|D)|(kpr)|(kdp)|(train st.+moving)|(\|lc)|(penalty))"</v>
      </c>
      <c r="AG55" s="182" t="str">
        <f t="shared" si="35"/>
        <v>EC</v>
      </c>
      <c r="AH55" s="78" t="str">
        <f t="shared" si="17"/>
        <v>"%USERPROFILE%\Documents\GitHub\eaglep3\Utilities\RefineRTDCRunTimes.py" --tripid 142-08 --locoid 4015 --swversion DE.1.0.9.0 --startMP 204:232957 --initTime 2017-10-08T09:36:13 --startdatetime 2017-10-08T09:42:17 --delay 106 --endMP 204:160 --enddatetime 2017-10-08T10:21:24 --enforcementcount 0 &gt;&gt;%USERPROFILE%\Documents\GitHub\eaglep3-reporting\EC\2017-10-08-refined-times.txt</v>
      </c>
      <c r="AI5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{"issue":{"subject":"","project_id":79,"tracker_id":40,"status_id":1,"priority_id":2,"assigned_to_id":338,"start_date":"2017-10-08","description":"","custom_fields":[{"id":1,"name":"Subdivision","value":"EC"},{"id":4,"name":"Milepost","value":"0.016"},{"id":17,"name":"Train ID","value":"142-08"},{"id":16,"name":"Locomotive ID","value":"4015"},{"id":130,"name":"Impact","value":""},{"id":150,"name":"Time of Event (Mountain Time)","value":"10:21:24"},{"id":151,"name":"Denver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4015 --day 2017-10-08</v>
      </c>
      <c r="AN5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-10-08T08:36:13-0600',mode:absolute,to:'2017-10-08T11:21:24-0600'))&amp;_a=(columns:!('Message%20ID',Summary),filters:!(),index:'emp_*',interval:auto,query:(query_string:(analyze_wildcard:!t,query:'%22rtdc.l.rtdc.4015%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697</v>
      </c>
      <c r="B56" s="7">
        <v>4002</v>
      </c>
      <c r="C56" s="21" t="s">
        <v>194</v>
      </c>
      <c r="D56" s="21" t="s">
        <v>338</v>
      </c>
      <c r="E56" s="13">
        <v>43016.370173611111</v>
      </c>
      <c r="F56" s="13">
        <v>43016.375185185185</v>
      </c>
      <c r="G56" s="7">
        <v>45</v>
      </c>
      <c r="H56" s="21" t="s">
        <v>874</v>
      </c>
      <c r="I56" s="13">
        <v>43016.399976851855</v>
      </c>
      <c r="J56" s="7">
        <v>0</v>
      </c>
      <c r="K56" s="89" t="str">
        <f t="shared" si="27"/>
        <v>4001/4002</v>
      </c>
      <c r="L56" s="185" t="str">
        <f>VLOOKUP(A56,'Trips&amp;Operators'!$C$1:$G$99911,5,FALSE)</f>
        <v>MAELZER KURT</v>
      </c>
      <c r="M56" s="6">
        <f t="shared" si="28"/>
        <v>2.4791666670353152E-2</v>
      </c>
      <c r="N56" s="7">
        <f t="shared" si="26"/>
        <v>35.700000005308539</v>
      </c>
      <c r="O56" s="7"/>
      <c r="P56" s="7"/>
      <c r="Q56" s="22"/>
      <c r="R56" s="174" t="s">
        <v>1019</v>
      </c>
      <c r="S56" s="221">
        <f t="shared" si="25"/>
        <v>1</v>
      </c>
      <c r="T56" s="174" t="str">
        <f t="shared" si="29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-10-08T07:53:03-0600',mode:absolute,to:'2017-10-08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6" s="204" t="str">
        <f>IF(AA56&lt;VLOOKUP(AG56,Variables!$AC$3:$AD$8,2,FALSE),"Y","N")</f>
        <v>N</v>
      </c>
      <c r="X56" s="204">
        <f t="shared" si="30"/>
        <v>1</v>
      </c>
      <c r="Y56" s="204">
        <f t="shared" si="31"/>
        <v>4.53E-2</v>
      </c>
      <c r="Z56" s="204">
        <f t="shared" si="32"/>
        <v>23.328499999999998</v>
      </c>
      <c r="AA56" s="204">
        <f t="shared" si="33"/>
        <v>23.283199999999997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34"/>
        <v>143</v>
      </c>
      <c r="AE56" s="77" t="str">
        <f t="shared" si="9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56" s="74" t="str">
        <f t="shared" si="10"/>
        <v>"C:\Program Files (x86)\AstroGrep\AstroGrep.exe" /e /r /s /spath="%USERPROFILE%\AppData\Local\Temp\OnboardLogs" /stypes="app*4002*20171008*" /stext=" 15:.+((SYSTEM_STATE.+slice.+state.+changed )|(ment ac)|(multiple cpu faults)|(system.+state.+changed )|(\[timeout)|(PRM\|1\|D)|(kpr)|(kdp)|(train st.+moving)|(\|lc)|(penalty))"</v>
      </c>
      <c r="AG56" s="182" t="str">
        <f t="shared" si="35"/>
        <v>EC</v>
      </c>
      <c r="AH56" s="78" t="str">
        <f t="shared" si="17"/>
        <v>"%USERPROFILE%\Documents\GitHub\eaglep3\Utilities\RefineRTDCRunTimes.py" --tripid 143-08 --locoid 4002 --swversion DE.1.0.9.0 --startMP 204:453 --initTime 2017-10-08T08:53:03 --startdatetime 2017-10-08T09:00:16 --delay 45 --endMP 204:233285 --enddatetime 2017-10-08T09:35:58 --enforcementcount 0 &gt;&gt;%USERPROFILE%\Documents\GitHub\eaglep3-reporting\EC\2017-10-08-refined-times.txt</v>
      </c>
      <c r="AI56" s="96" t="str">
        <f t="shared" si="18"/>
        <v>echo {"issue":{"subject":"Consist spam, power cycle fixed issue","project_id":79,"tracker_id":40,"status_id":1,"priority_id":2,"assigned_to_id":338,"start_date":"2017-10-08","description":"","custom_fields":[{"id":1,"name":"Subdivision","value":"EC"},{"id":4,"name":"Milepost","value":"23.3285"},{"id":17,"name":"Train ID","value":"143-08"},{"id":16,"name":"Locomotive ID","value":"4002"},{"id":130,"name":"Impact","value":""},{"id":150,"name":"Time of Event (Mountain Time)","value":"09:35:58"},{"id":151,"name":"Denver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4002 --day 2017-10-08</v>
      </c>
      <c r="AN56" s="151" t="str">
        <f t="shared" si="20"/>
        <v>echo {"issue":{"subject":"Consist spam, power cycle fixed issue","project_id":30,"tracker_id":4,"status_id":1,"priority_id":1,"assigned_to_id":10,"start_date":"2017-10-08","description":"","custom_fields":[{"id":30,"name":"Category","value":"Issue"},{"id":3,"name":"Functional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-10-08T07:53:03-0600',mode:absolute,to:'2017-10-08T10:35:58-0600'))&amp;_a=(columns:!('Message%20ID',Summary),filters:!(),index:'emp_*',interval:auto,query:(query_string:(analyze_wildcard:!t,query:'%22rtdc.l.rtdc.4002%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706</v>
      </c>
      <c r="B57" s="7">
        <v>4001</v>
      </c>
      <c r="C57" s="21" t="s">
        <v>194</v>
      </c>
      <c r="D57" s="21" t="s">
        <v>563</v>
      </c>
      <c r="E57" s="13">
        <v>43016.407789351855</v>
      </c>
      <c r="F57" s="13">
        <v>43016.415578703702</v>
      </c>
      <c r="G57" s="7">
        <v>551</v>
      </c>
      <c r="H57" s="21" t="s">
        <v>489</v>
      </c>
      <c r="I57" s="13">
        <v>43016.441203703704</v>
      </c>
      <c r="J57" s="7">
        <v>0</v>
      </c>
      <c r="K57" s="89" t="str">
        <f t="shared" si="27"/>
        <v>4001/4002</v>
      </c>
      <c r="L57" s="185" t="str">
        <f>VLOOKUP(A57,'Trips&amp;Operators'!$C$1:$G$99911,5,FALSE)</f>
        <v>MAELZER KURT</v>
      </c>
      <c r="M57" s="6">
        <f t="shared" si="28"/>
        <v>2.5625000002037268E-2</v>
      </c>
      <c r="N57" s="7">
        <f t="shared" si="26"/>
        <v>36.900000002933666</v>
      </c>
      <c r="O57" s="7"/>
      <c r="P57" s="7"/>
      <c r="Q57" s="22"/>
      <c r="R57" s="174"/>
      <c r="S57" s="221">
        <f t="shared" ref="S57:S90" si="36">1/IF(AG57="EC",12,1)*SUM(U57:U57)</f>
        <v>1</v>
      </c>
      <c r="T57" s="174" t="str">
        <f t="shared" si="29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-10-08T08:47:13-0600',mode:absolute,to:'2017-10-08T11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7" s="204" t="str">
        <f>IF(AA57&lt;VLOOKUP(AG57,Variables!$AC$3:$AD$8,2,FALSE),"Y","N")</f>
        <v>N</v>
      </c>
      <c r="X57" s="204">
        <f t="shared" si="30"/>
        <v>1</v>
      </c>
      <c r="Y57" s="204">
        <f t="shared" si="31"/>
        <v>23.301300000000001</v>
      </c>
      <c r="Z57" s="204">
        <f t="shared" si="32"/>
        <v>1.38E-2</v>
      </c>
      <c r="AA57" s="204">
        <f t="shared" si="33"/>
        <v>23.287500000000001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34"/>
        <v>144</v>
      </c>
      <c r="AE57" s="77" t="str">
        <f t="shared" si="9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57" s="74" t="str">
        <f t="shared" si="10"/>
        <v>"C:\Program Files (x86)\AstroGrep\AstroGrep.exe" /e /r /s /spath="%USERPROFILE%\AppData\Local\Temp\OnboardLogs" /stypes="app*4001*20171008*" /stext=" 16:.+((SYSTEM_STATE.+slice.+state.+changed )|(ment ac)|(multiple cpu faults)|(system.+state.+changed )|(\[timeout)|(PRM\|1\|D)|(kpr)|(kdp)|(train st.+moving)|(\|lc)|(penalty))"</v>
      </c>
      <c r="AG57" s="182" t="str">
        <f t="shared" si="35"/>
        <v>EC</v>
      </c>
      <c r="AH57" s="78" t="str">
        <f t="shared" si="17"/>
        <v>"%USERPROFILE%\Documents\GitHub\eaglep3\Utilities\RefineRTDCRunTimes.py" --tripid 144-08 --locoid 4001 --swversion DE.1.0.9.0 --startMP 204:233013 --initTime 2017-10-08T09:47:13 --startdatetime 2017-10-08T09:58:26 --delay 551 --endMP 204:138 --enddatetime 2017-10-08T10:35:20 --enforcementcount 0 &gt;&gt;%USERPROFILE%\Documents\GitHub\eaglep3-reporting\EC\2017-10-08-refined-times.txt</v>
      </c>
      <c r="AI57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{"issue":{"subject":"","project_id":79,"tracker_id":40,"status_id":1,"priority_id":2,"assigned_to_id":338,"start_date":"2017-10-08","description":"","custom_fields":[{"id":1,"name":"Subdivision","value":"EC"},{"id":4,"name":"Milepost","value":"0.0138"},{"id":17,"name":"Train ID","value":"144-08"},{"id":16,"name":"Locomotive ID","value":"4001"},{"id":130,"name":"Impact","value":""},{"id":150,"name":"Time of Event (Mountain Time)","value":"10:35:20"},{"id":151,"name":"Denver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4001 --day 2017-10-08</v>
      </c>
      <c r="AN57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-10-08T08:47:13-0600',mode:absolute,to:'2017-10-08T11:35:20-0600'))&amp;_a=(columns:!('Message%20ID',Summary),filters:!(),index:'emp_*',interval:auto,query:(query_string:(analyze_wildcard:!t,query:'%22rtdc.l.rtdc.4001%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700</v>
      </c>
      <c r="B58" s="7">
        <v>4006</v>
      </c>
      <c r="C58" s="21" t="s">
        <v>194</v>
      </c>
      <c r="D58" s="21" t="s">
        <v>379</v>
      </c>
      <c r="E58" s="13">
        <v>43016.382395833331</v>
      </c>
      <c r="F58" s="13">
        <v>43016.385625000003</v>
      </c>
      <c r="G58" s="7">
        <v>61</v>
      </c>
      <c r="H58" s="21" t="s">
        <v>430</v>
      </c>
      <c r="I58" s="13">
        <v>43016.409699074073</v>
      </c>
      <c r="J58" s="7">
        <v>0</v>
      </c>
      <c r="K58" s="89" t="str">
        <f t="shared" si="27"/>
        <v>4005/4006</v>
      </c>
      <c r="L58" s="185" t="str">
        <f>VLOOKUP(A58,'Trips&amp;Operators'!$C$1:$G$99911,5,FALSE)</f>
        <v>LAMAR NEKESHA</v>
      </c>
      <c r="M58" s="6">
        <f t="shared" si="28"/>
        <v>2.4074074070085771E-2</v>
      </c>
      <c r="N58" s="7">
        <f t="shared" si="26"/>
        <v>34.666666660923511</v>
      </c>
      <c r="O58" s="7"/>
      <c r="P58" s="7"/>
      <c r="Q58" s="22"/>
      <c r="R58" s="174"/>
      <c r="S58" s="221">
        <f t="shared" si="36"/>
        <v>1</v>
      </c>
      <c r="T58" s="174" t="str">
        <f t="shared" si="29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-10-08T08:10:39-0600',mode:absolute,to:'2017-10-08T10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8" s="204" t="str">
        <f>IF(AA58&lt;VLOOKUP(AG58,Variables!$AC$3:$AD$8,2,FALSE),"Y","N")</f>
        <v>N</v>
      </c>
      <c r="X58" s="204">
        <f t="shared" si="30"/>
        <v>1</v>
      </c>
      <c r="Y58" s="204">
        <f t="shared" si="31"/>
        <v>4.4699999999999997E-2</v>
      </c>
      <c r="Z58" s="204">
        <f t="shared" si="32"/>
        <v>23.330300000000001</v>
      </c>
      <c r="AA58" s="204">
        <f t="shared" si="33"/>
        <v>23.285600000000002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34"/>
        <v>145</v>
      </c>
      <c r="AE58" s="77" t="str">
        <f t="shared" si="9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58" s="74" t="str">
        <f t="shared" si="10"/>
        <v>"C:\Program Files (x86)\AstroGrep\AstroGrep.exe" /e /r /s /spath="%USERPROFILE%\AppData\Local\Temp\OnboardLogs" /stypes="app*4006*20171008*" /stext=" 15:.+((SYSTEM_STATE.+slice.+state.+changed )|(ment ac)|(multiple cpu faults)|(system.+state.+changed )|(\[timeout)|(PRM\|1\|D)|(kpr)|(kdp)|(train st.+moving)|(\|lc)|(penalty))"</v>
      </c>
      <c r="AG58" s="182" t="str">
        <f t="shared" si="35"/>
        <v>EC</v>
      </c>
      <c r="AH58" s="78" t="str">
        <f t="shared" si="17"/>
        <v>"%USERPROFILE%\Documents\GitHub\eaglep3\Utilities\RefineRTDCRunTimes.py" --tripid 145-08 --locoid 4006 --swversion DE.1.0.9.0 --startMP 204:447 --initTime 2017-10-08T09:10:39 --startdatetime 2017-10-08T09:15:18 --delay 61 --endMP 204:233303 --enddatetime 2017-10-08T09:49:58 --enforcementcount 0 &gt;&gt;%USERPROFILE%\Documents\GitHub\eaglep3-reporting\EC\2017-10-08-refined-times.txt</v>
      </c>
      <c r="AI58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{"issue":{"subject":"","project_id":79,"tracker_id":40,"status_id":1,"priority_id":2,"assigned_to_id":338,"start_date":"2017-10-08","description":"","custom_fields":[{"id":1,"name":"Subdivision","value":"EC"},{"id":4,"name":"Milepost","value":"23.3303"},{"id":17,"name":"Train ID","value":"145-08"},{"id":16,"name":"Locomotive ID","value":"4006"},{"id":130,"name":"Impact","value":""},{"id":150,"name":"Time of Event (Mountain Time)","value":"09:49:58"},{"id":151,"name":"Denver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4006 --day 2017-10-08</v>
      </c>
      <c r="AN58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-10-08T08:10:39-0600',mode:absolute,to:'2017-10-08T10:49:58-0600'))&amp;_a=(columns:!('Message%20ID',Summary),filters:!(),index:'emp_*',interval:auto,query:(query_string:(analyze_wildcard:!t,query:'%22rtdc.l.rtdc.4006%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707</v>
      </c>
      <c r="B59" s="7">
        <v>4005</v>
      </c>
      <c r="C59" s="21" t="s">
        <v>194</v>
      </c>
      <c r="D59" s="21" t="s">
        <v>405</v>
      </c>
      <c r="E59" s="13">
        <v>43016.416030092594</v>
      </c>
      <c r="F59" s="13">
        <v>43016.425173611111</v>
      </c>
      <c r="G59" s="7">
        <v>78</v>
      </c>
      <c r="H59" s="21" t="s">
        <v>336</v>
      </c>
      <c r="I59" s="13">
        <v>43016.450787037036</v>
      </c>
      <c r="J59" s="7">
        <v>0</v>
      </c>
      <c r="K59" s="89" t="str">
        <f t="shared" si="27"/>
        <v>4005/4006</v>
      </c>
      <c r="L59" s="185" t="str">
        <f>VLOOKUP(A59,'Trips&amp;Operators'!$C$1:$G$99911,5,FALSE)</f>
        <v>LAMAR NEKESHA</v>
      </c>
      <c r="M59" s="6">
        <f t="shared" si="28"/>
        <v>2.5613425925257616E-2</v>
      </c>
      <c r="N59" s="7">
        <f t="shared" si="26"/>
        <v>36.883333332370967</v>
      </c>
      <c r="O59" s="7"/>
      <c r="P59" s="7"/>
      <c r="Q59" s="22"/>
      <c r="R59" s="174"/>
      <c r="S59" s="221">
        <f t="shared" si="36"/>
        <v>1</v>
      </c>
      <c r="T59" s="174" t="str">
        <f t="shared" si="29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-10-08T08:59:05-0600',mode:absolute,to:'2017-10-08T11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9" s="204" t="str">
        <f>IF(AA59&lt;VLOOKUP(AG59,Variables!$AC$3:$AD$8,2,FALSE),"Y","N")</f>
        <v>N</v>
      </c>
      <c r="X59" s="204">
        <f t="shared" si="30"/>
        <v>1</v>
      </c>
      <c r="Y59" s="204">
        <f t="shared" si="31"/>
        <v>23.299399999999999</v>
      </c>
      <c r="Z59" s="204">
        <f t="shared" si="32"/>
        <v>1.49E-2</v>
      </c>
      <c r="AA59" s="204">
        <f t="shared" si="33"/>
        <v>23.284499999999998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34"/>
        <v>146</v>
      </c>
      <c r="AE59" s="77" t="str">
        <f t="shared" si="9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59" s="74" t="str">
        <f t="shared" si="10"/>
        <v>"C:\Program Files (x86)\AstroGrep\AstroGrep.exe" /e /r /s /spath="%USERPROFILE%\AppData\Local\Temp\OnboardLogs" /stypes="app*4005*20171008*" /stext=" 16:.+((SYSTEM_STATE.+slice.+state.+changed )|(ment ac)|(multiple cpu faults)|(system.+state.+changed )|(\[timeout)|(PRM\|1\|D)|(kpr)|(kdp)|(train st.+moving)|(\|lc)|(penalty))"</v>
      </c>
      <c r="AG59" s="182" t="str">
        <f t="shared" si="35"/>
        <v>EC</v>
      </c>
      <c r="AH59" s="78" t="str">
        <f t="shared" si="17"/>
        <v>"%USERPROFILE%\Documents\GitHub\eaglep3\Utilities\RefineRTDCRunTimes.py" --tripid 146-08 --locoid 4005 --swversion DE.1.0.9.0 --startMP 204:232994 --initTime 2017-10-08T09:59:05 --startdatetime 2017-10-08T10:12:15 --delay 78 --endMP 204:149 --enddatetime 2017-10-08T10:49:08 --enforcementcount 0 &gt;&gt;%USERPROFILE%\Documents\GitHub\eaglep3-reporting\EC\2017-10-08-refined-times.txt</v>
      </c>
      <c r="AI59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{"issue":{"subject":"","project_id":79,"tracker_id":40,"status_id":1,"priority_id":2,"assigned_to_id":338,"start_date":"2017-10-08","description":"","custom_fields":[{"id":1,"name":"Subdivision","value":"EC"},{"id":4,"name":"Milepost","value":"0.0149"},{"id":17,"name":"Train ID","value":"146-08"},{"id":16,"name":"Locomotive ID","value":"4005"},{"id":130,"name":"Impact","value":""},{"id":150,"name":"Time of Event (Mountain Time)","value":"10:49:08"},{"id":151,"name":"Denver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4005 --day 2017-10-08</v>
      </c>
      <c r="AN59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-10-08T08:59:05-0600',mode:absolute,to:'2017-10-08T11:49:08-0600'))&amp;_a=(columns:!('Message%20ID',Summary),filters:!(),index:'emp_*',interval:auto,query:(query_string:(analyze_wildcard:!t,query:'%22rtdc.l.rtdc.4005%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701</v>
      </c>
      <c r="B60" s="7">
        <v>4050</v>
      </c>
      <c r="C60" s="21" t="s">
        <v>194</v>
      </c>
      <c r="D60" s="21" t="s">
        <v>355</v>
      </c>
      <c r="E60" s="13">
        <v>43016.3908912037</v>
      </c>
      <c r="F60" s="13">
        <v>43016.396018518521</v>
      </c>
      <c r="G60" s="7">
        <v>52</v>
      </c>
      <c r="H60" s="21" t="s">
        <v>875</v>
      </c>
      <c r="I60" s="13">
        <v>43016.421585648146</v>
      </c>
      <c r="J60" s="7">
        <v>0</v>
      </c>
      <c r="K60" s="89" t="str">
        <f t="shared" si="27"/>
        <v>4049/4050</v>
      </c>
      <c r="L60" s="185" t="str">
        <f>VLOOKUP(A60,'Trips&amp;Operators'!$C$1:$G$99911,5,FALSE)</f>
        <v>LANGERAK WILLIAM</v>
      </c>
      <c r="M60" s="6">
        <f t="shared" si="28"/>
        <v>2.5567129625414964E-2</v>
      </c>
      <c r="N60" s="7">
        <f t="shared" si="26"/>
        <v>36.816666660597548</v>
      </c>
      <c r="O60" s="7"/>
      <c r="P60" s="7"/>
      <c r="Q60" s="22"/>
      <c r="R60" s="174"/>
      <c r="S60" s="221">
        <f t="shared" si="36"/>
        <v>1</v>
      </c>
      <c r="T60" s="174" t="str">
        <f t="shared" si="29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-10-08T08:22:53-0600',mode:absolute,to:'2017-10-08T11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0" s="204" t="str">
        <f>IF(AA60&lt;VLOOKUP(AG60,Variables!$AC$3:$AD$8,2,FALSE),"Y","N")</f>
        <v>N</v>
      </c>
      <c r="X60" s="204">
        <f t="shared" si="30"/>
        <v>1</v>
      </c>
      <c r="Y60" s="204">
        <f t="shared" si="31"/>
        <v>4.58E-2</v>
      </c>
      <c r="Z60" s="204">
        <f t="shared" si="32"/>
        <v>23.3323</v>
      </c>
      <c r="AA60" s="204">
        <f t="shared" si="33"/>
        <v>23.2865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34"/>
        <v>147</v>
      </c>
      <c r="AE60" s="77" t="str">
        <f t="shared" si="9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60" s="74" t="str">
        <f t="shared" si="10"/>
        <v>"C:\Program Files (x86)\AstroGrep\AstroGrep.exe" /e /r /s /spath="%USERPROFILE%\AppData\Local\Temp\OnboardLogs" /stypes="app*4050*20171008*" /stext=" 16:.+((SYSTEM_STATE.+slice.+state.+changed )|(ment ac)|(multiple cpu faults)|(system.+state.+changed )|(\[timeout)|(PRM\|1\|D)|(kpr)|(kdp)|(train st.+moving)|(\|lc)|(penalty))"</v>
      </c>
      <c r="AG60" s="182" t="str">
        <f t="shared" si="35"/>
        <v>EC</v>
      </c>
      <c r="AH60" s="78" t="str">
        <f t="shared" si="17"/>
        <v>"%USERPROFILE%\Documents\GitHub\eaglep3\Utilities\RefineRTDCRunTimes.py" --tripid 147-08 --locoid 4050 --swversion DE.1.0.9.0 --startMP 204:458 --initTime 2017-10-08T09:22:53 --startdatetime 2017-10-08T09:30:16 --delay 52 --endMP 204:233323 --enddatetime 2017-10-08T10:07:05 --enforcementcount 0 &gt;&gt;%USERPROFILE%\Documents\GitHub\eaglep3-reporting\EC\2017-10-08-refined-times.txt</v>
      </c>
      <c r="AI60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{"issue":{"subject":"","project_id":79,"tracker_id":40,"status_id":1,"priority_id":2,"assigned_to_id":338,"start_date":"2017-10-08","description":"","custom_fields":[{"id":1,"name":"Subdivision","value":"EC"},{"id":4,"name":"Milepost","value":"23.3323"},{"id":17,"name":"Train ID","value":"147-08"},{"id":16,"name":"Locomotive ID","value":"4050"},{"id":130,"name":"Impact","value":""},{"id":150,"name":"Time of Event (Mountain Time)","value":"10:07:05"},{"id":151,"name":"Denver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4050 --day 2017-10-08</v>
      </c>
      <c r="AN60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-10-08T08:22:53-0600',mode:absolute,to:'2017-10-08T11:07:05-0600'))&amp;_a=(columns:!('Message%20ID',Summary),filters:!(),index:'emp_*',interval:auto,query:(query_string:(analyze_wildcard:!t,query:'%22rtdc.l.rtdc.4050%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599</v>
      </c>
      <c r="B61" s="7">
        <v>4049</v>
      </c>
      <c r="C61" s="21" t="s">
        <v>194</v>
      </c>
      <c r="D61" s="21" t="s">
        <v>447</v>
      </c>
      <c r="E61" s="13">
        <v>43016.424502314818</v>
      </c>
      <c r="F61" s="13">
        <v>43016.435717592591</v>
      </c>
      <c r="G61" s="7">
        <v>64</v>
      </c>
      <c r="H61" s="21" t="s">
        <v>876</v>
      </c>
      <c r="I61" s="13">
        <v>43016.457951388889</v>
      </c>
      <c r="J61" s="7">
        <v>0</v>
      </c>
      <c r="K61" s="89" t="str">
        <f t="shared" si="27"/>
        <v>4049/4050</v>
      </c>
      <c r="L61" s="185" t="str">
        <f>VLOOKUP(A61,'Trips&amp;Operators'!$C$1:$G$99911,5,FALSE)</f>
        <v>LANGERAK WILLIAM</v>
      </c>
      <c r="M61" s="6">
        <f t="shared" si="28"/>
        <v>2.2233796298678499E-2</v>
      </c>
      <c r="N61" s="7"/>
      <c r="O61" s="7"/>
      <c r="P61" s="7">
        <f>24*60*SUM($M61:$M61)</f>
        <v>32.016666670097038</v>
      </c>
      <c r="Q61" s="22"/>
      <c r="R61" s="174" t="s">
        <v>418</v>
      </c>
      <c r="S61" s="221">
        <f t="shared" si="36"/>
        <v>1</v>
      </c>
      <c r="T61" s="174" t="str">
        <f t="shared" si="29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-10-08T09:11:17-0600',mode:absolute,to:'2017-10-08T11:59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1" s="204" t="str">
        <f>IF(AA61&lt;VLOOKUP(AG61,Variables!$AC$3:$AD$8,2,FALSE),"Y","N")</f>
        <v>Y</v>
      </c>
      <c r="X61" s="204">
        <f t="shared" si="30"/>
        <v>1</v>
      </c>
      <c r="Y61" s="204">
        <f t="shared" si="31"/>
        <v>23.298300000000001</v>
      </c>
      <c r="Z61" s="204">
        <f t="shared" si="32"/>
        <v>1.6503000000000001</v>
      </c>
      <c r="AA61" s="204">
        <f t="shared" si="33"/>
        <v>21.648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34"/>
        <v>148</v>
      </c>
      <c r="AE61" s="77" t="str">
        <f t="shared" si="9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61" s="74" t="str">
        <f t="shared" si="10"/>
        <v>"C:\Program Files (x86)\AstroGrep\AstroGrep.exe" /e /r /s /spath="%USERPROFILE%\AppData\Local\Temp\OnboardLogs" /stypes="app*4049*20171008*" /stext=" 16:.+((SYSTEM_STATE.+slice.+state.+changed )|(ment ac)|(multiple cpu faults)|(system.+state.+changed )|(\[timeout)|(PRM\|1\|D)|(kpr)|(kdp)|(train st.+moving)|(\|lc)|(penalty))"</v>
      </c>
      <c r="AG61" s="182" t="str">
        <f t="shared" si="35"/>
        <v>EC</v>
      </c>
      <c r="AH61" s="78" t="str">
        <f t="shared" si="17"/>
        <v>"%USERPROFILE%\Documents\GitHub\eaglep3\Utilities\RefineRTDCRunTimes.py" --tripid 148-08 --locoid 4049 --swversion DE.1.0.9.0 --startMP 204:232983 --initTime 2017-10-08T10:11:17 --startdatetime 2017-10-08T10:27:26 --delay 64 --endMP 204:16503 --enddatetime 2017-10-08T10:59:27 --enforcementcount 0 &gt;&gt;%USERPROFILE%\Documents\GitHub\eaglep3-reporting\EC\2017-10-08-refined-times.txt</v>
      </c>
      <c r="AI61" s="96" t="str">
        <f t="shared" si="18"/>
        <v>echo {"issue":{"subject":"Wi-MAX data drop","project_id":79,"tracker_id":40,"status_id":1,"priority_id":2,"assigned_to_id":338,"start_date":"2017-10-08","description":"","custom_fields":[{"id":1,"name":"Subdivision","value":"EC"},{"id":4,"name":"Milepost","value":"1.6503"},{"id":17,"name":"Train ID","value":"148-08"},{"id":16,"name":"Locomotive ID","value":"4049"},{"id":130,"name":"Impact","value":""},{"id":150,"name":"Time of Event (Mountain Time)","value":"10:59:27"},{"id":151,"name":"Denver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4049 --day 2017-10-08</v>
      </c>
      <c r="AN61" s="151" t="str">
        <f t="shared" si="20"/>
        <v>echo {"issue":{"subject":"Wi-MAX data drop","project_id":30,"tracker_id":4,"status_id":1,"priority_id":1,"assigned_to_id":10,"start_date":"2017-10-08","description":"","custom_fields":[{"id":30,"name":"Category","value":"Issue"},{"id":3,"name":"Functional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-10-08T09:11:17-0600',mode:absolute,to:'2017-10-08T11:59:27-0600'))&amp;_a=(columns:!('Message%20ID',Summary),filters:!(),index:'emp_*',interval:auto,query:(query_string:(analyze_wildcard:!t,query:'%22rtdc.l.rtdc.4049%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704</v>
      </c>
      <c r="B62" s="7">
        <v>4066</v>
      </c>
      <c r="C62" s="21" t="s">
        <v>194</v>
      </c>
      <c r="D62" s="21" t="s">
        <v>399</v>
      </c>
      <c r="E62" s="13">
        <v>43016.403124999997</v>
      </c>
      <c r="F62" s="13">
        <v>43016.4065162037</v>
      </c>
      <c r="G62" s="7">
        <v>87</v>
      </c>
      <c r="H62" s="21" t="s">
        <v>877</v>
      </c>
      <c r="I62" s="13">
        <v>43016.430266203701</v>
      </c>
      <c r="J62" s="7">
        <v>0</v>
      </c>
      <c r="K62" s="89" t="str">
        <f t="shared" si="27"/>
        <v>4065/4066</v>
      </c>
      <c r="L62" s="185" t="str">
        <f>VLOOKUP(A62,'Trips&amp;Operators'!$C$1:$G$99911,5,FALSE)</f>
        <v>LALONDE GREGORY</v>
      </c>
      <c r="M62" s="6">
        <f t="shared" si="28"/>
        <v>2.3750000000291038E-2</v>
      </c>
      <c r="N62" s="7">
        <f t="shared" ref="N62:N90" si="37">24*60*SUM($M62:$M62)</f>
        <v>34.200000000419095</v>
      </c>
      <c r="O62" s="7"/>
      <c r="P62" s="7"/>
      <c r="Q62" s="22"/>
      <c r="R62" s="174"/>
      <c r="S62" s="221">
        <f t="shared" si="36"/>
        <v>1</v>
      </c>
      <c r="T62" s="174" t="str">
        <f t="shared" si="29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-10-08T08:40:30-0600',mode:absolute,to:'2017-10-08T11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2" s="204" t="str">
        <f>IF(AA62&lt;VLOOKUP(AG62,Variables!$AC$3:$AD$8,2,FALSE),"Y","N")</f>
        <v>N</v>
      </c>
      <c r="X62" s="204">
        <f t="shared" si="30"/>
        <v>1</v>
      </c>
      <c r="Y62" s="204">
        <f t="shared" si="31"/>
        <v>4.4400000000000002E-2</v>
      </c>
      <c r="Z62" s="204">
        <f t="shared" si="32"/>
        <v>23.3324</v>
      </c>
      <c r="AA62" s="204">
        <f t="shared" si="33"/>
        <v>23.288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34"/>
        <v>149</v>
      </c>
      <c r="AE62" s="77" t="str">
        <f t="shared" si="9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62" s="74" t="str">
        <f t="shared" si="10"/>
        <v>"C:\Program Files (x86)\AstroGrep\AstroGrep.exe" /e /r /s /spath="%USERPROFILE%\AppData\Local\Temp\OnboardLogs" /stypes="app*4066*20171008*" /stext=" 16:.+((SYSTEM_STATE.+slice.+state.+changed )|(ment ac)|(multiple cpu faults)|(system.+state.+changed )|(\[timeout)|(PRM\|1\|D)|(kpr)|(kdp)|(train st.+moving)|(\|lc)|(penalty))"</v>
      </c>
      <c r="AG62" s="182" t="str">
        <f t="shared" si="35"/>
        <v>EC</v>
      </c>
      <c r="AH62" s="78" t="str">
        <f t="shared" si="17"/>
        <v>"%USERPROFILE%\Documents\GitHub\eaglep3\Utilities\RefineRTDCRunTimes.py" --tripid 149-08 --locoid 4066 --swversion DE.1.0.9.0 --startMP 204:444 --initTime 2017-10-08T09:40:30 --startdatetime 2017-10-08T09:45:23 --delay 87 --endMP 204:233324 --enddatetime 2017-10-08T10:19:35 --enforcementcount 0 &gt;&gt;%USERPROFILE%\Documents\GitHub\eaglep3-reporting\EC\2017-10-08-refined-times.txt</v>
      </c>
      <c r="AI62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{"issue":{"subject":"","project_id":79,"tracker_id":40,"status_id":1,"priority_id":2,"assigned_to_id":338,"start_date":"2017-10-08","description":"","custom_fields":[{"id":1,"name":"Subdivision","value":"EC"},{"id":4,"name":"Milepost","value":"23.3324"},{"id":17,"name":"Train ID","value":"149-08"},{"id":16,"name":"Locomotive ID","value":"4066"},{"id":130,"name":"Impact","value":""},{"id":150,"name":"Time of Event (Mountain Time)","value":"10:19:35"},{"id":151,"name":"Denver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4066 --day 2017-10-08</v>
      </c>
      <c r="AN62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-10-08T08:40:30-0600',mode:absolute,to:'2017-10-08T11:19:35-0600'))&amp;_a=(columns:!('Message%20ID',Summary),filters:!(),index:'emp_*',interval:auto,query:(query_string:(analyze_wildcard:!t,query:'%22rtdc.l.rtdc.4066%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710</v>
      </c>
      <c r="B63" s="7">
        <v>4065</v>
      </c>
      <c r="C63" s="21" t="s">
        <v>194</v>
      </c>
      <c r="D63" s="21" t="s">
        <v>492</v>
      </c>
      <c r="E63" s="13">
        <v>43016.432164351849</v>
      </c>
      <c r="F63" s="13">
        <v>43016.44599537037</v>
      </c>
      <c r="G63" s="7">
        <v>77</v>
      </c>
      <c r="H63" s="21" t="s">
        <v>335</v>
      </c>
      <c r="I63" s="13">
        <v>43016.471296296295</v>
      </c>
      <c r="J63" s="7">
        <v>0</v>
      </c>
      <c r="K63" s="89" t="str">
        <f t="shared" si="27"/>
        <v>4065/4066</v>
      </c>
      <c r="L63" s="185" t="str">
        <f>VLOOKUP(A63,'Trips&amp;Operators'!$C$1:$G$99911,5,FALSE)</f>
        <v>LALONDE GREGORY</v>
      </c>
      <c r="M63" s="6">
        <f t="shared" si="28"/>
        <v>2.5300925924966577E-2</v>
      </c>
      <c r="N63" s="7">
        <f t="shared" si="37"/>
        <v>36.433333331951872</v>
      </c>
      <c r="O63" s="7"/>
      <c r="P63" s="7"/>
      <c r="Q63" s="22"/>
      <c r="R63" s="174"/>
      <c r="S63" s="221">
        <f t="shared" si="36"/>
        <v>1</v>
      </c>
      <c r="T63" s="174" t="str">
        <f t="shared" si="29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-10-08T09:22:19-0600',mode:absolute,to:'2017-10-08T12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3" s="204" t="str">
        <f>IF(AA63&lt;VLOOKUP(AG63,Variables!$AC$3:$AD$8,2,FALSE),"Y","N")</f>
        <v>N</v>
      </c>
      <c r="X63" s="204">
        <f t="shared" si="30"/>
        <v>1</v>
      </c>
      <c r="Y63" s="204">
        <f t="shared" si="31"/>
        <v>23.3005</v>
      </c>
      <c r="Z63" s="204">
        <f t="shared" si="32"/>
        <v>1.4999999999999999E-2</v>
      </c>
      <c r="AA63" s="204">
        <f t="shared" si="33"/>
        <v>23.285499999999999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34"/>
        <v>150</v>
      </c>
      <c r="AE63" s="77" t="str">
        <f t="shared" si="9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63" s="74" t="str">
        <f t="shared" si="10"/>
        <v>"C:\Program Files (x86)\AstroGrep\AstroGrep.exe" /e /r /s /spath="%USERPROFILE%\AppData\Local\Temp\OnboardLogs" /stypes="app*4065*20171008*" /stext=" 17:.+((SYSTEM_STATE.+slice.+state.+changed )|(ment ac)|(multiple cpu faults)|(system.+state.+changed )|(\[timeout)|(PRM\|1\|D)|(kpr)|(kdp)|(train st.+moving)|(\|lc)|(penalty))"</v>
      </c>
      <c r="AG63" s="182" t="str">
        <f t="shared" si="35"/>
        <v>EC</v>
      </c>
      <c r="AH63" s="78" t="str">
        <f t="shared" si="17"/>
        <v>"%USERPROFILE%\Documents\GitHub\eaglep3\Utilities\RefineRTDCRunTimes.py" --tripid 150-08 --locoid 4065 --swversion DE.1.0.9.0 --startMP 204:233005 --initTime 2017-10-08T10:22:19 --startdatetime 2017-10-08T10:42:14 --delay 77 --endMP 204:150 --enddatetime 2017-10-08T11:18:40 --enforcementcount 0 &gt;&gt;%USERPROFILE%\Documents\GitHub\eaglep3-reporting\EC\2017-10-08-refined-times.txt</v>
      </c>
      <c r="AI63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{"issue":{"subject":"","project_id":79,"tracker_id":40,"status_id":1,"priority_id":2,"assigned_to_id":338,"start_date":"2017-10-08","description":"","custom_fields":[{"id":1,"name":"Subdivision","value":"EC"},{"id":4,"name":"Milepost","value":"0.015"},{"id":17,"name":"Train ID","value":"150-08"},{"id":16,"name":"Locomotive ID","value":"4065"},{"id":130,"name":"Impact","value":""},{"id":150,"name":"Time of Event (Mountain Time)","value":"11:18:40"},{"id":151,"name":"Denver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4065 --day 2017-10-08</v>
      </c>
      <c r="AN63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-10-08T09:22:19-0600',mode:absolute,to:'2017-10-08T12:18:40-0600'))&amp;_a=(columns:!('Message%20ID',Summary),filters:!(),index:'emp_*',interval:auto,query:(query_string:(analyze_wildcard:!t,query:'%22rtdc.l.rtdc.4065%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705</v>
      </c>
      <c r="B64" s="7">
        <v>4060</v>
      </c>
      <c r="C64" s="21" t="s">
        <v>194</v>
      </c>
      <c r="D64" s="21" t="s">
        <v>385</v>
      </c>
      <c r="E64" s="13">
        <v>43016.412106481483</v>
      </c>
      <c r="F64" s="13">
        <v>43016.416932870372</v>
      </c>
      <c r="G64" s="7">
        <v>68</v>
      </c>
      <c r="H64" s="21" t="s">
        <v>556</v>
      </c>
      <c r="I64" s="13">
        <v>43016.441423611112</v>
      </c>
      <c r="J64" s="7">
        <v>0</v>
      </c>
      <c r="K64" s="89" t="str">
        <f t="shared" si="27"/>
        <v>4059/4060</v>
      </c>
      <c r="L64" s="185" t="str">
        <f>VLOOKUP(A64,'Trips&amp;Operators'!$C$1:$G$99911,5,FALSE)</f>
        <v>GEBRETEKLE DAGNEW</v>
      </c>
      <c r="M64" s="6">
        <f t="shared" si="28"/>
        <v>2.4490740739565808E-2</v>
      </c>
      <c r="N64" s="7">
        <f t="shared" si="37"/>
        <v>35.266666664974764</v>
      </c>
      <c r="O64" s="7"/>
      <c r="P64" s="7"/>
      <c r="Q64" s="22"/>
      <c r="R64" s="174"/>
      <c r="S64" s="221">
        <f t="shared" si="36"/>
        <v>1</v>
      </c>
      <c r="T64" s="174" t="str">
        <f t="shared" si="29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-10-08T08:53:26-0600',mode:absolute,to:'2017-10-08T11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04" t="str">
        <f>IF(AA64&lt;VLOOKUP(AG64,Variables!$AC$3:$AD$8,2,FALSE),"Y","N")</f>
        <v>N</v>
      </c>
      <c r="X64" s="204">
        <f t="shared" si="30"/>
        <v>1</v>
      </c>
      <c r="Y64" s="204">
        <f t="shared" si="31"/>
        <v>4.5699999999999998E-2</v>
      </c>
      <c r="Z64" s="204">
        <f t="shared" si="32"/>
        <v>23.332100000000001</v>
      </c>
      <c r="AA64" s="204">
        <f t="shared" si="33"/>
        <v>23.2864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34"/>
        <v>151</v>
      </c>
      <c r="AE64" s="77" t="str">
        <f t="shared" si="9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64" s="74" t="str">
        <f t="shared" si="10"/>
        <v>"C:\Program Files (x86)\AstroGrep\AstroGrep.exe" /e /r /s /spath="%USERPROFILE%\AppData\Local\Temp\OnboardLogs" /stypes="app*4060*20171008*" /stext=" 16:.+((SYSTEM_STATE.+slice.+state.+changed )|(ment ac)|(multiple cpu faults)|(system.+state.+changed )|(\[timeout)|(PRM\|1\|D)|(kpr)|(kdp)|(train st.+moving)|(\|lc)|(penalty))"</v>
      </c>
      <c r="AG64" s="182" t="str">
        <f t="shared" si="35"/>
        <v>EC</v>
      </c>
      <c r="AH64" s="78" t="str">
        <f t="shared" si="17"/>
        <v>"%USERPROFILE%\Documents\GitHub\eaglep3\Utilities\RefineRTDCRunTimes.py" --tripid 151-08 --locoid 4060 --swversion DE.1.0.9.0 --startMP 204:457 --initTime 2017-10-08T09:53:26 --startdatetime 2017-10-08T10:00:23 --delay 68 --endMP 204:233321 --enddatetime 2017-10-08T10:35:39 --enforcementcount 0 &gt;&gt;%USERPROFILE%\Documents\GitHub\eaglep3-reporting\EC\2017-10-08-refined-times.txt</v>
      </c>
      <c r="AI64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{"issue":{"subject":"","project_id":79,"tracker_id":40,"status_id":1,"priority_id":2,"assigned_to_id":338,"start_date":"2017-10-08","description":"","custom_fields":[{"id":1,"name":"Subdivision","value":"EC"},{"id":4,"name":"Milepost","value":"23.3321"},{"id":17,"name":"Train ID","value":"151-08"},{"id":16,"name":"Locomotive ID","value":"4060"},{"id":130,"name":"Impact","value":""},{"id":150,"name":"Time of Event (Mountain Time)","value":"10:35:39"},{"id":151,"name":"Denver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4060 --day 2017-10-08</v>
      </c>
      <c r="AN64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-10-08T08:53:26-0600',mode:absolute,to:'2017-10-08T11:35:39-0600'))&amp;_a=(columns:!('Message%20ID',Summary),filters:!(),index:'emp_*',interval:auto,query:(query_string:(analyze_wildcard:!t,query:'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712</v>
      </c>
      <c r="B65" s="7">
        <v>4059</v>
      </c>
      <c r="C65" s="21" t="s">
        <v>194</v>
      </c>
      <c r="D65" s="21" t="s">
        <v>552</v>
      </c>
      <c r="E65" s="13">
        <v>43016.442696759259</v>
      </c>
      <c r="F65" s="13">
        <v>43016.45648148148</v>
      </c>
      <c r="G65" s="7">
        <v>71</v>
      </c>
      <c r="H65" s="21" t="s">
        <v>340</v>
      </c>
      <c r="I65" s="13">
        <v>43016.482106481482</v>
      </c>
      <c r="J65" s="7">
        <v>0</v>
      </c>
      <c r="K65" s="89" t="str">
        <f t="shared" si="27"/>
        <v>4059/4060</v>
      </c>
      <c r="L65" s="185" t="str">
        <f>VLOOKUP(A65,'Trips&amp;Operators'!$C$1:$G$99911,5,FALSE)</f>
        <v>GEBRETEKLE DAGNEW</v>
      </c>
      <c r="M65" s="6">
        <f t="shared" si="28"/>
        <v>2.5625000002037268E-2</v>
      </c>
      <c r="N65" s="7">
        <f t="shared" si="37"/>
        <v>36.900000002933666</v>
      </c>
      <c r="O65" s="7"/>
      <c r="P65" s="7"/>
      <c r="Q65" s="22"/>
      <c r="R65" s="174"/>
      <c r="S65" s="221">
        <f t="shared" si="36"/>
        <v>1</v>
      </c>
      <c r="T65" s="174" t="str">
        <f t="shared" si="29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-10-08T09:37:29-0600',mode:absolute,to:'2017-10-08T12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04" t="str">
        <f>IF(AA65&lt;VLOOKUP(AG65,Variables!$AC$3:$AD$8,2,FALSE),"Y","N")</f>
        <v>N</v>
      </c>
      <c r="X65" s="204">
        <f t="shared" si="30"/>
        <v>1</v>
      </c>
      <c r="Y65" s="204">
        <f t="shared" si="31"/>
        <v>23.299099999999999</v>
      </c>
      <c r="Z65" s="204">
        <f t="shared" si="32"/>
        <v>1.47E-2</v>
      </c>
      <c r="AA65" s="204">
        <f t="shared" si="33"/>
        <v>23.284399999999998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34"/>
        <v>152</v>
      </c>
      <c r="AE65" s="77" t="str">
        <f t="shared" si="9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65" s="74" t="str">
        <f t="shared" si="10"/>
        <v>"C:\Program Files (x86)\AstroGrep\AstroGrep.exe" /e /r /s /spath="%USERPROFILE%\AppData\Local\Temp\OnboardLogs" /stypes="app*4059*20171008*" /stext=" 17:.+((SYSTEM_STATE.+slice.+state.+changed )|(ment ac)|(multiple cpu faults)|(system.+state.+changed )|(\[timeout)|(PRM\|1\|D)|(kpr)|(kdp)|(train st.+moving)|(\|lc)|(penalty))"</v>
      </c>
      <c r="AG65" s="182" t="str">
        <f t="shared" si="35"/>
        <v>EC</v>
      </c>
      <c r="AH65" s="78" t="str">
        <f t="shared" si="17"/>
        <v>"%USERPROFILE%\Documents\GitHub\eaglep3\Utilities\RefineRTDCRunTimes.py" --tripid 152-08 --locoid 4059 --swversion DE.1.0.9.0 --startMP 204:232991 --initTime 2017-10-08T10:37:29 --startdatetime 2017-10-08T10:57:20 --delay 71 --endMP 204:147 --enddatetime 2017-10-08T11:34:14 --enforcementcount 0 &gt;&gt;%USERPROFILE%\Documents\GitHub\eaglep3-reporting\EC\2017-10-08-refined-times.txt</v>
      </c>
      <c r="AI6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ID","value":"152-08"},{"id":16,"name":"Locomotive ID","value":"4059"},{"id":130,"name":"Impact","value":""},{"id":150,"name":"Time of Event (Mountain Time)","value":"11:34:14"},{"id":151,"name":"Denver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4059 --day 2017-10-08</v>
      </c>
      <c r="AN6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-10-08T09:37:29-0600',mode:absolute,to:'2017-10-08T12:34:14-0600'))&amp;_a=(columns:!('Message%20ID',Summary),filters:!(),index:'emp_*',interval:auto,query:(query_string:(analyze_wildcard:!t,query:'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709</v>
      </c>
      <c r="B66" s="7">
        <v>4036</v>
      </c>
      <c r="C66" s="21" t="s">
        <v>194</v>
      </c>
      <c r="D66" s="21" t="s">
        <v>479</v>
      </c>
      <c r="E66" s="13">
        <v>43016.421620370369</v>
      </c>
      <c r="F66" s="13">
        <v>43016.427268518521</v>
      </c>
      <c r="G66" s="7">
        <v>70</v>
      </c>
      <c r="H66" s="21" t="s">
        <v>491</v>
      </c>
      <c r="I66" s="13">
        <v>43016.452372685184</v>
      </c>
      <c r="J66" s="7">
        <v>0</v>
      </c>
      <c r="K66" s="89" t="str">
        <f t="shared" si="27"/>
        <v>4035/4036</v>
      </c>
      <c r="L66" s="185" t="str">
        <f>VLOOKUP(A66,'Trips&amp;Operators'!$C$1:$G$99911,5,FALSE)</f>
        <v>BADERTSCHER DIANE</v>
      </c>
      <c r="M66" s="6">
        <f t="shared" si="28"/>
        <v>2.5104166663368233E-2</v>
      </c>
      <c r="N66" s="7">
        <f t="shared" si="37"/>
        <v>36.149999995250255</v>
      </c>
      <c r="O66" s="7"/>
      <c r="P66" s="7"/>
      <c r="Q66" s="22"/>
      <c r="R66" s="174"/>
      <c r="S66" s="221">
        <f t="shared" si="36"/>
        <v>1</v>
      </c>
      <c r="T66" s="174" t="str">
        <f t="shared" si="29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-10-08T09:07:08-0600',mode:absolute,to:'2017-10-08T11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6" s="204" t="str">
        <f>IF(AA66&lt;VLOOKUP(AG66,Variables!$AC$3:$AD$8,2,FALSE),"Y","N")</f>
        <v>N</v>
      </c>
      <c r="X66" s="204">
        <f t="shared" si="30"/>
        <v>1</v>
      </c>
      <c r="Y66" s="204">
        <f t="shared" si="31"/>
        <v>4.2599999999999999E-2</v>
      </c>
      <c r="Z66" s="204">
        <f t="shared" si="32"/>
        <v>23.332799999999999</v>
      </c>
      <c r="AA66" s="204">
        <f t="shared" si="33"/>
        <v>23.290199999999999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34"/>
        <v>153</v>
      </c>
      <c r="AE66" s="77" t="str">
        <f t="shared" si="9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66" s="74" t="str">
        <f t="shared" si="10"/>
        <v>"C:\Program Files (x86)\AstroGrep\AstroGrep.exe" /e /r /s /spath="%USERPROFILE%\AppData\Local\Temp\OnboardLogs" /stypes="app*4036*20171008*" /stext=" 16:.+((SYSTEM_STATE.+slice.+state.+changed )|(ment ac)|(multiple cpu faults)|(system.+state.+changed )|(\[timeout)|(PRM\|1\|D)|(kpr)|(kdp)|(train st.+moving)|(\|lc)|(penalty))"</v>
      </c>
      <c r="AG66" s="182" t="str">
        <f t="shared" si="35"/>
        <v>EC</v>
      </c>
      <c r="AH66" s="78" t="str">
        <f t="shared" si="17"/>
        <v>"%USERPROFILE%\Documents\GitHub\eaglep3\Utilities\RefineRTDCRunTimes.py" --tripid 153-08 --locoid 4036 --swversion DE.1.0.9.0 --startMP 204:426 --initTime 2017-10-08T10:07:08 --startdatetime 2017-10-08T10:15:16 --delay 70 --endMP 204:233328 --enddatetime 2017-10-08T10:51:25 --enforcementcount 0 &gt;&gt;%USERPROFILE%\Documents\GitHub\eaglep3-reporting\EC\2017-10-08-refined-times.txt</v>
      </c>
      <c r="AI66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{"issue":{"subject":"","project_id":79,"tracker_id":40,"status_id":1,"priority_id":2,"assigned_to_id":338,"start_date":"2017-10-08","description":"","custom_fields":[{"id":1,"name":"Subdivision","value":"EC"},{"id":4,"name":"Milepost","value":"23.3328"},{"id":17,"name":"Train ID","value":"153-08"},{"id":16,"name":"Locomotive ID","value":"4036"},{"id":130,"name":"Impact","value":""},{"id":150,"name":"Time of Event (Mountain Time)","value":"10:51:25"},{"id":151,"name":"Denver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4036 --day 2017-10-08</v>
      </c>
      <c r="AN66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-10-08T09:07:08-0600',mode:absolute,to:'2017-10-08T11:51:25-0600'))&amp;_a=(columns:!('Message%20ID',Summary),filters:!(),index:'emp_*',interval:auto,query:(query_string:(analyze_wildcard:!t,query:'%22rtdc.l.rtdc.4036%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717</v>
      </c>
      <c r="B67" s="7">
        <v>4035</v>
      </c>
      <c r="C67" s="21" t="s">
        <v>194</v>
      </c>
      <c r="D67" s="21" t="s">
        <v>413</v>
      </c>
      <c r="E67" s="13">
        <v>43016.461689814816</v>
      </c>
      <c r="F67" s="13">
        <v>43016.466828703706</v>
      </c>
      <c r="G67" s="7">
        <v>79</v>
      </c>
      <c r="H67" s="21" t="s">
        <v>566</v>
      </c>
      <c r="I67" s="13">
        <v>43016.494363425925</v>
      </c>
      <c r="J67" s="7">
        <v>0</v>
      </c>
      <c r="K67" s="89" t="str">
        <f t="shared" si="27"/>
        <v>4035/4036</v>
      </c>
      <c r="L67" s="185" t="str">
        <f>VLOOKUP(A67,'Trips&amp;Operators'!$C$1:$G$99911,5,FALSE)</f>
        <v>BADERTSCHER DIANE</v>
      </c>
      <c r="M67" s="6">
        <f t="shared" si="28"/>
        <v>2.753472221957054E-2</v>
      </c>
      <c r="N67" s="7">
        <f t="shared" si="37"/>
        <v>39.649999996181577</v>
      </c>
      <c r="O67" s="7"/>
      <c r="P67" s="7"/>
      <c r="Q67" s="22"/>
      <c r="R67" s="174"/>
      <c r="S67" s="221">
        <f t="shared" si="36"/>
        <v>1</v>
      </c>
      <c r="T67" s="174" t="str">
        <f t="shared" si="29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-10-08T10:04:50-0600',mode:absolute,to:'2017-10-08T12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7" s="204" t="str">
        <f>IF(AA67&lt;VLOOKUP(AG67,Variables!$AC$3:$AD$8,2,FALSE),"Y","N")</f>
        <v>N</v>
      </c>
      <c r="X67" s="204">
        <f t="shared" si="30"/>
        <v>1</v>
      </c>
      <c r="Y67" s="204">
        <f t="shared" si="31"/>
        <v>23.300899999999999</v>
      </c>
      <c r="Z67" s="204">
        <f t="shared" si="32"/>
        <v>1.32E-2</v>
      </c>
      <c r="AA67" s="204">
        <f t="shared" si="33"/>
        <v>23.287699999999997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34"/>
        <v>154</v>
      </c>
      <c r="AE67" s="77" t="str">
        <f t="shared" si="9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67" s="74" t="str">
        <f t="shared" si="10"/>
        <v>"C:\Program Files (x86)\AstroGrep\AstroGrep.exe" /e /r /s /spath="%USERPROFILE%\AppData\Local\Temp\OnboardLogs" /stypes="app*4035*20171008*" /stext=" 17:.+((SYSTEM_STATE.+slice.+state.+changed )|(ment ac)|(multiple cpu faults)|(system.+state.+changed )|(\[timeout)|(PRM\|1\|D)|(kpr)|(kdp)|(train st.+moving)|(\|lc)|(penalty))"</v>
      </c>
      <c r="AG67" s="182" t="str">
        <f t="shared" si="35"/>
        <v>EC</v>
      </c>
      <c r="AH67" s="78" t="str">
        <f t="shared" si="17"/>
        <v>"%USERPROFILE%\Documents\GitHub\eaglep3\Utilities\RefineRTDCRunTimes.py" --tripid 154-08 --locoid 4035 --swversion DE.1.0.9.0 --startMP 204:233009 --initTime 2017-10-08T11:04:50 --startdatetime 2017-10-08T11:12:14 --delay 79 --endMP 204:132 --enddatetime 2017-10-08T11:51:53 --enforcementcount 0 &gt;&gt;%USERPROFILE%\Documents\GitHub\eaglep3-reporting\EC\2017-10-08-refined-times.txt</v>
      </c>
      <c r="AI67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{"issue":{"subject":"","project_id":79,"tracker_id":40,"status_id":1,"priority_id":2,"assigned_to_id":338,"start_date":"2017-10-08","description":"","custom_fields":[{"id":1,"name":"Subdivision","value":"EC"},{"id":4,"name":"Milepost","value":"0.0132"},{"id":17,"name":"Train ID","value":"154-08"},{"id":16,"name":"Locomotive ID","value":"4035"},{"id":130,"name":"Impact","value":""},{"id":150,"name":"Time of Event (Mountain Time)","value":"11:51:53"},{"id":151,"name":"Denver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4035 --day 2017-10-08</v>
      </c>
      <c r="AN67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-10-08T10:04:50-0600',mode:absolute,to:'2017-10-08T12:51:53-0600'))&amp;_a=(columns:!('Message%20ID',Summary),filters:!(),index:'emp_*',interval:auto,query:(query_string:(analyze_wildcard:!t,query:'%22rtdc.l.rtdc.4035%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711</v>
      </c>
      <c r="B68" s="7">
        <v>4016</v>
      </c>
      <c r="C68" s="21" t="s">
        <v>194</v>
      </c>
      <c r="D68" s="21" t="s">
        <v>409</v>
      </c>
      <c r="E68" s="13">
        <v>43016.433067129627</v>
      </c>
      <c r="F68" s="13">
        <v>43016.437673611108</v>
      </c>
      <c r="G68" s="7">
        <v>61</v>
      </c>
      <c r="H68" s="21" t="s">
        <v>407</v>
      </c>
      <c r="I68" s="13">
        <v>43016.463599537034</v>
      </c>
      <c r="J68" s="7">
        <v>0</v>
      </c>
      <c r="K68" s="89" t="str">
        <f t="shared" si="27"/>
        <v>4015/4016</v>
      </c>
      <c r="L68" s="185" t="str">
        <f>VLOOKUP(A68,'Trips&amp;Operators'!$C$1:$G$99911,5,FALSE)</f>
        <v>WILLIAMS DONTE</v>
      </c>
      <c r="M68" s="6">
        <f t="shared" si="28"/>
        <v>2.5925925925548654E-2</v>
      </c>
      <c r="N68" s="7">
        <f t="shared" si="37"/>
        <v>37.333333332790062</v>
      </c>
      <c r="O68" s="7"/>
      <c r="P68" s="7"/>
      <c r="Q68" s="22"/>
      <c r="R68" s="174"/>
      <c r="S68" s="221">
        <f t="shared" si="36"/>
        <v>1</v>
      </c>
      <c r="T68" s="174" t="str">
        <f t="shared" si="29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-10-08T09:23:37-0600',mode:absolute,to:'2017-10-08T12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8" s="204" t="str">
        <f>IF(AA68&lt;VLOOKUP(AG68,Variables!$AC$3:$AD$8,2,FALSE),"Y","N")</f>
        <v>N</v>
      </c>
      <c r="X68" s="204">
        <f t="shared" si="30"/>
        <v>1</v>
      </c>
      <c r="Y68" s="204">
        <f t="shared" si="31"/>
        <v>4.4900000000000002E-2</v>
      </c>
      <c r="Z68" s="204">
        <f t="shared" si="32"/>
        <v>23.33</v>
      </c>
      <c r="AA68" s="204">
        <f t="shared" si="33"/>
        <v>23.2851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34"/>
        <v>155</v>
      </c>
      <c r="AE68" s="77" t="str">
        <f t="shared" si="9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68" s="74" t="str">
        <f t="shared" si="10"/>
        <v>"C:\Program Files (x86)\AstroGrep\AstroGrep.exe" /e /r /s /spath="%USERPROFILE%\AppData\Local\Temp\OnboardLogs" /stypes="app*4016*20171008*" /stext=" 17:.+((SYSTEM_STATE.+slice.+state.+changed )|(ment ac)|(multiple cpu faults)|(system.+state.+changed )|(\[timeout)|(PRM\|1\|D)|(kpr)|(kdp)|(train st.+moving)|(\|lc)|(penalty))"</v>
      </c>
      <c r="AG68" s="182" t="str">
        <f t="shared" si="35"/>
        <v>EC</v>
      </c>
      <c r="AH68" s="78" t="str">
        <f t="shared" si="17"/>
        <v>"%USERPROFILE%\Documents\GitHub\eaglep3\Utilities\RefineRTDCRunTimes.py" --tripid 155-08 --locoid 4016 --swversion DE.1.0.9.0 --startMP 204:449 --initTime 2017-10-08T10:23:37 --startdatetime 2017-10-08T10:30:15 --delay 61 --endMP 204:233300 --enddatetime 2017-10-08T11:07:35 --enforcementcount 0 &gt;&gt;%USERPROFILE%\Documents\GitHub\eaglep3-reporting\EC\2017-10-08-refined-times.txt</v>
      </c>
      <c r="AI68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{"issue":{"subject":"","project_id":79,"tracker_id":40,"status_id":1,"priority_id":2,"assigned_to_id":338,"start_date":"2017-10-08","description":"","custom_fields":[{"id":1,"name":"Subdivision","value":"EC"},{"id":4,"name":"Milepost","value":"23.33"},{"id":17,"name":"Train ID","value":"155-08"},{"id":16,"name":"Locomotive ID","value":"4016"},{"id":130,"name":"Impact","value":""},{"id":150,"name":"Time of Event (Mountain Time)","value":"11:07:35"},{"id":151,"name":"Denver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4016 --day 2017-10-08</v>
      </c>
      <c r="AN68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-10-08T09:23:37-0600',mode:absolute,to:'2017-10-08T12:07:35-0600'))&amp;_a=(columns:!('Message%20ID',Summary),filters:!(),index:'emp_*',interval:auto,query:(query_string:(analyze_wildcard:!t,query:'%22rtdc.l.rtdc.4016%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720</v>
      </c>
      <c r="B69" s="7">
        <v>4015</v>
      </c>
      <c r="C69" s="21" t="s">
        <v>194</v>
      </c>
      <c r="D69" s="21" t="s">
        <v>561</v>
      </c>
      <c r="E69" s="13">
        <v>43016.473252314812</v>
      </c>
      <c r="F69" s="13">
        <v>43016.477326388886</v>
      </c>
      <c r="G69" s="7">
        <v>66</v>
      </c>
      <c r="H69" s="21" t="s">
        <v>421</v>
      </c>
      <c r="I69" s="13">
        <v>43016.504756944443</v>
      </c>
      <c r="J69" s="7">
        <v>0</v>
      </c>
      <c r="K69" s="89" t="str">
        <f t="shared" si="27"/>
        <v>4015/4016</v>
      </c>
      <c r="L69" s="185" t="str">
        <f>VLOOKUP(A69,'Trips&amp;Operators'!$C$1:$G$99911,5,FALSE)</f>
        <v>WILLIAMS DONTE</v>
      </c>
      <c r="M69" s="6">
        <f t="shared" si="28"/>
        <v>2.7430555557657499E-2</v>
      </c>
      <c r="N69" s="7">
        <f t="shared" si="37"/>
        <v>39.500000003026798</v>
      </c>
      <c r="O69" s="7"/>
      <c r="P69" s="7"/>
      <c r="Q69" s="22"/>
      <c r="R69" s="174"/>
      <c r="S69" s="221">
        <f t="shared" si="36"/>
        <v>1</v>
      </c>
      <c r="T69" s="174" t="str">
        <f t="shared" si="29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-10-08T10:21:29-0600',mode:absolute,to:'2017-10-08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9" s="204" t="str">
        <f>IF(AA69&lt;VLOOKUP(AG69,Variables!$AC$3:$AD$8,2,FALSE),"Y","N")</f>
        <v>N</v>
      </c>
      <c r="X69" s="204">
        <f t="shared" si="30"/>
        <v>1</v>
      </c>
      <c r="Y69" s="204">
        <f t="shared" si="31"/>
        <v>23.297599999999999</v>
      </c>
      <c r="Z69" s="204">
        <f t="shared" si="32"/>
        <v>1.6500000000000001E-2</v>
      </c>
      <c r="AA69" s="204">
        <f t="shared" si="33"/>
        <v>23.281099999999999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34"/>
        <v>156</v>
      </c>
      <c r="AE69" s="77" t="str">
        <f t="shared" si="9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69" s="74" t="str">
        <f t="shared" si="10"/>
        <v>"C:\Program Files (x86)\AstroGrep\AstroGrep.exe" /e /r /s /spath="%USERPROFILE%\AppData\Local\Temp\OnboardLogs" /stypes="app*4015*20171008*" /stext=" 18:.+((SYSTEM_STATE.+slice.+state.+changed )|(ment ac)|(multiple cpu faults)|(system.+state.+changed )|(\[timeout)|(PRM\|1\|D)|(kpr)|(kdp)|(train st.+moving)|(\|lc)|(penalty))"</v>
      </c>
      <c r="AG69" s="182" t="str">
        <f t="shared" si="35"/>
        <v>EC</v>
      </c>
      <c r="AH69" s="78" t="str">
        <f t="shared" si="17"/>
        <v>"%USERPROFILE%\Documents\GitHub\eaglep3\Utilities\RefineRTDCRunTimes.py" --tripid 156-08 --locoid 4015 --swversion DE.1.0.9.0 --startMP 204:232976 --initTime 2017-10-08T11:21:29 --startdatetime 2017-10-08T11:27:21 --delay 66 --endMP 204:165 --enddatetime 2017-10-08T12:06:51 --enforcementcount 0 &gt;&gt;%USERPROFILE%\Documents\GitHub\eaglep3-reporting\EC\2017-10-08-refined-times.txt</v>
      </c>
      <c r="AI69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{"issue":{"subject":"","project_id":79,"tracker_id":40,"status_id":1,"priority_id":2,"assigned_to_id":338,"start_date":"2017-10-08","description":"","custom_fields":[{"id":1,"name":"Subdivision","value":"EC"},{"id":4,"name":"Milepost","value":"0.0165"},{"id":17,"name":"Train ID","value":"156-08"},{"id":16,"name":"Locomotive ID","value":"4015"},{"id":130,"name":"Impact","value":""},{"id":150,"name":"Time of Event (Mountain Time)","value":"12:06:51"},{"id":151,"name":"Denver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4015 --day 2017-10-08</v>
      </c>
      <c r="AN69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-10-08T10:21:29-0600',mode:absolute,to:'2017-10-08T13:06:51-0600'))&amp;_a=(columns:!('Message%20ID',Summary),filters:!(),index:'emp_*',interval:auto,query:(query_string:(analyze_wildcard:!t,query:'%22rtdc.l.rtdc.4015%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713</v>
      </c>
      <c r="B70" s="7">
        <v>4002</v>
      </c>
      <c r="C70" s="21" t="s">
        <v>194</v>
      </c>
      <c r="D70" s="21" t="s">
        <v>385</v>
      </c>
      <c r="E70" s="13">
        <v>43016.447233796294</v>
      </c>
      <c r="F70" s="13">
        <v>43016.448530092595</v>
      </c>
      <c r="G70" s="7">
        <v>42</v>
      </c>
      <c r="H70" s="21" t="s">
        <v>400</v>
      </c>
      <c r="I70" s="13">
        <v>43016.473749999997</v>
      </c>
      <c r="J70" s="7">
        <v>0</v>
      </c>
      <c r="K70" s="89" t="str">
        <f t="shared" si="27"/>
        <v>4001/4002</v>
      </c>
      <c r="L70" s="185" t="str">
        <f>VLOOKUP(A70,'Trips&amp;Operators'!$C$1:$G$99911,5,FALSE)</f>
        <v>DAVIDSON DAVID</v>
      </c>
      <c r="M70" s="6">
        <f t="shared" si="28"/>
        <v>2.5219907402060926E-2</v>
      </c>
      <c r="N70" s="7">
        <f t="shared" si="37"/>
        <v>36.316666658967733</v>
      </c>
      <c r="O70" s="7"/>
      <c r="P70" s="7"/>
      <c r="Q70" s="22"/>
      <c r="R70" s="174"/>
      <c r="S70" s="221">
        <f t="shared" si="36"/>
        <v>1</v>
      </c>
      <c r="T70" s="174" t="str">
        <f t="shared" si="29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-10-08T09:44:01-0600',mode:absolute,to:'2017-10-08T12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0" s="204" t="str">
        <f>IF(AA70&lt;VLOOKUP(AG70,Variables!$AC$3:$AD$8,2,FALSE),"Y","N")</f>
        <v>N</v>
      </c>
      <c r="X70" s="204">
        <f t="shared" si="30"/>
        <v>1</v>
      </c>
      <c r="Y70" s="204">
        <f t="shared" si="31"/>
        <v>4.5699999999999998E-2</v>
      </c>
      <c r="Z70" s="204">
        <f t="shared" si="32"/>
        <v>23.3291</v>
      </c>
      <c r="AA70" s="204">
        <f t="shared" si="33"/>
        <v>23.2834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34"/>
        <v>157</v>
      </c>
      <c r="AE70" s="77" t="str">
        <f t="shared" si="9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70" s="74" t="str">
        <f t="shared" si="10"/>
        <v>"C:\Program Files (x86)\AstroGrep\AstroGrep.exe" /e /r /s /spath="%USERPROFILE%\AppData\Local\Temp\OnboardLogs" /stypes="app*4002*20171008*" /stext=" 17:.+((SYSTEM_STATE.+slice.+state.+changed )|(ment ac)|(multiple cpu faults)|(system.+state.+changed )|(\[timeout)|(PRM\|1\|D)|(kpr)|(kdp)|(train st.+moving)|(\|lc)|(penalty))"</v>
      </c>
      <c r="AG70" s="182" t="str">
        <f t="shared" si="35"/>
        <v>EC</v>
      </c>
      <c r="AH70" s="78" t="str">
        <f t="shared" si="17"/>
        <v>"%USERPROFILE%\Documents\GitHub\eaglep3\Utilities\RefineRTDCRunTimes.py" --tripid 157-08 --locoid 4002 --swversion DE.1.0.9.0 --startMP 204:457 --initTime 2017-10-08T10:44:01 --startdatetime 2017-10-08T10:45:53 --delay 42 --endMP 204:233291 --enddatetime 2017-10-08T11:22:12 --enforcementcount 0 &gt;&gt;%USERPROFILE%\Documents\GitHub\eaglep3-reporting\EC\2017-10-08-refined-times.txt</v>
      </c>
      <c r="AI70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{"issue":{"subject":"","project_id":79,"tracker_id":40,"status_id":1,"priority_id":2,"assigned_to_id":338,"start_date":"2017-10-08","description":"","custom_fields":[{"id":1,"name":"Subdivision","value":"EC"},{"id":4,"name":"Milepost","value":"23.3291"},{"id":17,"name":"Train ID","value":"157-08"},{"id":16,"name":"Locomotive ID","value":"4002"},{"id":130,"name":"Impact","value":""},{"id":150,"name":"Time of Event (Mountain Time)","value":"11:22:12"},{"id":151,"name":"Denver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4002 --day 2017-10-08</v>
      </c>
      <c r="AN70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-10-08T09:44:01-0600',mode:absolute,to:'2017-10-08T12:22:12-0600'))&amp;_a=(columns:!('Message%20ID',Summary),filters:!(),index:'emp_*',interval:auto,query:(query_string:(analyze_wildcard:!t,query:'%22rtdc.l.rtdc.4002%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723</v>
      </c>
      <c r="B71" s="7">
        <v>4001</v>
      </c>
      <c r="C71" s="21" t="s">
        <v>194</v>
      </c>
      <c r="D71" s="21" t="s">
        <v>878</v>
      </c>
      <c r="E71" s="13">
        <v>43016.475277777776</v>
      </c>
      <c r="F71" s="13">
        <v>43016.48773148148</v>
      </c>
      <c r="G71" s="7">
        <v>70</v>
      </c>
      <c r="H71" s="21" t="s">
        <v>337</v>
      </c>
      <c r="I71" s="13">
        <v>43016.515196759261</v>
      </c>
      <c r="J71" s="7">
        <v>0</v>
      </c>
      <c r="K71" s="89" t="str">
        <f t="shared" si="27"/>
        <v>4001/4002</v>
      </c>
      <c r="L71" s="185" t="str">
        <f>VLOOKUP(A71,'Trips&amp;Operators'!$C$1:$G$99911,5,FALSE)</f>
        <v>DAVIDSON DAVID</v>
      </c>
      <c r="M71" s="6">
        <f t="shared" si="28"/>
        <v>2.7465277780720498E-2</v>
      </c>
      <c r="N71" s="7">
        <f t="shared" si="37"/>
        <v>39.550000004237518</v>
      </c>
      <c r="O71" s="7"/>
      <c r="P71" s="7"/>
      <c r="Q71" s="22"/>
      <c r="R71" s="174"/>
      <c r="S71" s="221">
        <f t="shared" si="36"/>
        <v>1</v>
      </c>
      <c r="T71" s="174" t="str">
        <f t="shared" si="29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-10-08T10:24:24-0600',mode:absolute,to:'2017-10-08T13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1" s="204" t="str">
        <f>IF(AA71&lt;VLOOKUP(AG71,Variables!$AC$3:$AD$8,2,FALSE),"Y","N")</f>
        <v>N</v>
      </c>
      <c r="X71" s="204">
        <f t="shared" si="30"/>
        <v>1</v>
      </c>
      <c r="Y71" s="204">
        <f t="shared" si="31"/>
        <v>23.294799999999999</v>
      </c>
      <c r="Z71" s="204">
        <f t="shared" si="32"/>
        <v>1.43E-2</v>
      </c>
      <c r="AA71" s="204">
        <f t="shared" si="33"/>
        <v>23.2805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34"/>
        <v>158</v>
      </c>
      <c r="AE71" s="77" t="str">
        <f t="shared" si="9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71" s="74" t="str">
        <f t="shared" si="10"/>
        <v>"C:\Program Files (x86)\AstroGrep\AstroGrep.exe" /e /r /s /spath="%USERPROFILE%\AppData\Local\Temp\OnboardLogs" /stypes="app*4001*20171008*" /stext=" 18:.+((SYSTEM_STATE.+slice.+state.+changed )|(ment ac)|(multiple cpu faults)|(system.+state.+changed )|(\[timeout)|(PRM\|1\|D)|(kpr)|(kdp)|(train st.+moving)|(\|lc)|(penalty))"</v>
      </c>
      <c r="AG71" s="182" t="str">
        <f t="shared" si="35"/>
        <v>EC</v>
      </c>
      <c r="AH71" s="78" t="str">
        <f t="shared" si="17"/>
        <v>"%USERPROFILE%\Documents\GitHub\eaglep3\Utilities\RefineRTDCRunTimes.py" --tripid 158-08 --locoid 4001 --swversion DE.1.0.9.0 --startMP 204:232948 --initTime 2017-10-08T11:24:24 --startdatetime 2017-10-08T11:42:20 --delay 70 --endMP 204:143 --enddatetime 2017-10-08T12:21:53 --enforcementcount 0 &gt;&gt;%USERPROFILE%\Documents\GitHub\eaglep3-reporting\EC\2017-10-08-refined-times.txt</v>
      </c>
      <c r="AI71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{"issue":{"subject":"","project_id":79,"tracker_id":40,"status_id":1,"priority_id":2,"assigned_to_id":338,"start_date":"2017-10-08","description":"","custom_fields":[{"id":1,"name":"Subdivision","value":"EC"},{"id":4,"name":"Milepost","value":"0.0143"},{"id":17,"name":"Train ID","value":"158-08"},{"id":16,"name":"Locomotive ID","value":"4001"},{"id":130,"name":"Impact","value":""},{"id":150,"name":"Time of Event (Mountain Time)","value":"12:21:53"},{"id":151,"name":"Denver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4001 --day 2017-10-08</v>
      </c>
      <c r="AN71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-10-08T10:24:24-0600',mode:absolute,to:'2017-10-08T13:21:53-0600'))&amp;_a=(columns:!('Message%20ID',Summary),filters:!(),index:'emp_*',interval:auto,query:(query_string:(analyze_wildcard:!t,query:'%22rtdc.l.rtdc.4001%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716</v>
      </c>
      <c r="B72" s="7">
        <v>4006</v>
      </c>
      <c r="C72" s="21" t="s">
        <v>194</v>
      </c>
      <c r="D72" s="21" t="s">
        <v>403</v>
      </c>
      <c r="E72" s="13">
        <v>43016.452222222222</v>
      </c>
      <c r="F72" s="13">
        <v>43016.458518518521</v>
      </c>
      <c r="G72" s="7">
        <v>50</v>
      </c>
      <c r="H72" s="21" t="s">
        <v>485</v>
      </c>
      <c r="I72" s="13">
        <v>43016.4843287037</v>
      </c>
      <c r="J72" s="7">
        <v>0</v>
      </c>
      <c r="K72" s="89" t="str">
        <f t="shared" si="27"/>
        <v>4005/4006</v>
      </c>
      <c r="L72" s="185" t="str">
        <f>VLOOKUP(A72,'Trips&amp;Operators'!$C$1:$G$99911,5,FALSE)</f>
        <v>LAMAR NEKESHA</v>
      </c>
      <c r="M72" s="6">
        <f t="shared" si="28"/>
        <v>2.5810185179580003E-2</v>
      </c>
      <c r="N72" s="7">
        <f t="shared" si="37"/>
        <v>37.166666658595204</v>
      </c>
      <c r="O72" s="7"/>
      <c r="P72" s="7"/>
      <c r="Q72" s="22"/>
      <c r="R72" s="174"/>
      <c r="S72" s="221">
        <f t="shared" si="36"/>
        <v>1</v>
      </c>
      <c r="T72" s="174" t="str">
        <f t="shared" si="29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-10-08T09:51:12-0600',mode:absolute,to:'2017-10-08T12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2" s="204" t="str">
        <f>IF(AA72&lt;VLOOKUP(AG72,Variables!$AC$3:$AD$8,2,FALSE),"Y","N")</f>
        <v>N</v>
      </c>
      <c r="X72" s="204">
        <f t="shared" si="30"/>
        <v>1</v>
      </c>
      <c r="Y72" s="204">
        <f t="shared" si="31"/>
        <v>4.3799999999999999E-2</v>
      </c>
      <c r="Z72" s="204">
        <f t="shared" si="32"/>
        <v>23.331399999999999</v>
      </c>
      <c r="AA72" s="204">
        <f t="shared" si="33"/>
        <v>23.287599999999998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34"/>
        <v>159</v>
      </c>
      <c r="AE72" s="77" t="str">
        <f t="shared" si="9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72" s="74" t="str">
        <f t="shared" si="10"/>
        <v>"C:\Program Files (x86)\AstroGrep\AstroGrep.exe" /e /r /s /spath="%USERPROFILE%\AppData\Local\Temp\OnboardLogs" /stypes="app*4006*20171008*" /stext=" 17:.+((SYSTEM_STATE.+slice.+state.+changed )|(ment ac)|(multiple cpu faults)|(system.+state.+changed )|(\[timeout)|(PRM\|1\|D)|(kpr)|(kdp)|(train st.+moving)|(\|lc)|(penalty))"</v>
      </c>
      <c r="AG72" s="182" t="str">
        <f t="shared" si="35"/>
        <v>EC</v>
      </c>
      <c r="AH72" s="78" t="str">
        <f t="shared" si="17"/>
        <v>"%USERPROFILE%\Documents\GitHub\eaglep3\Utilities\RefineRTDCRunTimes.py" --tripid 159-08 --locoid 4006 --swversion DE.1.0.9.0 --startMP 204:438 --initTime 2017-10-08T10:51:12 --startdatetime 2017-10-08T11:00:16 --delay 50 --endMP 204:233314 --enddatetime 2017-10-08T11:37:26 --enforcementcount 0 &gt;&gt;%USERPROFILE%\Documents\GitHub\eaglep3-reporting\EC\2017-10-08-refined-times.txt</v>
      </c>
      <c r="AI72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{"issue":{"subject":"","project_id":79,"tracker_id":40,"status_id":1,"priority_id":2,"assigned_to_id":338,"start_date":"2017-10-08","description":"","custom_fields":[{"id":1,"name":"Subdivision","value":"EC"},{"id":4,"name":"Milepost","value":"23.3314"},{"id":17,"name":"Train ID","value":"159-08"},{"id":16,"name":"Locomotive ID","value":"4006"},{"id":130,"name":"Impact","value":""},{"id":150,"name":"Time of Event (Mountain Time)","value":"11:37:26"},{"id":151,"name":"Denver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4006 --day 2017-10-08</v>
      </c>
      <c r="AN72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-10-08T09:51:12-0600',mode:absolute,to:'2017-10-08T12:37:26-0600'))&amp;_a=(columns:!('Message%20ID',Summary),filters:!(),index:'emp_*',interval:auto,query:(query_string:(analyze_wildcard:!t,query:'%22rtdc.l.rtdc.4006%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729</v>
      </c>
      <c r="B73" s="7">
        <v>4005</v>
      </c>
      <c r="C73" s="21" t="s">
        <v>194</v>
      </c>
      <c r="D73" s="21" t="s">
        <v>405</v>
      </c>
      <c r="E73" s="13">
        <v>43016.49590277778</v>
      </c>
      <c r="F73" s="13">
        <v>43016.498078703706</v>
      </c>
      <c r="G73" s="7">
        <v>49</v>
      </c>
      <c r="H73" s="21" t="s">
        <v>377</v>
      </c>
      <c r="I73" s="13">
        <v>43016.523599537039</v>
      </c>
      <c r="J73" s="7">
        <v>0</v>
      </c>
      <c r="K73" s="89" t="str">
        <f t="shared" si="27"/>
        <v>4005/4006</v>
      </c>
      <c r="L73" s="185" t="str">
        <f>VLOOKUP(A73,'Trips&amp;Operators'!$C$1:$G$99911,5,FALSE)</f>
        <v>LAMAR NEKESHA</v>
      </c>
      <c r="M73" s="6">
        <f t="shared" si="28"/>
        <v>2.5520833332848269E-2</v>
      </c>
      <c r="N73" s="7">
        <f t="shared" si="37"/>
        <v>36.749999999301508</v>
      </c>
      <c r="O73" s="7"/>
      <c r="P73" s="7"/>
      <c r="Q73" s="22"/>
      <c r="R73" s="174"/>
      <c r="S73" s="221">
        <f t="shared" si="36"/>
        <v>1</v>
      </c>
      <c r="T73" s="174" t="str">
        <f t="shared" si="29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-10-08T10:54:06-0600',mode:absolute,to:'2017-10-08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3" s="204" t="str">
        <f>IF(AA73&lt;VLOOKUP(AG73,Variables!$AC$3:$AD$8,2,FALSE),"Y","N")</f>
        <v>N</v>
      </c>
      <c r="X73" s="204">
        <f t="shared" si="30"/>
        <v>1</v>
      </c>
      <c r="Y73" s="204">
        <f t="shared" si="31"/>
        <v>23.299399999999999</v>
      </c>
      <c r="Z73" s="204">
        <f t="shared" si="32"/>
        <v>1.54E-2</v>
      </c>
      <c r="AA73" s="204">
        <f t="shared" si="33"/>
        <v>23.283999999999999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34"/>
        <v>160</v>
      </c>
      <c r="AE73" s="77" t="str">
        <f t="shared" si="9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73" s="74" t="str">
        <f t="shared" si="10"/>
        <v>"C:\Program Files (x86)\AstroGrep\AstroGrep.exe" /e /r /s /spath="%USERPROFILE%\AppData\Local\Temp\OnboardLogs" /stypes="app*4005*20171008*" /stext=" 18:.+((SYSTEM_STATE.+slice.+state.+changed )|(ment ac)|(multiple cpu faults)|(system.+state.+changed )|(\[timeout)|(PRM\|1\|D)|(kpr)|(kdp)|(train st.+moving)|(\|lc)|(penalty))"</v>
      </c>
      <c r="AG73" s="182" t="str">
        <f t="shared" si="35"/>
        <v>EC</v>
      </c>
      <c r="AH73" s="78" t="str">
        <f t="shared" si="17"/>
        <v>"%USERPROFILE%\Documents\GitHub\eaglep3\Utilities\RefineRTDCRunTimes.py" --tripid 160-08 --locoid 4005 --swversion DE.1.0.9.0 --startMP 204:232994 --initTime 2017-10-08T11:54:06 --startdatetime 2017-10-08T11:57:14 --delay 49 --endMP 204:154 --enddatetime 2017-10-08T12:33:59 --enforcementcount 0 &gt;&gt;%USERPROFILE%\Documents\GitHub\eaglep3-reporting\EC\2017-10-08-refined-times.txt</v>
      </c>
      <c r="AI73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{"issue":{"subject":"","project_id":79,"tracker_id":40,"status_id":1,"priority_id":2,"assigned_to_id":338,"start_date":"2017-10-08","description":"","custom_fields":[{"id":1,"name":"Subdivision","value":"EC"},{"id":4,"name":"Milepost","value":"0.0154"},{"id":17,"name":"Train ID","value":"160-08"},{"id":16,"name":"Locomotive ID","value":"4005"},{"id":130,"name":"Impact","value":""},{"id":150,"name":"Time of Event (Mountain Time)","value":"12:33:59"},{"id":151,"name":"Denver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4005 --day 2017-10-08</v>
      </c>
      <c r="AN73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-10-08T10:54:06-0600',mode:absolute,to:'2017-10-08T13:33:59-0600'))&amp;_a=(columns:!('Message%20ID',Summary),filters:!(),index:'emp_*',interval:auto,query:(query_string:(analyze_wildcard:!t,query:'%22rtdc.l.rtdc.4005%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719</v>
      </c>
      <c r="B74" s="7">
        <v>4050</v>
      </c>
      <c r="C74" s="21" t="s">
        <v>194</v>
      </c>
      <c r="D74" s="21" t="s">
        <v>346</v>
      </c>
      <c r="E74" s="13">
        <v>43016.466458333336</v>
      </c>
      <c r="F74" s="13">
        <v>43016.469224537039</v>
      </c>
      <c r="G74" s="7">
        <v>102</v>
      </c>
      <c r="H74" s="21" t="s">
        <v>558</v>
      </c>
      <c r="I74" s="13">
        <v>43016.49496527778</v>
      </c>
      <c r="J74" s="7">
        <v>0</v>
      </c>
      <c r="K74" s="89" t="str">
        <f t="shared" si="27"/>
        <v>4049/4050</v>
      </c>
      <c r="L74" s="185" t="str">
        <f>VLOOKUP(A74,'Trips&amp;Operators'!$C$1:$G$99911,5,FALSE)</f>
        <v>DAVIS MICHAEL</v>
      </c>
      <c r="M74" s="6">
        <f t="shared" si="28"/>
        <v>2.5740740740729962E-2</v>
      </c>
      <c r="N74" s="7">
        <f t="shared" si="37"/>
        <v>37.066666666651145</v>
      </c>
      <c r="O74" s="7"/>
      <c r="P74" s="7"/>
      <c r="Q74" s="22"/>
      <c r="R74" s="174"/>
      <c r="S74" s="221">
        <f t="shared" si="36"/>
        <v>1</v>
      </c>
      <c r="T74" s="174" t="str">
        <f t="shared" si="29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-10-08T10:11:42-0600',mode:absolute,to:'2017-10-08T12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4" s="204" t="str">
        <f>IF(AA74&lt;VLOOKUP(AG74,Variables!$AC$3:$AD$8,2,FALSE),"Y","N")</f>
        <v>N</v>
      </c>
      <c r="X74" s="204">
        <f t="shared" si="30"/>
        <v>1</v>
      </c>
      <c r="Y74" s="204">
        <f t="shared" si="31"/>
        <v>4.5499999999999999E-2</v>
      </c>
      <c r="Z74" s="204">
        <f t="shared" si="32"/>
        <v>23.330100000000002</v>
      </c>
      <c r="AA74" s="204">
        <f t="shared" si="33"/>
        <v>23.284600000000001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34"/>
        <v>161</v>
      </c>
      <c r="AE74" s="77" t="str">
        <f t="shared" si="9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74" s="74" t="str">
        <f t="shared" si="10"/>
        <v>"C:\Program Files (x86)\AstroGrep\AstroGrep.exe" /e /r /s /spath="%USERPROFILE%\AppData\Local\Temp\OnboardLogs" /stypes="app*4050*20171008*" /stext=" 17:.+((SYSTEM_STATE.+slice.+state.+changed )|(ment ac)|(multiple cpu faults)|(system.+state.+changed )|(\[timeout)|(PRM\|1\|D)|(kpr)|(kdp)|(train st.+moving)|(\|lc)|(penalty))"</v>
      </c>
      <c r="AG74" s="182" t="str">
        <f t="shared" si="35"/>
        <v>EC</v>
      </c>
      <c r="AH74" s="78" t="str">
        <f t="shared" si="17"/>
        <v>"%USERPROFILE%\Documents\GitHub\eaglep3\Utilities\RefineRTDCRunTimes.py" --tripid 161-08 --locoid 4050 --swversion DE.1.0.9.0 --startMP 204:455 --initTime 2017-10-08T11:11:42 --startdatetime 2017-10-08T11:15:41 --delay 102 --endMP 204:233301 --enddatetime 2017-10-08T11:52:45 --enforcementcount 0 &gt;&gt;%USERPROFILE%\Documents\GitHub\eaglep3-reporting\EC\2017-10-08-refined-times.txt</v>
      </c>
      <c r="AI74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{"issue":{"subject":"","project_id":79,"tracker_id":40,"status_id":1,"priority_id":2,"assigned_to_id":338,"start_date":"2017-10-08","description":"","custom_fields":[{"id":1,"name":"Subdivision","value":"EC"},{"id":4,"name":"Milepost","value":"23.3301"},{"id":17,"name":"Train ID","value":"161-08"},{"id":16,"name":"Locomotive ID","value":"4050"},{"id":130,"name":"Impact","value":""},{"id":150,"name":"Time of Event (Mountain Time)","value":"11:52:45"},{"id":151,"name":"Denver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4050 --day 2017-10-08</v>
      </c>
      <c r="AN74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-10-08T10:11:42-0600',mode:absolute,to:'2017-10-08T12:52:45-0600'))&amp;_a=(columns:!('Message%20ID',Summary),filters:!(),index:'emp_*',interval:auto,query:(query_string:(analyze_wildcard:!t,query:'%22rtdc.l.rtdc.4050%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731</v>
      </c>
      <c r="B75" s="7">
        <v>4049</v>
      </c>
      <c r="C75" s="21" t="s">
        <v>194</v>
      </c>
      <c r="D75" s="21" t="s">
        <v>879</v>
      </c>
      <c r="E75" s="13">
        <v>43016.505833333336</v>
      </c>
      <c r="F75" s="13">
        <v>43016.508773148147</v>
      </c>
      <c r="G75" s="7">
        <v>104</v>
      </c>
      <c r="H75" s="21" t="s">
        <v>356</v>
      </c>
      <c r="I75" s="13">
        <v>43016.536712962959</v>
      </c>
      <c r="J75" s="7">
        <v>0</v>
      </c>
      <c r="K75" s="89" t="str">
        <f t="shared" si="27"/>
        <v>4049/4050</v>
      </c>
      <c r="L75" s="185" t="str">
        <f>VLOOKUP(A75,'Trips&amp;Operators'!$C$1:$G$99911,5,FALSE)</f>
        <v>DAVIS MICHAEL</v>
      </c>
      <c r="M75" s="6">
        <f t="shared" si="28"/>
        <v>2.7939814812270924E-2</v>
      </c>
      <c r="N75" s="7">
        <f t="shared" si="37"/>
        <v>40.233333329670131</v>
      </c>
      <c r="O75" s="7"/>
      <c r="P75" s="7"/>
      <c r="Q75" s="22"/>
      <c r="R75" s="174"/>
      <c r="S75" s="221">
        <f t="shared" si="36"/>
        <v>1</v>
      </c>
      <c r="T75" s="174" t="str">
        <f t="shared" si="29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-10-08T11:08:24-0600',mode:absolute,to:'2017-10-08T13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5" s="204" t="str">
        <f>IF(AA75&lt;VLOOKUP(AG75,Variables!$AC$3:$AD$8,2,FALSE),"Y","N")</f>
        <v>N</v>
      </c>
      <c r="X75" s="204">
        <f t="shared" si="30"/>
        <v>1</v>
      </c>
      <c r="Y75" s="204">
        <f t="shared" si="31"/>
        <v>23.298999999999999</v>
      </c>
      <c r="Z75" s="204">
        <f t="shared" si="32"/>
        <v>1.52E-2</v>
      </c>
      <c r="AA75" s="204">
        <f t="shared" si="33"/>
        <v>23.283799999999999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34"/>
        <v>162</v>
      </c>
      <c r="AE75" s="77" t="str">
        <f t="shared" si="9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75" s="74" t="str">
        <f t="shared" si="10"/>
        <v>"C:\Program Files (x86)\AstroGrep\AstroGrep.exe" /e /r /s /spath="%USERPROFILE%\AppData\Local\Temp\OnboardLogs" /stypes="app*4049*20171008*" /stext=" 18:.+((SYSTEM_STATE.+slice.+state.+changed )|(ment ac)|(multiple cpu faults)|(system.+state.+changed )|(\[timeout)|(PRM\|1\|D)|(kpr)|(kdp)|(train st.+moving)|(\|lc)|(penalty))"</v>
      </c>
      <c r="AG75" s="182" t="str">
        <f t="shared" si="35"/>
        <v>EC</v>
      </c>
      <c r="AH75" s="78" t="str">
        <f t="shared" si="17"/>
        <v>"%USERPROFILE%\Documents\GitHub\eaglep3\Utilities\RefineRTDCRunTimes.py" --tripid 162-08 --locoid 4049 --swversion DE.1.0.9.0 --startMP 204:232990 --initTime 2017-10-08T12:08:24 --startdatetime 2017-10-08T12:12:38 --delay 104 --endMP 204:152 --enddatetime 2017-10-08T12:52:52 --enforcementcount 0 &gt;&gt;%USERPROFILE%\Documents\GitHub\eaglep3-reporting\EC\2017-10-08-refined-times.txt</v>
      </c>
      <c r="AI75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{"issue":{"subject":"","project_id":79,"tracker_id":40,"status_id":1,"priority_id":2,"assigned_to_id":338,"start_date":"2017-10-08","description":"","custom_fields":[{"id":1,"name":"Subdivision","value":"EC"},{"id":4,"name":"Milepost","value":"0.0152"},{"id":17,"name":"Train ID","value":"162-08"},{"id":16,"name":"Locomotive ID","value":"4049"},{"id":130,"name":"Impact","value":""},{"id":150,"name":"Time of Event (Mountain Time)","value":"12:52:52"},{"id":151,"name":"Denver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4049 --day 2017-10-08</v>
      </c>
      <c r="AN75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-10-08T11:08:24-0600',mode:absolute,to:'2017-10-08T13:52:52-0600'))&amp;_a=(columns:!('Message%20ID',Summary),filters:!(),index:'emp_*',interval:auto,query:(query_string:(analyze_wildcard:!t,query:'%22rtdc.l.rtdc.4049%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4066</v>
      </c>
      <c r="C76" s="21" t="s">
        <v>194</v>
      </c>
      <c r="D76" s="21" t="s">
        <v>334</v>
      </c>
      <c r="E76" s="13">
        <v>43016.472893518519</v>
      </c>
      <c r="F76" s="13">
        <v>43016.47934027778</v>
      </c>
      <c r="G76" s="7">
        <v>111</v>
      </c>
      <c r="H76" s="21" t="s">
        <v>880</v>
      </c>
      <c r="I76" s="13">
        <v>43016.503877314812</v>
      </c>
      <c r="J76" s="7">
        <v>0</v>
      </c>
      <c r="K76" s="89" t="str">
        <f t="shared" si="27"/>
        <v>4065/4066</v>
      </c>
      <c r="L76" s="185" t="str">
        <f>VLOOKUP(A76,'Trips&amp;Operators'!$C$1:$G$99911,5,FALSE)</f>
        <v>GONZALEZ ARMANDO</v>
      </c>
      <c r="M76" s="6">
        <f t="shared" si="28"/>
        <v>2.4537037032132503E-2</v>
      </c>
      <c r="N76" s="7">
        <f t="shared" si="37"/>
        <v>35.333333326270804</v>
      </c>
      <c r="O76" s="7"/>
      <c r="P76" s="7"/>
      <c r="Q76" s="22"/>
      <c r="R76" s="174"/>
      <c r="S76" s="221">
        <f t="shared" si="36"/>
        <v>1</v>
      </c>
      <c r="T76" s="174" t="str">
        <f t="shared" si="29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-10-08T10:20:58-0600',mode:absolute,to:'2017-10-08T13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6" s="204" t="str">
        <f>IF(AA76&lt;VLOOKUP(AG76,Variables!$AC$3:$AD$8,2,FALSE),"Y","N")</f>
        <v>N</v>
      </c>
      <c r="X76" s="204">
        <f t="shared" si="30"/>
        <v>1</v>
      </c>
      <c r="Y76" s="204">
        <f t="shared" si="31"/>
        <v>4.4600000000000001E-2</v>
      </c>
      <c r="Z76" s="204">
        <f t="shared" si="32"/>
        <v>23.3385</v>
      </c>
      <c r="AA76" s="204">
        <f t="shared" si="33"/>
        <v>23.293900000000001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34"/>
        <v>163</v>
      </c>
      <c r="AE76" s="77" t="str">
        <f t="shared" si="9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76" s="74" t="str">
        <f t="shared" si="10"/>
        <v>"C:\Program Files (x86)\AstroGrep\AstroGrep.exe" /e /r /s /spath="%USERPROFILE%\AppData\Local\Temp\OnboardLogs" /stypes="app*4066*20171008*" /stext=" 18:.+((SYSTEM_STATE.+slice.+state.+changed )|(ment ac)|(multiple cpu faults)|(system.+state.+changed )|(\[timeout)|(PRM\|1\|D)|(kpr)|(kdp)|(train st.+moving)|(\|lc)|(penalty))"</v>
      </c>
      <c r="AG76" s="182" t="str">
        <f t="shared" si="35"/>
        <v>EC</v>
      </c>
      <c r="AH76" s="78" t="str">
        <f t="shared" si="17"/>
        <v>"%USERPROFILE%\Documents\GitHub\eaglep3\Utilities\RefineRTDCRunTimes.py" --tripid 163-08 --locoid 4066 --swversion DE.1.0.9.0 --startMP 204:446 --initTime 2017-10-08T11:20:58 --startdatetime 2017-10-08T11:30:15 --delay 111 --endMP 204:233385 --enddatetime 2017-10-08T12:05:35 --enforcementcount 0 &gt;&gt;%USERPROFILE%\Documents\GitHub\eaglep3-reporting\EC\2017-10-08-refined-times.txt</v>
      </c>
      <c r="AI76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{"issue":{"subject":"","project_id":79,"tracker_id":40,"status_id":1,"priority_id":2,"assigned_to_id":338,"start_date":"2017-10-08","description":"","custom_fields":[{"id":1,"name":"Subdivision","value":"EC"},{"id":4,"name":"Milepost","value":"23.3385"},{"id":17,"name":"Train ID","value":"163-08"},{"id":16,"name":"Locomotive ID","value":"4066"},{"id":130,"name":"Impact","value":""},{"id":150,"name":"Time of Event (Mountain Time)","value":"12:05:35"},{"id":151,"name":"Denver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4066 --day 2017-10-08</v>
      </c>
      <c r="AN76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-10-08T10:20:58-0600',mode:absolute,to:'2017-10-08T13:05:35-0600'))&amp;_a=(columns:!('Message%20ID',Summary),filters:!(),index:'emp_*',interval:auto,query:(query_string:(analyze_wildcard:!t,query:'%22rtdc.l.rtdc.4066%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733</v>
      </c>
      <c r="B77" s="7">
        <v>4065</v>
      </c>
      <c r="C77" s="21" t="s">
        <v>194</v>
      </c>
      <c r="D77" s="21" t="s">
        <v>881</v>
      </c>
      <c r="E77" s="13">
        <v>43016.51457175926</v>
      </c>
      <c r="F77" s="13">
        <v>43016.518969907411</v>
      </c>
      <c r="G77" s="7">
        <v>104</v>
      </c>
      <c r="H77" s="21" t="s">
        <v>337</v>
      </c>
      <c r="I77" s="13">
        <v>43016.54650462963</v>
      </c>
      <c r="J77" s="7">
        <v>0</v>
      </c>
      <c r="K77" s="89" t="str">
        <f t="shared" ref="K77:K108" si="38">IF(ISEVEN(B77),(B77-1)&amp;"/"&amp;B77,B77&amp;"/"&amp;(B77+1))</f>
        <v>4065/4066</v>
      </c>
      <c r="L77" s="185" t="str">
        <f>VLOOKUP(A77,'Trips&amp;Operators'!$C$1:$G$99911,5,FALSE)</f>
        <v>GONZALEZ ARMANDO</v>
      </c>
      <c r="M77" s="6">
        <f t="shared" ref="M77:M108" si="39">I77-F77</f>
        <v>2.753472221957054E-2</v>
      </c>
      <c r="N77" s="7">
        <f t="shared" si="37"/>
        <v>39.649999996181577</v>
      </c>
      <c r="O77" s="7"/>
      <c r="P77" s="7"/>
      <c r="Q77" s="22"/>
      <c r="R77" s="174"/>
      <c r="S77" s="221">
        <f t="shared" si="36"/>
        <v>1</v>
      </c>
      <c r="T77" s="174" t="str">
        <f t="shared" ref="T77:T108" si="40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-08T11:20:59-0600',mode:absolute,to:'2017-10-08T14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7" s="204" t="str">
        <f>IF(AA77&lt;VLOOKUP(AG77,Variables!$AC$3:$AD$8,2,FALSE),"Y","N")</f>
        <v>N</v>
      </c>
      <c r="X77" s="204">
        <f t="shared" ref="X77:X91" si="42">VALUE(LEFT(AD77,4))-VALUE(LEFT(AD76,4))</f>
        <v>1</v>
      </c>
      <c r="Y77" s="204">
        <f t="shared" ref="Y77:Y91" si="43">RIGHT(D77,LEN(D77)-4)/10000</f>
        <v>23.3032</v>
      </c>
      <c r="Z77" s="204">
        <f t="shared" ref="Z77:Z91" si="44">RIGHT(H77,LEN(H77)-4)/10000</f>
        <v>1.43E-2</v>
      </c>
      <c r="AA77" s="204">
        <f t="shared" ref="AA77:AA108" si="45">ABS(Z77-Y77)</f>
        <v>23.288900000000002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08" si="46">VALUE(LEFT(A77,LEN(A77)-3))</f>
        <v>164</v>
      </c>
      <c r="AE77" s="77" t="str">
        <f t="shared" ref="AE77:AE140" si="4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77" s="74" t="str">
        <f t="shared" ref="AF77:AF140" si="4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/stypes="app*4065*20171008*" /stext=" 19:.+((SYSTEM_STATE.+slice.+state.+changed )|(ment ac)|(multiple cpu faults)|(system.+state.+changed )|(\[timeout)|(PRM\|1\|D)|(kpr)|(kdp)|(train st.+moving)|(\|lc)|(penalty))"</v>
      </c>
      <c r="AG77" s="182" t="str">
        <f t="shared" ref="AG77:AG108" si="49">DetSubdiv(A77)</f>
        <v>EC</v>
      </c>
      <c r="AH77" s="78" t="str">
        <f t="shared" si="17"/>
        <v>"%USERPROFILE%\Documents\GitHub\eaglep3\Utilities\RefineRTDCRunTimes.py" --tripid 164-08 --locoid 4065 --swversion DE.1.0.9.0 --startMP 204:233032 --initTime 2017-10-08T12:20:59 --startdatetime 2017-10-08T12:27:19 --delay 104 --endMP 204:143 --enddatetime 2017-10-08T13:06:58 --enforcementcount 0 &gt;&gt;%USERPROFILE%\Documents\GitHub\eaglep3-reporting\EC\2017-10-08-refined-times.txt</v>
      </c>
      <c r="AI77" s="96" t="str">
        <f t="shared" si="18"/>
        <v>echo {"issue":{"subject":"","project_id":79,"tracker_id":40,"status_id":1,"priority_id":2,"assigned_to_id":338,"start_date":"2017-10-08","description":"","custom_fields":[{"id":1,"name":"Subdivision","value":"EC"},{"id":4,"name":"Milepost","value":"0.0143"},{"id":17,"name":"Train ID","value":"164-08"},{"id":16,"name":"Locomotive ID","value":"4065"},{"id":130,"name":"Impact","value":""},{"id":150,"name":"Time of Event (Mountain Time)","value":"13:06:58"},{"id":151,"name":"Denver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4065 --day 2017-10-08</v>
      </c>
      <c r="AN77" s="151" t="str">
        <f t="shared" si="20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1"/>
        <v>https://d0f6bd738d7f1b3e5a7ca70fe4ff75f0.us-east-1.aws.found.io/app/kibana#/discover/Steve-Slow-Train-Analysis-(2080s-and-2083s)?_g=(refreshInterval:(display:Off,pause:!f,section:0,value:0),time:(from:'2017-10-08T11:20:59-0600',mode:absolute,to:'2017-10-08T14:06:58-0600'))&amp;_a=(columns:!('Message%20ID',Summary),filters:!(),index:'emp_*',interval:auto,query:(query_string:(analyze_wildcard:!t,query:'%22rtdc.l.rtdc.4065%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726</v>
      </c>
      <c r="B78" s="7">
        <v>4060</v>
      </c>
      <c r="C78" s="21" t="s">
        <v>194</v>
      </c>
      <c r="D78" s="21" t="s">
        <v>346</v>
      </c>
      <c r="E78" s="13">
        <v>43016.483831018515</v>
      </c>
      <c r="F78" s="13">
        <v>43016.489745370367</v>
      </c>
      <c r="G78" s="7">
        <v>85</v>
      </c>
      <c r="H78" s="21" t="s">
        <v>882</v>
      </c>
      <c r="I78" s="13">
        <v>43016.514247685183</v>
      </c>
      <c r="J78" s="7">
        <v>0</v>
      </c>
      <c r="K78" s="89" t="str">
        <f t="shared" si="38"/>
        <v>4059/4060</v>
      </c>
      <c r="L78" s="185" t="str">
        <f>VLOOKUP(A78,'Trips&amp;Operators'!$C$1:$G$99911,5,FALSE)</f>
        <v>GUZMAN DANNY</v>
      </c>
      <c r="M78" s="6">
        <f t="shared" si="39"/>
        <v>2.4502314816345461E-2</v>
      </c>
      <c r="N78" s="7">
        <f t="shared" si="37"/>
        <v>35.283333335537463</v>
      </c>
      <c r="O78" s="7"/>
      <c r="P78" s="7"/>
      <c r="Q78" s="22"/>
      <c r="R78" s="174"/>
      <c r="S78" s="221">
        <f t="shared" si="36"/>
        <v>1</v>
      </c>
      <c r="T78" s="174" t="str">
        <f t="shared" si="40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1"/>
        <v>https://d0f6bd738d7f1b3e5a7ca70fe4ff75f0.us-east-1.aws.found.io/app/kibana#/discover/Steve-Slow-Train-Analysis-(2080s-and-2083s)?_g=(refreshInterval:(display:Off,pause:!f,section:0,value:0),time:(from:'2017-10-08T10:36:43-0600',mode:absolute,to:'2017-10-08T13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04" t="str">
        <f>IF(AA78&lt;VLOOKUP(AG78,Variables!$AC$3:$AD$8,2,FALSE),"Y","N")</f>
        <v>N</v>
      </c>
      <c r="X78" s="204">
        <f t="shared" si="42"/>
        <v>1</v>
      </c>
      <c r="Y78" s="204">
        <f t="shared" si="43"/>
        <v>4.5499999999999999E-2</v>
      </c>
      <c r="Z78" s="204">
        <f t="shared" si="44"/>
        <v>23.323399999999999</v>
      </c>
      <c r="AA78" s="204">
        <f t="shared" si="45"/>
        <v>23.277899999999999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6"/>
        <v>165</v>
      </c>
      <c r="AE78" s="77" t="str">
        <f t="shared" si="47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78" s="74" t="str">
        <f t="shared" si="48"/>
        <v>"C:\Program Files (x86)\AstroGrep\AstroGrep.exe" /e /r /s /spath="%USERPROFILE%\AppData\Local\Temp\OnboardLogs" /stypes="app*4060*20171008*" /stext=" 18:.+((SYSTEM_STATE.+slice.+state.+changed )|(ment ac)|(multiple cpu faults)|(system.+state.+changed )|(\[timeout)|(PRM\|1\|D)|(kpr)|(kdp)|(train st.+moving)|(\|lc)|(penalty))"</v>
      </c>
      <c r="AG78" s="182" t="str">
        <f t="shared" si="49"/>
        <v>EC</v>
      </c>
      <c r="AH78" s="78" t="str">
        <f t="shared" ref="AH78:AH142" si="5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165-08 --locoid 4060 --swversion DE.1.0.9.0 --startMP 204:455 --initTime 2017-10-08T11:36:43 --startdatetime 2017-10-08T11:45:14 --delay 85 --endMP 204:233234 --enddatetime 2017-10-08T12:20:31 --enforcementcount 0 &gt;&gt;%USERPROFILE%\Documents\GitHub\eaglep3-reporting\EC\2017-10-08-refined-times.txt</v>
      </c>
      <c r="AI78" s="96" t="str">
        <f t="shared" ref="AI78:AI142" si="5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{"issue":{"subject":"","project_id":79,"tracker_id":40,"status_id":1,"priority_id":2,"assigned_to_id":338,"start_date":"2017-10-08","description":"","custom_fields":[{"id":1,"name":"Subdivision","value":"EC"},{"id":4,"name":"Milepost","value":"23.3234"},{"id":17,"name":"Train ID","value":"165-08"},{"id":16,"name":"Locomotive ID","value":"4060"},{"id":130,"name":"Impact","value":""},{"id":150,"name":"Time of Event (Mountain Time)","value":"12:20:31"},{"id":151,"name":"Denver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2" si="52">"start /low /b "&amp;dls3logs&amp;" --loco "&amp;B78&amp;" --day "&amp;TEXT(F78,"YYYY-MM-DD")</f>
        <v>start /low /b %USERPROFILE%\Documents\GitHub\eaglep3\Utilities\DownloadLogsFromS3.py --loco 4060 --day 2017-10-08</v>
      </c>
      <c r="AN78" s="151" t="str">
        <f t="shared" ref="AN78:AN142" si="5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5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-08T10:36:43-0600',mode:absolute,to:'2017-10-08T13:20:31-0600'))&amp;_a=(columns:!('Message%20ID',Summary),filters:!(),index:'emp_*',interval:auto,query:(query_string:(analyze_wildcard:!t,query:'%22rtdc.l.rtdc.4060%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736</v>
      </c>
      <c r="B79" s="7">
        <v>4059</v>
      </c>
      <c r="C79" s="21" t="s">
        <v>194</v>
      </c>
      <c r="D79" s="21" t="s">
        <v>883</v>
      </c>
      <c r="E79" s="13">
        <v>43016.516631944447</v>
      </c>
      <c r="F79" s="13">
        <v>43016.529340277775</v>
      </c>
      <c r="G79" s="7">
        <v>57</v>
      </c>
      <c r="H79" s="21" t="s">
        <v>423</v>
      </c>
      <c r="I79" s="13">
        <v>43016.555393518516</v>
      </c>
      <c r="J79" s="7">
        <v>0</v>
      </c>
      <c r="K79" s="89" t="str">
        <f t="shared" si="38"/>
        <v>4059/4060</v>
      </c>
      <c r="L79" s="185" t="str">
        <f>VLOOKUP(A79,'Trips&amp;Operators'!$C$1:$G$99911,5,FALSE)</f>
        <v>GUZMAN DANNY</v>
      </c>
      <c r="M79" s="6">
        <f t="shared" si="39"/>
        <v>2.6053240741021E-2</v>
      </c>
      <c r="N79" s="7">
        <f t="shared" si="37"/>
        <v>37.51666666707024</v>
      </c>
      <c r="O79" s="7"/>
      <c r="P79" s="7"/>
      <c r="Q79" s="22"/>
      <c r="R79" s="174"/>
      <c r="S79" s="221">
        <f t="shared" si="36"/>
        <v>1</v>
      </c>
      <c r="T79" s="174" t="str">
        <f t="shared" si="40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1"/>
        <v>https://d0f6bd738d7f1b3e5a7ca70fe4ff75f0.us-east-1.aws.found.io/app/kibana#/discover/Steve-Slow-Train-Analysis-(2080s-and-2083s)?_g=(refreshInterval:(display:Off,pause:!f,section:0,value:0),time:(from:'2017-10-08T11:23:57-0600',mode:absolute,to:'2017-10-08T14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04" t="str">
        <f>IF(AA79&lt;VLOOKUP(AG79,Variables!$AC$3:$AD$8,2,FALSE),"Y","N")</f>
        <v>N</v>
      </c>
      <c r="X79" s="204">
        <f t="shared" si="42"/>
        <v>1</v>
      </c>
      <c r="Y79" s="204">
        <f t="shared" si="43"/>
        <v>23.295000000000002</v>
      </c>
      <c r="Z79" s="204">
        <f t="shared" si="44"/>
        <v>1.6E-2</v>
      </c>
      <c r="AA79" s="204">
        <f t="shared" si="45"/>
        <v>23.279000000000003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6"/>
        <v>166</v>
      </c>
      <c r="AE79" s="77" t="str">
        <f t="shared" si="47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79" s="74" t="str">
        <f t="shared" si="48"/>
        <v>"C:\Program Files (x86)\AstroGrep\AstroGrep.exe" /e /r /s /spath="%USERPROFILE%\AppData\Local\Temp\OnboardLogs" /stypes="app*4059*20171008*" /stext=" 19:.+((SYSTEM_STATE.+slice.+state.+changed )|(ment ac)|(multiple cpu faults)|(system.+state.+changed )|(\[timeout)|(PRM\|1\|D)|(kpr)|(kdp)|(train st.+moving)|(\|lc)|(penalty))"</v>
      </c>
      <c r="AG79" s="182" t="str">
        <f t="shared" si="49"/>
        <v>EC</v>
      </c>
      <c r="AH79" s="78" t="str">
        <f t="shared" si="50"/>
        <v>"%USERPROFILE%\Documents\GitHub\eaglep3\Utilities\RefineRTDCRunTimes.py" --tripid 166-08 --locoid 4059 --swversion DE.1.0.9.0 --startMP 204:232950 --initTime 2017-10-08T12:23:57 --startdatetime 2017-10-08T12:42:15 --delay 57 --endMP 204:160 --enddatetime 2017-10-08T13:19:46 --enforcementcount 0 &gt;&gt;%USERPROFILE%\Documents\GitHub\eaglep3-reporting\EC\2017-10-08-refined-times.txt</v>
      </c>
      <c r="AI7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{"issue":{"subject":"","project_id":79,"tracker_id":40,"status_id":1,"priority_id":2,"assigned_to_id":338,"start_date":"2017-10-08","description":"","custom_fields":[{"id":1,"name":"Subdivision","value":"EC"},{"id":4,"name":"Milepost","value":"0.016"},{"id":17,"name":"Train ID","value":"166-08"},{"id":16,"name":"Locomotive ID","value":"4059"},{"id":130,"name":"Impact","value":""},{"id":150,"name":"Time of Event (Mountain Time)","value":"13:19:46"},{"id":151,"name":"Denver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52"/>
        <v>start /low /b %USERPROFILE%\Documents\GitHub\eaglep3\Utilities\DownloadLogsFromS3.py --loco 4059 --day 2017-10-08</v>
      </c>
      <c r="AN79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4"/>
        <v>https://d0f6bd738d7f1b3e5a7ca70fe4ff75f0.us-east-1.aws.found.io/app/kibana#/discover/Steve-Slow-Train-Analysis-(2080s-and-2083s)?_g=(refreshInterval:(display:Off,pause:!f,section:0,value:0),time:(from:'2017-10-08T11:23:57-0600',mode:absolute,to:'2017-10-08T14:19:46-0600'))&amp;_a=(columns:!('Message%20ID',Summary),filters:!(),index:'emp_*',interval:auto,query:(query_string:(analyze_wildcard:!t,query:'%22rtdc.l.rtdc.4059%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601</v>
      </c>
      <c r="B80" s="7">
        <v>4036</v>
      </c>
      <c r="C80" s="21" t="s">
        <v>194</v>
      </c>
      <c r="D80" s="21" t="s">
        <v>884</v>
      </c>
      <c r="E80" s="13">
        <v>43016.495879629627</v>
      </c>
      <c r="F80" s="13">
        <v>43016.500254629631</v>
      </c>
      <c r="G80" s="7">
        <v>55</v>
      </c>
      <c r="H80" s="21" t="s">
        <v>402</v>
      </c>
      <c r="I80" s="13">
        <v>43016.52685185185</v>
      </c>
      <c r="J80" s="7">
        <v>0</v>
      </c>
      <c r="K80" s="89" t="str">
        <f t="shared" si="38"/>
        <v>4035/4036</v>
      </c>
      <c r="L80" s="185" t="str">
        <f>VLOOKUP(A80,'Trips&amp;Operators'!$C$1:$G$99911,5,FALSE)</f>
        <v>BADERTSCHER DIANE</v>
      </c>
      <c r="M80" s="6">
        <f t="shared" si="39"/>
        <v>2.6597222218697425E-2</v>
      </c>
      <c r="N80" s="7">
        <f t="shared" si="37"/>
        <v>38.299999994924292</v>
      </c>
      <c r="O80" s="7"/>
      <c r="P80" s="7"/>
      <c r="Q80" s="22"/>
      <c r="R80" s="174"/>
      <c r="S80" s="221">
        <f t="shared" si="36"/>
        <v>1</v>
      </c>
      <c r="T80" s="174" t="str">
        <f t="shared" si="40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1"/>
        <v>https://d0f6bd738d7f1b3e5a7ca70fe4ff75f0.us-east-1.aws.found.io/app/kibana#/discover/Steve-Slow-Train-Analysis-(2080s-and-2083s)?_g=(refreshInterval:(display:Off,pause:!f,section:0,value:0),time:(from:'2017-10-08T10:54:04-0600',mode:absolute,to:'2017-10-08T13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0" s="204" t="str">
        <f>IF(AA80&lt;VLOOKUP(AG80,Variables!$AC$3:$AD$8,2,FALSE),"Y","N")</f>
        <v>N</v>
      </c>
      <c r="X80" s="204">
        <f t="shared" si="42"/>
        <v>1</v>
      </c>
      <c r="Y80" s="204">
        <f t="shared" si="43"/>
        <v>4.3099999999999999E-2</v>
      </c>
      <c r="Z80" s="204">
        <f t="shared" si="44"/>
        <v>23.329699999999999</v>
      </c>
      <c r="AA80" s="204">
        <f t="shared" si="45"/>
        <v>23.2866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179">
        <f t="shared" si="46"/>
        <v>167</v>
      </c>
      <c r="AE80" s="77" t="str">
        <f t="shared" si="47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80" s="74" t="str">
        <f t="shared" si="48"/>
        <v>"C:\Program Files (x86)\AstroGrep\AstroGrep.exe" /e /r /s /spath="%USERPROFILE%\AppData\Local\Temp\OnboardLogs" /stypes="app*4036*20171008*" /stext=" 18:.+((SYSTEM_STATE.+slice.+state.+changed )|(ment ac)|(multiple cpu faults)|(system.+state.+changed )|(\[timeout)|(PRM\|1\|D)|(kpr)|(kdp)|(train st.+moving)|(\|lc)|(penalty))"</v>
      </c>
      <c r="AG80" s="182" t="str">
        <f t="shared" si="49"/>
        <v>EC</v>
      </c>
      <c r="AH80" s="78" t="str">
        <f t="shared" si="50"/>
        <v>"%USERPROFILE%\Documents\GitHub\eaglep3\Utilities\RefineRTDCRunTimes.py" --tripid 167-08 --locoid 4036 --swversion DE.1.0.9.0 --startMP 204:431 --initTime 2017-10-08T11:54:04 --startdatetime 2017-10-08T12:00:22 --delay 55 --endMP 204:233297 --enddatetime 2017-10-08T12:38:40 --enforcementcount 0 &gt;&gt;%USERPROFILE%\Documents\GitHub\eaglep3-reporting\EC\2017-10-08-refined-times.txt</v>
      </c>
      <c r="AI8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{"issue":{"subject":"","project_id":79,"tracker_id":40,"status_id":1,"priority_id":2,"assigned_to_id":338,"start_date":"2017-10-08","description":"","custom_fields":[{"id":1,"name":"Subdivision","value":"EC"},{"id":4,"name":"Milepost","value":"23.3297"},{"id":17,"name":"Train ID","value":"167-08"},{"id":16,"name":"Locomotive ID","value":"4036"},{"id":130,"name":"Impact","value":""},{"id":150,"name":"Time of Event (Mountain Time)","value":"12:38:40"},{"id":151,"name":"Denver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52"/>
        <v>start /low /b %USERPROFILE%\Documents\GitHub\eaglep3\Utilities\DownloadLogsFromS3.py --loco 4036 --day 2017-10-08</v>
      </c>
      <c r="AN80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4"/>
        <v>https://d0f6bd738d7f1b3e5a7ca70fe4ff75f0.us-east-1.aws.found.io/app/kibana#/discover/Steve-Slow-Train-Analysis-(2080s-and-2083s)?_g=(refreshInterval:(display:Off,pause:!f,section:0,value:0),time:(from:'2017-10-08T10:54:04-0600',mode:absolute,to:'2017-10-08T13:38:40-0600'))&amp;_a=(columns:!('Message%20ID',Summary),filters:!(),index:'emp_*',interval:auto,query:(query_string:(analyze_wildcard:!t,query:'%22rtdc.l.rtdc.4036%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739</v>
      </c>
      <c r="B81" s="7">
        <v>4035</v>
      </c>
      <c r="C81" s="21" t="s">
        <v>194</v>
      </c>
      <c r="D81" s="21" t="s">
        <v>433</v>
      </c>
      <c r="E81" s="13">
        <v>43016.532511574071</v>
      </c>
      <c r="F81" s="13">
        <v>43016.539768518516</v>
      </c>
      <c r="G81" s="7">
        <v>72</v>
      </c>
      <c r="H81" s="21" t="s">
        <v>336</v>
      </c>
      <c r="I81" s="13">
        <v>43016.567094907405</v>
      </c>
      <c r="J81" s="7">
        <v>0</v>
      </c>
      <c r="K81" s="89" t="str">
        <f t="shared" si="38"/>
        <v>4035/4036</v>
      </c>
      <c r="L81" s="185" t="str">
        <f>VLOOKUP(A81,'Trips&amp;Operators'!$C$1:$G$99911,5,FALSE)</f>
        <v>BADERTSCHER DIANE</v>
      </c>
      <c r="M81" s="6">
        <f t="shared" si="39"/>
        <v>2.73263888884685E-2</v>
      </c>
      <c r="N81" s="7">
        <f t="shared" si="37"/>
        <v>39.34999999939464</v>
      </c>
      <c r="O81" s="7"/>
      <c r="P81" s="7"/>
      <c r="Q81" s="22"/>
      <c r="R81" s="174"/>
      <c r="S81" s="221">
        <f t="shared" si="36"/>
        <v>1</v>
      </c>
      <c r="T81" s="174" t="str">
        <f t="shared" si="40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1"/>
        <v>https://d0f6bd738d7f1b3e5a7ca70fe4ff75f0.us-east-1.aws.found.io/app/kibana#/discover/Steve-Slow-Train-Analysis-(2080s-and-2083s)?_g=(refreshInterval:(display:Off,pause:!f,section:0,value:0),time:(from:'2017-10-08T11:46:49-0600',mode:absolute,to:'2017-10-08T14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1" s="204" t="str">
        <f>IF(AA81&lt;VLOOKUP(AG81,Variables!$AC$3:$AD$8,2,FALSE),"Y","N")</f>
        <v>N</v>
      </c>
      <c r="X81" s="204">
        <f t="shared" si="42"/>
        <v>1</v>
      </c>
      <c r="Y81" s="204">
        <f t="shared" si="43"/>
        <v>23.298500000000001</v>
      </c>
      <c r="Z81" s="204">
        <f t="shared" si="44"/>
        <v>1.49E-2</v>
      </c>
      <c r="AA81" s="204">
        <f t="shared" si="45"/>
        <v>23.2836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6"/>
        <v>168</v>
      </c>
      <c r="AE81" s="77" t="str">
        <f t="shared" si="47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81" s="74" t="str">
        <f t="shared" si="48"/>
        <v>"C:\Program Files (x86)\AstroGrep\AstroGrep.exe" /e /r /s /spath="%USERPROFILE%\AppData\Local\Temp\OnboardLogs" /stypes="app*4035*20171008*" /stext=" 19:.+((SYSTEM_STATE.+slice.+state.+changed )|(ment ac)|(multiple cpu faults)|(system.+state.+changed )|(\[timeout)|(PRM\|1\|D)|(kpr)|(kdp)|(train st.+moving)|(\|lc)|(penalty))"</v>
      </c>
      <c r="AG81" s="182" t="str">
        <f t="shared" si="49"/>
        <v>EC</v>
      </c>
      <c r="AH81" s="78" t="str">
        <f t="shared" si="50"/>
        <v>"%USERPROFILE%\Documents\GitHub\eaglep3\Utilities\RefineRTDCRunTimes.py" --tripid 168-08 --locoid 4035 --swversion DE.1.0.9.0 --startMP 204:232985 --initTime 2017-10-08T12:46:49 --startdatetime 2017-10-08T12:57:16 --delay 72 --endMP 204:149 --enddatetime 2017-10-08T13:36:37 --enforcementcount 0 &gt;&gt;%USERPROFILE%\Documents\GitHub\eaglep3-reporting\EC\2017-10-08-refined-times.txt</v>
      </c>
      <c r="AI81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{"issue":{"subject":"","project_id":79,"tracker_id":40,"status_id":1,"priority_id":2,"assigned_to_id":338,"start_date":"2017-10-08","description":"","custom_fields":[{"id":1,"name":"Subdivision","value":"EC"},{"id":4,"name":"Milepost","value":"0.0149"},{"id":17,"name":"Train ID","value":"168-08"},{"id":16,"name":"Locomotive ID","value":"4035"},{"id":130,"name":"Impact","value":""},{"id":150,"name":"Time of Event (Mountain Time)","value":"13:36:37"},{"id":151,"name":"Denver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52"/>
        <v>start /low /b %USERPROFILE%\Documents\GitHub\eaglep3\Utilities\DownloadLogsFromS3.py --loco 4035 --day 2017-10-08</v>
      </c>
      <c r="AN81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4"/>
        <v>https://d0f6bd738d7f1b3e5a7ca70fe4ff75f0.us-east-1.aws.found.io/app/kibana#/discover/Steve-Slow-Train-Analysis-(2080s-and-2083s)?_g=(refreshInterval:(display:Off,pause:!f,section:0,value:0),time:(from:'2017-10-08T11:46:49-0600',mode:absolute,to:'2017-10-08T14:36:37-0600'))&amp;_a=(columns:!('Message%20ID',Summary),filters:!(),index:'emp_*',interval:auto,query:(query_string:(analyze_wildcard:!t,query:'%22rtdc.l.rtdc.4035%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732</v>
      </c>
      <c r="B82" s="7">
        <v>4016</v>
      </c>
      <c r="C82" s="21" t="s">
        <v>194</v>
      </c>
      <c r="D82" s="21" t="s">
        <v>406</v>
      </c>
      <c r="E82" s="13">
        <v>43016.506550925929</v>
      </c>
      <c r="F82" s="13">
        <v>43016.510578703703</v>
      </c>
      <c r="G82" s="7">
        <v>132</v>
      </c>
      <c r="H82" s="21" t="s">
        <v>484</v>
      </c>
      <c r="I82" s="13">
        <v>43016.535312499997</v>
      </c>
      <c r="J82" s="7">
        <v>0</v>
      </c>
      <c r="K82" s="89" t="str">
        <f t="shared" si="38"/>
        <v>4015/4016</v>
      </c>
      <c r="L82" s="185" t="str">
        <f>VLOOKUP(A82,'Trips&amp;Operators'!$C$1:$G$99911,5,FALSE)</f>
        <v>BERLING GARY</v>
      </c>
      <c r="M82" s="6">
        <f t="shared" si="39"/>
        <v>2.4733796293730848E-2</v>
      </c>
      <c r="N82" s="7">
        <f t="shared" si="37"/>
        <v>35.61666666297242</v>
      </c>
      <c r="O82" s="7"/>
      <c r="P82" s="7"/>
      <c r="Q82" s="22"/>
      <c r="R82" s="174"/>
      <c r="S82" s="221">
        <f t="shared" si="36"/>
        <v>1</v>
      </c>
      <c r="T82" s="174" t="str">
        <f t="shared" si="40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1"/>
        <v>https://d0f6bd738d7f1b3e5a7ca70fe4ff75f0.us-east-1.aws.found.io/app/kibana#/discover/Steve-Slow-Train-Analysis-(2080s-and-2083s)?_g=(refreshInterval:(display:Off,pause:!f,section:0,value:0),time:(from:'2017-10-08T11:09:26-0600',mode:absolute,to:'2017-10-08T13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204" t="str">
        <f>IF(AA82&lt;VLOOKUP(AG82,Variables!$AC$3:$AD$8,2,FALSE),"Y","N")</f>
        <v>N</v>
      </c>
      <c r="X82" s="204">
        <f t="shared" si="42"/>
        <v>1</v>
      </c>
      <c r="Y82" s="204">
        <f t="shared" si="43"/>
        <v>4.7300000000000002E-2</v>
      </c>
      <c r="Z82" s="204">
        <f t="shared" si="44"/>
        <v>23.328399999999998</v>
      </c>
      <c r="AA82" s="204">
        <f t="shared" si="45"/>
        <v>23.281099999999999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6"/>
        <v>169</v>
      </c>
      <c r="AE82" s="77" t="str">
        <f t="shared" si="47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82" s="74" t="str">
        <f t="shared" si="48"/>
        <v>"C:\Program Files (x86)\AstroGrep\AstroGrep.exe" /e /r /s /spath="%USERPROFILE%\AppData\Local\Temp\OnboardLogs" /stypes="app*4016*20171008*" /stext=" 18:.+((SYSTEM_STATE.+slice.+state.+changed )|(ment ac)|(multiple cpu faults)|(system.+state.+changed )|(\[timeout)|(PRM\|1\|D)|(kpr)|(kdp)|(train st.+moving)|(\|lc)|(penalty))"</v>
      </c>
      <c r="AG82" s="182" t="str">
        <f t="shared" si="49"/>
        <v>EC</v>
      </c>
      <c r="AH82" s="78" t="str">
        <f t="shared" si="50"/>
        <v>"%USERPROFILE%\Documents\GitHub\eaglep3\Utilities\RefineRTDCRunTimes.py" --tripid 169-08 --locoid 4016 --swversion DE.1.0.9.0 --startMP 204:473 --initTime 2017-10-08T12:09:26 --startdatetime 2017-10-08T12:15:14 --delay 132 --endMP 204:233284 --enddatetime 2017-10-08T12:50:51 --enforcementcount 0 &gt;&gt;%USERPROFILE%\Documents\GitHub\eaglep3-reporting\EC\2017-10-08-refined-times.txt</v>
      </c>
      <c r="AI82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{"issue":{"subject":"","project_id":79,"tracker_id":40,"status_id":1,"priority_id":2,"assigned_to_id":338,"start_date":"2017-10-08","description":"","custom_fields":[{"id":1,"name":"Subdivision","value":"EC"},{"id":4,"name":"Milepost","value":"23.3284"},{"id":17,"name":"Train ID","value":"169-08"},{"id":16,"name":"Locomotive ID","value":"4016"},{"id":130,"name":"Impact","value":""},{"id":150,"name":"Time of Event (Mountain Time)","value":"12:50:51"},{"id":151,"name":"Denver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52"/>
        <v>start /low /b %USERPROFILE%\Documents\GitHub\eaglep3\Utilities\DownloadLogsFromS3.py --loco 4016 --day 2017-10-08</v>
      </c>
      <c r="AN82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4"/>
        <v>https://d0f6bd738d7f1b3e5a7ca70fe4ff75f0.us-east-1.aws.found.io/app/kibana#/discover/Steve-Slow-Train-Analysis-(2080s-and-2083s)?_g=(refreshInterval:(display:Off,pause:!f,section:0,value:0),time:(from:'2017-10-08T11:09:26-0600',mode:absolute,to:'2017-10-08T13:50:51-0600'))&amp;_a=(columns:!('Message%20ID',Summary),filters:!(),index:'emp_*',interval:auto,query:(query_string:(analyze_wildcard:!t,query:'%22rtdc.l.rtdc.4016%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741</v>
      </c>
      <c r="B83" s="7">
        <v>4015</v>
      </c>
      <c r="C83" s="21" t="s">
        <v>194</v>
      </c>
      <c r="D83" s="21" t="s">
        <v>488</v>
      </c>
      <c r="E83" s="13">
        <v>43016.543668981481</v>
      </c>
      <c r="F83" s="13">
        <v>43016.550150462965</v>
      </c>
      <c r="G83" s="7">
        <v>89</v>
      </c>
      <c r="H83" s="21" t="s">
        <v>340</v>
      </c>
      <c r="I83" s="13">
        <v>43016.576932870368</v>
      </c>
      <c r="J83" s="7">
        <v>0</v>
      </c>
      <c r="K83" s="89" t="str">
        <f t="shared" si="38"/>
        <v>4015/4016</v>
      </c>
      <c r="L83" s="185" t="str">
        <f>VLOOKUP(A83,'Trips&amp;Operators'!$C$1:$G$99911,5,FALSE)</f>
        <v>BERLING GARY</v>
      </c>
      <c r="M83" s="6">
        <f t="shared" si="39"/>
        <v>2.6782407403516117E-2</v>
      </c>
      <c r="N83" s="7">
        <f t="shared" si="37"/>
        <v>38.566666661063209</v>
      </c>
      <c r="O83" s="7"/>
      <c r="P83" s="7"/>
      <c r="Q83" s="22"/>
      <c r="R83" s="174"/>
      <c r="S83" s="221">
        <f t="shared" si="36"/>
        <v>1</v>
      </c>
      <c r="T83" s="174" t="str">
        <f t="shared" si="40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1"/>
        <v>https://d0f6bd738d7f1b3e5a7ca70fe4ff75f0.us-east-1.aws.found.io/app/kibana#/discover/Steve-Slow-Train-Analysis-(2080s-and-2083s)?_g=(refreshInterval:(display:Off,pause:!f,section:0,value:0),time:(from:'2017-10-08T12:02:53-0600',mode:absolute,to:'2017-10-08T14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204" t="str">
        <f>IF(AA83&lt;VLOOKUP(AG83,Variables!$AC$3:$AD$8,2,FALSE),"Y","N")</f>
        <v>N</v>
      </c>
      <c r="X83" s="204">
        <f t="shared" si="42"/>
        <v>1</v>
      </c>
      <c r="Y83" s="204">
        <f t="shared" si="43"/>
        <v>23.2988</v>
      </c>
      <c r="Z83" s="204">
        <f t="shared" si="44"/>
        <v>1.47E-2</v>
      </c>
      <c r="AA83" s="204">
        <f t="shared" si="45"/>
        <v>23.284099999999999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6"/>
        <v>170</v>
      </c>
      <c r="AE83" s="77" t="str">
        <f t="shared" si="47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83" s="74" t="str">
        <f t="shared" si="48"/>
        <v>"C:\Program Files (x86)\AstroGrep\AstroGrep.exe" /e /r /s /spath="%USERPROFILE%\AppData\Local\Temp\OnboardLogs" /stypes="app*4015*20171008*" /stext=" 19:.+((SYSTEM_STATE.+slice.+state.+changed )|(ment ac)|(multiple cpu faults)|(system.+state.+changed )|(\[timeout)|(PRM\|1\|D)|(kpr)|(kdp)|(train st.+moving)|(\|lc)|(penalty))"</v>
      </c>
      <c r="AG83" s="182" t="str">
        <f t="shared" si="49"/>
        <v>EC</v>
      </c>
      <c r="AH83" s="78" t="str">
        <f t="shared" si="50"/>
        <v>"%USERPROFILE%\Documents\GitHub\eaglep3\Utilities\RefineRTDCRunTimes.py" --tripid 170-08 --locoid 4015 --swversion DE.1.0.9.0 --startMP 204:232988 --initTime 2017-10-08T13:02:53 --startdatetime 2017-10-08T13:12:13 --delay 89 --endMP 204:147 --enddatetime 2017-10-08T13:50:47 --enforcementcount 0 &gt;&gt;%USERPROFILE%\Documents\GitHub\eaglep3-reporting\EC\2017-10-08-refined-times.txt</v>
      </c>
      <c r="AI83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ID","value":"170-08"},{"id":16,"name":"Locomotive ID","value":"4015"},{"id":130,"name":"Impact","value":""},{"id":150,"name":"Time of Event (Mountain Time)","value":"13:50:47"},{"id":151,"name":"Denver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52"/>
        <v>start /low /b %USERPROFILE%\Documents\GitHub\eaglep3\Utilities\DownloadLogsFromS3.py --loco 4015 --day 2017-10-08</v>
      </c>
      <c r="AN83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4"/>
        <v>https://d0f6bd738d7f1b3e5a7ca70fe4ff75f0.us-east-1.aws.found.io/app/kibana#/discover/Steve-Slow-Train-Analysis-(2080s-and-2083s)?_g=(refreshInterval:(display:Off,pause:!f,section:0,value:0),time:(from:'2017-10-08T12:02:53-0600',mode:absolute,to:'2017-10-08T14:50:47-0600'))&amp;_a=(columns:!('Message%20ID',Summary),filters:!(),index:'emp_*',interval:auto,query:(query_string:(analyze_wildcard:!t,query:'%22rtdc.l.rtdc.4015%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735</v>
      </c>
      <c r="B84" s="7">
        <v>4002</v>
      </c>
      <c r="C84" s="21" t="s">
        <v>194</v>
      </c>
      <c r="D84" s="21" t="s">
        <v>406</v>
      </c>
      <c r="E84" s="13">
        <v>43016.516435185185</v>
      </c>
      <c r="F84" s="13">
        <v>43016.52103009259</v>
      </c>
      <c r="G84" s="7">
        <v>69</v>
      </c>
      <c r="H84" s="21" t="s">
        <v>885</v>
      </c>
      <c r="I84" s="13">
        <v>43016.546469907407</v>
      </c>
      <c r="J84" s="7">
        <v>0</v>
      </c>
      <c r="K84" s="89" t="str">
        <f t="shared" si="38"/>
        <v>4001/4002</v>
      </c>
      <c r="L84" s="185" t="str">
        <f>VLOOKUP(A84,'Trips&amp;Operators'!$C$1:$G$99911,5,FALSE)</f>
        <v>STEWART MICHAEL</v>
      </c>
      <c r="M84" s="6">
        <f t="shared" si="39"/>
        <v>2.5439814817218576E-2</v>
      </c>
      <c r="N84" s="7">
        <f t="shared" si="37"/>
        <v>36.633333336794749</v>
      </c>
      <c r="O84" s="7"/>
      <c r="P84" s="7"/>
      <c r="Q84" s="22"/>
      <c r="R84" s="174"/>
      <c r="S84" s="221">
        <f t="shared" si="36"/>
        <v>1</v>
      </c>
      <c r="T84" s="174" t="str">
        <f t="shared" si="40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1"/>
        <v>https://d0f6bd738d7f1b3e5a7ca70fe4ff75f0.us-east-1.aws.found.io/app/kibana#/discover/Steve-Slow-Train-Analysis-(2080s-and-2083s)?_g=(refreshInterval:(display:Off,pause:!f,section:0,value:0),time:(from:'2017-10-08T11:23:40-0600',mode:absolute,to:'2017-10-08T14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4" s="204" t="str">
        <f>IF(AA84&lt;VLOOKUP(AG84,Variables!$AC$3:$AD$8,2,FALSE),"Y","N")</f>
        <v>N</v>
      </c>
      <c r="X84" s="204">
        <f t="shared" si="42"/>
        <v>1</v>
      </c>
      <c r="Y84" s="204">
        <f t="shared" si="43"/>
        <v>4.7300000000000002E-2</v>
      </c>
      <c r="Z84" s="204">
        <f t="shared" si="44"/>
        <v>23.329799999999999</v>
      </c>
      <c r="AA84" s="204">
        <f t="shared" si="45"/>
        <v>23.282499999999999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6"/>
        <v>171</v>
      </c>
      <c r="AE84" s="77" t="str">
        <f t="shared" si="47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84" s="74" t="str">
        <f t="shared" si="48"/>
        <v>"C:\Program Files (x86)\AstroGrep\AstroGrep.exe" /e /r /s /spath="%USERPROFILE%\AppData\Local\Temp\OnboardLogs" /stypes="app*4002*20171008*" /stext=" 19:.+((SYSTEM_STATE.+slice.+state.+changed )|(ment ac)|(multiple cpu faults)|(system.+state.+changed )|(\[timeout)|(PRM\|1\|D)|(kpr)|(kdp)|(train st.+moving)|(\|lc)|(penalty))"</v>
      </c>
      <c r="AG84" s="182" t="str">
        <f t="shared" si="49"/>
        <v>EC</v>
      </c>
      <c r="AH84" s="78" t="str">
        <f t="shared" si="50"/>
        <v>"%USERPROFILE%\Documents\GitHub\eaglep3\Utilities\RefineRTDCRunTimes.py" --tripid 171-08 --locoid 4002 --swversion DE.1.0.9.0 --startMP 204:473 --initTime 2017-10-08T12:23:40 --startdatetime 2017-10-08T12:30:17 --delay 69 --endMP 204:233298 --enddatetime 2017-10-08T13:06:55 --enforcementcount 0 &gt;&gt;%USERPROFILE%\Documents\GitHub\eaglep3-reporting\EC\2017-10-08-refined-times.txt</v>
      </c>
      <c r="AI84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{"issue":{"subject":"","project_id":79,"tracker_id":40,"status_id":1,"priority_id":2,"assigned_to_id":338,"start_date":"2017-10-08","description":"","custom_fields":[{"id":1,"name":"Subdivision","value":"EC"},{"id":4,"name":"Milepost","value":"23.3298"},{"id":17,"name":"Train ID","value":"171-08"},{"id":16,"name":"Locomotive ID","value":"4002"},{"id":130,"name":"Impact","value":""},{"id":150,"name":"Time of Event (Mountain Time)","value":"13:06:55"},{"id":151,"name":"Denver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52"/>
        <v>start /low /b %USERPROFILE%\Documents\GitHub\eaglep3\Utilities\DownloadLogsFromS3.py --loco 4002 --day 2017-10-08</v>
      </c>
      <c r="AN84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4"/>
        <v>https://d0f6bd738d7f1b3e5a7ca70fe4ff75f0.us-east-1.aws.found.io/app/kibana#/discover/Steve-Slow-Train-Analysis-(2080s-and-2083s)?_g=(refreshInterval:(display:Off,pause:!f,section:0,value:0),time:(from:'2017-10-08T11:23:40-0600',mode:absolute,to:'2017-10-08T14:06:55-0600'))&amp;_a=(columns:!('Message%20ID',Summary),filters:!(),index:'emp_*',interval:auto,query:(query_string:(analyze_wildcard:!t,query:'%22rtdc.l.rtdc.4002%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746</v>
      </c>
      <c r="B85" s="7">
        <v>4001</v>
      </c>
      <c r="C85" s="21" t="s">
        <v>194</v>
      </c>
      <c r="D85" s="21" t="s">
        <v>561</v>
      </c>
      <c r="E85" s="13">
        <v>43016.5544212963</v>
      </c>
      <c r="F85" s="13">
        <v>43016.560624999998</v>
      </c>
      <c r="G85" s="7">
        <v>75</v>
      </c>
      <c r="H85" s="21" t="s">
        <v>367</v>
      </c>
      <c r="I85" s="13">
        <v>43016.588993055557</v>
      </c>
      <c r="J85" s="7">
        <v>0</v>
      </c>
      <c r="K85" s="89" t="str">
        <f t="shared" si="38"/>
        <v>4001/4002</v>
      </c>
      <c r="L85" s="185" t="str">
        <f>VLOOKUP(A85,'Trips&amp;Operators'!$C$1:$G$99911,5,FALSE)</f>
        <v>STEWART MICHAEL</v>
      </c>
      <c r="M85" s="6">
        <f t="shared" si="39"/>
        <v>2.8368055558530614E-2</v>
      </c>
      <c r="N85" s="7">
        <f t="shared" si="37"/>
        <v>40.850000004284084</v>
      </c>
      <c r="O85" s="7"/>
      <c r="P85" s="7"/>
      <c r="Q85" s="22"/>
      <c r="R85" s="174"/>
      <c r="S85" s="221">
        <f t="shared" si="36"/>
        <v>1</v>
      </c>
      <c r="T85" s="174" t="str">
        <f t="shared" si="40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1"/>
        <v>https://d0f6bd738d7f1b3e5a7ca70fe4ff75f0.us-east-1.aws.found.io/app/kibana#/discover/Steve-Slow-Train-Analysis-(2080s-and-2083s)?_g=(refreshInterval:(display:Off,pause:!f,section:0,value:0),time:(from:'2017-10-08T12:18:22-0600',mode:absolute,to:'2017-10-08T15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5" s="204" t="str">
        <f>IF(AA85&lt;VLOOKUP(AG85,Variables!$AC$3:$AD$8,2,FALSE),"Y","N")</f>
        <v>N</v>
      </c>
      <c r="X85" s="204">
        <f t="shared" si="42"/>
        <v>1</v>
      </c>
      <c r="Y85" s="204">
        <f t="shared" si="43"/>
        <v>23.297599999999999</v>
      </c>
      <c r="Z85" s="204">
        <f t="shared" si="44"/>
        <v>1.5800000000000002E-2</v>
      </c>
      <c r="AA85" s="204">
        <f t="shared" si="45"/>
        <v>23.2818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6"/>
        <v>172</v>
      </c>
      <c r="AE85" s="77" t="str">
        <f t="shared" si="47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85" s="74" t="str">
        <f t="shared" si="48"/>
        <v>"C:\Program Files (x86)\AstroGrep\AstroGrep.exe" /e /r /s /spath="%USERPROFILE%\AppData\Local\Temp\OnboardLogs" /stypes="app*4001*20171008*" /stext=" 20:.+((SYSTEM_STATE.+slice.+state.+changed )|(ment ac)|(multiple cpu faults)|(system.+state.+changed )|(\[timeout)|(PRM\|1\|D)|(kpr)|(kdp)|(train st.+moving)|(\|lc)|(penalty))"</v>
      </c>
      <c r="AG85" s="182" t="str">
        <f t="shared" si="49"/>
        <v>EC</v>
      </c>
      <c r="AH85" s="78" t="str">
        <f t="shared" si="50"/>
        <v>"%USERPROFILE%\Documents\GitHub\eaglep3\Utilities\RefineRTDCRunTimes.py" --tripid 172-08 --locoid 4001 --swversion DE.1.0.9.0 --startMP 204:232976 --initTime 2017-10-08T13:18:22 --startdatetime 2017-10-08T13:27:18 --delay 75 --endMP 204:158 --enddatetime 2017-10-08T14:08:09 --enforcementcount 0 &gt;&gt;%USERPROFILE%\Documents\GitHub\eaglep3-reporting\EC\2017-10-08-refined-times.txt</v>
      </c>
      <c r="AI85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{"issue":{"subject":"","project_id":79,"tracker_id":40,"status_id":1,"priority_id":2,"assigned_to_id":338,"start_date":"2017-10-08","description":"","custom_fields":[{"id":1,"name":"Subdivision","value":"EC"},{"id":4,"name":"Milepost","value":"0.0158"},{"id":17,"name":"Train ID","value":"172-08"},{"id":16,"name":"Locomotive ID","value":"4001"},{"id":130,"name":"Impact","value":""},{"id":150,"name":"Time of Event (Mountain Time)","value":"14:08:09"},{"id":151,"name":"Denver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52"/>
        <v>start /low /b %USERPROFILE%\Documents\GitHub\eaglep3\Utilities\DownloadLogsFromS3.py --loco 4001 --day 2017-10-08</v>
      </c>
      <c r="AN85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4"/>
        <v>https://d0f6bd738d7f1b3e5a7ca70fe4ff75f0.us-east-1.aws.found.io/app/kibana#/discover/Steve-Slow-Train-Analysis-(2080s-and-2083s)?_g=(refreshInterval:(display:Off,pause:!f,section:0,value:0),time:(from:'2017-10-08T12:18:22-0600',mode:absolute,to:'2017-10-08T15:08:09-0600'))&amp;_a=(columns:!('Message%20ID',Summary),filters:!(),index:'emp_*',interval:auto,query:(query_string:(analyze_wildcard:!t,query:'%22rtdc.l.rtdc.4001%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737</v>
      </c>
      <c r="B86" s="7">
        <v>4006</v>
      </c>
      <c r="C86" s="21" t="s">
        <v>194</v>
      </c>
      <c r="D86" s="21" t="s">
        <v>569</v>
      </c>
      <c r="E86" s="13">
        <v>43016.526261574072</v>
      </c>
      <c r="F86" s="13">
        <v>43016.531481481485</v>
      </c>
      <c r="G86" s="7">
        <v>83</v>
      </c>
      <c r="H86" s="21" t="s">
        <v>553</v>
      </c>
      <c r="I86" s="13">
        <v>43016.556122685186</v>
      </c>
      <c r="J86" s="7">
        <v>0</v>
      </c>
      <c r="K86" s="89" t="str">
        <f t="shared" si="38"/>
        <v>4005/4006</v>
      </c>
      <c r="L86" s="185" t="str">
        <f>VLOOKUP(A86,'Trips&amp;Operators'!$C$1:$G$99911,5,FALSE)</f>
        <v>SMITH MICHAEL</v>
      </c>
      <c r="M86" s="6">
        <f t="shared" si="39"/>
        <v>2.4641203701321501E-2</v>
      </c>
      <c r="N86" s="7">
        <f t="shared" si="37"/>
        <v>35.483333329902962</v>
      </c>
      <c r="O86" s="7"/>
      <c r="P86" s="7"/>
      <c r="Q86" s="22"/>
      <c r="R86" s="174"/>
      <c r="S86" s="221">
        <f t="shared" si="36"/>
        <v>1</v>
      </c>
      <c r="T86" s="174" t="str">
        <f t="shared" si="40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1"/>
        <v>https://d0f6bd738d7f1b3e5a7ca70fe4ff75f0.us-east-1.aws.found.io/app/kibana#/discover/Steve-Slow-Train-Analysis-(2080s-and-2083s)?_g=(refreshInterval:(display:Off,pause:!f,section:0,value:0),time:(from:'2017-10-08T11:37:49-0600',mode:absolute,to:'2017-10-08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6" s="204" t="str">
        <f>IF(AA86&lt;VLOOKUP(AG86,Variables!$AC$3:$AD$8,2,FALSE),"Y","N")</f>
        <v>N</v>
      </c>
      <c r="X86" s="204">
        <f t="shared" si="42"/>
        <v>1</v>
      </c>
      <c r="Y86" s="204">
        <f t="shared" si="43"/>
        <v>4.6399999999999997E-2</v>
      </c>
      <c r="Z86" s="204">
        <f t="shared" si="44"/>
        <v>23.329499999999999</v>
      </c>
      <c r="AA86" s="204">
        <f t="shared" si="45"/>
        <v>23.283100000000001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6"/>
        <v>173</v>
      </c>
      <c r="AE86" s="77" t="str">
        <f t="shared" si="47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86" s="74" t="str">
        <f t="shared" si="48"/>
        <v>"C:\Program Files (x86)\AstroGrep\AstroGrep.exe" /e /r /s /spath="%USERPROFILE%\AppData\Local\Temp\OnboardLogs" /stypes="app*4006*20171008*" /stext=" 19:.+((SYSTEM_STATE.+slice.+state.+changed )|(ment ac)|(multiple cpu faults)|(system.+state.+changed )|(\[timeout)|(PRM\|1\|D)|(kpr)|(kdp)|(train st.+moving)|(\|lc)|(penalty))"</v>
      </c>
      <c r="AG86" s="182" t="str">
        <f t="shared" si="49"/>
        <v>EC</v>
      </c>
      <c r="AH86" s="78" t="str">
        <f t="shared" si="50"/>
        <v>"%USERPROFILE%\Documents\GitHub\eaglep3\Utilities\RefineRTDCRunTimes.py" --tripid 173-08 --locoid 4006 --swversion DE.1.0.9.0 --startMP 204:464 --initTime 2017-10-08T12:37:49 --startdatetime 2017-10-08T12:45:20 --delay 83 --endMP 204:233295 --enddatetime 2017-10-08T13:20:49 --enforcementcount 0 &gt;&gt;%USERPROFILE%\Documents\GitHub\eaglep3-reporting\EC\2017-10-08-refined-times.txt</v>
      </c>
      <c r="AI86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{"issue":{"subject":"","project_id":79,"tracker_id":40,"status_id":1,"priority_id":2,"assigned_to_id":338,"start_date":"2017-10-08","description":"","custom_fields":[{"id":1,"name":"Subdivision","value":"EC"},{"id":4,"name":"Milepost","value":"23.3295"},{"id":17,"name":"Train ID","value":"173-08"},{"id":16,"name":"Locomotive ID","value":"4006"},{"id":130,"name":"Impact","value":""},{"id":150,"name":"Time of Event (Mountain Time)","value":"13:20:49"},{"id":151,"name":"Denver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52"/>
        <v>start /low /b %USERPROFILE%\Documents\GitHub\eaglep3\Utilities\DownloadLogsFromS3.py --loco 4006 --day 2017-10-08</v>
      </c>
      <c r="AN86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4"/>
        <v>https://d0f6bd738d7f1b3e5a7ca70fe4ff75f0.us-east-1.aws.found.io/app/kibana#/discover/Steve-Slow-Train-Analysis-(2080s-and-2083s)?_g=(refreshInterval:(display:Off,pause:!f,section:0,value:0),time:(from:'2017-10-08T11:37:49-0600',mode:absolute,to:'2017-10-08T14:20:49-0600'))&amp;_a=(columns:!('Message%20ID',Summary),filters:!(),index:'emp_*',interval:auto,query:(query_string:(analyze_wildcard:!t,query:'%22rtdc.l.rtdc.4006%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749</v>
      </c>
      <c r="B87" s="7">
        <v>4005</v>
      </c>
      <c r="C87" s="21" t="s">
        <v>194</v>
      </c>
      <c r="D87" s="21" t="s">
        <v>482</v>
      </c>
      <c r="E87" s="13">
        <v>43016.561666666668</v>
      </c>
      <c r="F87" s="13">
        <v>43016.571192129632</v>
      </c>
      <c r="G87" s="7">
        <v>94</v>
      </c>
      <c r="H87" s="21" t="s">
        <v>361</v>
      </c>
      <c r="I87" s="13">
        <v>43016.597488425927</v>
      </c>
      <c r="J87" s="7">
        <v>0</v>
      </c>
      <c r="K87" s="89" t="str">
        <f t="shared" si="38"/>
        <v>4005/4006</v>
      </c>
      <c r="L87" s="185" t="str">
        <f>VLOOKUP(A87,'Trips&amp;Operators'!$C$1:$G$99911,5,FALSE)</f>
        <v>SMITH MICHAEL</v>
      </c>
      <c r="M87" s="6">
        <f t="shared" si="39"/>
        <v>2.6296296295186039E-2</v>
      </c>
      <c r="N87" s="7">
        <f t="shared" si="37"/>
        <v>37.866666665067896</v>
      </c>
      <c r="O87" s="7"/>
      <c r="P87" s="7"/>
      <c r="Q87" s="22"/>
      <c r="R87" s="174"/>
      <c r="S87" s="221">
        <f t="shared" si="36"/>
        <v>1</v>
      </c>
      <c r="T87" s="174" t="str">
        <f t="shared" si="40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1"/>
        <v>https://d0f6bd738d7f1b3e5a7ca70fe4ff75f0.us-east-1.aws.found.io/app/kibana#/discover/Steve-Slow-Train-Analysis-(2080s-and-2083s)?_g=(refreshInterval:(display:Off,pause:!f,section:0,value:0),time:(from:'2017-10-08T12:28:48-0600',mode:absolute,to:'2017-10-08T15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7" s="204" t="str">
        <f>IF(AA87&lt;VLOOKUP(AG87,Variables!$AC$3:$AD$8,2,FALSE),"Y","N")</f>
        <v>N</v>
      </c>
      <c r="X87" s="204">
        <f t="shared" si="42"/>
        <v>1</v>
      </c>
      <c r="Y87" s="204">
        <f t="shared" si="43"/>
        <v>23.297499999999999</v>
      </c>
      <c r="Z87" s="204">
        <f t="shared" si="44"/>
        <v>1.5599999999999999E-2</v>
      </c>
      <c r="AA87" s="204">
        <f t="shared" si="45"/>
        <v>23.2819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6"/>
        <v>174</v>
      </c>
      <c r="AE87" s="77" t="str">
        <f t="shared" si="47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87" s="74" t="str">
        <f t="shared" si="48"/>
        <v>"C:\Program Files (x86)\AstroGrep\AstroGrep.exe" /e /r /s /spath="%USERPROFILE%\AppData\Local\Temp\OnboardLogs" /stypes="app*4005*20171008*" /stext=" 20:.+((SYSTEM_STATE.+slice.+state.+changed )|(ment ac)|(multiple cpu faults)|(system.+state.+changed )|(\[timeout)|(PRM\|1\|D)|(kpr)|(kdp)|(train st.+moving)|(\|lc)|(penalty))"</v>
      </c>
      <c r="AG87" s="182" t="str">
        <f t="shared" si="49"/>
        <v>EC</v>
      </c>
      <c r="AH87" s="78" t="str">
        <f t="shared" si="50"/>
        <v>"%USERPROFILE%\Documents\GitHub\eaglep3\Utilities\RefineRTDCRunTimes.py" --tripid 174-08 --locoid 4005 --swversion DE.1.0.9.0 --startMP 204:232975 --initTime 2017-10-08T13:28:48 --startdatetime 2017-10-08T13:42:31 --delay 94 --endMP 204:156 --enddatetime 2017-10-08T14:20:23 --enforcementcount 0 &gt;&gt;%USERPROFILE%\Documents\GitHub\eaglep3-reporting\EC\2017-10-08-refined-times.txt</v>
      </c>
      <c r="AI87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{"issue":{"subject":"","project_id":79,"tracker_id":40,"status_id":1,"priority_id":2,"assigned_to_id":338,"start_date":"2017-10-08","description":"","custom_fields":[{"id":1,"name":"Subdivision","value":"EC"},{"id":4,"name":"Milepost","value":"0.0156"},{"id":17,"name":"Train ID","value":"174-08"},{"id":16,"name":"Locomotive ID","value":"4005"},{"id":130,"name":"Impact","value":""},{"id":150,"name":"Time of Event (Mountain Time)","value":"14:20:23"},{"id":151,"name":"Denver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52"/>
        <v>start /low /b %USERPROFILE%\Documents\GitHub\eaglep3\Utilities\DownloadLogsFromS3.py --loco 4005 --day 2017-10-08</v>
      </c>
      <c r="AN87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4"/>
        <v>https://d0f6bd738d7f1b3e5a7ca70fe4ff75f0.us-east-1.aws.found.io/app/kibana#/discover/Steve-Slow-Train-Analysis-(2080s-and-2083s)?_g=(refreshInterval:(display:Off,pause:!f,section:0,value:0),time:(from:'2017-10-08T12:28:48-0600',mode:absolute,to:'2017-10-08T15:20:23-0600'))&amp;_a=(columns:!('Message%20ID',Summary),filters:!(),index:'emp_*',interval:auto,query:(query_string:(analyze_wildcard:!t,query:'%22rtdc.l.rtdc.4005%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740</v>
      </c>
      <c r="B88" s="7">
        <v>4050</v>
      </c>
      <c r="C88" s="21" t="s">
        <v>194</v>
      </c>
      <c r="D88" s="21" t="s">
        <v>334</v>
      </c>
      <c r="E88" s="13">
        <v>43016.539004629631</v>
      </c>
      <c r="F88" s="13">
        <v>43016.542337962965</v>
      </c>
      <c r="G88" s="7">
        <v>62</v>
      </c>
      <c r="H88" s="21" t="s">
        <v>481</v>
      </c>
      <c r="I88" s="13">
        <v>43016.568576388891</v>
      </c>
      <c r="J88" s="7">
        <v>0</v>
      </c>
      <c r="K88" s="89" t="str">
        <f t="shared" si="38"/>
        <v>4049/4050</v>
      </c>
      <c r="L88" s="185" t="str">
        <f>VLOOKUP(A88,'Trips&amp;Operators'!$C$1:$G$99911,5,FALSE)</f>
        <v>DAVIS MICHAEL</v>
      </c>
      <c r="M88" s="6">
        <f t="shared" si="39"/>
        <v>2.6238425925839692E-2</v>
      </c>
      <c r="N88" s="7">
        <f t="shared" si="37"/>
        <v>37.783333333209157</v>
      </c>
      <c r="O88" s="7"/>
      <c r="P88" s="7"/>
      <c r="Q88" s="22"/>
      <c r="R88" s="174"/>
      <c r="S88" s="221">
        <f t="shared" si="36"/>
        <v>1</v>
      </c>
      <c r="T88" s="174" t="str">
        <f t="shared" si="40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1"/>
        <v>https://d0f6bd738d7f1b3e5a7ca70fe4ff75f0.us-east-1.aws.found.io/app/kibana#/discover/Steve-Slow-Train-Analysis-(2080s-and-2083s)?_g=(refreshInterval:(display:Off,pause:!f,section:0,value:0),time:(from:'2017-10-08T11:56:10-0600',mode:absolute,to:'2017-10-08T14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8" s="204" t="str">
        <f>IF(AA88&lt;VLOOKUP(AG88,Variables!$AC$3:$AD$8,2,FALSE),"Y","N")</f>
        <v>N</v>
      </c>
      <c r="X88" s="204">
        <f t="shared" si="42"/>
        <v>1</v>
      </c>
      <c r="Y88" s="204">
        <f t="shared" si="43"/>
        <v>4.4600000000000001E-2</v>
      </c>
      <c r="Z88" s="204">
        <f t="shared" si="44"/>
        <v>23.327999999999999</v>
      </c>
      <c r="AA88" s="204">
        <f t="shared" si="45"/>
        <v>23.2834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6"/>
        <v>175</v>
      </c>
      <c r="AE88" s="77" t="str">
        <f t="shared" si="47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88" s="74" t="str">
        <f t="shared" si="48"/>
        <v>"C:\Program Files (x86)\AstroGrep\AstroGrep.exe" /e /r /s /spath="%USERPROFILE%\AppData\Local\Temp\OnboardLogs" /stypes="app*4050*20171008*" /stext=" 19:.+((SYSTEM_STATE.+slice.+state.+changed )|(ment ac)|(multiple cpu faults)|(system.+state.+changed )|(\[timeout)|(PRM\|1\|D)|(kpr)|(kdp)|(train st.+moving)|(\|lc)|(penalty))"</v>
      </c>
      <c r="AG88" s="182" t="str">
        <f t="shared" si="49"/>
        <v>EC</v>
      </c>
      <c r="AH88" s="78" t="str">
        <f t="shared" si="50"/>
        <v>"%USERPROFILE%\Documents\GitHub\eaglep3\Utilities\RefineRTDCRunTimes.py" --tripid 175-08 --locoid 4050 --swversion DE.1.0.9.0 --startMP 204:446 --initTime 2017-10-08T12:56:10 --startdatetime 2017-10-08T13:00:58 --delay 62 --endMP 204:233280 --enddatetime 2017-10-08T13:38:45 --enforcementcount 0 &gt;&gt;%USERPROFILE%\Documents\GitHub\eaglep3-reporting\EC\2017-10-08-refined-times.txt</v>
      </c>
      <c r="AI88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{"issue":{"subject":"","project_id":79,"tracker_id":40,"status_id":1,"priority_id":2,"assigned_to_id":338,"start_date":"2017-10-08","description":"","custom_fields":[{"id":1,"name":"Subdivision","value":"EC"},{"id":4,"name":"Milepost","value":"23.328"},{"id":17,"name":"Train ID","value":"175-08"},{"id":16,"name":"Locomotive ID","value":"4050"},{"id":130,"name":"Impact","value":""},{"id":150,"name":"Time of Event (Mountain Time)","value":"13:38:45"},{"id":151,"name":"Denver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52"/>
        <v>start /low /b %USERPROFILE%\Documents\GitHub\eaglep3\Utilities\DownloadLogsFromS3.py --loco 4050 --day 2017-10-08</v>
      </c>
      <c r="AN88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4"/>
        <v>https://d0f6bd738d7f1b3e5a7ca70fe4ff75f0.us-east-1.aws.found.io/app/kibana#/discover/Steve-Slow-Train-Analysis-(2080s-and-2083s)?_g=(refreshInterval:(display:Off,pause:!f,section:0,value:0),time:(from:'2017-10-08T11:56:10-0600',mode:absolute,to:'2017-10-08T14:38:45-0600'))&amp;_a=(columns:!('Message%20ID',Summary),filters:!(),index:'emp_*',interval:auto,query:(query_string:(analyze_wildcard:!t,query:'%22rtdc.l.rtdc.4050%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753</v>
      </c>
      <c r="B89" s="7">
        <v>4049</v>
      </c>
      <c r="C89" s="21" t="s">
        <v>194</v>
      </c>
      <c r="D89" s="21" t="s">
        <v>490</v>
      </c>
      <c r="E89" s="13">
        <v>43016.579131944447</v>
      </c>
      <c r="F89" s="13">
        <v>43016.581689814811</v>
      </c>
      <c r="G89" s="7">
        <v>68</v>
      </c>
      <c r="H89" s="21" t="s">
        <v>886</v>
      </c>
      <c r="I89" s="13">
        <v>43016.609386574077</v>
      </c>
      <c r="J89" s="7">
        <v>0</v>
      </c>
      <c r="K89" s="89" t="str">
        <f t="shared" si="38"/>
        <v>4049/4050</v>
      </c>
      <c r="L89" s="185" t="str">
        <f>VLOOKUP(A89,'Trips&amp;Operators'!$C$1:$G$99911,5,FALSE)</f>
        <v>DAVIS MICHAEL</v>
      </c>
      <c r="M89" s="6">
        <f t="shared" si="39"/>
        <v>2.7696759265381843E-2</v>
      </c>
      <c r="N89" s="7">
        <f t="shared" si="37"/>
        <v>39.883333342149854</v>
      </c>
      <c r="O89" s="7"/>
      <c r="P89" s="7"/>
      <c r="Q89" s="22"/>
      <c r="R89" s="174"/>
      <c r="S89" s="221">
        <f t="shared" si="36"/>
        <v>1</v>
      </c>
      <c r="T89" s="174" t="str">
        <f t="shared" si="40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1"/>
        <v>https://d0f6bd738d7f1b3e5a7ca70fe4ff75f0.us-east-1.aws.found.io/app/kibana#/discover/Steve-Slow-Train-Analysis-(2080s-and-2083s)?_g=(refreshInterval:(display:Off,pause:!f,section:0,value:0),time:(from:'2017-10-08T12:53:57-0600',mode:absolute,to:'2017-10-08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9" s="204" t="str">
        <f>IF(AA89&lt;VLOOKUP(AG89,Variables!$AC$3:$AD$8,2,FALSE),"Y","N")</f>
        <v>N</v>
      </c>
      <c r="X89" s="204">
        <f t="shared" si="42"/>
        <v>1</v>
      </c>
      <c r="Y89" s="204">
        <f t="shared" si="43"/>
        <v>23.301100000000002</v>
      </c>
      <c r="Z89" s="204">
        <f t="shared" si="44"/>
        <v>1.21E-2</v>
      </c>
      <c r="AA89" s="204">
        <f t="shared" si="45"/>
        <v>23.289000000000001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6"/>
        <v>176</v>
      </c>
      <c r="AE89" s="77" t="str">
        <f t="shared" si="47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89" s="74" t="str">
        <f t="shared" si="48"/>
        <v>"C:\Program Files (x86)\AstroGrep\AstroGrep.exe" /e /r /s /spath="%USERPROFILE%\AppData\Local\Temp\OnboardLogs" /stypes="app*4049*20171008*" /stext=" 20:.+((SYSTEM_STATE.+slice.+state.+changed )|(ment ac)|(multiple cpu faults)|(system.+state.+changed )|(\[timeout)|(PRM\|1\|D)|(kpr)|(kdp)|(train st.+moving)|(\|lc)|(penalty))"</v>
      </c>
      <c r="AG89" s="182" t="str">
        <f t="shared" si="49"/>
        <v>EC</v>
      </c>
      <c r="AH89" s="78" t="str">
        <f t="shared" si="50"/>
        <v>"%USERPROFILE%\Documents\GitHub\eaglep3\Utilities\RefineRTDCRunTimes.py" --tripid 176-08 --locoid 4049 --swversion DE.1.0.9.0 --startMP 204:233011 --initTime 2017-10-08T13:53:57 --startdatetime 2017-10-08T13:57:38 --delay 68 --endMP 204:121 --enddatetime 2017-10-08T14:37:31 --enforcementcount 0 &gt;&gt;%USERPROFILE%\Documents\GitHub\eaglep3-reporting\EC\2017-10-08-refined-times.txt</v>
      </c>
      <c r="AI8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{"issue":{"subject":"","project_id":79,"tracker_id":40,"status_id":1,"priority_id":2,"assigned_to_id":338,"start_date":"2017-10-08","description":"","custom_fields":[{"id":1,"name":"Subdivision","value":"EC"},{"id":4,"name":"Milepost","value":"0.0121"},{"id":17,"name":"Train ID","value":"176-08"},{"id":16,"name":"Locomotive ID","value":"4049"},{"id":130,"name":"Impact","value":""},{"id":150,"name":"Time of Event (Mountain Time)","value":"14:37:31"},{"id":151,"name":"Denver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52"/>
        <v>start /low /b %USERPROFILE%\Documents\GitHub\eaglep3\Utilities\DownloadLogsFromS3.py --loco 4049 --day 2017-10-08</v>
      </c>
      <c r="AN89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4"/>
        <v>https://d0f6bd738d7f1b3e5a7ca70fe4ff75f0.us-east-1.aws.found.io/app/kibana#/discover/Steve-Slow-Train-Analysis-(2080s-and-2083s)?_g=(refreshInterval:(display:Off,pause:!f,section:0,value:0),time:(from:'2017-10-08T12:53:57-0600',mode:absolute,to:'2017-10-08T15:37:31-0600'))&amp;_a=(columns:!('Message%20ID',Summary),filters:!(),index:'emp_*',interval:auto,query:(query_string:(analyze_wildcard:!t,query:'%22rtdc.l.rtdc.4049%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743</v>
      </c>
      <c r="B90" s="7">
        <v>4066</v>
      </c>
      <c r="C90" s="21" t="s">
        <v>194</v>
      </c>
      <c r="D90" s="21" t="s">
        <v>403</v>
      </c>
      <c r="E90" s="13">
        <v>43016.548460648148</v>
      </c>
      <c r="F90" s="13">
        <v>43016.552256944444</v>
      </c>
      <c r="G90" s="7">
        <v>152</v>
      </c>
      <c r="H90" s="21" t="s">
        <v>557</v>
      </c>
      <c r="I90" s="13">
        <v>43016.576585648145</v>
      </c>
      <c r="J90" s="7">
        <v>0</v>
      </c>
      <c r="K90" s="89" t="str">
        <f t="shared" si="38"/>
        <v>4065/4066</v>
      </c>
      <c r="L90" s="185" t="str">
        <f>VLOOKUP(A90,'Trips&amp;Operators'!$C$1:$G$99911,5,FALSE)</f>
        <v>SAFIEF AEIMEN</v>
      </c>
      <c r="M90" s="6">
        <f t="shared" si="39"/>
        <v>2.4328703701030463E-2</v>
      </c>
      <c r="N90" s="7">
        <f t="shared" si="37"/>
        <v>35.033333329483867</v>
      </c>
      <c r="O90" s="7"/>
      <c r="P90" s="7"/>
      <c r="Q90" s="22"/>
      <c r="R90" s="174"/>
      <c r="S90" s="221">
        <f t="shared" si="36"/>
        <v>1</v>
      </c>
      <c r="T90" s="174" t="str">
        <f t="shared" si="40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1"/>
        <v>https://d0f6bd738d7f1b3e5a7ca70fe4ff75f0.us-east-1.aws.found.io/app/kibana#/discover/Steve-Slow-Train-Analysis-(2080s-and-2083s)?_g=(refreshInterval:(display:Off,pause:!f,section:0,value:0),time:(from:'2017-10-08T12:09:47-0600',mode:absolute,to:'2017-10-08T14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0" s="204" t="str">
        <f>IF(AA90&lt;VLOOKUP(AG90,Variables!$AC$3:$AD$8,2,FALSE),"Y","N")</f>
        <v>N</v>
      </c>
      <c r="X90" s="204">
        <f t="shared" si="42"/>
        <v>1</v>
      </c>
      <c r="Y90" s="204">
        <f t="shared" si="43"/>
        <v>4.3799999999999999E-2</v>
      </c>
      <c r="Z90" s="204">
        <f t="shared" si="44"/>
        <v>23.3309</v>
      </c>
      <c r="AA90" s="204">
        <f t="shared" si="45"/>
        <v>23.287099999999999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6"/>
        <v>177</v>
      </c>
      <c r="AE90" s="77" t="str">
        <f t="shared" si="47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90" s="74" t="str">
        <f t="shared" si="48"/>
        <v>"C:\Program Files (x86)\AstroGrep\AstroGrep.exe" /e /r /s /spath="%USERPROFILE%\AppData\Local\Temp\OnboardLogs" /stypes="app*4066*20171008*" /stext=" 19:.+((SYSTEM_STATE.+slice.+state.+changed )|(ment ac)|(multiple cpu faults)|(system.+state.+changed )|(\[timeout)|(PRM\|1\|D)|(kpr)|(kdp)|(train st.+moving)|(\|lc)|(penalty))"</v>
      </c>
      <c r="AG90" s="182" t="str">
        <f t="shared" si="49"/>
        <v>EC</v>
      </c>
      <c r="AH90" s="78" t="str">
        <f t="shared" si="50"/>
        <v>"%USERPROFILE%\Documents\GitHub\eaglep3\Utilities\RefineRTDCRunTimes.py" --tripid 177-08 --locoid 4066 --swversion DE.1.0.9.0 --startMP 204:438 --initTime 2017-10-08T13:09:47 --startdatetime 2017-10-08T13:15:15 --delay 152 --endMP 204:233309 --enddatetime 2017-10-08T13:50:17 --enforcementcount 0 &gt;&gt;%USERPROFILE%\Documents\GitHub\eaglep3-reporting\EC\2017-10-08-refined-times.txt</v>
      </c>
      <c r="AI9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{"issue":{"subject":"","project_id":79,"tracker_id":40,"status_id":1,"priority_id":2,"assigned_to_id":338,"start_date":"2017-10-08","description":"","custom_fields":[{"id":1,"name":"Subdivision","value":"EC"},{"id":4,"name":"Milepost","value":"23.3309"},{"id":17,"name":"Train ID","value":"177-08"},{"id":16,"name":"Locomotive ID","value":"4066"},{"id":130,"name":"Impact","value":""},{"id":150,"name":"Time of Event (Mountain Time)","value":"13:50:17"},{"id":151,"name":"Denver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52"/>
        <v>start /low /b %USERPROFILE%\Documents\GitHub\eaglep3\Utilities\DownloadLogsFromS3.py --loco 4066 --day 2017-10-08</v>
      </c>
      <c r="AN90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4"/>
        <v>https://d0f6bd738d7f1b3e5a7ca70fe4ff75f0.us-east-1.aws.found.io/app/kibana#/discover/Steve-Slow-Train-Analysis-(2080s-and-2083s)?_g=(refreshInterval:(display:Off,pause:!f,section:0,value:0),time:(from:'2017-10-08T12:09:47-0600',mode:absolute,to:'2017-10-08T14:50:17-0600'))&amp;_a=(columns:!('Message%20ID',Summary),filters:!(),index:'emp_*',interval:auto,query:(query_string:(analyze_wildcard:!t,query:'%22rtdc.l.rtdc.4066%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751</v>
      </c>
      <c r="B91" s="7">
        <v>4065</v>
      </c>
      <c r="C91" s="21" t="s">
        <v>194</v>
      </c>
      <c r="D91" s="21" t="s">
        <v>887</v>
      </c>
      <c r="E91" s="13">
        <v>43016.614571759259</v>
      </c>
      <c r="F91" s="13">
        <v>43016.615416666667</v>
      </c>
      <c r="G91" s="7">
        <v>42</v>
      </c>
      <c r="H91" s="21" t="s">
        <v>423</v>
      </c>
      <c r="I91" s="13">
        <v>43016.621851851851</v>
      </c>
      <c r="J91" s="7">
        <v>0</v>
      </c>
      <c r="K91" s="89" t="str">
        <f t="shared" si="38"/>
        <v>4065/4066</v>
      </c>
      <c r="L91" s="185" t="str">
        <f>VLOOKUP(A91,'Trips&amp;Operators'!$C$1:$G$99911,5,FALSE)</f>
        <v>SAFIEF AEIMEN</v>
      </c>
      <c r="M91" s="6">
        <f t="shared" si="39"/>
        <v>6.435185183363501E-3</v>
      </c>
      <c r="N91" s="7"/>
      <c r="O91" s="7"/>
      <c r="P91" s="7">
        <f>24*60*SUM($M91:$M91)</f>
        <v>9.2666666640434414</v>
      </c>
      <c r="Q91" s="22"/>
      <c r="R91" s="174" t="s">
        <v>1015</v>
      </c>
      <c r="S91" s="221">
        <f>1/IF(AG91="EC",12,1)*SUM(U91:U92)</f>
        <v>0.5</v>
      </c>
      <c r="T91" s="174" t="str">
        <f t="shared" si="40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216" t="str">
        <f t="shared" si="41"/>
        <v>https://d0f6bd738d7f1b3e5a7ca70fe4ff75f0.us-east-1.aws.found.io/app/kibana#/discover/Steve-Slow-Train-Analysis-(2080s-and-2083s)?_g=(refreshInterval:(display:Off,pause:!f,section:0,value:0),time:(from:'2017-10-08T13:44:59-0600',mode:absolute,to:'2017-10-08T15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1" s="204" t="str">
        <f>IF(AA91&lt;VLOOKUP(AG91,Variables!$AC$3:$AD$8,2,FALSE),"Y","N")</f>
        <v>Y</v>
      </c>
      <c r="X91" s="204">
        <f t="shared" si="42"/>
        <v>1</v>
      </c>
      <c r="Y91" s="204">
        <f t="shared" si="43"/>
        <v>3.6797</v>
      </c>
      <c r="Z91" s="204">
        <f t="shared" si="44"/>
        <v>1.6E-2</v>
      </c>
      <c r="AA91" s="204">
        <f t="shared" si="45"/>
        <v>3.6637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6"/>
        <v>178</v>
      </c>
      <c r="AE91" s="77" t="str">
        <f t="shared" si="47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91" s="74" t="str">
        <f t="shared" si="48"/>
        <v>"C:\Program Files (x86)\AstroGrep\AstroGrep.exe" /e /r /s /spath="%USERPROFILE%\AppData\Local\Temp\OnboardLogs" /stypes="app*4065*20171008*" /stext=" 20:.+((SYSTEM_STATE.+slice.+state.+changed )|(ment ac)|(multiple cpu faults)|(system.+state.+changed )|(\[timeout)|(PRM\|1\|D)|(kpr)|(kdp)|(train st.+moving)|(\|lc)|(penalty))"</v>
      </c>
      <c r="AG91" s="182" t="str">
        <f t="shared" si="49"/>
        <v>EC</v>
      </c>
      <c r="AH91" s="78" t="str">
        <f t="shared" si="50"/>
        <v>"%USERPROFILE%\Documents\GitHub\eaglep3\Utilities\RefineRTDCRunTimes.py" --tripid 178-08 --locoid 4065 --swversion DE.1.0.9.0 --startMP 204:36797 --initTime 2017-10-08T14:44:59 --startdatetime 2017-10-08T14:46:12 --delay 42 --endMP 204:160 --enddatetime 2017-10-08T14:55:28 --enforcementcount 0 &gt;&gt;%USERPROFILE%\Documents\GitHub\eaglep3-reporting\EC\2017-10-08-refined-times.txt</v>
      </c>
      <c r="AI91" s="96" t="str">
        <f t="shared" si="51"/>
        <v>echo {"issue":{"subject":"Minor onboard in-route failure caused signal unknown banner","project_id":79,"tracker_id":40,"status_id":1,"priority_id":2,"assigned_to_id":338,"start_date":"2017-10-08","description":"","custom_fields":[{"id":1,"name":"Subdivision","value":"EC"},{"id":4,"name":"Milepost","value":"0.016"},{"id":17,"name":"Train ID","value":"178-08"},{"id":16,"name":"Locomotive ID","value":"4065"},{"id":130,"name":"Impact","value":""},{"id":150,"name":"Time of Event (Mountain Time)","value":"14:55:28"},{"id":151,"name":"Denver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52"/>
        <v>start /low /b %USERPROFILE%\Documents\GitHub\eaglep3\Utilities\DownloadLogsFromS3.py --loco 4065 --day 2017-10-08</v>
      </c>
      <c r="AN91" s="151" t="str">
        <f t="shared" si="53"/>
        <v>echo {"issue":{"subject":"Minor onboard in-route failure caused signal unknown banner","project_id":30,"tracker_id":4,"status_id":1,"priority_id":1,"assigned_to_id":10,"start_date":"2017-10-08","description":"","custom_fields":[{"id":30,"name":"Category","value":"Issue"},{"id":3,"name":"Functional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4"/>
        <v>https://d0f6bd738d7f1b3e5a7ca70fe4ff75f0.us-east-1.aws.found.io/app/kibana#/discover/Steve-Slow-Train-Analysis-(2080s-and-2083s)?_g=(refreshInterval:(display:Off,pause:!f,section:0,value:0),time:(from:'2017-10-08T13:44:59-0600',mode:absolute,to:'2017-10-08T15:55:28-0600'))&amp;_a=(columns:!('Message%20ID',Summary),filters:!(),index:'emp_*',interval:auto,query:(query_string:(analyze_wildcard:!t,query:'%22rtdc.l.rtdc.4065%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751</v>
      </c>
      <c r="B92" s="7">
        <v>4065</v>
      </c>
      <c r="C92" s="21" t="s">
        <v>194</v>
      </c>
      <c r="D92" s="21" t="s">
        <v>887</v>
      </c>
      <c r="E92" s="13">
        <v>43016.614571759259</v>
      </c>
      <c r="F92" s="13">
        <v>43016.615416666667</v>
      </c>
      <c r="G92" s="7">
        <v>42</v>
      </c>
      <c r="H92" s="21" t="s">
        <v>423</v>
      </c>
      <c r="I92" s="13">
        <v>43016.621851851851</v>
      </c>
      <c r="J92" s="7">
        <v>0</v>
      </c>
      <c r="K92" s="89" t="str">
        <f t="shared" si="38"/>
        <v>4065/4066</v>
      </c>
      <c r="L92" s="185" t="str">
        <f>VLOOKUP(A92,'Trips&amp;Operators'!$C$1:$G$99911,5,FALSE)</f>
        <v>SAFIEF AEIMEN</v>
      </c>
      <c r="M92" s="6">
        <f t="shared" si="39"/>
        <v>6.435185183363501E-3</v>
      </c>
      <c r="N92" s="7"/>
      <c r="O92" s="7"/>
      <c r="P92" s="7"/>
      <c r="Q92" s="22"/>
      <c r="R92" s="174"/>
      <c r="S92" s="221"/>
      <c r="T92" s="174" t="str">
        <f t="shared" si="40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3</v>
      </c>
      <c r="V92" s="216" t="str">
        <f t="shared" si="41"/>
        <v>https://d0f6bd738d7f1b3e5a7ca70fe4ff75f0.us-east-1.aws.found.io/app/kibana#/discover/Steve-Slow-Train-Analysis-(2080s-and-2083s)?_g=(refreshInterval:(display:Off,pause:!f,section:0,value:0),time:(from:'2017-10-08T13:44:59-0600',mode:absolute,to:'2017-10-08T15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2" s="204" t="str">
        <f>IF(AA92&lt;VLOOKUP(AG92,Variables!$AC$3:$AD$8,2,FALSE),"Y","N")</f>
        <v>Y</v>
      </c>
      <c r="X92" s="204">
        <f t="shared" ref="X92:X94" si="55">VALUE(LEFT(AD92,4))-VALUE(LEFT(AD91,4))</f>
        <v>0</v>
      </c>
      <c r="Y92" s="204">
        <v>23.3</v>
      </c>
      <c r="Z92" s="204">
        <v>6.4</v>
      </c>
      <c r="AA92" s="204">
        <f t="shared" si="45"/>
        <v>16.899999999999999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6"/>
        <v>178</v>
      </c>
      <c r="AE92" s="77" t="str">
        <f t="shared" si="47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92" s="74" t="str">
        <f t="shared" si="48"/>
        <v>"C:\Program Files (x86)\AstroGrep\AstroGrep.exe" /e /r /s /spath="%USERPROFILE%\AppData\Local\Temp\OnboardLogs" /stypes="app*4065*20171008*" /stext=" 20:.+((SYSTEM_STATE.+slice.+state.+changed )|(ment ac)|(multiple cpu faults)|(system.+state.+changed )|(\[timeout)|(PRM\|1\|D)|(kpr)|(kdp)|(train st.+moving)|(\|lc)|(penalty))"</v>
      </c>
      <c r="AG92" s="182" t="str">
        <f t="shared" si="49"/>
        <v>EC</v>
      </c>
      <c r="AH92" s="78" t="str">
        <f t="shared" ref="AH92" si="56"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178-08 --locoid 4065 --swversion DE.1.0.9.0 --startMP 204:36797 --initTime 2017-10-08T14:44:59 --startdatetime 2017-10-08T14:46:12 --delay 42 --endMP 204:160 --enddatetime 2017-10-08T14:55:28 --enforcementcount 0 &gt;&gt;%USERPROFILE%\Documents\GitHub\eaglep3-reporting\EC\2017-10-08-refined-times.txt</v>
      </c>
      <c r="AI92" s="96" t="str">
        <f t="shared" ref="AI92" si="57"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{"issue":{"subject":"","project_id":79,"tracker_id":40,"status_id":1,"priority_id":2,"assigned_to_id":338,"start_date":"2017-10-08","description":"","custom_fields":[{"id":1,"name":"Subdivision","value":"EC"},{"id":4,"name":"Milepost","value":"6.4"},{"id":17,"name":"Train ID","value":"178-08"},{"id":16,"name":"Locomotive ID","value":"4065"},{"id":130,"name":"Impact","value":""},{"id":150,"name":"Time of Event (Mountain Time)","value":"14:55:28"},{"id":151,"name":"Denver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ref="AM92" si="58">"start /low /b "&amp;dls3logs&amp;" --loco "&amp;B92&amp;" --day "&amp;TEXT(F92,"YYYY-MM-DD")</f>
        <v>start /low /b %USERPROFILE%\Documents\GitHub\eaglep3\Utilities\DownloadLogsFromS3.py --loco 4065 --day 2017-10-08</v>
      </c>
      <c r="AN92" s="151" t="str">
        <f t="shared" ref="AN92" si="59"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ref="AO92" si="60"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Message%20ID',Summary),filters:!(),index:'emp_*',interval:auto,query:"&amp;"(query_string:(analyze_wildcard:!t,query:'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-08T13:44:59-0600',mode:absolute,to:'2017-10-08T15:55:28-0600'))&amp;_a=(columns:!('Message%20ID',Summary),filters:!(),index:'emp_*',interval:auto,query:(query_string:(analyze_wildcard:!t,query:'%22rtdc.l.rtdc.4065%22')),sort:!(Time.ISO8601,asc))</v>
      </c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</row>
    <row r="93" spans="1:91" s="1" customFormat="1" x14ac:dyDescent="0.25">
      <c r="A93" s="32" t="s">
        <v>747</v>
      </c>
      <c r="B93" s="7">
        <v>4060</v>
      </c>
      <c r="C93" s="21" t="s">
        <v>194</v>
      </c>
      <c r="D93" s="21" t="s">
        <v>378</v>
      </c>
      <c r="E93" s="13">
        <v>43016.558877314812</v>
      </c>
      <c r="F93" s="13">
        <v>43016.562662037039</v>
      </c>
      <c r="G93" s="7">
        <v>69</v>
      </c>
      <c r="H93" s="21" t="s">
        <v>480</v>
      </c>
      <c r="I93" s="13">
        <v>43016.587673611109</v>
      </c>
      <c r="J93" s="7">
        <v>0</v>
      </c>
      <c r="K93" s="89" t="str">
        <f t="shared" si="38"/>
        <v>4059/4060</v>
      </c>
      <c r="L93" s="185" t="str">
        <f>VLOOKUP(A93,'Trips&amp;Operators'!$C$1:$G$99911,5,FALSE)</f>
        <v>GUZMAN DANNY</v>
      </c>
      <c r="M93" s="6">
        <f t="shared" si="39"/>
        <v>2.5011574070958886E-2</v>
      </c>
      <c r="N93" s="7">
        <f t="shared" ref="N93:N124" si="61">24*60*SUM($M93:$M93)</f>
        <v>36.016666662180796</v>
      </c>
      <c r="O93" s="7"/>
      <c r="P93" s="7"/>
      <c r="Q93" s="22"/>
      <c r="R93" s="174"/>
      <c r="S93" s="221">
        <f t="shared" ref="S93:S124" si="62">1/IF(AG93="EC",12,1)*SUM(U93:U93)</f>
        <v>1</v>
      </c>
      <c r="T93" s="174" t="str">
        <f t="shared" si="40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1"/>
        <v>https://d0f6bd738d7f1b3e5a7ca70fe4ff75f0.us-east-1.aws.found.io/app/kibana#/discover/Steve-Slow-Train-Analysis-(2080s-and-2083s)?_g=(refreshInterval:(display:Off,pause:!f,section:0,value:0),time:(from:'2017-10-08T12:24:47-0600',mode:absolute,to:'2017-10-08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04" t="str">
        <f>IF(AA93&lt;VLOOKUP(AG93,Variables!$AC$3:$AD$8,2,FALSE),"Y","N")</f>
        <v>N</v>
      </c>
      <c r="X93" s="204">
        <f t="shared" si="55"/>
        <v>1</v>
      </c>
      <c r="Y93" s="204">
        <f t="shared" ref="Y93:Y124" si="63">RIGHT(D93,LEN(D93)-4)/10000</f>
        <v>4.6600000000000003E-2</v>
      </c>
      <c r="Z93" s="204">
        <f t="shared" ref="Z93:Z124" si="64">RIGHT(H93,LEN(H93)-4)/10000</f>
        <v>23.3306</v>
      </c>
      <c r="AA93" s="204">
        <f t="shared" si="45"/>
        <v>23.283999999999999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6"/>
        <v>179</v>
      </c>
      <c r="AE93" s="77" t="str">
        <f t="shared" si="47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93" s="74" t="str">
        <f t="shared" si="48"/>
        <v>"C:\Program Files (x86)\AstroGrep\AstroGrep.exe" /e /r /s /spath="%USERPROFILE%\AppData\Local\Temp\OnboardLogs" /stypes="app*4060*20171008*" /stext=" 20:.+((SYSTEM_STATE.+slice.+state.+changed )|(ment ac)|(multiple cpu faults)|(system.+state.+changed )|(\[timeout)|(PRM\|1\|D)|(kpr)|(kdp)|(train st.+moving)|(\|lc)|(penalty))"</v>
      </c>
      <c r="AG93" s="182" t="str">
        <f t="shared" si="49"/>
        <v>EC</v>
      </c>
      <c r="AH93" s="78" t="str">
        <f t="shared" si="50"/>
        <v>"%USERPROFILE%\Documents\GitHub\eaglep3\Utilities\RefineRTDCRunTimes.py" --tripid 179-08 --locoid 4060 --swversion DE.1.0.9.0 --startMP 204:466 --initTime 2017-10-08T13:24:47 --startdatetime 2017-10-08T13:30:14 --delay 69 --endMP 204:233306 --enddatetime 2017-10-08T14:06:15 --enforcementcount 0 &gt;&gt;%USERPROFILE%\Documents\GitHub\eaglep3-reporting\EC\2017-10-08-refined-times.txt</v>
      </c>
      <c r="AI93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{"issue":{"subject":"","project_id":79,"tracker_id":40,"status_id":1,"priority_id":2,"assigned_to_id":338,"start_date":"2017-10-08","description":"","custom_fields":[{"id":1,"name":"Subdivision","value":"EC"},{"id":4,"name":"Milepost","value":"23.3306"},{"id":17,"name":"Train ID","value":"179-08"},{"id":16,"name":"Locomotive ID","value":"4060"},{"id":130,"name":"Impact","value":""},{"id":150,"name":"Time of Event (Mountain Time)","value":"14:06:15"},{"id":151,"name":"Denver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52"/>
        <v>start /low /b %USERPROFILE%\Documents\GitHub\eaglep3\Utilities\DownloadLogsFromS3.py --loco 4060 --day 2017-10-08</v>
      </c>
      <c r="AN93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4"/>
        <v>https://d0f6bd738d7f1b3e5a7ca70fe4ff75f0.us-east-1.aws.found.io/app/kibana#/discover/Steve-Slow-Train-Analysis-(2080s-and-2083s)?_g=(refreshInterval:(display:Off,pause:!f,section:0,value:0),time:(from:'2017-10-08T12:24:47-0600',mode:absolute,to:'2017-10-08T15:06:15-0600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755</v>
      </c>
      <c r="B94" s="7">
        <v>4059</v>
      </c>
      <c r="C94" s="21" t="s">
        <v>194</v>
      </c>
      <c r="D94" s="21" t="s">
        <v>433</v>
      </c>
      <c r="E94" s="13">
        <v>43016.590081018519</v>
      </c>
      <c r="F94" s="13">
        <v>43016.602407407408</v>
      </c>
      <c r="G94" s="7">
        <v>54</v>
      </c>
      <c r="H94" s="21" t="s">
        <v>888</v>
      </c>
      <c r="I94" s="13">
        <v>43016.628206018519</v>
      </c>
      <c r="J94" s="7">
        <v>0</v>
      </c>
      <c r="K94" s="89" t="str">
        <f t="shared" si="38"/>
        <v>4059/4060</v>
      </c>
      <c r="L94" s="185" t="str">
        <f>VLOOKUP(A94,'Trips&amp;Operators'!$C$1:$G$99911,5,FALSE)</f>
        <v>GUZMAN DANNY</v>
      </c>
      <c r="M94" s="6">
        <f t="shared" si="39"/>
        <v>2.5798611110076308E-2</v>
      </c>
      <c r="N94" s="7">
        <f t="shared" si="61"/>
        <v>37.149999998509884</v>
      </c>
      <c r="O94" s="7"/>
      <c r="P94" s="7"/>
      <c r="Q94" s="22"/>
      <c r="R94" s="174"/>
      <c r="S94" s="221">
        <f t="shared" si="62"/>
        <v>1</v>
      </c>
      <c r="T94" s="174" t="str">
        <f t="shared" si="40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1"/>
        <v>https://d0f6bd738d7f1b3e5a7ca70fe4ff75f0.us-east-1.aws.found.io/app/kibana#/discover/Steve-Slow-Train-Analysis-(2080s-and-2083s)?_g=(refreshInterval:(display:Off,pause:!f,section:0,value:0),time:(from:'2017-10-08T13:09:43-0600',mode:absolute,to:'2017-10-08T16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04" t="str">
        <f>IF(AA94&lt;VLOOKUP(AG94,Variables!$AC$3:$AD$8,2,FALSE),"Y","N")</f>
        <v>N</v>
      </c>
      <c r="X94" s="204">
        <f t="shared" si="55"/>
        <v>1</v>
      </c>
      <c r="Y94" s="204">
        <f t="shared" si="63"/>
        <v>23.298500000000001</v>
      </c>
      <c r="Z94" s="204">
        <f t="shared" si="64"/>
        <v>1.2999999999999999E-2</v>
      </c>
      <c r="AA94" s="204">
        <f t="shared" si="45"/>
        <v>23.285499999999999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6"/>
        <v>180</v>
      </c>
      <c r="AE94" s="77" t="str">
        <f t="shared" si="47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94" s="74" t="str">
        <f t="shared" si="48"/>
        <v>"C:\Program Files (x86)\AstroGrep\AstroGrep.exe" /e /r /s /spath="%USERPROFILE%\AppData\Local\Temp\OnboardLogs" /stypes="app*4059*20171008*" /stext=" 21:.+((SYSTEM_STATE.+slice.+state.+changed )|(ment ac)|(multiple cpu faults)|(system.+state.+changed )|(\[timeout)|(PRM\|1\|D)|(kpr)|(kdp)|(train st.+moving)|(\|lc)|(penalty))"</v>
      </c>
      <c r="AG94" s="182" t="str">
        <f t="shared" si="49"/>
        <v>EC</v>
      </c>
      <c r="AH94" s="78" t="str">
        <f t="shared" si="50"/>
        <v>"%USERPROFILE%\Documents\GitHub\eaglep3\Utilities\RefineRTDCRunTimes.py" --tripid 180-08 --locoid 4059 --swversion DE.1.0.9.0 --startMP 204:232985 --initTime 2017-10-08T14:09:43 --startdatetime 2017-10-08T14:27:28 --delay 54 --endMP 204:130 --enddatetime 2017-10-08T15:04:37 --enforcementcount 0 &gt;&gt;%USERPROFILE%\Documents\GitHub\eaglep3-reporting\EC\2017-10-08-refined-times.txt</v>
      </c>
      <c r="AI94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{"issue":{"subject":"","project_id":79,"tracker_id":40,"status_id":1,"priority_id":2,"assigned_to_id":338,"start_date":"2017-10-08","description":"","custom_fields":[{"id":1,"name":"Subdivision","value":"EC"},{"id":4,"name":"Milepost","value":"0.013"},{"id":17,"name":"Train ID","value":"180-08"},{"id":16,"name":"Locomotive ID","value":"4059"},{"id":130,"name":"Impact","value":""},{"id":150,"name":"Time of Event (Mountain Time)","value":"15:04:37"},{"id":151,"name":"Denver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52"/>
        <v>start /low /b %USERPROFILE%\Documents\GitHub\eaglep3\Utilities\DownloadLogsFromS3.py --loco 4059 --day 2017-10-08</v>
      </c>
      <c r="AN94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4"/>
        <v>https://d0f6bd738d7f1b3e5a7ca70fe4ff75f0.us-east-1.aws.found.io/app/kibana#/discover/Steve-Slow-Train-Analysis-(2080s-and-2083s)?_g=(refreshInterval:(display:Off,pause:!f,section:0,value:0),time:(from:'2017-10-08T13:09:43-0600',mode:absolute,to:'2017-10-08T16:04:37-0600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750</v>
      </c>
      <c r="B95" s="7">
        <v>4036</v>
      </c>
      <c r="C95" s="21" t="s">
        <v>194</v>
      </c>
      <c r="D95" s="21" t="s">
        <v>483</v>
      </c>
      <c r="E95" s="13">
        <v>43016.56894675926</v>
      </c>
      <c r="F95" s="13">
        <v>43016.57309027778</v>
      </c>
      <c r="G95" s="7">
        <v>52</v>
      </c>
      <c r="H95" s="21" t="s">
        <v>901</v>
      </c>
      <c r="I95" s="13">
        <v>43016.597824074073</v>
      </c>
      <c r="J95" s="7">
        <v>0</v>
      </c>
      <c r="K95" s="89" t="str">
        <f t="shared" si="38"/>
        <v>4035/4036</v>
      </c>
      <c r="L95" s="185" t="str">
        <f>VLOOKUP(A95,'Trips&amp;Operators'!$C$1:$G$99911,5,FALSE)</f>
        <v>BADERTSCHER DIANE</v>
      </c>
      <c r="M95" s="6">
        <f t="shared" si="39"/>
        <v>2.4733796293730848E-2</v>
      </c>
      <c r="N95" s="7">
        <f t="shared" si="61"/>
        <v>35.61666666297242</v>
      </c>
      <c r="O95" s="7"/>
      <c r="P95" s="7"/>
      <c r="Q95" s="22"/>
      <c r="R95" s="174"/>
      <c r="S95" s="221">
        <f t="shared" si="62"/>
        <v>1</v>
      </c>
      <c r="T95" s="174" t="str">
        <f t="shared" si="40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1"/>
        <v>https://d0f6bd738d7f1b3e5a7ca70fe4ff75f0.us-east-1.aws.found.io/app/kibana#/discover/Steve-Slow-Train-Analysis-(2080s-and-2083s)?_g=(refreshInterval:(display:Off,pause:!f,section:0,value:0),time:(from:'2017-10-08T12:39:17-0600',mode:absolute,to:'2017-10-08T15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5" s="204" t="str">
        <f>IF(AA95&lt;VLOOKUP(AG95,Variables!$AC$3:$AD$8,2,FALSE),"Y","N")</f>
        <v>N</v>
      </c>
      <c r="X95" s="204">
        <f t="shared" ref="X95:X126" si="65">VALUE(LEFT(AD95,4))-VALUE(LEFT(AD94,4))</f>
        <v>1</v>
      </c>
      <c r="Y95" s="204">
        <f t="shared" si="63"/>
        <v>4.6199999999999998E-2</v>
      </c>
      <c r="Z95" s="204">
        <f t="shared" si="64"/>
        <v>23.3307</v>
      </c>
      <c r="AA95" s="204">
        <f t="shared" si="45"/>
        <v>23.284500000000001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6"/>
        <v>181</v>
      </c>
      <c r="AE95" s="77" t="str">
        <f t="shared" si="47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95" s="74" t="str">
        <f t="shared" si="48"/>
        <v>"C:\Program Files (x86)\AstroGrep\AstroGrep.exe" /e /r /s /spath="%USERPROFILE%\AppData\Local\Temp\OnboardLogs" /stypes="app*4036*20171008*" /stext=" 20:.+((SYSTEM_STATE.+slice.+state.+changed )|(ment ac)|(multiple cpu faults)|(system.+state.+changed )|(\[timeout)|(PRM\|1\|D)|(kpr)|(kdp)|(train st.+moving)|(\|lc)|(penalty))"</v>
      </c>
      <c r="AG95" s="182" t="str">
        <f t="shared" si="49"/>
        <v>EC</v>
      </c>
      <c r="AH95" s="78" t="str">
        <f t="shared" si="50"/>
        <v>"%USERPROFILE%\Documents\GitHub\eaglep3\Utilities\RefineRTDCRunTimes.py" --tripid 181-08 --locoid 4036 --swversion DE.1.0.9.0 --startMP 204:462 --initTime 2017-10-08T13:39:17 --startdatetime 2017-10-08T13:45:15 --delay 52 --endMP 204:233307 --enddatetime 2017-10-08T14:20:52 --enforcementcount 0 &gt;&gt;%USERPROFILE%\Documents\GitHub\eaglep3-reporting\EC\2017-10-08-refined-times.txt</v>
      </c>
      <c r="AI95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{"issue":{"subject":"","project_id":79,"tracker_id":40,"status_id":1,"priority_id":2,"assigned_to_id":338,"start_date":"2017-10-08","description":"","custom_fields":[{"id":1,"name":"Subdivision","value":"EC"},{"id":4,"name":"Milepost","value":"23.3307"},{"id":17,"name":"Train ID","value":"181-08"},{"id":16,"name":"Locomotive ID","value":"4036"},{"id":130,"name":"Impact","value":""},{"id":150,"name":"Time of Event (Mountain Time)","value":"14:20:52"},{"id":151,"name":"Denver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52"/>
        <v>start /low /b %USERPROFILE%\Documents\GitHub\eaglep3\Utilities\DownloadLogsFromS3.py --loco 4036 --day 2017-10-08</v>
      </c>
      <c r="AN95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4"/>
        <v>https://d0f6bd738d7f1b3e5a7ca70fe4ff75f0.us-east-1.aws.found.io/app/kibana#/discover/Steve-Slow-Train-Analysis-(2080s-and-2083s)?_g=(refreshInterval:(display:Off,pause:!f,section:0,value:0),time:(from:'2017-10-08T12:39:17-0600',mode:absolute,to:'2017-10-08T15:20:52-0600'))&amp;_a=(columns:!('Message%20ID',Summary),filters:!(),index:'emp_*',interval:auto,query:(query_string:(analyze_wildcard:!t,query:'%22rtdc.l.rtdc.4036%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758</v>
      </c>
      <c r="B96" s="7">
        <v>4035</v>
      </c>
      <c r="C96" s="21" t="s">
        <v>194</v>
      </c>
      <c r="D96" s="21" t="s">
        <v>384</v>
      </c>
      <c r="E96" s="13">
        <v>43016.606539351851</v>
      </c>
      <c r="F96" s="13">
        <v>43016.612858796296</v>
      </c>
      <c r="G96" s="7">
        <v>67</v>
      </c>
      <c r="H96" s="21" t="s">
        <v>560</v>
      </c>
      <c r="I96" s="13">
        <v>43016.640289351853</v>
      </c>
      <c r="J96" s="7">
        <v>0</v>
      </c>
      <c r="K96" s="89" t="str">
        <f t="shared" si="38"/>
        <v>4035/4036</v>
      </c>
      <c r="L96" s="185" t="str">
        <f>VLOOKUP(A96,'Trips&amp;Operators'!$C$1:$G$99911,5,FALSE)</f>
        <v>BADERTSCHER DIANE</v>
      </c>
      <c r="M96" s="6">
        <f t="shared" si="39"/>
        <v>2.7430555557657499E-2</v>
      </c>
      <c r="N96" s="7">
        <f t="shared" si="61"/>
        <v>39.500000003026798</v>
      </c>
      <c r="O96" s="7"/>
      <c r="P96" s="7"/>
      <c r="Q96" s="22"/>
      <c r="R96" s="174"/>
      <c r="S96" s="221">
        <f t="shared" si="62"/>
        <v>1</v>
      </c>
      <c r="T96" s="174" t="str">
        <f t="shared" si="40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1"/>
        <v>https://d0f6bd738d7f1b3e5a7ca70fe4ff75f0.us-east-1.aws.found.io/app/kibana#/discover/Steve-Slow-Train-Analysis-(2080s-and-2083s)?_g=(refreshInterval:(display:Off,pause:!f,section:0,value:0),time:(from:'2017-10-08T13:33:25-0600',mode:absolute,to:'2017-10-08T16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6" s="204" t="str">
        <f>IF(AA96&lt;VLOOKUP(AG96,Variables!$AC$3:$AD$8,2,FALSE),"Y","N")</f>
        <v>N</v>
      </c>
      <c r="X96" s="204">
        <f t="shared" si="65"/>
        <v>1</v>
      </c>
      <c r="Y96" s="204">
        <f t="shared" si="63"/>
        <v>23.298200000000001</v>
      </c>
      <c r="Z96" s="204">
        <f t="shared" si="64"/>
        <v>1.29E-2</v>
      </c>
      <c r="AA96" s="204">
        <f t="shared" si="45"/>
        <v>23.285300000000003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6"/>
        <v>182</v>
      </c>
      <c r="AE96" s="77" t="str">
        <f t="shared" si="47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96" s="74" t="str">
        <f t="shared" si="48"/>
        <v>"C:\Program Files (x86)\AstroGrep\AstroGrep.exe" /e /r /s /spath="%USERPROFILE%\AppData\Local\Temp\OnboardLogs" /stypes="app*4035*20171008*" /stext=" 21:.+((SYSTEM_STATE.+slice.+state.+changed )|(ment ac)|(multiple cpu faults)|(system.+state.+changed )|(\[timeout)|(PRM\|1\|D)|(kpr)|(kdp)|(train st.+moving)|(\|lc)|(penalty))"</v>
      </c>
      <c r="AG96" s="182" t="str">
        <f t="shared" si="49"/>
        <v>EC</v>
      </c>
      <c r="AH96" s="78" t="str">
        <f t="shared" si="50"/>
        <v>"%USERPROFILE%\Documents\GitHub\eaglep3\Utilities\RefineRTDCRunTimes.py" --tripid 182-08 --locoid 4035 --swversion DE.1.0.9.0 --startMP 204:232982 --initTime 2017-10-08T14:33:25 --startdatetime 2017-10-08T14:42:31 --delay 67 --endMP 204:129 --enddatetime 2017-10-08T15:22:01 --enforcementcount 0 &gt;&gt;%USERPROFILE%\Documents\GitHub\eaglep3-reporting\EC\2017-10-08-refined-times.txt</v>
      </c>
      <c r="AI96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{"issue":{"subject":"","project_id":79,"tracker_id":40,"status_id":1,"priority_id":2,"assigned_to_id":338,"start_date":"2017-10-08","description":"","custom_fields":[{"id":1,"name":"Subdivision","value":"EC"},{"id":4,"name":"Milepost","value":"0.0129"},{"id":17,"name":"Train ID","value":"182-08"},{"id":16,"name":"Locomotive ID","value":"4035"},{"id":130,"name":"Impact","value":""},{"id":150,"name":"Time of Event (Mountain Time)","value":"15:22:01"},{"id":151,"name":"Denver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52"/>
        <v>start /low /b %USERPROFILE%\Documents\GitHub\eaglep3\Utilities\DownloadLogsFromS3.py --loco 4035 --day 2017-10-08</v>
      </c>
      <c r="AN96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4"/>
        <v>https://d0f6bd738d7f1b3e5a7ca70fe4ff75f0.us-east-1.aws.found.io/app/kibana#/discover/Steve-Slow-Train-Analysis-(2080s-and-2083s)?_g=(refreshInterval:(display:Off,pause:!f,section:0,value:0),time:(from:'2017-10-08T13:33:25-0600',mode:absolute,to:'2017-10-08T16:22:01-0600'))&amp;_a=(columns:!('Message%20ID',Summary),filters:!(),index:'emp_*',interval:auto,query:(query_string:(analyze_wildcard:!t,query:'%22rtdc.l.rtdc.4035%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752</v>
      </c>
      <c r="B97" s="7">
        <v>4016</v>
      </c>
      <c r="C97" s="21" t="s">
        <v>194</v>
      </c>
      <c r="D97" s="21" t="s">
        <v>403</v>
      </c>
      <c r="E97" s="13">
        <v>43016.578796296293</v>
      </c>
      <c r="F97" s="13">
        <v>43016.583506944444</v>
      </c>
      <c r="G97" s="7">
        <v>83</v>
      </c>
      <c r="H97" s="21" t="s">
        <v>480</v>
      </c>
      <c r="I97" s="13">
        <v>43016.608425925922</v>
      </c>
      <c r="J97" s="7">
        <v>0</v>
      </c>
      <c r="K97" s="89" t="str">
        <f t="shared" si="38"/>
        <v>4015/4016</v>
      </c>
      <c r="L97" s="185" t="str">
        <f>VLOOKUP(A97,'Trips&amp;Operators'!$C$1:$G$99911,5,FALSE)</f>
        <v>BERLING GARY</v>
      </c>
      <c r="M97" s="6">
        <f t="shared" si="39"/>
        <v>2.491898147854954E-2</v>
      </c>
      <c r="N97" s="7">
        <f t="shared" si="61"/>
        <v>35.883333329111338</v>
      </c>
      <c r="O97" s="7"/>
      <c r="P97" s="7"/>
      <c r="Q97" s="22"/>
      <c r="R97" s="174"/>
      <c r="S97" s="221">
        <f t="shared" si="62"/>
        <v>1</v>
      </c>
      <c r="T97" s="174" t="str">
        <f t="shared" si="40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1"/>
        <v>https://d0f6bd738d7f1b3e5a7ca70fe4ff75f0.us-east-1.aws.found.io/app/kibana#/discover/Steve-Slow-Train-Analysis-(2080s-and-2083s)?_g=(refreshInterval:(display:Off,pause:!f,section:0,value:0),time:(from:'2017-10-08T12:53:28-0600',mode:absolute,to:'2017-10-08T15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204" t="str">
        <f>IF(AA97&lt;VLOOKUP(AG97,Variables!$AC$3:$AD$8,2,FALSE),"Y","N")</f>
        <v>N</v>
      </c>
      <c r="X97" s="204">
        <f t="shared" si="65"/>
        <v>1</v>
      </c>
      <c r="Y97" s="204">
        <f t="shared" si="63"/>
        <v>4.3799999999999999E-2</v>
      </c>
      <c r="Z97" s="204">
        <f t="shared" si="64"/>
        <v>23.3306</v>
      </c>
      <c r="AA97" s="204">
        <f t="shared" si="45"/>
        <v>23.286799999999999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6"/>
        <v>183</v>
      </c>
      <c r="AE97" s="77" t="str">
        <f t="shared" si="47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97" s="74" t="str">
        <f t="shared" si="48"/>
        <v>"C:\Program Files (x86)\AstroGrep\AstroGrep.exe" /e /r /s /spath="%USERPROFILE%\AppData\Local\Temp\OnboardLogs" /stypes="app*4016*20171008*" /stext=" 20:.+((SYSTEM_STATE.+slice.+state.+changed )|(ment ac)|(multiple cpu faults)|(system.+state.+changed )|(\[timeout)|(PRM\|1\|D)|(kpr)|(kdp)|(train st.+moving)|(\|lc)|(penalty))"</v>
      </c>
      <c r="AG97" s="182" t="str">
        <f t="shared" si="49"/>
        <v>EC</v>
      </c>
      <c r="AH97" s="78" t="str">
        <f t="shared" si="50"/>
        <v>"%USERPROFILE%\Documents\GitHub\eaglep3\Utilities\RefineRTDCRunTimes.py" --tripid 183-08 --locoid 4016 --swversion DE.1.0.9.0 --startMP 204:438 --initTime 2017-10-08T13:53:28 --startdatetime 2017-10-08T14:00:15 --delay 83 --endMP 204:233306 --enddatetime 2017-10-08T14:36:08 --enforcementcount 0 &gt;&gt;%USERPROFILE%\Documents\GitHub\eaglep3-reporting\EC\2017-10-08-refined-times.txt</v>
      </c>
      <c r="AI97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{"issue":{"subject":"","project_id":79,"tracker_id":40,"status_id":1,"priority_id":2,"assigned_to_id":338,"start_date":"2017-10-08","description":"","custom_fields":[{"id":1,"name":"Subdivision","value":"EC"},{"id":4,"name":"Milepost","value":"23.3306"},{"id":17,"name":"Train ID","value":"183-08"},{"id":16,"name":"Locomotive ID","value":"4016"},{"id":130,"name":"Impact","value":""},{"id":150,"name":"Time of Event (Mountain Time)","value":"14:36:08"},{"id":151,"name":"Denver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52"/>
        <v>start /low /b %USERPROFILE%\Documents\GitHub\eaglep3\Utilities\DownloadLogsFromS3.py --loco 4016 --day 2017-10-08</v>
      </c>
      <c r="AN97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4"/>
        <v>https://d0f6bd738d7f1b3e5a7ca70fe4ff75f0.us-east-1.aws.found.io/app/kibana#/discover/Steve-Slow-Train-Analysis-(2080s-and-2083s)?_g=(refreshInterval:(display:Off,pause:!f,section:0,value:0),time:(from:'2017-10-08T12:53:28-0600',mode:absolute,to:'2017-10-08T15:36:08-0600'))&amp;_a=(columns:!('Message%20ID',Summary),filters:!(),index:'emp_*',interval:auto,query:(query_string:(analyze_wildcard:!t,query:'%22rtdc.l.rtdc.4016%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760</v>
      </c>
      <c r="B98" s="7">
        <v>4015</v>
      </c>
      <c r="C98" s="21" t="s">
        <v>194</v>
      </c>
      <c r="D98" s="21" t="s">
        <v>449</v>
      </c>
      <c r="E98" s="13">
        <v>43016.618993055556</v>
      </c>
      <c r="F98" s="13">
        <v>43016.623090277775</v>
      </c>
      <c r="G98" s="7">
        <v>114</v>
      </c>
      <c r="H98" s="21" t="s">
        <v>372</v>
      </c>
      <c r="I98" s="13">
        <v>43016.650266203702</v>
      </c>
      <c r="J98" s="7">
        <v>0</v>
      </c>
      <c r="K98" s="89" t="str">
        <f t="shared" si="38"/>
        <v>4015/4016</v>
      </c>
      <c r="L98" s="185" t="str">
        <f>VLOOKUP(A98,'Trips&amp;Operators'!$C$1:$G$99911,5,FALSE)</f>
        <v>BERLING GARY</v>
      </c>
      <c r="M98" s="6">
        <f t="shared" si="39"/>
        <v>2.7175925926712807E-2</v>
      </c>
      <c r="N98" s="7">
        <f t="shared" si="61"/>
        <v>39.133333334466442</v>
      </c>
      <c r="O98" s="7"/>
      <c r="P98" s="7"/>
      <c r="Q98" s="22"/>
      <c r="R98" s="174"/>
      <c r="S98" s="221">
        <f t="shared" si="62"/>
        <v>1</v>
      </c>
      <c r="T98" s="174" t="str">
        <f t="shared" si="40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1"/>
        <v>https://d0f6bd738d7f1b3e5a7ca70fe4ff75f0.us-east-1.aws.found.io/app/kibana#/discover/Steve-Slow-Train-Analysis-(2080s-and-2083s)?_g=(refreshInterval:(display:Off,pause:!f,section:0,value:0),time:(from:'2017-10-08T13:51:21-0600',mode:absolute,to:'2017-10-08T16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204" t="str">
        <f>IF(AA98&lt;VLOOKUP(AG98,Variables!$AC$3:$AD$8,2,FALSE),"Y","N")</f>
        <v>N</v>
      </c>
      <c r="X98" s="204">
        <f t="shared" si="65"/>
        <v>1</v>
      </c>
      <c r="Y98" s="204">
        <f t="shared" si="63"/>
        <v>23.300599999999999</v>
      </c>
      <c r="Z98" s="204">
        <f t="shared" si="64"/>
        <v>1.3899999999999999E-2</v>
      </c>
      <c r="AA98" s="204">
        <f t="shared" si="45"/>
        <v>23.2867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6"/>
        <v>184</v>
      </c>
      <c r="AE98" s="77" t="str">
        <f t="shared" si="47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98" s="74" t="str">
        <f t="shared" si="48"/>
        <v>"C:\Program Files (x86)\AstroGrep\AstroGrep.exe" /e /r /s /spath="%USERPROFILE%\AppData\Local\Temp\OnboardLogs" /stypes="app*4015*20171008*" /stext=" 21:.+((SYSTEM_STATE.+slice.+state.+changed )|(ment ac)|(multiple cpu faults)|(system.+state.+changed )|(\[timeout)|(PRM\|1\|D)|(kpr)|(kdp)|(train st.+moving)|(\|lc)|(penalty))"</v>
      </c>
      <c r="AG98" s="182" t="str">
        <f t="shared" si="49"/>
        <v>EC</v>
      </c>
      <c r="AH98" s="78" t="str">
        <f t="shared" si="50"/>
        <v>"%USERPROFILE%\Documents\GitHub\eaglep3\Utilities\RefineRTDCRunTimes.py" --tripid 184-08 --locoid 4015 --swversion DE.1.0.9.0 --startMP 204:233006 --initTime 2017-10-08T14:51:21 --startdatetime 2017-10-08T14:57:15 --delay 114 --endMP 204:139 --enddatetime 2017-10-08T15:36:23 --enforcementcount 0 &gt;&gt;%USERPROFILE%\Documents\GitHub\eaglep3-reporting\EC\2017-10-08-refined-times.txt</v>
      </c>
      <c r="AI98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{"issue":{"subject":"","project_id":79,"tracker_id":40,"status_id":1,"priority_id":2,"assigned_to_id":338,"start_date":"2017-10-08","description":"","custom_fields":[{"id":1,"name":"Subdivision","value":"EC"},{"id":4,"name":"Milepost","value":"0.0139"},{"id":17,"name":"Train ID","value":"184-08"},{"id":16,"name":"Locomotive ID","value":"4015"},{"id":130,"name":"Impact","value":""},{"id":150,"name":"Time of Event (Mountain Time)","value":"15:36:23"},{"id":151,"name":"Denver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52"/>
        <v>start /low /b %USERPROFILE%\Documents\GitHub\eaglep3\Utilities\DownloadLogsFromS3.py --loco 4015 --day 2017-10-08</v>
      </c>
      <c r="AN98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4"/>
        <v>https://d0f6bd738d7f1b3e5a7ca70fe4ff75f0.us-east-1.aws.found.io/app/kibana#/discover/Steve-Slow-Train-Analysis-(2080s-and-2083s)?_g=(refreshInterval:(display:Off,pause:!f,section:0,value:0),time:(from:'2017-10-08T13:51:21-0600',mode:absolute,to:'2017-10-08T16:36:23-0600'))&amp;_a=(columns:!('Message%20ID',Summary),filters:!(),index:'emp_*',interval:auto,query:(query_string:(analyze_wildcard:!t,query:'%22rtdc.l.rtdc.4015%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756</v>
      </c>
      <c r="B99" s="7">
        <v>4002</v>
      </c>
      <c r="C99" s="21" t="s">
        <v>194</v>
      </c>
      <c r="D99" s="21" t="s">
        <v>929</v>
      </c>
      <c r="E99" s="13">
        <v>43016.590173611112</v>
      </c>
      <c r="F99" s="13">
        <v>43016.593946759262</v>
      </c>
      <c r="G99" s="7">
        <v>58</v>
      </c>
      <c r="H99" s="21" t="s">
        <v>553</v>
      </c>
      <c r="I99" s="13">
        <v>43016.619687500002</v>
      </c>
      <c r="J99" s="7">
        <v>0</v>
      </c>
      <c r="K99" s="89" t="str">
        <f t="shared" si="38"/>
        <v>4001/4002</v>
      </c>
      <c r="L99" s="185" t="str">
        <f>VLOOKUP(A99,'Trips&amp;Operators'!$C$1:$G$99911,5,FALSE)</f>
        <v>STEWART MICHAEL</v>
      </c>
      <c r="M99" s="6">
        <f t="shared" si="39"/>
        <v>2.5740740740729962E-2</v>
      </c>
      <c r="N99" s="7">
        <f t="shared" si="61"/>
        <v>37.066666666651145</v>
      </c>
      <c r="O99" s="7"/>
      <c r="P99" s="7"/>
      <c r="Q99" s="22"/>
      <c r="R99" s="174"/>
      <c r="S99" s="221">
        <f t="shared" si="62"/>
        <v>1</v>
      </c>
      <c r="T99" s="174" t="str">
        <f t="shared" si="40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1"/>
        <v>https://d0f6bd738d7f1b3e5a7ca70fe4ff75f0.us-east-1.aws.found.io/app/kibana#/discover/Steve-Slow-Train-Analysis-(2080s-and-2083s)?_g=(refreshInterval:(display:Off,pause:!f,section:0,value:0),time:(from:'2017-10-08T13:09:51-0600',mode:absolute,to:'2017-10-08T15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04" t="str">
        <f>IF(AA99&lt;VLOOKUP(AG99,Variables!$AC$3:$AD$8,2,FALSE),"Y","N")</f>
        <v>N</v>
      </c>
      <c r="X99" s="204">
        <f t="shared" si="65"/>
        <v>1</v>
      </c>
      <c r="Y99" s="204">
        <f t="shared" si="63"/>
        <v>4.8800000000000003E-2</v>
      </c>
      <c r="Z99" s="204">
        <f t="shared" si="64"/>
        <v>23.329499999999999</v>
      </c>
      <c r="AA99" s="204">
        <f t="shared" si="45"/>
        <v>23.2807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6"/>
        <v>185</v>
      </c>
      <c r="AE99" s="77" t="str">
        <f t="shared" si="47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99" s="74" t="str">
        <f t="shared" si="48"/>
        <v>"C:\Program Files (x86)\AstroGrep\AstroGrep.exe" /e /r /s /spath="%USERPROFILE%\AppData\Local\Temp\OnboardLogs" /stypes="app*4002*20171008*" /stext=" 20:.+((SYSTEM_STATE.+slice.+state.+changed )|(ment ac)|(multiple cpu faults)|(system.+state.+changed )|(\[timeout)|(PRM\|1\|D)|(kpr)|(kdp)|(train st.+moving)|(\|lc)|(penalty))"</v>
      </c>
      <c r="AG99" s="182" t="str">
        <f t="shared" si="49"/>
        <v>EC</v>
      </c>
      <c r="AH99" s="78" t="str">
        <f t="shared" si="50"/>
        <v>"%USERPROFILE%\Documents\GitHub\eaglep3\Utilities\RefineRTDCRunTimes.py" --tripid 185-08 --locoid 4002 --swversion DE.1.0.9.0 --startMP 204:488 --initTime 2017-10-08T14:09:51 --startdatetime 2017-10-08T14:15:17 --delay 58 --endMP 204:233295 --enddatetime 2017-10-08T14:52:21 --enforcementcount 0 &gt;&gt;%USERPROFILE%\Documents\GitHub\eaglep3-reporting\EC\2017-10-08-refined-times.txt</v>
      </c>
      <c r="AI9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{"issue":{"subject":"","project_id":79,"tracker_id":40,"status_id":1,"priority_id":2,"assigned_to_id":338,"start_date":"2017-10-08","description":"","custom_fields":[{"id":1,"name":"Subdivision","value":"EC"},{"id":4,"name":"Milepost","value":"23.3295"},{"id":17,"name":"Train ID","value":"185-08"},{"id":16,"name":"Locomotive ID","value":"4002"},{"id":130,"name":"Impact","value":""},{"id":150,"name":"Time of Event (Mountain Time)","value":"14:52:21"},{"id":151,"name":"Denver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52"/>
        <v>start /low /b %USERPROFILE%\Documents\GitHub\eaglep3\Utilities\DownloadLogsFromS3.py --loco 4002 --day 2017-10-08</v>
      </c>
      <c r="AN99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4"/>
        <v>https://d0f6bd738d7f1b3e5a7ca70fe4ff75f0.us-east-1.aws.found.io/app/kibana#/discover/Steve-Slow-Train-Analysis-(2080s-and-2083s)?_g=(refreshInterval:(display:Off,pause:!f,section:0,value:0),time:(from:'2017-10-08T13:09:51-0600',mode:absolute,to:'2017-10-08T15:52:21-0600'))&amp;_a=(columns:!('Message%20ID',Summary),filters:!(),index:'emp_*',interval:auto,query:(query_string:(analyze_wildcard:!t,query:'%22rtdc.l.rtdc.4002%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763</v>
      </c>
      <c r="B100" s="7">
        <v>4001</v>
      </c>
      <c r="C100" s="21" t="s">
        <v>194</v>
      </c>
      <c r="D100" s="21" t="s">
        <v>482</v>
      </c>
      <c r="E100" s="13">
        <v>43016.627129629633</v>
      </c>
      <c r="F100" s="13">
        <v>43016.63354166667</v>
      </c>
      <c r="G100" s="7">
        <v>53</v>
      </c>
      <c r="H100" s="21" t="s">
        <v>361</v>
      </c>
      <c r="I100" s="13">
        <v>43016.661099537036</v>
      </c>
      <c r="J100" s="7">
        <v>0</v>
      </c>
      <c r="K100" s="89" t="str">
        <f t="shared" si="38"/>
        <v>4001/4002</v>
      </c>
      <c r="L100" s="185" t="str">
        <f>VLOOKUP(A100,'Trips&amp;Operators'!$C$1:$G$99911,5,FALSE)</f>
        <v>STEWART MICHAEL</v>
      </c>
      <c r="M100" s="6">
        <f t="shared" si="39"/>
        <v>2.7557870365853887E-2</v>
      </c>
      <c r="N100" s="7">
        <f t="shared" si="61"/>
        <v>39.683333326829597</v>
      </c>
      <c r="O100" s="7"/>
      <c r="P100" s="7"/>
      <c r="Q100" s="22"/>
      <c r="R100" s="174"/>
      <c r="S100" s="221">
        <f t="shared" si="62"/>
        <v>1</v>
      </c>
      <c r="T100" s="174" t="str">
        <f t="shared" si="40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1"/>
        <v>https://d0f6bd738d7f1b3e5a7ca70fe4ff75f0.us-east-1.aws.found.io/app/kibana#/discover/Steve-Slow-Train-Analysis-(2080s-and-2083s)?_g=(refreshInterval:(display:Off,pause:!f,section:0,value:0),time:(from:'2017-10-08T14:03:04-0600',mode:absolute,to:'2017-10-08T16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04" t="str">
        <f>IF(AA100&lt;VLOOKUP(AG100,Variables!$AC$3:$AD$8,2,FALSE),"Y","N")</f>
        <v>N</v>
      </c>
      <c r="X100" s="204">
        <f t="shared" si="65"/>
        <v>1</v>
      </c>
      <c r="Y100" s="204">
        <f t="shared" si="63"/>
        <v>23.297499999999999</v>
      </c>
      <c r="Z100" s="204">
        <f t="shared" si="64"/>
        <v>1.5599999999999999E-2</v>
      </c>
      <c r="AA100" s="204">
        <f t="shared" si="45"/>
        <v>23.2819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6"/>
        <v>186</v>
      </c>
      <c r="AE100" s="77" t="str">
        <f t="shared" si="47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00" s="74" t="str">
        <f t="shared" si="48"/>
        <v>"C:\Program Files (x86)\AstroGrep\AstroGrep.exe" /e /r /s /spath="%USERPROFILE%\AppData\Local\Temp\OnboardLogs" /stypes="app*4001*20171008*" /stext=" 21:.+((SYSTEM_STATE.+slice.+state.+changed )|(ment ac)|(multiple cpu faults)|(system.+state.+changed )|(\[timeout)|(PRM\|1\|D)|(kpr)|(kdp)|(train st.+moving)|(\|lc)|(penalty))"</v>
      </c>
      <c r="AG100" s="182" t="str">
        <f t="shared" si="49"/>
        <v>EC</v>
      </c>
      <c r="AH100" s="78" t="str">
        <f t="shared" si="50"/>
        <v>"%USERPROFILE%\Documents\GitHub\eaglep3\Utilities\RefineRTDCRunTimes.py" --tripid 186-08 --locoid 4001 --swversion DE.1.0.9.0 --startMP 204:232975 --initTime 2017-10-08T15:03:04 --startdatetime 2017-10-08T15:12:18 --delay 53 --endMP 204:156 --enddatetime 2017-10-08T15:51:59 --enforcementcount 0 &gt;&gt;%USERPROFILE%\Documents\GitHub\eaglep3-reporting\EC\2017-10-08-refined-times.txt</v>
      </c>
      <c r="AI10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{"issue":{"subject":"","project_id":79,"tracker_id":40,"status_id":1,"priority_id":2,"assigned_to_id":338,"start_date":"2017-10-08","description":"","custom_fields":[{"id":1,"name":"Subdivision","value":"EC"},{"id":4,"name":"Milepost","value":"0.0156"},{"id":17,"name":"Train ID","value":"186-08"},{"id":16,"name":"Locomotive ID","value":"4001"},{"id":130,"name":"Impact","value":""},{"id":150,"name":"Time of Event (Mountain Time)","value":"15:51:59"},{"id":151,"name":"Denver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52"/>
        <v>start /low /b %USERPROFILE%\Documents\GitHub\eaglep3\Utilities\DownloadLogsFromS3.py --loco 4001 --day 2017-10-08</v>
      </c>
      <c r="AN100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4"/>
        <v>https://d0f6bd738d7f1b3e5a7ca70fe4ff75f0.us-east-1.aws.found.io/app/kibana#/discover/Steve-Slow-Train-Analysis-(2080s-and-2083s)?_g=(refreshInterval:(display:Off,pause:!f,section:0,value:0),time:(from:'2017-10-08T14:03:04-0600',mode:absolute,to:'2017-10-08T16:51:59-0600'))&amp;_a=(columns:!('Message%20ID',Summary),filters:!(),index:'emp_*',interval:auto,query:(query_string:(analyze_wildcard:!t,query:'%22rtdc.l.rtdc.4001%22')),sort:!(Time.ISO8601,asc))</v>
      </c>
    </row>
    <row r="101" spans="1:91" s="20" customFormat="1" x14ac:dyDescent="0.25">
      <c r="A101" s="32" t="s">
        <v>757</v>
      </c>
      <c r="B101" s="7">
        <v>4006</v>
      </c>
      <c r="C101" s="21" t="s">
        <v>194</v>
      </c>
      <c r="D101" s="21" t="s">
        <v>867</v>
      </c>
      <c r="E101" s="13">
        <v>43016.599895833337</v>
      </c>
      <c r="F101" s="13">
        <v>43016.604432870372</v>
      </c>
      <c r="G101" s="7">
        <v>55</v>
      </c>
      <c r="H101" s="21" t="s">
        <v>400</v>
      </c>
      <c r="I101" s="13">
        <v>43016.62976851852</v>
      </c>
      <c r="J101" s="7">
        <v>0</v>
      </c>
      <c r="K101" s="89" t="str">
        <f t="shared" si="38"/>
        <v>4005/4006</v>
      </c>
      <c r="L101" s="185" t="str">
        <f>VLOOKUP(A101,'Trips&amp;Operators'!$C$1:$G$99911,5,FALSE)</f>
        <v>SMITH MICHAEL</v>
      </c>
      <c r="M101" s="6">
        <f t="shared" si="39"/>
        <v>2.5335648148029577E-2</v>
      </c>
      <c r="N101" s="7">
        <f t="shared" si="61"/>
        <v>36.483333333162591</v>
      </c>
      <c r="O101" s="7"/>
      <c r="P101" s="7"/>
      <c r="Q101" s="22"/>
      <c r="R101" s="174"/>
      <c r="S101" s="221">
        <f t="shared" si="62"/>
        <v>1</v>
      </c>
      <c r="T101" s="174" t="str">
        <f t="shared" si="40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1"/>
        <v>https://d0f6bd738d7f1b3e5a7ca70fe4ff75f0.us-east-1.aws.found.io/app/kibana#/discover/Steve-Slow-Train-Analysis-(2080s-and-2083s)?_g=(refreshInterval:(display:Off,pause:!f,section:0,value:0),time:(from:'2017-10-08T13:23:51-0600',mode:absolute,to:'2017-10-08T16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1" s="204" t="str">
        <f>IF(AA101&lt;VLOOKUP(AG101,Variables!$AC$3:$AD$8,2,FALSE),"Y","N")</f>
        <v>N</v>
      </c>
      <c r="X101" s="204">
        <f t="shared" si="65"/>
        <v>1</v>
      </c>
      <c r="Y101" s="204">
        <f t="shared" si="63"/>
        <v>4.7100000000000003E-2</v>
      </c>
      <c r="Z101" s="204">
        <f t="shared" si="64"/>
        <v>23.3291</v>
      </c>
      <c r="AA101" s="204">
        <f t="shared" si="45"/>
        <v>23.282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6"/>
        <v>187</v>
      </c>
      <c r="AE101" s="77" t="str">
        <f t="shared" si="47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101" s="74" t="str">
        <f t="shared" si="48"/>
        <v>"C:\Program Files (x86)\AstroGrep\AstroGrep.exe" /e /r /s /spath="%USERPROFILE%\AppData\Local\Temp\OnboardLogs" /stypes="app*4006*20171008*" /stext=" 21:.+((SYSTEM_STATE.+slice.+state.+changed )|(ment ac)|(multiple cpu faults)|(system.+state.+changed )|(\[timeout)|(PRM\|1\|D)|(kpr)|(kdp)|(train st.+moving)|(\|lc)|(penalty))"</v>
      </c>
      <c r="AG101" s="182" t="str">
        <f t="shared" si="49"/>
        <v>EC</v>
      </c>
      <c r="AH101" s="78" t="str">
        <f t="shared" si="50"/>
        <v>"%USERPROFILE%\Documents\GitHub\eaglep3\Utilities\RefineRTDCRunTimes.py" --tripid 187-08 --locoid 4006 --swversion DE.1.0.9.0 --startMP 204:471 --initTime 2017-10-08T14:23:51 --startdatetime 2017-10-08T14:30:23 --delay 55 --endMP 204:233291 --enddatetime 2017-10-08T15:06:52 --enforcementcount 0 &gt;&gt;%USERPROFILE%\Documents\GitHub\eaglep3-reporting\EC\2017-10-08-refined-times.txt</v>
      </c>
      <c r="AI101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{"issue":{"subject":"","project_id":79,"tracker_id":40,"status_id":1,"priority_id":2,"assigned_to_id":338,"start_date":"2017-10-08","description":"","custom_fields":[{"id":1,"name":"Subdivision","value":"EC"},{"id":4,"name":"Milepost","value":"23.3291"},{"id":17,"name":"Train ID","value":"187-08"},{"id":16,"name":"Locomotive ID","value":"4006"},{"id":130,"name":"Impact","value":""},{"id":150,"name":"Time of Event (Mountain Time)","value":"15:06:52"},{"id":151,"name":"Denver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52"/>
        <v>start /low /b %USERPROFILE%\Documents\GitHub\eaglep3\Utilities\DownloadLogsFromS3.py --loco 4006 --day 2017-10-08</v>
      </c>
      <c r="AN101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4"/>
        <v>https://d0f6bd738d7f1b3e5a7ca70fe4ff75f0.us-east-1.aws.found.io/app/kibana#/discover/Steve-Slow-Train-Analysis-(2080s-and-2083s)?_g=(refreshInterval:(display:Off,pause:!f,section:0,value:0),time:(from:'2017-10-08T13:23:51-0600',mode:absolute,to:'2017-10-08T16:06:52-0600'))&amp;_a=(columns:!('Message%20ID',Summary),filters:!(),index:'emp_*',interval:auto,query:(query_string:(analyze_wildcard:!t,query:'%22rtdc.l.rtdc.4006%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765</v>
      </c>
      <c r="B102" s="7">
        <v>4005</v>
      </c>
      <c r="C102" s="21" t="s">
        <v>194</v>
      </c>
      <c r="D102" s="21" t="s">
        <v>447</v>
      </c>
      <c r="E102" s="13">
        <v>43016.634664351855</v>
      </c>
      <c r="F102" s="13">
        <v>43016.644178240742</v>
      </c>
      <c r="G102" s="7">
        <v>81</v>
      </c>
      <c r="H102" s="21" t="s">
        <v>336</v>
      </c>
      <c r="I102" s="13">
        <v>43016.669629629629</v>
      </c>
      <c r="J102" s="7">
        <v>0</v>
      </c>
      <c r="K102" s="89" t="str">
        <f t="shared" si="38"/>
        <v>4005/4006</v>
      </c>
      <c r="L102" s="185" t="str">
        <f>VLOOKUP(A102,'Trips&amp;Operators'!$C$1:$G$99911,5,FALSE)</f>
        <v>SMITH MICHAEL</v>
      </c>
      <c r="M102" s="6">
        <f t="shared" si="39"/>
        <v>2.545138888672227E-2</v>
      </c>
      <c r="N102" s="7">
        <f t="shared" si="61"/>
        <v>36.649999996880069</v>
      </c>
      <c r="O102" s="7"/>
      <c r="P102" s="7"/>
      <c r="Q102" s="22"/>
      <c r="R102" s="174"/>
      <c r="S102" s="221">
        <f t="shared" si="62"/>
        <v>1</v>
      </c>
      <c r="T102" s="174" t="str">
        <f t="shared" si="40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1"/>
        <v>https://d0f6bd738d7f1b3e5a7ca70fe4ff75f0.us-east-1.aws.found.io/app/kibana#/discover/Steve-Slow-Train-Analysis-(2080s-and-2083s)?_g=(refreshInterval:(display:Off,pause:!f,section:0,value:0),time:(from:'2017-10-08T14:13:55-0600',mode:absolute,to:'2017-10-08T17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2" s="204" t="str">
        <f>IF(AA102&lt;VLOOKUP(AG102,Variables!$AC$3:$AD$8,2,FALSE),"Y","N")</f>
        <v>N</v>
      </c>
      <c r="X102" s="204">
        <f t="shared" si="65"/>
        <v>1</v>
      </c>
      <c r="Y102" s="204">
        <f t="shared" si="63"/>
        <v>23.298300000000001</v>
      </c>
      <c r="Z102" s="204">
        <f t="shared" si="64"/>
        <v>1.49E-2</v>
      </c>
      <c r="AA102" s="204">
        <f t="shared" si="45"/>
        <v>23.2834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6"/>
        <v>188</v>
      </c>
      <c r="AE102" s="77" t="str">
        <f t="shared" si="47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102" s="74" t="str">
        <f t="shared" si="48"/>
        <v>"C:\Program Files (x86)\AstroGrep\AstroGrep.exe" /e /r /s /spath="%USERPROFILE%\AppData\Local\Temp\OnboardLogs" /stypes="app*4005*20171008*" /stext=" 22:.+((SYSTEM_STATE.+slice.+state.+changed )|(ment ac)|(multiple cpu faults)|(system.+state.+changed )|(\[timeout)|(PRM\|1\|D)|(kpr)|(kdp)|(train st.+moving)|(\|lc)|(penalty))"</v>
      </c>
      <c r="AG102" s="182" t="str">
        <f t="shared" si="49"/>
        <v>EC</v>
      </c>
      <c r="AH102" s="78" t="str">
        <f t="shared" si="50"/>
        <v>"%USERPROFILE%\Documents\GitHub\eaglep3\Utilities\RefineRTDCRunTimes.py" --tripid 188-08 --locoid 4005 --swversion DE.1.0.9.0 --startMP 204:232983 --initTime 2017-10-08T15:13:55 --startdatetime 2017-10-08T15:27:37 --delay 81 --endMP 204:149 --enddatetime 2017-10-08T16:04:16 --enforcementcount 0 &gt;&gt;%USERPROFILE%\Documents\GitHub\eaglep3-reporting\EC\2017-10-08-refined-times.txt</v>
      </c>
      <c r="AI102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{"issue":{"subject":"","project_id":79,"tracker_id":40,"status_id":1,"priority_id":2,"assigned_to_id":338,"start_date":"2017-10-08","description":"","custom_fields":[{"id":1,"name":"Subdivision","value":"EC"},{"id":4,"name":"Milepost","value":"0.0149"},{"id":17,"name":"Train ID","value":"188-08"},{"id":16,"name":"Locomotive ID","value":"4005"},{"id":130,"name":"Impact","value":""},{"id":150,"name":"Time of Event (Mountain Time)","value":"16:04:16"},{"id":151,"name":"Denver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52"/>
        <v>start /low /b %USERPROFILE%\Documents\GitHub\eaglep3\Utilities\DownloadLogsFromS3.py --loco 4005 --day 2017-10-08</v>
      </c>
      <c r="AN102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4"/>
        <v>https://d0f6bd738d7f1b3e5a7ca70fe4ff75f0.us-east-1.aws.found.io/app/kibana#/discover/Steve-Slow-Train-Analysis-(2080s-and-2083s)?_g=(refreshInterval:(display:Off,pause:!f,section:0,value:0),time:(from:'2017-10-08T14:13:55-0600',mode:absolute,to:'2017-10-08T17:04:16-0600'))&amp;_a=(columns:!('Message%20ID',Summary),filters:!(),index:'emp_*',interval:auto,query:(query_string:(analyze_wildcard:!t,query:'%22rtdc.l.rtdc.4005%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759</v>
      </c>
      <c r="B103" s="7">
        <v>4050</v>
      </c>
      <c r="C103" s="21" t="s">
        <v>194</v>
      </c>
      <c r="D103" s="21" t="s">
        <v>355</v>
      </c>
      <c r="E103" s="13">
        <v>43016.612604166665</v>
      </c>
      <c r="F103" s="13">
        <v>43016.615208333336</v>
      </c>
      <c r="G103" s="7">
        <v>95</v>
      </c>
      <c r="H103" s="21" t="s">
        <v>558</v>
      </c>
      <c r="I103" s="13">
        <v>43016.641388888886</v>
      </c>
      <c r="J103" s="7">
        <v>0</v>
      </c>
      <c r="K103" s="89" t="str">
        <f t="shared" si="38"/>
        <v>4049/4050</v>
      </c>
      <c r="L103" s="185" t="str">
        <f>VLOOKUP(A103,'Trips&amp;Operators'!$C$1:$G$99911,5,FALSE)</f>
        <v>DAVIS MICHAEL</v>
      </c>
      <c r="M103" s="6">
        <f t="shared" si="39"/>
        <v>2.6180555549217388E-2</v>
      </c>
      <c r="N103" s="7">
        <f t="shared" si="61"/>
        <v>37.699999990873039</v>
      </c>
      <c r="O103" s="7"/>
      <c r="P103" s="7"/>
      <c r="Q103" s="22"/>
      <c r="R103" s="174"/>
      <c r="S103" s="221">
        <f t="shared" si="62"/>
        <v>1</v>
      </c>
      <c r="T103" s="174" t="str">
        <f t="shared" si="40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1"/>
        <v>https://d0f6bd738d7f1b3e5a7ca70fe4ff75f0.us-east-1.aws.found.io/app/kibana#/discover/Steve-Slow-Train-Analysis-(2080s-and-2083s)?_g=(refreshInterval:(display:Off,pause:!f,section:0,value:0),time:(from:'2017-10-08T13:42:09-0600',mode:absolute,to:'2017-10-08T16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3" s="204" t="str">
        <f>IF(AA103&lt;VLOOKUP(AG103,Variables!$AC$3:$AD$8,2,FALSE),"Y","N")</f>
        <v>N</v>
      </c>
      <c r="X103" s="204">
        <f t="shared" si="65"/>
        <v>1</v>
      </c>
      <c r="Y103" s="204">
        <f t="shared" si="63"/>
        <v>4.58E-2</v>
      </c>
      <c r="Z103" s="204">
        <f t="shared" si="64"/>
        <v>23.330100000000002</v>
      </c>
      <c r="AA103" s="204">
        <f t="shared" si="45"/>
        <v>23.284300000000002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6"/>
        <v>189</v>
      </c>
      <c r="AE103" s="77" t="str">
        <f t="shared" si="47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03" s="74" t="str">
        <f t="shared" si="48"/>
        <v>"C:\Program Files (x86)\AstroGrep\AstroGrep.exe" /e /r /s /spath="%USERPROFILE%\AppData\Local\Temp\OnboardLogs" /stypes="app*4050*20171008*" /stext=" 21:.+((SYSTEM_STATE.+slice.+state.+changed )|(ment ac)|(multiple cpu faults)|(system.+state.+changed )|(\[timeout)|(PRM\|1\|D)|(kpr)|(kdp)|(train st.+moving)|(\|lc)|(penalty))"</v>
      </c>
      <c r="AG103" s="182" t="str">
        <f t="shared" si="49"/>
        <v>EC</v>
      </c>
      <c r="AH103" s="78" t="str">
        <f t="shared" si="50"/>
        <v>"%USERPROFILE%\Documents\GitHub\eaglep3\Utilities\RefineRTDCRunTimes.py" --tripid 189-08 --locoid 4050 --swversion DE.1.0.9.0 --startMP 204:458 --initTime 2017-10-08T14:42:09 --startdatetime 2017-10-08T14:45:54 --delay 95 --endMP 204:233301 --enddatetime 2017-10-08T15:23:36 --enforcementcount 0 &gt;&gt;%USERPROFILE%\Documents\GitHub\eaglep3-reporting\EC\2017-10-08-refined-times.txt</v>
      </c>
      <c r="AI103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{"issue":{"subject":"","project_id":79,"tracker_id":40,"status_id":1,"priority_id":2,"assigned_to_id":338,"start_date":"2017-10-08","description":"","custom_fields":[{"id":1,"name":"Subdivision","value":"EC"},{"id":4,"name":"Milepost","value":"23.3301"},{"id":17,"name":"Train ID","value":"189-08"},{"id":16,"name":"Locomotive ID","value":"4050"},{"id":130,"name":"Impact","value":""},{"id":150,"name":"Time of Event (Mountain Time)","value":"15:23:36"},{"id":151,"name":"Denver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52"/>
        <v>start /low /b %USERPROFILE%\Documents\GitHub\eaglep3\Utilities\DownloadLogsFromS3.py --loco 4050 --day 2017-10-08</v>
      </c>
      <c r="AN103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4"/>
        <v>https://d0f6bd738d7f1b3e5a7ca70fe4ff75f0.us-east-1.aws.found.io/app/kibana#/discover/Steve-Slow-Train-Analysis-(2080s-and-2083s)?_g=(refreshInterval:(display:Off,pause:!f,section:0,value:0),time:(from:'2017-10-08T13:42:09-0600',mode:absolute,to:'2017-10-08T16:23:36-0600'))&amp;_a=(columns:!('Message%20ID',Summary),filters:!(),index:'emp_*',interval:auto,query:(query_string:(analyze_wildcard:!t,query:'%22rtdc.l.rtdc.4050%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768</v>
      </c>
      <c r="B104" s="7">
        <v>4049</v>
      </c>
      <c r="C104" s="21" t="s">
        <v>194</v>
      </c>
      <c r="D104" s="21" t="s">
        <v>450</v>
      </c>
      <c r="E104" s="13">
        <v>43016.652615740742</v>
      </c>
      <c r="F104" s="13">
        <v>43016.654733796298</v>
      </c>
      <c r="G104" s="7">
        <v>73</v>
      </c>
      <c r="H104" s="21" t="s">
        <v>340</v>
      </c>
      <c r="I104" s="13">
        <v>43016.68204861111</v>
      </c>
      <c r="J104" s="7">
        <v>0</v>
      </c>
      <c r="K104" s="89" t="str">
        <f t="shared" si="38"/>
        <v>4049/4050</v>
      </c>
      <c r="L104" s="185" t="str">
        <f>VLOOKUP(A104,'Trips&amp;Operators'!$C$1:$G$99911,5,FALSE)</f>
        <v>DAVIS MICHAEL</v>
      </c>
      <c r="M104" s="6">
        <f t="shared" si="39"/>
        <v>2.7314814811688848E-2</v>
      </c>
      <c r="N104" s="7">
        <f t="shared" si="61"/>
        <v>39.333333328831941</v>
      </c>
      <c r="O104" s="7"/>
      <c r="P104" s="7"/>
      <c r="Q104" s="22"/>
      <c r="R104" s="174"/>
      <c r="S104" s="221">
        <f t="shared" si="62"/>
        <v>1</v>
      </c>
      <c r="T104" s="174" t="str">
        <f t="shared" si="40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1"/>
        <v>https://d0f6bd738d7f1b3e5a7ca70fe4ff75f0.us-east-1.aws.found.io/app/kibana#/discover/Steve-Slow-Train-Analysis-(2080s-and-2083s)?_g=(refreshInterval:(display:Off,pause:!f,section:0,value:0),time:(from:'2017-10-08T14:39:46-0600',mode:absolute,to:'2017-10-08T17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204" t="str">
        <f>IF(AA104&lt;VLOOKUP(AG104,Variables!$AC$3:$AD$8,2,FALSE),"Y","N")</f>
        <v>N</v>
      </c>
      <c r="X104" s="204">
        <f t="shared" si="65"/>
        <v>1</v>
      </c>
      <c r="Y104" s="204">
        <f t="shared" si="63"/>
        <v>23.2986</v>
      </c>
      <c r="Z104" s="204">
        <f t="shared" si="64"/>
        <v>1.47E-2</v>
      </c>
      <c r="AA104" s="204">
        <f t="shared" si="45"/>
        <v>23.283899999999999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6"/>
        <v>190</v>
      </c>
      <c r="AE104" s="77" t="str">
        <f t="shared" si="47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104" s="74" t="str">
        <f t="shared" si="48"/>
        <v>"C:\Program Files (x86)\AstroGrep\AstroGrep.exe" /e /r /s /spath="%USERPROFILE%\AppData\Local\Temp\OnboardLogs" /stypes="app*4049*20171008*" /stext=" 22:.+((SYSTEM_STATE.+slice.+state.+changed )|(ment ac)|(multiple cpu faults)|(system.+state.+changed )|(\[timeout)|(PRM\|1\|D)|(kpr)|(kdp)|(train st.+moving)|(\|lc)|(penalty))"</v>
      </c>
      <c r="AG104" s="182" t="str">
        <f t="shared" si="49"/>
        <v>EC</v>
      </c>
      <c r="AH104" s="78" t="str">
        <f t="shared" si="50"/>
        <v>"%USERPROFILE%\Documents\GitHub\eaglep3\Utilities\RefineRTDCRunTimes.py" --tripid 190-08 --locoid 4049 --swversion DE.1.0.9.0 --startMP 204:232986 --initTime 2017-10-08T15:39:46 --startdatetime 2017-10-08T15:42:49 --delay 73 --endMP 204:147 --enddatetime 2017-10-08T16:22:09 --enforcementcount 0 &gt;&gt;%USERPROFILE%\Documents\GitHub\eaglep3-reporting\EC\2017-10-08-refined-times.txt</v>
      </c>
      <c r="AI104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ID","value":"190-08"},{"id":16,"name":"Locomotive ID","value":"4049"},{"id":130,"name":"Impact","value":""},{"id":150,"name":"Time of Event (Mountain Time)","value":"16:22:09"},{"id":151,"name":"Denver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52"/>
        <v>start /low /b %USERPROFILE%\Documents\GitHub\eaglep3\Utilities\DownloadLogsFromS3.py --loco 4049 --day 2017-10-08</v>
      </c>
      <c r="AN104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4"/>
        <v>https://d0f6bd738d7f1b3e5a7ca70fe4ff75f0.us-east-1.aws.found.io/app/kibana#/discover/Steve-Slow-Train-Analysis-(2080s-and-2083s)?_g=(refreshInterval:(display:Off,pause:!f,section:0,value:0),time:(from:'2017-10-08T14:39:46-0600',mode:absolute,to:'2017-10-08T17:22:09-0600'))&amp;_a=(columns:!('Message%20ID',Summary),filters:!(),index:'emp_*',interval:auto,query:(query_string:(analyze_wildcard:!t,query:'%22rtdc.l.rtdc.4049%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761</v>
      </c>
      <c r="B105" s="7">
        <v>4066</v>
      </c>
      <c r="C105" s="21" t="s">
        <v>194</v>
      </c>
      <c r="D105" s="21" t="s">
        <v>404</v>
      </c>
      <c r="E105" s="13">
        <v>43016.623923611114</v>
      </c>
      <c r="F105" s="13">
        <v>43016.625613425924</v>
      </c>
      <c r="G105" s="7">
        <v>52</v>
      </c>
      <c r="H105" s="21" t="s">
        <v>861</v>
      </c>
      <c r="I105" s="13">
        <v>43016.653391203705</v>
      </c>
      <c r="J105" s="7">
        <v>0</v>
      </c>
      <c r="K105" s="89" t="str">
        <f t="shared" si="38"/>
        <v>4065/4066</v>
      </c>
      <c r="L105" s="185" t="str">
        <f>VLOOKUP(A105,'Trips&amp;Operators'!$C$1:$G$99911,5,FALSE)</f>
        <v>SAFIEF AEIMEN</v>
      </c>
      <c r="M105" s="6">
        <f t="shared" si="39"/>
        <v>2.7777777781011537E-2</v>
      </c>
      <c r="N105" s="7">
        <f t="shared" si="61"/>
        <v>40.000000004656613</v>
      </c>
      <c r="O105" s="7"/>
      <c r="P105" s="7"/>
      <c r="Q105" s="22"/>
      <c r="R105" s="174"/>
      <c r="S105" s="221">
        <f t="shared" si="62"/>
        <v>1</v>
      </c>
      <c r="T105" s="174" t="str">
        <f t="shared" si="40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1"/>
        <v>https://d0f6bd738d7f1b3e5a7ca70fe4ff75f0.us-east-1.aws.found.io/app/kibana#/discover/Steve-Slow-Train-Analysis-(2080s-and-2083s)?_g=(refreshInterval:(display:Off,pause:!f,section:0,value:0),time:(from:'2017-10-08T13:58:27-0600',mode:absolute,to:'2017-10-08T16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5" s="204" t="str">
        <f>IF(AA105&lt;VLOOKUP(AG105,Variables!$AC$3:$AD$8,2,FALSE),"Y","N")</f>
        <v>N</v>
      </c>
      <c r="X105" s="204">
        <f t="shared" si="65"/>
        <v>1</v>
      </c>
      <c r="Y105" s="204">
        <f t="shared" si="63"/>
        <v>4.6699999999999998E-2</v>
      </c>
      <c r="Z105" s="204">
        <f t="shared" si="64"/>
        <v>23.333600000000001</v>
      </c>
      <c r="AA105" s="204">
        <f t="shared" si="45"/>
        <v>23.286899999999999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6"/>
        <v>191</v>
      </c>
      <c r="AE105" s="77" t="str">
        <f t="shared" si="47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105" s="74" t="str">
        <f t="shared" si="48"/>
        <v>"C:\Program Files (x86)\AstroGrep\AstroGrep.exe" /e /r /s /spath="%USERPROFILE%\AppData\Local\Temp\OnboardLogs" /stypes="app*4066*20171008*" /stext=" 21:.+((SYSTEM_STATE.+slice.+state.+changed )|(ment ac)|(multiple cpu faults)|(system.+state.+changed )|(\[timeout)|(PRM\|1\|D)|(kpr)|(kdp)|(train st.+moving)|(\|lc)|(penalty))"</v>
      </c>
      <c r="AG105" s="182" t="str">
        <f t="shared" si="49"/>
        <v>EC</v>
      </c>
      <c r="AH105" s="78" t="str">
        <f t="shared" si="50"/>
        <v>"%USERPROFILE%\Documents\GitHub\eaglep3\Utilities\RefineRTDCRunTimes.py" --tripid 191-08 --locoid 4066 --swversion DE.1.0.9.0 --startMP 204:467 --initTime 2017-10-08T14:58:27 --startdatetime 2017-10-08T15:00:53 --delay 52 --endMP 204:233336 --enddatetime 2017-10-08T15:40:53 --enforcementcount 0 &gt;&gt;%USERPROFILE%\Documents\GitHub\eaglep3-reporting\EC\2017-10-08-refined-times.txt</v>
      </c>
      <c r="AI105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{"issue":{"subject":"","project_id":79,"tracker_id":40,"status_id":1,"priority_id":2,"assigned_to_id":338,"start_date":"2017-10-08","description":"","custom_fields":[{"id":1,"name":"Subdivision","value":"EC"},{"id":4,"name":"Milepost","value":"23.3336"},{"id":17,"name":"Train ID","value":"191-08"},{"id":16,"name":"Locomotive ID","value":"4066"},{"id":130,"name":"Impact","value":""},{"id":150,"name":"Time of Event (Mountain Time)","value":"15:40:53"},{"id":151,"name":"Denver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52"/>
        <v>start /low /b %USERPROFILE%\Documents\GitHub\eaglep3\Utilities\DownloadLogsFromS3.py --loco 4066 --day 2017-10-08</v>
      </c>
      <c r="AN105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4"/>
        <v>https://d0f6bd738d7f1b3e5a7ca70fe4ff75f0.us-east-1.aws.found.io/app/kibana#/discover/Steve-Slow-Train-Analysis-(2080s-and-2083s)?_g=(refreshInterval:(display:Off,pause:!f,section:0,value:0),time:(from:'2017-10-08T13:58:27-0600',mode:absolute,to:'2017-10-08T16:40:53-0600'))&amp;_a=(columns:!('Message%20ID',Summary),filters:!(),index:'emp_*',interval:auto,query:(query_string:(analyze_wildcard:!t,query:'%22rtdc.l.rtdc.4066%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769</v>
      </c>
      <c r="B106" s="7">
        <v>4065</v>
      </c>
      <c r="C106" s="21" t="s">
        <v>194</v>
      </c>
      <c r="D106" s="21" t="s">
        <v>933</v>
      </c>
      <c r="E106" s="13">
        <v>43016.656261574077</v>
      </c>
      <c r="F106" s="13">
        <v>43016.665219907409</v>
      </c>
      <c r="G106" s="7">
        <v>91</v>
      </c>
      <c r="H106" s="21" t="s">
        <v>361</v>
      </c>
      <c r="I106" s="13">
        <v>43016.690706018519</v>
      </c>
      <c r="J106" s="7">
        <v>0</v>
      </c>
      <c r="K106" s="89" t="str">
        <f t="shared" si="38"/>
        <v>4065/4066</v>
      </c>
      <c r="L106" s="185" t="str">
        <f>VLOOKUP(A106,'Trips&amp;Operators'!$C$1:$G$99911,5,FALSE)</f>
        <v>SAFIEF AEIMEN</v>
      </c>
      <c r="M106" s="6">
        <f t="shared" si="39"/>
        <v>2.548611110978527E-2</v>
      </c>
      <c r="N106" s="7">
        <f t="shared" si="61"/>
        <v>36.699999998090789</v>
      </c>
      <c r="O106" s="7"/>
      <c r="P106" s="7"/>
      <c r="Q106" s="22"/>
      <c r="R106" s="174"/>
      <c r="S106" s="221">
        <f t="shared" si="62"/>
        <v>1</v>
      </c>
      <c r="T106" s="174" t="str">
        <f t="shared" si="40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1"/>
        <v>https://d0f6bd738d7f1b3e5a7ca70fe4ff75f0.us-east-1.aws.found.io/app/kibana#/discover/Steve-Slow-Train-Analysis-(2080s-and-2083s)?_g=(refreshInterval:(display:Off,pause:!f,section:0,value:0),time:(from:'2017-10-08T14:45:01-0600',mode:absolute,to:'2017-10-08T17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6" s="204" t="str">
        <f>IF(AA106&lt;VLOOKUP(AG106,Variables!$AC$3:$AD$8,2,FALSE),"Y","N")</f>
        <v>N</v>
      </c>
      <c r="X106" s="204">
        <f t="shared" si="65"/>
        <v>1</v>
      </c>
      <c r="Y106" s="204">
        <f t="shared" si="63"/>
        <v>23.300999999999998</v>
      </c>
      <c r="Z106" s="204">
        <f t="shared" si="64"/>
        <v>1.5599999999999999E-2</v>
      </c>
      <c r="AA106" s="204">
        <f t="shared" si="45"/>
        <v>23.285399999999999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6"/>
        <v>192</v>
      </c>
      <c r="AE106" s="77" t="str">
        <f t="shared" si="47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106" s="74" t="str">
        <f t="shared" si="48"/>
        <v>"C:\Program Files (x86)\AstroGrep\AstroGrep.exe" /e /r /s /spath="%USERPROFILE%\AppData\Local\Temp\OnboardLogs" /stypes="app*4065*20171008*" /stext=" 22:.+((SYSTEM_STATE.+slice.+state.+changed )|(ment ac)|(multiple cpu faults)|(system.+state.+changed )|(\[timeout)|(PRM\|1\|D)|(kpr)|(kdp)|(train st.+moving)|(\|lc)|(penalty))"</v>
      </c>
      <c r="AG106" s="182" t="str">
        <f t="shared" si="49"/>
        <v>EC</v>
      </c>
      <c r="AH106" s="78" t="str">
        <f t="shared" si="50"/>
        <v>"%USERPROFILE%\Documents\GitHub\eaglep3\Utilities\RefineRTDCRunTimes.py" --tripid 192-08 --locoid 4065 --swversion DE.1.0.9.0 --startMP 204:233010 --initTime 2017-10-08T15:45:01 --startdatetime 2017-10-08T15:57:55 --delay 91 --endMP 204:156 --enddatetime 2017-10-08T16:34:37 --enforcementcount 0 &gt;&gt;%USERPROFILE%\Documents\GitHub\eaglep3-reporting\EC\2017-10-08-refined-times.txt</v>
      </c>
      <c r="AI106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{"issue":{"subject":"","project_id":79,"tracker_id":40,"status_id":1,"priority_id":2,"assigned_to_id":338,"start_date":"2017-10-08","description":"","custom_fields":[{"id":1,"name":"Subdivision","value":"EC"},{"id":4,"name":"Milepost","value":"0.0156"},{"id":17,"name":"Train ID","value":"192-08"},{"id":16,"name":"Locomotive ID","value":"4065"},{"id":130,"name":"Impact","value":""},{"id":150,"name":"Time of Event (Mountain Time)","value":"16:34:37"},{"id":151,"name":"Denver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52"/>
        <v>start /low /b %USERPROFILE%\Documents\GitHub\eaglep3\Utilities\DownloadLogsFromS3.py --loco 4065 --day 2017-10-08</v>
      </c>
      <c r="AN106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4"/>
        <v>https://d0f6bd738d7f1b3e5a7ca70fe4ff75f0.us-east-1.aws.found.io/app/kibana#/discover/Steve-Slow-Train-Analysis-(2080s-and-2083s)?_g=(refreshInterval:(display:Off,pause:!f,section:0,value:0),time:(from:'2017-10-08T14:45:01-0600',mode:absolute,to:'2017-10-08T17:34:37-0600'))&amp;_a=(columns:!('Message%20ID',Summary),filters:!(),index:'emp_*',interval:auto,query:(query_string:(analyze_wildcard:!t,query:'%22rtdc.l.rtdc.4065%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764</v>
      </c>
      <c r="B107" s="7">
        <v>4060</v>
      </c>
      <c r="C107" s="21" t="s">
        <v>194</v>
      </c>
      <c r="D107" s="21" t="s">
        <v>334</v>
      </c>
      <c r="E107" s="13">
        <v>43016.632094907407</v>
      </c>
      <c r="F107" s="13">
        <v>43016.635648148149</v>
      </c>
      <c r="G107" s="7">
        <v>45</v>
      </c>
      <c r="H107" s="21" t="s">
        <v>491</v>
      </c>
      <c r="I107" s="13">
        <v>43016.660821759258</v>
      </c>
      <c r="J107" s="7">
        <v>0</v>
      </c>
      <c r="K107" s="89" t="str">
        <f t="shared" si="38"/>
        <v>4059/4060</v>
      </c>
      <c r="L107" s="185" t="str">
        <f>VLOOKUP(A107,'Trips&amp;Operators'!$C$1:$G$99911,5,FALSE)</f>
        <v>GUZMAN DANNY</v>
      </c>
      <c r="M107" s="6">
        <f t="shared" si="39"/>
        <v>2.5173611109494232E-2</v>
      </c>
      <c r="N107" s="7">
        <f t="shared" si="61"/>
        <v>36.249999997671694</v>
      </c>
      <c r="O107" s="7"/>
      <c r="P107" s="7"/>
      <c r="Q107" s="22"/>
      <c r="R107" s="174"/>
      <c r="S107" s="221">
        <f t="shared" si="62"/>
        <v>1</v>
      </c>
      <c r="T107" s="174" t="str">
        <f t="shared" si="40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1"/>
        <v>https://d0f6bd738d7f1b3e5a7ca70fe4ff75f0.us-east-1.aws.found.io/app/kibana#/discover/Steve-Slow-Train-Analysis-(2080s-and-2083s)?_g=(refreshInterval:(display:Off,pause:!f,section:0,value:0),time:(from:'2017-10-08T14:10:13-0600',mode:absolute,to:'2017-10-08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04" t="str">
        <f>IF(AA107&lt;VLOOKUP(AG107,Variables!$AC$3:$AD$8,2,FALSE),"Y","N")</f>
        <v>N</v>
      </c>
      <c r="X107" s="204">
        <f t="shared" si="65"/>
        <v>1</v>
      </c>
      <c r="Y107" s="204">
        <f t="shared" si="63"/>
        <v>4.4600000000000001E-2</v>
      </c>
      <c r="Z107" s="204">
        <f t="shared" si="64"/>
        <v>23.332799999999999</v>
      </c>
      <c r="AA107" s="204">
        <f t="shared" si="45"/>
        <v>23.2882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6"/>
        <v>193</v>
      </c>
      <c r="AE107" s="77" t="str">
        <f t="shared" si="47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107" s="74" t="str">
        <f t="shared" si="48"/>
        <v>"C:\Program Files (x86)\AstroGrep\AstroGrep.exe" /e /r /s /spath="%USERPROFILE%\AppData\Local\Temp\OnboardLogs" /stypes="app*4060*20171008*" /stext=" 21:.+((SYSTEM_STATE.+slice.+state.+changed )|(ment ac)|(multiple cpu faults)|(system.+state.+changed )|(\[timeout)|(PRM\|1\|D)|(kpr)|(kdp)|(train st.+moving)|(\|lc)|(penalty))"</v>
      </c>
      <c r="AG107" s="182" t="str">
        <f t="shared" si="49"/>
        <v>EC</v>
      </c>
      <c r="AH107" s="78" t="str">
        <f t="shared" si="50"/>
        <v>"%USERPROFILE%\Documents\GitHub\eaglep3\Utilities\RefineRTDCRunTimes.py" --tripid 193-08 --locoid 4060 --swversion DE.1.0.9.0 --startMP 204:446 --initTime 2017-10-08T15:10:13 --startdatetime 2017-10-08T15:15:20 --delay 45 --endMP 204:233328 --enddatetime 2017-10-08T15:51:35 --enforcementcount 0 &gt;&gt;%USERPROFILE%\Documents\GitHub\eaglep3-reporting\EC\2017-10-08-refined-times.txt</v>
      </c>
      <c r="AI107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{"issue":{"subject":"","project_id":79,"tracker_id":40,"status_id":1,"priority_id":2,"assigned_to_id":338,"start_date":"2017-10-08","description":"","custom_fields":[{"id":1,"name":"Subdivision","value":"EC"},{"id":4,"name":"Milepost","value":"23.3328"},{"id":17,"name":"Train ID","value":"193-08"},{"id":16,"name":"Locomotive ID","value":"4060"},{"id":130,"name":"Impact","value":""},{"id":150,"name":"Time of Event (Mountain Time)","value":"15:51:35"},{"id":151,"name":"Denver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52"/>
        <v>start /low /b %USERPROFILE%\Documents\GitHub\eaglep3\Utilities\DownloadLogsFromS3.py --loco 4060 --day 2017-10-08</v>
      </c>
      <c r="AN107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4"/>
        <v>https://d0f6bd738d7f1b3e5a7ca70fe4ff75f0.us-east-1.aws.found.io/app/kibana#/discover/Steve-Slow-Train-Analysis-(2080s-and-2083s)?_g=(refreshInterval:(display:Off,pause:!f,section:0,value:0),time:(from:'2017-10-08T14:10:13-0600',mode:absolute,to:'2017-10-08T16:51:35-0600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771</v>
      </c>
      <c r="B108" s="7">
        <v>4059</v>
      </c>
      <c r="C108" s="21" t="s">
        <v>194</v>
      </c>
      <c r="D108" s="21" t="s">
        <v>934</v>
      </c>
      <c r="E108" s="13">
        <v>43016.663460648146</v>
      </c>
      <c r="F108" s="13">
        <v>43016.675185185188</v>
      </c>
      <c r="G108" s="7">
        <v>45</v>
      </c>
      <c r="H108" s="21" t="s">
        <v>377</v>
      </c>
      <c r="I108" s="13">
        <v>43016.701307870368</v>
      </c>
      <c r="J108" s="7">
        <v>0</v>
      </c>
      <c r="K108" s="89" t="str">
        <f t="shared" si="38"/>
        <v>4059/4060</v>
      </c>
      <c r="L108" s="185" t="str">
        <f>VLOOKUP(A108,'Trips&amp;Operators'!$C$1:$G$99911,5,FALSE)</f>
        <v>GUZMAN DANNY</v>
      </c>
      <c r="M108" s="6">
        <f t="shared" si="39"/>
        <v>2.6122685179871041E-2</v>
      </c>
      <c r="N108" s="7">
        <f t="shared" si="61"/>
        <v>37.6166666590143</v>
      </c>
      <c r="O108" s="7"/>
      <c r="P108" s="7"/>
      <c r="Q108" s="22"/>
      <c r="R108" s="174"/>
      <c r="S108" s="221">
        <f t="shared" si="62"/>
        <v>1</v>
      </c>
      <c r="T108" s="174" t="str">
        <f t="shared" si="40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1"/>
        <v>https://d0f6bd738d7f1b3e5a7ca70fe4ff75f0.us-east-1.aws.found.io/app/kibana#/discover/Steve-Slow-Train-Analysis-(2080s-and-2083s)?_g=(refreshInterval:(display:Off,pause:!f,section:0,value:0),time:(from:'2017-10-08T14:55:23-0600',mode:absolute,to:'2017-10-08T17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04" t="str">
        <f>IF(AA108&lt;VLOOKUP(AG108,Variables!$AC$3:$AD$8,2,FALSE),"Y","N")</f>
        <v>N</v>
      </c>
      <c r="X108" s="204">
        <f t="shared" si="65"/>
        <v>1</v>
      </c>
      <c r="Y108" s="204">
        <f t="shared" si="63"/>
        <v>23.299800000000001</v>
      </c>
      <c r="Z108" s="204">
        <f t="shared" si="64"/>
        <v>1.54E-2</v>
      </c>
      <c r="AA108" s="204">
        <f t="shared" si="45"/>
        <v>23.284400000000002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6"/>
        <v>194</v>
      </c>
      <c r="AE108" s="77" t="str">
        <f t="shared" si="47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108" s="74" t="str">
        <f t="shared" si="48"/>
        <v>"C:\Program Files (x86)\AstroGrep\AstroGrep.exe" /e /r /s /spath="%USERPROFILE%\AppData\Local\Temp\OnboardLogs" /stypes="app*4059*20171008*" /stext=" 22:.+((SYSTEM_STATE.+slice.+state.+changed )|(ment ac)|(multiple cpu faults)|(system.+state.+changed )|(\[timeout)|(PRM\|1\|D)|(kpr)|(kdp)|(train st.+moving)|(\|lc)|(penalty))"</v>
      </c>
      <c r="AG108" s="182" t="str">
        <f t="shared" si="49"/>
        <v>EC</v>
      </c>
      <c r="AH108" s="78" t="str">
        <f t="shared" si="50"/>
        <v>"%USERPROFILE%\Documents\GitHub\eaglep3\Utilities\RefineRTDCRunTimes.py" --tripid 194-08 --locoid 4059 --swversion DE.1.0.9.0 --startMP 204:232998 --initTime 2017-10-08T15:55:23 --startdatetime 2017-10-08T16:12:16 --delay 45 --endMP 204:154 --enddatetime 2017-10-08T16:49:53 --enforcementcount 0 &gt;&gt;%USERPROFILE%\Documents\GitHub\eaglep3-reporting\EC\2017-10-08-refined-times.txt</v>
      </c>
      <c r="AI108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{"issue":{"subject":"","project_id":79,"tracker_id":40,"status_id":1,"priority_id":2,"assigned_to_id":338,"start_date":"2017-10-08","description":"","custom_fields":[{"id":1,"name":"Subdivision","value":"EC"},{"id":4,"name":"Milepost","value":"0.0154"},{"id":17,"name":"Train ID","value":"194-08"},{"id":16,"name":"Locomotive ID","value":"4059"},{"id":130,"name":"Impact","value":""},{"id":150,"name":"Time of Event (Mountain Time)","value":"16:49:53"},{"id":151,"name":"Denver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52"/>
        <v>start /low /b %USERPROFILE%\Documents\GitHub\eaglep3\Utilities\DownloadLogsFromS3.py --loco 4059 --day 2017-10-08</v>
      </c>
      <c r="AN108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4"/>
        <v>https://d0f6bd738d7f1b3e5a7ca70fe4ff75f0.us-east-1.aws.found.io/app/kibana#/discover/Steve-Slow-Train-Analysis-(2080s-and-2083s)?_g=(refreshInterval:(display:Off,pause:!f,section:0,value:0),time:(from:'2017-10-08T14:55:23-0600',mode:absolute,to:'2017-10-08T17:49:53-0600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766</v>
      </c>
      <c r="B109" s="7">
        <v>4036</v>
      </c>
      <c r="C109" s="21" t="s">
        <v>194</v>
      </c>
      <c r="D109" s="21" t="s">
        <v>935</v>
      </c>
      <c r="E109" s="13">
        <v>43016.642083333332</v>
      </c>
      <c r="F109" s="13">
        <v>43016.646192129629</v>
      </c>
      <c r="G109" s="7">
        <v>62</v>
      </c>
      <c r="H109" s="21" t="s">
        <v>936</v>
      </c>
      <c r="I109" s="13">
        <v>43016.671226851853</v>
      </c>
      <c r="J109" s="7">
        <v>0</v>
      </c>
      <c r="K109" s="89" t="str">
        <f t="shared" ref="K109:K140" si="66">IF(ISEVEN(B109),(B109-1)&amp;"/"&amp;B109,B109&amp;"/"&amp;(B109+1))</f>
        <v>4035/4036</v>
      </c>
      <c r="L109" s="185" t="str">
        <f>VLOOKUP(A109,'Trips&amp;Operators'!$C$1:$G$99911,5,FALSE)</f>
        <v>BADERTSCHER DIANE</v>
      </c>
      <c r="M109" s="6">
        <f t="shared" ref="M109:M140" si="67">I109-F109</f>
        <v>2.5034722224518191E-2</v>
      </c>
      <c r="N109" s="7">
        <f t="shared" si="61"/>
        <v>36.050000003306195</v>
      </c>
      <c r="O109" s="7"/>
      <c r="P109" s="7"/>
      <c r="Q109" s="22"/>
      <c r="R109" s="174"/>
      <c r="S109" s="221">
        <f t="shared" si="62"/>
        <v>1</v>
      </c>
      <c r="T109" s="174" t="str">
        <f t="shared" ref="T109:T140" si="68"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1"/>
        <v>https://d0f6bd738d7f1b3e5a7ca70fe4ff75f0.us-east-1.aws.found.io/app/kibana#/discover/Steve-Slow-Train-Analysis-(2080s-and-2083s)?_g=(refreshInterval:(display:Off,pause:!f,section:0,value:0),time:(from:'2017-10-08T14:24:36-0600',mode:absolute,to:'2017-10-08T17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9" s="204" t="str">
        <f>IF(AA109&lt;VLOOKUP(AG109,Variables!$AC$3:$AD$8,2,FALSE),"Y","N")</f>
        <v>N</v>
      </c>
      <c r="X109" s="204">
        <f t="shared" si="65"/>
        <v>1</v>
      </c>
      <c r="Y109" s="204">
        <f t="shared" si="63"/>
        <v>4.2000000000000003E-2</v>
      </c>
      <c r="Z109" s="204">
        <f t="shared" si="64"/>
        <v>23.331700000000001</v>
      </c>
      <c r="AA109" s="204">
        <f t="shared" ref="AA109:AA140" si="69">ABS(Z109-Y109)</f>
        <v>23.2897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ref="AD109:AD140" si="70">VALUE(LEFT(A109,LEN(A109)-3))</f>
        <v>195</v>
      </c>
      <c r="AE109" s="77" t="str">
        <f t="shared" si="47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109" s="74" t="str">
        <f t="shared" si="48"/>
        <v>"C:\Program Files (x86)\AstroGrep\AstroGrep.exe" /e /r /s /spath="%USERPROFILE%\AppData\Local\Temp\OnboardLogs" /stypes="app*4036*20171008*" /stext=" 22:.+((SYSTEM_STATE.+slice.+state.+changed )|(ment ac)|(multiple cpu faults)|(system.+state.+changed )|(\[timeout)|(PRM\|1\|D)|(kpr)|(kdp)|(train st.+moving)|(\|lc)|(penalty))"</v>
      </c>
      <c r="AG109" s="182" t="str">
        <f t="shared" ref="AG109:AG140" si="71">DetSubdiv(A109)</f>
        <v>EC</v>
      </c>
      <c r="AH109" s="78" t="str">
        <f t="shared" si="50"/>
        <v>"%USERPROFILE%\Documents\GitHub\eaglep3\Utilities\RefineRTDCRunTimes.py" --tripid 195-08 --locoid 4036 --swversion DE.1.0.9.0 --startMP 204:420 --initTime 2017-10-08T15:24:36 --startdatetime 2017-10-08T15:30:31 --delay 62 --endMP 204:233317 --enddatetime 2017-10-08T16:06:34 --enforcementcount 0 &gt;&gt;%USERPROFILE%\Documents\GitHub\eaglep3-reporting\EC\2017-10-08-refined-times.txt</v>
      </c>
      <c r="AI10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{"issue":{"subject":"","project_id":79,"tracker_id":40,"status_id":1,"priority_id":2,"assigned_to_id":338,"start_date":"2017-10-08","description":"","custom_fields":[{"id":1,"name":"Subdivision","value":"EC"},{"id":4,"name":"Milepost","value":"23.3317"},{"id":17,"name":"Train ID","value":"195-08"},{"id":16,"name":"Locomotive ID","value":"4036"},{"id":130,"name":"Impact","value":""},{"id":150,"name":"Time of Event (Mountain Time)","value":"16:06:34"},{"id":151,"name":"Denver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52"/>
        <v>start /low /b %USERPROFILE%\Documents\GitHub\eaglep3\Utilities\DownloadLogsFromS3.py --loco 4036 --day 2017-10-08</v>
      </c>
      <c r="AN109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4"/>
        <v>https://d0f6bd738d7f1b3e5a7ca70fe4ff75f0.us-east-1.aws.found.io/app/kibana#/discover/Steve-Slow-Train-Analysis-(2080s-and-2083s)?_g=(refreshInterval:(display:Off,pause:!f,section:0,value:0),time:(from:'2017-10-08T14:24:36-0600',mode:absolute,to:'2017-10-08T17:06:34-0600'))&amp;_a=(columns:!('Message%20ID',Summary),filters:!(),index:'emp_*',interval:auto,query:(query_string:(analyze_wildcard:!t,query:'%22rtdc.l.rtdc.4036%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773</v>
      </c>
      <c r="B110" s="7">
        <v>4035</v>
      </c>
      <c r="C110" s="21" t="s">
        <v>194</v>
      </c>
      <c r="D110" s="21" t="s">
        <v>432</v>
      </c>
      <c r="E110" s="13">
        <v>43016.679791666669</v>
      </c>
      <c r="F110" s="13">
        <v>43016.685590277775</v>
      </c>
      <c r="G110" s="7">
        <v>61</v>
      </c>
      <c r="H110" s="21" t="s">
        <v>937</v>
      </c>
      <c r="I110" s="13">
        <v>43016.712592592594</v>
      </c>
      <c r="J110" s="7">
        <v>0</v>
      </c>
      <c r="K110" s="89" t="str">
        <f t="shared" si="66"/>
        <v>4035/4036</v>
      </c>
      <c r="L110" s="185" t="str">
        <f>VLOOKUP(A110,'Trips&amp;Operators'!$C$1:$G$99911,5,FALSE)</f>
        <v>BADERTSCHER DIANE</v>
      </c>
      <c r="M110" s="6">
        <f t="shared" si="67"/>
        <v>2.7002314818673767E-2</v>
      </c>
      <c r="N110" s="7">
        <f t="shared" si="61"/>
        <v>38.883333338890225</v>
      </c>
      <c r="O110" s="7"/>
      <c r="P110" s="7"/>
      <c r="Q110" s="22"/>
      <c r="R110" s="174"/>
      <c r="S110" s="221">
        <f t="shared" si="62"/>
        <v>1</v>
      </c>
      <c r="T110" s="174" t="str">
        <f t="shared" si="68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1"/>
        <v>https://d0f6bd738d7f1b3e5a7ca70fe4ff75f0.us-east-1.aws.found.io/app/kibana#/discover/Steve-Slow-Train-Analysis-(2080s-and-2083s)?_g=(refreshInterval:(display:Off,pause:!f,section:0,value:0),time:(from:'2017-10-08T15:18:54-0600',mode:absolute,to:'2017-10-08T18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0" s="204" t="str">
        <f>IF(AA110&lt;VLOOKUP(AG110,Variables!$AC$3:$AD$8,2,FALSE),"Y","N")</f>
        <v>N</v>
      </c>
      <c r="X110" s="204">
        <f t="shared" si="65"/>
        <v>1</v>
      </c>
      <c r="Y110" s="204">
        <f t="shared" si="63"/>
        <v>23.300799999999999</v>
      </c>
      <c r="Z110" s="204">
        <f t="shared" si="64"/>
        <v>1.2699999999999999E-2</v>
      </c>
      <c r="AA110" s="204">
        <f t="shared" si="69"/>
        <v>23.2881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70"/>
        <v>196</v>
      </c>
      <c r="AE110" s="77" t="str">
        <f t="shared" si="47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110" s="74" t="str">
        <f t="shared" si="48"/>
        <v>"C:\Program Files (x86)\AstroGrep\AstroGrep.exe" /e /r /s /spath="%USERPROFILE%\AppData\Local\Temp\OnboardLogs" /stypes="app*4035*20171008*" /stext=" 23:.+((SYSTEM_STATE.+slice.+state.+changed )|(ment ac)|(multiple cpu faults)|(system.+state.+changed )|(\[timeout)|(PRM\|1\|D)|(kpr)|(kdp)|(train st.+moving)|(\|lc)|(penalty))"</v>
      </c>
      <c r="AG110" s="182" t="str">
        <f t="shared" si="71"/>
        <v>EC</v>
      </c>
      <c r="AH110" s="78" t="str">
        <f t="shared" si="50"/>
        <v>"%USERPROFILE%\Documents\GitHub\eaglep3\Utilities\RefineRTDCRunTimes.py" --tripid 196-08 --locoid 4035 --swversion DE.1.0.9.0 --startMP 204:233008 --initTime 2017-10-08T16:18:54 --startdatetime 2017-10-08T16:27:15 --delay 61 --endMP 204:127 --enddatetime 2017-10-08T17:06:08 --enforcementcount 0 &gt;&gt;%USERPROFILE%\Documents\GitHub\eaglep3-reporting\EC\2017-10-08-refined-times.txt</v>
      </c>
      <c r="AI11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{"issue":{"subject":"","project_id":79,"tracker_id":40,"status_id":1,"priority_id":2,"assigned_to_id":338,"start_date":"2017-10-08","description":"","custom_fields":[{"id":1,"name":"Subdivision","value":"EC"},{"id":4,"name":"Milepost","value":"0.0127"},{"id":17,"name":"Train ID","value":"196-08"},{"id":16,"name":"Locomotive ID","value":"4035"},{"id":130,"name":"Impact","value":""},{"id":150,"name":"Time of Event (Mountain Time)","value":"17:06:08"},{"id":151,"name":"Denver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52"/>
        <v>start /low /b %USERPROFILE%\Documents\GitHub\eaglep3\Utilities\DownloadLogsFromS3.py --loco 4035 --day 2017-10-08</v>
      </c>
      <c r="AN110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4"/>
        <v>https://d0f6bd738d7f1b3e5a7ca70fe4ff75f0.us-east-1.aws.found.io/app/kibana#/discover/Steve-Slow-Train-Analysis-(2080s-and-2083s)?_g=(refreshInterval:(display:Off,pause:!f,section:0,value:0),time:(from:'2017-10-08T15:18:54-0600',mode:absolute,to:'2017-10-08T18:06:08-0600'))&amp;_a=(columns:!('Message%20ID',Summary),filters:!(),index:'emp_*',interval:auto,query:(query_string:(analyze_wildcard:!t,query:'%22rtdc.l.rtdc.4035%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767</v>
      </c>
      <c r="B111" s="7">
        <v>4016</v>
      </c>
      <c r="C111" s="21" t="s">
        <v>194</v>
      </c>
      <c r="D111" s="21" t="s">
        <v>334</v>
      </c>
      <c r="E111" s="13">
        <v>43016.65216435185</v>
      </c>
      <c r="F111" s="13">
        <v>43016.656412037039</v>
      </c>
      <c r="G111" s="7">
        <v>68</v>
      </c>
      <c r="H111" s="21" t="s">
        <v>938</v>
      </c>
      <c r="I111" s="13">
        <v>43016.681793981479</v>
      </c>
      <c r="J111" s="7">
        <v>0</v>
      </c>
      <c r="K111" s="89" t="str">
        <f t="shared" si="66"/>
        <v>4015/4016</v>
      </c>
      <c r="L111" s="185" t="str">
        <f>VLOOKUP(A111,'Trips&amp;Operators'!$C$1:$G$99911,5,FALSE)</f>
        <v>BERLING GARY</v>
      </c>
      <c r="M111" s="6">
        <f t="shared" si="67"/>
        <v>2.5381944440596271E-2</v>
      </c>
      <c r="N111" s="7">
        <f t="shared" si="61"/>
        <v>36.549999994458631</v>
      </c>
      <c r="O111" s="7"/>
      <c r="P111" s="7"/>
      <c r="Q111" s="22"/>
      <c r="R111" s="174"/>
      <c r="S111" s="221">
        <f t="shared" si="62"/>
        <v>1</v>
      </c>
      <c r="T111" s="174" t="str">
        <f t="shared" si="68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1"/>
        <v>https://d0f6bd738d7f1b3e5a7ca70fe4ff75f0.us-east-1.aws.found.io/app/kibana#/discover/Steve-Slow-Train-Analysis-(2080s-and-2083s)?_g=(refreshInterval:(display:Off,pause:!f,section:0,value:0),time:(from:'2017-10-08T14:39:07-0600',mode:absolute,to:'2017-10-08T17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204" t="str">
        <f>IF(AA111&lt;VLOOKUP(AG111,Variables!$AC$3:$AD$8,2,FALSE),"Y","N")</f>
        <v>N</v>
      </c>
      <c r="X111" s="204">
        <f t="shared" si="65"/>
        <v>1</v>
      </c>
      <c r="Y111" s="204">
        <f t="shared" si="63"/>
        <v>4.4600000000000001E-2</v>
      </c>
      <c r="Z111" s="204">
        <f t="shared" si="64"/>
        <v>23.331600000000002</v>
      </c>
      <c r="AA111" s="204">
        <f t="shared" si="69"/>
        <v>23.287000000000003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70"/>
        <v>197</v>
      </c>
      <c r="AE111" s="77" t="str">
        <f t="shared" si="47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11" s="74" t="str">
        <f t="shared" si="48"/>
        <v>"C:\Program Files (x86)\AstroGrep\AstroGrep.exe" /e /r /s /spath="%USERPROFILE%\AppData\Local\Temp\OnboardLogs" /stypes="app*4016*20171008*" /stext=" 22:.+((SYSTEM_STATE.+slice.+state.+changed )|(ment ac)|(multiple cpu faults)|(system.+state.+changed )|(\[timeout)|(PRM\|1\|D)|(kpr)|(kdp)|(train st.+moving)|(\|lc)|(penalty))"</v>
      </c>
      <c r="AG111" s="182" t="str">
        <f t="shared" si="71"/>
        <v>EC</v>
      </c>
      <c r="AH111" s="78" t="str">
        <f t="shared" si="50"/>
        <v>"%USERPROFILE%\Documents\GitHub\eaglep3\Utilities\RefineRTDCRunTimes.py" --tripid 197-08 --locoid 4016 --swversion DE.1.0.9.0 --startMP 204:446 --initTime 2017-10-08T15:39:07 --startdatetime 2017-10-08T15:45:14 --delay 68 --endMP 204:233316 --enddatetime 2017-10-08T16:21:47 --enforcementcount 0 &gt;&gt;%USERPROFILE%\Documents\GitHub\eaglep3-reporting\EC\2017-10-08-refined-times.txt</v>
      </c>
      <c r="AI111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{"issue":{"subject":"","project_id":79,"tracker_id":40,"status_id":1,"priority_id":2,"assigned_to_id":338,"start_date":"2017-10-08","description":"","custom_fields":[{"id":1,"name":"Subdivision","value":"EC"},{"id":4,"name":"Milepost","value":"23.3316"},{"id":17,"name":"Train ID","value":"197-08"},{"id":16,"name":"Locomotive ID","value":"4016"},{"id":130,"name":"Impact","value":""},{"id":150,"name":"Time of Event (Mountain Time)","value":"16:21:47"},{"id":151,"name":"Denver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52"/>
        <v>start /low /b %USERPROFILE%\Documents\GitHub\eaglep3\Utilities\DownloadLogsFromS3.py --loco 4016 --day 2017-10-08</v>
      </c>
      <c r="AN111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4"/>
        <v>https://d0f6bd738d7f1b3e5a7ca70fe4ff75f0.us-east-1.aws.found.io/app/kibana#/discover/Steve-Slow-Train-Analysis-(2080s-and-2083s)?_g=(refreshInterval:(display:Off,pause:!f,section:0,value:0),time:(from:'2017-10-08T14:39:07-0600',mode:absolute,to:'2017-10-08T17:21:47-0600'))&amp;_a=(columns:!('Message%20ID',Summary),filters:!(),index:'emp_*',interval:auto,query:(query_string:(analyze_wildcard:!t,query:'%22rtdc.l.rtdc.4016%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605</v>
      </c>
      <c r="B112" s="7">
        <v>4015</v>
      </c>
      <c r="C112" s="21" t="s">
        <v>194</v>
      </c>
      <c r="D112" s="21" t="s">
        <v>934</v>
      </c>
      <c r="E112" s="13">
        <v>43016.691331018519</v>
      </c>
      <c r="F112" s="13">
        <v>43016.696157407408</v>
      </c>
      <c r="G112" s="7">
        <v>112</v>
      </c>
      <c r="H112" s="21" t="s">
        <v>339</v>
      </c>
      <c r="I112" s="13">
        <v>43016.724733796298</v>
      </c>
      <c r="J112" s="7">
        <v>0</v>
      </c>
      <c r="K112" s="89" t="str">
        <f t="shared" si="66"/>
        <v>4015/4016</v>
      </c>
      <c r="L112" s="185" t="str">
        <f>VLOOKUP(A112,'Trips&amp;Operators'!$C$1:$G$99911,5,FALSE)</f>
        <v>BERLING GARY</v>
      </c>
      <c r="M112" s="6">
        <f t="shared" si="67"/>
        <v>2.8576388889632653E-2</v>
      </c>
      <c r="N112" s="7">
        <f t="shared" si="61"/>
        <v>41.150000001071021</v>
      </c>
      <c r="O112" s="7"/>
      <c r="P112" s="7"/>
      <c r="Q112" s="22"/>
      <c r="R112" s="174"/>
      <c r="S112" s="221">
        <f t="shared" si="62"/>
        <v>1</v>
      </c>
      <c r="T112" s="174" t="str">
        <f t="shared" si="68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1"/>
        <v>https://d0f6bd738d7f1b3e5a7ca70fe4ff75f0.us-east-1.aws.found.io/app/kibana#/discover/Steve-Slow-Train-Analysis-(2080s-and-2083s)?_g=(refreshInterval:(display:Off,pause:!f,section:0,value:0),time:(from:'2017-10-08T15:35:31-0600',mode:absolute,to:'2017-10-08T18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204" t="str">
        <f>IF(AA112&lt;VLOOKUP(AG112,Variables!$AC$3:$AD$8,2,FALSE),"Y","N")</f>
        <v>N</v>
      </c>
      <c r="X112" s="204">
        <f t="shared" si="65"/>
        <v>1</v>
      </c>
      <c r="Y112" s="204">
        <f t="shared" si="63"/>
        <v>23.299800000000001</v>
      </c>
      <c r="Z112" s="204">
        <f t="shared" si="64"/>
        <v>1.41E-2</v>
      </c>
      <c r="AA112" s="204">
        <f t="shared" si="69"/>
        <v>23.285700000000002</v>
      </c>
      <c r="AB112" s="54" t="str">
        <f>VLOOKUP(A112,Enforcements!$C$7:$K$11,8,0)</f>
        <v>Bulletin (2)</v>
      </c>
      <c r="AC112" s="51" t="str">
        <f>VLOOKUP(A112,Enforcements!$C$7:$E$11,3,0)</f>
        <v>GRADE CROSSING</v>
      </c>
      <c r="AD112" s="179">
        <f t="shared" si="70"/>
        <v>198</v>
      </c>
      <c r="AE112" s="77" t="str">
        <f t="shared" si="47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12" s="74" t="str">
        <f t="shared" si="48"/>
        <v>"C:\Program Files (x86)\AstroGrep\AstroGrep.exe" /e /r /s /spath="%USERPROFILE%\AppData\Local\Temp\OnboardLogs" /stypes="app*4015*20171008*" /stext=" 23:.+((SYSTEM_STATE.+slice.+state.+changed )|(ment ac)|(multiple cpu faults)|(system.+state.+changed )|(\[timeout)|(PRM\|1\|D)|(kpr)|(kdp)|(train st.+moving)|(\|lc)|(penalty))"</v>
      </c>
      <c r="AG112" s="182" t="str">
        <f t="shared" si="71"/>
        <v>EC</v>
      </c>
      <c r="AH112" s="78" t="str">
        <f t="shared" si="50"/>
        <v>"%USERPROFILE%\Documents\GitHub\eaglep3\Utilities\RefineRTDCRunTimes.py" --tripid 198-08 --locoid 4015 --swversion DE.1.0.9.0 --startMP 204:232998 --initTime 2017-10-08T16:35:31 --startdatetime 2017-10-08T16:42:28 --delay 112 --endMP 204:141 --enddatetime 2017-10-08T17:23:37 --enforcementcount 0 &gt;&gt;%USERPROFILE%\Documents\GitHub\eaglep3-reporting\EC\2017-10-08-refined-times.txt</v>
      </c>
      <c r="AI112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{"issue":{"subject":"","project_id":79,"tracker_id":40,"status_id":1,"priority_id":2,"assigned_to_id":338,"start_date":"2017-10-08","description":"","custom_fields":[{"id":1,"name":"Subdivision","value":"EC"},{"id":4,"name":"Milepost","value":"0.0141"},{"id":17,"name":"Train ID","value":"198-08"},{"id":16,"name":"Locomotive ID","value":"4015"},{"id":130,"name":"Impact","value":""},{"id":150,"name":"Time of Event (Mountain Time)","value":"17:23:37"},{"id":151,"name":"Denver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52"/>
        <v>start /low /b %USERPROFILE%\Documents\GitHub\eaglep3\Utilities\DownloadLogsFromS3.py --loco 4015 --day 2017-10-08</v>
      </c>
      <c r="AN112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4"/>
        <v>https://d0f6bd738d7f1b3e5a7ca70fe4ff75f0.us-east-1.aws.found.io/app/kibana#/discover/Steve-Slow-Train-Analysis-(2080s-and-2083s)?_g=(refreshInterval:(display:Off,pause:!f,section:0,value:0),time:(from:'2017-10-08T15:35:31-0600',mode:absolute,to:'2017-10-08T18:23:37-0600'))&amp;_a=(columns:!('Message%20ID',Summary),filters:!(),index:'emp_*',interval:auto,query:(query_string:(analyze_wildcard:!t,query:'%22rtdc.l.rtdc.4015%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770</v>
      </c>
      <c r="B113" s="7">
        <v>4002</v>
      </c>
      <c r="C113" s="21" t="s">
        <v>194</v>
      </c>
      <c r="D113" s="21" t="s">
        <v>569</v>
      </c>
      <c r="E113" s="13">
        <v>43016.662604166668</v>
      </c>
      <c r="F113" s="13">
        <v>43016.666863425926</v>
      </c>
      <c r="G113" s="7">
        <v>58</v>
      </c>
      <c r="H113" s="21" t="s">
        <v>481</v>
      </c>
      <c r="I113" s="13">
        <v>43016.691932870373</v>
      </c>
      <c r="J113" s="7">
        <v>0</v>
      </c>
      <c r="K113" s="89" t="str">
        <f t="shared" si="66"/>
        <v>4001/4002</v>
      </c>
      <c r="L113" s="185" t="str">
        <f>VLOOKUP(A113,'Trips&amp;Operators'!$C$1:$G$99911,5,FALSE)</f>
        <v>STEWART MICHAEL</v>
      </c>
      <c r="M113" s="6">
        <f t="shared" si="67"/>
        <v>2.5069444447581191E-2</v>
      </c>
      <c r="N113" s="7">
        <f t="shared" si="61"/>
        <v>36.100000004516914</v>
      </c>
      <c r="O113" s="7"/>
      <c r="P113" s="7"/>
      <c r="Q113" s="22"/>
      <c r="R113" s="174"/>
      <c r="S113" s="221">
        <f t="shared" si="62"/>
        <v>1</v>
      </c>
      <c r="T113" s="174" t="str">
        <f t="shared" si="68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1"/>
        <v>https://d0f6bd738d7f1b3e5a7ca70fe4ff75f0.us-east-1.aws.found.io/app/kibana#/discover/Steve-Slow-Train-Analysis-(2080s-and-2083s)?_g=(refreshInterval:(display:Off,pause:!f,section:0,value:0),time:(from:'2017-10-08T14:54:09-0600',mode:absolute,to:'2017-10-08T17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204" t="str">
        <f>IF(AA113&lt;VLOOKUP(AG113,Variables!$AC$3:$AD$8,2,FALSE),"Y","N")</f>
        <v>N</v>
      </c>
      <c r="X113" s="204">
        <f t="shared" si="65"/>
        <v>1</v>
      </c>
      <c r="Y113" s="204">
        <f t="shared" si="63"/>
        <v>4.6399999999999997E-2</v>
      </c>
      <c r="Z113" s="204">
        <f t="shared" si="64"/>
        <v>23.327999999999999</v>
      </c>
      <c r="AA113" s="204">
        <f t="shared" si="69"/>
        <v>23.281600000000001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70"/>
        <v>199</v>
      </c>
      <c r="AE113" s="77" t="str">
        <f t="shared" si="47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113" s="74" t="str">
        <f t="shared" si="48"/>
        <v>"C:\Program Files (x86)\AstroGrep\AstroGrep.exe" /e /r /s /spath="%USERPROFILE%\AppData\Local\Temp\OnboardLogs" /stypes="app*4002*20171008*" /stext=" 22:.+((SYSTEM_STATE.+slice.+state.+changed )|(ment ac)|(multiple cpu faults)|(system.+state.+changed )|(\[timeout)|(PRM\|1\|D)|(kpr)|(kdp)|(train st.+moving)|(\|lc)|(penalty))"</v>
      </c>
      <c r="AG113" s="182" t="str">
        <f t="shared" si="71"/>
        <v>EC</v>
      </c>
      <c r="AH113" s="78" t="str">
        <f t="shared" si="50"/>
        <v>"%USERPROFILE%\Documents\GitHub\eaglep3\Utilities\RefineRTDCRunTimes.py" --tripid 199-08 --locoid 4002 --swversion DE.1.0.9.0 --startMP 204:464 --initTime 2017-10-08T15:54:09 --startdatetime 2017-10-08T16:00:17 --delay 58 --endMP 204:233280 --enddatetime 2017-10-08T16:36:23 --enforcementcount 0 &gt;&gt;%USERPROFILE%\Documents\GitHub\eaglep3-reporting\EC\2017-10-08-refined-times.txt</v>
      </c>
      <c r="AI113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{"issue":{"subject":"","project_id":79,"tracker_id":40,"status_id":1,"priority_id":2,"assigned_to_id":338,"start_date":"2017-10-08","description":"","custom_fields":[{"id":1,"name":"Subdivision","value":"EC"},{"id":4,"name":"Milepost","value":"23.328"},{"id":17,"name":"Train ID","value":"199-08"},{"id":16,"name":"Locomotive ID","value":"4002"},{"id":130,"name":"Impact","value":""},{"id":150,"name":"Time of Event (Mountain Time)","value":"16:36:23"},{"id":151,"name":"Denver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52"/>
        <v>start /low /b %USERPROFILE%\Documents\GitHub\eaglep3\Utilities\DownloadLogsFromS3.py --loco 4002 --day 2017-10-08</v>
      </c>
      <c r="AN113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4"/>
        <v>https://d0f6bd738d7f1b3e5a7ca70fe4ff75f0.us-east-1.aws.found.io/app/kibana#/discover/Steve-Slow-Train-Analysis-(2080s-and-2083s)?_g=(refreshInterval:(display:Off,pause:!f,section:0,value:0),time:(from:'2017-10-08T14:54:09-0600',mode:absolute,to:'2017-10-08T17:36:23-0600'))&amp;_a=(columns:!('Message%20ID',Summary),filters:!(),index:'emp_*',interval:auto,query:(query_string:(analyze_wildcard:!t,query:'%22rtdc.l.rtdc.4002%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777</v>
      </c>
      <c r="B114" s="7">
        <v>4001</v>
      </c>
      <c r="C114" s="21" t="s">
        <v>194</v>
      </c>
      <c r="D114" s="21" t="s">
        <v>853</v>
      </c>
      <c r="E114" s="13">
        <v>43016.701817129629</v>
      </c>
      <c r="F114" s="13">
        <v>43016.706458333334</v>
      </c>
      <c r="G114" s="7">
        <v>57</v>
      </c>
      <c r="H114" s="21" t="s">
        <v>860</v>
      </c>
      <c r="I114" s="13">
        <v>43016.733761574076</v>
      </c>
      <c r="J114" s="7">
        <v>0</v>
      </c>
      <c r="K114" s="89" t="str">
        <f t="shared" si="66"/>
        <v>4001/4002</v>
      </c>
      <c r="L114" s="185" t="str">
        <f>VLOOKUP(A114,'Trips&amp;Operators'!$C$1:$G$99911,5,FALSE)</f>
        <v>STEWART MICHAEL</v>
      </c>
      <c r="M114" s="6">
        <f t="shared" si="67"/>
        <v>2.7303240742185153E-2</v>
      </c>
      <c r="N114" s="7">
        <f t="shared" si="61"/>
        <v>39.31666666874662</v>
      </c>
      <c r="O114" s="7"/>
      <c r="P114" s="7"/>
      <c r="Q114" s="22"/>
      <c r="R114" s="174"/>
      <c r="S114" s="221">
        <f t="shared" si="62"/>
        <v>1</v>
      </c>
      <c r="T114" s="174" t="str">
        <f t="shared" si="68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1"/>
        <v>https://d0f6bd738d7f1b3e5a7ca70fe4ff75f0.us-east-1.aws.found.io/app/kibana#/discover/Steve-Slow-Train-Analysis-(2080s-and-2083s)?_g=(refreshInterval:(display:Off,pause:!f,section:0,value:0),time:(from:'2017-10-08T15:50:37-0600',mode:absolute,to:'2017-10-08T18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204" t="str">
        <f>IF(AA114&lt;VLOOKUP(AG114,Variables!$AC$3:$AD$8,2,FALSE),"Y","N")</f>
        <v>N</v>
      </c>
      <c r="X114" s="204">
        <f t="shared" si="65"/>
        <v>1</v>
      </c>
      <c r="Y114" s="204">
        <f t="shared" si="63"/>
        <v>23.295500000000001</v>
      </c>
      <c r="Z114" s="204">
        <f t="shared" si="64"/>
        <v>1.7399999999999999E-2</v>
      </c>
      <c r="AA114" s="204">
        <f t="shared" si="69"/>
        <v>23.278100000000002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70"/>
        <v>200</v>
      </c>
      <c r="AE114" s="77" t="str">
        <f t="shared" si="47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14" s="74" t="str">
        <f t="shared" si="48"/>
        <v>"C:\Program Files (x86)\AstroGrep\AstroGrep.exe" /e /r /s /spath="%USERPROFILE%\AppData\Local\Temp\OnboardLogs" /stypes="app*4001*20171008*" /stext=" 23:.+((SYSTEM_STATE.+slice.+state.+changed )|(ment ac)|(multiple cpu faults)|(system.+state.+changed )|(\[timeout)|(PRM\|1\|D)|(kpr)|(kdp)|(train st.+moving)|(\|lc)|(penalty))"</v>
      </c>
      <c r="AG114" s="182" t="str">
        <f t="shared" si="71"/>
        <v>EC</v>
      </c>
      <c r="AH114" s="78" t="str">
        <f t="shared" si="50"/>
        <v>"%USERPROFILE%\Documents\GitHub\eaglep3\Utilities\RefineRTDCRunTimes.py" --tripid 200-08 --locoid 4001 --swversion DE.1.0.9.0 --startMP 204:232955 --initTime 2017-10-08T16:50:37 --startdatetime 2017-10-08T16:57:18 --delay 57 --endMP 204:174 --enddatetime 2017-10-08T17:36:37 --enforcementcount 0 &gt;&gt;%USERPROFILE%\Documents\GitHub\eaglep3-reporting\EC\2017-10-08-refined-times.txt</v>
      </c>
      <c r="AI114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{"issue":{"subject":"","project_id":79,"tracker_id":40,"status_id":1,"priority_id":2,"assigned_to_id":338,"start_date":"2017-10-08","description":"","custom_fields":[{"id":1,"name":"Subdivision","value":"EC"},{"id":4,"name":"Milepost","value":"0.0174"},{"id":17,"name":"Train ID","value":"200-08"},{"id":16,"name":"Locomotive ID","value":"4001"},{"id":130,"name":"Impact","value":""},{"id":150,"name":"Time of Event (Mountain Time)","value":"17:36:37"},{"id":151,"name":"Denver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52"/>
        <v>start /low /b %USERPROFILE%\Documents\GitHub\eaglep3\Utilities\DownloadLogsFromS3.py --loco 4001 --day 2017-10-08</v>
      </c>
      <c r="AN114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4"/>
        <v>https://d0f6bd738d7f1b3e5a7ca70fe4ff75f0.us-east-1.aws.found.io/app/kibana#/discover/Steve-Slow-Train-Analysis-(2080s-and-2083s)?_g=(refreshInterval:(display:Off,pause:!f,section:0,value:0),time:(from:'2017-10-08T15:50:37-0600',mode:absolute,to:'2017-10-08T18:36:37-0600'))&amp;_a=(columns:!('Message%20ID',Summary),filters:!(),index:'emp_*',interval:auto,query:(query_string:(analyze_wildcard:!t,query:'%22rtdc.l.rtdc.4001%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772</v>
      </c>
      <c r="B115" s="7">
        <v>4006</v>
      </c>
      <c r="C115" s="21" t="s">
        <v>194</v>
      </c>
      <c r="D115" s="21" t="s">
        <v>859</v>
      </c>
      <c r="E115" s="13">
        <v>43016.671689814815</v>
      </c>
      <c r="F115" s="13">
        <v>43016.677314814813</v>
      </c>
      <c r="G115" s="7">
        <v>74</v>
      </c>
      <c r="H115" s="21" t="s">
        <v>901</v>
      </c>
      <c r="I115" s="13">
        <v>43016.702557870369</v>
      </c>
      <c r="J115" s="7">
        <v>0</v>
      </c>
      <c r="K115" s="89" t="str">
        <f t="shared" si="66"/>
        <v>4005/4006</v>
      </c>
      <c r="L115" s="185" t="str">
        <f>VLOOKUP(A115,'Trips&amp;Operators'!$C$1:$G$99911,5,FALSE)</f>
        <v>SMITH MICHAEL</v>
      </c>
      <c r="M115" s="6">
        <f t="shared" si="67"/>
        <v>2.5243055555620231E-2</v>
      </c>
      <c r="N115" s="7">
        <f t="shared" si="61"/>
        <v>36.350000000093132</v>
      </c>
      <c r="O115" s="7"/>
      <c r="P115" s="7"/>
      <c r="Q115" s="22"/>
      <c r="R115" s="174"/>
      <c r="S115" s="221">
        <f t="shared" si="62"/>
        <v>1</v>
      </c>
      <c r="T115" s="174" t="str">
        <f t="shared" si="68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1"/>
        <v>https://d0f6bd738d7f1b3e5a7ca70fe4ff75f0.us-east-1.aws.found.io/app/kibana#/discover/Steve-Slow-Train-Analysis-(2080s-and-2083s)?_g=(refreshInterval:(display:Off,pause:!f,section:0,value:0),time:(from:'2017-10-08T15:07:14-0600',mode:absolute,to:'2017-10-08T17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5" s="204" t="str">
        <f>IF(AA115&lt;VLOOKUP(AG115,Variables!$AC$3:$AD$8,2,FALSE),"Y","N")</f>
        <v>N</v>
      </c>
      <c r="X115" s="204">
        <f t="shared" si="65"/>
        <v>1</v>
      </c>
      <c r="Y115" s="204">
        <f t="shared" si="63"/>
        <v>4.7800000000000002E-2</v>
      </c>
      <c r="Z115" s="204">
        <f t="shared" si="64"/>
        <v>23.3307</v>
      </c>
      <c r="AA115" s="204">
        <f t="shared" si="69"/>
        <v>23.282900000000001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70"/>
        <v>201</v>
      </c>
      <c r="AE115" s="77" t="str">
        <f t="shared" si="47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115" s="74" t="str">
        <f t="shared" si="48"/>
        <v>"C:\Program Files (x86)\AstroGrep\AstroGrep.exe" /e /r /s /spath="%USERPROFILE%\AppData\Local\Temp\OnboardLogs" /stypes="app*4006*20171008*" /stext=" 22:.+((SYSTEM_STATE.+slice.+state.+changed )|(ment ac)|(multiple cpu faults)|(system.+state.+changed )|(\[timeout)|(PRM\|1\|D)|(kpr)|(kdp)|(train st.+moving)|(\|lc)|(penalty))"</v>
      </c>
      <c r="AG115" s="182" t="str">
        <f t="shared" si="71"/>
        <v>EC</v>
      </c>
      <c r="AH115" s="78" t="str">
        <f t="shared" si="50"/>
        <v>"%USERPROFILE%\Documents\GitHub\eaglep3\Utilities\RefineRTDCRunTimes.py" --tripid 201-08 --locoid 4006 --swversion DE.1.0.9.0 --startMP 204:478 --initTime 2017-10-08T16:07:14 --startdatetime 2017-10-08T16:15:20 --delay 74 --endMP 204:233307 --enddatetime 2017-10-08T16:51:41 --enforcementcount 0 &gt;&gt;%USERPROFILE%\Documents\GitHub\eaglep3-reporting\EC\2017-10-08-refined-times.txt</v>
      </c>
      <c r="AI115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{"issue":{"subject":"","project_id":79,"tracker_id":40,"status_id":1,"priority_id":2,"assigned_to_id":338,"start_date":"2017-10-08","description":"","custom_fields":[{"id":1,"name":"Subdivision","value":"EC"},{"id":4,"name":"Milepost","value":"23.3307"},{"id":17,"name":"Train ID","value":"201-08"},{"id":16,"name":"Locomotive ID","value":"4006"},{"id":130,"name":"Impact","value":""},{"id":150,"name":"Time of Event (Mountain Time)","value":"16:51:41"},{"id":151,"name":"Denver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52"/>
        <v>start /low /b %USERPROFILE%\Documents\GitHub\eaglep3\Utilities\DownloadLogsFromS3.py --loco 4006 --day 2017-10-08</v>
      </c>
      <c r="AN115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4"/>
        <v>https://d0f6bd738d7f1b3e5a7ca70fe4ff75f0.us-east-1.aws.found.io/app/kibana#/discover/Steve-Slow-Train-Analysis-(2080s-and-2083s)?_g=(refreshInterval:(display:Off,pause:!f,section:0,value:0),time:(from:'2017-10-08T15:07:14-0600',mode:absolute,to:'2017-10-08T17:51:41-0600'))&amp;_a=(columns:!('Message%20ID',Summary),filters:!(),index:'emp_*',interval:auto,query:(query_string:(analyze_wildcard:!t,query:'%22rtdc.l.rtdc.4006%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779</v>
      </c>
      <c r="B116" s="7">
        <v>4005</v>
      </c>
      <c r="C116" s="21" t="s">
        <v>194</v>
      </c>
      <c r="D116" s="21" t="s">
        <v>384</v>
      </c>
      <c r="E116" s="13">
        <v>43016.711608796293</v>
      </c>
      <c r="F116" s="13">
        <v>43016.717187499999</v>
      </c>
      <c r="G116" s="7">
        <v>67</v>
      </c>
      <c r="H116" s="21" t="s">
        <v>335</v>
      </c>
      <c r="I116" s="13">
        <v>43016.742488425924</v>
      </c>
      <c r="J116" s="7">
        <v>0</v>
      </c>
      <c r="K116" s="89" t="str">
        <f t="shared" si="66"/>
        <v>4005/4006</v>
      </c>
      <c r="L116" s="185" t="str">
        <f>VLOOKUP(A116,'Trips&amp;Operators'!$C$1:$G$99911,5,FALSE)</f>
        <v>SMITH MICHAEL</v>
      </c>
      <c r="M116" s="6">
        <f t="shared" si="67"/>
        <v>2.5300925924966577E-2</v>
      </c>
      <c r="N116" s="7">
        <f t="shared" si="61"/>
        <v>36.433333331951872</v>
      </c>
      <c r="O116" s="7"/>
      <c r="P116" s="7"/>
      <c r="Q116" s="22"/>
      <c r="R116" s="174"/>
      <c r="S116" s="221">
        <f t="shared" si="62"/>
        <v>1</v>
      </c>
      <c r="T116" s="174" t="str">
        <f t="shared" si="68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1"/>
        <v>https://d0f6bd738d7f1b3e5a7ca70fe4ff75f0.us-east-1.aws.found.io/app/kibana#/discover/Steve-Slow-Train-Analysis-(2080s-and-2083s)?_g=(refreshInterval:(display:Off,pause:!f,section:0,value:0),time:(from:'2017-10-08T16:04:43-0600',mode:absolute,to:'2017-10-08T18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6" s="204" t="str">
        <f>IF(AA116&lt;VLOOKUP(AG116,Variables!$AC$3:$AD$8,2,FALSE),"Y","N")</f>
        <v>N</v>
      </c>
      <c r="X116" s="204">
        <f t="shared" si="65"/>
        <v>1</v>
      </c>
      <c r="Y116" s="204">
        <f t="shared" si="63"/>
        <v>23.298200000000001</v>
      </c>
      <c r="Z116" s="204">
        <f t="shared" si="64"/>
        <v>1.4999999999999999E-2</v>
      </c>
      <c r="AA116" s="204">
        <f t="shared" si="69"/>
        <v>23.283200000000001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70"/>
        <v>202</v>
      </c>
      <c r="AE116" s="77" t="str">
        <f t="shared" si="47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116" s="74" t="str">
        <f t="shared" si="48"/>
        <v>"C:\Program Files (x86)\AstroGrep\AstroGrep.exe" /e /r /s /spath="%USERPROFILE%\AppData\Local\Temp\OnboardLogs" /stypes="app*4005*20171008*" /stext=" 23:.+((SYSTEM_STATE.+slice.+state.+changed )|(ment ac)|(multiple cpu faults)|(system.+state.+changed )|(\[timeout)|(PRM\|1\|D)|(kpr)|(kdp)|(train st.+moving)|(\|lc)|(penalty))"</v>
      </c>
      <c r="AG116" s="182" t="str">
        <f t="shared" si="71"/>
        <v>EC</v>
      </c>
      <c r="AH116" s="78" t="str">
        <f t="shared" si="50"/>
        <v>"%USERPROFILE%\Documents\GitHub\eaglep3\Utilities\RefineRTDCRunTimes.py" --tripid 202-08 --locoid 4005 --swversion DE.1.0.9.0 --startMP 204:232982 --initTime 2017-10-08T17:04:43 --startdatetime 2017-10-08T17:12:45 --delay 67 --endMP 204:150 --enddatetime 2017-10-08T17:49:11 --enforcementcount 0 &gt;&gt;%USERPROFILE%\Documents\GitHub\eaglep3-reporting\EC\2017-10-08-refined-times.txt</v>
      </c>
      <c r="AI116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{"issue":{"subject":"","project_id":79,"tracker_id":40,"status_id":1,"priority_id":2,"assigned_to_id":338,"start_date":"2017-10-08","description":"","custom_fields":[{"id":1,"name":"Subdivision","value":"EC"},{"id":4,"name":"Milepost","value":"0.015"},{"id":17,"name":"Train ID","value":"202-08"},{"id":16,"name":"Locomotive ID","value":"4005"},{"id":130,"name":"Impact","value":""},{"id":150,"name":"Time of Event (Mountain Time)","value":"17:49:11"},{"id":151,"name":"Denver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52"/>
        <v>start /low /b %USERPROFILE%\Documents\GitHub\eaglep3\Utilities\DownloadLogsFromS3.py --loco 4005 --day 2017-10-08</v>
      </c>
      <c r="AN116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4"/>
        <v>https://d0f6bd738d7f1b3e5a7ca70fe4ff75f0.us-east-1.aws.found.io/app/kibana#/discover/Steve-Slow-Train-Analysis-(2080s-and-2083s)?_g=(refreshInterval:(display:Off,pause:!f,section:0,value:0),time:(from:'2017-10-08T16:04:43-0600',mode:absolute,to:'2017-10-08T18:49:11-0600'))&amp;_a=(columns:!('Message%20ID',Summary),filters:!(),index:'emp_*',interval:auto,query:(query_string:(analyze_wildcard:!t,query:'%22rtdc.l.rtdc.4005%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607</v>
      </c>
      <c r="B117" s="7">
        <v>4050</v>
      </c>
      <c r="C117" s="21" t="s">
        <v>194</v>
      </c>
      <c r="D117" s="21" t="s">
        <v>379</v>
      </c>
      <c r="E117" s="13">
        <v>43016.685532407406</v>
      </c>
      <c r="F117" s="13">
        <v>43016.688252314816</v>
      </c>
      <c r="G117" s="7">
        <v>64</v>
      </c>
      <c r="H117" s="21" t="s">
        <v>564</v>
      </c>
      <c r="I117" s="13">
        <v>43016.713645833333</v>
      </c>
      <c r="J117" s="7">
        <v>0</v>
      </c>
      <c r="K117" s="89" t="str">
        <f t="shared" si="66"/>
        <v>4049/4050</v>
      </c>
      <c r="L117" s="185" t="str">
        <f>VLOOKUP(A117,'Trips&amp;Operators'!$C$1:$G$99911,5,FALSE)</f>
        <v>DAVIS MICHAEL</v>
      </c>
      <c r="M117" s="6">
        <f t="shared" si="67"/>
        <v>2.5393518517375924E-2</v>
      </c>
      <c r="N117" s="7">
        <f t="shared" si="61"/>
        <v>36.56666666502133</v>
      </c>
      <c r="O117" s="7"/>
      <c r="P117" s="7"/>
      <c r="Q117" s="22"/>
      <c r="R117" s="174"/>
      <c r="S117" s="221">
        <f t="shared" si="62"/>
        <v>1</v>
      </c>
      <c r="T117" s="174" t="str">
        <f t="shared" si="68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1"/>
        <v>https://d0f6bd738d7f1b3e5a7ca70fe4ff75f0.us-east-1.aws.found.io/app/kibana#/discover/Steve-Slow-Train-Analysis-(2080s-and-2083s)?_g=(refreshInterval:(display:Off,pause:!f,section:0,value:0),time:(from:'2017-10-08T15:27:10-0600',mode:absolute,to:'2017-10-08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7" s="204" t="str">
        <f>IF(AA117&lt;VLOOKUP(AG117,Variables!$AC$3:$AD$8,2,FALSE),"Y","N")</f>
        <v>N</v>
      </c>
      <c r="X117" s="204">
        <f t="shared" si="65"/>
        <v>1</v>
      </c>
      <c r="Y117" s="204">
        <f t="shared" si="63"/>
        <v>4.4699999999999997E-2</v>
      </c>
      <c r="Z117" s="204">
        <f t="shared" si="64"/>
        <v>23.3338</v>
      </c>
      <c r="AA117" s="204">
        <f t="shared" si="69"/>
        <v>23.289100000000001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70"/>
        <v>203</v>
      </c>
      <c r="AE117" s="77" t="str">
        <f t="shared" si="47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17" s="74" t="str">
        <f t="shared" si="48"/>
        <v>"C:\Program Files (x86)\AstroGrep\AstroGrep.exe" /e /r /s /spath="%USERPROFILE%\AppData\Local\Temp\OnboardLogs" /stypes="app*4050*20171008*" /stext=" 23:.+((SYSTEM_STATE.+slice.+state.+changed )|(ment ac)|(multiple cpu faults)|(system.+state.+changed )|(\[timeout)|(PRM\|1\|D)|(kpr)|(kdp)|(train st.+moving)|(\|lc)|(penalty))"</v>
      </c>
      <c r="AG117" s="182" t="str">
        <f t="shared" si="71"/>
        <v>EC</v>
      </c>
      <c r="AH117" s="78" t="str">
        <f t="shared" si="50"/>
        <v>"%USERPROFILE%\Documents\GitHub\eaglep3\Utilities\RefineRTDCRunTimes.py" --tripid 203-08 --locoid 4050 --swversion DE.1.0.9.0 --startMP 204:447 --initTime 2017-10-08T16:27:10 --startdatetime 2017-10-08T16:31:05 --delay 64 --endMP 204:233338 --enddatetime 2017-10-08T17:07:39 --enforcementcount 0 &gt;&gt;%USERPROFILE%\Documents\GitHub\eaglep3-reporting\EC\2017-10-08-refined-times.txt</v>
      </c>
      <c r="AI117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{"issue":{"subject":"","project_id":79,"tracker_id":40,"status_id":1,"priority_id":2,"assigned_to_id":338,"start_date":"2017-10-08","description":"","custom_fields":[{"id":1,"name":"Subdivision","value":"EC"},{"id":4,"name":"Milepost","value":"23.3338"},{"id":17,"name":"Train ID","value":"203-08"},{"id":16,"name":"Locomotive ID","value":"4050"},{"id":130,"name":"Impact","value":""},{"id":150,"name":"Time of Event (Mountain Time)","value":"17:07:39"},{"id":151,"name":"Denver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52"/>
        <v>start /low /b %USERPROFILE%\Documents\GitHub\eaglep3\Utilities\DownloadLogsFromS3.py --loco 4050 --day 2017-10-08</v>
      </c>
      <c r="AN117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4"/>
        <v>https://d0f6bd738d7f1b3e5a7ca70fe4ff75f0.us-east-1.aws.found.io/app/kibana#/discover/Steve-Slow-Train-Analysis-(2080s-and-2083s)?_g=(refreshInterval:(display:Off,pause:!f,section:0,value:0),time:(from:'2017-10-08T15:27:10-0600',mode:absolute,to:'2017-10-08T18:07:39-0600'))&amp;_a=(columns:!('Message%20ID',Summary),filters:!(),index:'emp_*',interval:auto,query:(query_string:(analyze_wildcard:!t,query:'%22rtdc.l.rtdc.4050%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784</v>
      </c>
      <c r="B118" s="7">
        <v>4049</v>
      </c>
      <c r="C118" s="21" t="s">
        <v>194</v>
      </c>
      <c r="D118" s="21" t="s">
        <v>415</v>
      </c>
      <c r="E118" s="13">
        <v>43016.725046296298</v>
      </c>
      <c r="F118" s="13">
        <v>43016.727638888886</v>
      </c>
      <c r="G118" s="7">
        <v>96</v>
      </c>
      <c r="H118" s="21" t="s">
        <v>356</v>
      </c>
      <c r="I118" s="13">
        <v>43016.754861111112</v>
      </c>
      <c r="J118" s="7">
        <v>0</v>
      </c>
      <c r="K118" s="89" t="str">
        <f t="shared" si="66"/>
        <v>4049/4050</v>
      </c>
      <c r="L118" s="185" t="str">
        <f>VLOOKUP(A118,'Trips&amp;Operators'!$C$1:$G$99911,5,FALSE)</f>
        <v>DAVIS MICHAEL</v>
      </c>
      <c r="M118" s="6">
        <f t="shared" si="67"/>
        <v>2.7222222226555459E-2</v>
      </c>
      <c r="N118" s="7">
        <f t="shared" si="61"/>
        <v>39.200000006239861</v>
      </c>
      <c r="O118" s="7"/>
      <c r="P118" s="7"/>
      <c r="Q118" s="22"/>
      <c r="R118" s="174"/>
      <c r="S118" s="221">
        <f t="shared" si="62"/>
        <v>1</v>
      </c>
      <c r="T118" s="174" t="str">
        <f t="shared" si="68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1"/>
        <v>https://d0f6bd738d7f1b3e5a7ca70fe4ff75f0.us-east-1.aws.found.io/app/kibana#/discover/Steve-Slow-Train-Analysis-(2080s-and-2083s)?_g=(refreshInterval:(display:Off,pause:!f,section:0,value:0),time:(from:'2017-10-08T16:24:04-0600',mode:absolute,to:'2017-10-08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8" s="204" t="str">
        <f>IF(AA118&lt;VLOOKUP(AG118,Variables!$AC$3:$AD$8,2,FALSE),"Y","N")</f>
        <v>N</v>
      </c>
      <c r="X118" s="204">
        <f t="shared" si="65"/>
        <v>1</v>
      </c>
      <c r="Y118" s="204">
        <f t="shared" si="63"/>
        <v>23.3002</v>
      </c>
      <c r="Z118" s="204">
        <f t="shared" si="64"/>
        <v>1.52E-2</v>
      </c>
      <c r="AA118" s="204">
        <f t="shared" si="69"/>
        <v>23.285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70"/>
        <v>204</v>
      </c>
      <c r="AE118" s="77" t="str">
        <f t="shared" si="47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118" s="74" t="str">
        <f t="shared" si="48"/>
        <v>"C:\Program Files (x86)\AstroGrep\AstroGrep.exe" /e /r /s /spath="%USERPROFILE%\AppData\Local\Temp\OnboardLogs" /stypes="app*4049*20171009*" /stext=" 00:.+((SYSTEM_STATE.+slice.+state.+changed )|(ment ac)|(multiple cpu faults)|(system.+state.+changed )|(\[timeout)|(PRM\|1\|D)|(kpr)|(kdp)|(train st.+moving)|(\|lc)|(penalty))"</v>
      </c>
      <c r="AG118" s="182" t="str">
        <f t="shared" si="71"/>
        <v>EC</v>
      </c>
      <c r="AH118" s="78" t="str">
        <f t="shared" si="50"/>
        <v>"%USERPROFILE%\Documents\GitHub\eaglep3\Utilities\RefineRTDCRunTimes.py" --tripid 204-08 --locoid 4049 --swversion DE.1.0.9.0 --startMP 204:233002 --initTime 2017-10-08T17:24:04 --startdatetime 2017-10-08T17:27:48 --delay 96 --endMP 204:152 --enddatetime 2017-10-08T18:07:00 --enforcementcount 0 &gt;&gt;%USERPROFILE%\Documents\GitHub\eaglep3-reporting\EC\2017-10-08-refined-times.txt</v>
      </c>
      <c r="AI118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{"issue":{"subject":"","project_id":79,"tracker_id":40,"status_id":1,"priority_id":2,"assigned_to_id":338,"start_date":"2017-10-08","description":"","custom_fields":[{"id":1,"name":"Subdivision","value":"EC"},{"id":4,"name":"Milepost","value":"0.0152"},{"id":17,"name":"Train ID","value":"204-08"},{"id":16,"name":"Locomotive ID","value":"4049"},{"id":130,"name":"Impact","value":""},{"id":150,"name":"Time of Event (Mountain Time)","value":"18:07:00"},{"id":151,"name":"Denver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52"/>
        <v>start /low /b %USERPROFILE%\Documents\GitHub\eaglep3\Utilities\DownloadLogsFromS3.py --loco 4049 --day 2017-10-08</v>
      </c>
      <c r="AN118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4"/>
        <v>https://d0f6bd738d7f1b3e5a7ca70fe4ff75f0.us-east-1.aws.found.io/app/kibana#/discover/Steve-Slow-Train-Analysis-(2080s-and-2083s)?_g=(refreshInterval:(display:Off,pause:!f,section:0,value:0),time:(from:'2017-10-08T16:24:04-0600',mode:absolute,to:'2017-10-08T19:07:00-0600'))&amp;_a=(columns:!('Message%20ID',Summary),filters:!(),index:'emp_*',interval:auto,query:(query_string:(analyze_wildcard:!t,query:'%22rtdc.l.rtdc.4049%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776</v>
      </c>
      <c r="B119" s="7">
        <v>4066</v>
      </c>
      <c r="C119" s="21" t="s">
        <v>194</v>
      </c>
      <c r="D119" s="21" t="s">
        <v>378</v>
      </c>
      <c r="E119" s="13">
        <v>43016.693159722221</v>
      </c>
      <c r="F119" s="13">
        <v>43016.698530092595</v>
      </c>
      <c r="G119" s="7">
        <v>81</v>
      </c>
      <c r="H119" s="21" t="s">
        <v>446</v>
      </c>
      <c r="I119" s="13">
        <v>43016.723182870373</v>
      </c>
      <c r="J119" s="7">
        <v>0</v>
      </c>
      <c r="K119" s="89" t="str">
        <f t="shared" si="66"/>
        <v>4065/4066</v>
      </c>
      <c r="L119" s="185" t="str">
        <f>VLOOKUP(A119,'Trips&amp;Operators'!$C$1:$G$99911,5,FALSE)</f>
        <v>SAFIEF AEIMEN</v>
      </c>
      <c r="M119" s="6">
        <f t="shared" si="67"/>
        <v>2.4652777778101154E-2</v>
      </c>
      <c r="N119" s="7">
        <f t="shared" si="61"/>
        <v>35.500000000465661</v>
      </c>
      <c r="O119" s="7"/>
      <c r="P119" s="7"/>
      <c r="Q119" s="22"/>
      <c r="R119" s="174"/>
      <c r="S119" s="221">
        <f t="shared" si="62"/>
        <v>1</v>
      </c>
      <c r="T119" s="174" t="str">
        <f t="shared" si="68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1"/>
        <v>https://d0f6bd738d7f1b3e5a7ca70fe4ff75f0.us-east-1.aws.found.io/app/kibana#/discover/Steve-Slow-Train-Analysis-(2080s-and-2083s)?_g=(refreshInterval:(display:Off,pause:!f,section:0,value:0),time:(from:'2017-10-08T15:38:09-0600',mode:absolute,to:'2017-10-08T18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9" s="204" t="str">
        <f>IF(AA119&lt;VLOOKUP(AG119,Variables!$AC$3:$AD$8,2,FALSE),"Y","N")</f>
        <v>N</v>
      </c>
      <c r="X119" s="204">
        <f t="shared" si="65"/>
        <v>1</v>
      </c>
      <c r="Y119" s="204">
        <f t="shared" si="63"/>
        <v>4.6600000000000003E-2</v>
      </c>
      <c r="Z119" s="204">
        <f t="shared" si="64"/>
        <v>23.331800000000001</v>
      </c>
      <c r="AA119" s="204">
        <f t="shared" si="69"/>
        <v>23.2852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70"/>
        <v>205</v>
      </c>
      <c r="AE119" s="77" t="str">
        <f t="shared" si="47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119" s="74" t="str">
        <f t="shared" si="48"/>
        <v>"C:\Program Files (x86)\AstroGrep\AstroGrep.exe" /e /r /s /spath="%USERPROFILE%\AppData\Local\Temp\OnboardLogs" /stypes="app*4066*20171008*" /stext=" 23:.+((SYSTEM_STATE.+slice.+state.+changed )|(ment ac)|(multiple cpu faults)|(system.+state.+changed )|(\[timeout)|(PRM\|1\|D)|(kpr)|(kdp)|(train st.+moving)|(\|lc)|(penalty))"</v>
      </c>
      <c r="AG119" s="182" t="str">
        <f t="shared" si="71"/>
        <v>EC</v>
      </c>
      <c r="AH119" s="78" t="str">
        <f t="shared" si="50"/>
        <v>"%USERPROFILE%\Documents\GitHub\eaglep3\Utilities\RefineRTDCRunTimes.py" --tripid 205-08 --locoid 4066 --swversion DE.1.0.9.0 --startMP 204:466 --initTime 2017-10-08T16:38:09 --startdatetime 2017-10-08T16:45:53 --delay 81 --endMP 204:233318 --enddatetime 2017-10-08T17:21:23 --enforcementcount 0 &gt;&gt;%USERPROFILE%\Documents\GitHub\eaglep3-reporting\EC\2017-10-08-refined-times.txt</v>
      </c>
      <c r="AI11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{"issue":{"subject":"","project_id":79,"tracker_id":40,"status_id":1,"priority_id":2,"assigned_to_id":338,"start_date":"2017-10-08","description":"","custom_fields":[{"id":1,"name":"Subdivision","value":"EC"},{"id":4,"name":"Milepost","value":"23.3318"},{"id":17,"name":"Train ID","value":"205-08"},{"id":16,"name":"Locomotive ID","value":"4066"},{"id":130,"name":"Impact","value":""},{"id":150,"name":"Time of Event (Mountain Time)","value":"17:21:23"},{"id":151,"name":"Denver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52"/>
        <v>start /low /b %USERPROFILE%\Documents\GitHub\eaglep3\Utilities\DownloadLogsFromS3.py --loco 4066 --day 2017-10-08</v>
      </c>
      <c r="AN119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4"/>
        <v>https://d0f6bd738d7f1b3e5a7ca70fe4ff75f0.us-east-1.aws.found.io/app/kibana#/discover/Steve-Slow-Train-Analysis-(2080s-and-2083s)?_g=(refreshInterval:(display:Off,pause:!f,section:0,value:0),time:(from:'2017-10-08T15:38:09-0600',mode:absolute,to:'2017-10-08T18:21:23-0600'))&amp;_a=(columns:!('Message%20ID',Summary),filters:!(),index:'emp_*',interval:auto,query:(query_string:(analyze_wildcard:!t,query:'%22rtdc.l.rtdc.4066%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783</v>
      </c>
      <c r="B120" s="7">
        <v>4065</v>
      </c>
      <c r="C120" s="21" t="s">
        <v>194</v>
      </c>
      <c r="D120" s="21" t="s">
        <v>939</v>
      </c>
      <c r="E120" s="13">
        <v>43016.724953703706</v>
      </c>
      <c r="F120" s="13">
        <v>43016.73810185185</v>
      </c>
      <c r="G120" s="7">
        <v>58</v>
      </c>
      <c r="H120" s="21" t="s">
        <v>337</v>
      </c>
      <c r="I120" s="13">
        <v>43016.763599537036</v>
      </c>
      <c r="J120" s="7">
        <v>0</v>
      </c>
      <c r="K120" s="89" t="str">
        <f t="shared" si="66"/>
        <v>4065/4066</v>
      </c>
      <c r="L120" s="185" t="str">
        <f>VLOOKUP(A120,'Trips&amp;Operators'!$C$1:$G$99911,5,FALSE)</f>
        <v>SAFIEF AEIMEN</v>
      </c>
      <c r="M120" s="6">
        <f t="shared" si="67"/>
        <v>2.5497685186564922E-2</v>
      </c>
      <c r="N120" s="7">
        <f t="shared" si="61"/>
        <v>36.716666668653488</v>
      </c>
      <c r="O120" s="7"/>
      <c r="P120" s="7"/>
      <c r="Q120" s="22"/>
      <c r="R120" s="174"/>
      <c r="S120" s="221">
        <f t="shared" si="62"/>
        <v>1</v>
      </c>
      <c r="T120" s="174" t="str">
        <f t="shared" si="68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1"/>
        <v>https://d0f6bd738d7f1b3e5a7ca70fe4ff75f0.us-east-1.aws.found.io/app/kibana#/discover/Steve-Slow-Train-Analysis-(2080s-and-2083s)?_g=(refreshInterval:(display:Off,pause:!f,section:0,value:0),time:(from:'2017-10-08T16:23:56-0600',mode:absolute,to:'2017-10-08T19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0" s="204" t="str">
        <f>IF(AA120&lt;VLOOKUP(AG120,Variables!$AC$3:$AD$8,2,FALSE),"Y","N")</f>
        <v>N</v>
      </c>
      <c r="X120" s="204">
        <f t="shared" si="65"/>
        <v>1</v>
      </c>
      <c r="Y120" s="204">
        <f t="shared" si="63"/>
        <v>23.299600000000002</v>
      </c>
      <c r="Z120" s="204">
        <f t="shared" si="64"/>
        <v>1.43E-2</v>
      </c>
      <c r="AA120" s="204">
        <f t="shared" si="69"/>
        <v>23.285300000000003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70"/>
        <v>206</v>
      </c>
      <c r="AE120" s="77" t="str">
        <f t="shared" si="47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120" s="74" t="str">
        <f t="shared" si="48"/>
        <v>"C:\Program Files (x86)\AstroGrep\AstroGrep.exe" /e /r /s /spath="%USERPROFILE%\AppData\Local\Temp\OnboardLogs" /stypes="app*4065*20171009*" /stext=" 00:.+((SYSTEM_STATE.+slice.+state.+changed )|(ment ac)|(multiple cpu faults)|(system.+state.+changed )|(\[timeout)|(PRM\|1\|D)|(kpr)|(kdp)|(train st.+moving)|(\|lc)|(penalty))"</v>
      </c>
      <c r="AG120" s="182" t="str">
        <f t="shared" si="71"/>
        <v>EC</v>
      </c>
      <c r="AH120" s="78" t="str">
        <f t="shared" si="50"/>
        <v>"%USERPROFILE%\Documents\GitHub\eaglep3\Utilities\RefineRTDCRunTimes.py" --tripid 206-08 --locoid 4065 --swversion DE.1.0.9.0 --startMP 204:232996 --initTime 2017-10-08T17:23:56 --startdatetime 2017-10-08T17:42:52 --delay 58 --endMP 204:143 --enddatetime 2017-10-08T18:19:35 --enforcementcount 0 &gt;&gt;%USERPROFILE%\Documents\GitHub\eaglep3-reporting\EC\2017-10-08-refined-times.txt</v>
      </c>
      <c r="AI12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{"issue":{"subject":"","project_id":79,"tracker_id":40,"status_id":1,"priority_id":2,"assigned_to_id":338,"start_date":"2017-10-08","description":"","custom_fields":[{"id":1,"name":"Subdivision","value":"EC"},{"id":4,"name":"Milepost","value":"0.0143"},{"id":17,"name":"Train ID","value":"206-08"},{"id":16,"name":"Locomotive ID","value":"4065"},{"id":130,"name":"Impact","value":""},{"id":150,"name":"Time of Event (Mountain Time)","value":"18:19:35"},{"id":151,"name":"Denver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52"/>
        <v>start /low /b %USERPROFILE%\Documents\GitHub\eaglep3\Utilities\DownloadLogsFromS3.py --loco 4065 --day 2017-10-08</v>
      </c>
      <c r="AN120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4"/>
        <v>https://d0f6bd738d7f1b3e5a7ca70fe4ff75f0.us-east-1.aws.found.io/app/kibana#/discover/Steve-Slow-Train-Analysis-(2080s-and-2083s)?_g=(refreshInterval:(display:Off,pause:!f,section:0,value:0),time:(from:'2017-10-08T16:23:56-0600',mode:absolute,to:'2017-10-08T19:19:35-0600'))&amp;_a=(columns:!('Message%20ID',Summary),filters:!(),index:'emp_*',interval:auto,query:(query_string:(analyze_wildcard:!t,query:'%22rtdc.l.rtdc.4065%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778</v>
      </c>
      <c r="B121" s="7">
        <v>4060</v>
      </c>
      <c r="C121" s="21" t="s">
        <v>194</v>
      </c>
      <c r="D121" s="21" t="s">
        <v>569</v>
      </c>
      <c r="E121" s="13">
        <v>43016.704861111109</v>
      </c>
      <c r="F121" s="13">
        <v>43016.708495370367</v>
      </c>
      <c r="G121" s="7">
        <v>56</v>
      </c>
      <c r="H121" s="21" t="s">
        <v>940</v>
      </c>
      <c r="I121" s="13">
        <v>43016.733703703707</v>
      </c>
      <c r="J121" s="7">
        <v>0</v>
      </c>
      <c r="K121" s="89" t="str">
        <f t="shared" si="66"/>
        <v>4059/4060</v>
      </c>
      <c r="L121" s="185" t="str">
        <f>VLOOKUP(A121,'Trips&amp;Operators'!$C$1:$G$99911,5,FALSE)</f>
        <v>GUZMAN DANNY</v>
      </c>
      <c r="M121" s="6">
        <f t="shared" si="67"/>
        <v>2.5208333339833189E-2</v>
      </c>
      <c r="N121" s="7">
        <f t="shared" si="61"/>
        <v>36.300000009359792</v>
      </c>
      <c r="O121" s="7"/>
      <c r="P121" s="7"/>
      <c r="Q121" s="22"/>
      <c r="R121" s="174"/>
      <c r="S121" s="221">
        <f t="shared" si="62"/>
        <v>1</v>
      </c>
      <c r="T121" s="174" t="str">
        <f t="shared" si="68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1"/>
        <v>https://d0f6bd738d7f1b3e5a7ca70fe4ff75f0.us-east-1.aws.found.io/app/kibana#/discover/Steve-Slow-Train-Analysis-(2080s-and-2083s)?_g=(refreshInterval:(display:Off,pause:!f,section:0,value:0),time:(from:'2017-10-08T15:55:00-0600',mode:absolute,to:'2017-10-08T18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04" t="str">
        <f>IF(AA121&lt;VLOOKUP(AG121,Variables!$AC$3:$AD$8,2,FALSE),"Y","N")</f>
        <v>N</v>
      </c>
      <c r="X121" s="204">
        <f t="shared" si="65"/>
        <v>1</v>
      </c>
      <c r="Y121" s="204">
        <f t="shared" si="63"/>
        <v>4.6399999999999997E-2</v>
      </c>
      <c r="Z121" s="204">
        <f t="shared" si="64"/>
        <v>23.332899999999999</v>
      </c>
      <c r="AA121" s="204">
        <f t="shared" si="69"/>
        <v>23.2865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70"/>
        <v>207</v>
      </c>
      <c r="AE121" s="77" t="str">
        <f t="shared" si="47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121" s="74" t="str">
        <f t="shared" si="48"/>
        <v>"C:\Program Files (x86)\AstroGrep\AstroGrep.exe" /e /r /s /spath="%USERPROFILE%\AppData\Local\Temp\OnboardLogs" /stypes="app*4060*20171008*" /stext=" 23:.+((SYSTEM_STATE.+slice.+state.+changed )|(ment ac)|(multiple cpu faults)|(system.+state.+changed )|(\[timeout)|(PRM\|1\|D)|(kpr)|(kdp)|(train st.+moving)|(\|lc)|(penalty))"</v>
      </c>
      <c r="AG121" s="182" t="str">
        <f t="shared" si="71"/>
        <v>EC</v>
      </c>
      <c r="AH121" s="78" t="str">
        <f t="shared" si="50"/>
        <v>"%USERPROFILE%\Documents\GitHub\eaglep3\Utilities\RefineRTDCRunTimes.py" --tripid 207-08 --locoid 4060 --swversion DE.1.0.9.0 --startMP 204:464 --initTime 2017-10-08T16:55:00 --startdatetime 2017-10-08T17:00:14 --delay 56 --endMP 204:233329 --enddatetime 2017-10-08T17:36:32 --enforcementcount 0 &gt;&gt;%USERPROFILE%\Documents\GitHub\eaglep3-reporting\EC\2017-10-08-refined-times.txt</v>
      </c>
      <c r="AI121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{"issue":{"subject":"","project_id":79,"tracker_id":40,"status_id":1,"priority_id":2,"assigned_to_id":338,"start_date":"2017-10-08","description":"","custom_fields":[{"id":1,"name":"Subdivision","value":"EC"},{"id":4,"name":"Milepost","value":"23.3329"},{"id":17,"name":"Train ID","value":"207-08"},{"id":16,"name":"Locomotive ID","value":"4060"},{"id":130,"name":"Impact","value":""},{"id":150,"name":"Time of Event (Mountain Time)","value":"17:36:32"},{"id":151,"name":"Denver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52"/>
        <v>start /low /b %USERPROFILE%\Documents\GitHub\eaglep3\Utilities\DownloadLogsFromS3.py --loco 4060 --day 2017-10-08</v>
      </c>
      <c r="AN121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4"/>
        <v>https://d0f6bd738d7f1b3e5a7ca70fe4ff75f0.us-east-1.aws.found.io/app/kibana#/discover/Steve-Slow-Train-Analysis-(2080s-and-2083s)?_g=(refreshInterval:(display:Off,pause:!f,section:0,value:0),time:(from:'2017-10-08T15:55:00-0600',mode:absolute,to:'2017-10-08T18:36:32-0600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786</v>
      </c>
      <c r="B122" s="7">
        <v>4059</v>
      </c>
      <c r="C122" s="21" t="s">
        <v>194</v>
      </c>
      <c r="D122" s="21" t="s">
        <v>862</v>
      </c>
      <c r="E122" s="13">
        <v>43016.736446759256</v>
      </c>
      <c r="F122" s="13">
        <v>43016.748090277775</v>
      </c>
      <c r="G122" s="7">
        <v>47</v>
      </c>
      <c r="H122" s="21" t="s">
        <v>423</v>
      </c>
      <c r="I122" s="13">
        <v>43016.773888888885</v>
      </c>
      <c r="J122" s="7">
        <v>0</v>
      </c>
      <c r="K122" s="89" t="str">
        <f t="shared" si="66"/>
        <v>4059/4060</v>
      </c>
      <c r="L122" s="185" t="str">
        <f>VLOOKUP(A122,'Trips&amp;Operators'!$C$1:$G$99911,5,FALSE)</f>
        <v>GUZMAN DANNY</v>
      </c>
      <c r="M122" s="6">
        <f t="shared" si="67"/>
        <v>2.5798611110076308E-2</v>
      </c>
      <c r="N122" s="7">
        <f t="shared" si="61"/>
        <v>37.149999998509884</v>
      </c>
      <c r="O122" s="7"/>
      <c r="P122" s="7"/>
      <c r="Q122" s="22"/>
      <c r="R122" s="174"/>
      <c r="S122" s="221">
        <f t="shared" si="62"/>
        <v>1</v>
      </c>
      <c r="T122" s="174" t="str">
        <f t="shared" si="68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1"/>
        <v>https://d0f6bd738d7f1b3e5a7ca70fe4ff75f0.us-east-1.aws.found.io/app/kibana#/discover/Steve-Slow-Train-Analysis-(2080s-and-2083s)?_g=(refreshInterval:(display:Off,pause:!f,section:0,value:0),time:(from:'2017-10-08T16:40:29-0600',mode:absolute,to:'2017-10-08T19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04" t="str">
        <f>IF(AA122&lt;VLOOKUP(AG122,Variables!$AC$3:$AD$8,2,FALSE),"Y","N")</f>
        <v>N</v>
      </c>
      <c r="X122" s="204">
        <f t="shared" si="65"/>
        <v>1</v>
      </c>
      <c r="Y122" s="204">
        <f t="shared" si="63"/>
        <v>23.301500000000001</v>
      </c>
      <c r="Z122" s="204">
        <f t="shared" si="64"/>
        <v>1.6E-2</v>
      </c>
      <c r="AA122" s="204">
        <f t="shared" si="69"/>
        <v>23.285500000000003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70"/>
        <v>208</v>
      </c>
      <c r="AE122" s="77" t="str">
        <f t="shared" si="47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122" s="74" t="str">
        <f t="shared" si="48"/>
        <v>"C:\Program Files (x86)\AstroGrep\AstroGrep.exe" /e /r /s /spath="%USERPROFILE%\AppData\Local\Temp\OnboardLogs" /stypes="app*4059*20171009*" /stext=" 00:.+((SYSTEM_STATE.+slice.+state.+changed )|(ment ac)|(multiple cpu faults)|(system.+state.+changed )|(\[timeout)|(PRM\|1\|D)|(kpr)|(kdp)|(train st.+moving)|(\|lc)|(penalty))"</v>
      </c>
      <c r="AG122" s="182" t="str">
        <f t="shared" si="71"/>
        <v>EC</v>
      </c>
      <c r="AH122" s="78" t="str">
        <f t="shared" si="50"/>
        <v>"%USERPROFILE%\Documents\GitHub\eaglep3\Utilities\RefineRTDCRunTimes.py" --tripid 208-08 --locoid 4059 --swversion DE.1.0.9.0 --startMP 204:233015 --initTime 2017-10-08T17:40:29 --startdatetime 2017-10-08T17:57:15 --delay 47 --endMP 204:160 --enddatetime 2017-10-08T18:34:24 --enforcementcount 0 &gt;&gt;%USERPROFILE%\Documents\GitHub\eaglep3-reporting\EC\2017-10-08-refined-times.txt</v>
      </c>
      <c r="AI122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{"issue":{"subject":"","project_id":79,"tracker_id":40,"status_id":1,"priority_id":2,"assigned_to_id":338,"start_date":"2017-10-08","description":"","custom_fields":[{"id":1,"name":"Subdivision","value":"EC"},{"id":4,"name":"Milepost","value":"0.016"},{"id":17,"name":"Train ID","value":"208-08"},{"id":16,"name":"Locomotive ID","value":"4059"},{"id":130,"name":"Impact","value":""},{"id":150,"name":"Time of Event (Mountain Time)","value":"18:34:24"},{"id":151,"name":"Denver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52"/>
        <v>start /low /b %USERPROFILE%\Documents\GitHub\eaglep3\Utilities\DownloadLogsFromS3.py --loco 4059 --day 2017-10-08</v>
      </c>
      <c r="AN122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4"/>
        <v>https://d0f6bd738d7f1b3e5a7ca70fe4ff75f0.us-east-1.aws.found.io/app/kibana#/discover/Steve-Slow-Train-Analysis-(2080s-and-2083s)?_g=(refreshInterval:(display:Off,pause:!f,section:0,value:0),time:(from:'2017-10-08T16:40:29-0600',mode:absolute,to:'2017-10-08T19:34:24-0600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780</v>
      </c>
      <c r="B123" s="7">
        <v>4036</v>
      </c>
      <c r="C123" s="21" t="s">
        <v>194</v>
      </c>
      <c r="D123" s="21" t="s">
        <v>569</v>
      </c>
      <c r="E123" s="13">
        <v>43016.714942129627</v>
      </c>
      <c r="F123" s="13">
        <v>43016.7190625</v>
      </c>
      <c r="G123" s="7">
        <v>109</v>
      </c>
      <c r="H123" s="21" t="s">
        <v>557</v>
      </c>
      <c r="I123" s="13">
        <v>43016.743831018517</v>
      </c>
      <c r="J123" s="7">
        <v>0</v>
      </c>
      <c r="K123" s="89" t="str">
        <f t="shared" si="66"/>
        <v>4035/4036</v>
      </c>
      <c r="L123" s="185" t="str">
        <f>VLOOKUP(A123,'Trips&amp;Operators'!$C$1:$G$99911,5,FALSE)</f>
        <v>STAMBAUGH JAMES</v>
      </c>
      <c r="M123" s="6">
        <f t="shared" si="67"/>
        <v>2.4768518516793847E-2</v>
      </c>
      <c r="N123" s="7">
        <f t="shared" si="61"/>
        <v>35.66666666418314</v>
      </c>
      <c r="O123" s="7"/>
      <c r="P123" s="7"/>
      <c r="Q123" s="22"/>
      <c r="R123" s="174"/>
      <c r="S123" s="221">
        <f t="shared" si="62"/>
        <v>1</v>
      </c>
      <c r="T123" s="174" t="str">
        <f t="shared" si="68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1"/>
        <v>https://d0f6bd738d7f1b3e5a7ca70fe4ff75f0.us-east-1.aws.found.io/app/kibana#/discover/Steve-Slow-Train-Analysis-(2080s-and-2083s)?_g=(refreshInterval:(display:Off,pause:!f,section:0,value:0),time:(from:'2017-10-08T16:09:31-0600',mode:absolute,to:'2017-10-08T18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3" s="204" t="str">
        <f>IF(AA123&lt;VLOOKUP(AG123,Variables!$AC$3:$AD$8,2,FALSE),"Y","N")</f>
        <v>N</v>
      </c>
      <c r="X123" s="204">
        <f t="shared" si="65"/>
        <v>1</v>
      </c>
      <c r="Y123" s="204">
        <f t="shared" si="63"/>
        <v>4.6399999999999997E-2</v>
      </c>
      <c r="Z123" s="204">
        <f t="shared" si="64"/>
        <v>23.3309</v>
      </c>
      <c r="AA123" s="204">
        <f t="shared" si="69"/>
        <v>23.284500000000001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70"/>
        <v>209</v>
      </c>
      <c r="AE123" s="77" t="str">
        <f t="shared" si="47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123" s="74" t="str">
        <f t="shared" si="48"/>
        <v>"C:\Program Files (x86)\AstroGrep\AstroGrep.exe" /e /r /s /spath="%USERPROFILE%\AppData\Local\Temp\OnboardLogs" /stypes="app*4036*20171008*" /stext=" 23:.+((SYSTEM_STATE.+slice.+state.+changed )|(ment ac)|(multiple cpu faults)|(system.+state.+changed )|(\[timeout)|(PRM\|1\|D)|(kpr)|(kdp)|(train st.+moving)|(\|lc)|(penalty))"</v>
      </c>
      <c r="AG123" s="182" t="str">
        <f t="shared" si="71"/>
        <v>EC</v>
      </c>
      <c r="AH123" s="78" t="str">
        <f t="shared" si="50"/>
        <v>"%USERPROFILE%\Documents\GitHub\eaglep3\Utilities\RefineRTDCRunTimes.py" --tripid 209-08 --locoid 4036 --swversion DE.1.0.9.0 --startMP 204:464 --initTime 2017-10-08T17:09:31 --startdatetime 2017-10-08T17:15:27 --delay 109 --endMP 204:233309 --enddatetime 2017-10-08T17:51:07 --enforcementcount 0 &gt;&gt;%USERPROFILE%\Documents\GitHub\eaglep3-reporting\EC\2017-10-08-refined-times.txt</v>
      </c>
      <c r="AI123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{"issue":{"subject":"","project_id":79,"tracker_id":40,"status_id":1,"priority_id":2,"assigned_to_id":338,"start_date":"2017-10-08","description":"","custom_fields":[{"id":1,"name":"Subdivision","value":"EC"},{"id":4,"name":"Milepost","value":"23.3309"},{"id":17,"name":"Train ID","value":"209-08"},{"id":16,"name":"Locomotive ID","value":"4036"},{"id":130,"name":"Impact","value":""},{"id":150,"name":"Time of Event (Mountain Time)","value":"17:51:07"},{"id":151,"name":"Denver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52"/>
        <v>start /low /b %USERPROFILE%\Documents\GitHub\eaglep3\Utilities\DownloadLogsFromS3.py --loco 4036 --day 2017-10-08</v>
      </c>
      <c r="AN123" s="151" t="str">
        <f t="shared" si="5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4"/>
        <v>https://d0f6bd738d7f1b3e5a7ca70fe4ff75f0.us-east-1.aws.found.io/app/kibana#/discover/Steve-Slow-Train-Analysis-(2080s-and-2083s)?_g=(refreshInterval:(display:Off,pause:!f,section:0,value:0),time:(from:'2017-10-08T16:09:31-0600',mode:absolute,to:'2017-10-08T18:51:07-0600'))&amp;_a=(columns:!('Message%20ID',Summary),filters:!(),index:'emp_*',interval:auto,query:(query_string:(analyze_wildcard:!t,query:'%22rtdc.l.rtdc.4036%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794</v>
      </c>
      <c r="B124" s="7">
        <v>4035</v>
      </c>
      <c r="C124" s="21" t="s">
        <v>194</v>
      </c>
      <c r="D124" s="21" t="s">
        <v>394</v>
      </c>
      <c r="E124" s="13">
        <v>43016.755937499998</v>
      </c>
      <c r="F124" s="13">
        <v>43016.758645833332</v>
      </c>
      <c r="G124" s="7">
        <v>69</v>
      </c>
      <c r="H124" s="21" t="s">
        <v>941</v>
      </c>
      <c r="I124" s="13">
        <v>43016.784201388888</v>
      </c>
      <c r="J124" s="7">
        <v>0</v>
      </c>
      <c r="K124" s="89" t="str">
        <f t="shared" si="66"/>
        <v>4035/4036</v>
      </c>
      <c r="L124" s="185" t="str">
        <f>VLOOKUP(A124,'Trips&amp;Operators'!$C$1:$G$99911,5,FALSE)</f>
        <v>STAMBAUGH JAMES</v>
      </c>
      <c r="M124" s="6">
        <f t="shared" si="67"/>
        <v>2.5555555555911269E-2</v>
      </c>
      <c r="N124" s="7">
        <f t="shared" si="61"/>
        <v>36.800000000512227</v>
      </c>
      <c r="O124" s="7"/>
      <c r="P124" s="7"/>
      <c r="Q124" s="22"/>
      <c r="R124" s="174"/>
      <c r="S124" s="221">
        <f t="shared" si="62"/>
        <v>1</v>
      </c>
      <c r="T124" s="174" t="str">
        <f t="shared" si="68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1"/>
        <v>https://d0f6bd738d7f1b3e5a7ca70fe4ff75f0.us-east-1.aws.found.io/app/kibana#/discover/Steve-Slow-Train-Analysis-(2080s-and-2083s)?_g=(refreshInterval:(display:Off,pause:!f,section:0,value:0),time:(from:'2017-10-08T17:08:33-0600',mode:absolute,to:'2017-10-08T19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4" s="204" t="str">
        <f>IF(AA124&lt;VLOOKUP(AG124,Variables!$AC$3:$AD$8,2,FALSE),"Y","N")</f>
        <v>N</v>
      </c>
      <c r="X124" s="204">
        <f t="shared" si="65"/>
        <v>1</v>
      </c>
      <c r="Y124" s="204">
        <f t="shared" si="63"/>
        <v>23.3</v>
      </c>
      <c r="Z124" s="204">
        <f t="shared" si="64"/>
        <v>1.09E-2</v>
      </c>
      <c r="AA124" s="204">
        <f t="shared" si="69"/>
        <v>23.289100000000001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70"/>
        <v>210</v>
      </c>
      <c r="AE124" s="77" t="str">
        <f t="shared" si="47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124" s="74" t="str">
        <f t="shared" si="48"/>
        <v>"C:\Program Files (x86)\AstroGrep\AstroGrep.exe" /e /r /s /spath="%USERPROFILE%\AppData\Local\Temp\OnboardLogs" /stypes="app*4035*20171009*" /stext=" 00:.+((SYSTEM_STATE.+slice.+state.+changed )|(ment ac)|(multiple cpu faults)|(system.+state.+changed )|(\[timeout)|(PRM\|1\|D)|(kpr)|(kdp)|(train st.+moving)|(\|lc)|(penalty))"</v>
      </c>
      <c r="AG124" s="182" t="str">
        <f t="shared" si="71"/>
        <v>EC</v>
      </c>
      <c r="AH124" s="78" t="str">
        <f t="shared" si="50"/>
        <v>"%USERPROFILE%\Documents\GitHub\eaglep3\Utilities\RefineRTDCRunTimes.py" --tripid 210-08 --locoid 4035 --swversion DE.1.0.9.0 --startMP 204:233000 --initTime 2017-10-08T18:08:33 --startdatetime 2017-10-08T18:12:27 --delay 69 --endMP 204:109 --enddatetime 2017-10-08T18:49:15 --enforcementcount 0 &gt;&gt;%USERPROFILE%\Documents\GitHub\eaglep3-reporting\EC\2017-10-08-refined-times.txt</v>
      </c>
      <c r="AI124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{"issue":{"subject":"","project_id":79,"tracker_id":40,"status_id":1,"priority_id":2,"assigned_to_id":338,"start_date":"2017-10-08","description":"","custom_fields":[{"id":1,"name":"Subdivision","value":"EC"},{"id":4,"name":"Milepost","value":"0.0109"},{"id":17,"name":"Train ID","value":"210-08"},{"id":16,"name":"Locomotive ID","value":"4035"},{"id":130,"name":"Impact","value":""},{"id":150,"name":"Time of Event (Mountain Time)","value":"18:49:15"},{"id":151,"name":"Denver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52"/>
        <v>start /low /b %USERPROFILE%\Documents\GitHub\eaglep3\Utilities\DownloadLogsFromS3.py --loco 4035 --day 2017-10-08</v>
      </c>
      <c r="AN124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4"/>
        <v>https://d0f6bd738d7f1b3e5a7ca70fe4ff75f0.us-east-1.aws.found.io/app/kibana#/discover/Steve-Slow-Train-Analysis-(2080s-and-2083s)?_g=(refreshInterval:(display:Off,pause:!f,section:0,value:0),time:(from:'2017-10-08T17:08:33-0600',mode:absolute,to:'2017-10-08T19:49:15-0600'))&amp;_a=(columns:!('Message%20ID',Summary),filters:!(),index:'emp_*',interval:auto,query:(query_string:(analyze_wildcard:!t,query:'%22rtdc.l.rtdc.4035%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785</v>
      </c>
      <c r="B125" s="7">
        <v>4016</v>
      </c>
      <c r="C125" s="21" t="s">
        <v>194</v>
      </c>
      <c r="D125" s="21" t="s">
        <v>385</v>
      </c>
      <c r="E125" s="13">
        <v>43016.726157407407</v>
      </c>
      <c r="F125" s="13">
        <v>43016.729328703703</v>
      </c>
      <c r="G125" s="7">
        <v>54</v>
      </c>
      <c r="H125" s="21" t="s">
        <v>936</v>
      </c>
      <c r="I125" s="13">
        <v>43016.75409722222</v>
      </c>
      <c r="J125" s="7">
        <v>0</v>
      </c>
      <c r="K125" s="89" t="str">
        <f t="shared" si="66"/>
        <v>4015/4016</v>
      </c>
      <c r="L125" s="185" t="str">
        <f>VLOOKUP(A125,'Trips&amp;Operators'!$C$1:$G$99911,5,FALSE)</f>
        <v>BERLING GARY</v>
      </c>
      <c r="M125" s="6">
        <f t="shared" si="67"/>
        <v>2.4768518516793847E-2</v>
      </c>
      <c r="N125" s="7">
        <f t="shared" ref="N125:N147" si="72">24*60*SUM($M125:$M125)</f>
        <v>35.66666666418314</v>
      </c>
      <c r="O125" s="7"/>
      <c r="P125" s="7"/>
      <c r="Q125" s="22"/>
      <c r="R125" s="174"/>
      <c r="S125" s="221">
        <f t="shared" ref="S125:S147" si="73">1/IF(AG125="EC",12,1)*SUM(U125:U125)</f>
        <v>1</v>
      </c>
      <c r="T125" s="174" t="str">
        <f t="shared" si="68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1"/>
        <v>https://d0f6bd738d7f1b3e5a7ca70fe4ff75f0.us-east-1.aws.found.io/app/kibana#/discover/Steve-Slow-Train-Analysis-(2080s-and-2083s)?_g=(refreshInterval:(display:Off,pause:!f,section:0,value:0),time:(from:'2017-10-08T16:25:40-0600',mode:absolute,to:'2017-10-08T19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204" t="str">
        <f>IF(AA125&lt;VLOOKUP(AG125,Variables!$AC$3:$AD$8,2,FALSE),"Y","N")</f>
        <v>N</v>
      </c>
      <c r="X125" s="204">
        <f t="shared" si="65"/>
        <v>1</v>
      </c>
      <c r="Y125" s="204">
        <f t="shared" ref="Y125:Y155" si="74">RIGHT(D125,LEN(D125)-4)/10000</f>
        <v>4.5699999999999998E-2</v>
      </c>
      <c r="Z125" s="204">
        <f t="shared" ref="Z125:Z155" si="75">RIGHT(H125,LEN(H125)-4)/10000</f>
        <v>23.331700000000001</v>
      </c>
      <c r="AA125" s="204">
        <f t="shared" si="69"/>
        <v>23.286000000000001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70"/>
        <v>211</v>
      </c>
      <c r="AE125" s="77" t="str">
        <f t="shared" si="47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25" s="74" t="str">
        <f t="shared" si="48"/>
        <v>"C:\Program Files (x86)\AstroGrep\AstroGrep.exe" /e /r /s /spath="%USERPROFILE%\AppData\Local\Temp\OnboardLogs" /stypes="app*4016*20171009*" /stext=" 00:.+((SYSTEM_STATE.+slice.+state.+changed )|(ment ac)|(multiple cpu faults)|(system.+state.+changed )|(\[timeout)|(PRM\|1\|D)|(kpr)|(kdp)|(train st.+moving)|(\|lc)|(penalty))"</v>
      </c>
      <c r="AG125" s="182" t="str">
        <f t="shared" si="71"/>
        <v>EC</v>
      </c>
      <c r="AH125" s="78" t="str">
        <f t="shared" si="50"/>
        <v>"%USERPROFILE%\Documents\GitHub\eaglep3\Utilities\RefineRTDCRunTimes.py" --tripid 211-08 --locoid 4016 --swversion DE.1.0.9.0 --startMP 204:457 --initTime 2017-10-08T17:25:40 --startdatetime 2017-10-08T17:30:14 --delay 54 --endMP 204:233317 --enddatetime 2017-10-08T18:05:54 --enforcementcount 0 &gt;&gt;%USERPROFILE%\Documents\GitHub\eaglep3-reporting\EC\2017-10-08-refined-times.txt</v>
      </c>
      <c r="AI125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{"issue":{"subject":"","project_id":79,"tracker_id":40,"status_id":1,"priority_id":2,"assigned_to_id":338,"start_date":"2017-10-08","description":"","custom_fields":[{"id":1,"name":"Subdivision","value":"EC"},{"id":4,"name":"Milepost","value":"23.3317"},{"id":17,"name":"Train ID","value":"211-08"},{"id":16,"name":"Locomotive ID","value":"4016"},{"id":130,"name":"Impact","value":""},{"id":150,"name":"Time of Event (Mountain Time)","value":"18:05:54"},{"id":151,"name":"Denver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52"/>
        <v>start /low /b %USERPROFILE%\Documents\GitHub\eaglep3\Utilities\DownloadLogsFromS3.py --loco 4016 --day 2017-10-08</v>
      </c>
      <c r="AN125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4"/>
        <v>https://d0f6bd738d7f1b3e5a7ca70fe4ff75f0.us-east-1.aws.found.io/app/kibana#/discover/Steve-Slow-Train-Analysis-(2080s-and-2083s)?_g=(refreshInterval:(display:Off,pause:!f,section:0,value:0),time:(from:'2017-10-08T16:25:40-0600',mode:absolute,to:'2017-10-08T19:05:54-0600'))&amp;_a=(columns:!('Message%20ID',Summary),filters:!(),index:'emp_*',interval:auto,query:(query_string:(analyze_wildcard:!t,query:'%22rtdc.l.rtdc.4016%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795</v>
      </c>
      <c r="B126" s="7">
        <v>4015</v>
      </c>
      <c r="C126" s="21" t="s">
        <v>194</v>
      </c>
      <c r="D126" s="21" t="s">
        <v>552</v>
      </c>
      <c r="E126" s="13">
        <v>43016.764560185184</v>
      </c>
      <c r="F126" s="13">
        <v>43016.769270833334</v>
      </c>
      <c r="G126" s="7">
        <v>91</v>
      </c>
      <c r="H126" s="21" t="s">
        <v>359</v>
      </c>
      <c r="I126" s="13">
        <v>43016.796064814815</v>
      </c>
      <c r="J126" s="7">
        <v>0</v>
      </c>
      <c r="K126" s="89" t="str">
        <f t="shared" si="66"/>
        <v>4015/4016</v>
      </c>
      <c r="L126" s="185" t="str">
        <f>VLOOKUP(A126,'Trips&amp;Operators'!$C$1:$G$99911,5,FALSE)</f>
        <v>BERLING GARY</v>
      </c>
      <c r="M126" s="6">
        <f t="shared" si="67"/>
        <v>2.679398148029577E-2</v>
      </c>
      <c r="N126" s="7">
        <f t="shared" si="72"/>
        <v>38.583333331625909</v>
      </c>
      <c r="O126" s="7"/>
      <c r="P126" s="7"/>
      <c r="Q126" s="22"/>
      <c r="R126" s="174"/>
      <c r="S126" s="221">
        <f t="shared" si="73"/>
        <v>1</v>
      </c>
      <c r="T126" s="174" t="str">
        <f t="shared" si="68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1"/>
        <v>https://d0f6bd738d7f1b3e5a7ca70fe4ff75f0.us-east-1.aws.found.io/app/kibana#/discover/Steve-Slow-Train-Analysis-(2080s-and-2083s)?_g=(refreshInterval:(display:Off,pause:!f,section:0,value:0),time:(from:'2017-10-08T17:20:58-0600',mode:absolute,to:'2017-10-08T20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204" t="str">
        <f>IF(AA126&lt;VLOOKUP(AG126,Variables!$AC$3:$AD$8,2,FALSE),"Y","N")</f>
        <v>N</v>
      </c>
      <c r="X126" s="204">
        <f t="shared" si="65"/>
        <v>1</v>
      </c>
      <c r="Y126" s="204">
        <f t="shared" si="74"/>
        <v>23.299099999999999</v>
      </c>
      <c r="Z126" s="204">
        <f t="shared" si="75"/>
        <v>1.4500000000000001E-2</v>
      </c>
      <c r="AA126" s="204">
        <f t="shared" si="69"/>
        <v>23.284599999999998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70"/>
        <v>212</v>
      </c>
      <c r="AE126" s="77" t="str">
        <f t="shared" si="47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26" s="74" t="str">
        <f t="shared" si="48"/>
        <v>"C:\Program Files (x86)\AstroGrep\AstroGrep.exe" /e /r /s /spath="%USERPROFILE%\AppData\Local\Temp\OnboardLogs" /stypes="app*4015*20171009*" /stext=" 01:.+((SYSTEM_STATE.+slice.+state.+changed )|(ment ac)|(multiple cpu faults)|(system.+state.+changed )|(\[timeout)|(PRM\|1\|D)|(kpr)|(kdp)|(train st.+moving)|(\|lc)|(penalty))"</v>
      </c>
      <c r="AG126" s="182" t="str">
        <f t="shared" si="71"/>
        <v>EC</v>
      </c>
      <c r="AH126" s="78" t="str">
        <f t="shared" si="50"/>
        <v>"%USERPROFILE%\Documents\GitHub\eaglep3\Utilities\RefineRTDCRunTimes.py" --tripid 212-08 --locoid 4015 --swversion DE.1.0.9.0 --startMP 204:232991 --initTime 2017-10-08T18:20:58 --startdatetime 2017-10-08T18:27:45 --delay 91 --endMP 204:145 --enddatetime 2017-10-08T19:06:20 --enforcementcount 0 &gt;&gt;%USERPROFILE%\Documents\GitHub\eaglep3-reporting\EC\2017-10-08-refined-times.txt</v>
      </c>
      <c r="AI126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{"issue":{"subject":"","project_id":79,"tracker_id":40,"status_id":1,"priority_id":2,"assigned_to_id":338,"start_date":"2017-10-08","description":"","custom_fields":[{"id":1,"name":"Subdivision","value":"EC"},{"id":4,"name":"Milepost","value":"0.0145"},{"id":17,"name":"Train ID","value":"212-08"},{"id":16,"name":"Locomotive ID","value":"4015"},{"id":130,"name":"Impact","value":""},{"id":150,"name":"Time of Event (Mountain Time)","value":"19:06:20"},{"id":151,"name":"Denver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52"/>
        <v>start /low /b %USERPROFILE%\Documents\GitHub\eaglep3\Utilities\DownloadLogsFromS3.py --loco 4015 --day 2017-10-08</v>
      </c>
      <c r="AN126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4"/>
        <v>https://d0f6bd738d7f1b3e5a7ca70fe4ff75f0.us-east-1.aws.found.io/app/kibana#/discover/Steve-Slow-Train-Analysis-(2080s-and-2083s)?_g=(refreshInterval:(display:Off,pause:!f,section:0,value:0),time:(from:'2017-10-08T17:20:58-0600',mode:absolute,to:'2017-10-08T20:06:20-0600'))&amp;_a=(columns:!('Message%20ID',Summary),filters:!(),index:'emp_*',interval:auto,query:(query_string:(analyze_wildcard:!t,query:'%22rtdc.l.rtdc.4015%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787</v>
      </c>
      <c r="B127" s="7">
        <v>4002</v>
      </c>
      <c r="C127" s="21" t="s">
        <v>194</v>
      </c>
      <c r="D127" s="21" t="s">
        <v>569</v>
      </c>
      <c r="E127" s="13">
        <v>43016.737546296295</v>
      </c>
      <c r="F127" s="13">
        <v>43016.739988425928</v>
      </c>
      <c r="G127" s="7">
        <v>107</v>
      </c>
      <c r="H127" s="21" t="s">
        <v>942</v>
      </c>
      <c r="I127" s="13">
        <v>43016.764664351853</v>
      </c>
      <c r="J127" s="7">
        <v>0</v>
      </c>
      <c r="K127" s="89" t="str">
        <f t="shared" si="66"/>
        <v>4001/4002</v>
      </c>
      <c r="L127" s="185" t="str">
        <f>VLOOKUP(A127,'Trips&amp;Operators'!$C$1:$G$99911,5,FALSE)</f>
        <v>LOZA FIDEL</v>
      </c>
      <c r="M127" s="6">
        <f t="shared" si="67"/>
        <v>2.4675925924384501E-2</v>
      </c>
      <c r="N127" s="7">
        <f t="shared" si="72"/>
        <v>35.533333331113681</v>
      </c>
      <c r="O127" s="7"/>
      <c r="P127" s="7"/>
      <c r="Q127" s="22"/>
      <c r="R127" s="174"/>
      <c r="S127" s="221">
        <f t="shared" si="73"/>
        <v>1</v>
      </c>
      <c r="T127" s="174" t="str">
        <f t="shared" si="68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1"/>
        <v>https://d0f6bd738d7f1b3e5a7ca70fe4ff75f0.us-east-1.aws.found.io/app/kibana#/discover/Steve-Slow-Train-Analysis-(2080s-and-2083s)?_g=(refreshInterval:(display:Off,pause:!f,section:0,value:0),time:(from:'2017-10-08T16:42:04-0600',mode:absolute,to:'2017-10-08T19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204" t="str">
        <f>IF(AA127&lt;VLOOKUP(AG127,Variables!$AC$3:$AD$8,2,FALSE),"Y","N")</f>
        <v>N</v>
      </c>
      <c r="X127" s="204">
        <f t="shared" ref="X127:X155" si="76">VALUE(LEFT(AD127,4))-VALUE(LEFT(AD126,4))</f>
        <v>1</v>
      </c>
      <c r="Y127" s="204">
        <f t="shared" si="74"/>
        <v>4.6399999999999997E-2</v>
      </c>
      <c r="Z127" s="204">
        <f t="shared" si="75"/>
        <v>23.3322</v>
      </c>
      <c r="AA127" s="204">
        <f t="shared" si="69"/>
        <v>23.285800000000002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70"/>
        <v>213</v>
      </c>
      <c r="AE127" s="77" t="str">
        <f t="shared" si="47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127" s="74" t="str">
        <f t="shared" si="48"/>
        <v>"C:\Program Files (x86)\AstroGrep\AstroGrep.exe" /e /r /s /spath="%USERPROFILE%\AppData\Local\Temp\OnboardLogs" /stypes="app*4002*20171009*" /stext=" 00:.+((SYSTEM_STATE.+slice.+state.+changed )|(ment ac)|(multiple cpu faults)|(system.+state.+changed )|(\[timeout)|(PRM\|1\|D)|(kpr)|(kdp)|(train st.+moving)|(\|lc)|(penalty))"</v>
      </c>
      <c r="AG127" s="182" t="str">
        <f t="shared" si="71"/>
        <v>EC</v>
      </c>
      <c r="AH127" s="78" t="str">
        <f t="shared" si="50"/>
        <v>"%USERPROFILE%\Documents\GitHub\eaglep3\Utilities\RefineRTDCRunTimes.py" --tripid 213-08 --locoid 4002 --swversion DE.1.0.9.0 --startMP 204:464 --initTime 2017-10-08T17:42:04 --startdatetime 2017-10-08T17:45:35 --delay 107 --endMP 204:233322 --enddatetime 2017-10-08T18:21:07 --enforcementcount 0 &gt;&gt;%USERPROFILE%\Documents\GitHub\eaglep3-reporting\EC\2017-10-08-refined-times.txt</v>
      </c>
      <c r="AI127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{"issue":{"subject":"","project_id":79,"tracker_id":40,"status_id":1,"priority_id":2,"assigned_to_id":338,"start_date":"2017-10-08","description":"","custom_fields":[{"id":1,"name":"Subdivision","value":"EC"},{"id":4,"name":"Milepost","value":"23.3322"},{"id":17,"name":"Train ID","value":"213-08"},{"id":16,"name":"Locomotive ID","value":"4002"},{"id":130,"name":"Impact","value":""},{"id":150,"name":"Time of Event (Mountain Time)","value":"18:21:07"},{"id":151,"name":"Denver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52"/>
        <v>start /low /b %USERPROFILE%\Documents\GitHub\eaglep3\Utilities\DownloadLogsFromS3.py --loco 4002 --day 2017-10-08</v>
      </c>
      <c r="AN127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4"/>
        <v>https://d0f6bd738d7f1b3e5a7ca70fe4ff75f0.us-east-1.aws.found.io/app/kibana#/discover/Steve-Slow-Train-Analysis-(2080s-and-2083s)?_g=(refreshInterval:(display:Off,pause:!f,section:0,value:0),time:(from:'2017-10-08T16:42:04-0600',mode:absolute,to:'2017-10-08T19:21:07-0600'))&amp;_a=(columns:!('Message%20ID',Summary),filters:!(),index:'emp_*',interval:auto,query:(query_string:(analyze_wildcard:!t,query:'%22rtdc.l.rtdc.4002%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799</v>
      </c>
      <c r="B128" s="7">
        <v>4001</v>
      </c>
      <c r="C128" s="21" t="s">
        <v>194</v>
      </c>
      <c r="D128" s="21" t="s">
        <v>943</v>
      </c>
      <c r="E128" s="13">
        <v>43016.775358796294</v>
      </c>
      <c r="F128" s="13">
        <v>43016.779351851852</v>
      </c>
      <c r="G128" s="7">
        <v>182</v>
      </c>
      <c r="H128" s="21" t="s">
        <v>335</v>
      </c>
      <c r="I128" s="13">
        <v>43016.804861111108</v>
      </c>
      <c r="J128" s="7">
        <v>0</v>
      </c>
      <c r="K128" s="89" t="str">
        <f t="shared" si="66"/>
        <v>4001/4002</v>
      </c>
      <c r="L128" s="185" t="str">
        <f>VLOOKUP(A128,'Trips&amp;Operators'!$C$1:$G$99911,5,FALSE)</f>
        <v>LOZA FIDEL</v>
      </c>
      <c r="M128" s="6">
        <f t="shared" si="67"/>
        <v>2.5509259256068617E-2</v>
      </c>
      <c r="N128" s="7">
        <f t="shared" si="72"/>
        <v>36.733333328738809</v>
      </c>
      <c r="O128" s="7"/>
      <c r="P128" s="7"/>
      <c r="Q128" s="22"/>
      <c r="R128" s="174"/>
      <c r="S128" s="221">
        <f t="shared" si="73"/>
        <v>1</v>
      </c>
      <c r="T128" s="174" t="str">
        <f t="shared" si="68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1"/>
        <v>https://d0f6bd738d7f1b3e5a7ca70fe4ff75f0.us-east-1.aws.found.io/app/kibana#/discover/Steve-Slow-Train-Analysis-(2080s-and-2083s)?_g=(refreshInterval:(display:Off,pause:!f,section:0,value:0),time:(from:'2017-10-08T17:36:31-0600',mode:absolute,to:'2017-10-08T20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204" t="str">
        <f>IF(AA128&lt;VLOOKUP(AG128,Variables!$AC$3:$AD$8,2,FALSE),"Y","N")</f>
        <v>N</v>
      </c>
      <c r="X128" s="204">
        <f t="shared" si="76"/>
        <v>1</v>
      </c>
      <c r="Y128" s="204">
        <f t="shared" si="74"/>
        <v>23.3003</v>
      </c>
      <c r="Z128" s="204">
        <f t="shared" si="75"/>
        <v>1.4999999999999999E-2</v>
      </c>
      <c r="AA128" s="204">
        <f t="shared" si="69"/>
        <v>23.285299999999999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70"/>
        <v>214</v>
      </c>
      <c r="AE128" s="77" t="str">
        <f t="shared" si="47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28" s="74" t="str">
        <f t="shared" si="48"/>
        <v>"C:\Program Files (x86)\AstroGrep\AstroGrep.exe" /e /r /s /spath="%USERPROFILE%\AppData\Local\Temp\OnboardLogs" /stypes="app*4001*20171009*" /stext=" 01:.+((SYSTEM_STATE.+slice.+state.+changed )|(ment ac)|(multiple cpu faults)|(system.+state.+changed )|(\[timeout)|(PRM\|1\|D)|(kpr)|(kdp)|(train st.+moving)|(\|lc)|(penalty))"</v>
      </c>
      <c r="AG128" s="182" t="str">
        <f t="shared" si="71"/>
        <v>EC</v>
      </c>
      <c r="AH128" s="78" t="str">
        <f t="shared" si="50"/>
        <v>"%USERPROFILE%\Documents\GitHub\eaglep3\Utilities\RefineRTDCRunTimes.py" --tripid 214-08 --locoid 4001 --swversion DE.1.0.9.0 --startMP 204:233003 --initTime 2017-10-08T18:36:31 --startdatetime 2017-10-08T18:42:16 --delay 182 --endMP 204:150 --enddatetime 2017-10-08T19:19:00 --enforcementcount 0 &gt;&gt;%USERPROFILE%\Documents\GitHub\eaglep3-reporting\EC\2017-10-08-refined-times.txt</v>
      </c>
      <c r="AI128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{"issue":{"subject":"","project_id":79,"tracker_id":40,"status_id":1,"priority_id":2,"assigned_to_id":338,"start_date":"2017-10-08","description":"","custom_fields":[{"id":1,"name":"Subdivision","value":"EC"},{"id":4,"name":"Milepost","value":"0.015"},{"id":17,"name":"Train ID","value":"214-08"},{"id":16,"name":"Locomotive ID","value":"4001"},{"id":130,"name":"Impact","value":""},{"id":150,"name":"Time of Event (Mountain Time)","value":"19:19:00"},{"id":151,"name":"Denver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52"/>
        <v>start /low /b %USERPROFILE%\Documents\GitHub\eaglep3\Utilities\DownloadLogsFromS3.py --loco 4001 --day 2017-10-08</v>
      </c>
      <c r="AN128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4"/>
        <v>https://d0f6bd738d7f1b3e5a7ca70fe4ff75f0.us-east-1.aws.found.io/app/kibana#/discover/Steve-Slow-Train-Analysis-(2080s-and-2083s)?_g=(refreshInterval:(display:Off,pause:!f,section:0,value:0),time:(from:'2017-10-08T17:36:31-0600',mode:absolute,to:'2017-10-08T20:19:00-0600'))&amp;_a=(columns:!('Message%20ID',Summary),filters:!(),index:'emp_*',interval:auto,query:(query_string:(analyze_wildcard:!t,query:'%22rtdc.l.rtdc.4001%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788</v>
      </c>
      <c r="B129" s="7">
        <v>4006</v>
      </c>
      <c r="C129" s="21" t="s">
        <v>194</v>
      </c>
      <c r="D129" s="21" t="s">
        <v>334</v>
      </c>
      <c r="E129" s="13">
        <v>43016.744513888887</v>
      </c>
      <c r="F129" s="13">
        <v>43016.750208333331</v>
      </c>
      <c r="G129" s="7">
        <v>81</v>
      </c>
      <c r="H129" s="21" t="s">
        <v>553</v>
      </c>
      <c r="I129" s="13">
        <v>43016.77547453704</v>
      </c>
      <c r="J129" s="7">
        <v>0</v>
      </c>
      <c r="K129" s="89" t="str">
        <f t="shared" si="66"/>
        <v>4005/4006</v>
      </c>
      <c r="L129" s="185" t="str">
        <f>VLOOKUP(A129,'Trips&amp;Operators'!$C$1:$G$99911,5,FALSE)</f>
        <v>KILLION DAVID</v>
      </c>
      <c r="M129" s="6">
        <f t="shared" si="67"/>
        <v>2.5266203709179536E-2</v>
      </c>
      <c r="N129" s="7">
        <f t="shared" si="72"/>
        <v>36.383333341218531</v>
      </c>
      <c r="O129" s="7"/>
      <c r="P129" s="7"/>
      <c r="Q129" s="22"/>
      <c r="R129" s="174"/>
      <c r="S129" s="221">
        <f t="shared" si="73"/>
        <v>1</v>
      </c>
      <c r="T129" s="174" t="str">
        <f t="shared" si="68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1"/>
        <v>https://d0f6bd738d7f1b3e5a7ca70fe4ff75f0.us-east-1.aws.found.io/app/kibana#/discover/Steve-Slow-Train-Analysis-(2080s-and-2083s)?_g=(refreshInterval:(display:Off,pause:!f,section:0,value:0),time:(from:'2017-10-08T16:52:06-0600',mode:absolute,to:'2017-10-08T19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9" s="204" t="str">
        <f>IF(AA129&lt;VLOOKUP(AG129,Variables!$AC$3:$AD$8,2,FALSE),"Y","N")</f>
        <v>N</v>
      </c>
      <c r="X129" s="204">
        <f t="shared" si="76"/>
        <v>1</v>
      </c>
      <c r="Y129" s="204">
        <f t="shared" si="74"/>
        <v>4.4600000000000001E-2</v>
      </c>
      <c r="Z129" s="204">
        <f t="shared" si="75"/>
        <v>23.329499999999999</v>
      </c>
      <c r="AA129" s="204">
        <f t="shared" si="69"/>
        <v>23.2849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70"/>
        <v>215</v>
      </c>
      <c r="AE129" s="77" t="str">
        <f t="shared" si="47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129" s="74" t="str">
        <f t="shared" si="48"/>
        <v>"C:\Program Files (x86)\AstroGrep\AstroGrep.exe" /e /r /s /spath="%USERPROFILE%\AppData\Local\Temp\OnboardLogs" /stypes="app*4006*20171009*" /stext=" 00:.+((SYSTEM_STATE.+slice.+state.+changed )|(ment ac)|(multiple cpu faults)|(system.+state.+changed )|(\[timeout)|(PRM\|1\|D)|(kpr)|(kdp)|(train st.+moving)|(\|lc)|(penalty))"</v>
      </c>
      <c r="AG129" s="182" t="str">
        <f t="shared" si="71"/>
        <v>EC</v>
      </c>
      <c r="AH129" s="78" t="str">
        <f t="shared" si="50"/>
        <v>"%USERPROFILE%\Documents\GitHub\eaglep3\Utilities\RefineRTDCRunTimes.py" --tripid 215-08 --locoid 4006 --swversion DE.1.0.9.0 --startMP 204:446 --initTime 2017-10-08T17:52:06 --startdatetime 2017-10-08T18:00:18 --delay 81 --endMP 204:233295 --enddatetime 2017-10-08T18:36:41 --enforcementcount 0 &gt;&gt;%USERPROFILE%\Documents\GitHub\eaglep3-reporting\EC\2017-10-08-refined-times.txt</v>
      </c>
      <c r="AI12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{"issue":{"subject":"","project_id":79,"tracker_id":40,"status_id":1,"priority_id":2,"assigned_to_id":338,"start_date":"2017-10-08","description":"","custom_fields":[{"id":1,"name":"Subdivision","value":"EC"},{"id":4,"name":"Milepost","value":"23.3295"},{"id":17,"name":"Train ID","value":"215-08"},{"id":16,"name":"Locomotive ID","value":"4006"},{"id":130,"name":"Impact","value":""},{"id":150,"name":"Time of Event (Mountain Time)","value":"18:36:41"},{"id":151,"name":"Denver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52"/>
        <v>start /low /b %USERPROFILE%\Documents\GitHub\eaglep3\Utilities\DownloadLogsFromS3.py --loco 4006 --day 2017-10-08</v>
      </c>
      <c r="AN129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4"/>
        <v>https://d0f6bd738d7f1b3e5a7ca70fe4ff75f0.us-east-1.aws.found.io/app/kibana#/discover/Steve-Slow-Train-Analysis-(2080s-and-2083s)?_g=(refreshInterval:(display:Off,pause:!f,section:0,value:0),time:(from:'2017-10-08T16:52:06-0600',mode:absolute,to:'2017-10-08T19:36:41-0600'))&amp;_a=(columns:!('Message%20ID',Summary),filters:!(),index:'emp_*',interval:auto,query:(query_string:(analyze_wildcard:!t,query:'%22rtdc.l.rtdc.4006%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800</v>
      </c>
      <c r="B130" s="7">
        <v>4005</v>
      </c>
      <c r="C130" s="21" t="s">
        <v>194</v>
      </c>
      <c r="D130" s="21" t="s">
        <v>416</v>
      </c>
      <c r="E130" s="13">
        <v>43016.781319444446</v>
      </c>
      <c r="F130" s="13">
        <v>43016.789780092593</v>
      </c>
      <c r="G130" s="7">
        <v>70</v>
      </c>
      <c r="H130" s="21" t="s">
        <v>377</v>
      </c>
      <c r="I130" s="13">
        <v>43016.816296296296</v>
      </c>
      <c r="J130" s="7">
        <v>0</v>
      </c>
      <c r="K130" s="89" t="str">
        <f t="shared" si="66"/>
        <v>4005/4006</v>
      </c>
      <c r="L130" s="185" t="str">
        <f>VLOOKUP(A130,'Trips&amp;Operators'!$C$1:$G$99911,5,FALSE)</f>
        <v>KILLION DAVID</v>
      </c>
      <c r="M130" s="6">
        <f t="shared" si="67"/>
        <v>2.6516203703067731E-2</v>
      </c>
      <c r="N130" s="7">
        <f t="shared" si="72"/>
        <v>38.183333332417533</v>
      </c>
      <c r="O130" s="7"/>
      <c r="P130" s="7"/>
      <c r="Q130" s="22"/>
      <c r="R130" s="174"/>
      <c r="S130" s="221">
        <f t="shared" si="73"/>
        <v>1</v>
      </c>
      <c r="T130" s="174" t="str">
        <f t="shared" si="68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1"/>
        <v>https://d0f6bd738d7f1b3e5a7ca70fe4ff75f0.us-east-1.aws.found.io/app/kibana#/discover/Steve-Slow-Train-Analysis-(2080s-and-2083s)?_g=(refreshInterval:(display:Off,pause:!f,section:0,value:0),time:(from:'2017-10-08T17:45:06-0600',mode:absolute,to:'2017-10-08T20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0" s="204" t="str">
        <f>IF(AA130&lt;VLOOKUP(AG130,Variables!$AC$3:$AD$8,2,FALSE),"Y","N")</f>
        <v>N</v>
      </c>
      <c r="X130" s="204">
        <f t="shared" si="76"/>
        <v>1</v>
      </c>
      <c r="Y130" s="204">
        <f t="shared" si="74"/>
        <v>23.297899999999998</v>
      </c>
      <c r="Z130" s="204">
        <f t="shared" si="75"/>
        <v>1.54E-2</v>
      </c>
      <c r="AA130" s="204">
        <f t="shared" si="69"/>
        <v>23.282499999999999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70"/>
        <v>216</v>
      </c>
      <c r="AE130" s="77" t="str">
        <f t="shared" si="47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130" s="74" t="str">
        <f t="shared" si="48"/>
        <v>"C:\Program Files (x86)\AstroGrep\AstroGrep.exe" /e /r /s /spath="%USERPROFILE%\AppData\Local\Temp\OnboardLogs" /stypes="app*4005*20171009*" /stext=" 01:.+((SYSTEM_STATE.+slice.+state.+changed )|(ment ac)|(multiple cpu faults)|(system.+state.+changed )|(\[timeout)|(PRM\|1\|D)|(kpr)|(kdp)|(train st.+moving)|(\|lc)|(penalty))"</v>
      </c>
      <c r="AG130" s="182" t="str">
        <f t="shared" si="71"/>
        <v>EC</v>
      </c>
      <c r="AH130" s="78" t="str">
        <f t="shared" si="50"/>
        <v>"%USERPROFILE%\Documents\GitHub\eaglep3\Utilities\RefineRTDCRunTimes.py" --tripid 216-08 --locoid 4005 --swversion DE.1.0.9.0 --startMP 204:232979 --initTime 2017-10-08T18:45:06 --startdatetime 2017-10-08T18:57:17 --delay 70 --endMP 204:154 --enddatetime 2017-10-08T19:35:28 --enforcementcount 0 &gt;&gt;%USERPROFILE%\Documents\GitHub\eaglep3-reporting\EC\2017-10-08-refined-times.txt</v>
      </c>
      <c r="AI13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{"issue":{"subject":"","project_id":79,"tracker_id":40,"status_id":1,"priority_id":2,"assigned_to_id":338,"start_date":"2017-10-08","description":"","custom_fields":[{"id":1,"name":"Subdivision","value":"EC"},{"id":4,"name":"Milepost","value":"0.0154"},{"id":17,"name":"Train ID","value":"216-08"},{"id":16,"name":"Locomotive ID","value":"4005"},{"id":130,"name":"Impact","value":""},{"id":150,"name":"Time of Event (Mountain Time)","value":"19:35:28"},{"id":151,"name":"Denver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52"/>
        <v>start /low /b %USERPROFILE%\Documents\GitHub\eaglep3\Utilities\DownloadLogsFromS3.py --loco 4005 --day 2017-10-08</v>
      </c>
      <c r="AN130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4"/>
        <v>https://d0f6bd738d7f1b3e5a7ca70fe4ff75f0.us-east-1.aws.found.io/app/kibana#/discover/Steve-Slow-Train-Analysis-(2080s-and-2083s)?_g=(refreshInterval:(display:Off,pause:!f,section:0,value:0),time:(from:'2017-10-08T17:45:06-0600',mode:absolute,to:'2017-10-08T20:35:28-0600'))&amp;_a=(columns:!('Message%20ID',Summary),filters:!(),index:'emp_*',interval:auto,query:(query_string:(analyze_wildcard:!t,query:'%22rtdc.l.rtdc.4005%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610</v>
      </c>
      <c r="B131" s="7">
        <v>4050</v>
      </c>
      <c r="C131" s="21" t="s">
        <v>194</v>
      </c>
      <c r="D131" s="21" t="s">
        <v>867</v>
      </c>
      <c r="E131" s="13">
        <v>43016.756041666667</v>
      </c>
      <c r="F131" s="13">
        <v>43016.760578703703</v>
      </c>
      <c r="G131" s="7">
        <v>91</v>
      </c>
      <c r="H131" s="21" t="s">
        <v>486</v>
      </c>
      <c r="I131" s="13">
        <v>43016.791226851848</v>
      </c>
      <c r="J131" s="7">
        <v>0</v>
      </c>
      <c r="K131" s="89" t="str">
        <f t="shared" si="66"/>
        <v>4049/4050</v>
      </c>
      <c r="L131" s="185" t="str">
        <f>VLOOKUP(A131,'Trips&amp;Operators'!$C$1:$G$99911,5,FALSE)</f>
        <v>ELBAUM MIKE</v>
      </c>
      <c r="M131" s="6">
        <f t="shared" si="67"/>
        <v>3.0648148145701271E-2</v>
      </c>
      <c r="N131" s="7">
        <f t="shared" si="72"/>
        <v>44.13333332980983</v>
      </c>
      <c r="O131" s="7"/>
      <c r="P131" s="7"/>
      <c r="Q131" s="22"/>
      <c r="R131" s="174"/>
      <c r="S131" s="221">
        <f t="shared" si="73"/>
        <v>1</v>
      </c>
      <c r="T131" s="174" t="str">
        <f t="shared" si="68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1"/>
        <v>https://d0f6bd738d7f1b3e5a7ca70fe4ff75f0.us-east-1.aws.found.io/app/kibana#/discover/Steve-Slow-Train-Analysis-(2080s-and-2083s)?_g=(refreshInterval:(display:Off,pause:!f,section:0,value:0),time:(from:'2017-10-08T17:08:42-0600',mode:absolute,to:'2017-10-08T19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1" s="204" t="str">
        <f>IF(AA131&lt;VLOOKUP(AG131,Variables!$AC$3:$AD$8,2,FALSE),"Y","N")</f>
        <v>N</v>
      </c>
      <c r="X131" s="204">
        <f t="shared" si="76"/>
        <v>1</v>
      </c>
      <c r="Y131" s="204">
        <f t="shared" si="74"/>
        <v>4.7100000000000003E-2</v>
      </c>
      <c r="Z131" s="204">
        <f t="shared" si="75"/>
        <v>23.330500000000001</v>
      </c>
      <c r="AA131" s="204">
        <f t="shared" si="69"/>
        <v>23.2834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70"/>
        <v>217</v>
      </c>
      <c r="AE131" s="77" t="str">
        <f t="shared" si="47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31" s="74" t="str">
        <f t="shared" si="48"/>
        <v>"C:\Program Files (x86)\AstroGrep\AstroGrep.exe" /e /r /s /spath="%USERPROFILE%\AppData\Local\Temp\OnboardLogs" /stypes="app*4050*20171009*" /stext=" 00:.+((SYSTEM_STATE.+slice.+state.+changed )|(ment ac)|(multiple cpu faults)|(system.+state.+changed )|(\[timeout)|(PRM\|1\|D)|(kpr)|(kdp)|(train st.+moving)|(\|lc)|(penalty))"</v>
      </c>
      <c r="AG131" s="182" t="str">
        <f t="shared" si="71"/>
        <v>EC</v>
      </c>
      <c r="AH131" s="78" t="str">
        <f t="shared" si="50"/>
        <v>"%USERPROFILE%\Documents\GitHub\eaglep3\Utilities\RefineRTDCRunTimes.py" --tripid 217-08 --locoid 4050 --swversion DE.1.0.9.0 --startMP 204:471 --initTime 2017-10-08T18:08:42 --startdatetime 2017-10-08T18:15:14 --delay 91 --endMP 204:233305 --enddatetime 2017-10-08T18:59:22 --enforcementcount 0 &gt;&gt;%USERPROFILE%\Documents\GitHub\eaglep3-reporting\EC\2017-10-08-refined-times.txt</v>
      </c>
      <c r="AI131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{"issue":{"subject":"","project_id":79,"tracker_id":40,"status_id":1,"priority_id":2,"assigned_to_id":338,"start_date":"2017-10-08","description":"","custom_fields":[{"id":1,"name":"Subdivision","value":"EC"},{"id":4,"name":"Milepost","value":"23.3305"},{"id":17,"name":"Train ID","value":"217-08"},{"id":16,"name":"Locomotive ID","value":"4050"},{"id":130,"name":"Impact","value":""},{"id":150,"name":"Time of Event (Mountain Time)","value":"18:59:22"},{"id":151,"name":"Denver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52"/>
        <v>start /low /b %USERPROFILE%\Documents\GitHub\eaglep3\Utilities\DownloadLogsFromS3.py --loco 4050 --day 2017-10-08</v>
      </c>
      <c r="AN131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4"/>
        <v>https://d0f6bd738d7f1b3e5a7ca70fe4ff75f0.us-east-1.aws.found.io/app/kibana#/discover/Steve-Slow-Train-Analysis-(2080s-and-2083s)?_g=(refreshInterval:(display:Off,pause:!f,section:0,value:0),time:(from:'2017-10-08T17:08:42-0600',mode:absolute,to:'2017-10-08T19:59:22-0600'))&amp;_a=(columns:!('Message%20ID',Summary),filters:!(),index:'emp_*',interval:auto,query:(query_string:(analyze_wildcard:!t,query:'%22rtdc.l.rtdc.4050%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802</v>
      </c>
      <c r="B132" s="7">
        <v>4049</v>
      </c>
      <c r="C132" s="21" t="s">
        <v>194</v>
      </c>
      <c r="D132" s="21" t="s">
        <v>559</v>
      </c>
      <c r="E132" s="13">
        <v>43016.792129629626</v>
      </c>
      <c r="F132" s="13">
        <v>43016.800219907411</v>
      </c>
      <c r="G132" s="7">
        <v>92</v>
      </c>
      <c r="H132" s="21" t="s">
        <v>340</v>
      </c>
      <c r="I132" s="13">
        <v>43016.825439814813</v>
      </c>
      <c r="J132" s="7">
        <v>0</v>
      </c>
      <c r="K132" s="89" t="str">
        <f t="shared" si="66"/>
        <v>4049/4050</v>
      </c>
      <c r="L132" s="185" t="str">
        <f>VLOOKUP(A132,'Trips&amp;Operators'!$C$1:$G$99911,5,FALSE)</f>
        <v>ELBAUM MIKE</v>
      </c>
      <c r="M132" s="6">
        <f t="shared" si="67"/>
        <v>2.5219907402060926E-2</v>
      </c>
      <c r="N132" s="7">
        <f t="shared" si="72"/>
        <v>36.316666658967733</v>
      </c>
      <c r="O132" s="7"/>
      <c r="P132" s="7"/>
      <c r="Q132" s="22"/>
      <c r="R132" s="174"/>
      <c r="S132" s="221">
        <f t="shared" si="73"/>
        <v>1</v>
      </c>
      <c r="T132" s="174" t="str">
        <f t="shared" si="68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1"/>
        <v>https://d0f6bd738d7f1b3e5a7ca70fe4ff75f0.us-east-1.aws.found.io/app/kibana#/discover/Steve-Slow-Train-Analysis-(2080s-and-2083s)?_g=(refreshInterval:(display:Off,pause:!f,section:0,value:0),time:(from:'2017-10-08T18:00:40-0600',mode:absolute,to:'2017-10-08T20:48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2" s="204" t="str">
        <f>IF(AA132&lt;VLOOKUP(AG132,Variables!$AC$3:$AD$8,2,FALSE),"Y","N")</f>
        <v>N</v>
      </c>
      <c r="X132" s="204">
        <f t="shared" si="76"/>
        <v>1</v>
      </c>
      <c r="Y132" s="204">
        <f t="shared" si="74"/>
        <v>23.297699999999999</v>
      </c>
      <c r="Z132" s="204">
        <f t="shared" si="75"/>
        <v>1.47E-2</v>
      </c>
      <c r="AA132" s="204">
        <f t="shared" si="69"/>
        <v>23.282999999999998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70"/>
        <v>218</v>
      </c>
      <c r="AE132" s="77" t="str">
        <f t="shared" si="47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132" s="74" t="str">
        <f t="shared" si="48"/>
        <v>"C:\Program Files (x86)\AstroGrep\AstroGrep.exe" /e /r /s /spath="%USERPROFILE%\AppData\Local\Temp\OnboardLogs" /stypes="app*4049*20171009*" /stext=" 01:.+((SYSTEM_STATE.+slice.+state.+changed )|(ment ac)|(multiple cpu faults)|(system.+state.+changed )|(\[timeout)|(PRM\|1\|D)|(kpr)|(kdp)|(train st.+moving)|(\|lc)|(penalty))"</v>
      </c>
      <c r="AG132" s="182" t="str">
        <f t="shared" si="71"/>
        <v>EC</v>
      </c>
      <c r="AH132" s="78" t="str">
        <f t="shared" si="50"/>
        <v>"%USERPROFILE%\Documents\GitHub\eaglep3\Utilities\RefineRTDCRunTimes.py" --tripid 218-08 --locoid 4049 --swversion DE.1.0.9.0 --startMP 204:232977 --initTime 2017-10-08T19:00:40 --startdatetime 2017-10-08T19:12:19 --delay 92 --endMP 204:147 --enddatetime 2017-10-08T19:48:38 --enforcementcount 0 &gt;&gt;%USERPROFILE%\Documents\GitHub\eaglep3-reporting\EC\2017-10-08-refined-times.txt</v>
      </c>
      <c r="AI132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ID","value":"218-08"},{"id":16,"name":"Locomotive ID","value":"4049"},{"id":130,"name":"Impact","value":""},{"id":150,"name":"Time of Event (Mountain Time)","value":"19:48:38"},{"id":151,"name":"Denver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52"/>
        <v>start /low /b %USERPROFILE%\Documents\GitHub\eaglep3\Utilities\DownloadLogsFromS3.py --loco 4049 --day 2017-10-08</v>
      </c>
      <c r="AN132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01:48:38"},{"id":29,"name":"Sharepoint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4"/>
        <v>https://d0f6bd738d7f1b3e5a7ca70fe4ff75f0.us-east-1.aws.found.io/app/kibana#/discover/Steve-Slow-Train-Analysis-(2080s-and-2083s)?_g=(refreshInterval:(display:Off,pause:!f,section:0,value:0),time:(from:'2017-10-08T18:00:40-0600',mode:absolute,to:'2017-10-08T20:48:38-0600'))&amp;_a=(columns:!('Message%20ID',Summary),filters:!(),index:'emp_*',interval:auto,query:(query_string:(analyze_wildcard:!t,query:'%22rtdc.l.rtdc.4049%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796</v>
      </c>
      <c r="B133" s="7">
        <v>4066</v>
      </c>
      <c r="C133" s="21" t="s">
        <v>194</v>
      </c>
      <c r="D133" s="21" t="s">
        <v>569</v>
      </c>
      <c r="E133" s="13">
        <v>43016.764849537038</v>
      </c>
      <c r="F133" s="13">
        <v>43016.771006944444</v>
      </c>
      <c r="G133" s="7">
        <v>106</v>
      </c>
      <c r="H133" s="21" t="s">
        <v>427</v>
      </c>
      <c r="I133" s="13">
        <v>43016.796076388891</v>
      </c>
      <c r="J133" s="7">
        <v>0</v>
      </c>
      <c r="K133" s="89" t="str">
        <f t="shared" si="66"/>
        <v>4065/4066</v>
      </c>
      <c r="L133" s="185" t="str">
        <f>VLOOKUP(A133,'Trips&amp;Operators'!$C$1:$G$99911,5,FALSE)</f>
        <v>DUNCAN SHEILA</v>
      </c>
      <c r="M133" s="6">
        <f t="shared" si="67"/>
        <v>2.5069444447581191E-2</v>
      </c>
      <c r="N133" s="7">
        <f t="shared" si="72"/>
        <v>36.100000004516914</v>
      </c>
      <c r="O133" s="7"/>
      <c r="P133" s="7"/>
      <c r="Q133" s="22"/>
      <c r="R133" s="174"/>
      <c r="S133" s="221">
        <f t="shared" si="73"/>
        <v>1</v>
      </c>
      <c r="T133" s="174" t="str">
        <f t="shared" si="68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1"/>
        <v>https://d0f6bd738d7f1b3e5a7ca70fe4ff75f0.us-east-1.aws.found.io/app/kibana#/discover/Steve-Slow-Train-Analysis-(2080s-and-2083s)?_g=(refreshInterval:(display:Off,pause:!f,section:0,value:0),time:(from:'2017-10-08T17:21:23-0600',mode:absolute,to:'2017-10-08T20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3" s="204" t="str">
        <f>IF(AA133&lt;VLOOKUP(AG133,Variables!$AC$3:$AD$8,2,FALSE),"Y","N")</f>
        <v>N</v>
      </c>
      <c r="X133" s="204">
        <f t="shared" si="76"/>
        <v>1</v>
      </c>
      <c r="Y133" s="204">
        <f t="shared" si="74"/>
        <v>4.6399999999999997E-2</v>
      </c>
      <c r="Z133" s="204">
        <f t="shared" si="75"/>
        <v>23.3325</v>
      </c>
      <c r="AA133" s="204">
        <f t="shared" si="69"/>
        <v>23.286100000000001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70"/>
        <v>219</v>
      </c>
      <c r="AE133" s="77" t="str">
        <f t="shared" si="47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133" s="74" t="str">
        <f t="shared" si="48"/>
        <v>"C:\Program Files (x86)\AstroGrep\AstroGrep.exe" /e /r /s /spath="%USERPROFILE%\AppData\Local\Temp\OnboardLogs" /stypes="app*4066*20171009*" /stext=" 01:.+((SYSTEM_STATE.+slice.+state.+changed )|(ment ac)|(multiple cpu faults)|(system.+state.+changed )|(\[timeout)|(PRM\|1\|D)|(kpr)|(kdp)|(train st.+moving)|(\|lc)|(penalty))"</v>
      </c>
      <c r="AG133" s="182" t="str">
        <f t="shared" si="71"/>
        <v>EC</v>
      </c>
      <c r="AH133" s="78" t="str">
        <f t="shared" si="50"/>
        <v>"%USERPROFILE%\Documents\GitHub\eaglep3\Utilities\RefineRTDCRunTimes.py" --tripid 219-08 --locoid 4066 --swversion DE.1.0.9.0 --startMP 204:464 --initTime 2017-10-08T18:21:23 --startdatetime 2017-10-08T18:30:15 --delay 106 --endMP 204:233325 --enddatetime 2017-10-08T19:06:21 --enforcementcount 0 &gt;&gt;%USERPROFILE%\Documents\GitHub\eaglep3-reporting\EC\2017-10-08-refined-times.txt</v>
      </c>
      <c r="AI133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{"issue":{"subject":"","project_id":79,"tracker_id":40,"status_id":1,"priority_id":2,"assigned_to_id":338,"start_date":"2017-10-08","description":"","custom_fields":[{"id":1,"name":"Subdivision","value":"EC"},{"id":4,"name":"Milepost","value":"23.3325"},{"id":17,"name":"Train ID","value":"219-08"},{"id":16,"name":"Locomotive ID","value":"4066"},{"id":130,"name":"Impact","value":""},{"id":150,"name":"Time of Event (Mountain Time)","value":"19:06:21"},{"id":151,"name":"Denver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52"/>
        <v>start /low /b %USERPROFILE%\Documents\GitHub\eaglep3\Utilities\DownloadLogsFromS3.py --loco 4066 --day 2017-10-08</v>
      </c>
      <c r="AN133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4"/>
        <v>https://d0f6bd738d7f1b3e5a7ca70fe4ff75f0.us-east-1.aws.found.io/app/kibana#/discover/Steve-Slow-Train-Analysis-(2080s-and-2083s)?_g=(refreshInterval:(display:Off,pause:!f,section:0,value:0),time:(from:'2017-10-08T17:21:23-0600',mode:absolute,to:'2017-10-08T20:06:21-0600'))&amp;_a=(columns:!('Message%20ID',Summary),filters:!(),index:'emp_*',interval:auto,query:(query_string:(analyze_wildcard:!t,query:'%22rtdc.l.rtdc.4066%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805</v>
      </c>
      <c r="B134" s="7">
        <v>4065</v>
      </c>
      <c r="C134" s="21" t="s">
        <v>194</v>
      </c>
      <c r="D134" s="21" t="s">
        <v>944</v>
      </c>
      <c r="E134" s="13">
        <v>43016.803449074076</v>
      </c>
      <c r="F134" s="13">
        <v>43016.810763888891</v>
      </c>
      <c r="G134" s="7">
        <v>63</v>
      </c>
      <c r="H134" s="21" t="s">
        <v>489</v>
      </c>
      <c r="I134" s="13">
        <v>43016.836377314816</v>
      </c>
      <c r="J134" s="7">
        <v>0</v>
      </c>
      <c r="K134" s="89" t="str">
        <f t="shared" si="66"/>
        <v>4065/4066</v>
      </c>
      <c r="L134" s="185" t="str">
        <f>VLOOKUP(A134,'Trips&amp;Operators'!$C$1:$G$99911,5,FALSE)</f>
        <v>DUNCAN SHEILA</v>
      </c>
      <c r="M134" s="6">
        <f t="shared" si="67"/>
        <v>2.5613425925257616E-2</v>
      </c>
      <c r="N134" s="7">
        <f t="shared" si="72"/>
        <v>36.883333332370967</v>
      </c>
      <c r="O134" s="7"/>
      <c r="P134" s="7"/>
      <c r="Q134" s="22"/>
      <c r="R134" s="174"/>
      <c r="S134" s="221">
        <f t="shared" si="73"/>
        <v>1</v>
      </c>
      <c r="T134" s="174" t="str">
        <f t="shared" si="68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1"/>
        <v>https://d0f6bd738d7f1b3e5a7ca70fe4ff75f0.us-east-1.aws.found.io/app/kibana#/discover/Steve-Slow-Train-Analysis-(2080s-and-2083s)?_g=(refreshInterval:(display:Off,pause:!f,section:0,value:0),time:(from:'2017-10-08T18:16:58-0600',mode:absolute,to:'2017-10-08T21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4" s="204" t="str">
        <f>IF(AA134&lt;VLOOKUP(AG134,Variables!$AC$3:$AD$8,2,FALSE),"Y","N")</f>
        <v>N</v>
      </c>
      <c r="X134" s="204">
        <f t="shared" si="76"/>
        <v>1</v>
      </c>
      <c r="Y134" s="204">
        <f t="shared" si="74"/>
        <v>23.302800000000001</v>
      </c>
      <c r="Z134" s="204">
        <f t="shared" si="75"/>
        <v>1.38E-2</v>
      </c>
      <c r="AA134" s="204">
        <f t="shared" si="69"/>
        <v>23.289000000000001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70"/>
        <v>220</v>
      </c>
      <c r="AE134" s="77" t="str">
        <f t="shared" si="47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134" s="74" t="str">
        <f t="shared" si="48"/>
        <v>"C:\Program Files (x86)\AstroGrep\AstroGrep.exe" /e /r /s /spath="%USERPROFILE%\AppData\Local\Temp\OnboardLogs" /stypes="app*4065*20171009*" /stext=" 02:.+((SYSTEM_STATE.+slice.+state.+changed )|(ment ac)|(multiple cpu faults)|(system.+state.+changed )|(\[timeout)|(PRM\|1\|D)|(kpr)|(kdp)|(train st.+moving)|(\|lc)|(penalty))"</v>
      </c>
      <c r="AG134" s="182" t="str">
        <f t="shared" si="71"/>
        <v>EC</v>
      </c>
      <c r="AH134" s="78" t="str">
        <f t="shared" si="50"/>
        <v>"%USERPROFILE%\Documents\GitHub\eaglep3\Utilities\RefineRTDCRunTimes.py" --tripid 220-08 --locoid 4065 --swversion DE.1.0.9.0 --startMP 204:233028 --initTime 2017-10-08T19:16:58 --startdatetime 2017-10-08T19:27:30 --delay 63 --endMP 204:138 --enddatetime 2017-10-08T20:04:23 --enforcementcount 0 &gt;&gt;%USERPROFILE%\Documents\GitHub\eaglep3-reporting\EC\2017-10-08-refined-times.txt</v>
      </c>
      <c r="AI134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{"issue":{"subject":"","project_id":79,"tracker_id":40,"status_id":1,"priority_id":2,"assigned_to_id":338,"start_date":"2017-10-08","description":"","custom_fields":[{"id":1,"name":"Subdivision","value":"EC"},{"id":4,"name":"Milepost","value":"0.0138"},{"id":17,"name":"Train ID","value":"220-08"},{"id":16,"name":"Locomotive ID","value":"4065"},{"id":130,"name":"Impact","value":""},{"id":150,"name":"Time of Event (Mountain Time)","value":"20:04:23"},{"id":151,"name":"Denver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52"/>
        <v>start /low /b %USERPROFILE%\Documents\GitHub\eaglep3\Utilities\DownloadLogsFromS3.py --loco 4065 --day 2017-10-08</v>
      </c>
      <c r="AN134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4"/>
        <v>https://d0f6bd738d7f1b3e5a7ca70fe4ff75f0.us-east-1.aws.found.io/app/kibana#/discover/Steve-Slow-Train-Analysis-(2080s-and-2083s)?_g=(refreshInterval:(display:Off,pause:!f,section:0,value:0),time:(from:'2017-10-08T18:16:58-0600',mode:absolute,to:'2017-10-08T21:04:23-0600'))&amp;_a=(columns:!('Message%20ID',Summary),filters:!(),index:'emp_*',interval:auto,query:(query_string:(analyze_wildcard:!t,query:'%22rtdc.l.rtdc.4065%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801</v>
      </c>
      <c r="B135" s="7">
        <v>4036</v>
      </c>
      <c r="C135" s="21" t="s">
        <v>194</v>
      </c>
      <c r="D135" s="21" t="s">
        <v>945</v>
      </c>
      <c r="E135" s="13">
        <v>43016.788518518515</v>
      </c>
      <c r="F135" s="13">
        <v>43016.792013888888</v>
      </c>
      <c r="G135" s="7">
        <v>80</v>
      </c>
      <c r="H135" s="21" t="s">
        <v>946</v>
      </c>
      <c r="I135" s="13">
        <v>43016.816550925927</v>
      </c>
      <c r="J135" s="7">
        <v>0</v>
      </c>
      <c r="K135" s="89" t="str">
        <f t="shared" si="66"/>
        <v>4035/4036</v>
      </c>
      <c r="L135" s="185" t="str">
        <f>VLOOKUP(A135,'Trips&amp;Operators'!$C$1:$G$99911,5,FALSE)</f>
        <v>STAMBAUGH JAMES</v>
      </c>
      <c r="M135" s="6">
        <f t="shared" si="67"/>
        <v>2.453703703940846E-2</v>
      </c>
      <c r="N135" s="7">
        <f t="shared" si="72"/>
        <v>35.333333336748183</v>
      </c>
      <c r="O135" s="7"/>
      <c r="P135" s="7"/>
      <c r="Q135" s="22"/>
      <c r="R135" s="174"/>
      <c r="S135" s="221">
        <f t="shared" si="73"/>
        <v>1</v>
      </c>
      <c r="T135" s="174" t="str">
        <f t="shared" si="68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1"/>
        <v>https://d0f6bd738d7f1b3e5a7ca70fe4ff75f0.us-east-1.aws.found.io/app/kibana#/discover/Steve-Slow-Train-Analysis-(2080s-and-2083s)?_g=(refreshInterval:(display:Off,pause:!f,section:0,value:0),time:(from:'2017-10-08T17:55:28-0600',mode:absolute,to:'2017-10-08T20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5" s="204" t="str">
        <f>IF(AA135&lt;VLOOKUP(AG135,Variables!$AC$3:$AD$8,2,FALSE),"Y","N")</f>
        <v>N</v>
      </c>
      <c r="X135" s="204">
        <f t="shared" si="76"/>
        <v>1</v>
      </c>
      <c r="Y135" s="204">
        <f t="shared" si="74"/>
        <v>4.1799999999999997E-2</v>
      </c>
      <c r="Z135" s="204">
        <f t="shared" si="75"/>
        <v>23.343800000000002</v>
      </c>
      <c r="AA135" s="204">
        <f t="shared" si="69"/>
        <v>23.302000000000003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70"/>
        <v>221</v>
      </c>
      <c r="AE135" s="77" t="str">
        <f t="shared" si="47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135" s="74" t="str">
        <f t="shared" si="48"/>
        <v>"C:\Program Files (x86)\AstroGrep\AstroGrep.exe" /e /r /s /spath="%USERPROFILE%\AppData\Local\Temp\OnboardLogs" /stypes="app*4036*20171009*" /stext=" 01:.+((SYSTEM_STATE.+slice.+state.+changed )|(ment ac)|(multiple cpu faults)|(system.+state.+changed )|(\[timeout)|(PRM\|1\|D)|(kpr)|(kdp)|(train st.+moving)|(\|lc)|(penalty))"</v>
      </c>
      <c r="AG135" s="182" t="str">
        <f t="shared" si="71"/>
        <v>EC</v>
      </c>
      <c r="AH135" s="78" t="str">
        <f t="shared" si="50"/>
        <v>"%USERPROFILE%\Documents\GitHub\eaglep3\Utilities\RefineRTDCRunTimes.py" --tripid 221-08 --locoid 4036 --swversion DE.1.0.9.0 --startMP 204:418 --initTime 2017-10-08T18:55:28 --startdatetime 2017-10-08T19:00:30 --delay 80 --endMP 204:233438 --enddatetime 2017-10-08T19:35:50 --enforcementcount 0 &gt;&gt;%USERPROFILE%\Documents\GitHub\eaglep3-reporting\EC\2017-10-08-refined-times.txt</v>
      </c>
      <c r="AI135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{"issue":{"subject":"","project_id":79,"tracker_id":40,"status_id":1,"priority_id":2,"assigned_to_id":338,"start_date":"2017-10-08","description":"","custom_fields":[{"id":1,"name":"Subdivision","value":"EC"},{"id":4,"name":"Milepost","value":"23.3438"},{"id":17,"name":"Train ID","value":"221-08"},{"id":16,"name":"Locomotive ID","value":"4036"},{"id":130,"name":"Impact","value":""},{"id":150,"name":"Time of Event (Mountain Time)","value":"19:35:50"},{"id":151,"name":"Denver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52"/>
        <v>start /low /b %USERPROFILE%\Documents\GitHub\eaglep3\Utilities\DownloadLogsFromS3.py --loco 4036 --day 2017-10-08</v>
      </c>
      <c r="AN135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4"/>
        <v>https://d0f6bd738d7f1b3e5a7ca70fe4ff75f0.us-east-1.aws.found.io/app/kibana#/discover/Steve-Slow-Train-Analysis-(2080s-and-2083s)?_g=(refreshInterval:(display:Off,pause:!f,section:0,value:0),time:(from:'2017-10-08T17:55:28-0600',mode:absolute,to:'2017-10-08T20:35:50-0600'))&amp;_a=(columns:!('Message%20ID',Summary),filters:!(),index:'emp_*',interval:auto,query:(query_string:(analyze_wildcard:!t,query:'%22rtdc.l.rtdc.4036%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808</v>
      </c>
      <c r="B136" s="7">
        <v>4035</v>
      </c>
      <c r="C136" s="21" t="s">
        <v>194</v>
      </c>
      <c r="D136" s="21" t="s">
        <v>947</v>
      </c>
      <c r="E136" s="13">
        <v>43016.825798611113</v>
      </c>
      <c r="F136" s="13">
        <v>43016.831863425927</v>
      </c>
      <c r="G136" s="7">
        <v>93</v>
      </c>
      <c r="H136" s="21" t="s">
        <v>555</v>
      </c>
      <c r="I136" s="13">
        <v>43016.856979166667</v>
      </c>
      <c r="J136" s="7">
        <v>0</v>
      </c>
      <c r="K136" s="89" t="str">
        <f t="shared" si="66"/>
        <v>4035/4036</v>
      </c>
      <c r="L136" s="185" t="str">
        <f>VLOOKUP(A136,'Trips&amp;Operators'!$C$1:$G$99911,5,FALSE)</f>
        <v>STAMBAUGH JAMES</v>
      </c>
      <c r="M136" s="6">
        <f t="shared" si="67"/>
        <v>2.5115740740147885E-2</v>
      </c>
      <c r="N136" s="7">
        <f t="shared" si="72"/>
        <v>36.166666665812954</v>
      </c>
      <c r="O136" s="7"/>
      <c r="P136" s="7"/>
      <c r="Q136" s="22"/>
      <c r="R136" s="174"/>
      <c r="S136" s="221">
        <f t="shared" si="73"/>
        <v>1</v>
      </c>
      <c r="T136" s="174" t="str">
        <f t="shared" si="68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1"/>
        <v>https://d0f6bd738d7f1b3e5a7ca70fe4ff75f0.us-east-1.aws.found.io/app/kibana#/discover/Steve-Slow-Train-Analysis-(2080s-and-2083s)?_g=(refreshInterval:(display:Off,pause:!f,section:0,value:0),time:(from:'2017-10-08T18:49:09-0600',mode:absolute,to:'2017-10-08T21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6" s="204" t="str">
        <f>IF(AA136&lt;VLOOKUP(AG136,Variables!$AC$3:$AD$8,2,FALSE),"Y","N")</f>
        <v>N</v>
      </c>
      <c r="X136" s="204">
        <f t="shared" si="76"/>
        <v>1</v>
      </c>
      <c r="Y136" s="204">
        <f t="shared" si="74"/>
        <v>23.316099999999999</v>
      </c>
      <c r="Z136" s="204">
        <f t="shared" si="75"/>
        <v>1.3599999999999999E-2</v>
      </c>
      <c r="AA136" s="204">
        <f t="shared" si="69"/>
        <v>23.302499999999998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70"/>
        <v>222</v>
      </c>
      <c r="AE136" s="77" t="str">
        <f t="shared" si="47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136" s="74" t="str">
        <f t="shared" si="48"/>
        <v>"C:\Program Files (x86)\AstroGrep\AstroGrep.exe" /e /r /s /spath="%USERPROFILE%\AppData\Local\Temp\OnboardLogs" /stypes="app*4035*20171009*" /stext=" 02:.+((SYSTEM_STATE.+slice.+state.+changed )|(ment ac)|(multiple cpu faults)|(system.+state.+changed )|(\[timeout)|(PRM\|1\|D)|(kpr)|(kdp)|(train st.+moving)|(\|lc)|(penalty))"</v>
      </c>
      <c r="AG136" s="182" t="str">
        <f t="shared" si="71"/>
        <v>EC</v>
      </c>
      <c r="AH136" s="78" t="str">
        <f t="shared" si="50"/>
        <v>"%USERPROFILE%\Documents\GitHub\eaglep3\Utilities\RefineRTDCRunTimes.py" --tripid 222-08 --locoid 4035 --swversion DE.1.0.9.0 --startMP 204:233161 --initTime 2017-10-08T19:49:09 --startdatetime 2017-10-08T19:57:53 --delay 93 --endMP 204:136 --enddatetime 2017-10-08T20:34:03 --enforcementcount 0 &gt;&gt;%USERPROFILE%\Documents\GitHub\eaglep3-reporting\EC\2017-10-08-refined-times.txt</v>
      </c>
      <c r="AI136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{"issue":{"subject":"","project_id":79,"tracker_id":40,"status_id":1,"priority_id":2,"assigned_to_id":338,"start_date":"2017-10-08","description":"","custom_fields":[{"id":1,"name":"Subdivision","value":"EC"},{"id":4,"name":"Milepost","value":"0.0136"},{"id":17,"name":"Train ID","value":"222-08"},{"id":16,"name":"Locomotive ID","value":"4035"},{"id":130,"name":"Impact","value":""},{"id":150,"name":"Time of Event (Mountain Time)","value":"20:34:03"},{"id":151,"name":"Denver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52"/>
        <v>start /low /b %USERPROFILE%\Documents\GitHub\eaglep3\Utilities\DownloadLogsFromS3.py --loco 4035 --day 2017-10-08</v>
      </c>
      <c r="AN136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4"/>
        <v>https://d0f6bd738d7f1b3e5a7ca70fe4ff75f0.us-east-1.aws.found.io/app/kibana#/discover/Steve-Slow-Train-Analysis-(2080s-and-2083s)?_g=(refreshInterval:(display:Off,pause:!f,section:0,value:0),time:(from:'2017-10-08T18:49:09-0600',mode:absolute,to:'2017-10-08T21:34:03-0600'))&amp;_a=(columns:!('Message%20ID',Summary),filters:!(),index:'emp_*',interval:auto,query:(query_string:(analyze_wildcard:!t,query:'%22rtdc.l.rtdc.4035%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4002</v>
      </c>
      <c r="C137" s="21" t="s">
        <v>194</v>
      </c>
      <c r="D137" s="21" t="s">
        <v>867</v>
      </c>
      <c r="E137" s="13">
        <v>43016.808217592596</v>
      </c>
      <c r="F137" s="13">
        <v>43016.812673611108</v>
      </c>
      <c r="G137" s="7">
        <v>77</v>
      </c>
      <c r="H137" s="21" t="s">
        <v>434</v>
      </c>
      <c r="I137" s="13">
        <v>43016.837210648147</v>
      </c>
      <c r="J137" s="7">
        <v>0</v>
      </c>
      <c r="K137" s="89" t="str">
        <f t="shared" si="66"/>
        <v>4001/4002</v>
      </c>
      <c r="L137" s="185" t="str">
        <f>VLOOKUP(A137,'Trips&amp;Operators'!$C$1:$G$99911,5,FALSE)</f>
        <v>LOZA FIDEL</v>
      </c>
      <c r="M137" s="6">
        <f t="shared" si="67"/>
        <v>2.453703703940846E-2</v>
      </c>
      <c r="N137" s="7">
        <f t="shared" si="72"/>
        <v>35.333333336748183</v>
      </c>
      <c r="O137" s="7"/>
      <c r="P137" s="7"/>
      <c r="Q137" s="22"/>
      <c r="R137" s="174"/>
      <c r="S137" s="221">
        <f t="shared" si="73"/>
        <v>1</v>
      </c>
      <c r="T137" s="174" t="str">
        <f t="shared" si="68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1"/>
        <v>https://d0f6bd738d7f1b3e5a7ca70fe4ff75f0.us-east-1.aws.found.io/app/kibana#/discover/Steve-Slow-Train-Analysis-(2080s-and-2083s)?_g=(refreshInterval:(display:Off,pause:!f,section:0,value:0),time:(from:'2017-10-08T18:23:50-0600',mode:absolute,to:'2017-10-08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204" t="str">
        <f>IF(AA137&lt;VLOOKUP(AG137,Variables!$AC$3:$AD$8,2,FALSE),"Y","N")</f>
        <v>N</v>
      </c>
      <c r="X137" s="204">
        <f t="shared" si="76"/>
        <v>1</v>
      </c>
      <c r="Y137" s="204">
        <f t="shared" si="74"/>
        <v>4.7100000000000003E-2</v>
      </c>
      <c r="Z137" s="204">
        <f t="shared" si="75"/>
        <v>23.333100000000002</v>
      </c>
      <c r="AA137" s="204">
        <f t="shared" si="69"/>
        <v>23.286000000000001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70"/>
        <v>223</v>
      </c>
      <c r="AE137" s="77" t="str">
        <f t="shared" si="47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137" s="74" t="str">
        <f t="shared" si="48"/>
        <v>"C:\Program Files (x86)\AstroGrep\AstroGrep.exe" /e /r /s /spath="%USERPROFILE%\AppData\Local\Temp\OnboardLogs" /stypes="app*4002*20171009*" /stext=" 02:.+((SYSTEM_STATE.+slice.+state.+changed )|(ment ac)|(multiple cpu faults)|(system.+state.+changed )|(\[timeout)|(PRM\|1\|D)|(kpr)|(kdp)|(train st.+moving)|(\|lc)|(penalty))"</v>
      </c>
      <c r="AG137" s="182" t="str">
        <f t="shared" si="71"/>
        <v>EC</v>
      </c>
      <c r="AH137" s="78" t="str">
        <f t="shared" si="50"/>
        <v>"%USERPROFILE%\Documents\GitHub\eaglep3\Utilities\RefineRTDCRunTimes.py" --tripid 223-08 --locoid 4002 --swversion DE.1.0.9.0 --startMP 204:471 --initTime 2017-10-08T19:23:50 --startdatetime 2017-10-08T19:30:15 --delay 77 --endMP 204:233331 --enddatetime 2017-10-08T20:05:35 --enforcementcount 0 &gt;&gt;%USERPROFILE%\Documents\GitHub\eaglep3-reporting\EC\2017-10-08-refined-times.txt</v>
      </c>
      <c r="AI137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{"issue":{"subject":"","project_id":79,"tracker_id":40,"status_id":1,"priority_id":2,"assigned_to_id":338,"start_date":"2017-10-08","description":"","custom_fields":[{"id":1,"name":"Subdivision","value":"EC"},{"id":4,"name":"Milepost","value":"23.3331"},{"id":17,"name":"Train ID","value":"223-08"},{"id":16,"name":"Locomotive ID","value":"4002"},{"id":130,"name":"Impact","value":""},{"id":150,"name":"Time of Event (Mountain Time)","value":"20:05:35"},{"id":151,"name":"Denver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52"/>
        <v>start /low /b %USERPROFILE%\Documents\GitHub\eaglep3\Utilities\DownloadLogsFromS3.py --loco 4002 --day 2017-10-08</v>
      </c>
      <c r="AN137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4"/>
        <v>https://d0f6bd738d7f1b3e5a7ca70fe4ff75f0.us-east-1.aws.found.io/app/kibana#/discover/Steve-Slow-Train-Analysis-(2080s-and-2083s)?_g=(refreshInterval:(display:Off,pause:!f,section:0,value:0),time:(from:'2017-10-08T18:23:50-0600',mode:absolute,to:'2017-10-08T21:05:35-0600'))&amp;_a=(columns:!('Message%20ID',Summary),filters:!(),index:'emp_*',interval:auto,query:(query_string:(analyze_wildcard:!t,query:'%22rtdc.l.rtdc.4002%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814</v>
      </c>
      <c r="B138" s="7">
        <v>4001</v>
      </c>
      <c r="C138" s="21" t="s">
        <v>194</v>
      </c>
      <c r="D138" s="21" t="s">
        <v>565</v>
      </c>
      <c r="E138" s="13">
        <v>43016.849861111114</v>
      </c>
      <c r="F138" s="13">
        <v>43016.852268518516</v>
      </c>
      <c r="G138" s="7">
        <v>69</v>
      </c>
      <c r="H138" s="21" t="s">
        <v>339</v>
      </c>
      <c r="I138" s="13">
        <v>43016.87740740741</v>
      </c>
      <c r="J138" s="7">
        <v>0</v>
      </c>
      <c r="K138" s="89" t="str">
        <f t="shared" si="66"/>
        <v>4001/4002</v>
      </c>
      <c r="L138" s="185" t="str">
        <f>VLOOKUP(A138,'Trips&amp;Operators'!$C$1:$G$99911,5,FALSE)</f>
        <v>LOZA FIDEL</v>
      </c>
      <c r="M138" s="6">
        <f t="shared" si="67"/>
        <v>2.513888889370719E-2</v>
      </c>
      <c r="N138" s="7">
        <f t="shared" si="72"/>
        <v>36.200000006938353</v>
      </c>
      <c r="O138" s="7"/>
      <c r="P138" s="7"/>
      <c r="Q138" s="22"/>
      <c r="R138" s="174"/>
      <c r="S138" s="221">
        <f t="shared" si="73"/>
        <v>1</v>
      </c>
      <c r="T138" s="174" t="str">
        <f t="shared" si="68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1"/>
        <v>https://d0f6bd738d7f1b3e5a7ca70fe4ff75f0.us-east-1.aws.found.io/app/kibana#/discover/Steve-Slow-Train-Analysis-(2080s-and-2083s)?_g=(refreshInterval:(display:Off,pause:!f,section:0,value:0),time:(from:'2017-10-08T19:23:48-0600',mode:absolute,to:'2017-10-08T22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204" t="str">
        <f>IF(AA138&lt;VLOOKUP(AG138,Variables!$AC$3:$AD$8,2,FALSE),"Y","N")</f>
        <v>N</v>
      </c>
      <c r="X138" s="204">
        <f t="shared" si="76"/>
        <v>1</v>
      </c>
      <c r="Y138" s="204">
        <f t="shared" si="74"/>
        <v>23.302299999999999</v>
      </c>
      <c r="Z138" s="204">
        <f t="shared" si="75"/>
        <v>1.41E-2</v>
      </c>
      <c r="AA138" s="204">
        <f t="shared" si="69"/>
        <v>23.2882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70"/>
        <v>224</v>
      </c>
      <c r="AE138" s="77" t="str">
        <f t="shared" si="47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38" s="74" t="str">
        <f t="shared" si="48"/>
        <v>"C:\Program Files (x86)\AstroGrep\AstroGrep.exe" /e /r /s /spath="%USERPROFILE%\AppData\Local\Temp\OnboardLogs" /stypes="app*4001*20171009*" /stext=" 03:.+((SYSTEM_STATE.+slice.+state.+changed )|(ment ac)|(multiple cpu faults)|(system.+state.+changed )|(\[timeout)|(PRM\|1\|D)|(kpr)|(kdp)|(train st.+moving)|(\|lc)|(penalty))"</v>
      </c>
      <c r="AG138" s="182" t="str">
        <f t="shared" si="71"/>
        <v>EC</v>
      </c>
      <c r="AH138" s="78" t="str">
        <f t="shared" si="50"/>
        <v>"%USERPROFILE%\Documents\GitHub\eaglep3\Utilities\RefineRTDCRunTimes.py" --tripid 224-08 --locoid 4001 --swversion DE.1.0.9.0 --startMP 204:233023 --initTime 2017-10-08T20:23:48 --startdatetime 2017-10-08T20:27:16 --delay 69 --endMP 204:141 --enddatetime 2017-10-08T21:03:28 --enforcementcount 0 &gt;&gt;%USERPROFILE%\Documents\GitHub\eaglep3-reporting\EC\2017-10-08-refined-times.txt</v>
      </c>
      <c r="AI138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{"issue":{"subject":"","project_id":79,"tracker_id":40,"status_id":1,"priority_id":2,"assigned_to_id":338,"start_date":"2017-10-08","description":"","custom_fields":[{"id":1,"name":"Subdivision","value":"EC"},{"id":4,"name":"Milepost","value":"0.0141"},{"id":17,"name":"Train ID","value":"224-08"},{"id":16,"name":"Locomotive ID","value":"4001"},{"id":130,"name":"Impact","value":""},{"id":150,"name":"Time of Event (Mountain Time)","value":"21:03:28"},{"id":151,"name":"Denver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52"/>
        <v>start /low /b %USERPROFILE%\Documents\GitHub\eaglep3\Utilities\DownloadLogsFromS3.py --loco 4001 --day 2017-10-08</v>
      </c>
      <c r="AN138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03:03:28"},{"id":29,"name":"Sharepoint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4"/>
        <v>https://d0f6bd738d7f1b3e5a7ca70fe4ff75f0.us-east-1.aws.found.io/app/kibana#/discover/Steve-Slow-Train-Analysis-(2080s-and-2083s)?_g=(refreshInterval:(display:Off,pause:!f,section:0,value:0),time:(from:'2017-10-08T19:23:48-0600',mode:absolute,to:'2017-10-08T22:03:28-0600'))&amp;_a=(columns:!('Message%20ID',Summary),filters:!(),index:'emp_*',interval:auto,query:(query_string:(analyze_wildcard:!t,query:'%22rtdc.l.rtdc.4001%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809</v>
      </c>
      <c r="B139" s="7">
        <v>4050</v>
      </c>
      <c r="C139" s="21" t="s">
        <v>194</v>
      </c>
      <c r="D139" s="21" t="s">
        <v>554</v>
      </c>
      <c r="E139" s="13">
        <v>43016.826388888891</v>
      </c>
      <c r="F139" s="13">
        <v>43016.833483796298</v>
      </c>
      <c r="G139" s="7">
        <v>64</v>
      </c>
      <c r="H139" s="21" t="s">
        <v>948</v>
      </c>
      <c r="I139" s="13">
        <v>43016.858344907407</v>
      </c>
      <c r="J139" s="7">
        <v>0</v>
      </c>
      <c r="K139" s="89" t="str">
        <f t="shared" si="66"/>
        <v>4049/4050</v>
      </c>
      <c r="L139" s="185" t="str">
        <f>VLOOKUP(A139,'Trips&amp;Operators'!$C$1:$G$99911,5,FALSE)</f>
        <v>ELBAUM MIKE</v>
      </c>
      <c r="M139" s="6">
        <f t="shared" si="67"/>
        <v>2.4861111109203193E-2</v>
      </c>
      <c r="N139" s="7">
        <f t="shared" si="72"/>
        <v>35.799999997252598</v>
      </c>
      <c r="O139" s="7"/>
      <c r="P139" s="7"/>
      <c r="Q139" s="22"/>
      <c r="R139" s="174"/>
      <c r="S139" s="221">
        <f t="shared" si="73"/>
        <v>1</v>
      </c>
      <c r="T139" s="174" t="str">
        <f t="shared" si="68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1"/>
        <v>https://d0f6bd738d7f1b3e5a7ca70fe4ff75f0.us-east-1.aws.found.io/app/kibana#/discover/Steve-Slow-Train-Analysis-(2080s-and-2083s)?_g=(refreshInterval:(display:Off,pause:!f,section:0,value:0),time:(from:'2017-10-08T18:50:00-0600',mode:absolute,to:'2017-10-08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9" s="204" t="str">
        <f>IF(AA139&lt;VLOOKUP(AG139,Variables!$AC$3:$AD$8,2,FALSE),"Y","N")</f>
        <v>N</v>
      </c>
      <c r="X139" s="204">
        <f t="shared" si="76"/>
        <v>1</v>
      </c>
      <c r="Y139" s="204">
        <f t="shared" si="74"/>
        <v>4.3999999999999997E-2</v>
      </c>
      <c r="Z139" s="204">
        <f t="shared" si="75"/>
        <v>23.331499999999998</v>
      </c>
      <c r="AA139" s="204">
        <f t="shared" si="69"/>
        <v>23.287499999999998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70"/>
        <v>225</v>
      </c>
      <c r="AE139" s="77" t="str">
        <f t="shared" si="47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39" s="74" t="str">
        <f t="shared" si="48"/>
        <v>"C:\Program Files (x86)\AstroGrep\AstroGrep.exe" /e /r /s /spath="%USERPROFILE%\AppData\Local\Temp\OnboardLogs" /stypes="app*4050*20171009*" /stext=" 02:.+((SYSTEM_STATE.+slice.+state.+changed )|(ment ac)|(multiple cpu faults)|(system.+state.+changed )|(\[timeout)|(PRM\|1\|D)|(kpr)|(kdp)|(train st.+moving)|(\|lc)|(penalty))"</v>
      </c>
      <c r="AG139" s="182" t="str">
        <f t="shared" si="71"/>
        <v>EC</v>
      </c>
      <c r="AH139" s="78" t="str">
        <f t="shared" si="50"/>
        <v>"%USERPROFILE%\Documents\GitHub\eaglep3\Utilities\RefineRTDCRunTimes.py" --tripid 225-08 --locoid 4050 --swversion DE.1.0.9.0 --startMP 204:440 --initTime 2017-10-08T19:50:00 --startdatetime 2017-10-08T20:00:13 --delay 64 --endMP 204:233315 --enddatetime 2017-10-08T20:36:01 --enforcementcount 0 &gt;&gt;%USERPROFILE%\Documents\GitHub\eaglep3-reporting\EC\2017-10-08-refined-times.txt</v>
      </c>
      <c r="AI139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{"issue":{"subject":"","project_id":79,"tracker_id":40,"status_id":1,"priority_id":2,"assigned_to_id":338,"start_date":"2017-10-08","description":"","custom_fields":[{"id":1,"name":"Subdivision","value":"EC"},{"id":4,"name":"Milepost","value":"23.3315"},{"id":17,"name":"Train ID","value":"225-08"},{"id":16,"name":"Locomotive ID","value":"4050"},{"id":130,"name":"Impact","value":""},{"id":150,"name":"Time of Event (Mountain Time)","value":"20:36:01"},{"id":151,"name":"Denver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52"/>
        <v>start /low /b %USERPROFILE%\Documents\GitHub\eaglep3\Utilities\DownloadLogsFromS3.py --loco 4050 --day 2017-10-08</v>
      </c>
      <c r="AN139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4"/>
        <v>https://d0f6bd738d7f1b3e5a7ca70fe4ff75f0.us-east-1.aws.found.io/app/kibana#/discover/Steve-Slow-Train-Analysis-(2080s-and-2083s)?_g=(refreshInterval:(display:Off,pause:!f,section:0,value:0),time:(from:'2017-10-08T18:50:00-0600',mode:absolute,to:'2017-10-08T21:36:01-0600'))&amp;_a=(columns:!('Message%20ID',Summary),filters:!(),index:'emp_*',interval:auto,query:(query_string:(analyze_wildcard:!t,query:'%22rtdc.l.rtdc.4050%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817</v>
      </c>
      <c r="B140" s="7">
        <v>4049</v>
      </c>
      <c r="C140" s="21" t="s">
        <v>194</v>
      </c>
      <c r="D140" s="21" t="s">
        <v>448</v>
      </c>
      <c r="E140" s="13">
        <v>43016.859201388892</v>
      </c>
      <c r="F140" s="13">
        <v>43016.873090277775</v>
      </c>
      <c r="G140" s="7">
        <v>57</v>
      </c>
      <c r="H140" s="21" t="s">
        <v>337</v>
      </c>
      <c r="I140" s="13">
        <v>43016.898449074077</v>
      </c>
      <c r="J140" s="7">
        <v>0</v>
      </c>
      <c r="K140" s="89" t="str">
        <f t="shared" si="66"/>
        <v>4049/4050</v>
      </c>
      <c r="L140" s="185" t="str">
        <f>VLOOKUP(A140,'Trips&amp;Operators'!$C$1:$G$99911,5,FALSE)</f>
        <v>ELBAUM MIKE</v>
      </c>
      <c r="M140" s="6">
        <f t="shared" si="67"/>
        <v>2.5358796301588882E-2</v>
      </c>
      <c r="N140" s="7">
        <f t="shared" si="72"/>
        <v>36.51666667428799</v>
      </c>
      <c r="O140" s="7"/>
      <c r="P140" s="7"/>
      <c r="Q140" s="22"/>
      <c r="R140" s="174"/>
      <c r="S140" s="221">
        <f t="shared" si="73"/>
        <v>1</v>
      </c>
      <c r="T140" s="174" t="str">
        <f t="shared" si="68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1"/>
        <v>https://d0f6bd738d7f1b3e5a7ca70fe4ff75f0.us-east-1.aws.found.io/app/kibana#/discover/Steve-Slow-Train-Analysis-(2080s-and-2083s)?_g=(refreshInterval:(display:Off,pause:!f,section:0,value:0),time:(from:'2017-10-08T19:37:15-0600',mode:absolute,to:'2017-10-08T22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0" s="204" t="str">
        <f>IF(AA140&lt;VLOOKUP(AG140,Variables!$AC$3:$AD$8,2,FALSE),"Y","N")</f>
        <v>N</v>
      </c>
      <c r="X140" s="204">
        <f t="shared" si="76"/>
        <v>1</v>
      </c>
      <c r="Y140" s="204">
        <f t="shared" si="74"/>
        <v>23.302099999999999</v>
      </c>
      <c r="Z140" s="204">
        <f t="shared" si="75"/>
        <v>1.43E-2</v>
      </c>
      <c r="AA140" s="204">
        <f t="shared" si="69"/>
        <v>23.287800000000001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70"/>
        <v>226</v>
      </c>
      <c r="AE140" s="77" t="str">
        <f t="shared" si="47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140" s="74" t="str">
        <f t="shared" si="48"/>
        <v>"C:\Program Files (x86)\AstroGrep\AstroGrep.exe" /e /r /s /spath="%USERPROFILE%\AppData\Local\Temp\OnboardLogs" /stypes="app*4049*20171009*" /stext=" 03:.+((SYSTEM_STATE.+slice.+state.+changed )|(ment ac)|(multiple cpu faults)|(system.+state.+changed )|(\[timeout)|(PRM\|1\|D)|(kpr)|(kdp)|(train st.+moving)|(\|lc)|(penalty))"</v>
      </c>
      <c r="AG140" s="182" t="str">
        <f t="shared" si="71"/>
        <v>EC</v>
      </c>
      <c r="AH140" s="78" t="str">
        <f t="shared" si="50"/>
        <v>"%USERPROFILE%\Documents\GitHub\eaglep3\Utilities\RefineRTDCRunTimes.py" --tripid 226-08 --locoid 4049 --swversion DE.1.0.9.0 --startMP 204:233021 --initTime 2017-10-08T20:37:15 --startdatetime 2017-10-08T20:57:15 --delay 57 --endMP 204:143 --enddatetime 2017-10-08T21:33:46 --enforcementcount 0 &gt;&gt;%USERPROFILE%\Documents\GitHub\eaglep3-reporting\EC\2017-10-08-refined-times.txt</v>
      </c>
      <c r="AI140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{"issue":{"subject":"","project_id":79,"tracker_id":40,"status_id":1,"priority_id":2,"assigned_to_id":338,"start_date":"2017-10-08","description":"","custom_fields":[{"id":1,"name":"Subdivision","value":"EC"},{"id":4,"name":"Milepost","value":"0.0143"},{"id":17,"name":"Train ID","value":"226-08"},{"id":16,"name":"Locomotive ID","value":"4049"},{"id":130,"name":"Impact","value":""},{"id":150,"name":"Time of Event (Mountain Time)","value":"21:33:46"},{"id":151,"name":"Denver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52"/>
        <v>start /low /b %USERPROFILE%\Documents\GitHub\eaglep3\Utilities\DownloadLogsFromS3.py --loco 4049 --day 2017-10-08</v>
      </c>
      <c r="AN140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03:33:46"},{"id":29,"name":"Sharepoint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4"/>
        <v>https://d0f6bd738d7f1b3e5a7ca70fe4ff75f0.us-east-1.aws.found.io/app/kibana#/discover/Steve-Slow-Train-Analysis-(2080s-and-2083s)?_g=(refreshInterval:(display:Off,pause:!f,section:0,value:0),time:(from:'2017-10-08T19:37:15-0600',mode:absolute,to:'2017-10-08T22:33:46-0600'))&amp;_a=(columns:!('Message%20ID',Summary),filters:!(),index:'emp_*',interval:auto,query:(query_string:(analyze_wildcard:!t,query:'%22rtdc.l.rtdc.4049%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813</v>
      </c>
      <c r="B141" s="7">
        <v>4066</v>
      </c>
      <c r="C141" s="21" t="s">
        <v>194</v>
      </c>
      <c r="D141" s="21" t="s">
        <v>562</v>
      </c>
      <c r="E141" s="13">
        <v>43016.840011574073</v>
      </c>
      <c r="F141" s="13">
        <v>43016.854351851849</v>
      </c>
      <c r="G141" s="7">
        <v>68</v>
      </c>
      <c r="H141" s="21" t="s">
        <v>949</v>
      </c>
      <c r="I141" s="13">
        <v>43016.879490740743</v>
      </c>
      <c r="J141" s="7">
        <v>0</v>
      </c>
      <c r="K141" s="89" t="str">
        <f t="shared" ref="K141:K172" si="77">IF(ISEVEN(B141),(B141-1)&amp;"/"&amp;B141,B141&amp;"/"&amp;(B141+1))</f>
        <v>4065/4066</v>
      </c>
      <c r="L141" s="185" t="str">
        <f>VLOOKUP(A141,'Trips&amp;Operators'!$C$1:$G$99911,5,FALSE)</f>
        <v>DUNCAN SHEILA</v>
      </c>
      <c r="M141" s="6">
        <f t="shared" ref="M141:M172" si="78">I141-F141</f>
        <v>2.513888889370719E-2</v>
      </c>
      <c r="N141" s="7">
        <f t="shared" si="72"/>
        <v>36.200000006938353</v>
      </c>
      <c r="O141" s="7"/>
      <c r="P141" s="7"/>
      <c r="Q141" s="22"/>
      <c r="R141" s="174"/>
      <c r="S141" s="221">
        <f t="shared" si="73"/>
        <v>1</v>
      </c>
      <c r="T141" s="174" t="str">
        <f t="shared" ref="T141:T172" si="79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-08T19:09:37-0600',mode:absolute,to:'2017-10-08T22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1" s="204" t="str">
        <f>IF(AA141&lt;VLOOKUP(AG141,Variables!$AC$3:$AD$8,2,FALSE),"Y","N")</f>
        <v>N</v>
      </c>
      <c r="X141" s="204">
        <f t="shared" si="76"/>
        <v>1</v>
      </c>
      <c r="Y141" s="204">
        <f t="shared" si="74"/>
        <v>4.8000000000000001E-2</v>
      </c>
      <c r="Z141" s="204">
        <f t="shared" si="75"/>
        <v>23.334</v>
      </c>
      <c r="AA141" s="204">
        <f t="shared" ref="AA141:AA172" si="81">ABS(Z141-Y141)</f>
        <v>23.286000000000001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172" si="82">VALUE(LEFT(A141,LEN(A141)-3))</f>
        <v>227</v>
      </c>
      <c r="AE141" s="77" t="str">
        <f t="shared" ref="AE141:AE204" si="8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141" s="74" t="str">
        <f t="shared" ref="AF141:AF204" si="8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/stypes="app*4066*20171009*" /stext=" 03:.+((SYSTEM_STATE.+slice.+state.+changed )|(ment ac)|(multiple cpu faults)|(system.+state.+changed )|(\[timeout)|(PRM\|1\|D)|(kpr)|(kdp)|(train st.+moving)|(\|lc)|(penalty))"</v>
      </c>
      <c r="AG141" s="182" t="str">
        <f t="shared" ref="AG141:AG172" si="85">DetSubdiv(A141)</f>
        <v>EC</v>
      </c>
      <c r="AH141" s="78" t="str">
        <f t="shared" si="50"/>
        <v>"%USERPROFILE%\Documents\GitHub\eaglep3\Utilities\RefineRTDCRunTimes.py" --tripid 227-08 --locoid 4066 --swversion DE.1.0.9.0 --startMP 204:480 --initTime 2017-10-08T20:09:37 --startdatetime 2017-10-08T20:30:16 --delay 68 --endMP 204:233340 --enddatetime 2017-10-08T21:06:28 --enforcementcount 0 &gt;&gt;%USERPROFILE%\Documents\GitHub\eaglep3-reporting\EC\2017-10-08-refined-times.txt</v>
      </c>
      <c r="AI141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{"issue":{"subject":"","project_id":79,"tracker_id":40,"status_id":1,"priority_id":2,"assigned_to_id":338,"start_date":"2017-10-08","description":"","custom_fields":[{"id":1,"name":"Subdivision","value":"EC"},{"id":4,"name":"Milepost","value":"23.334"},{"id":17,"name":"Train ID","value":"227-08"},{"id":16,"name":"Locomotive ID","value":"4066"},{"id":130,"name":"Impact","value":""},{"id":150,"name":"Time of Event (Mountain Time)","value":"21:06:28"},{"id":151,"name":"Denver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52"/>
        <v>start /low /b %USERPROFILE%\Documents\GitHub\eaglep3\Utilities\DownloadLogsFromS3.py --loco 4066 --day 2017-10-08</v>
      </c>
      <c r="AN141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4"/>
        <v>https://d0f6bd738d7f1b3e5a7ca70fe4ff75f0.us-east-1.aws.found.io/app/kibana#/discover/Steve-Slow-Train-Analysis-(2080s-and-2083s)?_g=(refreshInterval:(display:Off,pause:!f,section:0,value:0),time:(from:'2017-10-08T19:09:37-0600',mode:absolute,to:'2017-10-08T22:06:28-0600'))&amp;_a=(columns:!('Message%20ID',Summary),filters:!(),index:'emp_*',interval:auto,query:(query_string:(analyze_wildcard:!t,query:'%22rtdc.l.rtdc.4066%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819</v>
      </c>
      <c r="B142" s="7">
        <v>4065</v>
      </c>
      <c r="C142" s="21" t="s">
        <v>194</v>
      </c>
      <c r="D142" s="21" t="s">
        <v>857</v>
      </c>
      <c r="E142" s="13">
        <v>43016.880358796298</v>
      </c>
      <c r="F142" s="13">
        <v>43016.893969907411</v>
      </c>
      <c r="G142" s="7">
        <v>53</v>
      </c>
      <c r="H142" s="21" t="s">
        <v>340</v>
      </c>
      <c r="I142" s="13">
        <v>43016.919895833336</v>
      </c>
      <c r="J142" s="7">
        <v>0</v>
      </c>
      <c r="K142" s="89" t="str">
        <f t="shared" si="77"/>
        <v>4065/4066</v>
      </c>
      <c r="L142" s="185" t="str">
        <f>VLOOKUP(A142,'Trips&amp;Operators'!$C$1:$G$99911,5,FALSE)</f>
        <v>DUNCAN SHEILA</v>
      </c>
      <c r="M142" s="6">
        <f t="shared" si="78"/>
        <v>2.5925925925548654E-2</v>
      </c>
      <c r="N142" s="7">
        <f t="shared" si="72"/>
        <v>37.333333332790062</v>
      </c>
      <c r="O142" s="7"/>
      <c r="P142" s="7"/>
      <c r="Q142" s="22"/>
      <c r="R142" s="174"/>
      <c r="S142" s="221">
        <f t="shared" si="73"/>
        <v>1</v>
      </c>
      <c r="T142" s="174" t="str">
        <f t="shared" si="79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0"/>
        <v>https://d0f6bd738d7f1b3e5a7ca70fe4ff75f0.us-east-1.aws.found.io/app/kibana#/discover/Steve-Slow-Train-Analysis-(2080s-and-2083s)?_g=(refreshInterval:(display:Off,pause:!f,section:0,value:0),time:(from:'2017-10-08T20:07:43-0600',mode:absolute,to:'2017-10-08T23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2" s="204" t="str">
        <f>IF(AA142&lt;VLOOKUP(AG142,Variables!$AC$3:$AD$8,2,FALSE),"Y","N")</f>
        <v>N</v>
      </c>
      <c r="X142" s="204">
        <f t="shared" si="76"/>
        <v>1</v>
      </c>
      <c r="Y142" s="204">
        <f t="shared" si="74"/>
        <v>23.302700000000002</v>
      </c>
      <c r="Z142" s="204">
        <f t="shared" si="75"/>
        <v>1.47E-2</v>
      </c>
      <c r="AA142" s="204">
        <f t="shared" si="81"/>
        <v>23.288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2"/>
        <v>228</v>
      </c>
      <c r="AE142" s="77" t="str">
        <f t="shared" si="83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142" s="74" t="str">
        <f t="shared" si="84"/>
        <v>"C:\Program Files (x86)\AstroGrep\AstroGrep.exe" /e /r /s /spath="%USERPROFILE%\AppData\Local\Temp\OnboardLogs" /stypes="app*4065*20171009*" /stext=" 04:.+((SYSTEM_STATE.+slice.+state.+changed )|(ment ac)|(multiple cpu faults)|(system.+state.+changed )|(\[timeout)|(PRM\|1\|D)|(kpr)|(kdp)|(train st.+moving)|(\|lc)|(penalty))"</v>
      </c>
      <c r="AG142" s="182" t="str">
        <f t="shared" si="85"/>
        <v>EC</v>
      </c>
      <c r="AH142" s="78" t="str">
        <f t="shared" si="50"/>
        <v>"%USERPROFILE%\Documents\GitHub\eaglep3\Utilities\RefineRTDCRunTimes.py" --tripid 228-08 --locoid 4065 --swversion DE.1.0.9.0 --startMP 204:233027 --initTime 2017-10-08T21:07:43 --startdatetime 2017-10-08T21:27:19 --delay 53 --endMP 204:147 --enddatetime 2017-10-08T22:04:39 --enforcementcount 0 &gt;&gt;%USERPROFILE%\Documents\GitHub\eaglep3-reporting\EC\2017-10-08-refined-times.txt</v>
      </c>
      <c r="AI142" s="96" t="str">
        <f t="shared" si="51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ID","value":"228-08"},{"id":16,"name":"Locomotive ID","value":"4065"},{"id":130,"name":"Impact","value":""},{"id":150,"name":"Time of Event (Mountain Time)","value":"22:04:39"},{"id":151,"name":"Denver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52"/>
        <v>start /low /b %USERPROFILE%\Documents\GitHub\eaglep3\Utilities\DownloadLogsFromS3.py --loco 4065 --day 2017-10-08</v>
      </c>
      <c r="AN142" s="151" t="str">
        <f t="shared" si="5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4"/>
        <v>https://d0f6bd738d7f1b3e5a7ca70fe4ff75f0.us-east-1.aws.found.io/app/kibana#/discover/Steve-Slow-Train-Analysis-(2080s-and-2083s)?_g=(refreshInterval:(display:Off,pause:!f,section:0,value:0),time:(from:'2017-10-08T20:07:43-0600',mode:absolute,to:'2017-10-08T23:04:39-0600'))&amp;_a=(columns:!('Message%20ID',Summary),filters:!(),index:'emp_*',interval:auto,query:(query_string:(analyze_wildcard:!t,query:'%22rtdc.l.rtdc.4065%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816</v>
      </c>
      <c r="B143" s="7">
        <v>4036</v>
      </c>
      <c r="C143" s="21" t="s">
        <v>194</v>
      </c>
      <c r="D143" s="21" t="s">
        <v>403</v>
      </c>
      <c r="E143" s="13">
        <v>43016.858148148145</v>
      </c>
      <c r="F143" s="13">
        <v>43016.875486111108</v>
      </c>
      <c r="G143" s="7">
        <v>62</v>
      </c>
      <c r="H143" s="21" t="s">
        <v>950</v>
      </c>
      <c r="I143" s="13">
        <v>43016.900081018517</v>
      </c>
      <c r="J143" s="7">
        <v>0</v>
      </c>
      <c r="K143" s="89" t="str">
        <f t="shared" si="77"/>
        <v>4035/4036</v>
      </c>
      <c r="L143" s="185" t="str">
        <f>VLOOKUP(A143,'Trips&amp;Operators'!$C$1:$G$99911,5,FALSE)</f>
        <v>STAMBAUGH JAMES</v>
      </c>
      <c r="M143" s="6">
        <f t="shared" si="78"/>
        <v>2.4594907408754807E-2</v>
      </c>
      <c r="N143" s="7">
        <f t="shared" si="72"/>
        <v>35.416666668606922</v>
      </c>
      <c r="O143" s="7"/>
      <c r="P143" s="7"/>
      <c r="Q143" s="22"/>
      <c r="R143" s="174"/>
      <c r="S143" s="221">
        <f t="shared" si="73"/>
        <v>1</v>
      </c>
      <c r="T143" s="174" t="str">
        <f t="shared" si="79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0"/>
        <v>https://d0f6bd738d7f1b3e5a7ca70fe4ff75f0.us-east-1.aws.found.io/app/kibana#/discover/Steve-Slow-Train-Analysis-(2080s-and-2083s)?_g=(refreshInterval:(display:Off,pause:!f,section:0,value:0),time:(from:'2017-10-08T19:35:44-0600',mode:absolute,to:'2017-10-08T22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3" s="204" t="str">
        <f>IF(AA143&lt;VLOOKUP(AG143,Variables!$AC$3:$AD$8,2,FALSE),"Y","N")</f>
        <v>N</v>
      </c>
      <c r="X143" s="204">
        <f t="shared" si="76"/>
        <v>1</v>
      </c>
      <c r="Y143" s="204">
        <f t="shared" si="74"/>
        <v>4.3799999999999999E-2</v>
      </c>
      <c r="Z143" s="204">
        <f t="shared" si="75"/>
        <v>23.344200000000001</v>
      </c>
      <c r="AA143" s="204">
        <f t="shared" si="81"/>
        <v>23.3004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2"/>
        <v>229</v>
      </c>
      <c r="AE143" s="77" t="str">
        <f t="shared" si="83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143" s="74" t="str">
        <f t="shared" si="84"/>
        <v>"C:\Program Files (x86)\AstroGrep\AstroGrep.exe" /e /r /s /spath="%USERPROFILE%\AppData\Local\Temp\OnboardLogs" /stypes="app*4036*20171009*" /stext=" 03:.+((SYSTEM_STATE.+slice.+state.+changed )|(ment ac)|(multiple cpu faults)|(system.+state.+changed )|(\[timeout)|(PRM\|1\|D)|(kpr)|(kdp)|(train st.+moving)|(\|lc)|(penalty))"</v>
      </c>
      <c r="AG143" s="182" t="str">
        <f t="shared" si="85"/>
        <v>EC</v>
      </c>
      <c r="AH143" s="78" t="str">
        <f t="shared" ref="AH143:AH213" si="86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229-08 --locoid 4036 --swversion DE.1.0.9.0 --startMP 204:438 --initTime 2017-10-08T20:35:44 --startdatetime 2017-10-08T21:00:42 --delay 62 --endMP 204:233442 --enddatetime 2017-10-08T21:36:07 --enforcementcount 0 &gt;&gt;%USERPROFILE%\Documents\GitHub\eaglep3-reporting\EC\2017-10-08-refined-times.txt</v>
      </c>
      <c r="AI143" s="96" t="str">
        <f t="shared" ref="AI143:AI213" si="87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{"issue":{"subject":"","project_id":79,"tracker_id":40,"status_id":1,"priority_id":2,"assigned_to_id":338,"start_date":"2017-10-08","description":"","custom_fields":[{"id":1,"name":"Subdivision","value":"EC"},{"id":4,"name":"Milepost","value":"23.3442"},{"id":17,"name":"Train ID","value":"229-08"},{"id":16,"name":"Locomotive ID","value":"4036"},{"id":130,"name":"Impact","value":""},{"id":150,"name":"Time of Event (Mountain Time)","value":"21:36:07"},{"id":151,"name":"Denver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13" si="88">"start /low /b "&amp;dls3logs&amp;" --loco "&amp;B143&amp;" --day "&amp;TEXT(F143,"YYYY-MM-DD")</f>
        <v>start /low /b %USERPROFILE%\Documents\GitHub\eaglep3\Utilities\DownloadLogsFromS3.py --loco 4036 --day 2017-10-08</v>
      </c>
      <c r="AN143" s="151" t="str">
        <f t="shared" ref="AN143:AN213" si="89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3" si="90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-08T19:35:44-0600',mode:absolute,to:'2017-10-08T22:36:07-0600'))&amp;_a=(columns:!('Message%20ID',Summary),filters:!(),index:'emp_*',interval:auto,query:(query_string:(analyze_wildcard:!t,query:'%22rtdc.l.rtdc.4036%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822</v>
      </c>
      <c r="B144" s="7">
        <v>4035</v>
      </c>
      <c r="C144" s="21" t="s">
        <v>194</v>
      </c>
      <c r="D144" s="21" t="s">
        <v>951</v>
      </c>
      <c r="E144" s="13">
        <v>43016.906944444447</v>
      </c>
      <c r="F144" s="13">
        <v>43016.914884259262</v>
      </c>
      <c r="G144" s="7">
        <v>49</v>
      </c>
      <c r="H144" s="21" t="s">
        <v>952</v>
      </c>
      <c r="I144" s="13">
        <v>43016.941655092596</v>
      </c>
      <c r="J144" s="7">
        <v>0</v>
      </c>
      <c r="K144" s="89" t="str">
        <f t="shared" si="77"/>
        <v>4035/4036</v>
      </c>
      <c r="L144" s="185" t="str">
        <f>VLOOKUP(A144,'Trips&amp;Operators'!$C$1:$G$99911,5,FALSE)</f>
        <v>STAMBAUGH JAMES</v>
      </c>
      <c r="M144" s="6">
        <f t="shared" si="78"/>
        <v>2.6770833334012423E-2</v>
      </c>
      <c r="N144" s="7">
        <f t="shared" si="72"/>
        <v>38.550000000977889</v>
      </c>
      <c r="O144" s="7"/>
      <c r="P144" s="7"/>
      <c r="Q144" s="22"/>
      <c r="R144" s="174"/>
      <c r="S144" s="221">
        <f t="shared" si="73"/>
        <v>1</v>
      </c>
      <c r="T144" s="174" t="str">
        <f t="shared" si="79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0"/>
        <v>https://d0f6bd738d7f1b3e5a7ca70fe4ff75f0.us-east-1.aws.found.io/app/kibana#/discover/Steve-Slow-Train-Analysis-(2080s-and-2083s)?_g=(refreshInterval:(display:Off,pause:!f,section:0,value:0),time:(from:'2017-10-08T20:46:00-0600',mode:absolute,to:'2017-10-08T23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4" s="204" t="str">
        <f>IF(AA144&lt;VLOOKUP(AG144,Variables!$AC$3:$AD$8,2,FALSE),"Y","N")</f>
        <v>N</v>
      </c>
      <c r="X144" s="204">
        <f t="shared" si="76"/>
        <v>1</v>
      </c>
      <c r="Y144" s="204">
        <f t="shared" si="74"/>
        <v>23.314499999999999</v>
      </c>
      <c r="Z144" s="204">
        <f t="shared" si="75"/>
        <v>1.12E-2</v>
      </c>
      <c r="AA144" s="204">
        <f t="shared" si="81"/>
        <v>23.3033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2"/>
        <v>230</v>
      </c>
      <c r="AE144" s="77" t="str">
        <f t="shared" si="83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144" s="74" t="str">
        <f t="shared" si="84"/>
        <v>"C:\Program Files (x86)\AstroGrep\AstroGrep.exe" /e /r /s /spath="%USERPROFILE%\AppData\Local\Temp\OnboardLogs" /stypes="app*4035*20171009*" /stext=" 04:.+((SYSTEM_STATE.+slice.+state.+changed )|(ment ac)|(multiple cpu faults)|(system.+state.+changed )|(\[timeout)|(PRM\|1\|D)|(kpr)|(kdp)|(train st.+moving)|(\|lc)|(penalty))"</v>
      </c>
      <c r="AG144" s="182" t="str">
        <f t="shared" si="85"/>
        <v>EC</v>
      </c>
      <c r="AH144" s="78" t="str">
        <f t="shared" si="86"/>
        <v>"%USERPROFILE%\Documents\GitHub\eaglep3\Utilities\RefineRTDCRunTimes.py" --tripid 230-08 --locoid 4035 --swversion DE.1.0.9.0 --startMP 204:233145 --initTime 2017-10-08T21:46:00 --startdatetime 2017-10-08T21:57:26 --delay 49 --endMP 204:112 --enddatetime 2017-10-08T22:35:59 --enforcementcount 0 &gt;&gt;%USERPROFILE%\Documents\GitHub\eaglep3-reporting\EC\2017-10-08-refined-times.txt</v>
      </c>
      <c r="AI144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{"issue":{"subject":"","project_id":79,"tracker_id":40,"status_id":1,"priority_id":2,"assigned_to_id":338,"start_date":"2017-10-08","description":"","custom_fields":[{"id":1,"name":"Subdivision","value":"EC"},{"id":4,"name":"Milepost","value":"0.0112"},{"id":17,"name":"Train ID","value":"230-08"},{"id":16,"name":"Locomotive ID","value":"4035"},{"id":130,"name":"Impact","value":""},{"id":150,"name":"Time of Event (Mountain Time)","value":"22:35:59"},{"id":151,"name":"Denver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88"/>
        <v>start /low /b %USERPROFILE%\Documents\GitHub\eaglep3\Utilities\DownloadLogsFromS3.py --loco 4035 --day 2017-10-08</v>
      </c>
      <c r="AN144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90"/>
        <v>https://d0f6bd738d7f1b3e5a7ca70fe4ff75f0.us-east-1.aws.found.io/app/kibana#/discover/Steve-Slow-Train-Analysis-(2080s-and-2083s)?_g=(refreshInterval:(display:Off,pause:!f,section:0,value:0),time:(from:'2017-10-08T20:46:00-0600',mode:absolute,to:'2017-10-08T23:35:59-0600'))&amp;_a=(columns:!('Message%20ID',Summary),filters:!(),index:'emp_*',interval:auto,query:(query_string:(analyze_wildcard:!t,query:'%22rtdc.l.rtdc.4035%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820</v>
      </c>
      <c r="B145" s="7">
        <v>4002</v>
      </c>
      <c r="C145" s="21" t="s">
        <v>194</v>
      </c>
      <c r="D145" s="21" t="s">
        <v>375</v>
      </c>
      <c r="E145" s="13">
        <v>43016.883194444446</v>
      </c>
      <c r="F145" s="13">
        <v>43016.896134259259</v>
      </c>
      <c r="G145" s="7">
        <v>95</v>
      </c>
      <c r="H145" s="21" t="s">
        <v>445</v>
      </c>
      <c r="I145" s="13">
        <v>43016.921168981484</v>
      </c>
      <c r="J145" s="7">
        <v>0</v>
      </c>
      <c r="K145" s="89" t="str">
        <f t="shared" si="77"/>
        <v>4001/4002</v>
      </c>
      <c r="L145" s="185" t="str">
        <f>VLOOKUP(A145,'Trips&amp;Operators'!$C$1:$G$99911,5,FALSE)</f>
        <v>LOZA FIDEL</v>
      </c>
      <c r="M145" s="6">
        <f t="shared" si="78"/>
        <v>2.5034722224518191E-2</v>
      </c>
      <c r="N145" s="7">
        <f t="shared" si="72"/>
        <v>36.050000003306195</v>
      </c>
      <c r="O145" s="7"/>
      <c r="P145" s="7"/>
      <c r="Q145" s="22"/>
      <c r="R145" s="174"/>
      <c r="S145" s="221">
        <f t="shared" si="73"/>
        <v>1</v>
      </c>
      <c r="T145" s="174" t="str">
        <f t="shared" si="79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0"/>
        <v>https://d0f6bd738d7f1b3e5a7ca70fe4ff75f0.us-east-1.aws.found.io/app/kibana#/discover/Steve-Slow-Train-Analysis-(2080s-and-2083s)?_g=(refreshInterval:(display:Off,pause:!f,section:0,value:0),time:(from:'2017-10-08T20:11:48-0600',mode:absolute,to:'2017-10-08T23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204" t="str">
        <f>IF(AA145&lt;VLOOKUP(AG145,Variables!$AC$3:$AD$8,2,FALSE),"Y","N")</f>
        <v>N</v>
      </c>
      <c r="X145" s="204">
        <f t="shared" si="76"/>
        <v>1</v>
      </c>
      <c r="Y145" s="204">
        <f t="shared" si="74"/>
        <v>4.5100000000000001E-2</v>
      </c>
      <c r="Z145" s="204">
        <f t="shared" si="75"/>
        <v>23.335699999999999</v>
      </c>
      <c r="AA145" s="204">
        <f t="shared" si="81"/>
        <v>23.290599999999998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2"/>
        <v>231</v>
      </c>
      <c r="AE145" s="77" t="str">
        <f t="shared" si="83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145" s="74" t="str">
        <f t="shared" si="84"/>
        <v>"C:\Program Files (x86)\AstroGrep\AstroGrep.exe" /e /r /s /spath="%USERPROFILE%\AppData\Local\Temp\OnboardLogs" /stypes="app*4002*20171009*" /stext=" 04:.+((SYSTEM_STATE.+slice.+state.+changed )|(ment ac)|(multiple cpu faults)|(system.+state.+changed )|(\[timeout)|(PRM\|1\|D)|(kpr)|(kdp)|(train st.+moving)|(\|lc)|(penalty))"</v>
      </c>
      <c r="AG145" s="182" t="str">
        <f t="shared" si="85"/>
        <v>EC</v>
      </c>
      <c r="AH145" s="78" t="str">
        <f t="shared" si="86"/>
        <v>"%USERPROFILE%\Documents\GitHub\eaglep3\Utilities\RefineRTDCRunTimes.py" --tripid 231-08 --locoid 4002 --swversion DE.1.0.9.0 --startMP 204:451 --initTime 2017-10-08T21:11:48 --startdatetime 2017-10-08T21:30:26 --delay 95 --endMP 204:233357 --enddatetime 2017-10-08T22:06:29 --enforcementcount 0 &gt;&gt;%USERPROFILE%\Documents\GitHub\eaglep3-reporting\EC\2017-10-08-refined-times.txt</v>
      </c>
      <c r="AI145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{"issue":{"subject":"","project_id":79,"tracker_id":40,"status_id":1,"priority_id":2,"assigned_to_id":338,"start_date":"2017-10-08","description":"","custom_fields":[{"id":1,"name":"Subdivision","value":"EC"},{"id":4,"name":"Milepost","value":"23.3357"},{"id":17,"name":"Train ID","value":"231-08"},{"id":16,"name":"Locomotive ID","value":"4002"},{"id":130,"name":"Impact","value":""},{"id":150,"name":"Time of Event (Mountain Time)","value":"22:06:29"},{"id":151,"name":"Denver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88"/>
        <v>start /low /b %USERPROFILE%\Documents\GitHub\eaglep3\Utilities\DownloadLogsFromS3.py --loco 4002 --day 2017-10-08</v>
      </c>
      <c r="AN145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0"/>
        <v>https://d0f6bd738d7f1b3e5a7ca70fe4ff75f0.us-east-1.aws.found.io/app/kibana#/discover/Steve-Slow-Train-Analysis-(2080s-and-2083s)?_g=(refreshInterval:(display:Off,pause:!f,section:0,value:0),time:(from:'2017-10-08T20:11:48-0600',mode:absolute,to:'2017-10-08T23:06:29-0600'))&amp;_a=(columns:!('Message%20ID',Summary),filters:!(),index:'emp_*',interval:auto,query:(query_string:(analyze_wildcard:!t,query:'%22rtdc.l.rtdc.4002%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826</v>
      </c>
      <c r="B146" s="7">
        <v>4001</v>
      </c>
      <c r="C146" s="21" t="s">
        <v>194</v>
      </c>
      <c r="D146" s="21" t="s">
        <v>848</v>
      </c>
      <c r="E146" s="13">
        <v>43016.933576388888</v>
      </c>
      <c r="F146" s="13">
        <v>43016.935671296298</v>
      </c>
      <c r="G146" s="7">
        <v>57</v>
      </c>
      <c r="H146" s="21" t="s">
        <v>953</v>
      </c>
      <c r="I146" s="13">
        <v>43016.964537037034</v>
      </c>
      <c r="J146" s="7">
        <v>0</v>
      </c>
      <c r="K146" s="89" t="str">
        <f t="shared" si="77"/>
        <v>4001/4002</v>
      </c>
      <c r="L146" s="185" t="str">
        <f>VLOOKUP(A146,'Trips&amp;Operators'!$C$1:$G$99911,5,FALSE)</f>
        <v>LOZA FIDEL</v>
      </c>
      <c r="M146" s="6">
        <f t="shared" si="78"/>
        <v>2.8865740736364387E-2</v>
      </c>
      <c r="N146" s="7">
        <f t="shared" si="72"/>
        <v>41.566666660364717</v>
      </c>
      <c r="O146" s="7"/>
      <c r="P146" s="7"/>
      <c r="Q146" s="22"/>
      <c r="R146" s="174"/>
      <c r="S146" s="221">
        <f t="shared" si="73"/>
        <v>1</v>
      </c>
      <c r="T146" s="174" t="str">
        <f t="shared" si="79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0"/>
        <v>https://d0f6bd738d7f1b3e5a7ca70fe4ff75f0.us-east-1.aws.found.io/app/kibana#/discover/Steve-Slow-Train-Analysis-(2080s-and-2083s)?_g=(refreshInterval:(display:Off,pause:!f,section:0,value:0),time:(from:'2017-10-08T21:24:21-0600',mode:absolute,to:'2017-10-09T00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204" t="str">
        <f>IF(AA146&lt;VLOOKUP(AG146,Variables!$AC$3:$AD$8,2,FALSE),"Y","N")</f>
        <v>N</v>
      </c>
      <c r="X146" s="204">
        <f t="shared" si="76"/>
        <v>1</v>
      </c>
      <c r="Y146" s="204">
        <f t="shared" si="74"/>
        <v>23.303000000000001</v>
      </c>
      <c r="Z146" s="204">
        <f t="shared" si="75"/>
        <v>1.2500000000000001E-2</v>
      </c>
      <c r="AA146" s="204">
        <f t="shared" si="81"/>
        <v>23.290500000000002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2"/>
        <v>232</v>
      </c>
      <c r="AE146" s="77" t="str">
        <f t="shared" si="83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46" s="74" t="str">
        <f t="shared" si="84"/>
        <v>"C:\Program Files (x86)\AstroGrep\AstroGrep.exe" /e /r /s /spath="%USERPROFILE%\AppData\Local\Temp\OnboardLogs" /stypes="app*4001*20171009*" /stext=" 05:.+((SYSTEM_STATE.+slice.+state.+changed )|(ment ac)|(multiple cpu faults)|(system.+state.+changed )|(\[timeout)|(PRM\|1\|D)|(kpr)|(kdp)|(train st.+moving)|(\|lc)|(penalty))"</v>
      </c>
      <c r="AG146" s="182" t="str">
        <f t="shared" si="85"/>
        <v>EC</v>
      </c>
      <c r="AH146" s="78" t="str">
        <f t="shared" si="86"/>
        <v>"%USERPROFILE%\Documents\GitHub\eaglep3\Utilities\RefineRTDCRunTimes.py" --tripid 232-08 --locoid 4001 --swversion DE.1.0.9.0 --startMP 204:233030 --initTime 2017-10-08T22:24:21 --startdatetime 2017-10-08T22:27:22 --delay 57 --endMP 204:125 --enddatetime 2017-10-08T23:08:56 --enforcementcount 0 &gt;&gt;%USERPROFILE%\Documents\GitHub\eaglep3-reporting\EC\2017-10-08-refined-times.txt</v>
      </c>
      <c r="AI146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{"issue":{"subject":"","project_id":79,"tracker_id":40,"status_id":1,"priority_id":2,"assigned_to_id":338,"start_date":"2017-10-08","description":"","custom_fields":[{"id":1,"name":"Subdivision","value":"EC"},{"id":4,"name":"Milepost","value":"0.0125"},{"id":17,"name":"Train ID","value":"232-08"},{"id":16,"name":"Locomotive ID","value":"4001"},{"id":130,"name":"Impact","value":""},{"id":150,"name":"Time of Event (Mountain Time)","value":"23:08:56"},{"id":151,"name":"Denver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88"/>
        <v>start /low /b %USERPROFILE%\Documents\GitHub\eaglep3\Utilities\DownloadLogsFromS3.py --loco 4001 --day 2017-10-08</v>
      </c>
      <c r="AN146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05:08:56"},{"id":29,"name":"Sharepoint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0"/>
        <v>https://d0f6bd738d7f1b3e5a7ca70fe4ff75f0.us-east-1.aws.found.io/app/kibana#/discover/Steve-Slow-Train-Analysis-(2080s-and-2083s)?_g=(refreshInterval:(display:Off,pause:!f,section:0,value:0),time:(from:'2017-10-08T21:24:21-0600',mode:absolute,to:'2017-10-09T00:08:56-0600'))&amp;_a=(columns:!('Message%20ID',Summary),filters:!(),index:'emp_*',interval:auto,query:(query_string:(analyze_wildcard:!t,query:'%22rtdc.l.rtdc.4001%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821</v>
      </c>
      <c r="B147" s="7">
        <v>4050</v>
      </c>
      <c r="C147" s="21" t="s">
        <v>194</v>
      </c>
      <c r="D147" s="21" t="s">
        <v>554</v>
      </c>
      <c r="E147" s="13">
        <v>43016.899375000001</v>
      </c>
      <c r="F147" s="13">
        <v>43016.916828703703</v>
      </c>
      <c r="G147" s="7">
        <v>67</v>
      </c>
      <c r="H147" s="21" t="s">
        <v>954</v>
      </c>
      <c r="I147" s="13">
        <v>43016.940706018519</v>
      </c>
      <c r="J147" s="7">
        <v>0</v>
      </c>
      <c r="K147" s="89" t="str">
        <f t="shared" si="77"/>
        <v>4049/4050</v>
      </c>
      <c r="L147" s="185" t="str">
        <f>VLOOKUP(A147,'Trips&amp;Operators'!$C$1:$G$99911,5,FALSE)</f>
        <v>ELBAUM MIKE</v>
      </c>
      <c r="M147" s="6">
        <f t="shared" si="78"/>
        <v>2.3877314815763384E-2</v>
      </c>
      <c r="N147" s="7">
        <f t="shared" si="72"/>
        <v>34.383333334699273</v>
      </c>
      <c r="O147" s="7"/>
      <c r="P147" s="7"/>
      <c r="Q147" s="22"/>
      <c r="R147" s="174"/>
      <c r="S147" s="221">
        <f t="shared" si="73"/>
        <v>1</v>
      </c>
      <c r="T147" s="174" t="str">
        <f t="shared" si="79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0"/>
        <v>https://d0f6bd738d7f1b3e5a7ca70fe4ff75f0.us-east-1.aws.found.io/app/kibana#/discover/Steve-Slow-Train-Analysis-(2080s-and-2083s)?_g=(refreshInterval:(display:Off,pause:!f,section:0,value:0),time:(from:'2017-10-08T20:35:06-0600',mode:absolute,to:'2017-10-08T23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7" s="204" t="str">
        <f>IF(AA147&lt;VLOOKUP(AG147,Variables!$AC$3:$AD$8,2,FALSE),"Y","N")</f>
        <v>N</v>
      </c>
      <c r="X147" s="204">
        <f t="shared" si="76"/>
        <v>1</v>
      </c>
      <c r="Y147" s="204">
        <f t="shared" si="74"/>
        <v>4.3999999999999997E-2</v>
      </c>
      <c r="Z147" s="204">
        <f t="shared" si="75"/>
        <v>23.332000000000001</v>
      </c>
      <c r="AA147" s="204">
        <f t="shared" si="81"/>
        <v>23.288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2"/>
        <v>233</v>
      </c>
      <c r="AE147" s="77" t="str">
        <f t="shared" si="83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47" s="74" t="str">
        <f t="shared" si="84"/>
        <v>"C:\Program Files (x86)\AstroGrep\AstroGrep.exe" /e /r /s /spath="%USERPROFILE%\AppData\Local\Temp\OnboardLogs" /stypes="app*4050*20171009*" /stext=" 04:.+((SYSTEM_STATE.+slice.+state.+changed )|(ment ac)|(multiple cpu faults)|(system.+state.+changed )|(\[timeout)|(PRM\|1\|D)|(kpr)|(kdp)|(train st.+moving)|(\|lc)|(penalty))"</v>
      </c>
      <c r="AG147" s="182" t="str">
        <f t="shared" si="85"/>
        <v>EC</v>
      </c>
      <c r="AH147" s="78" t="str">
        <f t="shared" si="86"/>
        <v>"%USERPROFILE%\Documents\GitHub\eaglep3\Utilities\RefineRTDCRunTimes.py" --tripid 233-08 --locoid 4050 --swversion DE.1.0.9.0 --startMP 204:440 --initTime 2017-10-08T21:35:06 --startdatetime 2017-10-08T22:00:14 --delay 67 --endMP 204:233320 --enddatetime 2017-10-08T22:34:37 --enforcementcount 0 &gt;&gt;%USERPROFILE%\Documents\GitHub\eaglep3-reporting\EC\2017-10-08-refined-times.txt</v>
      </c>
      <c r="AI147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{"issue":{"subject":"","project_id":79,"tracker_id":40,"status_id":1,"priority_id":2,"assigned_to_id":338,"start_date":"2017-10-08","description":"","custom_fields":[{"id":1,"name":"Subdivision","value":"EC"},{"id":4,"name":"Milepost","value":"23.332"},{"id":17,"name":"Train ID","value":"233-08"},{"id":16,"name":"Locomotive ID","value":"4050"},{"id":130,"name":"Impact","value":""},{"id":150,"name":"Time of Event (Mountain Time)","value":"22:34:37"},{"id":151,"name":"Denver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88"/>
        <v>start /low /b %USERPROFILE%\Documents\GitHub\eaglep3\Utilities\DownloadLogsFromS3.py --loco 4050 --day 2017-10-08</v>
      </c>
      <c r="AN147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0"/>
        <v>https://d0f6bd738d7f1b3e5a7ca70fe4ff75f0.us-east-1.aws.found.io/app/kibana#/discover/Steve-Slow-Train-Analysis-(2080s-and-2083s)?_g=(refreshInterval:(display:Off,pause:!f,section:0,value:0),time:(from:'2017-10-08T20:35:06-0600',mode:absolute,to:'2017-10-08T23:34:37-0600'))&amp;_a=(columns:!('Message%20ID',Summary),filters:!(),index:'emp_*',interval:auto,query:(query_string:(analyze_wildcard:!t,query:'%22rtdc.l.rtdc.4050%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821</v>
      </c>
      <c r="B148" s="7">
        <v>4050</v>
      </c>
      <c r="C148" s="21" t="s">
        <v>194</v>
      </c>
      <c r="D148" s="21" t="s">
        <v>554</v>
      </c>
      <c r="E148" s="13">
        <v>43016.900358796294</v>
      </c>
      <c r="F148" s="13">
        <v>43016.916828703703</v>
      </c>
      <c r="G148" s="7">
        <v>75</v>
      </c>
      <c r="H148" s="21" t="s">
        <v>954</v>
      </c>
      <c r="I148" s="13">
        <v>43016.940706018519</v>
      </c>
      <c r="J148" s="7">
        <v>0</v>
      </c>
      <c r="K148" s="89" t="str">
        <f t="shared" si="77"/>
        <v>4049/4050</v>
      </c>
      <c r="L148" s="185" t="str">
        <f>VLOOKUP(A148,'Trips&amp;Operators'!$C$1:$G$99911,5,FALSE)</f>
        <v>ELBAUM MIKE</v>
      </c>
      <c r="M148" s="6">
        <f t="shared" si="78"/>
        <v>2.3877314815763384E-2</v>
      </c>
      <c r="N148" s="7"/>
      <c r="O148" s="7"/>
      <c r="P148" s="7"/>
      <c r="Q148" s="22"/>
      <c r="R148" s="174"/>
      <c r="S148" s="221"/>
      <c r="T148" s="174" t="str">
        <f t="shared" si="79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0"/>
        <v>https://d0f6bd738d7f1b3e5a7ca70fe4ff75f0.us-east-1.aws.found.io/app/kibana#/discover/Steve-Slow-Train-Analysis-(2080s-and-2083s)?_g=(refreshInterval:(display:Off,pause:!f,section:0,value:0),time:(from:'2017-10-08T20:36:31-0600',mode:absolute,to:'2017-10-08T23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8" s="204" t="str">
        <f>IF(AA148&lt;VLOOKUP(AG148,Variables!$AC$3:$AD$8,2,FALSE),"Y","N")</f>
        <v>N</v>
      </c>
      <c r="X148" s="204">
        <f t="shared" si="76"/>
        <v>0</v>
      </c>
      <c r="Y148" s="204">
        <f t="shared" si="74"/>
        <v>4.3999999999999997E-2</v>
      </c>
      <c r="Z148" s="204">
        <f t="shared" si="75"/>
        <v>23.332000000000001</v>
      </c>
      <c r="AA148" s="204">
        <f t="shared" si="81"/>
        <v>23.288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2"/>
        <v>233</v>
      </c>
      <c r="AE148" s="77" t="str">
        <f t="shared" si="83"/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AF148" s="74" t="str">
        <f t="shared" si="84"/>
        <v>"C:\Program Files (x86)\AstroGrep\AstroGrep.exe" /e /r /s /spath="%USERPROFILE%\AppData\Local\Temp\OnboardLogs" /stypes="app*4050*20171009*" /stext=" 04:.+((SYSTEM_STATE.+slice.+state.+changed )|(ment ac)|(multiple cpu faults)|(system.+state.+changed )|(\[timeout)|(PRM\|1\|D)|(kpr)|(kdp)|(train st.+moving)|(\|lc)|(penalty))"</v>
      </c>
      <c r="AG148" s="182" t="str">
        <f t="shared" si="85"/>
        <v>EC</v>
      </c>
      <c r="AH148" s="78" t="str">
        <f t="shared" si="86"/>
        <v>"%USERPROFILE%\Documents\GitHub\eaglep3\Utilities\RefineRTDCRunTimes.py" --tripid 233-08 --locoid 4050 --swversion DE.1.0.9.0 --startMP 204:440 --initTime 2017-10-08T21:36:31 --startdatetime 2017-10-08T22:00:14 --delay 75 --endMP 204:233320 --enddatetime 2017-10-08T22:34:37 --enforcementcount 0 &gt;&gt;%USERPROFILE%\Documents\GitHub\eaglep3-reporting\EC\2017-10-08-refined-times.txt</v>
      </c>
      <c r="AI148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{"issue":{"subject":"","project_id":79,"tracker_id":40,"status_id":1,"priority_id":2,"assigned_to_id":338,"start_date":"2017-10-08","description":"","custom_fields":[{"id":1,"name":"Subdivision","value":"EC"},{"id":4,"name":"Milepost","value":"23.332"},{"id":17,"name":"Train ID","value":"233-08"},{"id":16,"name":"Locomotive ID","value":"4050"},{"id":130,"name":"Impact","value":""},{"id":150,"name":"Time of Event (Mountain Time)","value":"22:34:37"},{"id":151,"name":"Denver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88"/>
        <v>start /low /b %USERPROFILE%\Documents\GitHub\eaglep3\Utilities\DownloadLogsFromS3.py --loco 4050 --day 2017-10-08</v>
      </c>
      <c r="AN148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0"/>
        <v>https://d0f6bd738d7f1b3e5a7ca70fe4ff75f0.us-east-1.aws.found.io/app/kibana#/discover/Steve-Slow-Train-Analysis-(2080s-and-2083s)?_g=(refreshInterval:(display:Off,pause:!f,section:0,value:0),time:(from:'2017-10-08T20:36:31-0600',mode:absolute,to:'2017-10-08T23:34:37-0600'))&amp;_a=(columns:!('Message%20ID',Summary),filters:!(),index:'emp_*',interval:auto,query:(query_string:(analyze_wildcard:!t,query:'%22rtdc.l.rtdc.4050%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827</v>
      </c>
      <c r="B149" s="7">
        <v>4049</v>
      </c>
      <c r="C149" s="21" t="s">
        <v>194</v>
      </c>
      <c r="D149" s="21" t="s">
        <v>492</v>
      </c>
      <c r="E149" s="13">
        <v>43016.944675925923</v>
      </c>
      <c r="F149" s="13">
        <v>43016.956388888888</v>
      </c>
      <c r="G149" s="7">
        <v>56</v>
      </c>
      <c r="H149" s="21" t="s">
        <v>337</v>
      </c>
      <c r="I149" s="13">
        <v>43016.987893518519</v>
      </c>
      <c r="J149" s="7">
        <v>0</v>
      </c>
      <c r="K149" s="89" t="str">
        <f t="shared" si="77"/>
        <v>4049/4050</v>
      </c>
      <c r="L149" s="185" t="str">
        <f>VLOOKUP(A149,'Trips&amp;Operators'!$C$1:$G$99911,5,FALSE)</f>
        <v>ELBAUM MIKE</v>
      </c>
      <c r="M149" s="6">
        <f t="shared" si="78"/>
        <v>3.1504629630944692E-2</v>
      </c>
      <c r="N149" s="7">
        <f t="shared" ref="N149:N184" si="91">24*60*SUM($M149:$M149)</f>
        <v>45.366666668560356</v>
      </c>
      <c r="O149" s="7"/>
      <c r="P149" s="7"/>
      <c r="Q149" s="22"/>
      <c r="R149" s="174"/>
      <c r="S149" s="221">
        <f t="shared" ref="S149:S184" si="92">1/IF(AG149="EC",12,1)*SUM(U149:U149)</f>
        <v>1</v>
      </c>
      <c r="T149" s="174" t="str">
        <f t="shared" si="79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0"/>
        <v>https://d0f6bd738d7f1b3e5a7ca70fe4ff75f0.us-east-1.aws.found.io/app/kibana#/discover/Steve-Slow-Train-Analysis-(2080s-and-2083s)?_g=(refreshInterval:(display:Off,pause:!f,section:0,value:0),time:(from:'2017-10-08T21:40:20-0600',mode:absolute,to:'2017-10-09T00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9" s="204" t="str">
        <f>IF(AA149&lt;VLOOKUP(AG149,Variables!$AC$3:$AD$8,2,FALSE),"Y","N")</f>
        <v>N</v>
      </c>
      <c r="X149" s="204">
        <f t="shared" si="76"/>
        <v>1</v>
      </c>
      <c r="Y149" s="204">
        <f t="shared" si="74"/>
        <v>23.3005</v>
      </c>
      <c r="Z149" s="204">
        <f t="shared" si="75"/>
        <v>1.43E-2</v>
      </c>
      <c r="AA149" s="204">
        <f t="shared" si="81"/>
        <v>23.286200000000001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2"/>
        <v>234</v>
      </c>
      <c r="AE149" s="77" t="str">
        <f t="shared" si="83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149" s="74" t="str">
        <f t="shared" si="84"/>
        <v>"C:\Program Files (x86)\AstroGrep\AstroGrep.exe" /e /r /s /spath="%USERPROFILE%\AppData\Local\Temp\OnboardLogs" /stypes="app*4049*20171009*" /stext=" 05:.+((SYSTEM_STATE.+slice.+state.+changed )|(ment ac)|(multiple cpu faults)|(system.+state.+changed )|(\[timeout)|(PRM\|1\|D)|(kpr)|(kdp)|(train st.+moving)|(\|lc)|(penalty))"</v>
      </c>
      <c r="AG149" s="182" t="str">
        <f t="shared" si="85"/>
        <v>EC</v>
      </c>
      <c r="AH149" s="78" t="str">
        <f t="shared" si="86"/>
        <v>"%USERPROFILE%\Documents\GitHub\eaglep3\Utilities\RefineRTDCRunTimes.py" --tripid 234-08 --locoid 4049 --swversion DE.1.0.9.0 --startMP 204:233005 --initTime 2017-10-08T22:40:20 --startdatetime 2017-10-08T22:57:12 --delay 56 --endMP 204:143 --enddatetime 2017-10-08T23:42:34 --enforcementcount 0 &gt;&gt;%USERPROFILE%\Documents\GitHub\eaglep3-reporting\EC\2017-10-08-refined-times.txt</v>
      </c>
      <c r="AI149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{"issue":{"subject":"","project_id":79,"tracker_id":40,"status_id":1,"priority_id":2,"assigned_to_id":338,"start_date":"2017-10-08","description":"","custom_fields":[{"id":1,"name":"Subdivision","value":"EC"},{"id":4,"name":"Milepost","value":"0.0143"},{"id":17,"name":"Train ID","value":"234-08"},{"id":16,"name":"Locomotive ID","value":"4049"},{"id":130,"name":"Impact","value":""},{"id":150,"name":"Time of Event (Mountain Time)","value":"23:42:34"},{"id":151,"name":"Denver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88"/>
        <v>start /low /b %USERPROFILE%\Documents\GitHub\eaglep3\Utilities\DownloadLogsFromS3.py --loco 4049 --day 2017-10-08</v>
      </c>
      <c r="AN149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05:42:34"},{"id":29,"name":"Sharepoint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0"/>
        <v>https://d0f6bd738d7f1b3e5a7ca70fe4ff75f0.us-east-1.aws.found.io/app/kibana#/discover/Steve-Slow-Train-Analysis-(2080s-and-2083s)?_g=(refreshInterval:(display:Off,pause:!f,section:0,value:0),time:(from:'2017-10-08T21:40:20-0600',mode:absolute,to:'2017-10-09T00:42:34-0600'))&amp;_a=(columns:!('Message%20ID',Summary),filters:!(),index:'emp_*',interval:auto,query:(query_string:(analyze_wildcard:!t,query:'%22rtdc.l.rtdc.4049%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824</v>
      </c>
      <c r="B150" s="7">
        <v>4066</v>
      </c>
      <c r="C150" s="21" t="s">
        <v>194</v>
      </c>
      <c r="D150" s="21" t="s">
        <v>404</v>
      </c>
      <c r="E150" s="13">
        <v>43016.922083333331</v>
      </c>
      <c r="F150" s="13">
        <v>43016.937719907408</v>
      </c>
      <c r="G150" s="7">
        <v>48</v>
      </c>
      <c r="H150" s="21" t="s">
        <v>487</v>
      </c>
      <c r="I150" s="13">
        <v>43016.962187500001</v>
      </c>
      <c r="J150" s="7">
        <v>0</v>
      </c>
      <c r="K150" s="89" t="str">
        <f t="shared" si="77"/>
        <v>4065/4066</v>
      </c>
      <c r="L150" s="185" t="str">
        <f>VLOOKUP(A150,'Trips&amp;Operators'!$C$1:$G$99911,5,FALSE)</f>
        <v>DUNCAN SHEILA</v>
      </c>
      <c r="M150" s="6">
        <f t="shared" si="78"/>
        <v>2.4467592593282461E-2</v>
      </c>
      <c r="N150" s="7">
        <f t="shared" si="91"/>
        <v>35.233333334326744</v>
      </c>
      <c r="O150" s="7"/>
      <c r="P150" s="7"/>
      <c r="Q150" s="22"/>
      <c r="R150" s="174"/>
      <c r="S150" s="221">
        <f t="shared" si="92"/>
        <v>1</v>
      </c>
      <c r="T150" s="174" t="str">
        <f t="shared" si="79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0"/>
        <v>https://d0f6bd738d7f1b3e5a7ca70fe4ff75f0.us-east-1.aws.found.io/app/kibana#/discover/Steve-Slow-Train-Analysis-(2080s-and-2083s)?_g=(refreshInterval:(display:Off,pause:!f,section:0,value:0),time:(from:'2017-10-08T21:07:48-0600',mode:absolute,to:'2017-10-09T00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0" s="204" t="str">
        <f>IF(AA150&lt;VLOOKUP(AG150,Variables!$AC$3:$AD$8,2,FALSE),"Y","N")</f>
        <v>N</v>
      </c>
      <c r="X150" s="204">
        <f t="shared" si="76"/>
        <v>1</v>
      </c>
      <c r="Y150" s="204">
        <f t="shared" si="74"/>
        <v>4.6699999999999998E-2</v>
      </c>
      <c r="Z150" s="204">
        <f t="shared" si="75"/>
        <v>23.334900000000001</v>
      </c>
      <c r="AA150" s="204">
        <f t="shared" si="81"/>
        <v>23.2882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82"/>
        <v>235</v>
      </c>
      <c r="AE150" s="77" t="str">
        <f t="shared" si="83"/>
        <v>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 &amp; 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</v>
      </c>
      <c r="AF150" s="74" t="str">
        <f t="shared" si="84"/>
        <v>"C:\Program Files (x86)\AstroGrep\AstroGrep.exe" /e /r /s /spath="%USERPROFILE%\AppData\Local\Temp\OnboardLogs" /stypes="app*4066*20171009*" /stext=" 05:.+((SYSTEM_STATE.+slice.+state.+changed )|(ment ac)|(multiple cpu faults)|(system.+state.+changed )|(\[timeout)|(PRM\|1\|D)|(kpr)|(kdp)|(train st.+moving)|(\|lc)|(penalty))"</v>
      </c>
      <c r="AG150" s="182" t="str">
        <f t="shared" si="85"/>
        <v>EC</v>
      </c>
      <c r="AH150" s="78" t="str">
        <f t="shared" si="86"/>
        <v>"%USERPROFILE%\Documents\GitHub\eaglep3\Utilities\RefineRTDCRunTimes.py" --tripid 235-08 --locoid 4066 --swversion DE.1.0.9.0 --startMP 204:467 --initTime 2017-10-08T22:07:48 --startdatetime 2017-10-08T22:30:19 --delay 48 --endMP 204:233349 --enddatetime 2017-10-08T23:05:33 --enforcementcount 0 &gt;&gt;%USERPROFILE%\Documents\GitHub\eaglep3-reporting\EC\2017-10-08-refined-times.txt</v>
      </c>
      <c r="AI150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{"issue":{"subject":"","project_id":79,"tracker_id":40,"status_id":1,"priority_id":2,"assigned_to_id":338,"start_date":"2017-10-08","description":"","custom_fields":[{"id":1,"name":"Subdivision","value":"EC"},{"id":4,"name":"Milepost","value":"23.3349"},{"id":17,"name":"Train ID","value":"235-08"},{"id":16,"name":"Locomotive ID","value":"4066"},{"id":130,"name":"Impact","value":""},{"id":150,"name":"Time of Event (Mountain Time)","value":"23:05:33"},{"id":151,"name":"Denver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88"/>
        <v>start /low /b %USERPROFILE%\Documents\GitHub\eaglep3\Utilities\DownloadLogsFromS3.py --loco 4066 --day 2017-10-08</v>
      </c>
      <c r="AN150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05:05:33"},{"id":29,"name":"Sharepoint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0"/>
        <v>https://d0f6bd738d7f1b3e5a7ca70fe4ff75f0.us-east-1.aws.found.io/app/kibana#/discover/Steve-Slow-Train-Analysis-(2080s-and-2083s)?_g=(refreshInterval:(display:Off,pause:!f,section:0,value:0),time:(from:'2017-10-08T21:07:48-0600',mode:absolute,to:'2017-10-09T00:05:33-0600'))&amp;_a=(columns:!('Message%20ID',Summary),filters:!(),index:'emp_*',interval:auto,query:(query_string:(analyze_wildcard:!t,query:'%22rtdc.l.rtdc.4066%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614</v>
      </c>
      <c r="B151" s="7">
        <v>4065</v>
      </c>
      <c r="C151" s="21" t="s">
        <v>194</v>
      </c>
      <c r="D151" s="21" t="s">
        <v>881</v>
      </c>
      <c r="E151" s="13">
        <v>43016.966585648152</v>
      </c>
      <c r="F151" s="13">
        <v>43016.97729166667</v>
      </c>
      <c r="G151" s="7">
        <v>53</v>
      </c>
      <c r="H151" s="21" t="s">
        <v>359</v>
      </c>
      <c r="I151" s="13">
        <v>43017.008125</v>
      </c>
      <c r="J151" s="7">
        <v>0</v>
      </c>
      <c r="K151" s="89" t="str">
        <f t="shared" si="77"/>
        <v>4065/4066</v>
      </c>
      <c r="L151" s="185" t="str">
        <f>VLOOKUP(A151,'Trips&amp;Operators'!$C$1:$G$99911,5,FALSE)</f>
        <v>DUNCAN SHEILA</v>
      </c>
      <c r="M151" s="6">
        <f t="shared" si="78"/>
        <v>3.0833333330519963E-2</v>
      </c>
      <c r="N151" s="7">
        <f t="shared" si="91"/>
        <v>44.399999995948747</v>
      </c>
      <c r="O151" s="7"/>
      <c r="P151" s="7"/>
      <c r="Q151" s="22"/>
      <c r="R151" s="174"/>
      <c r="S151" s="221">
        <f t="shared" si="92"/>
        <v>1</v>
      </c>
      <c r="T151" s="174" t="str">
        <f t="shared" si="79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0"/>
        <v>https://d0f6bd738d7f1b3e5a7ca70fe4ff75f0.us-east-1.aws.found.io/app/kibana#/discover/Steve-Slow-Train-Analysis-(2080s-and-2083s)?_g=(refreshInterval:(display:Off,pause:!f,section:0,value:0),time:(from:'2017-10-08T22:11:53-0600',mode:absolute,to:'2017-10-09T01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1" s="204" t="str">
        <f>IF(AA151&lt;VLOOKUP(AG151,Variables!$AC$3:$AD$8,2,FALSE),"Y","N")</f>
        <v>N</v>
      </c>
      <c r="X151" s="204">
        <f t="shared" si="76"/>
        <v>1</v>
      </c>
      <c r="Y151" s="204">
        <f t="shared" si="74"/>
        <v>23.3032</v>
      </c>
      <c r="Z151" s="204">
        <f t="shared" si="75"/>
        <v>1.4500000000000001E-2</v>
      </c>
      <c r="AA151" s="204">
        <f t="shared" si="81"/>
        <v>23.288699999999999</v>
      </c>
      <c r="AB151" s="54" t="str">
        <f>VLOOKUP(A151,Enforcements!$C$7:$K$11,8,0)</f>
        <v>Bulletin (2)</v>
      </c>
      <c r="AC151" s="51" t="str">
        <f>VLOOKUP(A151,Enforcements!$C$7:$E$11,3,0)</f>
        <v>GRADE CROSSING</v>
      </c>
      <c r="AD151" s="179">
        <f t="shared" si="82"/>
        <v>236</v>
      </c>
      <c r="AE151" s="77" t="str">
        <f t="shared" si="83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151" s="74" t="str">
        <f t="shared" si="84"/>
        <v>"C:\Program Files (x86)\AstroGrep\AstroGrep.exe" /e /r /s /spath="%USERPROFILE%\AppData\Local\Temp\OnboardLogs" /stypes="app*4065*20171009*" /stext=" 06:.+((SYSTEM_STATE.+slice.+state.+changed )|(ment ac)|(multiple cpu faults)|(system.+state.+changed )|(\[timeout)|(PRM\|1\|D)|(kpr)|(kdp)|(train st.+moving)|(\|lc)|(penalty))"</v>
      </c>
      <c r="AG151" s="182" t="str">
        <f t="shared" si="85"/>
        <v>EC</v>
      </c>
      <c r="AH151" s="78" t="str">
        <f t="shared" si="86"/>
        <v>"%USERPROFILE%\Documents\GitHub\eaglep3\Utilities\RefineRTDCRunTimes.py" --tripid 236-08 --locoid 4065 --swversion DE.1.0.9.0 --startMP 204:233032 --initTime 2017-10-08T23:11:53 --startdatetime 2017-10-08T23:27:18 --delay 53 --endMP 204:145 --enddatetime 2017-10-09T00:11:42 --enforcementcount 0 &gt;&gt;%USERPROFILE%\Documents\GitHub\eaglep3-reporting\EC\2017-10-08-refined-times.txt</v>
      </c>
      <c r="AI151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{"issue":{"subject":"","project_id":79,"tracker_id":40,"status_id":1,"priority_id":2,"assigned_to_id":338,"start_date":"2017-10-09","description":"","custom_fields":[{"id":1,"name":"Subdivision","value":"EC"},{"id":4,"name":"Milepost","value":"0.0145"},{"id":17,"name":"Train ID","value":"236-08"},{"id":16,"name":"Locomotive ID","value":"4065"},{"id":130,"name":"Impact","value":""},{"id":150,"name":"Time of Event (Mountain Time)","value":"00:11:42"},{"id":151,"name":"Denver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88"/>
        <v>start /low /b %USERPROFILE%\Documents\GitHub\eaglep3\Utilities\DownloadLogsFromS3.py --loco 4065 --day 2017-10-08</v>
      </c>
      <c r="AN151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06:11:42"},{"id":29,"name":"Sharepoint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0"/>
        <v>https://d0f6bd738d7f1b3e5a7ca70fe4ff75f0.us-east-1.aws.found.io/app/kibana#/discover/Steve-Slow-Train-Analysis-(2080s-and-2083s)?_g=(refreshInterval:(display:Off,pause:!f,section:0,value:0),time:(from:'2017-10-08T22:11:53-0600',mode:absolute,to:'2017-10-09T01:11:42-0600'))&amp;_a=(columns:!('Message%20ID',Summary),filters:!(),index:'emp_*',interval:auto,query:(query_string:(analyze_wildcard:!t,query:'%22rtdc.l.rtdc.4065%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615</v>
      </c>
      <c r="B152" s="7">
        <v>4036</v>
      </c>
      <c r="C152" s="21" t="s">
        <v>194</v>
      </c>
      <c r="D152" s="21" t="s">
        <v>955</v>
      </c>
      <c r="E152" s="13">
        <v>43016.942997685182</v>
      </c>
      <c r="F152" s="13">
        <v>43016.958599537036</v>
      </c>
      <c r="G152" s="7">
        <v>55</v>
      </c>
      <c r="H152" s="21" t="s">
        <v>956</v>
      </c>
      <c r="I152" s="13">
        <v>43016.983622685184</v>
      </c>
      <c r="J152" s="7">
        <v>0</v>
      </c>
      <c r="K152" s="89" t="str">
        <f t="shared" si="77"/>
        <v>4035/4036</v>
      </c>
      <c r="L152" s="185" t="str">
        <f>VLOOKUP(A152,'Trips&amp;Operators'!$C$1:$G$99911,5,FALSE)</f>
        <v>STAMBAUGH JAMES</v>
      </c>
      <c r="M152" s="6">
        <f t="shared" si="78"/>
        <v>2.5023148147738539E-2</v>
      </c>
      <c r="N152" s="7">
        <f t="shared" si="91"/>
        <v>36.033333332743496</v>
      </c>
      <c r="O152" s="7"/>
      <c r="P152" s="7"/>
      <c r="Q152" s="22"/>
      <c r="R152" s="174"/>
      <c r="S152" s="221">
        <f t="shared" si="92"/>
        <v>1</v>
      </c>
      <c r="T152" s="174" t="str">
        <f t="shared" si="79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0"/>
        <v>https://d0f6bd738d7f1b3e5a7ca70fe4ff75f0.us-east-1.aws.found.io/app/kibana#/discover/Steve-Slow-Train-Analysis-(2080s-and-2083s)?_g=(refreshInterval:(display:Off,pause:!f,section:0,value:0),time:(from:'2017-10-08T21:37:55-0600',mode:absolute,to:'2017-10-09T00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2" s="204" t="str">
        <f>IF(AA152&lt;VLOOKUP(AG152,Variables!$AC$3:$AD$8,2,FALSE),"Y","N")</f>
        <v>N</v>
      </c>
      <c r="X152" s="204">
        <f t="shared" si="76"/>
        <v>1</v>
      </c>
      <c r="Y152" s="204">
        <f t="shared" si="74"/>
        <v>4.2700000000000002E-2</v>
      </c>
      <c r="Z152" s="204">
        <f t="shared" si="75"/>
        <v>23.343900000000001</v>
      </c>
      <c r="AA152" s="204">
        <f t="shared" si="81"/>
        <v>23.301200000000001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2"/>
        <v>237</v>
      </c>
      <c r="AE152" s="77" t="str">
        <f t="shared" si="83"/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AF152" s="74" t="str">
        <f t="shared" si="84"/>
        <v>"C:\Program Files (x86)\AstroGrep\AstroGrep.exe" /e /r /s /spath="%USERPROFILE%\AppData\Local\Temp\OnboardLogs" /stypes="app*4036*20171009*" /stext=" 05:.+((SYSTEM_STATE.+slice.+state.+changed )|(ment ac)|(multiple cpu faults)|(system.+state.+changed )|(\[timeout)|(PRM\|1\|D)|(kpr)|(kdp)|(train st.+moving)|(\|lc)|(penalty))"</v>
      </c>
      <c r="AG152" s="182" t="str">
        <f t="shared" si="85"/>
        <v>EC</v>
      </c>
      <c r="AH152" s="78" t="str">
        <f t="shared" si="86"/>
        <v>"%USERPROFILE%\Documents\GitHub\eaglep3\Utilities\RefineRTDCRunTimes.py" --tripid 237-08 --locoid 4036 --swversion DE.1.0.9.0 --startMP 204:427 --initTime 2017-10-08T22:37:55 --startdatetime 2017-10-08T23:00:23 --delay 55 --endMP 204:233439 --enddatetime 2017-10-08T23:36:25 --enforcementcount 0 &gt;&gt;%USERPROFILE%\Documents\GitHub\eaglep3-reporting\EC\2017-10-08-refined-times.txt</v>
      </c>
      <c r="AI152" s="96" t="str">
        <f t="shared" si="87"/>
        <v>echo {"issue":{"subject":"","project_id":79,"tracker_id":40,"status_id":1,"priority_id":2,"assigned_to_id":338,"start_date":"2017-10-08","description":"","custom_fields":[{"id":1,"name":"Subdivision","value":"EC"},{"id":4,"name":"Milepost","value":"23.3439"},{"id":17,"name":"Train ID","value":"237-08"},{"id":16,"name":"Locomotive ID","value":"4036"},{"id":130,"name":"Impact","value":""},{"id":150,"name":"Time of Event (Mountain Time)","value":"23:36:25"},{"id":151,"name":"Denver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88"/>
        <v>start /low /b %USERPROFILE%\Documents\GitHub\eaglep3\Utilities\DownloadLogsFromS3.py --loco 4036 --day 2017-10-08</v>
      </c>
      <c r="AN152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05:36:25"},{"id":29,"name":"Sharepoint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0"/>
        <v>https://d0f6bd738d7f1b3e5a7ca70fe4ff75f0.us-east-1.aws.found.io/app/kibana#/discover/Steve-Slow-Train-Analysis-(2080s-and-2083s)?_g=(refreshInterval:(display:Off,pause:!f,section:0,value:0),time:(from:'2017-10-08T21:37:55-0600',mode:absolute,to:'2017-10-09T00:36:25-0600'))&amp;_a=(columns:!('Message%20ID',Summary),filters:!(),index:'emp_*',interval:auto,query:(query_string:(analyze_wildcard:!t,query:'%22rtdc.l.rtdc.4036%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833</v>
      </c>
      <c r="B153" s="7">
        <v>4035</v>
      </c>
      <c r="C153" s="21" t="s">
        <v>194</v>
      </c>
      <c r="D153" s="21" t="s">
        <v>957</v>
      </c>
      <c r="E153" s="13">
        <v>43016.990486111114</v>
      </c>
      <c r="F153" s="13">
        <v>43016.998194444444</v>
      </c>
      <c r="G153" s="7">
        <v>67</v>
      </c>
      <c r="H153" s="21" t="s">
        <v>953</v>
      </c>
      <c r="I153" s="13">
        <v>43017.031956018516</v>
      </c>
      <c r="J153" s="7">
        <v>0</v>
      </c>
      <c r="K153" s="89" t="str">
        <f t="shared" si="77"/>
        <v>4035/4036</v>
      </c>
      <c r="L153" s="185" t="str">
        <f>VLOOKUP(A153,'Trips&amp;Operators'!$C$1:$G$99911,5,FALSE)</f>
        <v>STAMBAUGH JAMES</v>
      </c>
      <c r="M153" s="6">
        <f t="shared" si="78"/>
        <v>3.3761574071832001E-2</v>
      </c>
      <c r="N153" s="7">
        <f t="shared" si="91"/>
        <v>48.616666663438082</v>
      </c>
      <c r="O153" s="7"/>
      <c r="P153" s="7"/>
      <c r="Q153" s="22"/>
      <c r="R153" s="174"/>
      <c r="S153" s="221">
        <f t="shared" si="92"/>
        <v>1</v>
      </c>
      <c r="T153" s="174" t="str">
        <f t="shared" si="79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0"/>
        <v>https://d0f6bd738d7f1b3e5a7ca70fe4ff75f0.us-east-1.aws.found.io/app/kibana#/discover/Steve-Slow-Train-Analysis-(2080s-and-2083s)?_g=(refreshInterval:(display:Off,pause:!f,section:0,value:0),time:(from:'2017-10-08T22:46:18-0600',mode:absolute,to:'2017-10-09T01:46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3" s="204" t="str">
        <f>IF(AA153&lt;VLOOKUP(AG153,Variables!$AC$3:$AD$8,2,FALSE),"Y","N")</f>
        <v>N</v>
      </c>
      <c r="X153" s="204">
        <f t="shared" si="76"/>
        <v>1</v>
      </c>
      <c r="Y153" s="204">
        <f t="shared" si="74"/>
        <v>23.311299999999999</v>
      </c>
      <c r="Z153" s="204">
        <f t="shared" si="75"/>
        <v>1.2500000000000001E-2</v>
      </c>
      <c r="AA153" s="204">
        <f t="shared" si="81"/>
        <v>23.2988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2"/>
        <v>238</v>
      </c>
      <c r="AE153" s="77" t="str">
        <f t="shared" si="83"/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153" s="74" t="str">
        <f t="shared" si="84"/>
        <v>"C:\Program Files (x86)\AstroGrep\AstroGrep.exe" /e /r /s /spath="%USERPROFILE%\AppData\Local\Temp\OnboardLogs" /stypes="app*4035*20171009*" /stext=" 06:.+((SYSTEM_STATE.+slice.+state.+changed )|(ment ac)|(multiple cpu faults)|(system.+state.+changed )|(\[timeout)|(PRM\|1\|D)|(kpr)|(kdp)|(train st.+moving)|(\|lc)|(penalty))"</v>
      </c>
      <c r="AG153" s="182" t="str">
        <f t="shared" si="85"/>
        <v>EC</v>
      </c>
      <c r="AH153" s="78" t="str">
        <f t="shared" si="86"/>
        <v>"%USERPROFILE%\Documents\GitHub\eaglep3\Utilities\RefineRTDCRunTimes.py" --tripid 238-08 --locoid 4035 --swversion DE.1.0.9.0 --startMP 204:233113 --initTime 2017-10-08T23:46:18 --startdatetime 2017-10-08T23:57:24 --delay 67 --endMP 204:125 --enddatetime 2017-10-09T00:46:01 --enforcementcount 0 &gt;&gt;%USERPROFILE%\Documents\GitHub\eaglep3-reporting\EC\2017-10-08-refined-times.txt</v>
      </c>
      <c r="AI153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{"issue":{"subject":"","project_id":79,"tracker_id":40,"status_id":1,"priority_id":2,"assigned_to_id":338,"start_date":"2017-10-09","description":"","custom_fields":[{"id":1,"name":"Subdivision","value":"EC"},{"id":4,"name":"Milepost","value":"0.0125"},{"id":17,"name":"Train ID","value":"238-08"},{"id":16,"name":"Locomotive ID","value":"4035"},{"id":130,"name":"Impact","value":""},{"id":150,"name":"Time of Event (Mountain Time)","value":"00:46:01"},{"id":151,"name":"Denver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88"/>
        <v>start /low /b %USERPROFILE%\Documents\GitHub\eaglep3\Utilities\DownloadLogsFromS3.py --loco 4035 --day 2017-10-08</v>
      </c>
      <c r="AN153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06:46:01"},{"id":29,"name":"Sharepoint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0"/>
        <v>https://d0f6bd738d7f1b3e5a7ca70fe4ff75f0.us-east-1.aws.found.io/app/kibana#/discover/Steve-Slow-Train-Analysis-(2080s-and-2083s)?_g=(refreshInterval:(display:Off,pause:!f,section:0,value:0),time:(from:'2017-10-08T22:46:18-0600',mode:absolute,to:'2017-10-09T01:46:01-0600'))&amp;_a=(columns:!('Message%20ID',Summary),filters:!(),index:'emp_*',interval:auto,query:(query_string:(analyze_wildcard:!t,query:'%22rtdc.l.rtdc.4035%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831</v>
      </c>
      <c r="B154" s="7">
        <v>4002</v>
      </c>
      <c r="C154" s="21" t="s">
        <v>194</v>
      </c>
      <c r="D154" s="21" t="s">
        <v>334</v>
      </c>
      <c r="E154" s="13">
        <v>43016.973495370374</v>
      </c>
      <c r="F154" s="13">
        <v>43016.979363425926</v>
      </c>
      <c r="G154" s="7">
        <v>99</v>
      </c>
      <c r="H154" s="21" t="s">
        <v>958</v>
      </c>
      <c r="I154" s="13">
        <v>43017.009004629632</v>
      </c>
      <c r="J154" s="7">
        <v>0</v>
      </c>
      <c r="K154" s="89" t="str">
        <f t="shared" si="77"/>
        <v>4001/4002</v>
      </c>
      <c r="L154" s="185" t="str">
        <f>VLOOKUP(A154,'Trips&amp;Operators'!$C$1:$G$99911,5,FALSE)</f>
        <v>LOZA FIDEL</v>
      </c>
      <c r="M154" s="6">
        <f t="shared" si="78"/>
        <v>2.9641203705978114E-2</v>
      </c>
      <c r="N154" s="7">
        <f t="shared" si="91"/>
        <v>42.683333336608484</v>
      </c>
      <c r="O154" s="7"/>
      <c r="P154" s="7"/>
      <c r="Q154" s="22"/>
      <c r="R154" s="174"/>
      <c r="S154" s="221">
        <f t="shared" si="92"/>
        <v>1</v>
      </c>
      <c r="T154" s="174" t="str">
        <f t="shared" si="79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0"/>
        <v>https://d0f6bd738d7f1b3e5a7ca70fe4ff75f0.us-east-1.aws.found.io/app/kibana#/discover/Steve-Slow-Train-Analysis-(2080s-and-2083s)?_g=(refreshInterval:(display:Off,pause:!f,section:0,value:0),time:(from:'2017-10-08T22:21:50-0600',mode:absolute,to:'2017-10-09T01:12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204" t="str">
        <f>IF(AA154&lt;VLOOKUP(AG154,Variables!$AC$3:$AD$8,2,FALSE),"Y","N")</f>
        <v>N</v>
      </c>
      <c r="X154" s="204">
        <f t="shared" si="76"/>
        <v>1</v>
      </c>
      <c r="Y154" s="204">
        <f t="shared" si="74"/>
        <v>4.4600000000000001E-2</v>
      </c>
      <c r="Z154" s="204">
        <f t="shared" si="75"/>
        <v>23.335999999999999</v>
      </c>
      <c r="AA154" s="204">
        <f t="shared" si="81"/>
        <v>23.291399999999999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2"/>
        <v>239</v>
      </c>
      <c r="AE154" s="77" t="str">
        <f t="shared" si="83"/>
        <v>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 &amp; 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</v>
      </c>
      <c r="AF154" s="74" t="str">
        <f t="shared" si="84"/>
        <v>"C:\Program Files (x86)\AstroGrep\AstroGrep.exe" /e /r /s /spath="%USERPROFILE%\AppData\Local\Temp\OnboardLogs" /stypes="app*4002*20171009*" /stext=" 06:.+((SYSTEM_STATE.+slice.+state.+changed )|(ment ac)|(multiple cpu faults)|(system.+state.+changed )|(\[timeout)|(PRM\|1\|D)|(kpr)|(kdp)|(train st.+moving)|(\|lc)|(penalty))"</v>
      </c>
      <c r="AG154" s="182" t="str">
        <f t="shared" si="85"/>
        <v>EC</v>
      </c>
      <c r="AH154" s="78" t="str">
        <f t="shared" si="86"/>
        <v>"%USERPROFILE%\Documents\GitHub\eaglep3\Utilities\RefineRTDCRunTimes.py" --tripid 239-08 --locoid 4002 --swversion DE.1.0.9.0 --startMP 204:446 --initTime 2017-10-08T23:21:50 --startdatetime 2017-10-08T23:30:17 --delay 99 --endMP 204:233360 --enddatetime 2017-10-09T00:12:58 --enforcementcount 0 &gt;&gt;%USERPROFILE%\Documents\GitHub\eaglep3-reporting\EC\2017-10-08-refined-times.txt</v>
      </c>
      <c r="AI154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{"issue":{"subject":"","project_id":79,"tracker_id":40,"status_id":1,"priority_id":2,"assigned_to_id":338,"start_date":"2017-10-09","description":"","custom_fields":[{"id":1,"name":"Subdivision","value":"EC"},{"id":4,"name":"Milepost","value":"23.336"},{"id":17,"name":"Train ID","value":"239-08"},{"id":16,"name":"Locomotive ID","value":"4002"},{"id":130,"name":"Impact","value":""},{"id":150,"name":"Time of Event (Mountain Time)","value":"00:12:58"},{"id":151,"name":"Denver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88"/>
        <v>start /low /b %USERPROFILE%\Documents\GitHub\eaglep3\Utilities\DownloadLogsFromS3.py --loco 4002 --day 2017-10-08</v>
      </c>
      <c r="AN154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06:12:58"},{"id":29,"name":"Sharepoint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0"/>
        <v>https://d0f6bd738d7f1b3e5a7ca70fe4ff75f0.us-east-1.aws.found.io/app/kibana#/discover/Steve-Slow-Train-Analysis-(2080s-and-2083s)?_g=(refreshInterval:(display:Off,pause:!f,section:0,value:0),time:(from:'2017-10-08T22:21:50-0600',mode:absolute,to:'2017-10-09T01:12:58-0600'))&amp;_a=(columns:!('Message%20ID',Summary),filters:!(),index:'emp_*',interval:auto,query:(query_string:(analyze_wildcard:!t,query:'%22rtdc.l.rtdc.4002%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836</v>
      </c>
      <c r="B155" s="7">
        <v>4001</v>
      </c>
      <c r="C155" s="21" t="s">
        <v>194</v>
      </c>
      <c r="D155" s="21" t="s">
        <v>959</v>
      </c>
      <c r="E155" s="13">
        <v>43017.015011574076</v>
      </c>
      <c r="F155" s="13">
        <v>43017.018935185188</v>
      </c>
      <c r="G155" s="7">
        <v>73</v>
      </c>
      <c r="H155" s="21" t="s">
        <v>960</v>
      </c>
      <c r="I155" s="13">
        <v>43017.04519675926</v>
      </c>
      <c r="J155" s="7">
        <v>0</v>
      </c>
      <c r="K155" s="89" t="str">
        <f t="shared" si="77"/>
        <v>4001/4002</v>
      </c>
      <c r="L155" s="185" t="str">
        <f>VLOOKUP(A155,'Trips&amp;Operators'!$C$1:$G$99911,5,FALSE)</f>
        <v>LOZA FIDEL</v>
      </c>
      <c r="M155" s="6">
        <f t="shared" si="78"/>
        <v>2.626157407212304E-2</v>
      </c>
      <c r="N155" s="7">
        <f t="shared" si="91"/>
        <v>37.816666663857177</v>
      </c>
      <c r="O155" s="7"/>
      <c r="P155" s="7"/>
      <c r="Q155" s="22"/>
      <c r="R155" s="174"/>
      <c r="S155" s="221">
        <f t="shared" si="92"/>
        <v>1</v>
      </c>
      <c r="T155" s="174" t="str">
        <f t="shared" si="79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0"/>
        <v>https://d0f6bd738d7f1b3e5a7ca70fe4ff75f0.us-east-1.aws.found.io/app/kibana#/discover/Steve-Slow-Train-Analysis-(2080s-and-2083s)?_g=(refreshInterval:(display:Off,pause:!f,section:0,value:0),time:(from:'2017-10-08T23:21:37-0600',mode:absolute,to:'2017-10-09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204" t="str">
        <f>IF(AA155&lt;VLOOKUP(AG155,Variables!$AC$3:$AD$8,2,FALSE),"Y","N")</f>
        <v>N</v>
      </c>
      <c r="X155" s="204">
        <f t="shared" si="76"/>
        <v>1</v>
      </c>
      <c r="Y155" s="204">
        <f t="shared" si="74"/>
        <v>23.304400000000001</v>
      </c>
      <c r="Z155" s="204">
        <f t="shared" si="75"/>
        <v>1.7000000000000001E-2</v>
      </c>
      <c r="AA155" s="204">
        <f t="shared" si="81"/>
        <v>23.287400000000002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2"/>
        <v>240</v>
      </c>
      <c r="AE155" s="77" t="str">
        <f t="shared" si="83"/>
        <v>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 &amp; aws s3 cp s3://rtdc.mdm.uploadarchive.raw/RTDC4001/ "%USERPROFILE%\AppData\Local\Temp\OnboardLogs"\RTDC4001\2017-10-10 --exclude "*" --recursive --include "*20171010*" &amp; "%USERPROFILE%\Documents\GitHub\mrs-test-scripts\Headless Mode &amp; Sideloading\WalkAndUnGZ.bat" "%USERPROFILE%\AppData\Local\Temp\OnboardLogs"\RTDC4001\2017-10-10</v>
      </c>
      <c r="AF155" s="74" t="str">
        <f t="shared" si="84"/>
        <v>"C:\Program Files (x86)\AstroGrep\AstroGrep.exe" /e /r /s /spath="%USERPROFILE%\AppData\Local\Temp\OnboardLogs" /stypes="app*4001*20171009*" /stext=" 07:.+((SYSTEM_STATE.+slice.+state.+changed )|(ment ac)|(multiple cpu faults)|(system.+state.+changed )|(\[timeout)|(PRM\|1\|D)|(kpr)|(kdp)|(train st.+moving)|(\|lc)|(penalty))"</v>
      </c>
      <c r="AG155" s="182" t="str">
        <f t="shared" si="85"/>
        <v>EC</v>
      </c>
      <c r="AH155" s="78" t="str">
        <f t="shared" si="86"/>
        <v>"%USERPROFILE%\Documents\GitHub\eaglep3\Utilities\RefineRTDCRunTimes.py" --tripid 240-08 --locoid 4001 --swversion DE.1.0.9.0 --startMP 204:233044 --initTime 2017-10-09T00:21:37 --startdatetime 2017-10-09T00:27:16 --delay 73 --endMP 204:170 --enddatetime 2017-10-09T01:05:05 --enforcementcount 0 &gt;&gt;%USERPROFILE%\Documents\GitHub\eaglep3-reporting\EC\2017-10-08-refined-times.txt</v>
      </c>
      <c r="AI155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{"issue":{"subject":"","project_id":79,"tracker_id":40,"status_id":1,"priority_id":2,"assigned_to_id":338,"start_date":"2017-10-09","description":"","custom_fields":[{"id":1,"name":"Subdivision","value":"EC"},{"id":4,"name":"Milepost","value":"0.017"},{"id":17,"name":"Train ID","value":"240-08"},{"id":16,"name":"Locomotive ID","value":"4001"},{"id":130,"name":"Impact","value":""},{"id":150,"name":"Time of Event (Mountain Time)","value":"01:05:05"},{"id":151,"name":"Denver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88"/>
        <v>start /low /b %USERPROFILE%\Documents\GitHub\eaglep3\Utilities\DownloadLogsFromS3.py --loco 4001 --day 2017-10-09</v>
      </c>
      <c r="AN155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07:05:05"},{"id":29,"name":"Sharepoint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0"/>
        <v>https://d0f6bd738d7f1b3e5a7ca70fe4ff75f0.us-east-1.aws.found.io/app/kibana#/discover/Steve-Slow-Train-Analysis-(2080s-and-2083s)?_g=(refreshInterval:(display:Off,pause:!f,section:0,value:0),time:(from:'2017-10-08T23:21:37-0600',mode:absolute,to:'2017-10-09T02:05:05-0600'))&amp;_a=(columns:!('Message%20ID',Summary),filters:!(),index:'emp_*',interval:auto,query:(query_string:(analyze_wildcard:!t,query:'%22rtdc.l.rtdc.4001%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834</v>
      </c>
      <c r="B156" s="7">
        <v>4050</v>
      </c>
      <c r="C156" s="21" t="s">
        <v>194</v>
      </c>
      <c r="D156" s="21" t="s">
        <v>959</v>
      </c>
      <c r="E156" s="13">
        <v>43017.015011574076</v>
      </c>
      <c r="F156" s="13">
        <v>43017.000162037039</v>
      </c>
      <c r="G156" s="7">
        <v>73</v>
      </c>
      <c r="H156" s="21" t="s">
        <v>960</v>
      </c>
      <c r="I156" s="13">
        <v>43017.025266203702</v>
      </c>
      <c r="J156" s="7">
        <v>0</v>
      </c>
      <c r="K156" s="89" t="str">
        <f t="shared" si="77"/>
        <v>4049/4050</v>
      </c>
      <c r="L156" s="185" t="str">
        <f>VLOOKUP(A156,'Trips&amp;Operators'!$C$1:$G$99911,5,FALSE)</f>
        <v>ELBAUM MIKE</v>
      </c>
      <c r="M156" s="6">
        <f t="shared" si="78"/>
        <v>2.5104166663368233E-2</v>
      </c>
      <c r="N156" s="7">
        <f t="shared" si="91"/>
        <v>36.149999995250255</v>
      </c>
      <c r="O156" s="7"/>
      <c r="P156" s="7"/>
      <c r="Q156" s="22"/>
      <c r="R156" s="174"/>
      <c r="S156" s="221">
        <f t="shared" si="92"/>
        <v>1</v>
      </c>
      <c r="T156" s="174" t="str">
        <f t="shared" si="79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0"/>
        <v>https://d0f6bd738d7f1b3e5a7ca70fe4ff75f0.us-east-1.aws.found.io/app/kibana#/discover/Steve-Slow-Train-Analysis-(2080s-and-2083s)?_g=(refreshInterval:(display:Off,pause:!f,section:0,value:0),time:(from:'2017-10-08T23:21:37-0600',mode:absolute,to:'2017-10-09T01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04" t="str">
        <f>IF(AA156&lt;VLOOKUP(AG156,Variables!$AC$3:$AD$8,2,FALSE),"Y","N")</f>
        <v>N</v>
      </c>
      <c r="X156" s="204">
        <f t="shared" ref="X156:X157" si="93">VALUE(LEFT(AD156,4))-VALUE(LEFT(AD155,4))</f>
        <v>1</v>
      </c>
      <c r="Y156" s="204">
        <v>4.4600000000000001E-2</v>
      </c>
      <c r="Z156" s="204">
        <v>23.335999999999999</v>
      </c>
      <c r="AA156" s="204">
        <f t="shared" si="81"/>
        <v>23.291399999999999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2"/>
        <v>241</v>
      </c>
      <c r="AE156" s="77" t="str">
        <f t="shared" si="83"/>
        <v>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 &amp; 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</v>
      </c>
      <c r="AF156" s="74" t="str">
        <f t="shared" si="84"/>
        <v>"C:\Program Files (x86)\AstroGrep\AstroGrep.exe" /e /r /s /spath="%USERPROFILE%\AppData\Local\Temp\OnboardLogs" /stypes="app*4050*20171009*" /stext=" 06:.+((SYSTEM_STATE.+slice.+state.+changed )|(ment ac)|(multiple cpu faults)|(system.+state.+changed )|(\[timeout)|(PRM\|1\|D)|(kpr)|(kdp)|(train st.+moving)|(\|lc)|(penalty))"</v>
      </c>
      <c r="AG156" s="182" t="str">
        <f t="shared" si="85"/>
        <v>EC</v>
      </c>
      <c r="AH156" s="78" t="str">
        <f t="shared" ref="AH156" si="94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241-08 --locoid 4050 --swversion DE.1.0.9.0 --startMP 204:233044 --initTime 2017-10-09T00:21:37 --startdatetime 2017-10-09T00:00:14 --delay 73 --endMP 204:170 --enddatetime 2017-10-09T00:36:23 --enforcementcount 0 &gt;&gt;%USERPROFILE%\Documents\GitHub\eaglep3-reporting\EC\2017-10-08-refined-times.txt</v>
      </c>
      <c r="AI156" s="96" t="str">
        <f t="shared" ref="AI156" si="95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{"issue":{"subject":"","project_id":79,"tracker_id":40,"status_id":1,"priority_id":2,"assigned_to_id":338,"start_date":"2017-10-09","description":"","custom_fields":[{"id":1,"name":"Subdivision","value":"EC"},{"id":4,"name":"Milepost","value":"23.336"},{"id":17,"name":"Train ID","value":"241-08"},{"id":16,"name":"Locomotive ID","value":"4050"},{"id":130,"name":"Impact","value":""},{"id":150,"name":"Time of Event (Mountain Time)","value":"00:36:23"},{"id":151,"name":"Denver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96">"start /low /b "&amp;dls3logs&amp;" --loco "&amp;B156&amp;" --day "&amp;TEXT(F156,"YYYY-MM-DD")</f>
        <v>start /low /b %USERPROFILE%\Documents\GitHub\eaglep3\Utilities\DownloadLogsFromS3.py --loco 4050 --day 2017-10-09</v>
      </c>
      <c r="AN156" s="151" t="str">
        <f t="shared" ref="AN156" si="97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06:36:23"},{"id":29,"name":"Sharepoint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98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-08T23:21:37-0600',mode:absolute,to:'2017-10-09T01:36:23-0600'))&amp;_a=(columns:!('Message%20ID',Summary),filters:!(),index:'emp_*',interval:auto,query:(query_string:(analyze_wildcard:!t,query:'%22rtdc.l.rtdc.4050%22')),sort:!(Time.ISO8601,asc))</v>
      </c>
    </row>
    <row r="157" spans="1:91" s="20" customFormat="1" x14ac:dyDescent="0.25">
      <c r="A157" s="32" t="s">
        <v>616</v>
      </c>
      <c r="B157" s="7">
        <v>4049</v>
      </c>
      <c r="C157" s="21" t="s">
        <v>194</v>
      </c>
      <c r="D157" s="21" t="s">
        <v>394</v>
      </c>
      <c r="E157" s="13">
        <v>43017.026909722219</v>
      </c>
      <c r="F157" s="13">
        <v>43017.039722222224</v>
      </c>
      <c r="G157" s="7">
        <v>61</v>
      </c>
      <c r="H157" s="21" t="s">
        <v>364</v>
      </c>
      <c r="I157" s="13">
        <v>43017.065405092595</v>
      </c>
      <c r="J157" s="7">
        <v>0</v>
      </c>
      <c r="K157" s="89" t="str">
        <f t="shared" si="77"/>
        <v>4049/4050</v>
      </c>
      <c r="L157" s="185" t="str">
        <f>VLOOKUP(A157,'Trips&amp;Operators'!$C$1:$G$99911,5,FALSE)</f>
        <v>ELBAUM MIKE</v>
      </c>
      <c r="M157" s="6">
        <f t="shared" si="78"/>
        <v>2.5682870371383615E-2</v>
      </c>
      <c r="N157" s="7">
        <f t="shared" si="91"/>
        <v>36.983333334792405</v>
      </c>
      <c r="O157" s="7"/>
      <c r="P157" s="7"/>
      <c r="Q157" s="22"/>
      <c r="R157" s="174"/>
      <c r="S157" s="221">
        <f t="shared" si="92"/>
        <v>1</v>
      </c>
      <c r="T157" s="174" t="str">
        <f t="shared" si="79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0"/>
        <v>https://d0f6bd738d7f1b3e5a7ca70fe4ff75f0.us-east-1.aws.found.io/app/kibana#/discover/Steve-Slow-Train-Analysis-(2080s-and-2083s)?_g=(refreshInterval:(display:Off,pause:!f,section:0,value:0),time:(from:'2017-10-08T23:38:45-0600',mode:absolute,to:'2017-10-09T02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>IF(AA157&lt;VLOOKUP(AG157,Variables!$AC$3:$AD$8,2,FALSE),"Y","N")</f>
        <v>N</v>
      </c>
      <c r="X157" s="204">
        <f t="shared" si="93"/>
        <v>1</v>
      </c>
      <c r="Y157" s="204">
        <f t="shared" ref="Y157:Y178" si="99">RIGHT(D157,LEN(D157)-4)/10000</f>
        <v>23.3</v>
      </c>
      <c r="Z157" s="204">
        <f t="shared" ref="Z157:Z178" si="100">RIGHT(H157,LEN(H157)-4)/10000</f>
        <v>1.61E-2</v>
      </c>
      <c r="AA157" s="204">
        <f t="shared" si="81"/>
        <v>23.283899999999999</v>
      </c>
      <c r="AB157" s="54" t="str">
        <f>VLOOKUP(A157,Enforcements!$C$7:$K$11,8,0)</f>
        <v>Bulletin (2)</v>
      </c>
      <c r="AC157" s="51" t="str">
        <f>VLOOKUP(A157,Enforcements!$C$7:$E$11,3,0)</f>
        <v>GRADE CROSSING</v>
      </c>
      <c r="AD157" s="179">
        <f t="shared" si="82"/>
        <v>242</v>
      </c>
      <c r="AE157" s="77" t="str">
        <f t="shared" si="83"/>
        <v>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 &amp; 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</v>
      </c>
      <c r="AF157" s="74" t="str">
        <f t="shared" si="84"/>
        <v>"C:\Program Files (x86)\AstroGrep\AstroGrep.exe" /e /r /s /spath="%USERPROFILE%\AppData\Local\Temp\OnboardLogs" /stypes="app*4049*20171009*" /stext=" 07:.+((SYSTEM_STATE.+slice.+state.+changed )|(ment ac)|(multiple cpu faults)|(system.+state.+changed )|(\[timeout)|(PRM\|1\|D)|(kpr)|(kdp)|(train st.+moving)|(\|lc)|(penalty))"</v>
      </c>
      <c r="AG157" s="182" t="str">
        <f t="shared" si="85"/>
        <v>EC</v>
      </c>
      <c r="AH157" s="78" t="str">
        <f t="shared" si="86"/>
        <v>"%USERPROFILE%\Documents\GitHub\eaglep3\Utilities\RefineRTDCRunTimes.py" --tripid 242-08 --locoid 4049 --swversion DE.1.0.9.0 --startMP 204:233000 --initTime 2017-10-09T00:38:45 --startdatetime 2017-10-09T00:57:12 --delay 61 --endMP 204:161 --enddatetime 2017-10-09T01:34:11 --enforcementcount 0 &gt;&gt;%USERPROFILE%\Documents\GitHub\eaglep3-reporting\EC\2017-10-08-refined-times.txt</v>
      </c>
      <c r="AI157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{"issue":{"subject":"","project_id":79,"tracker_id":40,"status_id":1,"priority_id":2,"assigned_to_id":338,"start_date":"2017-10-09","description":"","custom_fields":[{"id":1,"name":"Subdivision","value":"EC"},{"id":4,"name":"Milepost","value":"0.0161"},{"id":17,"name":"Train ID","value":"242-08"},{"id":16,"name":"Locomotive ID","value":"4049"},{"id":130,"name":"Impact","value":""},{"id":150,"name":"Time of Event (Mountain Time)","value":"01:34:11"},{"id":151,"name":"Denver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88"/>
        <v>start /low /b %USERPROFILE%\Documents\GitHub\eaglep3\Utilities\DownloadLogsFromS3.py --loco 4049 --day 2017-10-09</v>
      </c>
      <c r="AN157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90"/>
        <v>https://d0f6bd738d7f1b3e5a7ca70fe4ff75f0.us-east-1.aws.found.io/app/kibana#/discover/Steve-Slow-Train-Analysis-(2080s-and-2083s)?_g=(refreshInterval:(display:Off,pause:!f,section:0,value:0),time:(from:'2017-10-08T23:38:45-0600',mode:absolute,to:'2017-10-09T02:34:11-0600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835</v>
      </c>
      <c r="B158" s="7">
        <v>4066</v>
      </c>
      <c r="C158" s="21" t="s">
        <v>194</v>
      </c>
      <c r="D158" s="21" t="s">
        <v>385</v>
      </c>
      <c r="E158" s="13">
        <v>43017.010034722225</v>
      </c>
      <c r="F158" s="13">
        <v>43017.021041666667</v>
      </c>
      <c r="G158" s="7">
        <v>51</v>
      </c>
      <c r="H158" s="21" t="s">
        <v>961</v>
      </c>
      <c r="I158" s="13">
        <v>43017.045925925922</v>
      </c>
      <c r="J158" s="7">
        <v>0</v>
      </c>
      <c r="K158" s="89" t="str">
        <f t="shared" si="77"/>
        <v>4065/4066</v>
      </c>
      <c r="L158" s="185" t="str">
        <f>VLOOKUP(A158,'Trips&amp;Operators'!$C$1:$G$99911,5,FALSE)</f>
        <v>DUNCAN SHEILA</v>
      </c>
      <c r="M158" s="6">
        <f t="shared" si="78"/>
        <v>2.488425925548654E-2</v>
      </c>
      <c r="N158" s="7">
        <f t="shared" si="91"/>
        <v>35.833333327900618</v>
      </c>
      <c r="O158" s="7"/>
      <c r="P158" s="7"/>
      <c r="Q158" s="22"/>
      <c r="R158" s="174"/>
      <c r="S158" s="221">
        <f t="shared" si="92"/>
        <v>1</v>
      </c>
      <c r="T158" s="174" t="str">
        <f t="shared" si="79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80"/>
        <v>https://d0f6bd738d7f1b3e5a7ca70fe4ff75f0.us-east-1.aws.found.io/app/kibana#/discover/Steve-Slow-Train-Analysis-(2080s-and-2083s)?_g=(refreshInterval:(display:Off,pause:!f,section:0,value:0),time:(from:'2017-10-08T23:14:27-0600',mode:absolute,to:'2017-10-09T02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8" s="204" t="str">
        <f>IF(AA158&lt;VLOOKUP(AG158,Variables!$AC$3:$AD$8,2,FALSE),"Y","N")</f>
        <v>N</v>
      </c>
      <c r="X158" s="204">
        <f t="shared" ref="X158:X178" si="101">VALUE(LEFT(AD158,4))-VALUE(LEFT(AD157,4))</f>
        <v>1</v>
      </c>
      <c r="Y158" s="204">
        <f t="shared" si="99"/>
        <v>4.5699999999999998E-2</v>
      </c>
      <c r="Z158" s="204">
        <f t="shared" si="100"/>
        <v>23.340199999999999</v>
      </c>
      <c r="AA158" s="204">
        <f t="shared" si="81"/>
        <v>23.294499999999999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2"/>
        <v>243</v>
      </c>
      <c r="AE158" s="77" t="str">
        <f t="shared" si="83"/>
        <v>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 &amp; 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</v>
      </c>
      <c r="AF158" s="74" t="str">
        <f t="shared" si="84"/>
        <v>"C:\Program Files (x86)\AstroGrep\AstroGrep.exe" /e /r /s /spath="%USERPROFILE%\AppData\Local\Temp\OnboardLogs" /stypes="app*4066*20171009*" /stext=" 07:.+((SYSTEM_STATE.+slice.+state.+changed )|(ment ac)|(multiple cpu faults)|(system.+state.+changed )|(\[timeout)|(PRM\|1\|D)|(kpr)|(kdp)|(train st.+moving)|(\|lc)|(penalty))"</v>
      </c>
      <c r="AG158" s="182" t="str">
        <f t="shared" si="85"/>
        <v>EC</v>
      </c>
      <c r="AH158" s="78" t="str">
        <f t="shared" si="86"/>
        <v>"%USERPROFILE%\Documents\GitHub\eaglep3\Utilities\RefineRTDCRunTimes.py" --tripid 243-08 --locoid 4066 --swversion DE.1.0.9.0 --startMP 204:457 --initTime 2017-10-09T00:14:27 --startdatetime 2017-10-09T00:30:18 --delay 51 --endMP 204:233402 --enddatetime 2017-10-09T01:06:08 --enforcementcount 0 &gt;&gt;%USERPROFILE%\Documents\GitHub\eaglep3-reporting\EC\2017-10-08-refined-times.txt</v>
      </c>
      <c r="AI158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{"issue":{"subject":"","project_id":79,"tracker_id":40,"status_id":1,"priority_id":2,"assigned_to_id":338,"start_date":"2017-10-09","description":"","custom_fields":[{"id":1,"name":"Subdivision","value":"EC"},{"id":4,"name":"Milepost","value":"23.3402"},{"id":17,"name":"Train ID","value":"243-08"},{"id":16,"name":"Locomotive ID","value":"4066"},{"id":130,"name":"Impact","value":""},{"id":150,"name":"Time of Event (Mountain Time)","value":"01:06:08"},{"id":151,"name":"Denver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88"/>
        <v>start /low /b %USERPROFILE%\Documents\GitHub\eaglep3\Utilities\DownloadLogsFromS3.py --loco 4066 --day 2017-10-09</v>
      </c>
      <c r="AN158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07:06:08"},{"id":29,"name":"Sharepoint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0"/>
        <v>https://d0f6bd738d7f1b3e5a7ca70fe4ff75f0.us-east-1.aws.found.io/app/kibana#/discover/Steve-Slow-Train-Analysis-(2080s-and-2083s)?_g=(refreshInterval:(display:Off,pause:!f,section:0,value:0),time:(from:'2017-10-08T23:14:27-0600',mode:absolute,to:'2017-10-09T02:06:08-0600'))&amp;_a=(columns:!('Message%20ID',Summary),filters:!(),index:'emp_*',interval:auto,query:(query_string:(analyze_wildcard:!t,query:'%22rtdc.l.rtdc.4066%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839</v>
      </c>
      <c r="B159" s="7">
        <v>4065</v>
      </c>
      <c r="C159" s="21" t="s">
        <v>194</v>
      </c>
      <c r="D159" s="21" t="s">
        <v>962</v>
      </c>
      <c r="E159" s="13">
        <v>43017.048645833333</v>
      </c>
      <c r="F159" s="13">
        <v>43017.060613425929</v>
      </c>
      <c r="G159" s="7">
        <v>53</v>
      </c>
      <c r="H159" s="21" t="s">
        <v>335</v>
      </c>
      <c r="I159" s="13">
        <v>43017.08630787037</v>
      </c>
      <c r="J159" s="7">
        <v>0</v>
      </c>
      <c r="K159" s="89" t="str">
        <f t="shared" si="77"/>
        <v>4065/4066</v>
      </c>
      <c r="L159" s="185" t="str">
        <f>VLOOKUP(A159,'Trips&amp;Operators'!$C$1:$G$99911,5,FALSE)</f>
        <v>DUNCAN SHEILA</v>
      </c>
      <c r="M159" s="6">
        <f t="shared" si="78"/>
        <v>2.569444444088731E-2</v>
      </c>
      <c r="N159" s="7">
        <f t="shared" si="91"/>
        <v>36.999999994877726</v>
      </c>
      <c r="O159" s="7"/>
      <c r="P159" s="7"/>
      <c r="Q159" s="22"/>
      <c r="R159" s="174"/>
      <c r="S159" s="221">
        <f t="shared" si="92"/>
        <v>1</v>
      </c>
      <c r="T159" s="174" t="str">
        <f t="shared" si="79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80"/>
        <v>https://d0f6bd738d7f1b3e5a7ca70fe4ff75f0.us-east-1.aws.found.io/app/kibana#/discover/Steve-Slow-Train-Analysis-(2080s-and-2083s)?_g=(refreshInterval:(display:Off,pause:!f,section:0,value:0),time:(from:'2017-10-09T00:10:03-0600',mode:absolute,to:'2017-10-09T03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9" s="204" t="str">
        <f>IF(AA159&lt;VLOOKUP(AG159,Variables!$AC$3:$AD$8,2,FALSE),"Y","N")</f>
        <v>N</v>
      </c>
      <c r="X159" s="204">
        <f t="shared" si="101"/>
        <v>1</v>
      </c>
      <c r="Y159" s="204">
        <f t="shared" si="99"/>
        <v>23.306799999999999</v>
      </c>
      <c r="Z159" s="204">
        <f t="shared" si="100"/>
        <v>1.4999999999999999E-2</v>
      </c>
      <c r="AA159" s="204">
        <f t="shared" si="81"/>
        <v>23.291799999999999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2"/>
        <v>244</v>
      </c>
      <c r="AE159" s="77" t="str">
        <f t="shared" si="83"/>
        <v>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 &amp; 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</v>
      </c>
      <c r="AF159" s="74" t="str">
        <f t="shared" si="84"/>
        <v>"C:\Program Files (x86)\AstroGrep\AstroGrep.exe" /e /r /s /spath="%USERPROFILE%\AppData\Local\Temp\OnboardLogs" /stypes="app*4065*20171009*" /stext=" 08:.+((SYSTEM_STATE.+slice.+state.+changed )|(ment ac)|(multiple cpu faults)|(system.+state.+changed )|(\[timeout)|(PRM\|1\|D)|(kpr)|(kdp)|(train st.+moving)|(\|lc)|(penalty))"</v>
      </c>
      <c r="AG159" s="182" t="str">
        <f t="shared" si="85"/>
        <v>EC</v>
      </c>
      <c r="AH159" s="78" t="str">
        <f t="shared" si="86"/>
        <v>"%USERPROFILE%\Documents\GitHub\eaglep3\Utilities\RefineRTDCRunTimes.py" --tripid 244-08 --locoid 4065 --swversion DE.1.0.9.0 --startMP 204:233068 --initTime 2017-10-09T01:10:03 --startdatetime 2017-10-09T01:27:17 --delay 53 --endMP 204:150 --enddatetime 2017-10-09T02:04:17 --enforcementcount 0 &gt;&gt;%USERPROFILE%\Documents\GitHub\eaglep3-reporting\EC\2017-10-08-refined-times.txt</v>
      </c>
      <c r="AI159" s="96" t="str">
        <f t="shared" si="87"/>
        <v>echo {"issue":{"subject":"","project_id":79,"tracker_id":40,"status_id":1,"priority_id":2,"assigned_to_id":338,"start_date":"2017-10-09","description":"","custom_fields":[{"id":1,"name":"Subdivision","value":"EC"},{"id":4,"name":"Milepost","value":"0.015"},{"id":17,"name":"Train ID","value":"244-08"},{"id":16,"name":"Locomotive ID","value":"4065"},{"id":130,"name":"Impact","value":""},{"id":150,"name":"Time of Event (Mountain Time)","value":"02:04:17"},{"id":151,"name":"Denver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88"/>
        <v>start /low /b %USERPROFILE%\Documents\GitHub\eaglep3\Utilities\DownloadLogsFromS3.py --loco 4065 --day 2017-10-09</v>
      </c>
      <c r="AN159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08:04:17"},{"id":29,"name":"Sharepoint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0"/>
        <v>https://d0f6bd738d7f1b3e5a7ca70fe4ff75f0.us-east-1.aws.found.io/app/kibana#/discover/Steve-Slow-Train-Analysis-(2080s-and-2083s)?_g=(refreshInterval:(display:Off,pause:!f,section:0,value:0),time:(from:'2017-10-09T00:10:03-0600',mode:absolute,to:'2017-10-09T03:04:17-0600'))&amp;_a=(columns:!('Message%20ID',Summary),filters:!(),index:'emp_*',interval:auto,query:(query_string:(analyze_wildcard:!t,query:'%22rtdc.l.rtdc.4065%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662</v>
      </c>
      <c r="B160" s="7">
        <v>4063</v>
      </c>
      <c r="C160" s="21" t="s">
        <v>194</v>
      </c>
      <c r="D160" s="21" t="s">
        <v>889</v>
      </c>
      <c r="E160" s="13">
        <v>43016.236018518517</v>
      </c>
      <c r="F160" s="13">
        <v>43016.237372685187</v>
      </c>
      <c r="G160" s="7">
        <v>64</v>
      </c>
      <c r="H160" s="21" t="s">
        <v>573</v>
      </c>
      <c r="I160" s="13">
        <v>43016.247060185182</v>
      </c>
      <c r="J160" s="7">
        <v>0</v>
      </c>
      <c r="K160" s="89" t="str">
        <f t="shared" si="77"/>
        <v>4063/4064</v>
      </c>
      <c r="L160" s="185" t="str">
        <f>VLOOKUP(A160,'Trips&amp;Operators'!$C$1:$G$99911,5,FALSE)</f>
        <v>MACDONALD THOMAS</v>
      </c>
      <c r="M160" s="6">
        <f t="shared" si="78"/>
        <v>9.6874999944702722E-3</v>
      </c>
      <c r="N160" s="7">
        <f t="shared" si="91"/>
        <v>13.949999992037192</v>
      </c>
      <c r="O160" s="7"/>
      <c r="P160" s="7"/>
      <c r="Q160" s="22"/>
      <c r="R160" s="174"/>
      <c r="S160" s="221">
        <f t="shared" si="92"/>
        <v>1</v>
      </c>
      <c r="T160" s="174" t="str">
        <f t="shared" si="79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80"/>
        <v>https://d0f6bd738d7f1b3e5a7ca70fe4ff75f0.us-east-1.aws.found.io/app/kibana#/discover/Steve-Slow-Train-Analysis-(2080s-and-2083s)?_g=(refreshInterval:(display:Off,pause:!f,section:0,value:0),time:(from:'2017-10-08T04:39:52-0600',mode:absolute,to:'2017-10-08T06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0" s="204" t="str">
        <f>IF(AA160&lt;VLOOKUP(AG160,Variables!$AC$3:$AD$8,2,FALSE),"Y","N")</f>
        <v>N</v>
      </c>
      <c r="X160" s="204">
        <f t="shared" si="101"/>
        <v>1556</v>
      </c>
      <c r="Y160" s="204">
        <f t="shared" si="99"/>
        <v>5.8611000000000004</v>
      </c>
      <c r="Z160" s="204">
        <f t="shared" si="100"/>
        <v>6.9599999999999995E-2</v>
      </c>
      <c r="AA160" s="204">
        <f t="shared" si="81"/>
        <v>5.7915000000000001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2"/>
        <v>1800</v>
      </c>
      <c r="AE160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60" s="74" t="str">
        <f t="shared" si="84"/>
        <v>"C:\Program Files (x86)\AstroGrep\AstroGrep.exe" /e /r /s /spath="%USERPROFILE%\AppData\Local\Temp\OnboardLogs" /stypes="app*4063*20171008*" /stext=" 11:.+((SYSTEM_STATE.+slice.+state.+changed )|(ment ac)|(multiple cpu faults)|(system.+state.+changed )|(\[timeout)|(PRM\|1\|D)|(kpr)|(kdp)|(train st.+moving)|(\|lc)|(penalty))"</v>
      </c>
      <c r="AG160" s="182" t="str">
        <f t="shared" si="85"/>
        <v>NW</v>
      </c>
      <c r="AH160" s="78" t="str">
        <f t="shared" si="86"/>
        <v>"%USERPROFILE%\Documents\GitHub\eaglep3\Utilities\RefineRTDCRunTimes.py" --tripid 1800-08 --locoid 4063 --swversion DE.1.0.9.0 --startMP 300:58611 --initTime 2017-10-08T05:39:52 --startdatetime 2017-10-08T05:41:49 --delay 64 --endMP 204:696 --enddatetime 2017-10-08T05:55:46 --enforcementcount 0 &gt;&gt;%USERPROFILE%\Documents\GitHub\eaglep3-reporting\EC\2017-10-08-refined-times.txt</v>
      </c>
      <c r="AI160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{"issue":{"subject":"","project_id":79,"tracker_id":40,"status_id":1,"priority_id":2,"assigned_to_id":338,"start_date":"2017-10-08","description":"","custom_fields":[{"id":1,"name":"Subdivision","value":"NW"},{"id":4,"name":"Milepost","value":"0.0696"},{"id":17,"name":"Train ID","value":"1800-08"},{"id":16,"name":"Locomotive ID","value":"4063"},{"id":130,"name":"Impact","value":""},{"id":150,"name":"Time of Event (Mountain Time)","value":"05:55:46"},{"id":151,"name":"Denver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88"/>
        <v>start /low /b %USERPROFILE%\Documents\GitHub\eaglep3\Utilities\DownloadLogsFromS3.py --loco 4063 --day 2017-10-08</v>
      </c>
      <c r="AN160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0"/>
        <v>https://d0f6bd738d7f1b3e5a7ca70fe4ff75f0.us-east-1.aws.found.io/app/kibana#/discover/Steve-Slow-Train-Analysis-(2080s-and-2083s)?_g=(refreshInterval:(display:Off,pause:!f,section:0,value:0),time:(from:'2017-10-08T04:39:52-0600',mode:absolute,to:'2017-10-08T06:55:46-0600'))&amp;_a=(columns:!('Message%20ID',Summary),filters:!(),index:'emp_*',interval:auto,query:(query_string:(analyze_wildcard:!t,query:'%22rtdc.l.rtdc.4063%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668</v>
      </c>
      <c r="B161" s="7">
        <v>4064</v>
      </c>
      <c r="C161" s="21" t="s">
        <v>194</v>
      </c>
      <c r="D161" s="21" t="s">
        <v>581</v>
      </c>
      <c r="E161" s="13">
        <v>43016.248171296298</v>
      </c>
      <c r="F161" s="13">
        <v>43016.256585648145</v>
      </c>
      <c r="G161" s="7">
        <v>670</v>
      </c>
      <c r="H161" s="21" t="s">
        <v>890</v>
      </c>
      <c r="I161" s="13">
        <v>43016.266099537039</v>
      </c>
      <c r="J161" s="7">
        <v>0</v>
      </c>
      <c r="K161" s="89" t="str">
        <f t="shared" si="77"/>
        <v>4063/4064</v>
      </c>
      <c r="L161" s="185" t="str">
        <f>VLOOKUP(A161,'Trips&amp;Operators'!$C$1:$G$99911,5,FALSE)</f>
        <v>MACDONALD THOMAS</v>
      </c>
      <c r="M161" s="6">
        <f t="shared" si="78"/>
        <v>9.5138888937071897E-3</v>
      </c>
      <c r="N161" s="7">
        <f t="shared" si="91"/>
        <v>13.700000006938353</v>
      </c>
      <c r="O161" s="7"/>
      <c r="P161" s="7"/>
      <c r="Q161" s="22"/>
      <c r="R161" s="174"/>
      <c r="S161" s="221">
        <f t="shared" si="92"/>
        <v>1</v>
      </c>
      <c r="T161" s="174" t="str">
        <f t="shared" si="79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0"/>
        <v>https://d0f6bd738d7f1b3e5a7ca70fe4ff75f0.us-east-1.aws.found.io/app/kibana#/discover/Steve-Slow-Train-Analysis-(2080s-and-2083s)?_g=(refreshInterval:(display:Off,pause:!f,section:0,value:0),time:(from:'2017-10-08T04:57:22-0600',mode:absolute,to:'2017-10-08T07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204" t="str">
        <f>IF(AA161&lt;VLOOKUP(AG161,Variables!$AC$3:$AD$8,2,FALSE),"Y","N")</f>
        <v>N</v>
      </c>
      <c r="X161" s="204">
        <f t="shared" si="101"/>
        <v>1</v>
      </c>
      <c r="Y161" s="204">
        <f t="shared" si="99"/>
        <v>9.8100000000000007E-2</v>
      </c>
      <c r="Z161" s="204">
        <f t="shared" si="100"/>
        <v>5.8914</v>
      </c>
      <c r="AA161" s="204">
        <f t="shared" si="81"/>
        <v>5.7933000000000003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2"/>
        <v>1801</v>
      </c>
      <c r="AE161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61" s="74" t="str">
        <f t="shared" si="84"/>
        <v>"C:\Program Files (x86)\AstroGrep\AstroGrep.exe" /e /r /s /spath="%USERPROFILE%\AppData\Local\Temp\OnboardLogs" /stypes="app*4064*20171008*" /stext=" 12:.+((SYSTEM_STATE.+slice.+state.+changed )|(ment ac)|(multiple cpu faults)|(system.+state.+changed )|(\[timeout)|(PRM\|1\|D)|(kpr)|(kdp)|(train st.+moving)|(\|lc)|(penalty))"</v>
      </c>
      <c r="AG161" s="182" t="str">
        <f t="shared" si="85"/>
        <v>NW</v>
      </c>
      <c r="AH161" s="78" t="str">
        <f t="shared" si="86"/>
        <v>"%USERPROFILE%\Documents\GitHub\eaglep3\Utilities\RefineRTDCRunTimes.py" --tripid 1801-08 --locoid 4064 --swversion DE.1.0.9.0 --startMP 204:981 --initTime 2017-10-08T05:57:22 --startdatetime 2017-10-08T06:09:29 --delay 670 --endMP 300:58914 --enddatetime 2017-10-08T06:23:11 --enforcementcount 0 &gt;&gt;%USERPROFILE%\Documents\GitHub\eaglep3-reporting\EC\2017-10-08-refined-times.txt</v>
      </c>
      <c r="AI161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{"issue":{"subject":"","project_id":79,"tracker_id":40,"status_id":1,"priority_id":2,"assigned_to_id":338,"start_date":"2017-10-08","description":"","custom_fields":[{"id":1,"name":"Subdivision","value":"NW"},{"id":4,"name":"Milepost","value":"5.8914"},{"id":17,"name":"Train ID","value":"1801-08"},{"id":16,"name":"Locomotive ID","value":"4064"},{"id":130,"name":"Impact","value":""},{"id":150,"name":"Time of Event (Mountain Time)","value":"06:23:11"},{"id":151,"name":"Denver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88"/>
        <v>start /low /b %USERPROFILE%\Documents\GitHub\eaglep3\Utilities\DownloadLogsFromS3.py --loco 4064 --day 2017-10-08</v>
      </c>
      <c r="AN161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0"/>
        <v>https://d0f6bd738d7f1b3e5a7ca70fe4ff75f0.us-east-1.aws.found.io/app/kibana#/discover/Steve-Slow-Train-Analysis-(2080s-and-2083s)?_g=(refreshInterval:(display:Off,pause:!f,section:0,value:0),time:(from:'2017-10-08T04:57:22-0600',mode:absolute,to:'2017-10-08T07:23:11-0600'))&amp;_a=(columns:!('Message%20ID',Summary),filters:!(),index:'emp_*',interval:auto,query:(query_string:(analyze_wildcard:!t,query:'%22rtdc.l.rtdc.4064%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672</v>
      </c>
      <c r="B162" s="7">
        <v>4063</v>
      </c>
      <c r="C162" s="21" t="s">
        <v>194</v>
      </c>
      <c r="D162" s="21" t="s">
        <v>891</v>
      </c>
      <c r="E162" s="13">
        <v>43016.266828703701</v>
      </c>
      <c r="F162" s="13">
        <v>43016.277280092596</v>
      </c>
      <c r="G162" s="7">
        <v>783</v>
      </c>
      <c r="H162" s="21" t="s">
        <v>892</v>
      </c>
      <c r="I162" s="13">
        <v>43016.288715277777</v>
      </c>
      <c r="J162" s="7">
        <v>0</v>
      </c>
      <c r="K162" s="89" t="str">
        <f t="shared" si="77"/>
        <v>4063/4064</v>
      </c>
      <c r="L162" s="185" t="str">
        <f>VLOOKUP(A162,'Trips&amp;Operators'!$C$1:$G$99911,5,FALSE)</f>
        <v>MACDONALD THOMAS</v>
      </c>
      <c r="M162" s="6">
        <f t="shared" si="78"/>
        <v>1.1435185180744156E-2</v>
      </c>
      <c r="N162" s="7">
        <f t="shared" si="91"/>
        <v>16.466666660271585</v>
      </c>
      <c r="O162" s="7"/>
      <c r="P162" s="7"/>
      <c r="Q162" s="22"/>
      <c r="R162" s="174"/>
      <c r="S162" s="221">
        <f t="shared" si="92"/>
        <v>1</v>
      </c>
      <c r="T162" s="174" t="str">
        <f t="shared" si="79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0"/>
        <v>https://d0f6bd738d7f1b3e5a7ca70fe4ff75f0.us-east-1.aws.found.io/app/kibana#/discover/Steve-Slow-Train-Analysis-(2080s-and-2083s)?_g=(refreshInterval:(display:Off,pause:!f,section:0,value:0),time:(from:'2017-10-08T05:24:14-0600',mode:absolute,to:'2017-10-08T07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204" t="str">
        <f>IF(AA162&lt;VLOOKUP(AG162,Variables!$AC$3:$AD$8,2,FALSE),"Y","N")</f>
        <v>N</v>
      </c>
      <c r="X162" s="204">
        <f t="shared" si="101"/>
        <v>1</v>
      </c>
      <c r="Y162" s="204">
        <f t="shared" si="99"/>
        <v>5.86</v>
      </c>
      <c r="Z162" s="204">
        <f t="shared" si="100"/>
        <v>7.1499999999999994E-2</v>
      </c>
      <c r="AA162" s="204">
        <f t="shared" si="81"/>
        <v>5.7885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2"/>
        <v>1802</v>
      </c>
      <c r="AE162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62" s="74" t="str">
        <f t="shared" si="84"/>
        <v>"C:\Program Files (x86)\AstroGrep\AstroGrep.exe" /e /r /s /spath="%USERPROFILE%\AppData\Local\Temp\OnboardLogs" /stypes="app*4063*20171008*" /stext=" 12:.+((SYSTEM_STATE.+slice.+state.+changed )|(ment ac)|(multiple cpu faults)|(system.+state.+changed )|(\[timeout)|(PRM\|1\|D)|(kpr)|(kdp)|(train st.+moving)|(\|lc)|(penalty))"</v>
      </c>
      <c r="AG162" s="182" t="str">
        <f t="shared" si="85"/>
        <v>NW</v>
      </c>
      <c r="AH162" s="78" t="str">
        <f t="shared" si="86"/>
        <v>"%USERPROFILE%\Documents\GitHub\eaglep3\Utilities\RefineRTDCRunTimes.py" --tripid 1802-08 --locoid 4063 --swversion DE.1.0.9.0 --startMP 300:58600 --initTime 2017-10-08T06:24:14 --startdatetime 2017-10-08T06:39:17 --delay 783 --endMP 204:715 --enddatetime 2017-10-08T06:55:45 --enforcementcount 0 &gt;&gt;%USERPROFILE%\Documents\GitHub\eaglep3-reporting\EC\2017-10-08-refined-times.txt</v>
      </c>
      <c r="AI162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{"issue":{"subject":"","project_id":79,"tracker_id":40,"status_id":1,"priority_id":2,"assigned_to_id":338,"start_date":"2017-10-08","description":"","custom_fields":[{"id":1,"name":"Subdivision","value":"NW"},{"id":4,"name":"Milepost","value":"0.0715"},{"id":17,"name":"Train ID","value":"1802-08"},{"id":16,"name":"Locomotive ID","value":"4063"},{"id":130,"name":"Impact","value":""},{"id":150,"name":"Time of Event (Mountain Time)","value":"06:55:45"},{"id":151,"name":"Denver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88"/>
        <v>start /low /b %USERPROFILE%\Documents\GitHub\eaglep3\Utilities\DownloadLogsFromS3.py --loco 4063 --day 2017-10-08</v>
      </c>
      <c r="AN162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0"/>
        <v>https://d0f6bd738d7f1b3e5a7ca70fe4ff75f0.us-east-1.aws.found.io/app/kibana#/discover/Steve-Slow-Train-Analysis-(2080s-and-2083s)?_g=(refreshInterval:(display:Off,pause:!f,section:0,value:0),time:(from:'2017-10-08T05:24:14-0600',mode:absolute,to:'2017-10-08T07:55:45-0600'))&amp;_a=(columns:!('Message%20ID',Summary),filters:!(),index:'emp_*',interval:auto,query:(query_string:(analyze_wildcard:!t,query:'%22rtdc.l.rtdc.4063%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677</v>
      </c>
      <c r="B163" s="7">
        <v>4064</v>
      </c>
      <c r="C163" s="21" t="s">
        <v>194</v>
      </c>
      <c r="D163" s="21" t="s">
        <v>893</v>
      </c>
      <c r="E163" s="13">
        <v>43016.29409722222</v>
      </c>
      <c r="F163" s="13">
        <v>43016.298344907409</v>
      </c>
      <c r="G163" s="7">
        <v>84</v>
      </c>
      <c r="H163" s="21" t="s">
        <v>894</v>
      </c>
      <c r="I163" s="13">
        <v>43016.307650462964</v>
      </c>
      <c r="J163" s="7">
        <v>0</v>
      </c>
      <c r="K163" s="89" t="str">
        <f t="shared" si="77"/>
        <v>4063/4064</v>
      </c>
      <c r="L163" s="185" t="str">
        <f>VLOOKUP(A163,'Trips&amp;Operators'!$C$1:$G$99911,5,FALSE)</f>
        <v>MACDONALD THOMAS</v>
      </c>
      <c r="M163" s="6">
        <f t="shared" si="78"/>
        <v>9.3055555553291924E-3</v>
      </c>
      <c r="N163" s="7">
        <f t="shared" si="91"/>
        <v>13.399999999674037</v>
      </c>
      <c r="O163" s="7"/>
      <c r="P163" s="7"/>
      <c r="Q163" s="22"/>
      <c r="R163" s="174"/>
      <c r="S163" s="221">
        <f t="shared" si="92"/>
        <v>1</v>
      </c>
      <c r="T163" s="174" t="str">
        <f t="shared" si="79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0"/>
        <v>https://d0f6bd738d7f1b3e5a7ca70fe4ff75f0.us-east-1.aws.found.io/app/kibana#/discover/Steve-Slow-Train-Analysis-(2080s-and-2083s)?_g=(refreshInterval:(display:Off,pause:!f,section:0,value:0),time:(from:'2017-10-08T06:03:30-0600',mode:absolute,to:'2017-10-08T08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3" s="204" t="str">
        <f>IF(AA163&lt;VLOOKUP(AG163,Variables!$AC$3:$AD$8,2,FALSE),"Y","N")</f>
        <v>N</v>
      </c>
      <c r="X163" s="204">
        <f t="shared" si="101"/>
        <v>1</v>
      </c>
      <c r="Y163" s="204">
        <f t="shared" si="99"/>
        <v>9.8500000000000004E-2</v>
      </c>
      <c r="Z163" s="204">
        <f t="shared" si="100"/>
        <v>5.8901000000000003</v>
      </c>
      <c r="AA163" s="204">
        <f t="shared" si="81"/>
        <v>5.7916000000000007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2"/>
        <v>1803</v>
      </c>
      <c r="AE163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63" s="74" t="str">
        <f t="shared" si="84"/>
        <v>"C:\Program Files (x86)\AstroGrep\AstroGrep.exe" /e /r /s /spath="%USERPROFILE%\AppData\Local\Temp\OnboardLogs" /stypes="app*4064*20171008*" /stext=" 13:.+((SYSTEM_STATE.+slice.+state.+changed )|(ment ac)|(multiple cpu faults)|(system.+state.+changed )|(\[timeout)|(PRM\|1\|D)|(kpr)|(kdp)|(train st.+moving)|(\|lc)|(penalty))"</v>
      </c>
      <c r="AG163" s="182" t="str">
        <f t="shared" si="85"/>
        <v>NW</v>
      </c>
      <c r="AH163" s="78" t="str">
        <f t="shared" si="86"/>
        <v>"%USERPROFILE%\Documents\GitHub\eaglep3\Utilities\RefineRTDCRunTimes.py" --tripid 1803-08 --locoid 4064 --swversion DE.1.0.9.0 --startMP 204:985 --initTime 2017-10-08T07:03:30 --startdatetime 2017-10-08T07:09:37 --delay 84 --endMP 300:58901 --enddatetime 2017-10-08T07:23:01 --enforcementcount 0 &gt;&gt;%USERPROFILE%\Documents\GitHub\eaglep3-reporting\EC\2017-10-08-refined-times.txt</v>
      </c>
      <c r="AI163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{"issue":{"subject":"","project_id":79,"tracker_id":40,"status_id":1,"priority_id":2,"assigned_to_id":338,"start_date":"2017-10-08","description":"","custom_fields":[{"id":1,"name":"Subdivision","value":"NW"},{"id":4,"name":"Milepost","value":"5.8901"},{"id":17,"name":"Train ID","value":"1803-08"},{"id":16,"name":"Locomotive ID","value":"4064"},{"id":130,"name":"Impact","value":""},{"id":150,"name":"Time of Event (Mountain Time)","value":"07:23:01"},{"id":151,"name":"Denver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88"/>
        <v>start /low /b %USERPROFILE%\Documents\GitHub\eaglep3\Utilities\DownloadLogsFromS3.py --loco 4064 --day 2017-10-08</v>
      </c>
      <c r="AN163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0"/>
        <v>https://d0f6bd738d7f1b3e5a7ca70fe4ff75f0.us-east-1.aws.found.io/app/kibana#/discover/Steve-Slow-Train-Analysis-(2080s-and-2083s)?_g=(refreshInterval:(display:Off,pause:!f,section:0,value:0),time:(from:'2017-10-08T06:03:30-0600',mode:absolute,to:'2017-10-08T08:23:01-0600'))&amp;_a=(columns:!('Message%20ID',Summary),filters:!(),index:'emp_*',interval:auto,query:(query_string:(analyze_wildcard:!t,query:'%22rtdc.l.rtdc.4064%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593</v>
      </c>
      <c r="B164" s="7">
        <v>4063</v>
      </c>
      <c r="C164" s="21" t="s">
        <v>194</v>
      </c>
      <c r="D164" s="21" t="s">
        <v>895</v>
      </c>
      <c r="E164" s="13">
        <v>43016.309178240743</v>
      </c>
      <c r="F164" s="13">
        <v>43016.321736111109</v>
      </c>
      <c r="G164" s="7">
        <v>54</v>
      </c>
      <c r="H164" s="21" t="s">
        <v>494</v>
      </c>
      <c r="I164" s="13">
        <v>43016.33221064815</v>
      </c>
      <c r="J164" s="7">
        <v>0</v>
      </c>
      <c r="K164" s="89" t="str">
        <f t="shared" si="77"/>
        <v>4063/4064</v>
      </c>
      <c r="L164" s="185" t="str">
        <f>VLOOKUP(A164,'Trips&amp;Operators'!$C$1:$G$99911,5,FALSE)</f>
        <v>MACDONALD THOMAS</v>
      </c>
      <c r="M164" s="6">
        <f t="shared" si="78"/>
        <v>1.0474537040863652E-2</v>
      </c>
      <c r="N164" s="7">
        <f t="shared" si="91"/>
        <v>15.083333338843659</v>
      </c>
      <c r="O164" s="7"/>
      <c r="P164" s="7"/>
      <c r="Q164" s="22"/>
      <c r="R164" s="174"/>
      <c r="S164" s="221">
        <f t="shared" si="92"/>
        <v>1</v>
      </c>
      <c r="T164" s="174" t="str">
        <f t="shared" si="79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0"/>
        <v>https://d0f6bd738d7f1b3e5a7ca70fe4ff75f0.us-east-1.aws.found.io/app/kibana#/discover/Steve-Slow-Train-Analysis-(2080s-and-2083s)?_g=(refreshInterval:(display:Off,pause:!f,section:0,value:0),time:(from:'2017-10-08T06:25:13-0600',mode:absolute,to:'2017-10-08T08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4" s="204" t="str">
        <f>IF(AA164&lt;VLOOKUP(AG164,Variables!$AC$3:$AD$8,2,FALSE),"Y","N")</f>
        <v>N</v>
      </c>
      <c r="X164" s="204">
        <f t="shared" si="101"/>
        <v>1</v>
      </c>
      <c r="Y164" s="204">
        <f t="shared" si="99"/>
        <v>5.8593999999999999</v>
      </c>
      <c r="Z164" s="204">
        <f t="shared" si="100"/>
        <v>6.9099999999999995E-2</v>
      </c>
      <c r="AA164" s="204">
        <f t="shared" si="81"/>
        <v>5.7903000000000002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2"/>
        <v>1804</v>
      </c>
      <c r="AE164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64" s="74" t="str">
        <f t="shared" si="84"/>
        <v>"C:\Program Files (x86)\AstroGrep\AstroGrep.exe" /e /r /s /spath="%USERPROFILE%\AppData\Local\Temp\OnboardLogs" /stypes="app*4063*20171008*" /stext=" 13:.+((SYSTEM_STATE.+slice.+state.+changed )|(ment ac)|(multiple cpu faults)|(system.+state.+changed )|(\[timeout)|(PRM\|1\|D)|(kpr)|(kdp)|(train st.+moving)|(\|lc)|(penalty))"</v>
      </c>
      <c r="AG164" s="182" t="str">
        <f t="shared" si="85"/>
        <v>NW</v>
      </c>
      <c r="AH164" s="78" t="str">
        <f t="shared" si="86"/>
        <v>"%USERPROFILE%\Documents\GitHub\eaglep3\Utilities\RefineRTDCRunTimes.py" --tripid 1804-08 --locoid 4063 --swversion DE.1.0.9.0 --startMP 300:58594 --initTime 2017-10-08T07:25:13 --startdatetime 2017-10-08T07:43:18 --delay 54 --endMP 204:691 --enddatetime 2017-10-08T07:58:23 --enforcementcount 0 &gt;&gt;%USERPROFILE%\Documents\GitHub\eaglep3-reporting\EC\2017-10-08-refined-times.txt</v>
      </c>
      <c r="AI164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{"issue":{"subject":"","project_id":79,"tracker_id":40,"status_id":1,"priority_id":2,"assigned_to_id":338,"start_date":"2017-10-08","description":"","custom_fields":[{"id":1,"name":"Subdivision","value":"NW"},{"id":4,"name":"Milepost","value":"0.0691"},{"id":17,"name":"Train ID","value":"1804-08"},{"id":16,"name":"Locomotive ID","value":"4063"},{"id":130,"name":"Impact","value":""},{"id":150,"name":"Time of Event (Mountain Time)","value":"07:58:23"},{"id":151,"name":"Denver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88"/>
        <v>start /low /b %USERPROFILE%\Documents\GitHub\eaglep3\Utilities\DownloadLogsFromS3.py --loco 4063 --day 2017-10-08</v>
      </c>
      <c r="AN164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13:58:23"},{"id":29,"name":"Sharepoint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0"/>
        <v>https://d0f6bd738d7f1b3e5a7ca70fe4ff75f0.us-east-1.aws.found.io/app/kibana#/discover/Steve-Slow-Train-Analysis-(2080s-and-2083s)?_g=(refreshInterval:(display:Off,pause:!f,section:0,value:0),time:(from:'2017-10-08T06:25:13-0600',mode:absolute,to:'2017-10-08T08:58:23-0600'))&amp;_a=(columns:!('Message%20ID',Summary),filters:!(),index:'emp_*',interval:auto,query:(query_string:(analyze_wildcard:!t,query:'%22rtdc.l.rtdc.4063%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686</v>
      </c>
      <c r="B165" s="7">
        <v>4064</v>
      </c>
      <c r="C165" s="21" t="s">
        <v>194</v>
      </c>
      <c r="D165" s="21" t="s">
        <v>574</v>
      </c>
      <c r="E165" s="13">
        <v>43016.337754629632</v>
      </c>
      <c r="F165" s="13">
        <v>43016.339791666665</v>
      </c>
      <c r="G165" s="7">
        <v>52</v>
      </c>
      <c r="H165" s="21" t="s">
        <v>575</v>
      </c>
      <c r="I165" s="13">
        <v>43016.348761574074</v>
      </c>
      <c r="J165" s="7">
        <v>0</v>
      </c>
      <c r="K165" s="89" t="str">
        <f t="shared" si="77"/>
        <v>4063/4064</v>
      </c>
      <c r="L165" s="185" t="str">
        <f>VLOOKUP(A165,'Trips&amp;Operators'!$C$1:$G$99911,5,FALSE)</f>
        <v>MACDONALD THOMAS</v>
      </c>
      <c r="M165" s="6">
        <f t="shared" si="78"/>
        <v>8.969907408754807E-3</v>
      </c>
      <c r="N165" s="7">
        <f t="shared" si="91"/>
        <v>12.916666668606922</v>
      </c>
      <c r="O165" s="7"/>
      <c r="P165" s="7"/>
      <c r="Q165" s="22"/>
      <c r="R165" s="174"/>
      <c r="S165" s="221">
        <f t="shared" si="92"/>
        <v>1</v>
      </c>
      <c r="T165" s="174" t="str">
        <f t="shared" si="79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0"/>
        <v>https://d0f6bd738d7f1b3e5a7ca70fe4ff75f0.us-east-1.aws.found.io/app/kibana#/discover/Steve-Slow-Train-Analysis-(2080s-and-2083s)?_g=(refreshInterval:(display:Off,pause:!f,section:0,value:0),time:(from:'2017-10-08T07:06:22-0600',mode:absolute,to:'2017-10-08T09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204" t="str">
        <f>IF(AA165&lt;VLOOKUP(AG165,Variables!$AC$3:$AD$8,2,FALSE),"Y","N")</f>
        <v>N</v>
      </c>
      <c r="X165" s="204">
        <f t="shared" si="101"/>
        <v>1</v>
      </c>
      <c r="Y165" s="204">
        <f t="shared" si="99"/>
        <v>9.7100000000000006E-2</v>
      </c>
      <c r="Z165" s="204">
        <f t="shared" si="100"/>
        <v>5.8924000000000003</v>
      </c>
      <c r="AA165" s="204">
        <f t="shared" si="81"/>
        <v>5.7953000000000001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2"/>
        <v>1805</v>
      </c>
      <c r="AE165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65" s="74" t="str">
        <f t="shared" si="84"/>
        <v>"C:\Program Files (x86)\AstroGrep\AstroGrep.exe" /e /r /s /spath="%USERPROFILE%\AppData\Local\Temp\OnboardLogs" /stypes="app*4064*20171008*" /stext=" 14:.+((SYSTEM_STATE.+slice.+state.+changed )|(ment ac)|(multiple cpu faults)|(system.+state.+changed )|(\[timeout)|(PRM\|1\|D)|(kpr)|(kdp)|(train st.+moving)|(\|lc)|(penalty))"</v>
      </c>
      <c r="AG165" s="182" t="str">
        <f t="shared" si="85"/>
        <v>NW</v>
      </c>
      <c r="AH165" s="78" t="str">
        <f t="shared" si="86"/>
        <v>"%USERPROFILE%\Documents\GitHub\eaglep3\Utilities\RefineRTDCRunTimes.py" --tripid 1805-08 --locoid 4064 --swversion DE.1.0.9.0 --startMP 204:971 --initTime 2017-10-08T08:06:22 --startdatetime 2017-10-08T08:09:18 --delay 52 --endMP 300:58924 --enddatetime 2017-10-08T08:22:13 --enforcementcount 0 &gt;&gt;%USERPROFILE%\Documents\GitHub\eaglep3-reporting\EC\2017-10-08-refined-times.txt</v>
      </c>
      <c r="AI165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{"issue":{"subject":"","project_id":79,"tracker_id":40,"status_id":1,"priority_id":2,"assigned_to_id":338,"start_date":"2017-10-08","description":"","custom_fields":[{"id":1,"name":"Subdivision","value":"NW"},{"id":4,"name":"Milepost","value":"5.8924"},{"id":17,"name":"Train ID","value":"1805-08"},{"id":16,"name":"Locomotive ID","value":"4064"},{"id":130,"name":"Impact","value":""},{"id":150,"name":"Time of Event (Mountain Time)","value":"08:22:13"},{"id":151,"name":"Denver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88"/>
        <v>start /low /b %USERPROFILE%\Documents\GitHub\eaglep3\Utilities\DownloadLogsFromS3.py --loco 4064 --day 2017-10-08</v>
      </c>
      <c r="AN165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0"/>
        <v>https://d0f6bd738d7f1b3e5a7ca70fe4ff75f0.us-east-1.aws.found.io/app/kibana#/discover/Steve-Slow-Train-Analysis-(2080s-and-2083s)?_g=(refreshInterval:(display:Off,pause:!f,section:0,value:0),time:(from:'2017-10-08T07:06:22-0600',mode:absolute,to:'2017-10-08T09:22:13-0600'))&amp;_a=(columns:!('Message%20ID',Summary),filters:!(),index:'emp_*',interval:auto,query:(query_string:(analyze_wildcard:!t,query:'%22rtdc.l.rtdc.4064%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692</v>
      </c>
      <c r="B166" s="7">
        <v>4063</v>
      </c>
      <c r="C166" s="21" t="s">
        <v>194</v>
      </c>
      <c r="D166" s="21" t="s">
        <v>896</v>
      </c>
      <c r="E166" s="13">
        <v>43016.349479166667</v>
      </c>
      <c r="F166" s="13">
        <v>43016.363194444442</v>
      </c>
      <c r="G166" s="7">
        <v>50</v>
      </c>
      <c r="H166" s="21" t="s">
        <v>897</v>
      </c>
      <c r="I166" s="13">
        <v>43016.371944444443</v>
      </c>
      <c r="J166" s="7">
        <v>0</v>
      </c>
      <c r="K166" s="89" t="str">
        <f t="shared" si="77"/>
        <v>4063/4064</v>
      </c>
      <c r="L166" s="185" t="str">
        <f>VLOOKUP(A166,'Trips&amp;Operators'!$C$1:$G$99911,5,FALSE)</f>
        <v>MACDONALD THOMAS</v>
      </c>
      <c r="M166" s="6">
        <f t="shared" si="78"/>
        <v>8.7500000008731149E-3</v>
      </c>
      <c r="N166" s="7">
        <f t="shared" si="91"/>
        <v>12.600000001257285</v>
      </c>
      <c r="O166" s="7"/>
      <c r="P166" s="7"/>
      <c r="Q166" s="22"/>
      <c r="R166" s="174"/>
      <c r="S166" s="221">
        <f t="shared" si="92"/>
        <v>1</v>
      </c>
      <c r="T166" s="174" t="str">
        <f t="shared" si="79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0"/>
        <v>https://d0f6bd738d7f1b3e5a7ca70fe4ff75f0.us-east-1.aws.found.io/app/kibana#/discover/Steve-Slow-Train-Analysis-(2080s-and-2083s)?_g=(refreshInterval:(display:Off,pause:!f,section:0,value:0),time:(from:'2017-10-08T07:23:15-0600',mode:absolute,to:'2017-10-08T09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204" t="str">
        <f>IF(AA166&lt;VLOOKUP(AG166,Variables!$AC$3:$AD$8,2,FALSE),"Y","N")</f>
        <v>N</v>
      </c>
      <c r="X166" s="204">
        <f t="shared" si="101"/>
        <v>1</v>
      </c>
      <c r="Y166" s="204">
        <f t="shared" si="99"/>
        <v>5.8604000000000003</v>
      </c>
      <c r="Z166" s="204">
        <f t="shared" si="100"/>
        <v>6.59E-2</v>
      </c>
      <c r="AA166" s="204">
        <f t="shared" si="81"/>
        <v>5.7945000000000002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2"/>
        <v>1806</v>
      </c>
      <c r="AE166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66" s="74" t="str">
        <f t="shared" si="84"/>
        <v>"C:\Program Files (x86)\AstroGrep\AstroGrep.exe" /e /r /s /spath="%USERPROFILE%\AppData\Local\Temp\OnboardLogs" /stypes="app*4063*20171008*" /stext=" 14:.+((SYSTEM_STATE.+slice.+state.+changed )|(ment ac)|(multiple cpu faults)|(system.+state.+changed )|(\[timeout)|(PRM\|1\|D)|(kpr)|(kdp)|(train st.+moving)|(\|lc)|(penalty))"</v>
      </c>
      <c r="AG166" s="182" t="str">
        <f t="shared" si="85"/>
        <v>NW</v>
      </c>
      <c r="AH166" s="78" t="str">
        <f t="shared" si="86"/>
        <v>"%USERPROFILE%\Documents\GitHub\eaglep3\Utilities\RefineRTDCRunTimes.py" --tripid 1806-08 --locoid 4063 --swversion DE.1.0.9.0 --startMP 300:58604 --initTime 2017-10-08T08:23:15 --startdatetime 2017-10-08T08:43:00 --delay 50 --endMP 204:659 --enddatetime 2017-10-08T08:55:36 --enforcementcount 0 &gt;&gt;%USERPROFILE%\Documents\GitHub\eaglep3-reporting\EC\2017-10-08-refined-times.txt</v>
      </c>
      <c r="AI166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{"issue":{"subject":"","project_id":79,"tracker_id":40,"status_id":1,"priority_id":2,"assigned_to_id":338,"start_date":"2017-10-08","description":"","custom_fields":[{"id":1,"name":"Subdivision","value":"NW"},{"id":4,"name":"Milepost","value":"0.0659"},{"id":17,"name":"Train ID","value":"1806-08"},{"id":16,"name":"Locomotive ID","value":"4063"},{"id":130,"name":"Impact","value":""},{"id":150,"name":"Time of Event (Mountain Time)","value":"08:55:36"},{"id":151,"name":"Denver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88"/>
        <v>start /low /b %USERPROFILE%\Documents\GitHub\eaglep3\Utilities\DownloadLogsFromS3.py --loco 4063 --day 2017-10-08</v>
      </c>
      <c r="AN166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0"/>
        <v>https://d0f6bd738d7f1b3e5a7ca70fe4ff75f0.us-east-1.aws.found.io/app/kibana#/discover/Steve-Slow-Train-Analysis-(2080s-and-2083s)?_g=(refreshInterval:(display:Off,pause:!f,section:0,value:0),time:(from:'2017-10-08T07:23:15-0600',mode:absolute,to:'2017-10-08T09:55:36-0600'))&amp;_a=(columns:!('Message%20ID',Summary),filters:!(),index:'emp_*',interval:auto,query:(query_string:(analyze_wildcard:!t,query:'%22rtdc.l.rtdc.4063%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699</v>
      </c>
      <c r="B167" s="7">
        <v>4064</v>
      </c>
      <c r="C167" s="21" t="s">
        <v>194</v>
      </c>
      <c r="D167" s="21" t="s">
        <v>898</v>
      </c>
      <c r="E167" s="13">
        <v>43016.379062499997</v>
      </c>
      <c r="F167" s="13">
        <v>43016.382245370369</v>
      </c>
      <c r="G167" s="7">
        <v>56</v>
      </c>
      <c r="H167" s="21" t="s">
        <v>899</v>
      </c>
      <c r="I167" s="13">
        <v>43016.391712962963</v>
      </c>
      <c r="J167" s="7">
        <v>0</v>
      </c>
      <c r="K167" s="89" t="str">
        <f t="shared" si="77"/>
        <v>4063/4064</v>
      </c>
      <c r="L167" s="185" t="str">
        <f>VLOOKUP(A167,'Trips&amp;Operators'!$C$1:$G$99911,5,FALSE)</f>
        <v>MACDONALD THOMAS</v>
      </c>
      <c r="M167" s="6">
        <f t="shared" si="78"/>
        <v>9.4675925938645378E-3</v>
      </c>
      <c r="N167" s="7">
        <f t="shared" si="91"/>
        <v>13.633333335164934</v>
      </c>
      <c r="O167" s="7"/>
      <c r="P167" s="7"/>
      <c r="Q167" s="22"/>
      <c r="R167" s="174"/>
      <c r="S167" s="221">
        <f t="shared" si="92"/>
        <v>1</v>
      </c>
      <c r="T167" s="174" t="str">
        <f t="shared" si="79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0"/>
        <v>https://d0f6bd738d7f1b3e5a7ca70fe4ff75f0.us-east-1.aws.found.io/app/kibana#/discover/Steve-Slow-Train-Analysis-(2080s-and-2083s)?_g=(refreshInterval:(display:Off,pause:!f,section:0,value:0),time:(from:'2017-10-08T08:05:51-0600',mode:absolute,to:'2017-10-08T10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7" s="204" t="str">
        <f>IF(AA167&lt;VLOOKUP(AG167,Variables!$AC$3:$AD$8,2,FALSE),"Y","N")</f>
        <v>N</v>
      </c>
      <c r="X167" s="204">
        <f t="shared" si="101"/>
        <v>1</v>
      </c>
      <c r="Y167" s="204">
        <f t="shared" si="99"/>
        <v>9.5500000000000002E-2</v>
      </c>
      <c r="Z167" s="204">
        <f t="shared" si="100"/>
        <v>5.8912000000000004</v>
      </c>
      <c r="AA167" s="204">
        <f t="shared" si="81"/>
        <v>5.7957000000000001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2"/>
        <v>1807</v>
      </c>
      <c r="AE167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67" s="74" t="str">
        <f t="shared" si="84"/>
        <v>"C:\Program Files (x86)\AstroGrep\AstroGrep.exe" /e /r /s /spath="%USERPROFILE%\AppData\Local\Temp\OnboardLogs" /stypes="app*4064*20171008*" /stext=" 15:.+((SYSTEM_STATE.+slice.+state.+changed )|(ment ac)|(multiple cpu faults)|(system.+state.+changed )|(\[timeout)|(PRM\|1\|D)|(kpr)|(kdp)|(train st.+moving)|(\|lc)|(penalty))"</v>
      </c>
      <c r="AG167" s="182" t="str">
        <f t="shared" si="85"/>
        <v>NW</v>
      </c>
      <c r="AH167" s="78" t="str">
        <f t="shared" si="86"/>
        <v>"%USERPROFILE%\Documents\GitHub\eaglep3\Utilities\RefineRTDCRunTimes.py" --tripid 1807-08 --locoid 4064 --swversion DE.1.0.9.0 --startMP 204:955 --initTime 2017-10-08T09:05:51 --startdatetime 2017-10-08T09:10:26 --delay 56 --endMP 300:58912 --enddatetime 2017-10-08T09:24:04 --enforcementcount 0 &gt;&gt;%USERPROFILE%\Documents\GitHub\eaglep3-reporting\EC\2017-10-08-refined-times.txt</v>
      </c>
      <c r="AI167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{"issue":{"subject":"","project_id":79,"tracker_id":40,"status_id":1,"priority_id":2,"assigned_to_id":338,"start_date":"2017-10-08","description":"","custom_fields":[{"id":1,"name":"Subdivision","value":"NW"},{"id":4,"name":"Milepost","value":"5.8912"},{"id":17,"name":"Train ID","value":"1807-08"},{"id":16,"name":"Locomotive ID","value":"4064"},{"id":130,"name":"Impact","value":""},{"id":150,"name":"Time of Event (Mountain Time)","value":"09:24:04"},{"id":151,"name":"Denver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88"/>
        <v>start /low /b %USERPROFILE%\Documents\GitHub\eaglep3\Utilities\DownloadLogsFromS3.py --loco 4064 --day 2017-10-08</v>
      </c>
      <c r="AN167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0"/>
        <v>https://d0f6bd738d7f1b3e5a7ca70fe4ff75f0.us-east-1.aws.found.io/app/kibana#/discover/Steve-Slow-Train-Analysis-(2080s-and-2083s)?_g=(refreshInterval:(display:Off,pause:!f,section:0,value:0),time:(from:'2017-10-08T08:05:51-0600',mode:absolute,to:'2017-10-08T10:24:04-0600'))&amp;_a=(columns:!('Message%20ID',Summary),filters:!(),index:'emp_*',interval:auto,query:(query_string:(analyze_wildcard:!t,query:'%22rtdc.l.rtdc.4064%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702</v>
      </c>
      <c r="B168" s="7">
        <v>4063</v>
      </c>
      <c r="C168" s="21" t="s">
        <v>194</v>
      </c>
      <c r="D168" s="21" t="s">
        <v>895</v>
      </c>
      <c r="E168" s="13">
        <v>43016.392361111109</v>
      </c>
      <c r="F168" s="13">
        <v>43016.404861111114</v>
      </c>
      <c r="G168" s="7">
        <v>44</v>
      </c>
      <c r="H168" s="21" t="s">
        <v>573</v>
      </c>
      <c r="I168" s="13">
        <v>43016.413680555554</v>
      </c>
      <c r="J168" s="7">
        <v>0</v>
      </c>
      <c r="K168" s="89" t="str">
        <f t="shared" si="77"/>
        <v>4063/4064</v>
      </c>
      <c r="L168" s="185" t="str">
        <f>VLOOKUP(A168,'Trips&amp;Operators'!$C$1:$G$99911,5,FALSE)</f>
        <v>MACDONALD THOMAS</v>
      </c>
      <c r="M168" s="6">
        <f t="shared" si="78"/>
        <v>8.8194444397231564E-3</v>
      </c>
      <c r="N168" s="7">
        <f t="shared" si="91"/>
        <v>12.699999993201345</v>
      </c>
      <c r="O168" s="7"/>
      <c r="P168" s="7"/>
      <c r="Q168" s="22"/>
      <c r="R168" s="174"/>
      <c r="S168" s="221">
        <f t="shared" si="92"/>
        <v>1</v>
      </c>
      <c r="T168" s="174" t="str">
        <f t="shared" si="79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0"/>
        <v>https://d0f6bd738d7f1b3e5a7ca70fe4ff75f0.us-east-1.aws.found.io/app/kibana#/discover/Steve-Slow-Train-Analysis-(2080s-and-2083s)?_g=(refreshInterval:(display:Off,pause:!f,section:0,value:0),time:(from:'2017-10-08T08:25:00-0600',mode:absolute,to:'2017-10-08T10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8" s="204" t="str">
        <f>IF(AA168&lt;VLOOKUP(AG168,Variables!$AC$3:$AD$8,2,FALSE),"Y","N")</f>
        <v>N</v>
      </c>
      <c r="X168" s="204">
        <f t="shared" si="101"/>
        <v>1</v>
      </c>
      <c r="Y168" s="204">
        <f t="shared" si="99"/>
        <v>5.8593999999999999</v>
      </c>
      <c r="Z168" s="204">
        <f t="shared" si="100"/>
        <v>6.9599999999999995E-2</v>
      </c>
      <c r="AA168" s="204">
        <f t="shared" si="81"/>
        <v>5.7897999999999996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2"/>
        <v>1808</v>
      </c>
      <c r="AE168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68" s="74" t="str">
        <f t="shared" si="84"/>
        <v>"C:\Program Files (x86)\AstroGrep\AstroGrep.exe" /e /r /s /spath="%USERPROFILE%\AppData\Local\Temp\OnboardLogs" /stypes="app*4063*20171008*" /stext=" 15:.+((SYSTEM_STATE.+slice.+state.+changed )|(ment ac)|(multiple cpu faults)|(system.+state.+changed )|(\[timeout)|(PRM\|1\|D)|(kpr)|(kdp)|(train st.+moving)|(\|lc)|(penalty))"</v>
      </c>
      <c r="AG168" s="182" t="str">
        <f t="shared" si="85"/>
        <v>NW</v>
      </c>
      <c r="AH168" s="78" t="str">
        <f t="shared" si="86"/>
        <v>"%USERPROFILE%\Documents\GitHub\eaglep3\Utilities\RefineRTDCRunTimes.py" --tripid 1808-08 --locoid 4063 --swversion DE.1.0.9.0 --startMP 300:58594 --initTime 2017-10-08T09:25:00 --startdatetime 2017-10-08T09:43:00 --delay 44 --endMP 204:696 --enddatetime 2017-10-08T09:55:42 --enforcementcount 0 &gt;&gt;%USERPROFILE%\Documents\GitHub\eaglep3-reporting\EC\2017-10-08-refined-times.txt</v>
      </c>
      <c r="AI168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{"issue":{"subject":"","project_id":79,"tracker_id":40,"status_id":1,"priority_id":2,"assigned_to_id":338,"start_date":"2017-10-08","description":"","custom_fields":[{"id":1,"name":"Subdivision","value":"NW"},{"id":4,"name":"Milepost","value":"0.0696"},{"id":17,"name":"Train ID","value":"1808-08"},{"id":16,"name":"Locomotive ID","value":"4063"},{"id":130,"name":"Impact","value":""},{"id":150,"name":"Time of Event (Mountain Time)","value":"09:55:42"},{"id":151,"name":"Denver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88"/>
        <v>start /low /b %USERPROFILE%\Documents\GitHub\eaglep3\Utilities\DownloadLogsFromS3.py --loco 4063 --day 2017-10-08</v>
      </c>
      <c r="AN168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15:55:42"},{"id":29,"name":"Sharepoint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0"/>
        <v>https://d0f6bd738d7f1b3e5a7ca70fe4ff75f0.us-east-1.aws.found.io/app/kibana#/discover/Steve-Slow-Train-Analysis-(2080s-and-2083s)?_g=(refreshInterval:(display:Off,pause:!f,section:0,value:0),time:(from:'2017-10-08T08:25:00-0600',mode:absolute,to:'2017-10-08T10:55:42-0600'))&amp;_a=(columns:!('Message%20ID',Summary),filters:!(),index:'emp_*',interval:auto,query:(query_string:(analyze_wildcard:!t,query:'%22rtdc.l.rtdc.4063%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708</v>
      </c>
      <c r="B169" s="7">
        <v>4064</v>
      </c>
      <c r="C169" s="21" t="s">
        <v>194</v>
      </c>
      <c r="D169" s="21" t="s">
        <v>900</v>
      </c>
      <c r="E169" s="13">
        <v>43016.421087962961</v>
      </c>
      <c r="F169" s="13">
        <v>43016.423611111109</v>
      </c>
      <c r="G169" s="7">
        <v>48</v>
      </c>
      <c r="H169" s="21" t="s">
        <v>580</v>
      </c>
      <c r="I169" s="13">
        <v>43016.432974537034</v>
      </c>
      <c r="J169" s="7">
        <v>0</v>
      </c>
      <c r="K169" s="89" t="str">
        <f t="shared" si="77"/>
        <v>4063/4064</v>
      </c>
      <c r="L169" s="185" t="str">
        <f>VLOOKUP(A169,'Trips&amp;Operators'!$C$1:$G$99911,5,FALSE)</f>
        <v>MACDONALD THOMAS</v>
      </c>
      <c r="M169" s="6">
        <f t="shared" si="78"/>
        <v>9.3634259246755391E-3</v>
      </c>
      <c r="N169" s="7">
        <f t="shared" si="91"/>
        <v>13.483333331532776</v>
      </c>
      <c r="O169" s="7"/>
      <c r="P169" s="7"/>
      <c r="Q169" s="22"/>
      <c r="R169" s="174"/>
      <c r="S169" s="221">
        <f t="shared" si="92"/>
        <v>1</v>
      </c>
      <c r="T169" s="174" t="str">
        <f t="shared" si="79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0"/>
        <v>https://d0f6bd738d7f1b3e5a7ca70fe4ff75f0.us-east-1.aws.found.io/app/kibana#/discover/Steve-Slow-Train-Analysis-(2080s-and-2083s)?_g=(refreshInterval:(display:Off,pause:!f,section:0,value:0),time:(from:'2017-10-08T09:06:22-0600',mode:absolute,to:'2017-10-08T11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204" t="str">
        <f>IF(AA169&lt;VLOOKUP(AG169,Variables!$AC$3:$AD$8,2,FALSE),"Y","N")</f>
        <v>N</v>
      </c>
      <c r="X169" s="204">
        <f t="shared" si="101"/>
        <v>1</v>
      </c>
      <c r="Y169" s="204">
        <f t="shared" si="99"/>
        <v>0.1226</v>
      </c>
      <c r="Z169" s="204">
        <f t="shared" si="100"/>
        <v>5.8926999999999996</v>
      </c>
      <c r="AA169" s="204">
        <f t="shared" si="81"/>
        <v>5.7700999999999993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2"/>
        <v>1809</v>
      </c>
      <c r="AE169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69" s="74" t="str">
        <f t="shared" si="84"/>
        <v>"C:\Program Files (x86)\AstroGrep\AstroGrep.exe" /e /r /s /spath="%USERPROFILE%\AppData\Local\Temp\OnboardLogs" /stypes="app*4064*20171008*" /stext=" 16:.+((SYSTEM_STATE.+slice.+state.+changed )|(ment ac)|(multiple cpu faults)|(system.+state.+changed )|(\[timeout)|(PRM\|1\|D)|(kpr)|(kdp)|(train st.+moving)|(\|lc)|(penalty))"</v>
      </c>
      <c r="AG169" s="182" t="str">
        <f t="shared" si="85"/>
        <v>NW</v>
      </c>
      <c r="AH169" s="78" t="str">
        <f t="shared" si="86"/>
        <v>"%USERPROFILE%\Documents\GitHub\eaglep3\Utilities\RefineRTDCRunTimes.py" --tripid 1809-08 --locoid 4064 --swversion DE.1.0.9.0 --startMP 204:1226 --initTime 2017-10-08T10:06:22 --startdatetime 2017-10-08T10:10:00 --delay 48 --endMP 300:58927 --enddatetime 2017-10-08T10:23:29 --enforcementcount 0 &gt;&gt;%USERPROFILE%\Documents\GitHub\eaglep3-reporting\EC\2017-10-08-refined-times.txt</v>
      </c>
      <c r="AI169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{"issue":{"subject":"","project_id":79,"tracker_id":40,"status_id":1,"priority_id":2,"assigned_to_id":338,"start_date":"2017-10-08","description":"","custom_fields":[{"id":1,"name":"Subdivision","value":"NW"},{"id":4,"name":"Milepost","value":"5.8927"},{"id":17,"name":"Train ID","value":"1809-08"},{"id":16,"name":"Locomotive ID","value":"4064"},{"id":130,"name":"Impact","value":""},{"id":150,"name":"Time of Event (Mountain Time)","value":"10:23:29"},{"id":151,"name":"Denver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88"/>
        <v>start /low /b %USERPROFILE%\Documents\GitHub\eaglep3\Utilities\DownloadLogsFromS3.py --loco 4064 --day 2017-10-08</v>
      </c>
      <c r="AN169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0"/>
        <v>https://d0f6bd738d7f1b3e5a7ca70fe4ff75f0.us-east-1.aws.found.io/app/kibana#/discover/Steve-Slow-Train-Analysis-(2080s-and-2083s)?_g=(refreshInterval:(display:Off,pause:!f,section:0,value:0),time:(from:'2017-10-08T09:06:22-0600',mode:absolute,to:'2017-10-08T11:23:29-0600'))&amp;_a=(columns:!('Message%20ID',Summary),filters:!(),index:'emp_*',interval:auto,query:(query_string:(analyze_wildcard:!t,query:'%22rtdc.l.rtdc.4064%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597</v>
      </c>
      <c r="B170" s="7">
        <v>4063</v>
      </c>
      <c r="C170" s="21" t="s">
        <v>194</v>
      </c>
      <c r="D170" s="21" t="s">
        <v>576</v>
      </c>
      <c r="E170" s="13">
        <v>43016.433645833335</v>
      </c>
      <c r="F170" s="13">
        <v>43016.446527777778</v>
      </c>
      <c r="G170" s="7">
        <v>48</v>
      </c>
      <c r="H170" s="21" t="s">
        <v>902</v>
      </c>
      <c r="I170" s="13">
        <v>43016.455497685187</v>
      </c>
      <c r="J170" s="7">
        <v>0</v>
      </c>
      <c r="K170" s="89" t="str">
        <f t="shared" si="77"/>
        <v>4063/4064</v>
      </c>
      <c r="L170" s="185" t="str">
        <f>VLOOKUP(A170,'Trips&amp;Operators'!$C$1:$G$99911,5,FALSE)</f>
        <v>MACDONALD THOMAS</v>
      </c>
      <c r="M170" s="6">
        <f t="shared" si="78"/>
        <v>8.969907408754807E-3</v>
      </c>
      <c r="N170" s="7">
        <f t="shared" si="91"/>
        <v>12.916666668606922</v>
      </c>
      <c r="O170" s="7"/>
      <c r="P170" s="7"/>
      <c r="Q170" s="22"/>
      <c r="R170" s="174"/>
      <c r="S170" s="221">
        <f t="shared" si="92"/>
        <v>1</v>
      </c>
      <c r="T170" s="174" t="str">
        <f t="shared" si="79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0"/>
        <v>https://d0f6bd738d7f1b3e5a7ca70fe4ff75f0.us-east-1.aws.found.io/app/kibana#/discover/Steve-Slow-Train-Analysis-(2080s-and-2083s)?_g=(refreshInterval:(display:Off,pause:!f,section:0,value:0),time:(from:'2017-10-08T09:24:27-0600',mode:absolute,to:'2017-10-08T11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204" t="str">
        <f>IF(AA170&lt;VLOOKUP(AG170,Variables!$AC$3:$AD$8,2,FALSE),"Y","N")</f>
        <v>N</v>
      </c>
      <c r="X170" s="204">
        <f t="shared" si="101"/>
        <v>1</v>
      </c>
      <c r="Y170" s="204">
        <f t="shared" si="99"/>
        <v>5.8608000000000002</v>
      </c>
      <c r="Z170" s="204">
        <f t="shared" si="100"/>
        <v>7.6899999999999996E-2</v>
      </c>
      <c r="AA170" s="204">
        <f t="shared" si="81"/>
        <v>5.7839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2"/>
        <v>1810</v>
      </c>
      <c r="AE170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70" s="74" t="str">
        <f t="shared" si="84"/>
        <v>"C:\Program Files (x86)\AstroGrep\AstroGrep.exe" /e /r /s /spath="%USERPROFILE%\AppData\Local\Temp\OnboardLogs" /stypes="app*4063*20171008*" /stext=" 16:.+((SYSTEM_STATE.+slice.+state.+changed )|(ment ac)|(multiple cpu faults)|(system.+state.+changed )|(\[timeout)|(PRM\|1\|D)|(kpr)|(kdp)|(train st.+moving)|(\|lc)|(penalty))"</v>
      </c>
      <c r="AG170" s="182" t="str">
        <f t="shared" si="85"/>
        <v>NW</v>
      </c>
      <c r="AH170" s="78" t="str">
        <f t="shared" si="86"/>
        <v>"%USERPROFILE%\Documents\GitHub\eaglep3\Utilities\RefineRTDCRunTimes.py" --tripid 1810-08 --locoid 4063 --swversion DE.1.0.9.0 --startMP 300:58608 --initTime 2017-10-08T10:24:27 --startdatetime 2017-10-08T10:43:00 --delay 48 --endMP 204:769 --enddatetime 2017-10-08T10:55:55 --enforcementcount 0 &gt;&gt;%USERPROFILE%\Documents\GitHub\eaglep3-reporting\EC\2017-10-08-refined-times.txt</v>
      </c>
      <c r="AI170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{"issue":{"subject":"","project_id":79,"tracker_id":40,"status_id":1,"priority_id":2,"assigned_to_id":338,"start_date":"2017-10-08","description":"","custom_fields":[{"id":1,"name":"Subdivision","value":"NW"},{"id":4,"name":"Milepost","value":"0.0769"},{"id":17,"name":"Train ID","value":"1810-08"},{"id":16,"name":"Locomotive ID","value":"4063"},{"id":130,"name":"Impact","value":""},{"id":150,"name":"Time of Event (Mountain Time)","value":"10:55:55"},{"id":151,"name":"Denver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88"/>
        <v>start /low /b %USERPROFILE%\Documents\GitHub\eaglep3\Utilities\DownloadLogsFromS3.py --loco 4063 --day 2017-10-08</v>
      </c>
      <c r="AN170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0"/>
        <v>https://d0f6bd738d7f1b3e5a7ca70fe4ff75f0.us-east-1.aws.found.io/app/kibana#/discover/Steve-Slow-Train-Analysis-(2080s-and-2083s)?_g=(refreshInterval:(display:Off,pause:!f,section:0,value:0),time:(from:'2017-10-08T09:24:27-0600',mode:absolute,to:'2017-10-08T11:55:55-0600'))&amp;_a=(columns:!('Message%20ID',Summary),filters:!(),index:'emp_*',interval:auto,query:(query_string:(analyze_wildcard:!t,query:'%22rtdc.l.rtdc.4063%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718</v>
      </c>
      <c r="B171" s="7">
        <v>4064</v>
      </c>
      <c r="C171" s="21" t="s">
        <v>194</v>
      </c>
      <c r="D171" s="21" t="s">
        <v>903</v>
      </c>
      <c r="E171" s="13">
        <v>43016.462743055556</v>
      </c>
      <c r="F171" s="13">
        <v>43016.464803240742</v>
      </c>
      <c r="G171" s="7">
        <v>59</v>
      </c>
      <c r="H171" s="21" t="s">
        <v>904</v>
      </c>
      <c r="I171" s="13">
        <v>43016.473981481482</v>
      </c>
      <c r="J171" s="7">
        <v>0</v>
      </c>
      <c r="K171" s="89" t="str">
        <f t="shared" si="77"/>
        <v>4063/4064</v>
      </c>
      <c r="L171" s="185" t="str">
        <f>VLOOKUP(A171,'Trips&amp;Operators'!$C$1:$G$99911,5,FALSE)</f>
        <v>MACDONALD THOMAS</v>
      </c>
      <c r="M171" s="6">
        <f t="shared" si="78"/>
        <v>9.1782407398568466E-3</v>
      </c>
      <c r="N171" s="7">
        <f t="shared" si="91"/>
        <v>13.216666665393859</v>
      </c>
      <c r="O171" s="7"/>
      <c r="P171" s="7"/>
      <c r="Q171" s="22"/>
      <c r="R171" s="174"/>
      <c r="S171" s="221">
        <f t="shared" si="92"/>
        <v>1</v>
      </c>
      <c r="T171" s="174" t="str">
        <f t="shared" si="79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0"/>
        <v>https://d0f6bd738d7f1b3e5a7ca70fe4ff75f0.us-east-1.aws.found.io/app/kibana#/discover/Steve-Slow-Train-Analysis-(2080s-and-2083s)?_g=(refreshInterval:(display:Off,pause:!f,section:0,value:0),time:(from:'2017-10-08T10:06:21-0600',mode:absolute,to:'2017-10-08T12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204" t="str">
        <f>IF(AA171&lt;VLOOKUP(AG171,Variables!$AC$3:$AD$8,2,FALSE),"Y","N")</f>
        <v>N</v>
      </c>
      <c r="X171" s="204">
        <f t="shared" si="101"/>
        <v>1</v>
      </c>
      <c r="Y171" s="204">
        <f t="shared" si="99"/>
        <v>0.10580000000000001</v>
      </c>
      <c r="Z171" s="204">
        <f t="shared" si="100"/>
        <v>5.8906999999999998</v>
      </c>
      <c r="AA171" s="204">
        <f t="shared" si="81"/>
        <v>5.7848999999999995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2"/>
        <v>1811</v>
      </c>
      <c r="AE171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71" s="74" t="str">
        <f t="shared" si="84"/>
        <v>"C:\Program Files (x86)\AstroGrep\AstroGrep.exe" /e /r /s /spath="%USERPROFILE%\AppData\Local\Temp\OnboardLogs" /stypes="app*4064*20171008*" /stext=" 17:.+((SYSTEM_STATE.+slice.+state.+changed )|(ment ac)|(multiple cpu faults)|(system.+state.+changed )|(\[timeout)|(PRM\|1\|D)|(kpr)|(kdp)|(train st.+moving)|(\|lc)|(penalty))"</v>
      </c>
      <c r="AG171" s="182" t="str">
        <f t="shared" si="85"/>
        <v>NW</v>
      </c>
      <c r="AH171" s="78" t="str">
        <f t="shared" si="86"/>
        <v>"%USERPROFILE%\Documents\GitHub\eaglep3\Utilities\RefineRTDCRunTimes.py" --tripid 1811-08 --locoid 4064 --swversion DE.1.0.9.0 --startMP 204:1058 --initTime 2017-10-08T11:06:21 --startdatetime 2017-10-08T11:09:19 --delay 59 --endMP 300:58907 --enddatetime 2017-10-08T11:22:32 --enforcementcount 0 &gt;&gt;%USERPROFILE%\Documents\GitHub\eaglep3-reporting\EC\2017-10-08-refined-times.txt</v>
      </c>
      <c r="AI171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{"issue":{"subject":"","project_id":79,"tracker_id":40,"status_id":1,"priority_id":2,"assigned_to_id":338,"start_date":"2017-10-08","description":"","custom_fields":[{"id":1,"name":"Subdivision","value":"NW"},{"id":4,"name":"Milepost","value":"5.8907"},{"id":17,"name":"Train ID","value":"1811-08"},{"id":16,"name":"Locomotive ID","value":"4064"},{"id":130,"name":"Impact","value":""},{"id":150,"name":"Time of Event (Mountain Time)","value":"11:22:32"},{"id":151,"name":"Denver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88"/>
        <v>start /low /b %USERPROFILE%\Documents\GitHub\eaglep3\Utilities\DownloadLogsFromS3.py --loco 4064 --day 2017-10-08</v>
      </c>
      <c r="AN171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0"/>
        <v>https://d0f6bd738d7f1b3e5a7ca70fe4ff75f0.us-east-1.aws.found.io/app/kibana#/discover/Steve-Slow-Train-Analysis-(2080s-and-2083s)?_g=(refreshInterval:(display:Off,pause:!f,section:0,value:0),time:(from:'2017-10-08T10:06:21-0600',mode:absolute,to:'2017-10-08T12:22:32-0600'))&amp;_a=(columns:!('Message%20ID',Summary),filters:!(),index:'emp_*',interval:auto,query:(query_string:(analyze_wildcard:!t,query:'%22rtdc.l.rtdc.4064%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722</v>
      </c>
      <c r="B172" s="7">
        <v>4063</v>
      </c>
      <c r="C172" s="21" t="s">
        <v>194</v>
      </c>
      <c r="D172" s="21" t="s">
        <v>895</v>
      </c>
      <c r="E172" s="13">
        <v>43016.474618055552</v>
      </c>
      <c r="F172" s="13">
        <v>43016.488194444442</v>
      </c>
      <c r="G172" s="7">
        <v>44</v>
      </c>
      <c r="H172" s="21" t="s">
        <v>905</v>
      </c>
      <c r="I172" s="13">
        <v>43016.497094907405</v>
      </c>
      <c r="J172" s="7">
        <v>0</v>
      </c>
      <c r="K172" s="89" t="str">
        <f t="shared" si="77"/>
        <v>4063/4064</v>
      </c>
      <c r="L172" s="185" t="str">
        <f>VLOOKUP(A172,'Trips&amp;Operators'!$C$1:$G$99911,5,FALSE)</f>
        <v>MACDONALD THOMAS</v>
      </c>
      <c r="M172" s="6">
        <f t="shared" si="78"/>
        <v>8.9004629626288079E-3</v>
      </c>
      <c r="N172" s="7">
        <f t="shared" si="91"/>
        <v>12.816666666185483</v>
      </c>
      <c r="O172" s="7"/>
      <c r="P172" s="7"/>
      <c r="Q172" s="22"/>
      <c r="R172" s="174"/>
      <c r="S172" s="221">
        <f t="shared" si="92"/>
        <v>1</v>
      </c>
      <c r="T172" s="174" t="str">
        <f t="shared" si="79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0"/>
        <v>https://d0f6bd738d7f1b3e5a7ca70fe4ff75f0.us-east-1.aws.found.io/app/kibana#/discover/Steve-Slow-Train-Analysis-(2080s-and-2083s)?_g=(refreshInterval:(display:Off,pause:!f,section:0,value:0),time:(from:'2017-10-08T10:23:27-0600',mode:absolute,to:'2017-10-08T12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204" t="str">
        <f>IF(AA172&lt;VLOOKUP(AG172,Variables!$AC$3:$AD$8,2,FALSE),"Y","N")</f>
        <v>N</v>
      </c>
      <c r="X172" s="204">
        <f t="shared" si="101"/>
        <v>1</v>
      </c>
      <c r="Y172" s="204">
        <f t="shared" si="99"/>
        <v>5.8593999999999999</v>
      </c>
      <c r="Z172" s="204">
        <f t="shared" si="100"/>
        <v>6.7299999999999999E-2</v>
      </c>
      <c r="AA172" s="204">
        <f t="shared" si="81"/>
        <v>5.7920999999999996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2"/>
        <v>1812</v>
      </c>
      <c r="AE172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72" s="74" t="str">
        <f t="shared" si="84"/>
        <v>"C:\Program Files (x86)\AstroGrep\AstroGrep.exe" /e /r /s /spath="%USERPROFILE%\AppData\Local\Temp\OnboardLogs" /stypes="app*4063*20171008*" /stext=" 17:.+((SYSTEM_STATE.+slice.+state.+changed )|(ment ac)|(multiple cpu faults)|(system.+state.+changed )|(\[timeout)|(PRM\|1\|D)|(kpr)|(kdp)|(train st.+moving)|(\|lc)|(penalty))"</v>
      </c>
      <c r="AG172" s="182" t="str">
        <f t="shared" si="85"/>
        <v>NW</v>
      </c>
      <c r="AH172" s="78" t="str">
        <f t="shared" si="86"/>
        <v>"%USERPROFILE%\Documents\GitHub\eaglep3\Utilities\RefineRTDCRunTimes.py" --tripid 1812-08 --locoid 4063 --swversion DE.1.0.9.0 --startMP 300:58594 --initTime 2017-10-08T11:23:27 --startdatetime 2017-10-08T11:43:00 --delay 44 --endMP 204:673 --enddatetime 2017-10-08T11:55:49 --enforcementcount 0 &gt;&gt;%USERPROFILE%\Documents\GitHub\eaglep3-reporting\EC\2017-10-08-refined-times.txt</v>
      </c>
      <c r="AI172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{"issue":{"subject":"","project_id":79,"tracker_id":40,"status_id":1,"priority_id":2,"assigned_to_id":338,"start_date":"2017-10-08","description":"","custom_fields":[{"id":1,"name":"Subdivision","value":"NW"},{"id":4,"name":"Milepost","value":"0.0673"},{"id":17,"name":"Train ID","value":"1812-08"},{"id":16,"name":"Locomotive ID","value":"4063"},{"id":130,"name":"Impact","value":""},{"id":150,"name":"Time of Event (Mountain Time)","value":"11:55:49"},{"id":151,"name":"Denver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88"/>
        <v>start /low /b %USERPROFILE%\Documents\GitHub\eaglep3\Utilities\DownloadLogsFromS3.py --loco 4063 --day 2017-10-08</v>
      </c>
      <c r="AN172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0"/>
        <v>https://d0f6bd738d7f1b3e5a7ca70fe4ff75f0.us-east-1.aws.found.io/app/kibana#/discover/Steve-Slow-Train-Analysis-(2080s-and-2083s)?_g=(refreshInterval:(display:Off,pause:!f,section:0,value:0),time:(from:'2017-10-08T10:23:27-0600',mode:absolute,to:'2017-10-08T12:55:49-0600'))&amp;_a=(columns:!('Message%20ID',Summary),filters:!(),index:'emp_*',interval:auto,query:(query_string:(analyze_wildcard:!t,query:'%22rtdc.l.rtdc.4063%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730</v>
      </c>
      <c r="B173" s="7">
        <v>4064</v>
      </c>
      <c r="C173" s="21" t="s">
        <v>194</v>
      </c>
      <c r="D173" s="21" t="s">
        <v>906</v>
      </c>
      <c r="E173" s="13">
        <v>43016.504837962966</v>
      </c>
      <c r="F173" s="13">
        <v>43016.506585648145</v>
      </c>
      <c r="G173" s="7">
        <v>61</v>
      </c>
      <c r="H173" s="21" t="s">
        <v>904</v>
      </c>
      <c r="I173" s="13">
        <v>43016.515868055554</v>
      </c>
      <c r="J173" s="7">
        <v>0</v>
      </c>
      <c r="K173" s="89" t="str">
        <f t="shared" ref="K173:K184" si="102">IF(ISEVEN(B173),(B173-1)&amp;"/"&amp;B173,B173&amp;"/"&amp;(B173+1))</f>
        <v>4063/4064</v>
      </c>
      <c r="L173" s="185" t="str">
        <f>VLOOKUP(A173,'Trips&amp;Operators'!$C$1:$G$99911,5,FALSE)</f>
        <v>MACDONALD THOMAS</v>
      </c>
      <c r="M173" s="6">
        <f t="shared" ref="M173:M184" si="103">I173-F173</f>
        <v>9.2824074090458453E-3</v>
      </c>
      <c r="N173" s="7">
        <f t="shared" si="91"/>
        <v>13.366666669026017</v>
      </c>
      <c r="O173" s="7"/>
      <c r="P173" s="7"/>
      <c r="Q173" s="22"/>
      <c r="R173" s="174"/>
      <c r="S173" s="221">
        <f t="shared" si="92"/>
        <v>1</v>
      </c>
      <c r="T173" s="174" t="str">
        <f t="shared" ref="T173:T184" si="104"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0"/>
        <v>https://d0f6bd738d7f1b3e5a7ca70fe4ff75f0.us-east-1.aws.found.io/app/kibana#/discover/Steve-Slow-Train-Analysis-(2080s-and-2083s)?_g=(refreshInterval:(display:Off,pause:!f,section:0,value:0),time:(from:'2017-10-08T11:06:58-0600',mode:absolute,to:'2017-10-08T13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204" t="str">
        <f>IF(AA173&lt;VLOOKUP(AG173,Variables!$AC$3:$AD$8,2,FALSE),"Y","N")</f>
        <v>N</v>
      </c>
      <c r="X173" s="204">
        <f t="shared" si="101"/>
        <v>1</v>
      </c>
      <c r="Y173" s="204">
        <f t="shared" si="99"/>
        <v>9.5299999999999996E-2</v>
      </c>
      <c r="Z173" s="204">
        <f t="shared" si="100"/>
        <v>5.8906999999999998</v>
      </c>
      <c r="AA173" s="204">
        <f t="shared" ref="AA173:AA204" si="105">ABS(Z173-Y173)</f>
        <v>5.7953999999999999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ref="AD173:AD184" si="106">VALUE(LEFT(A173,LEN(A173)-3))</f>
        <v>1813</v>
      </c>
      <c r="AE173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73" s="74" t="str">
        <f t="shared" si="84"/>
        <v>"C:\Program Files (x86)\AstroGrep\AstroGrep.exe" /e /r /s /spath="%USERPROFILE%\AppData\Local\Temp\OnboardLogs" /stypes="app*4064*20171008*" /stext=" 18:.+((SYSTEM_STATE.+slice.+state.+changed )|(ment ac)|(multiple cpu faults)|(system.+state.+changed )|(\[timeout)|(PRM\|1\|D)|(kpr)|(kdp)|(train st.+moving)|(\|lc)|(penalty))"</v>
      </c>
      <c r="AG173" s="182" t="str">
        <f t="shared" ref="AG173:AG184" si="107">DetSubdiv(A173)</f>
        <v>NW</v>
      </c>
      <c r="AH173" s="78" t="str">
        <f t="shared" si="86"/>
        <v>"%USERPROFILE%\Documents\GitHub\eaglep3\Utilities\RefineRTDCRunTimes.py" --tripid 1813-08 --locoid 4064 --swversion DE.1.0.9.0 --startMP 204:953 --initTime 2017-10-08T12:06:58 --startdatetime 2017-10-08T12:09:29 --delay 61 --endMP 300:58907 --enddatetime 2017-10-08T12:22:51 --enforcementcount 0 &gt;&gt;%USERPROFILE%\Documents\GitHub\eaglep3-reporting\EC\2017-10-08-refined-times.txt</v>
      </c>
      <c r="AI173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{"issue":{"subject":"","project_id":79,"tracker_id":40,"status_id":1,"priority_id":2,"assigned_to_id":338,"start_date":"2017-10-08","description":"","custom_fields":[{"id":1,"name":"Subdivision","value":"NW"},{"id":4,"name":"Milepost","value":"5.8907"},{"id":17,"name":"Train ID","value":"1813-08"},{"id":16,"name":"Locomotive ID","value":"4064"},{"id":130,"name":"Impact","value":""},{"id":150,"name":"Time of Event (Mountain Time)","value":"12:22:51"},{"id":151,"name":"Denver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88"/>
        <v>start /low /b %USERPROFILE%\Documents\GitHub\eaglep3\Utilities\DownloadLogsFromS3.py --loco 4064 --day 2017-10-08</v>
      </c>
      <c r="AN173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0"/>
        <v>https://d0f6bd738d7f1b3e5a7ca70fe4ff75f0.us-east-1.aws.found.io/app/kibana#/discover/Steve-Slow-Train-Analysis-(2080s-and-2083s)?_g=(refreshInterval:(display:Off,pause:!f,section:0,value:0),time:(from:'2017-10-08T11:06:58-0600',mode:absolute,to:'2017-10-08T13:22:51-0600'))&amp;_a=(columns:!('Message%20ID',Summary),filters:!(),index:'emp_*',interval:auto,query:(query_string:(analyze_wildcard:!t,query:'%22rtdc.l.rtdc.4064%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734</v>
      </c>
      <c r="B174" s="7">
        <v>4063</v>
      </c>
      <c r="C174" s="21" t="s">
        <v>194</v>
      </c>
      <c r="D174" s="21" t="s">
        <v>907</v>
      </c>
      <c r="E174" s="13">
        <v>43016.516469907408</v>
      </c>
      <c r="F174" s="13">
        <v>43016.529861111114</v>
      </c>
      <c r="G174" s="7">
        <v>54</v>
      </c>
      <c r="H174" s="21" t="s">
        <v>908</v>
      </c>
      <c r="I174" s="13">
        <v>43016.538449074076</v>
      </c>
      <c r="J174" s="7">
        <v>0</v>
      </c>
      <c r="K174" s="89" t="str">
        <f t="shared" si="102"/>
        <v>4063/4064</v>
      </c>
      <c r="L174" s="185" t="str">
        <f>VLOOKUP(A174,'Trips&amp;Operators'!$C$1:$G$99911,5,FALSE)</f>
        <v>MACDONALD THOMAS</v>
      </c>
      <c r="M174" s="6">
        <f t="shared" si="103"/>
        <v>8.5879629623377696E-3</v>
      </c>
      <c r="N174" s="7">
        <f t="shared" si="91"/>
        <v>12.366666665766388</v>
      </c>
      <c r="O174" s="7"/>
      <c r="P174" s="7"/>
      <c r="Q174" s="22"/>
      <c r="R174" s="174"/>
      <c r="S174" s="221">
        <f t="shared" si="92"/>
        <v>1</v>
      </c>
      <c r="T174" s="174" t="str">
        <f t="shared" si="104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0"/>
        <v>https://d0f6bd738d7f1b3e5a7ca70fe4ff75f0.us-east-1.aws.found.io/app/kibana#/discover/Steve-Slow-Train-Analysis-(2080s-and-2083s)?_g=(refreshInterval:(display:Off,pause:!f,section:0,value:0),time:(from:'2017-10-08T11:23:43-0600',mode:absolute,to:'2017-10-08T13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204" t="str">
        <f>IF(AA174&lt;VLOOKUP(AG174,Variables!$AC$3:$AD$8,2,FALSE),"Y","N")</f>
        <v>N</v>
      </c>
      <c r="X174" s="204">
        <f t="shared" si="101"/>
        <v>1</v>
      </c>
      <c r="Y174" s="204">
        <f t="shared" si="99"/>
        <v>5.8589000000000002</v>
      </c>
      <c r="Z174" s="204">
        <f t="shared" si="100"/>
        <v>6.9900000000000004E-2</v>
      </c>
      <c r="AA174" s="204">
        <f t="shared" si="105"/>
        <v>5.7890000000000006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106"/>
        <v>1814</v>
      </c>
      <c r="AE174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74" s="74" t="str">
        <f t="shared" si="84"/>
        <v>"C:\Program Files (x86)\AstroGrep\AstroGrep.exe" /e /r /s /spath="%USERPROFILE%\AppData\Local\Temp\OnboardLogs" /stypes="app*4063*20171008*" /stext=" 18:.+((SYSTEM_STATE.+slice.+state.+changed )|(ment ac)|(multiple cpu faults)|(system.+state.+changed )|(\[timeout)|(PRM\|1\|D)|(kpr)|(kdp)|(train st.+moving)|(\|lc)|(penalty))"</v>
      </c>
      <c r="AG174" s="182" t="str">
        <f t="shared" si="107"/>
        <v>NW</v>
      </c>
      <c r="AH174" s="78" t="str">
        <f t="shared" si="86"/>
        <v>"%USERPROFILE%\Documents\GitHub\eaglep3\Utilities\RefineRTDCRunTimes.py" --tripid 1814-08 --locoid 4063 --swversion DE.1.0.9.0 --startMP 300:58589 --initTime 2017-10-08T12:23:43 --startdatetime 2017-10-08T12:43:00 --delay 54 --endMP 204:699 --enddatetime 2017-10-08T12:55:22 --enforcementcount 0 &gt;&gt;%USERPROFILE%\Documents\GitHub\eaglep3-reporting\EC\2017-10-08-refined-times.txt</v>
      </c>
      <c r="AI174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{"issue":{"subject":"","project_id":79,"tracker_id":40,"status_id":1,"priority_id":2,"assigned_to_id":338,"start_date":"2017-10-08","description":"","custom_fields":[{"id":1,"name":"Subdivision","value":"NW"},{"id":4,"name":"Milepost","value":"0.0699"},{"id":17,"name":"Train ID","value":"1814-08"},{"id":16,"name":"Locomotive ID","value":"4063"},{"id":130,"name":"Impact","value":""},{"id":150,"name":"Time of Event (Mountain Time)","value":"12:55:22"},{"id":151,"name":"Denver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88"/>
        <v>start /low /b %USERPROFILE%\Documents\GitHub\eaglep3\Utilities\DownloadLogsFromS3.py --loco 4063 --day 2017-10-08</v>
      </c>
      <c r="AN174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18:55:22"},{"id":29,"name":"Sharepoint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0"/>
        <v>https://d0f6bd738d7f1b3e5a7ca70fe4ff75f0.us-east-1.aws.found.io/app/kibana#/discover/Steve-Slow-Train-Analysis-(2080s-and-2083s)?_g=(refreshInterval:(display:Off,pause:!f,section:0,value:0),time:(from:'2017-10-08T11:23:43-0600',mode:absolute,to:'2017-10-08T13:55:22-0600'))&amp;_a=(columns:!('Message%20ID',Summary),filters:!(),index:'emp_*',interval:auto,query:(query_string:(analyze_wildcard:!t,query:'%22rtdc.l.rtdc.4063%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742</v>
      </c>
      <c r="B175" s="7">
        <v>4064</v>
      </c>
      <c r="C175" s="21" t="s">
        <v>194</v>
      </c>
      <c r="D175" s="21" t="s">
        <v>454</v>
      </c>
      <c r="E175" s="13">
        <v>43016.547199074077</v>
      </c>
      <c r="F175" s="13">
        <v>43016.571527777778</v>
      </c>
      <c r="G175" s="7">
        <v>48</v>
      </c>
      <c r="H175" s="21" t="s">
        <v>909</v>
      </c>
      <c r="I175" s="13">
        <v>43016.580081018517</v>
      </c>
      <c r="J175" s="7">
        <v>0</v>
      </c>
      <c r="K175" s="89" t="str">
        <f t="shared" si="102"/>
        <v>4063/4064</v>
      </c>
      <c r="L175" s="185" t="str">
        <f>VLOOKUP(A175,'Trips&amp;Operators'!$C$1:$G$99911,5,FALSE)</f>
        <v>MACDONALD THOMAS</v>
      </c>
      <c r="M175" s="6">
        <f t="shared" si="103"/>
        <v>8.55324073927477E-3</v>
      </c>
      <c r="N175" s="7">
        <f t="shared" si="91"/>
        <v>12.316666664555669</v>
      </c>
      <c r="O175" s="7"/>
      <c r="P175" s="7"/>
      <c r="Q175" s="22"/>
      <c r="R175" s="174"/>
      <c r="S175" s="221">
        <f t="shared" si="92"/>
        <v>1</v>
      </c>
      <c r="T175" s="174" t="str">
        <f t="shared" si="104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0"/>
        <v>https://d0f6bd738d7f1b3e5a7ca70fe4ff75f0.us-east-1.aws.found.io/app/kibana#/discover/Steve-Slow-Train-Analysis-(2080s-and-2083s)?_g=(refreshInterval:(display:Off,pause:!f,section:0,value:0),time:(from:'2017-10-08T12:07:58-0600',mode:absolute,to:'2017-10-08T14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204" t="str">
        <f>IF(AA175&lt;VLOOKUP(AG175,Variables!$AC$3:$AD$8,2,FALSE),"Y","N")</f>
        <v>N</v>
      </c>
      <c r="X175" s="204">
        <f t="shared" si="101"/>
        <v>1</v>
      </c>
      <c r="Y175" s="204">
        <f t="shared" si="99"/>
        <v>9.6500000000000002E-2</v>
      </c>
      <c r="Z175" s="204">
        <f t="shared" si="100"/>
        <v>5.8917999999999999</v>
      </c>
      <c r="AA175" s="204">
        <f t="shared" si="105"/>
        <v>5.7953000000000001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106"/>
        <v>1815</v>
      </c>
      <c r="AE175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75" s="74" t="str">
        <f t="shared" si="84"/>
        <v>"C:\Program Files (x86)\AstroGrep\AstroGrep.exe" /e /r /s /spath="%USERPROFILE%\AppData\Local\Temp\OnboardLogs" /stypes="app*4064*20171008*" /stext=" 19:.+((SYSTEM_STATE.+slice.+state.+changed )|(ment ac)|(multiple cpu faults)|(system.+state.+changed )|(\[timeout)|(PRM\|1\|D)|(kpr)|(kdp)|(train st.+moving)|(\|lc)|(penalty))"</v>
      </c>
      <c r="AG175" s="182" t="str">
        <f t="shared" si="107"/>
        <v>NW</v>
      </c>
      <c r="AH175" s="78" t="str">
        <f t="shared" si="86"/>
        <v>"%USERPROFILE%\Documents\GitHub\eaglep3\Utilities\RefineRTDCRunTimes.py" --tripid 1815-08 --locoid 4064 --swversion DE.1.0.9.0 --startMP 204:965 --initTime 2017-10-08T13:07:58 --startdatetime 2017-10-08T13:43:00 --delay 48 --endMP 300:58918 --enddatetime 2017-10-08T13:55:19 --enforcementcount 0 &gt;&gt;%USERPROFILE%\Documents\GitHub\eaglep3-reporting\EC\2017-10-08-refined-times.txt</v>
      </c>
      <c r="AI175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{"issue":{"subject":"","project_id":79,"tracker_id":40,"status_id":1,"priority_id":2,"assigned_to_id":338,"start_date":"2017-10-08","description":"","custom_fields":[{"id":1,"name":"Subdivision","value":"NW"},{"id":4,"name":"Milepost","value":"5.8918"},{"id":17,"name":"Train ID","value":"1815-08"},{"id":16,"name":"Locomotive ID","value":"4064"},{"id":130,"name":"Impact","value":""},{"id":150,"name":"Time of Event (Mountain Time)","value":"13:55:19"},{"id":151,"name":"Denver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88"/>
        <v>start /low /b %USERPROFILE%\Documents\GitHub\eaglep3\Utilities\DownloadLogsFromS3.py --loco 4064 --day 2017-10-08</v>
      </c>
      <c r="AN175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0"/>
        <v>https://d0f6bd738d7f1b3e5a7ca70fe4ff75f0.us-east-1.aws.found.io/app/kibana#/discover/Steve-Slow-Train-Analysis-(2080s-and-2083s)?_g=(refreshInterval:(display:Off,pause:!f,section:0,value:0),time:(from:'2017-10-08T12:07:58-0600',mode:absolute,to:'2017-10-08T14:55:19-0600'))&amp;_a=(columns:!('Message%20ID',Summary),filters:!(),index:'emp_*',interval:auto,query:(query_string:(analyze_wildcard:!t,query:'%22rtdc.l.rtdc.4064%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748</v>
      </c>
      <c r="B176" s="7">
        <v>4063</v>
      </c>
      <c r="C176" s="21" t="s">
        <v>194</v>
      </c>
      <c r="D176" s="21" t="s">
        <v>910</v>
      </c>
      <c r="E176" s="13">
        <v>43016.56013888889</v>
      </c>
      <c r="F176" s="13">
        <v>43016.571527777778</v>
      </c>
      <c r="G176" s="7">
        <v>43</v>
      </c>
      <c r="H176" s="21" t="s">
        <v>911</v>
      </c>
      <c r="I176" s="13">
        <v>43016.580081018517</v>
      </c>
      <c r="J176" s="7">
        <v>0</v>
      </c>
      <c r="K176" s="89" t="str">
        <f t="shared" si="102"/>
        <v>4063/4064</v>
      </c>
      <c r="L176" s="185" t="str">
        <f>VLOOKUP(A176,'Trips&amp;Operators'!$C$1:$G$99911,5,FALSE)</f>
        <v>MACDONALD THOMAS</v>
      </c>
      <c r="M176" s="6">
        <f t="shared" si="103"/>
        <v>8.55324073927477E-3</v>
      </c>
      <c r="N176" s="7">
        <f t="shared" si="91"/>
        <v>12.316666664555669</v>
      </c>
      <c r="O176" s="7"/>
      <c r="P176" s="7"/>
      <c r="Q176" s="22"/>
      <c r="R176" s="174"/>
      <c r="S176" s="221">
        <f t="shared" si="92"/>
        <v>1</v>
      </c>
      <c r="T176" s="174" t="str">
        <f t="shared" si="104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0"/>
        <v>https://d0f6bd738d7f1b3e5a7ca70fe4ff75f0.us-east-1.aws.found.io/app/kibana#/discover/Steve-Slow-Train-Analysis-(2080s-and-2083s)?_g=(refreshInterval:(display:Off,pause:!f,section:0,value:0),time:(from:'2017-10-08T12:26:36-0600',mode:absolute,to:'2017-10-08T14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204" t="str">
        <f>IF(AA176&lt;VLOOKUP(AG176,Variables!$AC$3:$AD$8,2,FALSE),"Y","N")</f>
        <v>N</v>
      </c>
      <c r="X176" s="204">
        <f t="shared" si="101"/>
        <v>1</v>
      </c>
      <c r="Y176" s="204">
        <f t="shared" si="99"/>
        <v>5.8585000000000003</v>
      </c>
      <c r="Z176" s="204">
        <f t="shared" si="100"/>
        <v>7.3300000000000004E-2</v>
      </c>
      <c r="AA176" s="204">
        <f t="shared" si="105"/>
        <v>5.7852000000000006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106"/>
        <v>1816</v>
      </c>
      <c r="AE176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76" s="74" t="str">
        <f t="shared" si="84"/>
        <v>"C:\Program Files (x86)\AstroGrep\AstroGrep.exe" /e /r /s /spath="%USERPROFILE%\AppData\Local\Temp\OnboardLogs" /stypes="app*4063*20171008*" /stext=" 19:.+((SYSTEM_STATE.+slice.+state.+changed )|(ment ac)|(multiple cpu faults)|(system.+state.+changed )|(\[timeout)|(PRM\|1\|D)|(kpr)|(kdp)|(train st.+moving)|(\|lc)|(penalty))"</v>
      </c>
      <c r="AG176" s="182" t="str">
        <f t="shared" si="107"/>
        <v>NW</v>
      </c>
      <c r="AH176" s="78" t="str">
        <f t="shared" si="86"/>
        <v>"%USERPROFILE%\Documents\GitHub\eaglep3\Utilities\RefineRTDCRunTimes.py" --tripid 1816-08 --locoid 4063 --swversion DE.1.0.9.0 --startMP 300:58585 --initTime 2017-10-08T13:26:36 --startdatetime 2017-10-08T13:43:00 --delay 43 --endMP 204:733 --enddatetime 2017-10-08T13:55:19 --enforcementcount 0 &gt;&gt;%USERPROFILE%\Documents\GitHub\eaglep3-reporting\EC\2017-10-08-refined-times.txt</v>
      </c>
      <c r="AI176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{"issue":{"subject":"","project_id":79,"tracker_id":40,"status_id":1,"priority_id":2,"assigned_to_id":338,"start_date":"2017-10-08","description":"","custom_fields":[{"id":1,"name":"Subdivision","value":"NW"},{"id":4,"name":"Milepost","value":"0.0733"},{"id":17,"name":"Train ID","value":"1816-08"},{"id":16,"name":"Locomotive ID","value":"4063"},{"id":130,"name":"Impact","value":""},{"id":150,"name":"Time of Event (Mountain Time)","value":"13:55:19"},{"id":151,"name":"Denver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88"/>
        <v>start /low /b %USERPROFILE%\Documents\GitHub\eaglep3\Utilities\DownloadLogsFromS3.py --loco 4063 --day 2017-10-08</v>
      </c>
      <c r="AN176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19:55:19"},{"id":29,"name":"Sharepoint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0"/>
        <v>https://d0f6bd738d7f1b3e5a7ca70fe4ff75f0.us-east-1.aws.found.io/app/kibana#/discover/Steve-Slow-Train-Analysis-(2080s-and-2083s)?_g=(refreshInterval:(display:Off,pause:!f,section:0,value:0),time:(from:'2017-10-08T12:26:36-0600',mode:absolute,to:'2017-10-08T14:55:19-0600'))&amp;_a=(columns:!('Message%20ID',Summary),filters:!(),index:'emp_*',interval:auto,query:(query_string:(analyze_wildcard:!t,query:'%22rtdc.l.rtdc.4063%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754</v>
      </c>
      <c r="B177" s="7">
        <v>4064</v>
      </c>
      <c r="C177" s="21" t="s">
        <v>194</v>
      </c>
      <c r="D177" s="21" t="s">
        <v>912</v>
      </c>
      <c r="E177" s="13">
        <v>43016.583182870374</v>
      </c>
      <c r="F177" s="13">
        <v>43016.590162037035</v>
      </c>
      <c r="G177" s="7">
        <v>90</v>
      </c>
      <c r="H177" s="21" t="s">
        <v>913</v>
      </c>
      <c r="I177" s="13">
        <v>43016.599733796298</v>
      </c>
      <c r="J177" s="7">
        <v>0</v>
      </c>
      <c r="K177" s="89" t="str">
        <f t="shared" si="102"/>
        <v>4063/4064</v>
      </c>
      <c r="L177" s="185" t="str">
        <f>VLOOKUP(A177,'Trips&amp;Operators'!$C$1:$G$99911,5,FALSE)</f>
        <v>HOLCOMB KAMDEN</v>
      </c>
      <c r="M177" s="6">
        <f t="shared" si="103"/>
        <v>9.5717592630535364E-3</v>
      </c>
      <c r="N177" s="7">
        <f t="shared" si="91"/>
        <v>13.783333338797092</v>
      </c>
      <c r="O177" s="7"/>
      <c r="P177" s="7"/>
      <c r="Q177" s="22"/>
      <c r="R177" s="174"/>
      <c r="S177" s="221">
        <f t="shared" si="92"/>
        <v>1</v>
      </c>
      <c r="T177" s="174" t="str">
        <f t="shared" si="104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0"/>
        <v>https://d0f6bd738d7f1b3e5a7ca70fe4ff75f0.us-east-1.aws.found.io/app/kibana#/discover/Steve-Slow-Train-Analysis-(2080s-and-2083s)?_g=(refreshInterval:(display:Off,pause:!f,section:0,value:0),time:(from:'2017-10-08T12:59:47-0600',mode:absolute,to:'2017-10-08T15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204" t="str">
        <f>IF(AA177&lt;VLOOKUP(AG177,Variables!$AC$3:$AD$8,2,FALSE),"Y","N")</f>
        <v>N</v>
      </c>
      <c r="X177" s="204">
        <f t="shared" si="101"/>
        <v>1</v>
      </c>
      <c r="Y177" s="204">
        <f t="shared" si="99"/>
        <v>9.9199999999999997E-2</v>
      </c>
      <c r="Z177" s="204">
        <f t="shared" si="100"/>
        <v>5.8992000000000004</v>
      </c>
      <c r="AA177" s="204">
        <f t="shared" si="105"/>
        <v>5.8000000000000007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106"/>
        <v>1817</v>
      </c>
      <c r="AE177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77" s="74" t="str">
        <f t="shared" si="84"/>
        <v>"C:\Program Files (x86)\AstroGrep\AstroGrep.exe" /e /r /s /spath="%USERPROFILE%\AppData\Local\Temp\OnboardLogs" /stypes="app*4064*20171008*" /stext=" 20:.+((SYSTEM_STATE.+slice.+state.+changed )|(ment ac)|(multiple cpu faults)|(system.+state.+changed )|(\[timeout)|(PRM\|1\|D)|(kpr)|(kdp)|(train st.+moving)|(\|lc)|(penalty))"</v>
      </c>
      <c r="AG177" s="182" t="str">
        <f t="shared" si="107"/>
        <v>NW</v>
      </c>
      <c r="AH177" s="78" t="str">
        <f t="shared" si="86"/>
        <v>"%USERPROFILE%\Documents\GitHub\eaglep3\Utilities\RefineRTDCRunTimes.py" --tripid 1817-08 --locoid 4064 --swversion DE.1.0.9.0 --startMP 204:992 --initTime 2017-10-08T13:59:47 --startdatetime 2017-10-08T14:09:50 --delay 90 --endMP 300:58992 --enddatetime 2017-10-08T14:23:37 --enforcementcount 0 &gt;&gt;%USERPROFILE%\Documents\GitHub\eaglep3-reporting\EC\2017-10-08-refined-times.txt</v>
      </c>
      <c r="AI177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{"issue":{"subject":"","project_id":79,"tracker_id":40,"status_id":1,"priority_id":2,"assigned_to_id":338,"start_date":"2017-10-08","description":"","custom_fields":[{"id":1,"name":"Subdivision","value":"NW"},{"id":4,"name":"Milepost","value":"5.8992"},{"id":17,"name":"Train ID","value":"1817-08"},{"id":16,"name":"Locomotive ID","value":"4064"},{"id":130,"name":"Impact","value":""},{"id":150,"name":"Time of Event (Mountain Time)","value":"14:23:37"},{"id":151,"name":"Denver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88"/>
        <v>start /low /b %USERPROFILE%\Documents\GitHub\eaglep3\Utilities\DownloadLogsFromS3.py --loco 4064 --day 2017-10-08</v>
      </c>
      <c r="AN177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0"/>
        <v>https://d0f6bd738d7f1b3e5a7ca70fe4ff75f0.us-east-1.aws.found.io/app/kibana#/discover/Steve-Slow-Train-Analysis-(2080s-and-2083s)?_g=(refreshInterval:(display:Off,pause:!f,section:0,value:0),time:(from:'2017-10-08T12:59:47-0600',mode:absolute,to:'2017-10-08T15:23:37-0600'))&amp;_a=(columns:!('Message%20ID',Summary),filters:!(),index:'emp_*',interval:auto,query:(query_string:(analyze_wildcard:!t,query:'%22rtdc.l.rtdc.4064%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602</v>
      </c>
      <c r="B178" s="7">
        <v>4063</v>
      </c>
      <c r="C178" s="21" t="s">
        <v>194</v>
      </c>
      <c r="D178" s="21" t="s">
        <v>914</v>
      </c>
      <c r="E178" s="13">
        <v>43016.610451388886</v>
      </c>
      <c r="F178" s="13">
        <v>43016.613425925927</v>
      </c>
      <c r="G178" s="7">
        <v>64</v>
      </c>
      <c r="H178" s="21" t="s">
        <v>915</v>
      </c>
      <c r="I178" s="13">
        <v>43016.622083333335</v>
      </c>
      <c r="J178" s="7">
        <v>0</v>
      </c>
      <c r="K178" s="89" t="str">
        <f t="shared" si="102"/>
        <v>4063/4064</v>
      </c>
      <c r="L178" s="185" t="str">
        <f>VLOOKUP(A178,'Trips&amp;Operators'!$C$1:$G$99911,5,FALSE)</f>
        <v>HOLCOMB KAMDEN</v>
      </c>
      <c r="M178" s="6">
        <f t="shared" si="103"/>
        <v>8.6574074084637687E-3</v>
      </c>
      <c r="N178" s="7">
        <f t="shared" si="91"/>
        <v>12.466666668187827</v>
      </c>
      <c r="O178" s="7"/>
      <c r="P178" s="7"/>
      <c r="Q178" s="22"/>
      <c r="R178" s="174"/>
      <c r="S178" s="221">
        <f t="shared" si="92"/>
        <v>1</v>
      </c>
      <c r="T178" s="174" t="str">
        <f t="shared" si="104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0"/>
        <v>https://d0f6bd738d7f1b3e5a7ca70fe4ff75f0.us-east-1.aws.found.io/app/kibana#/discover/Steve-Slow-Train-Analysis-(2080s-and-2083s)?_g=(refreshInterval:(display:Off,pause:!f,section:0,value:0),time:(from:'2017-10-08T13:39:03-0600',mode:absolute,to:'2017-10-08T15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204" t="str">
        <f>IF(AA178&lt;VLOOKUP(AG178,Variables!$AC$3:$AD$8,2,FALSE),"Y","N")</f>
        <v>Y</v>
      </c>
      <c r="X178" s="204">
        <f t="shared" si="101"/>
        <v>1</v>
      </c>
      <c r="Y178" s="204">
        <f t="shared" si="99"/>
        <v>5.7241999999999997</v>
      </c>
      <c r="Z178" s="204">
        <f t="shared" si="100"/>
        <v>0.45669999999999999</v>
      </c>
      <c r="AA178" s="204">
        <f t="shared" si="105"/>
        <v>5.2675000000000001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106"/>
        <v>1818</v>
      </c>
      <c r="AE178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78" s="74" t="str">
        <f t="shared" si="84"/>
        <v>"C:\Program Files (x86)\AstroGrep\AstroGrep.exe" /e /r /s /spath="%USERPROFILE%\AppData\Local\Temp\OnboardLogs" /stypes="app*4063*20171008*" /stext=" 20:.+((SYSTEM_STATE.+slice.+state.+changed )|(ment ac)|(multiple cpu faults)|(system.+state.+changed )|(\[timeout)|(PRM\|1\|D)|(kpr)|(kdp)|(train st.+moving)|(\|lc)|(penalty))"</v>
      </c>
      <c r="AG178" s="182" t="str">
        <f t="shared" si="107"/>
        <v>NW</v>
      </c>
      <c r="AH178" s="78" t="str">
        <f t="shared" si="86"/>
        <v>"%USERPROFILE%\Documents\GitHub\eaglep3\Utilities\RefineRTDCRunTimes.py" --tripid 1818-08 --locoid 4063 --swversion DE.1.0.9.0 --startMP 300:57242 --initTime 2017-10-08T14:39:03 --startdatetime 2017-10-08T14:43:20 --delay 64 --endMP 204:4567 --enddatetime 2017-10-08T14:55:48 --enforcementcount 0 &gt;&gt;%USERPROFILE%\Documents\GitHub\eaglep3-reporting\EC\2017-10-08-refined-times.txt</v>
      </c>
      <c r="AI178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{"issue":{"subject":"","project_id":79,"tracker_id":40,"status_id":1,"priority_id":2,"assigned_to_id":338,"start_date":"2017-10-08","description":"","custom_fields":[{"id":1,"name":"Subdivision","value":"NW"},{"id":4,"name":"Milepost","value":"0.4567"},{"id":17,"name":"Train ID","value":"1818-08"},{"id":16,"name":"Locomotive ID","value":"4063"},{"id":130,"name":"Impact","value":""},{"id":150,"name":"Time of Event (Mountain Time)","value":"14:55:48"},{"id":151,"name":"Denver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88"/>
        <v>start /low /b %USERPROFILE%\Documents\GitHub\eaglep3\Utilities\DownloadLogsFromS3.py --loco 4063 --day 2017-10-08</v>
      </c>
      <c r="AN178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0"/>
        <v>https://d0f6bd738d7f1b3e5a7ca70fe4ff75f0.us-east-1.aws.found.io/app/kibana#/discover/Steve-Slow-Train-Analysis-(2080s-and-2083s)?_g=(refreshInterval:(display:Off,pause:!f,section:0,value:0),time:(from:'2017-10-08T13:39:03-0600',mode:absolute,to:'2017-10-08T15:55:48-0600'))&amp;_a=(columns:!('Message%20ID',Summary),filters:!(),index:'emp_*',interval:auto,query:(query_string:(analyze_wildcard:!t,query:'%22rtdc.l.rtdc.4063%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762</v>
      </c>
      <c r="B179" s="7">
        <v>4064</v>
      </c>
      <c r="C179" s="21" t="s">
        <v>194</v>
      </c>
      <c r="D179" s="21" t="s">
        <v>914</v>
      </c>
      <c r="E179" s="13">
        <v>43016.610451388886</v>
      </c>
      <c r="F179" s="13">
        <v>43016.631423611114</v>
      </c>
      <c r="G179" s="7">
        <v>64</v>
      </c>
      <c r="H179" s="21" t="s">
        <v>915</v>
      </c>
      <c r="I179" s="13">
        <v>43016.6403125</v>
      </c>
      <c r="J179" s="7">
        <v>0</v>
      </c>
      <c r="K179" s="89" t="str">
        <f t="shared" si="102"/>
        <v>4063/4064</v>
      </c>
      <c r="L179" s="185" t="str">
        <f>VLOOKUP(A179,'Trips&amp;Operators'!$C$1:$G$99911,5,FALSE)</f>
        <v>HOLCOMB KAMDEN</v>
      </c>
      <c r="M179" s="6">
        <f t="shared" si="103"/>
        <v>8.8888888858491555E-3</v>
      </c>
      <c r="N179" s="7">
        <f t="shared" si="91"/>
        <v>12.799999995622784</v>
      </c>
      <c r="O179" s="7"/>
      <c r="P179" s="7"/>
      <c r="Q179" s="22"/>
      <c r="R179" s="174"/>
      <c r="S179" s="221">
        <f t="shared" si="92"/>
        <v>1</v>
      </c>
      <c r="T179" s="174" t="str">
        <f t="shared" si="104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0"/>
        <v>https://d0f6bd738d7f1b3e5a7ca70fe4ff75f0.us-east-1.aws.found.io/app/kibana#/discover/Steve-Slow-Train-Analysis-(2080s-and-2083s)?_g=(refreshInterval:(display:Off,pause:!f,section:0,value:0),time:(from:'2017-10-08T13:39:03-0600',mode:absolute,to:'2017-10-08T16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204" t="str">
        <f>IF(AA179&lt;VLOOKUP(AG179,Variables!$AC$3:$AD$8,2,FALSE),"Y","N")</f>
        <v>N</v>
      </c>
      <c r="X179" s="204">
        <f t="shared" ref="X179:X180" si="108">VALUE(LEFT(AD179,4))-VALUE(LEFT(AD178,4))</f>
        <v>1</v>
      </c>
      <c r="Y179" s="204">
        <v>9.9199999999999997E-2</v>
      </c>
      <c r="Z179" s="204">
        <v>5.8992000000000004</v>
      </c>
      <c r="AA179" s="204">
        <f t="shared" si="105"/>
        <v>5.8000000000000007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106"/>
        <v>1819</v>
      </c>
      <c r="AE179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79" s="74" t="str">
        <f t="shared" si="84"/>
        <v>"C:\Program Files (x86)\AstroGrep\AstroGrep.exe" /e /r /s /spath="%USERPROFILE%\AppData\Local\Temp\OnboardLogs" /stypes="app*4064*20171008*" /stext=" 21:.+((SYSTEM_STATE.+slice.+state.+changed )|(ment ac)|(multiple cpu faults)|(system.+state.+changed )|(\[timeout)|(PRM\|1\|D)|(kpr)|(kdp)|(train st.+moving)|(\|lc)|(penalty))"</v>
      </c>
      <c r="AG179" s="182" t="str">
        <f t="shared" si="107"/>
        <v>NW</v>
      </c>
      <c r="AH179" s="78" t="str">
        <f t="shared" ref="AH179" si="109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1819-08 --locoid 4064 --swversion DE.1.0.9.0 --startMP 300:57242 --initTime 2017-10-08T14:39:03 --startdatetime 2017-10-08T15:09:15 --delay 64 --endMP 204:4567 --enddatetime 2017-10-08T15:22:03 --enforcementcount 0 &gt;&gt;%USERPROFILE%\Documents\GitHub\eaglep3-reporting\EC\2017-10-08-refined-times.txt</v>
      </c>
      <c r="AI179" s="96" t="str">
        <f t="shared" ref="AI179" si="110"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{"issue":{"subject":"","project_id":79,"tracker_id":40,"status_id":1,"priority_id":2,"assigned_to_id":338,"start_date":"2017-10-08","description":"","custom_fields":[{"id":1,"name":"Subdivision","value":"NW"},{"id":4,"name":"Milepost","value":"5.8992"},{"id":17,"name":"Train ID","value":"1819-08"},{"id":16,"name":"Locomotive ID","value":"4064"},{"id":130,"name":"Impact","value":""},{"id":150,"name":"Time of Event (Mountain Time)","value":"15:22:03"},{"id":151,"name":"Denver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ref="AM179" si="111">"start /low /b "&amp;dls3logs&amp;" --loco "&amp;B179&amp;" --day "&amp;TEXT(F179,"YYYY-MM-DD")</f>
        <v>start /low /b %USERPROFILE%\Documents\GitHub\eaglep3\Utilities\DownloadLogsFromS3.py --loco 4064 --day 2017-10-08</v>
      </c>
      <c r="AN179" s="151" t="str">
        <f t="shared" ref="AN179" si="112"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ref="AO179" si="113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-08T13:39:03-0600',mode:absolute,to:'2017-10-08T16:22:03-0600'))&amp;_a=(columns:!('Message%20ID',Summary),filters:!(),index:'emp_*',interval:auto,query:(query_string:(analyze_wildcard:!t,query:'%22rtdc.l.rtdc.4064%22')),sort:!(Time.ISO8601,asc))</v>
      </c>
    </row>
    <row r="180" spans="1:91" s="20" customFormat="1" x14ac:dyDescent="0.25">
      <c r="A180" s="32" t="s">
        <v>603</v>
      </c>
      <c r="B180" s="7">
        <v>4063</v>
      </c>
      <c r="C180" s="21" t="s">
        <v>194</v>
      </c>
      <c r="D180" s="21" t="s">
        <v>916</v>
      </c>
      <c r="E180" s="13">
        <v>43016.651493055557</v>
      </c>
      <c r="F180" s="13">
        <v>43016.655115740738</v>
      </c>
      <c r="G180" s="7">
        <v>44</v>
      </c>
      <c r="H180" s="21" t="s">
        <v>917</v>
      </c>
      <c r="I180" s="13">
        <v>43016.663831018515</v>
      </c>
      <c r="J180" s="7">
        <v>0</v>
      </c>
      <c r="K180" s="89" t="str">
        <f t="shared" si="102"/>
        <v>4063/4064</v>
      </c>
      <c r="L180" s="185" t="str">
        <f>VLOOKUP(A180,'Trips&amp;Operators'!$C$1:$G$99911,5,FALSE)</f>
        <v>HOLCOMB KAMDEN</v>
      </c>
      <c r="M180" s="6">
        <f t="shared" si="103"/>
        <v>8.7152777778101154E-3</v>
      </c>
      <c r="N180" s="7">
        <f t="shared" si="91"/>
        <v>12.550000000046566</v>
      </c>
      <c r="O180" s="7"/>
      <c r="P180" s="7"/>
      <c r="Q180" s="22"/>
      <c r="R180" s="174"/>
      <c r="S180" s="221">
        <f t="shared" si="92"/>
        <v>1</v>
      </c>
      <c r="T180" s="174" t="str">
        <f t="shared" si="104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0"/>
        <v>https://d0f6bd738d7f1b3e5a7ca70fe4ff75f0.us-east-1.aws.found.io/app/kibana#/discover/Steve-Slow-Train-Analysis-(2080s-and-2083s)?_g=(refreshInterval:(display:Off,pause:!f,section:0,value:0),time:(from:'2017-10-08T14:38:09-0600',mode:absolute,to:'2017-10-08T16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204" t="str">
        <f>IF(AA180&lt;VLOOKUP(AG180,Variables!$AC$3:$AD$8,2,FALSE),"Y","N")</f>
        <v>Y</v>
      </c>
      <c r="X180" s="204">
        <f t="shared" si="108"/>
        <v>1</v>
      </c>
      <c r="Y180" s="204">
        <f>RIGHT(D180,LEN(D180)-4)/10000</f>
        <v>5.7237999999999998</v>
      </c>
      <c r="Z180" s="204">
        <f>RIGHT(H180,LEN(H180)-4)/10000</f>
        <v>0.45710000000000001</v>
      </c>
      <c r="AA180" s="204">
        <f t="shared" si="105"/>
        <v>5.2667000000000002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106"/>
        <v>1820</v>
      </c>
      <c r="AE180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80" s="74" t="str">
        <f t="shared" si="84"/>
        <v>"C:\Program Files (x86)\AstroGrep\AstroGrep.exe" /e /r /s /spath="%USERPROFILE%\AppData\Local\Temp\OnboardLogs" /stypes="app*4063*20171008*" /stext=" 21:.+((SYSTEM_STATE.+slice.+state.+changed )|(ment ac)|(multiple cpu faults)|(system.+state.+changed )|(\[timeout)|(PRM\|1\|D)|(kpr)|(kdp)|(train st.+moving)|(\|lc)|(penalty))"</v>
      </c>
      <c r="AG180" s="182" t="str">
        <f t="shared" si="107"/>
        <v>NW</v>
      </c>
      <c r="AH180" s="78" t="str">
        <f t="shared" si="86"/>
        <v>"%USERPROFILE%\Documents\GitHub\eaglep3\Utilities\RefineRTDCRunTimes.py" --tripid 1820-08 --locoid 4063 --swversion DE.1.0.9.0 --startMP 300:57238 --initTime 2017-10-08T15:38:09 --startdatetime 2017-10-08T15:43:22 --delay 44 --endMP 204:4571 --enddatetime 2017-10-08T15:55:55 --enforcementcount 0 &gt;&gt;%USERPROFILE%\Documents\GitHub\eaglep3-reporting\EC\2017-10-08-refined-times.txt</v>
      </c>
      <c r="AI180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{"issue":{"subject":"","project_id":79,"tracker_id":40,"status_id":1,"priority_id":2,"assigned_to_id":338,"start_date":"2017-10-08","description":"","custom_fields":[{"id":1,"name":"Subdivision","value":"NW"},{"id":4,"name":"Milepost","value":"0.4571"},{"id":17,"name":"Train ID","value":"1820-08"},{"id":16,"name":"Locomotive ID","value":"4063"},{"id":130,"name":"Impact","value":""},{"id":150,"name":"Time of Event (Mountain Time)","value":"15:55:55"},{"id":151,"name":"Denver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88"/>
        <v>start /low /b %USERPROFILE%\Documents\GitHub\eaglep3\Utilities\DownloadLogsFromS3.py --loco 4063 --day 2017-10-08</v>
      </c>
      <c r="AN180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21:55:55"},{"id":29,"name":"Sharepoint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0"/>
        <v>https://d0f6bd738d7f1b3e5a7ca70fe4ff75f0.us-east-1.aws.found.io/app/kibana#/discover/Steve-Slow-Train-Analysis-(2080s-and-2083s)?_g=(refreshInterval:(display:Off,pause:!f,section:0,value:0),time:(from:'2017-10-08T14:38:09-0600',mode:absolute,to:'2017-10-08T16:55:55-0600'))&amp;_a=(columns:!('Message%20ID',Summary),filters:!(),index:'emp_*',interval:auto,query:(query_string:(analyze_wildcard:!t,query:'%22rtdc.l.rtdc.4063%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604</v>
      </c>
      <c r="B181" s="7">
        <v>4064</v>
      </c>
      <c r="C181" s="21" t="s">
        <v>194</v>
      </c>
      <c r="D181" s="21" t="s">
        <v>422</v>
      </c>
      <c r="E181" s="13">
        <v>43016.670648148145</v>
      </c>
      <c r="F181" s="13">
        <v>43016.673206018517</v>
      </c>
      <c r="G181" s="7">
        <v>51</v>
      </c>
      <c r="H181" s="21" t="s">
        <v>577</v>
      </c>
      <c r="I181" s="13">
        <v>43016.683935185189</v>
      </c>
      <c r="J181" s="7">
        <v>0</v>
      </c>
      <c r="K181" s="89" t="str">
        <f t="shared" si="102"/>
        <v>4063/4064</v>
      </c>
      <c r="L181" s="185" t="str">
        <f>VLOOKUP(A181,'Trips&amp;Operators'!$C$1:$G$99911,5,FALSE)</f>
        <v>HOLCOMB KAMDEN</v>
      </c>
      <c r="M181" s="6">
        <f t="shared" si="103"/>
        <v>1.0729166671808343E-2</v>
      </c>
      <c r="N181" s="7">
        <f t="shared" si="91"/>
        <v>15.450000007404014</v>
      </c>
      <c r="O181" s="7"/>
      <c r="P181" s="7"/>
      <c r="Q181" s="22"/>
      <c r="R181" s="174"/>
      <c r="S181" s="221">
        <f t="shared" si="92"/>
        <v>1</v>
      </c>
      <c r="T181" s="174" t="str">
        <f t="shared" si="104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0"/>
        <v>https://d0f6bd738d7f1b3e5a7ca70fe4ff75f0.us-east-1.aws.found.io/app/kibana#/discover/Steve-Slow-Train-Analysis-(2080s-and-2083s)?_g=(refreshInterval:(display:Off,pause:!f,section:0,value:0),time:(from:'2017-10-08T15:05:44-0600',mode:absolute,to:'2017-10-08T17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9.74E-2</v>
      </c>
      <c r="Z181" s="204">
        <f>RIGHT(H181,LEN(H181)-4)/10000</f>
        <v>5.8997000000000002</v>
      </c>
      <c r="AA181" s="204">
        <f t="shared" si="105"/>
        <v>5.8022999999999998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106"/>
        <v>1821</v>
      </c>
      <c r="AE181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81" s="74" t="str">
        <f t="shared" si="84"/>
        <v>"C:\Program Files (x86)\AstroGrep\AstroGrep.exe" /e /r /s /spath="%USERPROFILE%\AppData\Local\Temp\OnboardLogs" /stypes="app*4064*20171008*" /stext=" 22:.+((SYSTEM_STATE.+slice.+state.+changed )|(ment ac)|(multiple cpu faults)|(system.+state.+changed )|(\[timeout)|(PRM\|1\|D)|(kpr)|(kdp)|(train st.+moving)|(\|lc)|(penalty))"</v>
      </c>
      <c r="AG181" s="182" t="str">
        <f t="shared" si="107"/>
        <v>NW</v>
      </c>
      <c r="AH181" s="78" t="str">
        <f t="shared" si="86"/>
        <v>"%USERPROFILE%\Documents\GitHub\eaglep3\Utilities\RefineRTDCRunTimes.py" --tripid 1821-08 --locoid 4064 --swversion DE.1.0.9.0 --startMP 204:974 --initTime 2017-10-08T16:05:44 --startdatetime 2017-10-08T16:09:25 --delay 51 --endMP 300:58997 --enddatetime 2017-10-08T16:24:52 --enforcementcount 0 &gt;&gt;%USERPROFILE%\Documents\GitHub\eaglep3-reporting\EC\2017-10-08-refined-times.txt</v>
      </c>
      <c r="AI181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{"issue":{"subject":"","project_id":79,"tracker_id":40,"status_id":1,"priority_id":2,"assigned_to_id":338,"start_date":"2017-10-08","description":"","custom_fields":[{"id":1,"name":"Subdivision","value":"NW"},{"id":4,"name":"Milepost","value":"5.8997"},{"id":17,"name":"Train ID","value":"1821-08"},{"id":16,"name":"Locomotive ID","value":"4064"},{"id":130,"name":"Impact","value":""},{"id":150,"name":"Time of Event (Mountain Time)","value":"16:24:52"},{"id":151,"name":"Denver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88"/>
        <v>start /low /b %USERPROFILE%\Documents\GitHub\eaglep3\Utilities\DownloadLogsFromS3.py --loco 4064 --day 2017-10-08</v>
      </c>
      <c r="AN181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0"/>
        <v>https://d0f6bd738d7f1b3e5a7ca70fe4ff75f0.us-east-1.aws.found.io/app/kibana#/discover/Steve-Slow-Train-Analysis-(2080s-and-2083s)?_g=(refreshInterval:(display:Off,pause:!f,section:0,value:0),time:(from:'2017-10-08T15:05:44-0600',mode:absolute,to:'2017-10-08T17:24:52-0600'))&amp;_a=(columns:!('Message%20ID',Summary),filters:!(),index:'emp_*',interval:auto,query:(query_string:(analyze_wildcard:!t,query:'%22rtdc.l.rtdc.4064%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774</v>
      </c>
      <c r="B182" s="7">
        <v>4063</v>
      </c>
      <c r="C182" s="21" t="s">
        <v>194</v>
      </c>
      <c r="D182" s="21" t="s">
        <v>422</v>
      </c>
      <c r="E182" s="13">
        <v>43016.670648148145</v>
      </c>
      <c r="F182" s="13">
        <v>43016.696643518517</v>
      </c>
      <c r="G182" s="7">
        <v>51</v>
      </c>
      <c r="H182" s="21" t="s">
        <v>577</v>
      </c>
      <c r="I182" s="13">
        <v>43016.70511574074</v>
      </c>
      <c r="J182" s="7">
        <v>0</v>
      </c>
      <c r="K182" s="89" t="str">
        <f t="shared" si="102"/>
        <v>4063/4064</v>
      </c>
      <c r="L182" s="185" t="str">
        <f>VLOOKUP(A182,'Trips&amp;Operators'!$C$1:$G$99911,5,FALSE)</f>
        <v>HOLCOMB KAMDEN</v>
      </c>
      <c r="M182" s="6">
        <f t="shared" si="103"/>
        <v>8.4722222236450762E-3</v>
      </c>
      <c r="N182" s="7">
        <f t="shared" si="91"/>
        <v>12.20000000204891</v>
      </c>
      <c r="O182" s="7"/>
      <c r="P182" s="7"/>
      <c r="Q182" s="22"/>
      <c r="R182" s="174"/>
      <c r="S182" s="221">
        <f t="shared" si="92"/>
        <v>1</v>
      </c>
      <c r="T182" s="174" t="str">
        <f t="shared" si="104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0"/>
        <v>https://d0f6bd738d7f1b3e5a7ca70fe4ff75f0.us-east-1.aws.found.io/app/kibana#/discover/Steve-Slow-Train-Analysis-(2080s-and-2083s)?_g=(refreshInterval:(display:Off,pause:!f,section:0,value:0),time:(from:'2017-10-08T15:05:44-0600',mode:absolute,to:'2017-10-08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204" t="str">
        <f>IF(AA182&lt;VLOOKUP(AG182,Variables!$AC$3:$AD$8,2,FALSE),"Y","N")</f>
        <v>N</v>
      </c>
      <c r="X182" s="204">
        <f t="shared" ref="X182:X183" si="114">VALUE(LEFT(AD182,4))-VALUE(LEFT(AD181,4))</f>
        <v>1</v>
      </c>
      <c r="Y182" s="204">
        <v>5.8585000000000003</v>
      </c>
      <c r="Z182" s="204">
        <v>7.3300000000000004E-2</v>
      </c>
      <c r="AA182" s="204">
        <f t="shared" si="105"/>
        <v>5.7852000000000006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106"/>
        <v>1822</v>
      </c>
      <c r="AE182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82" s="74" t="str">
        <f t="shared" si="84"/>
        <v>"C:\Program Files (x86)\AstroGrep\AstroGrep.exe" /e /r /s /spath="%USERPROFILE%\AppData\Local\Temp\OnboardLogs" /stypes="app*4063*20171008*" /stext=" 22:.+((SYSTEM_STATE.+slice.+state.+changed )|(ment ac)|(multiple cpu faults)|(system.+state.+changed )|(\[timeout)|(PRM\|1\|D)|(kpr)|(kdp)|(train st.+moving)|(\|lc)|(penalty))"</v>
      </c>
      <c r="AG182" s="182" t="str">
        <f t="shared" si="107"/>
        <v>NW</v>
      </c>
      <c r="AH182" s="78" t="str">
        <f t="shared" ref="AH182" si="115"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1822-08 --locoid 4063 --swversion DE.1.0.9.0 --startMP 204:974 --initTime 2017-10-08T16:05:44 --startdatetime 2017-10-08T16:43:10 --delay 51 --endMP 300:58997 --enddatetime 2017-10-08T16:55:22 --enforcementcount 0 &gt;&gt;%USERPROFILE%\Documents\GitHub\eaglep3-reporting\EC\2017-10-08-refined-times.txt</v>
      </c>
      <c r="AI182" s="96" t="str">
        <f t="shared" ref="AI182" si="116"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{"issue":{"subject":"","project_id":79,"tracker_id":40,"status_id":1,"priority_id":2,"assigned_to_id":338,"start_date":"2017-10-08","description":"","custom_fields":[{"id":1,"name":"Subdivision","value":"NW"},{"id":4,"name":"Milepost","value":"0.0733"},{"id":17,"name":"Train ID","value":"1822-08"},{"id":16,"name":"Locomotive ID","value":"4063"},{"id":130,"name":"Impact","value":""},{"id":150,"name":"Time of Event (Mountain Time)","value":"16:55:22"},{"id":151,"name":"Denver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ref="AM182" si="117">"start /low /b "&amp;dls3logs&amp;" --loco "&amp;B182&amp;" --day "&amp;TEXT(F182,"YYYY-MM-DD")</f>
        <v>start /low /b %USERPROFILE%\Documents\GitHub\eaglep3\Utilities\DownloadLogsFromS3.py --loco 4063 --day 2017-10-08</v>
      </c>
      <c r="AN182" s="151" t="str">
        <f t="shared" ref="AN182" si="118"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ref="AO182" si="119"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-08T15:05:44-0600',mode:absolute,to:'2017-10-08T17:55:22-0600'))&amp;_a=(columns:!('Message%20ID',Summary),filters:!(),index:'emp_*',interval:auto,query:(query_string:(analyze_wildcard:!t,query:'%22rtdc.l.rtdc.4063%22')),sort:!(Time.ISO8601,asc))</v>
      </c>
    </row>
    <row r="183" spans="1:91" s="20" customFormat="1" x14ac:dyDescent="0.25">
      <c r="A183" s="32" t="s">
        <v>608</v>
      </c>
      <c r="B183" s="7">
        <v>4064</v>
      </c>
      <c r="C183" s="21" t="s">
        <v>194</v>
      </c>
      <c r="D183" s="21" t="s">
        <v>574</v>
      </c>
      <c r="E183" s="13">
        <v>43016.713206018518</v>
      </c>
      <c r="F183" s="13">
        <v>43016.714965277781</v>
      </c>
      <c r="G183" s="7">
        <v>47</v>
      </c>
      <c r="H183" s="21" t="s">
        <v>579</v>
      </c>
      <c r="I183" s="13">
        <v>43016.724872685183</v>
      </c>
      <c r="J183" s="7">
        <v>0</v>
      </c>
      <c r="K183" s="89" t="str">
        <f t="shared" si="102"/>
        <v>4063/4064</v>
      </c>
      <c r="L183" s="185" t="str">
        <f>VLOOKUP(A183,'Trips&amp;Operators'!$C$1:$G$99911,5,FALSE)</f>
        <v>HOLCOMB KAMDEN</v>
      </c>
      <c r="M183" s="6">
        <f t="shared" si="103"/>
        <v>9.9074074023519643E-3</v>
      </c>
      <c r="N183" s="7">
        <f t="shared" si="91"/>
        <v>14.266666659386829</v>
      </c>
      <c r="O183" s="7"/>
      <c r="P183" s="7"/>
      <c r="Q183" s="22"/>
      <c r="R183" s="174"/>
      <c r="S183" s="221">
        <f t="shared" si="92"/>
        <v>1</v>
      </c>
      <c r="T183" s="174" t="str">
        <f t="shared" si="104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0"/>
        <v>https://d0f6bd738d7f1b3e5a7ca70fe4ff75f0.us-east-1.aws.found.io/app/kibana#/discover/Steve-Slow-Train-Analysis-(2080s-and-2083s)?_g=(refreshInterval:(display:Off,pause:!f,section:0,value:0),time:(from:'2017-10-08T16:07:01-0600',mode:absolute,to:'2017-10-08T18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204" t="str">
        <f>IF(AA183&lt;VLOOKUP(AG183,Variables!$AC$3:$AD$8,2,FALSE),"Y","N")</f>
        <v>N</v>
      </c>
      <c r="X183" s="204">
        <f t="shared" si="114"/>
        <v>1</v>
      </c>
      <c r="Y183" s="204">
        <f>RIGHT(D183,LEN(D183)-4)/10000</f>
        <v>9.7100000000000006E-2</v>
      </c>
      <c r="Z183" s="204">
        <f>RIGHT(H183,LEN(H183)-4)/10000</f>
        <v>5.8994</v>
      </c>
      <c r="AA183" s="204">
        <f t="shared" si="105"/>
        <v>5.8022999999999998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106"/>
        <v>1823</v>
      </c>
      <c r="AE183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83" s="74" t="str">
        <f t="shared" si="84"/>
        <v>"C:\Program Files (x86)\AstroGrep\AstroGrep.exe" /e /r /s /spath="%USERPROFILE%\AppData\Local\Temp\OnboardLogs" /stypes="app*4064*20171008*" /stext=" 23:.+((SYSTEM_STATE.+slice.+state.+changed )|(ment ac)|(multiple cpu faults)|(system.+state.+changed )|(\[timeout)|(PRM\|1\|D)|(kpr)|(kdp)|(train st.+moving)|(\|lc)|(penalty))"</v>
      </c>
      <c r="AG183" s="182" t="str">
        <f t="shared" si="107"/>
        <v>NW</v>
      </c>
      <c r="AH183" s="78" t="str">
        <f t="shared" si="86"/>
        <v>"%USERPROFILE%\Documents\GitHub\eaglep3\Utilities\RefineRTDCRunTimes.py" --tripid 1823-08 --locoid 4064 --swversion DE.1.0.9.0 --startMP 204:971 --initTime 2017-10-08T17:07:01 --startdatetime 2017-10-08T17:09:33 --delay 47 --endMP 300:58994 --enddatetime 2017-10-08T17:23:49 --enforcementcount 0 &gt;&gt;%USERPROFILE%\Documents\GitHub\eaglep3-reporting\EC\2017-10-08-refined-times.txt</v>
      </c>
      <c r="AI183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{"issue":{"subject":"","project_id":79,"tracker_id":40,"status_id":1,"priority_id":2,"assigned_to_id":338,"start_date":"2017-10-08","description":"","custom_fields":[{"id":1,"name":"Subdivision","value":"NW"},{"id":4,"name":"Milepost","value":"5.8994"},{"id":17,"name":"Train ID","value":"1823-08"},{"id":16,"name":"Locomotive ID","value":"4064"},{"id":130,"name":"Impact","value":""},{"id":150,"name":"Time of Event (Mountain Time)","value":"17:23:49"},{"id":151,"name":"Denver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88"/>
        <v>start /low /b %USERPROFILE%\Documents\GitHub\eaglep3\Utilities\DownloadLogsFromS3.py --loco 4064 --day 2017-10-08</v>
      </c>
      <c r="AN183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0"/>
        <v>https://d0f6bd738d7f1b3e5a7ca70fe4ff75f0.us-east-1.aws.found.io/app/kibana#/discover/Steve-Slow-Train-Analysis-(2080s-and-2083s)?_g=(refreshInterval:(display:Off,pause:!f,section:0,value:0),time:(from:'2017-10-08T16:07:01-0600',mode:absolute,to:'2017-10-08T18:23:49-0600'))&amp;_a=(columns:!('Message%20ID',Summary),filters:!(),index:'emp_*',interval:auto,query:(query_string:(analyze_wildcard:!t,query:'%22rtdc.l.rtdc.4064%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609</v>
      </c>
      <c r="B184" s="7">
        <v>4063</v>
      </c>
      <c r="C184" s="21" t="s">
        <v>194</v>
      </c>
      <c r="D184" s="21" t="s">
        <v>578</v>
      </c>
      <c r="E184" s="13">
        <v>43016.725914351853</v>
      </c>
      <c r="F184" s="13">
        <v>43016.727650462963</v>
      </c>
      <c r="G184" s="7">
        <v>52</v>
      </c>
      <c r="H184" s="21" t="s">
        <v>918</v>
      </c>
      <c r="I184" s="13">
        <v>43016.74496527778</v>
      </c>
      <c r="J184" s="7">
        <v>0</v>
      </c>
      <c r="K184" s="89" t="str">
        <f t="shared" si="102"/>
        <v>4063/4064</v>
      </c>
      <c r="L184" s="185" t="str">
        <f>VLOOKUP(A184,'Trips&amp;Operators'!$C$1:$G$99911,5,FALSE)</f>
        <v>HOLCOMB KAMDEN</v>
      </c>
      <c r="M184" s="6">
        <f t="shared" si="103"/>
        <v>1.7314814816927537E-2</v>
      </c>
      <c r="N184" s="7">
        <f t="shared" si="91"/>
        <v>24.933333336375654</v>
      </c>
      <c r="O184" s="7"/>
      <c r="P184" s="7"/>
      <c r="Q184" s="22"/>
      <c r="R184" s="174"/>
      <c r="S184" s="221">
        <f t="shared" si="92"/>
        <v>1</v>
      </c>
      <c r="T184" s="174" t="str">
        <f t="shared" si="104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0"/>
        <v>https://d0f6bd738d7f1b3e5a7ca70fe4ff75f0.us-east-1.aws.found.io/app/kibana#/discover/Steve-Slow-Train-Analysis-(2080s-and-2083s)?_g=(refreshInterval:(display:Off,pause:!f,section:0,value:0),time:(from:'2017-10-08T16:25:19-0600',mode:absolute,to:'2017-10-08T18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4" s="204" t="str">
        <f>IF(AA184&lt;VLOOKUP(AG184,Variables!$AC$3:$AD$8,2,FALSE),"Y","N")</f>
        <v>Y</v>
      </c>
      <c r="X184" s="204">
        <f>VALUE(LEFT(AD184,4))-VALUE(LEFT(AD183,4))</f>
        <v>1</v>
      </c>
      <c r="Y184" s="204">
        <f>RIGHT(D184,LEN(D184)-4)/10000</f>
        <v>5.8676000000000004</v>
      </c>
      <c r="Z184" s="204">
        <f>RIGHT(H184,LEN(H184)-4)/10000</f>
        <v>0.45910000000000001</v>
      </c>
      <c r="AA184" s="204">
        <f t="shared" si="105"/>
        <v>5.4085000000000001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106"/>
        <v>1824</v>
      </c>
      <c r="AE184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84" s="74" t="str">
        <f t="shared" si="84"/>
        <v>"C:\Program Files (x86)\AstroGrep\AstroGrep.exe" /e /r /s /spath="%USERPROFILE%\AppData\Local\Temp\OnboardLogs" /stypes="app*4063*20171008*" /stext=" 23:.+((SYSTEM_STATE.+slice.+state.+changed )|(ment ac)|(multiple cpu faults)|(system.+state.+changed )|(\[timeout)|(PRM\|1\|D)|(kpr)|(kdp)|(train st.+moving)|(\|lc)|(penalty))"</v>
      </c>
      <c r="AG184" s="182" t="str">
        <f t="shared" si="107"/>
        <v>NW</v>
      </c>
      <c r="AH184" s="78" t="str">
        <f t="shared" si="86"/>
        <v>"%USERPROFILE%\Documents\GitHub\eaglep3\Utilities\RefineRTDCRunTimes.py" --tripid 1824-08 --locoid 4063 --swversion DE.1.0.9.0 --startMP 300:58676 --initTime 2017-10-08T17:25:19 --startdatetime 2017-10-08T17:27:49 --delay 52 --endMP 204:4591 --enddatetime 2017-10-08T17:52:45 --enforcementcount 0 &gt;&gt;%USERPROFILE%\Documents\GitHub\eaglep3-reporting\EC\2017-10-08-refined-times.txt</v>
      </c>
      <c r="AI184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{"issue":{"subject":"","project_id":79,"tracker_id":40,"status_id":1,"priority_id":2,"assigned_to_id":338,"start_date":"2017-10-08","description":"","custom_fields":[{"id":1,"name":"Subdivision","value":"NW"},{"id":4,"name":"Milepost","value":"0.4591"},{"id":17,"name":"Train ID","value":"1824-08"},{"id":16,"name":"Locomotive ID","value":"4063"},{"id":130,"name":"Impact","value":""},{"id":150,"name":"Time of Event (Mountain Time)","value":"17:52:45"},{"id":151,"name":"Denver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88"/>
        <v>start /low /b %USERPROFILE%\Documents\GitHub\eaglep3\Utilities\DownloadLogsFromS3.py --loco 4063 --day 2017-10-08</v>
      </c>
      <c r="AN184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0"/>
        <v>https://d0f6bd738d7f1b3e5a7ca70fe4ff75f0.us-east-1.aws.found.io/app/kibana#/discover/Steve-Slow-Train-Analysis-(2080s-and-2083s)?_g=(refreshInterval:(display:Off,pause:!f,section:0,value:0),time:(from:'2017-10-08T16:25:19-0600',mode:absolute,to:'2017-10-08T18:52:45-0600'))&amp;_a=(columns:!('Message%20ID',Summary),filters:!(),index:'emp_*',interval:auto,query:(query_string:(analyze_wildcard:!t,query:'%22rtdc.l.rtdc.4063%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793</v>
      </c>
      <c r="B185" s="7">
        <v>4064</v>
      </c>
      <c r="C185" s="21" t="s">
        <v>194</v>
      </c>
      <c r="D185" s="21" t="s">
        <v>578</v>
      </c>
      <c r="E185" s="13">
        <v>43016.725914351853</v>
      </c>
      <c r="F185" s="13">
        <v>43016.756562499999</v>
      </c>
      <c r="G185" s="7">
        <v>52</v>
      </c>
      <c r="H185" s="21" t="s">
        <v>918</v>
      </c>
      <c r="I185" s="13">
        <v>43016.767222222225</v>
      </c>
      <c r="J185" s="7">
        <v>0</v>
      </c>
      <c r="K185" s="89" t="str">
        <f t="shared" ref="K185:K186" si="120">IF(ISEVEN(B185),(B185-1)&amp;"/"&amp;B185,B185&amp;"/"&amp;(B185+1))</f>
        <v>4063/4064</v>
      </c>
      <c r="L185" s="185" t="str">
        <f>VLOOKUP(A185,'Trips&amp;Operators'!$C$1:$G$99911,5,FALSE)</f>
        <v>HOLCOMB KAMDEN</v>
      </c>
      <c r="M185" s="6">
        <f t="shared" ref="M185:M186" si="121">I185-F185</f>
        <v>1.0659722225682344E-2</v>
      </c>
      <c r="N185" s="7">
        <f t="shared" ref="N185:N186" si="122">24*60*SUM($M185:$M185)</f>
        <v>15.350000004982576</v>
      </c>
      <c r="O185" s="7"/>
      <c r="P185" s="7"/>
      <c r="Q185" s="22"/>
      <c r="R185" s="174"/>
      <c r="S185" s="221">
        <f t="shared" ref="S185:S186" si="123">1/IF(AG185="EC",12,1)*SUM(U185:U185)</f>
        <v>1</v>
      </c>
      <c r="T185" s="174" t="str">
        <f t="shared" ref="T185:T186" si="124"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0"/>
        <v>https://d0f6bd738d7f1b3e5a7ca70fe4ff75f0.us-east-1.aws.found.io/app/kibana#/discover/Steve-Slow-Train-Analysis-(2080s-and-2083s)?_g=(refreshInterval:(display:Off,pause:!f,section:0,value:0),time:(from:'2017-10-08T16:25:19-0600',mode:absolute,to:'2017-10-08T19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5" s="204" t="str">
        <f>IF(AA185&lt;VLOOKUP(AG185,Variables!$AC$3:$AD$8,2,FALSE),"Y","N")</f>
        <v>N</v>
      </c>
      <c r="X185" s="204">
        <f t="shared" ref="X185:X187" si="125">VALUE(LEFT(AD185,4))-VALUE(LEFT(AD184,4))</f>
        <v>1</v>
      </c>
      <c r="Y185" s="204">
        <v>9.7100000000000006E-2</v>
      </c>
      <c r="Z185" s="204">
        <v>5.8994</v>
      </c>
      <c r="AA185" s="204">
        <f t="shared" ref="AA185:AA186" si="126">ABS(Z185-Y185)</f>
        <v>5.8022999999999998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ref="AD185:AD186" si="127">VALUE(LEFT(A185,LEN(A185)-3))</f>
        <v>1825</v>
      </c>
      <c r="AE185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185" s="74" t="str">
        <f t="shared" si="84"/>
        <v>"C:\Program Files (x86)\AstroGrep\AstroGrep.exe" /e /r /s /spath="%USERPROFILE%\AppData\Local\Temp\OnboardLogs" /stypes="app*4064*20171009*" /stext=" 00:.+((SYSTEM_STATE.+slice.+state.+changed )|(ment ac)|(multiple cpu faults)|(system.+state.+changed )|(\[timeout)|(PRM\|1\|D)|(kpr)|(kdp)|(train st.+moving)|(\|lc)|(penalty))"</v>
      </c>
      <c r="AG185" s="182" t="str">
        <f t="shared" ref="AG185:AG186" si="128">DetSubdiv(A185)</f>
        <v>NW</v>
      </c>
      <c r="AH185" s="78" t="str">
        <f t="shared" ref="AH185:AH186" si="129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1825-08 --locoid 4064 --swversion DE.1.0.9.0 --startMP 300:58676 --initTime 2017-10-08T17:25:19 --startdatetime 2017-10-08T18:09:27 --delay 52 --endMP 204:4591 --enddatetime 2017-10-08T18:24:48 --enforcementcount 0 &gt;&gt;%USERPROFILE%\Documents\GitHub\eaglep3-reporting\EC\2017-10-08-refined-times.txt</v>
      </c>
      <c r="AI185" s="96" t="str">
        <f t="shared" ref="AI185:AI186" si="130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{"issue":{"subject":"","project_id":79,"tracker_id":40,"status_id":1,"priority_id":2,"assigned_to_id":338,"start_date":"2017-10-08","description":"","custom_fields":[{"id":1,"name":"Subdivision","value":"NW"},{"id":4,"name":"Milepost","value":"5.8994"},{"id":17,"name":"Train ID","value":"1825-08"},{"id":16,"name":"Locomotive ID","value":"4064"},{"id":130,"name":"Impact","value":""},{"id":150,"name":"Time of Event (Mountain Time)","value":"18:24:48"},{"id":151,"name":"Denver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ref="AM185:AM186" si="131">"start /low /b "&amp;dls3logs&amp;" --loco "&amp;B185&amp;" --day "&amp;TEXT(F185,"YYYY-MM-DD")</f>
        <v>start /low /b %USERPROFILE%\Documents\GitHub\eaglep3\Utilities\DownloadLogsFromS3.py --loco 4064 --day 2017-10-08</v>
      </c>
      <c r="AN185" s="151" t="str">
        <f t="shared" ref="AN185:AN186" si="132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ref="AO185:AO186" si="133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-08T16:25:19-0600',mode:absolute,to:'2017-10-08T19:24:48-0600'))&amp;_a=(columns:!('Message%20ID',Summary),filters:!(),index:'emp_*',interval:auto,query:(query_string:(analyze_wildcard:!t,query:'%22rtdc.l.rtdc.4064%22')),sort:!(Time.ISO8601,asc))</v>
      </c>
    </row>
    <row r="186" spans="1:91" s="20" customFormat="1" x14ac:dyDescent="0.25">
      <c r="A186" s="32" t="s">
        <v>797</v>
      </c>
      <c r="B186" s="7">
        <v>4063</v>
      </c>
      <c r="C186" s="21" t="s">
        <v>194</v>
      </c>
      <c r="D186" s="21" t="s">
        <v>578</v>
      </c>
      <c r="E186" s="13">
        <v>43016.725914351853</v>
      </c>
      <c r="F186" s="13">
        <v>43016.779965277776</v>
      </c>
      <c r="G186" s="7">
        <v>52</v>
      </c>
      <c r="H186" s="21" t="s">
        <v>918</v>
      </c>
      <c r="I186" s="13">
        <v>43016.788611111115</v>
      </c>
      <c r="J186" s="7">
        <v>0</v>
      </c>
      <c r="K186" s="89" t="str">
        <f t="shared" si="120"/>
        <v>4063/4064</v>
      </c>
      <c r="L186" s="185" t="str">
        <f>VLOOKUP(A186,'Trips&amp;Operators'!$C$1:$G$99911,5,FALSE)</f>
        <v>HOLCOMB KAMDEN</v>
      </c>
      <c r="M186" s="6">
        <f t="shared" si="121"/>
        <v>8.6458333389600739E-3</v>
      </c>
      <c r="N186" s="7">
        <f t="shared" si="122"/>
        <v>12.450000008102506</v>
      </c>
      <c r="O186" s="7"/>
      <c r="P186" s="7"/>
      <c r="Q186" s="22"/>
      <c r="R186" s="174"/>
      <c r="S186" s="221">
        <f t="shared" si="123"/>
        <v>1</v>
      </c>
      <c r="T186" s="174" t="str">
        <f t="shared" si="124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0"/>
        <v>https://d0f6bd738d7f1b3e5a7ca70fe4ff75f0.us-east-1.aws.found.io/app/kibana#/discover/Steve-Slow-Train-Analysis-(2080s-and-2083s)?_g=(refreshInterval:(display:Off,pause:!f,section:0,value:0),time:(from:'2017-10-08T16:25:19-0600',mode:absolute,to:'2017-10-08T19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6" s="204" t="str">
        <f>IF(AA186&lt;VLOOKUP(AG186,Variables!$AC$3:$AD$8,2,FALSE),"Y","N")</f>
        <v>N</v>
      </c>
      <c r="X186" s="204">
        <f t="shared" si="125"/>
        <v>1</v>
      </c>
      <c r="Y186" s="204">
        <f t="shared" ref="Y186" si="134">RIGHT(D186,LEN(D186)-4)/10000</f>
        <v>5.8676000000000004</v>
      </c>
      <c r="Z186" s="204">
        <v>0.01</v>
      </c>
      <c r="AA186" s="204">
        <f t="shared" si="126"/>
        <v>5.8576000000000006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127"/>
        <v>1826</v>
      </c>
      <c r="AE186" s="77" t="str">
        <f t="shared" si="83"/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AF186" s="74" t="str">
        <f t="shared" si="84"/>
        <v>"C:\Program Files (x86)\AstroGrep\AstroGrep.exe" /e /r /s /spath="%USERPROFILE%\AppData\Local\Temp\OnboardLogs" /stypes="app*4063*20171009*" /stext=" 00:.+((SYSTEM_STATE.+slice.+state.+changed )|(ment ac)|(multiple cpu faults)|(system.+state.+changed )|(\[timeout)|(PRM\|1\|D)|(kpr)|(kdp)|(train st.+moving)|(\|lc)|(penalty))"</v>
      </c>
      <c r="AG186" s="182" t="str">
        <f t="shared" si="128"/>
        <v>NW</v>
      </c>
      <c r="AH186" s="78" t="str">
        <f t="shared" si="129"/>
        <v>"%USERPROFILE%\Documents\GitHub\eaglep3\Utilities\RefineRTDCRunTimes.py" --tripid 1826-08 --locoid 4063 --swversion DE.1.0.9.0 --startMP 300:58676 --initTime 2017-10-08T17:25:19 --startdatetime 2017-10-08T18:43:09 --delay 52 --endMP 204:4591 --enddatetime 2017-10-08T18:55:36 --enforcementcount 0 &gt;&gt;%USERPROFILE%\Documents\GitHub\eaglep3-reporting\EC\2017-10-08-refined-times.txt</v>
      </c>
      <c r="AI186" s="96" t="str">
        <f t="shared" si="130"/>
        <v>echo {"issue":{"subject":"","project_id":79,"tracker_id":40,"status_id":1,"priority_id":2,"assigned_to_id":338,"start_date":"2017-10-08","description":"","custom_fields":[{"id":1,"name":"Subdivision","value":"NW"},{"id":4,"name":"Milepost","value":"0.01"},{"id":17,"name":"Train ID","value":"1826-08"},{"id":16,"name":"Locomotive ID","value":"4063"},{"id":130,"name":"Impact","value":""},{"id":150,"name":"Time of Event (Mountain Time)","value":"18:55:36"},{"id":151,"name":"Denver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131"/>
        <v>start /low /b %USERPROFILE%\Documents\GitHub\eaglep3\Utilities\DownloadLogsFromS3.py --loco 4063 --day 2017-10-08</v>
      </c>
      <c r="AN186" s="151" t="str">
        <f t="shared" si="13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133"/>
        <v>https://d0f6bd738d7f1b3e5a7ca70fe4ff75f0.us-east-1.aws.found.io/app/kibana#/discover/Steve-Slow-Train-Analysis-(2080s-and-2083s)?_g=(refreshInterval:(display:Off,pause:!f,section:0,value:0),time:(from:'2017-10-08T16:25:19-0600',mode:absolute,to:'2017-10-08T19:55:36-0600'))&amp;_a=(columns:!('Message%20ID',Summary),filters:!(),index:'emp_*',interval:auto,query:(query_string:(analyze_wildcard:!t,query:'%22rtdc.l.rtdc.4063%22')),sort:!(Time.ISO8601,asc))</v>
      </c>
    </row>
    <row r="187" spans="1:91" s="20" customFormat="1" x14ac:dyDescent="0.25">
      <c r="A187" s="32" t="s">
        <v>803</v>
      </c>
      <c r="B187" s="7">
        <v>4016</v>
      </c>
      <c r="C187" s="21" t="s">
        <v>194</v>
      </c>
      <c r="D187" s="21" t="s">
        <v>338</v>
      </c>
      <c r="E187" s="13">
        <v>43016.798958333333</v>
      </c>
      <c r="F187" s="13">
        <v>43016.80023148148</v>
      </c>
      <c r="G187" s="7">
        <v>55</v>
      </c>
      <c r="H187" s="21" t="s">
        <v>919</v>
      </c>
      <c r="I187" s="13">
        <v>43016.80976851852</v>
      </c>
      <c r="J187" s="7">
        <v>0</v>
      </c>
      <c r="K187" s="89" t="str">
        <f t="shared" ref="K187:K226" si="135">IF(ISEVEN(B187),(B187-1)&amp;"/"&amp;B187,B187&amp;"/"&amp;(B187+1))</f>
        <v>4015/4016</v>
      </c>
      <c r="L187" s="185" t="str">
        <f>VLOOKUP(A187,'Trips&amp;Operators'!$C$1:$G$99911,5,FALSE)</f>
        <v>HOLCOMB KAMDEN</v>
      </c>
      <c r="M187" s="6">
        <f t="shared" ref="M187:M226" si="136">I187-F187</f>
        <v>9.5370370399905369E-3</v>
      </c>
      <c r="N187" s="7">
        <f>24*60*SUM($M187:$M187)</f>
        <v>13.733333337586373</v>
      </c>
      <c r="O187" s="7"/>
      <c r="P187" s="7"/>
      <c r="Q187" s="22"/>
      <c r="R187" s="174"/>
      <c r="S187" s="221">
        <f>1/IF(AG187="EC",12,1)*SUM(U187:U187)</f>
        <v>1</v>
      </c>
      <c r="T187" s="174" t="str">
        <f t="shared" ref="T187:T226" si="137"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0"/>
        <v>https://d0f6bd738d7f1b3e5a7ca70fe4ff75f0.us-east-1.aws.found.io/app/kibana#/discover/Steve-Slow-Train-Analysis-(2080s-and-2083s)?_g=(refreshInterval:(display:Off,pause:!f,section:0,value:0),time:(from:'2017-10-08T18:10:30-0600',mode:absolute,to:'2017-10-08T20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04" t="str">
        <f>IF(AA187&lt;VLOOKUP(AG187,Variables!$AC$3:$AD$8,2,FALSE),"Y","N")</f>
        <v>N</v>
      </c>
      <c r="X187" s="204">
        <f t="shared" si="125"/>
        <v>1</v>
      </c>
      <c r="Y187" s="204">
        <f>RIGHT(D187,LEN(D187)-4)/10000</f>
        <v>4.53E-2</v>
      </c>
      <c r="Z187" s="204">
        <f>RIGHT(H187,LEN(H187)-4)/10000</f>
        <v>5.8996000000000004</v>
      </c>
      <c r="AA187" s="204">
        <f t="shared" ref="AA187:AA226" si="138">ABS(Z187-Y187)</f>
        <v>5.8543000000000003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ref="AD187:AD226" si="139">VALUE(LEFT(A187,LEN(A187)-3))</f>
        <v>1827</v>
      </c>
      <c r="AE187" s="77" t="str">
        <f t="shared" si="83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87" s="74" t="str">
        <f t="shared" si="84"/>
        <v>"C:\Program Files (x86)\AstroGrep\AstroGrep.exe" /e /r /s /spath="%USERPROFILE%\AppData\Local\Temp\OnboardLogs" /stypes="app*4016*20171009*" /stext=" 01:.+((SYSTEM_STATE.+slice.+state.+changed )|(ment ac)|(multiple cpu faults)|(system.+state.+changed )|(\[timeout)|(PRM\|1\|D)|(kpr)|(kdp)|(train st.+moving)|(\|lc)|(penalty))"</v>
      </c>
      <c r="AG187" s="182" t="str">
        <f t="shared" ref="AG187:AG226" si="140">DetSubdiv(A187)</f>
        <v>NW</v>
      </c>
      <c r="AH187" s="78" t="str">
        <f t="shared" si="86"/>
        <v>"%USERPROFILE%\Documents\GitHub\eaglep3\Utilities\RefineRTDCRunTimes.py" --tripid 1827-08 --locoid 4016 --swversion DE.1.0.9.0 --startMP 204:453 --initTime 2017-10-08T19:10:30 --startdatetime 2017-10-08T19:12:20 --delay 55 --endMP 300:58996 --enddatetime 2017-10-08T19:26:04 --enforcementcount 0 &gt;&gt;%USERPROFILE%\Documents\GitHub\eaglep3-reporting\EC\2017-10-08-refined-times.txt</v>
      </c>
      <c r="AI187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{"issue":{"subject":"","project_id":79,"tracker_id":40,"status_id":1,"priority_id":2,"assigned_to_id":338,"start_date":"2017-10-08","description":"","custom_fields":[{"id":1,"name":"Subdivision","value":"NW"},{"id":4,"name":"Milepost","value":"5.8996"},{"id":17,"name":"Train ID","value":"1827-08"},{"id":16,"name":"Locomotive ID","value":"4016"},{"id":130,"name":"Impact","value":""},{"id":150,"name":"Time of Event (Mountain Time)","value":"19:26:04"},{"id":151,"name":"Denver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88"/>
        <v>start /low /b %USERPROFILE%\Documents\GitHub\eaglep3\Utilities\DownloadLogsFromS3.py --loco 4016 --day 2017-10-08</v>
      </c>
      <c r="AN187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0"/>
        <v>https://d0f6bd738d7f1b3e5a7ca70fe4ff75f0.us-east-1.aws.found.io/app/kibana#/discover/Steve-Slow-Train-Analysis-(2080s-and-2083s)?_g=(refreshInterval:(display:Off,pause:!f,section:0,value:0),time:(from:'2017-10-08T18:10:30-0600',mode:absolute,to:'2017-10-08T20:26:04-0600'))&amp;_a=(columns:!('Message%20ID',Summary),filters:!(),index:'emp_*',interval:auto,query:(query_string:(analyze_wildcard:!t,query:'%22rtdc.l.rtdc.4016%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611</v>
      </c>
      <c r="B188" s="7">
        <v>4015</v>
      </c>
      <c r="C188" s="21" t="s">
        <v>194</v>
      </c>
      <c r="D188" s="21" t="s">
        <v>338</v>
      </c>
      <c r="E188" s="13">
        <v>43016.798958333333</v>
      </c>
      <c r="F188" s="13">
        <v>43016.821666666663</v>
      </c>
      <c r="G188" s="7">
        <v>55</v>
      </c>
      <c r="H188" s="21" t="s">
        <v>919</v>
      </c>
      <c r="I188" s="13">
        <v>43016.830810185187</v>
      </c>
      <c r="J188" s="7">
        <v>0</v>
      </c>
      <c r="K188" s="89" t="str">
        <f t="shared" si="135"/>
        <v>4015/4016</v>
      </c>
      <c r="L188" s="185" t="str">
        <f>VLOOKUP(A188,'Trips&amp;Operators'!$C$1:$G$99911,5,FALSE)</f>
        <v>HOLCOMB KAMDEN</v>
      </c>
      <c r="M188" s="6">
        <f t="shared" si="136"/>
        <v>9.1435185240698047E-3</v>
      </c>
      <c r="N188" s="7">
        <f>24*60*SUM($M188:$M188)</f>
        <v>13.166666674660519</v>
      </c>
      <c r="O188" s="7"/>
      <c r="P188" s="7"/>
      <c r="Q188" s="22"/>
      <c r="R188" s="174"/>
      <c r="S188" s="221">
        <f>1/IF(AG188="EC",12,1)*SUM(U188:U188)</f>
        <v>1</v>
      </c>
      <c r="T188" s="174" t="str">
        <f t="shared" si="137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0"/>
        <v>https://d0f6bd738d7f1b3e5a7ca70fe4ff75f0.us-east-1.aws.found.io/app/kibana#/discover/Steve-Slow-Train-Analysis-(2080s-and-2083s)?_g=(refreshInterval:(display:Off,pause:!f,section:0,value:0),time:(from:'2017-10-08T18:10:30-0600',mode:absolute,to:'2017-10-08T20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04" t="str">
        <f>IF(AA188&lt;VLOOKUP(AG188,Variables!$AC$3:$AD$8,2,FALSE),"Y","N")</f>
        <v>N</v>
      </c>
      <c r="X188" s="204">
        <f t="shared" ref="X188:X189" si="141">VALUE(LEFT(AD188,4))-VALUE(LEFT(AD187,4))</f>
        <v>1</v>
      </c>
      <c r="Y188" s="204">
        <v>5.8676000000000004</v>
      </c>
      <c r="Z188" s="204">
        <v>0.01</v>
      </c>
      <c r="AA188" s="204">
        <f t="shared" si="138"/>
        <v>5.8576000000000006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139"/>
        <v>1828</v>
      </c>
      <c r="AE188" s="77" t="str">
        <f t="shared" si="83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88" s="74" t="str">
        <f t="shared" si="84"/>
        <v>"C:\Program Files (x86)\AstroGrep\AstroGrep.exe" /e /r /s /spath="%USERPROFILE%\AppData\Local\Temp\OnboardLogs" /stypes="app*4015*20171009*" /stext=" 01:.+((SYSTEM_STATE.+slice.+state.+changed )|(ment ac)|(multiple cpu faults)|(system.+state.+changed )|(\[timeout)|(PRM\|1\|D)|(kpr)|(kdp)|(train st.+moving)|(\|lc)|(penalty))"</v>
      </c>
      <c r="AG188" s="182" t="str">
        <f t="shared" si="140"/>
        <v>NW</v>
      </c>
      <c r="AH188" s="78" t="str">
        <f t="shared" ref="AH188" si="142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1828-08 --locoid 4015 --swversion DE.1.0.9.0 --startMP 204:453 --initTime 2017-10-08T19:10:30 --startdatetime 2017-10-08T19:43:12 --delay 55 --endMP 300:58996 --enddatetime 2017-10-08T19:56:22 --enforcementcount 0 &gt;&gt;%USERPROFILE%\Documents\GitHub\eaglep3-reporting\EC\2017-10-08-refined-times.txt</v>
      </c>
      <c r="AI188" s="96" t="str">
        <f t="shared" ref="AI188" si="143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{"issue":{"subject":"","project_id":79,"tracker_id":40,"status_id":1,"priority_id":2,"assigned_to_id":338,"start_date":"2017-10-08","description":"","custom_fields":[{"id":1,"name":"Subdivision","value":"NW"},{"id":4,"name":"Milepost","value":"0.01"},{"id":17,"name":"Train ID","value":"1828-08"},{"id":16,"name":"Locomotive ID","value":"4015"},{"id":130,"name":"Impact","value":""},{"id":150,"name":"Time of Event (Mountain Time)","value":"19:56:22"},{"id":151,"name":"Denver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144">"start /low /b "&amp;dls3logs&amp;" --loco "&amp;B188&amp;" --day "&amp;TEXT(F188,"YYYY-MM-DD")</f>
        <v>start /low /b %USERPROFILE%\Documents\GitHub\eaglep3\Utilities\DownloadLogsFromS3.py --loco 4015 --day 2017-10-08</v>
      </c>
      <c r="AN188" s="151" t="str">
        <f t="shared" ref="AN188" si="145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146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-08T18:10:30-0600',mode:absolute,to:'2017-10-08T20:56:22-0600'))&amp;_a=(columns:!('Message%20ID',Summary),filters:!(),index:'emp_*',interval:auto,query:(query_string:(analyze_wildcard:!t,query:'%22rtdc.l.rtdc.4015%22')),sort:!(Time.ISO8601,asc))</v>
      </c>
    </row>
    <row r="189" spans="1:91" s="20" customFormat="1" x14ac:dyDescent="0.25">
      <c r="A189" s="32" t="s">
        <v>612</v>
      </c>
      <c r="B189" s="7">
        <v>4016</v>
      </c>
      <c r="C189" s="21" t="s">
        <v>194</v>
      </c>
      <c r="D189" s="21" t="s">
        <v>920</v>
      </c>
      <c r="E189" s="13">
        <v>43016.839143518519</v>
      </c>
      <c r="F189" s="13">
        <v>43016.84269675926</v>
      </c>
      <c r="G189" s="7">
        <v>49</v>
      </c>
      <c r="H189" s="21" t="s">
        <v>921</v>
      </c>
      <c r="I189" s="13">
        <v>43016.85224537037</v>
      </c>
      <c r="J189" s="7">
        <v>0</v>
      </c>
      <c r="K189" s="89" t="str">
        <f t="shared" si="135"/>
        <v>4015/4016</v>
      </c>
      <c r="L189" s="185" t="str">
        <f>VLOOKUP(A189,'Trips&amp;Operators'!$C$1:$G$99911,5,FALSE)</f>
        <v>HOLCOMB KAMDEN</v>
      </c>
      <c r="M189" s="6">
        <f t="shared" si="136"/>
        <v>9.5486111094942316E-3</v>
      </c>
      <c r="N189" s="7"/>
      <c r="O189" s="7"/>
      <c r="P189" s="7"/>
      <c r="Q189" s="22"/>
      <c r="R189" s="174"/>
      <c r="S189" s="221"/>
      <c r="T189" s="174" t="str">
        <f t="shared" si="137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216" t="str">
        <f t="shared" si="80"/>
        <v>https://d0f6bd738d7f1b3e5a7ca70fe4ff75f0.us-east-1.aws.found.io/app/kibana#/discover/Steve-Slow-Train-Analysis-(2080s-and-2083s)?_g=(refreshInterval:(display:Off,pause:!f,section:0,value:0),time:(from:'2017-10-08T19:08:22-0600',mode:absolute,to:'2017-10-08T21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204" t="str">
        <f>IF(AA189&lt;VLOOKUP(AG189,Variables!$AC$3:$AD$8,2,FALSE),"Y","N")</f>
        <v>Y</v>
      </c>
      <c r="X189" s="204">
        <f t="shared" si="141"/>
        <v>1</v>
      </c>
      <c r="Y189" s="204">
        <f>RIGHT(D189,LEN(D189)-4)/10000</f>
        <v>0.1525</v>
      </c>
      <c r="Z189" s="204">
        <f>RIGHT(H189,LEN(H189)-4)/10000</f>
        <v>0.1943</v>
      </c>
      <c r="AA189" s="204">
        <f t="shared" si="138"/>
        <v>4.1800000000000004E-2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139"/>
        <v>1829</v>
      </c>
      <c r="AE189" s="77" t="str">
        <f t="shared" si="83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89" s="74" t="str">
        <f t="shared" si="84"/>
        <v>"C:\Program Files (x86)\AstroGrep\AstroGrep.exe" /e /r /s /spath="%USERPROFILE%\AppData\Local\Temp\OnboardLogs" /stypes="app*4016*20171009*" /stext=" 02:.+((SYSTEM_STATE.+slice.+state.+changed )|(ment ac)|(multiple cpu faults)|(system.+state.+changed )|(\[timeout)|(PRM\|1\|D)|(kpr)|(kdp)|(train st.+moving)|(\|lc)|(penalty))"</v>
      </c>
      <c r="AG189" s="182" t="str">
        <f t="shared" si="140"/>
        <v>NW</v>
      </c>
      <c r="AH189" s="78" t="str">
        <f t="shared" si="86"/>
        <v>"%USERPROFILE%\Documents\GitHub\eaglep3\Utilities\RefineRTDCRunTimes.py" --tripid 1829-08 --locoid 4016 --swversion DE.1.0.9.0 --startMP 204:1525 --initTime 2017-10-08T20:08:22 --startdatetime 2017-10-08T20:13:29 --delay 49 --endMP 204:1943 --enddatetime 2017-10-08T20:27:14 --enforcementcount 0 &gt;&gt;%USERPROFILE%\Documents\GitHub\eaglep3-reporting\EC\2017-10-08-refined-times.txt</v>
      </c>
      <c r="AI189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{"issue":{"subject":"","project_id":79,"tracker_id":40,"status_id":1,"priority_id":2,"assigned_to_id":338,"start_date":"2017-10-08","description":"","custom_fields":[{"id":1,"name":"Subdivision","value":"NW"},{"id":4,"name":"Milepost","value":"0.1943"},{"id":17,"name":"Train ID","value":"1829-08"},{"id":16,"name":"Locomotive ID","value":"4016"},{"id":130,"name":"Impact","value":""},{"id":150,"name":"Time of Event (Mountain Time)","value":"20:27:14"},{"id":151,"name":"Denver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88"/>
        <v>start /low /b %USERPROFILE%\Documents\GitHub\eaglep3\Utilities\DownloadLogsFromS3.py --loco 4016 --day 2017-10-08</v>
      </c>
      <c r="AN189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0"/>
        <v>https://d0f6bd738d7f1b3e5a7ca70fe4ff75f0.us-east-1.aws.found.io/app/kibana#/discover/Steve-Slow-Train-Analysis-(2080s-and-2083s)?_g=(refreshInterval:(display:Off,pause:!f,section:0,value:0),time:(from:'2017-10-08T19:08:22-0600',mode:absolute,to:'2017-10-08T21:27:14-0600'))&amp;_a=(columns:!('Message%20ID',Summary),filters:!(),index:'emp_*',interval:auto,query:(query_string:(analyze_wildcard:!t,query:'%22rtdc.l.rtdc.4016%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612</v>
      </c>
      <c r="B190" s="7">
        <v>4016</v>
      </c>
      <c r="C190" s="21" t="s">
        <v>194</v>
      </c>
      <c r="D190" s="21" t="s">
        <v>922</v>
      </c>
      <c r="E190" s="13">
        <v>43016.841689814813</v>
      </c>
      <c r="F190" s="13">
        <v>43016.84269675926</v>
      </c>
      <c r="G190" s="7">
        <v>45</v>
      </c>
      <c r="H190" s="21" t="s">
        <v>923</v>
      </c>
      <c r="I190" s="13">
        <v>43016.85224537037</v>
      </c>
      <c r="J190" s="7">
        <v>0</v>
      </c>
      <c r="K190" s="89" t="str">
        <f t="shared" si="135"/>
        <v>4015/4016</v>
      </c>
      <c r="L190" s="185" t="str">
        <f>VLOOKUP(A190,'Trips&amp;Operators'!$C$1:$G$99911,5,FALSE)</f>
        <v>HOLCOMB KAMDEN</v>
      </c>
      <c r="M190" s="6">
        <f t="shared" si="136"/>
        <v>9.5486111094942316E-3</v>
      </c>
      <c r="N190" s="7">
        <f t="shared" ref="N190:N226" si="147">24*60*SUM($M190:$M190)</f>
        <v>13.749999997671694</v>
      </c>
      <c r="O190" s="7"/>
      <c r="P190" s="7"/>
      <c r="Q190" s="22"/>
      <c r="R190" s="174"/>
      <c r="S190" s="221">
        <f t="shared" ref="S190:S226" si="148">1/IF(AG190="EC",12,1)*SUM(U190:U190)</f>
        <v>1</v>
      </c>
      <c r="T190" s="174" t="str">
        <f t="shared" si="137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0"/>
        <v>https://d0f6bd738d7f1b3e5a7ca70fe4ff75f0.us-east-1.aws.found.io/app/kibana#/discover/Steve-Slow-Train-Analysis-(2080s-and-2083s)?_g=(refreshInterval:(display:Off,pause:!f,section:0,value:0),time:(from:'2017-10-08T19:12:02-0600',mode:absolute,to:'2017-10-08T21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204" t="str">
        <f>IF(AA190&lt;VLOOKUP(AG190,Variables!$AC$3:$AD$8,2,FALSE),"Y","N")</f>
        <v>N</v>
      </c>
      <c r="X190" s="204">
        <f t="shared" ref="X190:X226" si="149">VALUE(LEFT(AD190,4))-VALUE(LEFT(AD189,4))</f>
        <v>0</v>
      </c>
      <c r="Y190" s="204">
        <f>RIGHT(D190,LEN(D190)-4)/10000</f>
        <v>0.19409999999999999</v>
      </c>
      <c r="Z190" s="204">
        <f>RIGHT(H190,LEN(H190)-4)/10000</f>
        <v>5.8993000000000002</v>
      </c>
      <c r="AA190" s="204">
        <f t="shared" si="138"/>
        <v>5.7052000000000005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139"/>
        <v>1829</v>
      </c>
      <c r="AE190" s="77" t="str">
        <f t="shared" si="83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90" s="74" t="str">
        <f t="shared" si="84"/>
        <v>"C:\Program Files (x86)\AstroGrep\AstroGrep.exe" /e /r /s /spath="%USERPROFILE%\AppData\Local\Temp\OnboardLogs" /stypes="app*4016*20171009*" /stext=" 02:.+((SYSTEM_STATE.+slice.+state.+changed )|(ment ac)|(multiple cpu faults)|(system.+state.+changed )|(\[timeout)|(PRM\|1\|D)|(kpr)|(kdp)|(train st.+moving)|(\|lc)|(penalty))"</v>
      </c>
      <c r="AG190" s="182" t="str">
        <f t="shared" si="140"/>
        <v>NW</v>
      </c>
      <c r="AH190" s="78" t="str">
        <f t="shared" si="86"/>
        <v>"%USERPROFILE%\Documents\GitHub\eaglep3\Utilities\RefineRTDCRunTimes.py" --tripid 1829-08 --locoid 4016 --swversion DE.1.0.9.0 --startMP 204:1941 --initTime 2017-10-08T20:12:02 --startdatetime 2017-10-08T20:13:29 --delay 45 --endMP 300:58993 --enddatetime 2017-10-08T20:27:14 --enforcementcount 0 &gt;&gt;%USERPROFILE%\Documents\GitHub\eaglep3-reporting\EC\2017-10-08-refined-times.txt</v>
      </c>
      <c r="AI190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{"issue":{"subject":"","project_id":79,"tracker_id":40,"status_id":1,"priority_id":2,"assigned_to_id":338,"start_date":"2017-10-08","description":"","custom_fields":[{"id":1,"name":"Subdivision","value":"NW"},{"id":4,"name":"Milepost","value":"5.8993"},{"id":17,"name":"Train ID","value":"1829-08"},{"id":16,"name":"Locomotive ID","value":"4016"},{"id":130,"name":"Impact","value":""},{"id":150,"name":"Time of Event (Mountain Time)","value":"20:27:14"},{"id":151,"name":"Denver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88"/>
        <v>start /low /b %USERPROFILE%\Documents\GitHub\eaglep3\Utilities\DownloadLogsFromS3.py --loco 4016 --day 2017-10-08</v>
      </c>
      <c r="AN190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0"/>
        <v>https://d0f6bd738d7f1b3e5a7ca70fe4ff75f0.us-east-1.aws.found.io/app/kibana#/discover/Steve-Slow-Train-Analysis-(2080s-and-2083s)?_g=(refreshInterval:(display:Off,pause:!f,section:0,value:0),time:(from:'2017-10-08T19:12:02-0600',mode:absolute,to:'2017-10-08T21:27:14-0600'))&amp;_a=(columns:!('Message%20ID',Summary),filters:!(),index:'emp_*',interval:auto,query:(query_string:(analyze_wildcard:!t,query:'%22rtdc.l.rtdc.4016%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815</v>
      </c>
      <c r="B191" s="7">
        <v>4015</v>
      </c>
      <c r="C191" s="21" t="s">
        <v>194</v>
      </c>
      <c r="D191" s="21" t="s">
        <v>922</v>
      </c>
      <c r="E191" s="13">
        <v>43016.841689814813</v>
      </c>
      <c r="F191" s="13">
        <v>43016.863275462965</v>
      </c>
      <c r="G191" s="7">
        <v>45</v>
      </c>
      <c r="H191" s="21" t="s">
        <v>923</v>
      </c>
      <c r="I191" s="13">
        <v>43016.872152777774</v>
      </c>
      <c r="J191" s="7">
        <v>0</v>
      </c>
      <c r="K191" s="89" t="str">
        <f t="shared" si="135"/>
        <v>4015/4016</v>
      </c>
      <c r="L191" s="185" t="str">
        <f>VLOOKUP(A191,'Trips&amp;Operators'!$C$1:$G$99911,5,FALSE)</f>
        <v>HOLCOMB KAMDEN</v>
      </c>
      <c r="M191" s="6">
        <f t="shared" si="136"/>
        <v>8.8773148090695031E-3</v>
      </c>
      <c r="N191" s="7">
        <f t="shared" si="147"/>
        <v>12.783333325060084</v>
      </c>
      <c r="O191" s="7"/>
      <c r="P191" s="7"/>
      <c r="Q191" s="22"/>
      <c r="R191" s="174"/>
      <c r="S191" s="221">
        <f t="shared" si="148"/>
        <v>1</v>
      </c>
      <c r="T191" s="174" t="str">
        <f t="shared" si="137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0"/>
        <v>https://d0f6bd738d7f1b3e5a7ca70fe4ff75f0.us-east-1.aws.found.io/app/kibana#/discover/Steve-Slow-Train-Analysis-(2080s-and-2083s)?_g=(refreshInterval:(display:Off,pause:!f,section:0,value:0),time:(from:'2017-10-08T19:12:02-0600',mode:absolute,to:'2017-10-08T21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204" t="str">
        <f>IF(AA191&lt;VLOOKUP(AG191,Variables!$AC$3:$AD$8,2,FALSE),"Y","N")</f>
        <v>N</v>
      </c>
      <c r="X191" s="204">
        <f t="shared" si="149"/>
        <v>1</v>
      </c>
      <c r="Y191" s="204">
        <v>5.8676000000000004</v>
      </c>
      <c r="Z191" s="204">
        <v>0.01</v>
      </c>
      <c r="AA191" s="204">
        <f t="shared" si="138"/>
        <v>5.8576000000000006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139"/>
        <v>1830</v>
      </c>
      <c r="AE191" s="77" t="str">
        <f t="shared" si="83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91" s="74" t="str">
        <f t="shared" si="84"/>
        <v>"C:\Program Files (x86)\AstroGrep\AstroGrep.exe" /e /r /s /spath="%USERPROFILE%\AppData\Local\Temp\OnboardLogs" /stypes="app*4015*20171009*" /stext=" 02:.+((SYSTEM_STATE.+slice.+state.+changed )|(ment ac)|(multiple cpu faults)|(system.+state.+changed )|(\[timeout)|(PRM\|1\|D)|(kpr)|(kdp)|(train st.+moving)|(\|lc)|(penalty))"</v>
      </c>
      <c r="AG191" s="182" t="str">
        <f t="shared" si="140"/>
        <v>NW</v>
      </c>
      <c r="AH191" s="78" t="str">
        <f t="shared" ref="AH191" si="150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1830-08 --locoid 4015 --swversion DE.1.0.9.0 --startMP 204:1941 --initTime 2017-10-08T20:12:02 --startdatetime 2017-10-08T20:43:07 --delay 45 --endMP 300:58993 --enddatetime 2017-10-08T20:55:54 --enforcementcount 0 &gt;&gt;%USERPROFILE%\Documents\GitHub\eaglep3-reporting\EC\2017-10-08-refined-times.txt</v>
      </c>
      <c r="AI191" s="96" t="str">
        <f t="shared" ref="AI191" si="151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{"issue":{"subject":"","project_id":79,"tracker_id":40,"status_id":1,"priority_id":2,"assigned_to_id":338,"start_date":"2017-10-08","description":"","custom_fields":[{"id":1,"name":"Subdivision","value":"NW"},{"id":4,"name":"Milepost","value":"0.01"},{"id":17,"name":"Train ID","value":"1830-08"},{"id":16,"name":"Locomotive ID","value":"4015"},{"id":130,"name":"Impact","value":""},{"id":150,"name":"Time of Event (Mountain Time)","value":"20:55:54"},{"id":151,"name":"Denver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ref="AM191" si="152">"start /low /b "&amp;dls3logs&amp;" --loco "&amp;B191&amp;" --day "&amp;TEXT(F191,"YYYY-MM-DD")</f>
        <v>start /low /b %USERPROFILE%\Documents\GitHub\eaglep3\Utilities\DownloadLogsFromS3.py --loco 4015 --day 2017-10-08</v>
      </c>
      <c r="AN191" s="151" t="str">
        <f t="shared" ref="AN191" si="153"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ref="AO191" si="154"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-08T19:12:02-0600',mode:absolute,to:'2017-10-08T21:55:54-0600'))&amp;_a=(columns:!('Message%20ID',Summary),filters:!(),index:'emp_*',interval:auto,query:(query_string:(analyze_wildcard:!t,query:'%22rtdc.l.rtdc.4015%22')),sort:!(Time.ISO8601,asc))</v>
      </c>
    </row>
    <row r="192" spans="1:91" s="20" customFormat="1" x14ac:dyDescent="0.25">
      <c r="A192" s="32" t="s">
        <v>818</v>
      </c>
      <c r="B192" s="7">
        <v>4016</v>
      </c>
      <c r="C192" s="21" t="s">
        <v>194</v>
      </c>
      <c r="D192" s="21" t="s">
        <v>906</v>
      </c>
      <c r="E192" s="13">
        <v>43016.87945601852</v>
      </c>
      <c r="F192" s="13">
        <v>43016.881504629629</v>
      </c>
      <c r="G192" s="7">
        <v>68</v>
      </c>
      <c r="H192" s="21" t="s">
        <v>924</v>
      </c>
      <c r="I192" s="13">
        <v>43016.891655092593</v>
      </c>
      <c r="J192" s="7">
        <v>0</v>
      </c>
      <c r="K192" s="89" t="str">
        <f t="shared" si="135"/>
        <v>4015/4016</v>
      </c>
      <c r="L192" s="185" t="str">
        <f>VLOOKUP(A192,'Trips&amp;Operators'!$C$1:$G$99911,5,FALSE)</f>
        <v>HOLCOMB KAMDEN</v>
      </c>
      <c r="M192" s="6">
        <f t="shared" si="136"/>
        <v>1.0150462963792961E-2</v>
      </c>
      <c r="N192" s="7">
        <f t="shared" si="147"/>
        <v>14.616666667861864</v>
      </c>
      <c r="O192" s="7"/>
      <c r="P192" s="7"/>
      <c r="Q192" s="22"/>
      <c r="R192" s="174"/>
      <c r="S192" s="221">
        <f t="shared" si="148"/>
        <v>1</v>
      </c>
      <c r="T192" s="174" t="str">
        <f t="shared" si="137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0"/>
        <v>https://d0f6bd738d7f1b3e5a7ca70fe4ff75f0.us-east-1.aws.found.io/app/kibana#/discover/Steve-Slow-Train-Analysis-(2080s-and-2083s)?_g=(refreshInterval:(display:Off,pause:!f,section:0,value:0),time:(from:'2017-10-08T20:06:25-0600',mode:absolute,to:'2017-10-08T22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204" t="str">
        <f>IF(AA192&lt;VLOOKUP(AG192,Variables!$AC$3:$AD$8,2,FALSE),"Y","N")</f>
        <v>N</v>
      </c>
      <c r="X192" s="204">
        <f t="shared" si="149"/>
        <v>1</v>
      </c>
      <c r="Y192" s="204">
        <f>RIGHT(D192,LEN(D192)-4)/10000</f>
        <v>9.5299999999999996E-2</v>
      </c>
      <c r="Z192" s="204">
        <f>RIGHT(H192,LEN(H192)-4)/10000</f>
        <v>5.9005000000000001</v>
      </c>
      <c r="AA192" s="204">
        <f t="shared" si="138"/>
        <v>5.8052000000000001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139"/>
        <v>1831</v>
      </c>
      <c r="AE192" s="77" t="str">
        <f t="shared" si="83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92" s="74" t="str">
        <f t="shared" si="84"/>
        <v>"C:\Program Files (x86)\AstroGrep\AstroGrep.exe" /e /r /s /spath="%USERPROFILE%\AppData\Local\Temp\OnboardLogs" /stypes="app*4016*20171009*" /stext=" 03:.+((SYSTEM_STATE.+slice.+state.+changed )|(ment ac)|(multiple cpu faults)|(system.+state.+changed )|(\[timeout)|(PRM\|1\|D)|(kpr)|(kdp)|(train st.+moving)|(\|lc)|(penalty))"</v>
      </c>
      <c r="AG192" s="182" t="str">
        <f t="shared" si="140"/>
        <v>NW</v>
      </c>
      <c r="AH192" s="78" t="str">
        <f t="shared" si="86"/>
        <v>"%USERPROFILE%\Documents\GitHub\eaglep3\Utilities\RefineRTDCRunTimes.py" --tripid 1831-08 --locoid 4016 --swversion DE.1.0.9.0 --startMP 204:953 --initTime 2017-10-08T21:06:25 --startdatetime 2017-10-08T21:09:22 --delay 68 --endMP 300:59005 --enddatetime 2017-10-08T21:23:59 --enforcementcount 0 &gt;&gt;%USERPROFILE%\Documents\GitHub\eaglep3-reporting\EC\2017-10-08-refined-times.txt</v>
      </c>
      <c r="AI192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{"issue":{"subject":"","project_id":79,"tracker_id":40,"status_id":1,"priority_id":2,"assigned_to_id":338,"start_date":"2017-10-08","description":"","custom_fields":[{"id":1,"name":"Subdivision","value":"NW"},{"id":4,"name":"Milepost","value":"5.9005"},{"id":17,"name":"Train ID","value":"1831-08"},{"id":16,"name":"Locomotive ID","value":"4016"},{"id":130,"name":"Impact","value":""},{"id":150,"name":"Time of Event (Mountain Time)","value":"21:23:59"},{"id":151,"name":"Denver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88"/>
        <v>start /low /b %USERPROFILE%\Documents\GitHub\eaglep3\Utilities\DownloadLogsFromS3.py --loco 4016 --day 2017-10-08</v>
      </c>
      <c r="AN192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03:23:59"},{"id":29,"name":"Sharepoint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0"/>
        <v>https://d0f6bd738d7f1b3e5a7ca70fe4ff75f0.us-east-1.aws.found.io/app/kibana#/discover/Steve-Slow-Train-Analysis-(2080s-and-2083s)?_g=(refreshInterval:(display:Off,pause:!f,section:0,value:0),time:(from:'2017-10-08T20:06:25-0600',mode:absolute,to:'2017-10-08T22:23:59-0600'))&amp;_a=(columns:!('Message%20ID',Summary),filters:!(),index:'emp_*',interval:auto,query:(query_string:(analyze_wildcard:!t,query:'%22rtdc.l.rtdc.4016%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613</v>
      </c>
      <c r="B193" s="7">
        <v>4015</v>
      </c>
      <c r="C193" s="21" t="s">
        <v>194</v>
      </c>
      <c r="D193" s="21" t="s">
        <v>925</v>
      </c>
      <c r="E193" s="13">
        <v>43016.893229166664</v>
      </c>
      <c r="F193" s="13">
        <v>43016.905046296299</v>
      </c>
      <c r="G193" s="7">
        <v>54</v>
      </c>
      <c r="H193" s="21" t="s">
        <v>926</v>
      </c>
      <c r="I193" s="13">
        <v>43016.914907407408</v>
      </c>
      <c r="J193" s="7">
        <v>0</v>
      </c>
      <c r="K193" s="89" t="str">
        <f t="shared" si="135"/>
        <v>4015/4016</v>
      </c>
      <c r="L193" s="185" t="str">
        <f>VLOOKUP(A193,'Trips&amp;Operators'!$C$1:$G$99911,5,FALSE)</f>
        <v>HOLCOMB KAMDEN</v>
      </c>
      <c r="M193" s="6">
        <f t="shared" si="136"/>
        <v>9.8611111097852699E-3</v>
      </c>
      <c r="N193" s="7">
        <f t="shared" si="147"/>
        <v>14.199999998090789</v>
      </c>
      <c r="O193" s="7"/>
      <c r="P193" s="7"/>
      <c r="Q193" s="22"/>
      <c r="R193" s="174"/>
      <c r="S193" s="221">
        <f t="shared" si="148"/>
        <v>1</v>
      </c>
      <c r="T193" s="174" t="str">
        <f t="shared" si="137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0"/>
        <v>https://d0f6bd738d7f1b3e5a7ca70fe4ff75f0.us-east-1.aws.found.io/app/kibana#/discover/Steve-Slow-Train-Analysis-(2080s-and-2083s)?_g=(refreshInterval:(display:Off,pause:!f,section:0,value:0),time:(from:'2017-10-08T20:26:15-0600',mode:absolute,to:'2017-10-08T22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204" t="str">
        <f>IF(AA193&lt;VLOOKUP(AG193,Variables!$AC$3:$AD$8,2,FALSE),"Y","N")</f>
        <v>N</v>
      </c>
      <c r="X193" s="204">
        <f t="shared" si="149"/>
        <v>1</v>
      </c>
      <c r="Y193" s="204">
        <v>5.7</v>
      </c>
      <c r="Z193" s="204">
        <v>0.01</v>
      </c>
      <c r="AA193" s="204">
        <f t="shared" si="138"/>
        <v>5.69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139"/>
        <v>1832</v>
      </c>
      <c r="AE193" s="77" t="str">
        <f t="shared" si="83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93" s="74" t="str">
        <f t="shared" si="84"/>
        <v>"C:\Program Files (x86)\AstroGrep\AstroGrep.exe" /e /r /s /spath="%USERPROFILE%\AppData\Local\Temp\OnboardLogs" /stypes="app*4015*20171009*" /stext=" 03:.+((SYSTEM_STATE.+slice.+state.+changed )|(ment ac)|(multiple cpu faults)|(system.+state.+changed )|(\[timeout)|(PRM\|1\|D)|(kpr)|(kdp)|(train st.+moving)|(\|lc)|(penalty))"</v>
      </c>
      <c r="AG193" s="182" t="str">
        <f t="shared" si="140"/>
        <v>NW</v>
      </c>
      <c r="AH193" s="78" t="str">
        <f t="shared" si="86"/>
        <v>"%USERPROFILE%\Documents\GitHub\eaglep3\Utilities\RefineRTDCRunTimes.py" --tripid 1832-08 --locoid 4015 --swversion DE.1.0.9.0 --startMP 300:58687 --initTime 2017-10-08T21:26:15 --startdatetime 2017-10-08T21:43:16 --delay 54 --endMP 300:58035 --enddatetime 2017-10-08T21:57:28 --enforcementcount 0 &gt;&gt;%USERPROFILE%\Documents\GitHub\eaglep3-reporting\EC\2017-10-08-refined-times.txt</v>
      </c>
      <c r="AI193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{"issue":{"subject":"","project_id":79,"tracker_id":40,"status_id":1,"priority_id":2,"assigned_to_id":338,"start_date":"2017-10-08","description":"","custom_fields":[{"id":1,"name":"Subdivision","value":"NW"},{"id":4,"name":"Milepost","value":"0.01"},{"id":17,"name":"Train ID","value":"1832-08"},{"id":16,"name":"Locomotive ID","value":"4015"},{"id":130,"name":"Impact","value":""},{"id":150,"name":"Time of Event (Mountain Time)","value":"21:57:28"},{"id":151,"name":"Denver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88"/>
        <v>start /low /b %USERPROFILE%\Documents\GitHub\eaglep3\Utilities\DownloadLogsFromS3.py --loco 4015 --day 2017-10-08</v>
      </c>
      <c r="AN193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03:57:28"},{"id":29,"name":"Sharepoint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0"/>
        <v>https://d0f6bd738d7f1b3e5a7ca70fe4ff75f0.us-east-1.aws.found.io/app/kibana#/discover/Steve-Slow-Train-Analysis-(2080s-and-2083s)?_g=(refreshInterval:(display:Off,pause:!f,section:0,value:0),time:(from:'2017-10-08T20:26:15-0600',mode:absolute,to:'2017-10-08T22:57:28-0600'))&amp;_a=(columns:!('Message%20ID',Summary),filters:!(),index:'emp_*',interval:auto,query:(query_string:(analyze_wildcard:!t,query:'%22rtdc.l.rtdc.4015%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823</v>
      </c>
      <c r="B194" s="7">
        <v>4016</v>
      </c>
      <c r="C194" s="21" t="s">
        <v>194</v>
      </c>
      <c r="D194" s="21" t="s">
        <v>927</v>
      </c>
      <c r="E194" s="13">
        <v>43016.920474537037</v>
      </c>
      <c r="F194" s="13">
        <v>43016.923136574071</v>
      </c>
      <c r="G194" s="7">
        <v>50</v>
      </c>
      <c r="H194" s="21" t="s">
        <v>577</v>
      </c>
      <c r="I194" s="13">
        <v>43016.93277777778</v>
      </c>
      <c r="J194" s="7">
        <v>0</v>
      </c>
      <c r="K194" s="89" t="str">
        <f t="shared" si="135"/>
        <v>4015/4016</v>
      </c>
      <c r="L194" s="185" t="str">
        <f>VLOOKUP(A194,'Trips&amp;Operators'!$C$1:$G$99911,5,FALSE)</f>
        <v>HOLCOMB KAMDEN</v>
      </c>
      <c r="M194" s="6">
        <f t="shared" si="136"/>
        <v>9.6412037091795355E-3</v>
      </c>
      <c r="N194" s="7">
        <f t="shared" si="147"/>
        <v>13.883333341218531</v>
      </c>
      <c r="O194" s="7"/>
      <c r="P194" s="7"/>
      <c r="Q194" s="22"/>
      <c r="R194" s="174"/>
      <c r="S194" s="221">
        <f t="shared" si="148"/>
        <v>1</v>
      </c>
      <c r="T194" s="174" t="str">
        <f t="shared" si="137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0"/>
        <v>https://d0f6bd738d7f1b3e5a7ca70fe4ff75f0.us-east-1.aws.found.io/app/kibana#/discover/Steve-Slow-Train-Analysis-(2080s-and-2083s)?_g=(refreshInterval:(display:Off,pause:!f,section:0,value:0),time:(from:'2017-10-08T21:05:29-0600',mode:absolute,to:'2017-10-08T23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204" t="str">
        <f>IF(AA194&lt;VLOOKUP(AG194,Variables!$AC$3:$AD$8,2,FALSE),"Y","N")</f>
        <v>N</v>
      </c>
      <c r="X194" s="204">
        <f t="shared" si="149"/>
        <v>1</v>
      </c>
      <c r="Y194" s="204">
        <f t="shared" ref="Y194:Y226" si="155">RIGHT(D194,LEN(D194)-4)/10000</f>
        <v>9.9299999999999999E-2</v>
      </c>
      <c r="Z194" s="204">
        <f t="shared" ref="Z194:Z226" si="156">RIGHT(H194,LEN(H194)-4)/10000</f>
        <v>5.8997000000000002</v>
      </c>
      <c r="AA194" s="204">
        <f t="shared" si="138"/>
        <v>5.8003999999999998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139"/>
        <v>1833</v>
      </c>
      <c r="AE194" s="77" t="str">
        <f t="shared" si="83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94" s="74" t="str">
        <f t="shared" si="84"/>
        <v>"C:\Program Files (x86)\AstroGrep\AstroGrep.exe" /e /r /s /spath="%USERPROFILE%\AppData\Local\Temp\OnboardLogs" /stypes="app*4016*20171009*" /stext=" 04:.+((SYSTEM_STATE.+slice.+state.+changed )|(ment ac)|(multiple cpu faults)|(system.+state.+changed )|(\[timeout)|(PRM\|1\|D)|(kpr)|(kdp)|(train st.+moving)|(\|lc)|(penalty))"</v>
      </c>
      <c r="AG194" s="182" t="str">
        <f t="shared" si="140"/>
        <v>NW</v>
      </c>
      <c r="AH194" s="78" t="str">
        <f t="shared" si="86"/>
        <v>"%USERPROFILE%\Documents\GitHub\eaglep3\Utilities\RefineRTDCRunTimes.py" --tripid 1833-08 --locoid 4016 --swversion DE.1.0.9.0 --startMP 204:993 --initTime 2017-10-08T22:05:29 --startdatetime 2017-10-08T22:09:19 --delay 50 --endMP 300:58997 --enddatetime 2017-10-08T22:23:12 --enforcementcount 0 &gt;&gt;%USERPROFILE%\Documents\GitHub\eaglep3-reporting\EC\2017-10-08-refined-times.txt</v>
      </c>
      <c r="AI194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{"issue":{"subject":"","project_id":79,"tracker_id":40,"status_id":1,"priority_id":2,"assigned_to_id":338,"start_date":"2017-10-08","description":"","custom_fields":[{"id":1,"name":"Subdivision","value":"NW"},{"id":4,"name":"Milepost","value":"5.8997"},{"id":17,"name":"Train ID","value":"1833-08"},{"id":16,"name":"Locomotive ID","value":"4016"},{"id":130,"name":"Impact","value":""},{"id":150,"name":"Time of Event (Mountain Time)","value":"22:23:12"},{"id":151,"name":"Denver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88"/>
        <v>start /low /b %USERPROFILE%\Documents\GitHub\eaglep3\Utilities\DownloadLogsFromS3.py --loco 4016 --day 2017-10-08</v>
      </c>
      <c r="AN194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0"/>
        <v>https://d0f6bd738d7f1b3e5a7ca70fe4ff75f0.us-east-1.aws.found.io/app/kibana#/discover/Steve-Slow-Train-Analysis-(2080s-and-2083s)?_g=(refreshInterval:(display:Off,pause:!f,section:0,value:0),time:(from:'2017-10-08T21:05:29-0600',mode:absolute,to:'2017-10-08T23:23:12-0600'))&amp;_a=(columns:!('Message%20ID',Summary),filters:!(),index:'emp_*',interval:auto,query:(query_string:(analyze_wildcard:!t,query:'%22rtdc.l.rtdc.4016%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825</v>
      </c>
      <c r="B195" s="7">
        <v>4015</v>
      </c>
      <c r="C195" s="21" t="s">
        <v>194</v>
      </c>
      <c r="D195" s="21" t="s">
        <v>572</v>
      </c>
      <c r="E195" s="13">
        <v>43016.933587962965</v>
      </c>
      <c r="F195" s="13">
        <v>43016.946527777778</v>
      </c>
      <c r="G195" s="7">
        <v>51</v>
      </c>
      <c r="H195" s="21" t="s">
        <v>928</v>
      </c>
      <c r="I195" s="13">
        <v>43016.955081018517</v>
      </c>
      <c r="J195" s="7">
        <v>0</v>
      </c>
      <c r="K195" s="89" t="str">
        <f t="shared" si="135"/>
        <v>4015/4016</v>
      </c>
      <c r="L195" s="185" t="str">
        <f>VLOOKUP(A195,'Trips&amp;Operators'!$C$1:$G$99911,5,FALSE)</f>
        <v>HOLCOMB KAMDEN</v>
      </c>
      <c r="M195" s="6">
        <f t="shared" si="136"/>
        <v>8.55324073927477E-3</v>
      </c>
      <c r="N195" s="7">
        <f t="shared" si="147"/>
        <v>12.316666664555669</v>
      </c>
      <c r="O195" s="7"/>
      <c r="P195" s="7"/>
      <c r="Q195" s="22"/>
      <c r="R195" s="174"/>
      <c r="S195" s="221">
        <f t="shared" si="148"/>
        <v>1</v>
      </c>
      <c r="T195" s="174" t="str">
        <f t="shared" si="137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0"/>
        <v>https://d0f6bd738d7f1b3e5a7ca70fe4ff75f0.us-east-1.aws.found.io/app/kibana#/discover/Steve-Slow-Train-Analysis-(2080s-and-2083s)?_g=(refreshInterval:(display:Off,pause:!f,section:0,value:0),time:(from:'2017-10-08T21:24:22-0600',mode:absolute,to:'2017-10-08T23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04" t="str">
        <f>IF(AA195&lt;VLOOKUP(AG195,Variables!$AC$3:$AD$8,2,FALSE),"Y","N")</f>
        <v>N</v>
      </c>
      <c r="X195" s="204">
        <f t="shared" si="149"/>
        <v>1</v>
      </c>
      <c r="Y195" s="204">
        <f t="shared" si="155"/>
        <v>5.8682999999999996</v>
      </c>
      <c r="Z195" s="204">
        <f t="shared" si="156"/>
        <v>6.8000000000000005E-2</v>
      </c>
      <c r="AA195" s="204">
        <f t="shared" si="138"/>
        <v>5.8003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139"/>
        <v>1834</v>
      </c>
      <c r="AE195" s="77" t="str">
        <f t="shared" si="83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195" s="74" t="str">
        <f t="shared" si="84"/>
        <v>"C:\Program Files (x86)\AstroGrep\AstroGrep.exe" /e /r /s /spath="%USERPROFILE%\AppData\Local\Temp\OnboardLogs" /stypes="app*4015*20171009*" /stext=" 04:.+((SYSTEM_STATE.+slice.+state.+changed )|(ment ac)|(multiple cpu faults)|(system.+state.+changed )|(\[timeout)|(PRM\|1\|D)|(kpr)|(kdp)|(train st.+moving)|(\|lc)|(penalty))"</v>
      </c>
      <c r="AG195" s="182" t="str">
        <f t="shared" si="140"/>
        <v>NW</v>
      </c>
      <c r="AH195" s="78" t="str">
        <f t="shared" si="86"/>
        <v>"%USERPROFILE%\Documents\GitHub\eaglep3\Utilities\RefineRTDCRunTimes.py" --tripid 1834-08 --locoid 4015 --swversion DE.1.0.9.0 --startMP 300:58683 --initTime 2017-10-08T22:24:22 --startdatetime 2017-10-08T22:43:00 --delay 51 --endMP 204:680 --enddatetime 2017-10-08T22:55:19 --enforcementcount 0 &gt;&gt;%USERPROFILE%\Documents\GitHub\eaglep3-reporting\EC\2017-10-08-refined-times.txt</v>
      </c>
      <c r="AI195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{"issue":{"subject":"","project_id":79,"tracker_id":40,"status_id":1,"priority_id":2,"assigned_to_id":338,"start_date":"2017-10-08","description":"","custom_fields":[{"id":1,"name":"Subdivision","value":"NW"},{"id":4,"name":"Milepost","value":"0.068"},{"id":17,"name":"Train ID","value":"1834-08"},{"id":16,"name":"Locomotive ID","value":"4015"},{"id":130,"name":"Impact","value":""},{"id":150,"name":"Time of Event (Mountain Time)","value":"22:55:19"},{"id":151,"name":"Denver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88"/>
        <v>start /low /b %USERPROFILE%\Documents\GitHub\eaglep3\Utilities\DownloadLogsFromS3.py --loco 4015 --day 2017-10-08</v>
      </c>
      <c r="AN195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04:55:19"},{"id":29,"name":"Sharepoint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0"/>
        <v>https://d0f6bd738d7f1b3e5a7ca70fe4ff75f0.us-east-1.aws.found.io/app/kibana#/discover/Steve-Slow-Train-Analysis-(2080s-and-2083s)?_g=(refreshInterval:(display:Off,pause:!f,section:0,value:0),time:(from:'2017-10-08T21:24:22-0600',mode:absolute,to:'2017-10-08T23:55:19-0600'))&amp;_a=(columns:!('Message%20ID',Summary),filters:!(),index:'emp_*',interval:auto,query:(query_string:(analyze_wildcard:!t,query:'%22rtdc.l.rtdc.4015%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828</v>
      </c>
      <c r="B196" s="7">
        <v>4016</v>
      </c>
      <c r="C196" s="21" t="s">
        <v>194</v>
      </c>
      <c r="D196" s="21" t="s">
        <v>574</v>
      </c>
      <c r="E196" s="13">
        <v>43016.960196759261</v>
      </c>
      <c r="F196" s="13">
        <v>43016.964849537035</v>
      </c>
      <c r="G196" s="7">
        <v>88</v>
      </c>
      <c r="H196" s="21" t="s">
        <v>571</v>
      </c>
      <c r="I196" s="13">
        <v>43016.975983796299</v>
      </c>
      <c r="J196" s="7">
        <v>0</v>
      </c>
      <c r="K196" s="89" t="str">
        <f t="shared" si="135"/>
        <v>4015/4016</v>
      </c>
      <c r="L196" s="185" t="str">
        <f>VLOOKUP(A196,'Trips&amp;Operators'!$C$1:$G$99911,5,FALSE)</f>
        <v>ANDERS STEVEN</v>
      </c>
      <c r="M196" s="6">
        <f t="shared" si="136"/>
        <v>1.1134259264508728E-2</v>
      </c>
      <c r="N196" s="7">
        <f t="shared" si="147"/>
        <v>16.033333340892568</v>
      </c>
      <c r="O196" s="7"/>
      <c r="P196" s="7"/>
      <c r="Q196" s="22"/>
      <c r="R196" s="174"/>
      <c r="S196" s="221">
        <f t="shared" si="148"/>
        <v>1</v>
      </c>
      <c r="T196" s="174" t="str">
        <f t="shared" si="137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0"/>
        <v>https://d0f6bd738d7f1b3e5a7ca70fe4ff75f0.us-east-1.aws.found.io/app/kibana#/discover/Steve-Slow-Train-Analysis-(2080s-and-2083s)?_g=(refreshInterval:(display:Off,pause:!f,section:0,value:0),time:(from:'2017-10-08T22:02:41-0600',mode:absolute,to:'2017-10-09T00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204" t="str">
        <f>IF(AA196&lt;VLOOKUP(AG196,Variables!$AC$3:$AD$8,2,FALSE),"Y","N")</f>
        <v>N</v>
      </c>
      <c r="X196" s="204">
        <f t="shared" si="149"/>
        <v>1</v>
      </c>
      <c r="Y196" s="204">
        <f t="shared" si="155"/>
        <v>9.7100000000000006E-2</v>
      </c>
      <c r="Z196" s="204">
        <f t="shared" si="156"/>
        <v>5.8982000000000001</v>
      </c>
      <c r="AA196" s="204">
        <f t="shared" si="138"/>
        <v>5.8010999999999999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139"/>
        <v>1835</v>
      </c>
      <c r="AE196" s="77" t="str">
        <f t="shared" si="83"/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AF196" s="74" t="str">
        <f t="shared" si="84"/>
        <v>"C:\Program Files (x86)\AstroGrep\AstroGrep.exe" /e /r /s /spath="%USERPROFILE%\AppData\Local\Temp\OnboardLogs" /stypes="app*4016*20171009*" /stext=" 05:.+((SYSTEM_STATE.+slice.+state.+changed )|(ment ac)|(multiple cpu faults)|(system.+state.+changed )|(\[timeout)|(PRM\|1\|D)|(kpr)|(kdp)|(train st.+moving)|(\|lc)|(penalty))"</v>
      </c>
      <c r="AG196" s="182" t="str">
        <f t="shared" si="140"/>
        <v>NW</v>
      </c>
      <c r="AH196" s="78" t="str">
        <f t="shared" si="86"/>
        <v>"%USERPROFILE%\Documents\GitHub\eaglep3\Utilities\RefineRTDCRunTimes.py" --tripid 1835-08 --locoid 4016 --swversion DE.1.0.9.0 --startMP 204:971 --initTime 2017-10-08T23:02:41 --startdatetime 2017-10-08T23:09:23 --delay 88 --endMP 300:58982 --enddatetime 2017-10-08T23:25:25 --enforcementcount 0 &gt;&gt;%USERPROFILE%\Documents\GitHub\eaglep3-reporting\EC\2017-10-08-refined-times.txt</v>
      </c>
      <c r="AI196" s="96" t="str">
        <f t="shared" si="87"/>
        <v>echo {"issue":{"subject":"","project_id":79,"tracker_id":40,"status_id":1,"priority_id":2,"assigned_to_id":338,"start_date":"2017-10-08","description":"","custom_fields":[{"id":1,"name":"Subdivision","value":"NW"},{"id":4,"name":"Milepost","value":"5.8982"},{"id":17,"name":"Train ID","value":"1835-08"},{"id":16,"name":"Locomotive ID","value":"4016"},{"id":130,"name":"Impact","value":""},{"id":150,"name":"Time of Event (Mountain Time)","value":"23:25:25"},{"id":151,"name":"Denver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88"/>
        <v>start /low /b %USERPROFILE%\Documents\GitHub\eaglep3\Utilities\DownloadLogsFromS3.py --loco 4016 --day 2017-10-08</v>
      </c>
      <c r="AN196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05:25:25"},{"id":29,"name":"Sharepoint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0"/>
        <v>https://d0f6bd738d7f1b3e5a7ca70fe4ff75f0.us-east-1.aws.found.io/app/kibana#/discover/Steve-Slow-Train-Analysis-(2080s-and-2083s)?_g=(refreshInterval:(display:Off,pause:!f,section:0,value:0),time:(from:'2017-10-08T22:02:41-0600',mode:absolute,to:'2017-10-09T00:25:25-0600'))&amp;_a=(columns:!('Message%20ID',Summary),filters:!(),index:'emp_*',interval:auto,query:(query_string:(analyze_wildcard:!t,query:'%22rtdc.l.rtdc.4016%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584</v>
      </c>
      <c r="B197" s="7">
        <v>4059</v>
      </c>
      <c r="C197" s="21" t="s">
        <v>194</v>
      </c>
      <c r="D197" s="21" t="s">
        <v>963</v>
      </c>
      <c r="E197" s="13">
        <v>43016.11923611111</v>
      </c>
      <c r="F197" s="13">
        <v>43016.122766203705</v>
      </c>
      <c r="G197" s="7">
        <v>65</v>
      </c>
      <c r="H197" s="21" t="s">
        <v>367</v>
      </c>
      <c r="I197" s="13">
        <v>43016.129652777781</v>
      </c>
      <c r="J197" s="7">
        <v>0</v>
      </c>
      <c r="K197" s="89" t="str">
        <f t="shared" si="135"/>
        <v>4059/4060</v>
      </c>
      <c r="L197" s="185" t="str">
        <f>VLOOKUP(A197,'Trips&amp;Operators'!$C$1:$G$99911,5,FALSE)</f>
        <v>THOMPSON LESTER</v>
      </c>
      <c r="M197" s="6">
        <f t="shared" si="136"/>
        <v>6.8865740759065375E-3</v>
      </c>
      <c r="N197" s="7">
        <f t="shared" si="147"/>
        <v>9.916666669305414</v>
      </c>
      <c r="O197" s="7"/>
      <c r="P197" s="7"/>
      <c r="Q197" s="22"/>
      <c r="R197" s="174"/>
      <c r="S197" s="221">
        <f t="shared" si="148"/>
        <v>1</v>
      </c>
      <c r="T197" s="174" t="str">
        <f t="shared" si="137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0"/>
        <v>https://d0f6bd738d7f1b3e5a7ca70fe4ff75f0.us-east-1.aws.found.io/app/kibana#/discover/Steve-Slow-Train-Analysis-(2080s-and-2083s)?_g=(refreshInterval:(display:Off,pause:!f,section:0,value:0),time:(from:'2017-10-08T01:51:42-0600',mode:absolute,to:'2017-10-08T04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7" s="204" t="str">
        <f>IF(AA197&lt;VLOOKUP(AG197,Variables!$AC$3:$AD$8,2,FALSE),"Y","N")</f>
        <v>Y</v>
      </c>
      <c r="X197" s="204">
        <f t="shared" si="149"/>
        <v>-1535</v>
      </c>
      <c r="Y197" s="204">
        <f t="shared" si="155"/>
        <v>2.3420999999999998</v>
      </c>
      <c r="Z197" s="204">
        <f t="shared" si="156"/>
        <v>1.5800000000000002E-2</v>
      </c>
      <c r="AA197" s="204">
        <f t="shared" si="138"/>
        <v>2.3262999999999998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139"/>
        <v>300</v>
      </c>
      <c r="AE197" s="77" t="str">
        <f t="shared" si="83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197" s="74" t="str">
        <f t="shared" si="84"/>
        <v>"C:\Program Files (x86)\AstroGrep\AstroGrep.exe" /e /r /s /spath="%USERPROFILE%\AppData\Local\Temp\OnboardLogs" /stypes="app*4059*20171008*" /stext=" 09:.+((SYSTEM_STATE.+slice.+state.+changed )|(ment ac)|(multiple cpu faults)|(system.+state.+changed )|(\[timeout)|(PRM\|1\|D)|(kpr)|(kdp)|(train st.+moving)|(\|lc)|(penalty))"</v>
      </c>
      <c r="AG197" s="182" t="str">
        <f t="shared" si="140"/>
        <v>Other</v>
      </c>
      <c r="AH197" s="78" t="str">
        <f t="shared" si="86"/>
        <v>"%USERPROFILE%\Documents\GitHub\eaglep3\Utilities\RefineRTDCRunTimes.py" --tripid 300-08 --locoid 4059 --swversion DE.1.0.9.0 --startMP 300:23421 --initTime 2017-10-08T02:51:42 --startdatetime 2017-10-08T02:56:47 --delay 65 --endMP 204:158 --enddatetime 2017-10-08T03:06:42 --enforcementcount 0 &gt;&gt;%USERPROFILE%\Documents\GitHub\eaglep3-reporting\EC\2017-10-08-refined-times.txt</v>
      </c>
      <c r="AI197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{"issue":{"subject":"","project_id":79,"tracker_id":40,"status_id":1,"priority_id":2,"assigned_to_id":338,"start_date":"2017-10-08","description":"","custom_fields":[{"id":1,"name":"Subdivision","value":"Other"},{"id":4,"name":"Milepost","value":"0.0158"},{"id":17,"name":"Train ID","value":"300-08"},{"id":16,"name":"Locomotive ID","value":"4059"},{"id":130,"name":"Impact","value":""},{"id":150,"name":"Time of Event (Mountain Time)","value":"03:06:42"},{"id":151,"name":"Denver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88"/>
        <v>start /low /b %USERPROFILE%\Documents\GitHub\eaglep3\Utilities\DownloadLogsFromS3.py --loco 4059 --day 2017-10-08</v>
      </c>
      <c r="AN197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09:06:42"},{"id":29,"name":"Sharepoint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0"/>
        <v>https://d0f6bd738d7f1b3e5a7ca70fe4ff75f0.us-east-1.aws.found.io/app/kibana#/discover/Steve-Slow-Train-Analysis-(2080s-and-2083s)?_g=(refreshInterval:(display:Off,pause:!f,section:0,value:0),time:(from:'2017-10-08T01:51:42-0600',mode:absolute,to:'2017-10-08T04:06:42-0600'))&amp;_a=(columns:!('Message%20ID',Summary),filters:!(),index:'emp_*',interval:auto,query:(query_string:(analyze_wildcard:!t,query:'%22rtdc.l.rtdc.4059%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798</v>
      </c>
      <c r="B198" s="7">
        <v>4060</v>
      </c>
      <c r="C198" s="21" t="s">
        <v>194</v>
      </c>
      <c r="D198" s="21" t="s">
        <v>346</v>
      </c>
      <c r="E198" s="13">
        <v>43016.775787037041</v>
      </c>
      <c r="F198" s="13">
        <v>43016.777615740742</v>
      </c>
      <c r="G198" s="7">
        <v>75</v>
      </c>
      <c r="H198" s="21" t="s">
        <v>493</v>
      </c>
      <c r="I198" s="13">
        <v>43016.784722222219</v>
      </c>
      <c r="J198" s="7">
        <v>0</v>
      </c>
      <c r="K198" s="89" t="str">
        <f t="shared" si="135"/>
        <v>4059/4060</v>
      </c>
      <c r="L198" s="185" t="str">
        <f>VLOOKUP(A198,'Trips&amp;Operators'!$C$1:$G$99911,5,FALSE)</f>
        <v>GUZMAN DANNY</v>
      </c>
      <c r="M198" s="6">
        <f t="shared" si="136"/>
        <v>7.1064814765122719E-3</v>
      </c>
      <c r="N198" s="7">
        <f t="shared" si="147"/>
        <v>10.233333326177672</v>
      </c>
      <c r="O198" s="7"/>
      <c r="P198" s="7"/>
      <c r="Q198" s="22"/>
      <c r="R198" s="174"/>
      <c r="S198" s="221">
        <f t="shared" si="148"/>
        <v>1</v>
      </c>
      <c r="T198" s="174" t="str">
        <f t="shared" si="137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0"/>
        <v>https://d0f6bd738d7f1b3e5a7ca70fe4ff75f0.us-east-1.aws.found.io/app/kibana#/discover/Steve-Slow-Train-Analysis-(2080s-and-2083s)?_g=(refreshInterval:(display:Off,pause:!f,section:0,value:0),time:(from:'2017-10-08T17:37:08-0600',mode:absolute,to:'2017-10-08T19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204" t="str">
        <f>IF(AA198&lt;VLOOKUP(AG198,Variables!$AC$3:$AD$8,2,FALSE),"Y","N")</f>
        <v>Y</v>
      </c>
      <c r="X198" s="204">
        <f t="shared" si="149"/>
        <v>1</v>
      </c>
      <c r="Y198" s="204">
        <f t="shared" si="155"/>
        <v>4.5499999999999999E-2</v>
      </c>
      <c r="Z198" s="204">
        <f t="shared" si="156"/>
        <v>2.331</v>
      </c>
      <c r="AA198" s="204">
        <f t="shared" si="138"/>
        <v>2.2854999999999999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139"/>
        <v>301</v>
      </c>
      <c r="AE198" s="77" t="str">
        <f t="shared" si="83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198" s="74" t="str">
        <f t="shared" si="84"/>
        <v>"C:\Program Files (x86)\AstroGrep\AstroGrep.exe" /e /r /s /spath="%USERPROFILE%\AppData\Local\Temp\OnboardLogs" /stypes="app*4060*20171009*" /stext=" 00:.+((SYSTEM_STATE.+slice.+state.+changed )|(ment ac)|(multiple cpu faults)|(system.+state.+changed )|(\[timeout)|(PRM\|1\|D)|(kpr)|(kdp)|(train st.+moving)|(\|lc)|(penalty))"</v>
      </c>
      <c r="AG198" s="182" t="str">
        <f t="shared" si="140"/>
        <v>Other</v>
      </c>
      <c r="AH198" s="78" t="str">
        <f t="shared" si="86"/>
        <v>"%USERPROFILE%\Documents\GitHub\eaglep3\Utilities\RefineRTDCRunTimes.py" --tripid 301-08 --locoid 4060 --swversion DE.1.0.9.0 --startMP 204:455 --initTime 2017-10-08T18:37:08 --startdatetime 2017-10-08T18:39:46 --delay 75 --endMP 300:23310 --enddatetime 2017-10-08T18:50:00 --enforcementcount 0 &gt;&gt;%USERPROFILE%\Documents\GitHub\eaglep3-reporting\EC\2017-10-08-refined-times.txt</v>
      </c>
      <c r="AI198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{"issue":{"subject":"","project_id":79,"tracker_id":40,"status_id":1,"priority_id":2,"assigned_to_id":338,"start_date":"2017-10-08","description":"","custom_fields":[{"id":1,"name":"Subdivision","value":"Other"},{"id":4,"name":"Milepost","value":"2.331"},{"id":17,"name":"Train ID","value":"301-08"},{"id":16,"name":"Locomotive ID","value":"4060"},{"id":130,"name":"Impact","value":""},{"id":150,"name":"Time of Event (Mountain Time)","value":"18:50:00"},{"id":151,"name":"Denver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88"/>
        <v>start /low /b %USERPROFILE%\Documents\GitHub\eaglep3\Utilities\DownloadLogsFromS3.py --loco 4060 --day 2017-10-08</v>
      </c>
      <c r="AN198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0"/>
        <v>https://d0f6bd738d7f1b3e5a7ca70fe4ff75f0.us-east-1.aws.found.io/app/kibana#/discover/Steve-Slow-Train-Analysis-(2080s-and-2083s)?_g=(refreshInterval:(display:Off,pause:!f,section:0,value:0),time:(from:'2017-10-08T17:37:08-0600',mode:absolute,to:'2017-10-08T19:50:00-0600'))&amp;_a=(columns:!('Message%20ID',Summary),filters:!(),index:'emp_*',interval:auto,query:(query_string:(analyze_wildcard:!t,query:'%22rtdc.l.rtdc.4060%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634</v>
      </c>
      <c r="B199" s="7">
        <v>4001</v>
      </c>
      <c r="C199" s="21" t="s">
        <v>194</v>
      </c>
      <c r="D199" s="21" t="s">
        <v>964</v>
      </c>
      <c r="E199" s="13">
        <v>43016.131377314814</v>
      </c>
      <c r="F199" s="13">
        <v>43016.136076388888</v>
      </c>
      <c r="G199" s="7">
        <v>58</v>
      </c>
      <c r="H199" s="21" t="s">
        <v>489</v>
      </c>
      <c r="I199" s="13">
        <v>43016.141689814816</v>
      </c>
      <c r="J199" s="7">
        <v>0</v>
      </c>
      <c r="K199" s="89" t="str">
        <f t="shared" si="135"/>
        <v>4001/4002</v>
      </c>
      <c r="L199" s="185" t="str">
        <f>VLOOKUP(A199,'Trips&amp;Operators'!$C$1:$G$99911,5,FALSE)</f>
        <v>MAELZER KURT</v>
      </c>
      <c r="M199" s="6">
        <f t="shared" si="136"/>
        <v>5.6134259284590371E-3</v>
      </c>
      <c r="N199" s="7">
        <f t="shared" si="147"/>
        <v>8.0833333369810134</v>
      </c>
      <c r="O199" s="7"/>
      <c r="P199" s="7"/>
      <c r="Q199" s="22"/>
      <c r="R199" s="174"/>
      <c r="S199" s="221">
        <f t="shared" si="148"/>
        <v>1</v>
      </c>
      <c r="T199" s="174" t="str">
        <f t="shared" si="137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0"/>
        <v>https://d0f6bd738d7f1b3e5a7ca70fe4ff75f0.us-east-1.aws.found.io/app/kibana#/discover/Steve-Slow-Train-Analysis-(2080s-and-2083s)?_g=(refreshInterval:(display:Off,pause:!f,section:0,value:0),time:(from:'2017-10-08T02:09:11-0600',mode:absolute,to:'2017-10-08T04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204" t="str">
        <f>IF(AA199&lt;VLOOKUP(AG199,Variables!$AC$3:$AD$8,2,FALSE),"Y","N")</f>
        <v>Y</v>
      </c>
      <c r="X199" s="204">
        <f t="shared" si="149"/>
        <v>1</v>
      </c>
      <c r="Y199" s="204">
        <f t="shared" si="155"/>
        <v>2.0206</v>
      </c>
      <c r="Z199" s="204">
        <f t="shared" si="156"/>
        <v>1.38E-2</v>
      </c>
      <c r="AA199" s="204">
        <f t="shared" si="138"/>
        <v>2.0068000000000001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139"/>
        <v>302</v>
      </c>
      <c r="AE199" s="77" t="str">
        <f t="shared" si="83"/>
        <v>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 &amp; aws s3 cp s3://rtdc.mdm.uploadarchive.raw/RTDC4001/ "%USERPROFILE%\AppData\Local\Temp\OnboardLogs"\RTDC4001\2017-10-09 --exclude "*" --recursive --include "*20171009*" &amp; "%USERPROFILE%\Documents\GitHub\mrs-test-scripts\Headless Mode &amp; Sideloading\WalkAndUnGZ.bat" "%USERPROFILE%\AppData\Local\Temp\OnboardLogs"\RTDC4001\2017-10-09</v>
      </c>
      <c r="AF199" s="74" t="str">
        <f t="shared" si="84"/>
        <v>"C:\Program Files (x86)\AstroGrep\AstroGrep.exe" /e /r /s /spath="%USERPROFILE%\AppData\Local\Temp\OnboardLogs" /stypes="app*4001*20171008*" /stext=" 09:.+((SYSTEM_STATE.+slice.+state.+changed )|(ment ac)|(multiple cpu faults)|(system.+state.+changed )|(\[timeout)|(PRM\|1\|D)|(kpr)|(kdp)|(train st.+moving)|(\|lc)|(penalty))"</v>
      </c>
      <c r="AG199" s="182" t="str">
        <f t="shared" si="140"/>
        <v>Other</v>
      </c>
      <c r="AH199" s="78" t="str">
        <f t="shared" si="86"/>
        <v>"%USERPROFILE%\Documents\GitHub\eaglep3\Utilities\RefineRTDCRunTimes.py" --tripid 302-08 --locoid 4001 --swversion DE.1.0.9.0 --startMP 300:20206 --initTime 2017-10-08T03:09:11 --startdatetime 2017-10-08T03:15:57 --delay 58 --endMP 204:138 --enddatetime 2017-10-08T03:24:02 --enforcementcount 0 &gt;&gt;%USERPROFILE%\Documents\GitHub\eaglep3-reporting\EC\2017-10-08-refined-times.txt</v>
      </c>
      <c r="AI199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{"issue":{"subject":"","project_id":79,"tracker_id":40,"status_id":1,"priority_id":2,"assigned_to_id":338,"start_date":"2017-10-08","description":"","custom_fields":[{"id":1,"name":"Subdivision","value":"Other"},{"id":4,"name":"Milepost","value":"0.0138"},{"id":17,"name":"Train ID","value":"302-08"},{"id":16,"name":"Locomotive ID","value":"4001"},{"id":130,"name":"Impact","value":""},{"id":150,"name":"Time of Event (Mountain Time)","value":"03:24:02"},{"id":151,"name":"Denver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88"/>
        <v>start /low /b %USERPROFILE%\Documents\GitHub\eaglep3\Utilities\DownloadLogsFromS3.py --loco 4001 --day 2017-10-08</v>
      </c>
      <c r="AN199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09:24:02"},{"id":29,"name":"Sharepoint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0"/>
        <v>https://d0f6bd738d7f1b3e5a7ca70fe4ff75f0.us-east-1.aws.found.io/app/kibana#/discover/Steve-Slow-Train-Analysis-(2080s-and-2083s)?_g=(refreshInterval:(display:Off,pause:!f,section:0,value:0),time:(from:'2017-10-08T02:09:11-0600',mode:absolute,to:'2017-10-08T04:24:02-0600'))&amp;_a=(columns:!('Message%20ID',Summary),filters:!(),index:'emp_*',interval:auto,query:(query_string:(analyze_wildcard:!t,query:'%22rtdc.l.rtdc.4001%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804</v>
      </c>
      <c r="B200" s="7">
        <v>4064</v>
      </c>
      <c r="C200" s="21" t="s">
        <v>194</v>
      </c>
      <c r="D200" s="21" t="s">
        <v>898</v>
      </c>
      <c r="E200" s="13">
        <v>43016.800462962965</v>
      </c>
      <c r="F200" s="13">
        <v>43016.803101851852</v>
      </c>
      <c r="G200" s="7">
        <v>73</v>
      </c>
      <c r="H200" s="21" t="s">
        <v>965</v>
      </c>
      <c r="I200" s="13">
        <v>43016.810335648152</v>
      </c>
      <c r="J200" s="7">
        <v>0</v>
      </c>
      <c r="K200" s="89" t="str">
        <f t="shared" si="135"/>
        <v>4063/4064</v>
      </c>
      <c r="L200" s="185" t="str">
        <f>VLOOKUP(A200,'Trips&amp;Operators'!$C$1:$G$99911,5,FALSE)</f>
        <v>BERLING GARY</v>
      </c>
      <c r="M200" s="6">
        <f t="shared" si="136"/>
        <v>7.2337962992605753E-3</v>
      </c>
      <c r="N200" s="7">
        <f t="shared" si="147"/>
        <v>10.416666670935228</v>
      </c>
      <c r="O200" s="7"/>
      <c r="P200" s="7"/>
      <c r="Q200" s="22"/>
      <c r="R200" s="174"/>
      <c r="S200" s="221">
        <f t="shared" si="148"/>
        <v>1</v>
      </c>
      <c r="T200" s="174" t="str">
        <f t="shared" si="137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0"/>
        <v>https://d0f6bd738d7f1b3e5a7ca70fe4ff75f0.us-east-1.aws.found.io/app/kibana#/discover/Steve-Slow-Train-Analysis-(2080s-and-2083s)?_g=(refreshInterval:(display:Off,pause:!f,section:0,value:0),time:(from:'2017-10-08T18:12:40-0600',mode:absolute,to:'2017-10-08T20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0" s="204" t="str">
        <f>IF(AA200&lt;VLOOKUP(AG200,Variables!$AC$3:$AD$8,2,FALSE),"Y","N")</f>
        <v>Y</v>
      </c>
      <c r="X200" s="204">
        <f t="shared" si="149"/>
        <v>1</v>
      </c>
      <c r="Y200" s="204">
        <f t="shared" si="155"/>
        <v>9.5500000000000002E-2</v>
      </c>
      <c r="Z200" s="204">
        <f t="shared" si="156"/>
        <v>2.3302</v>
      </c>
      <c r="AA200" s="204">
        <f t="shared" si="138"/>
        <v>2.2347000000000001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139"/>
        <v>303</v>
      </c>
      <c r="AE200" s="77" t="str">
        <f t="shared" si="83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200" s="74" t="str">
        <f t="shared" si="84"/>
        <v>"C:\Program Files (x86)\AstroGrep\AstroGrep.exe" /e /r /s /spath="%USERPROFILE%\AppData\Local\Temp\OnboardLogs" /stypes="app*4064*20171009*" /stext=" 01:.+((SYSTEM_STATE.+slice.+state.+changed )|(ment ac)|(multiple cpu faults)|(system.+state.+changed )|(\[timeout)|(PRM\|1\|D)|(kpr)|(kdp)|(train st.+moving)|(\|lc)|(penalty))"</v>
      </c>
      <c r="AG200" s="182" t="str">
        <f t="shared" si="140"/>
        <v>Other</v>
      </c>
      <c r="AH200" s="78" t="str">
        <f t="shared" si="86"/>
        <v>"%USERPROFILE%\Documents\GitHub\eaglep3\Utilities\RefineRTDCRunTimes.py" --tripid 303-08 --locoid 4064 --swversion DE.1.0.9.0 --startMP 204:955 --initTime 2017-10-08T19:12:40 --startdatetime 2017-10-08T19:16:28 --delay 73 --endMP 300:23302 --enddatetime 2017-10-08T19:26:53 --enforcementcount 0 &gt;&gt;%USERPROFILE%\Documents\GitHub\eaglep3-reporting\EC\2017-10-08-refined-times.txt</v>
      </c>
      <c r="AI200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{"issue":{"subject":"","project_id":79,"tracker_id":40,"status_id":1,"priority_id":2,"assigned_to_id":338,"start_date":"2017-10-08","description":"","custom_fields":[{"id":1,"name":"Subdivision","value":"Other"},{"id":4,"name":"Milepost","value":"2.3302"},{"id":17,"name":"Train ID","value":"303-08"},{"id":16,"name":"Locomotive ID","value":"4064"},{"id":130,"name":"Impact","value":""},{"id":150,"name":"Time of Event (Mountain Time)","value":"19:26:53"},{"id":151,"name":"Denver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88"/>
        <v>start /low /b %USERPROFILE%\Documents\GitHub\eaglep3\Utilities\DownloadLogsFromS3.py --loco 4064 --day 2017-10-08</v>
      </c>
      <c r="AN200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0"/>
        <v>https://d0f6bd738d7f1b3e5a7ca70fe4ff75f0.us-east-1.aws.found.io/app/kibana#/discover/Steve-Slow-Train-Analysis-(2080s-and-2083s)?_g=(refreshInterval:(display:Off,pause:!f,section:0,value:0),time:(from:'2017-10-08T18:12:40-0600',mode:absolute,to:'2017-10-08T20:26:53-0600'))&amp;_a=(columns:!('Message%20ID',Summary),filters:!(),index:'emp_*',interval:auto,query:(query_string:(analyze_wildcard:!t,query:'%22rtdc.l.rtdc.4064%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640</v>
      </c>
      <c r="B201" s="7">
        <v>4049</v>
      </c>
      <c r="C201" s="21" t="s">
        <v>194</v>
      </c>
      <c r="D201" s="21" t="s">
        <v>966</v>
      </c>
      <c r="E201" s="13">
        <v>43016.157511574071</v>
      </c>
      <c r="F201" s="13">
        <v>43016.162245370368</v>
      </c>
      <c r="G201" s="7">
        <v>81</v>
      </c>
      <c r="H201" s="21" t="s">
        <v>372</v>
      </c>
      <c r="I201" s="13">
        <v>43016.168958333335</v>
      </c>
      <c r="J201" s="7">
        <v>0</v>
      </c>
      <c r="K201" s="89" t="str">
        <f t="shared" si="135"/>
        <v>4049/4050</v>
      </c>
      <c r="L201" s="185" t="str">
        <f>VLOOKUP(A201,'Trips&amp;Operators'!$C$1:$G$99911,5,FALSE)</f>
        <v>LANGERAK WILLIAM</v>
      </c>
      <c r="M201" s="6">
        <f t="shared" si="136"/>
        <v>6.7129629678674974E-3</v>
      </c>
      <c r="N201" s="7">
        <f t="shared" si="147"/>
        <v>9.6666666737291962</v>
      </c>
      <c r="O201" s="7"/>
      <c r="P201" s="7"/>
      <c r="Q201" s="22"/>
      <c r="R201" s="174"/>
      <c r="S201" s="221">
        <f t="shared" si="148"/>
        <v>1</v>
      </c>
      <c r="T201" s="174" t="str">
        <f t="shared" si="137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0"/>
        <v>https://d0f6bd738d7f1b3e5a7ca70fe4ff75f0.us-east-1.aws.found.io/app/kibana#/discover/Steve-Slow-Train-Analysis-(2080s-and-2083s)?_g=(refreshInterval:(display:Off,pause:!f,section:0,value:0),time:(from:'2017-10-08T02:46:49-0600',mode:absolute,to:'2017-10-08T05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1" s="204" t="str">
        <f>IF(AA201&lt;VLOOKUP(AG201,Variables!$AC$3:$AD$8,2,FALSE),"Y","N")</f>
        <v>Y</v>
      </c>
      <c r="X201" s="204">
        <f t="shared" si="149"/>
        <v>1</v>
      </c>
      <c r="Y201" s="204">
        <f t="shared" si="155"/>
        <v>2.2299000000000002</v>
      </c>
      <c r="Z201" s="204">
        <f t="shared" si="156"/>
        <v>1.3899999999999999E-2</v>
      </c>
      <c r="AA201" s="204">
        <f t="shared" si="138"/>
        <v>2.2160000000000002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139"/>
        <v>304</v>
      </c>
      <c r="AE201" s="77" t="str">
        <f t="shared" si="83"/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AF201" s="74" t="str">
        <f t="shared" si="84"/>
        <v>"C:\Program Files (x86)\AstroGrep\AstroGrep.exe" /e /r /s /spath="%USERPROFILE%\AppData\Local\Temp\OnboardLogs" /stypes="app*4049*20171008*" /stext=" 10:.+((SYSTEM_STATE.+slice.+state.+changed )|(ment ac)|(multiple cpu faults)|(system.+state.+changed )|(\[timeout)|(PRM\|1\|D)|(kpr)|(kdp)|(train st.+moving)|(\|lc)|(penalty))"</v>
      </c>
      <c r="AG201" s="182" t="str">
        <f t="shared" si="140"/>
        <v>Other</v>
      </c>
      <c r="AH201" s="78" t="str">
        <f t="shared" si="86"/>
        <v>"%USERPROFILE%\Documents\GitHub\eaglep3\Utilities\RefineRTDCRunTimes.py" --tripid 304-08 --locoid 4049 --swversion DE.1.0.9.0 --startMP 300:22299 --initTime 2017-10-08T03:46:49 --startdatetime 2017-10-08T03:53:38 --delay 81 --endMP 204:139 --enddatetime 2017-10-08T04:03:18 --enforcementcount 0 &gt;&gt;%USERPROFILE%\Documents\GitHub\eaglep3-reporting\EC\2017-10-08-refined-times.txt</v>
      </c>
      <c r="AI201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{"issue":{"subject":"","project_id":79,"tracker_id":40,"status_id":1,"priority_id":2,"assigned_to_id":338,"start_date":"2017-10-08","description":"","custom_fields":[{"id":1,"name":"Subdivision","value":"Other"},{"id":4,"name":"Milepost","value":"0.0139"},{"id":17,"name":"Train ID","value":"304-08"},{"id":16,"name":"Locomotive ID","value":"4049"},{"id":130,"name":"Impact","value":""},{"id":150,"name":"Time of Event (Mountain Time)","value":"04:03:18"},{"id":151,"name":"Denver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88"/>
        <v>start /low /b %USERPROFILE%\Documents\GitHub\eaglep3\Utilities\DownloadLogsFromS3.py --loco 4049 --day 2017-10-08</v>
      </c>
      <c r="AN201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0"/>
        <v>https://d0f6bd738d7f1b3e5a7ca70fe4ff75f0.us-east-1.aws.found.io/app/kibana#/discover/Steve-Slow-Train-Analysis-(2080s-and-2083s)?_g=(refreshInterval:(display:Off,pause:!f,section:0,value:0),time:(from:'2017-10-08T02:46:49-0600',mode:absolute,to:'2017-10-08T05:03:18-0600'))&amp;_a=(columns:!('Message%20ID',Summary),filters:!(),index:'emp_*',interval:auto,query:(query_string:(analyze_wildcard:!t,query:'%22rtdc.l.rtdc.4049%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807</v>
      </c>
      <c r="B202" s="7">
        <v>4006</v>
      </c>
      <c r="C202" s="21" t="s">
        <v>194</v>
      </c>
      <c r="D202" s="21" t="s">
        <v>385</v>
      </c>
      <c r="E202" s="13">
        <v>43016.818356481483</v>
      </c>
      <c r="F202" s="13">
        <v>43016.819861111115</v>
      </c>
      <c r="G202" s="7">
        <v>53</v>
      </c>
      <c r="H202" s="21" t="s">
        <v>452</v>
      </c>
      <c r="I202" s="13">
        <v>43016.82916666667</v>
      </c>
      <c r="J202" s="7">
        <v>0</v>
      </c>
      <c r="K202" s="89" t="str">
        <f t="shared" si="135"/>
        <v>4005/4006</v>
      </c>
      <c r="L202" s="185" t="str">
        <f>VLOOKUP(A202,'Trips&amp;Operators'!$C$1:$G$99911,5,FALSE)</f>
        <v>KILLION DAVID</v>
      </c>
      <c r="M202" s="6">
        <f t="shared" si="136"/>
        <v>9.3055555553291924E-3</v>
      </c>
      <c r="N202" s="7">
        <f t="shared" si="147"/>
        <v>13.399999999674037</v>
      </c>
      <c r="O202" s="7"/>
      <c r="P202" s="7"/>
      <c r="Q202" s="22"/>
      <c r="R202" s="174"/>
      <c r="S202" s="221">
        <f t="shared" si="148"/>
        <v>1</v>
      </c>
      <c r="T202" s="174" t="str">
        <f t="shared" si="137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0"/>
        <v>https://d0f6bd738d7f1b3e5a7ca70fe4ff75f0.us-east-1.aws.found.io/app/kibana#/discover/Steve-Slow-Train-Analysis-(2080s-and-2083s)?_g=(refreshInterval:(display:Off,pause:!f,section:0,value:0),time:(from:'2017-10-08T18:38:26-0600',mode:absolute,to:'2017-10-08T20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204" t="str">
        <f>IF(AA202&lt;VLOOKUP(AG202,Variables!$AC$3:$AD$8,2,FALSE),"Y","N")</f>
        <v>Y</v>
      </c>
      <c r="X202" s="204">
        <f t="shared" si="149"/>
        <v>1</v>
      </c>
      <c r="Y202" s="204">
        <f t="shared" si="155"/>
        <v>4.5699999999999998E-2</v>
      </c>
      <c r="Z202" s="204">
        <f t="shared" si="156"/>
        <v>2.3346</v>
      </c>
      <c r="AA202" s="204">
        <f t="shared" si="138"/>
        <v>2.2888999999999999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139"/>
        <v>305</v>
      </c>
      <c r="AE202" s="77" t="str">
        <f t="shared" si="83"/>
        <v>aws s3 cp s3://rtdc.mdm.uploadarchive.raw/RTDC4006/ "%USERPROFILE%\AppData\Local\Temp\OnboardLogs"\RTDC4006\2017-10-08 --exclude "*" --recursive --include "*20171008*" &amp; "%USERPROFILE%\Documents\GitHub\mrs-test-scripts\Headless Mode &amp; Sideloading\WalkAndUnGZ.bat" "%USERPROFILE%\AppData\Local\Temp\OnboardLogs"\RTDC4006\2017-10-08 &amp; aws s3 cp s3://rtdc.mdm.uploadarchive.raw/RTDC4006/ "%USERPROFILE%\AppData\Local\Temp\OnboardLogs"\RTDC4006\2017-10-09 --exclude "*" --recursive --include "*20171009*" &amp; "%USERPROFILE%\Documents\GitHub\mrs-test-scripts\Headless Mode &amp; Sideloading\WalkAndUnGZ.bat" "%USERPROFILE%\AppData\Local\Temp\OnboardLogs"\RTDC4006\2017-10-09</v>
      </c>
      <c r="AF202" s="74" t="str">
        <f t="shared" si="84"/>
        <v>"C:\Program Files (x86)\AstroGrep\AstroGrep.exe" /e /r /s /spath="%USERPROFILE%\AppData\Local\Temp\OnboardLogs" /stypes="app*4006*20171009*" /stext=" 01:.+((SYSTEM_STATE.+slice.+state.+changed )|(ment ac)|(multiple cpu faults)|(system.+state.+changed )|(\[timeout)|(PRM\|1\|D)|(kpr)|(kdp)|(train st.+moving)|(\|lc)|(penalty))"</v>
      </c>
      <c r="AG202" s="182" t="str">
        <f t="shared" si="140"/>
        <v>Other</v>
      </c>
      <c r="AH202" s="78" t="str">
        <f t="shared" si="86"/>
        <v>"%USERPROFILE%\Documents\GitHub\eaglep3\Utilities\RefineRTDCRunTimes.py" --tripid 305-08 --locoid 4006 --swversion DE.1.0.9.0 --startMP 204:457 --initTime 2017-10-08T19:38:26 --startdatetime 2017-10-08T19:40:36 --delay 53 --endMP 300:23346 --enddatetime 2017-10-08T19:54:00 --enforcementcount 0 &gt;&gt;%USERPROFILE%\Documents\GitHub\eaglep3-reporting\EC\2017-10-08-refined-times.txt</v>
      </c>
      <c r="AI202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{"issue":{"subject":"","project_id":79,"tracker_id":40,"status_id":1,"priority_id":2,"assigned_to_id":338,"start_date":"2017-10-08","description":"","custom_fields":[{"id":1,"name":"Subdivision","value":"Other"},{"id":4,"name":"Milepost","value":"2.3346"},{"id":17,"name":"Train ID","value":"305-08"},{"id":16,"name":"Locomotive ID","value":"4006"},{"id":130,"name":"Impact","value":""},{"id":150,"name":"Time of Event (Mountain Time)","value":"19:54:00"},{"id":151,"name":"Denver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88"/>
        <v>start /low /b %USERPROFILE%\Documents\GitHub\eaglep3\Utilities\DownloadLogsFromS3.py --loco 4006 --day 2017-10-08</v>
      </c>
      <c r="AN202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01:54:00"},{"id":29,"name":"Sharepoint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0"/>
        <v>https://d0f6bd738d7f1b3e5a7ca70fe4ff75f0.us-east-1.aws.found.io/app/kibana#/discover/Steve-Slow-Train-Analysis-(2080s-and-2083s)?_g=(refreshInterval:(display:Off,pause:!f,section:0,value:0),time:(from:'2017-10-08T18:38:26-0600',mode:absolute,to:'2017-10-08T20:54:00-0600'))&amp;_a=(columns:!('Message%20ID',Summary),filters:!(),index:'emp_*',interval:auto,query:(query_string:(analyze_wildcard:!t,query:'%22rtdc.l.rtdc.4006%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585</v>
      </c>
      <c r="B203" s="7">
        <v>4065</v>
      </c>
      <c r="C203" s="21" t="s">
        <v>194</v>
      </c>
      <c r="D203" s="21" t="s">
        <v>967</v>
      </c>
      <c r="E203" s="13">
        <v>43016.166666666664</v>
      </c>
      <c r="F203" s="13">
        <v>43016.17087962963</v>
      </c>
      <c r="G203" s="7">
        <v>64</v>
      </c>
      <c r="H203" s="21" t="s">
        <v>968</v>
      </c>
      <c r="I203" s="13">
        <v>43016.178333333337</v>
      </c>
      <c r="J203" s="7">
        <v>0</v>
      </c>
      <c r="K203" s="89" t="str">
        <f t="shared" si="135"/>
        <v>4065/4066</v>
      </c>
      <c r="L203" s="185" t="str">
        <f>VLOOKUP(A203,'Trips&amp;Operators'!$C$1:$G$99911,5,FALSE)</f>
        <v>LALONDE GREGORY</v>
      </c>
      <c r="M203" s="6">
        <f t="shared" si="136"/>
        <v>7.4537037071422674E-3</v>
      </c>
      <c r="N203" s="7">
        <f t="shared" si="147"/>
        <v>10.733333338284865</v>
      </c>
      <c r="O203" s="7"/>
      <c r="P203" s="7"/>
      <c r="Q203" s="22"/>
      <c r="R203" s="174"/>
      <c r="S203" s="221">
        <f t="shared" si="148"/>
        <v>1</v>
      </c>
      <c r="T203" s="174" t="str">
        <f t="shared" si="137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0"/>
        <v>https://d0f6bd738d7f1b3e5a7ca70fe4ff75f0.us-east-1.aws.found.io/app/kibana#/discover/Steve-Slow-Train-Analysis-(2080s-and-2083s)?_g=(refreshInterval:(display:Off,pause:!f,section:0,value:0),time:(from:'2017-10-08T03:00:00-0600',mode:absolute,to:'2017-10-08T05:16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3" s="204" t="str">
        <f>IF(AA203&lt;VLOOKUP(AG203,Variables!$AC$3:$AD$8,2,FALSE),"Y","N")</f>
        <v>Y</v>
      </c>
      <c r="X203" s="204">
        <f t="shared" si="149"/>
        <v>1</v>
      </c>
      <c r="Y203" s="204">
        <f t="shared" si="155"/>
        <v>2.3593000000000002</v>
      </c>
      <c r="Z203" s="204">
        <f t="shared" si="156"/>
        <v>0.4602</v>
      </c>
      <c r="AA203" s="204">
        <f t="shared" si="138"/>
        <v>1.8991000000000002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139"/>
        <v>306</v>
      </c>
      <c r="AE203" s="77" t="str">
        <f t="shared" si="83"/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AF203" s="74" t="str">
        <f t="shared" si="84"/>
        <v>"C:\Program Files (x86)\AstroGrep\AstroGrep.exe" /e /r /s /spath="%USERPROFILE%\AppData\Local\Temp\OnboardLogs" /stypes="app*4065*20171008*" /stext=" 10:.+((SYSTEM_STATE.+slice.+state.+changed )|(ment ac)|(multiple cpu faults)|(system.+state.+changed )|(\[timeout)|(PRM\|1\|D)|(kpr)|(kdp)|(train st.+moving)|(\|lc)|(penalty))"</v>
      </c>
      <c r="AG203" s="182" t="str">
        <f t="shared" si="140"/>
        <v>Other</v>
      </c>
      <c r="AH203" s="78" t="str">
        <f t="shared" si="86"/>
        <v>"%USERPROFILE%\Documents\GitHub\eaglep3\Utilities\RefineRTDCRunTimes.py" --tripid 306-08 --locoid 4065 --swversion DE.1.0.9.0 --startMP 300:23593 --initTime 2017-10-08T04:00:00 --startdatetime 2017-10-08T04:06:04 --delay 64 --endMP 204:4602 --enddatetime 2017-10-08T04:16:48 --enforcementcount 0 &gt;&gt;%USERPROFILE%\Documents\GitHub\eaglep3-reporting\EC\2017-10-08-refined-times.txt</v>
      </c>
      <c r="AI203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{"issue":{"subject":"","project_id":79,"tracker_id":40,"status_id":1,"priority_id":2,"assigned_to_id":338,"start_date":"2017-10-08","description":"","custom_fields":[{"id":1,"name":"Subdivision","value":"Other"},{"id":4,"name":"Milepost","value":"0.4602"},{"id":17,"name":"Train ID","value":"306-08"},{"id":16,"name":"Locomotive ID","value":"4065"},{"id":130,"name":"Impact","value":""},{"id":150,"name":"Time of Event (Mountain Time)","value":"04:16:48"},{"id":151,"name":"Denver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88"/>
        <v>start /low /b %USERPROFILE%\Documents\GitHub\eaglep3\Utilities\DownloadLogsFromS3.py --loco 4065 --day 2017-10-08</v>
      </c>
      <c r="AN203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10:16:48"},{"id":29,"name":"Sharepoint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0"/>
        <v>https://d0f6bd738d7f1b3e5a7ca70fe4ff75f0.us-east-1.aws.found.io/app/kibana#/discover/Steve-Slow-Train-Analysis-(2080s-and-2083s)?_g=(refreshInterval:(display:Off,pause:!f,section:0,value:0),time:(from:'2017-10-08T03:00:00-0600',mode:absolute,to:'2017-10-08T05:16:48-0600'))&amp;_a=(columns:!('Message%20ID',Summary),filters:!(),index:'emp_*',interval:auto,query:(query_string:(analyze_wildcard:!t,query:'%22rtdc.l.rtdc.4065%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838</v>
      </c>
      <c r="B204" s="7">
        <v>4002</v>
      </c>
      <c r="C204" s="21" t="s">
        <v>194</v>
      </c>
      <c r="D204" s="21" t="s">
        <v>404</v>
      </c>
      <c r="E204" s="13">
        <v>43017.047662037039</v>
      </c>
      <c r="F204" s="13">
        <v>43017.049386574072</v>
      </c>
      <c r="G204" s="7">
        <v>53</v>
      </c>
      <c r="H204" s="21" t="s">
        <v>969</v>
      </c>
      <c r="I204" s="13">
        <v>43017.05810185185</v>
      </c>
      <c r="J204" s="7">
        <v>0</v>
      </c>
      <c r="K204" s="89" t="str">
        <f t="shared" si="135"/>
        <v>4001/4002</v>
      </c>
      <c r="L204" s="185" t="str">
        <f>VLOOKUP(A204,'Trips&amp;Operators'!$C$1:$G$99911,5,FALSE)</f>
        <v>LOZA FIDEL</v>
      </c>
      <c r="M204" s="6">
        <f t="shared" si="136"/>
        <v>8.7152777778101154E-3</v>
      </c>
      <c r="N204" s="7">
        <f t="shared" si="147"/>
        <v>12.550000000046566</v>
      </c>
      <c r="O204" s="7"/>
      <c r="P204" s="7"/>
      <c r="Q204" s="22"/>
      <c r="R204" s="174"/>
      <c r="S204" s="221">
        <f t="shared" si="148"/>
        <v>1</v>
      </c>
      <c r="T204" s="174" t="str">
        <f t="shared" si="137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0"/>
        <v>https://d0f6bd738d7f1b3e5a7ca70fe4ff75f0.us-east-1.aws.found.io/app/kibana#/discover/Steve-Slow-Train-Analysis-(2080s-and-2083s)?_g=(refreshInterval:(display:Off,pause:!f,section:0,value:0),time:(from:'2017-10-09T00:08:38-0600',mode:absolute,to:'2017-10-09T02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204" t="str">
        <f>IF(AA204&lt;VLOOKUP(AG204,Variables!$AC$3:$AD$8,2,FALSE),"Y","N")</f>
        <v>Y</v>
      </c>
      <c r="X204" s="204">
        <f t="shared" si="149"/>
        <v>1</v>
      </c>
      <c r="Y204" s="204">
        <f t="shared" si="155"/>
        <v>4.6699999999999998E-2</v>
      </c>
      <c r="Z204" s="204">
        <f t="shared" si="156"/>
        <v>2.3311999999999999</v>
      </c>
      <c r="AA204" s="204">
        <f t="shared" si="138"/>
        <v>2.2845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139"/>
        <v>307</v>
      </c>
      <c r="AE204" s="77" t="str">
        <f t="shared" si="83"/>
        <v>aws s3 cp s3://rtdc.mdm.uploadarchive.raw/RTDC4002/ "%USERPROFILE%\AppData\Local\Temp\OnboardLogs"\RTDC4002\2017-10-09 --exclude "*" --recursive --include "*20171009*" &amp; "%USERPROFILE%\Documents\GitHub\mrs-test-scripts\Headless Mode &amp; Sideloading\WalkAndUnGZ.bat" "%USERPROFILE%\AppData\Local\Temp\OnboardLogs"\RTDC4002\2017-10-09 &amp; aws s3 cp s3://rtdc.mdm.uploadarchive.raw/RTDC4002/ "%USERPROFILE%\AppData\Local\Temp\OnboardLogs"\RTDC4002\2017-10-10 --exclude "*" --recursive --include "*20171010*" &amp; "%USERPROFILE%\Documents\GitHub\mrs-test-scripts\Headless Mode &amp; Sideloading\WalkAndUnGZ.bat" "%USERPROFILE%\AppData\Local\Temp\OnboardLogs"\RTDC4002\2017-10-10</v>
      </c>
      <c r="AF204" s="74" t="str">
        <f t="shared" si="84"/>
        <v>"C:\Program Files (x86)\AstroGrep\AstroGrep.exe" /e /r /s /spath="%USERPROFILE%\AppData\Local\Temp\OnboardLogs" /stypes="app*4002*20171009*" /stext=" 07:.+((SYSTEM_STATE.+slice.+state.+changed )|(ment ac)|(multiple cpu faults)|(system.+state.+changed )|(\[timeout)|(PRM\|1\|D)|(kpr)|(kdp)|(train st.+moving)|(\|lc)|(penalty))"</v>
      </c>
      <c r="AG204" s="182" t="str">
        <f t="shared" si="140"/>
        <v>Other</v>
      </c>
      <c r="AH204" s="78" t="str">
        <f t="shared" si="86"/>
        <v>"%USERPROFILE%\Documents\GitHub\eaglep3\Utilities\RefineRTDCRunTimes.py" --tripid 307-08 --locoid 4002 --swversion DE.1.0.9.0 --startMP 204:467 --initTime 2017-10-09T01:08:38 --startdatetime 2017-10-09T01:11:07 --delay 53 --endMP 300:23312 --enddatetime 2017-10-09T01:23:40 --enforcementcount 0 &gt;&gt;%USERPROFILE%\Documents\GitHub\eaglep3-reporting\EC\2017-10-08-refined-times.txt</v>
      </c>
      <c r="AI204" s="96" t="str">
        <f t="shared" si="87"/>
        <v>echo {"issue":{"subject":"","project_id":79,"tracker_id":40,"status_id":1,"priority_id":2,"assigned_to_id":338,"start_date":"2017-10-09","description":"","custom_fields":[{"id":1,"name":"Subdivision","value":"Other"},{"id":4,"name":"Milepost","value":"2.3312"},{"id":17,"name":"Train ID","value":"307-08"},{"id":16,"name":"Locomotive ID","value":"4002"},{"id":130,"name":"Impact","value":""},{"id":150,"name":"Time of Event (Mountain Time)","value":"01:23:40"},{"id":151,"name":"Denver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88"/>
        <v>start /low /b %USERPROFILE%\Documents\GitHub\eaglep3\Utilities\DownloadLogsFromS3.py --loco 4002 --day 2017-10-09</v>
      </c>
      <c r="AN204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07:23:40"},{"id":29,"name":"Sharepoint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0"/>
        <v>https://d0f6bd738d7f1b3e5a7ca70fe4ff75f0.us-east-1.aws.found.io/app/kibana#/discover/Steve-Slow-Train-Analysis-(2080s-and-2083s)?_g=(refreshInterval:(display:Off,pause:!f,section:0,value:0),time:(from:'2017-10-09T00:08:38-0600',mode:absolute,to:'2017-10-09T02:23:40-0600'))&amp;_a=(columns:!('Message%20ID',Summary),filters:!(),index:'emp_*',interval:auto,query:(query_string:(analyze_wildcard:!t,query:'%22rtdc.l.rtdc.4002%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646</v>
      </c>
      <c r="B205" s="7">
        <v>4035</v>
      </c>
      <c r="C205" s="21" t="s">
        <v>194</v>
      </c>
      <c r="D205" s="21" t="s">
        <v>970</v>
      </c>
      <c r="E205" s="13">
        <v>43016.173136574071</v>
      </c>
      <c r="F205" s="13">
        <v>43016.180497685185</v>
      </c>
      <c r="G205" s="7">
        <v>84</v>
      </c>
      <c r="H205" s="21" t="s">
        <v>339</v>
      </c>
      <c r="I205" s="13">
        <v>43016.191331018519</v>
      </c>
      <c r="J205" s="7">
        <v>0</v>
      </c>
      <c r="K205" s="89" t="str">
        <f t="shared" si="135"/>
        <v>4035/4036</v>
      </c>
      <c r="L205" s="185" t="str">
        <f>VLOOKUP(A205,'Trips&amp;Operators'!$C$1:$G$99911,5,FALSE)</f>
        <v>GEBRETEKLE DAGNEW</v>
      </c>
      <c r="M205" s="6">
        <f t="shared" si="136"/>
        <v>1.0833333333721384E-2</v>
      </c>
      <c r="N205" s="7">
        <f t="shared" si="147"/>
        <v>15.600000000558794</v>
      </c>
      <c r="O205" s="7"/>
      <c r="P205" s="7"/>
      <c r="Q205" s="22"/>
      <c r="R205" s="174"/>
      <c r="S205" s="221">
        <f t="shared" si="148"/>
        <v>1</v>
      </c>
      <c r="T205" s="174" t="str">
        <f t="shared" si="137"/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6" si="15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-08T03:09:19-0600',mode:absolute,to:'2017-10-08T05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5" s="204" t="str">
        <f>IF(AA205&lt;VLOOKUP(AG205,Variables!$AC$3:$AD$8,2,FALSE),"Y","N")</f>
        <v>Y</v>
      </c>
      <c r="X205" s="204">
        <f t="shared" si="149"/>
        <v>1</v>
      </c>
      <c r="Y205" s="204">
        <f t="shared" si="155"/>
        <v>2.3631000000000002</v>
      </c>
      <c r="Z205" s="204">
        <f t="shared" si="156"/>
        <v>1.41E-2</v>
      </c>
      <c r="AA205" s="204">
        <f t="shared" si="138"/>
        <v>2.3490000000000002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139"/>
        <v>308</v>
      </c>
      <c r="AE205" s="77" t="str">
        <f t="shared" ref="AE205:AE226" si="15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AF205" s="74" t="str">
        <f t="shared" ref="AF205:AF226" si="15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/stypes="app*4035*20171008*" /stext=" 10:.+((SYSTEM_STATE.+slice.+state.+changed )|(ment ac)|(multiple cpu faults)|(system.+state.+changed )|(\[timeout)|(PRM\|1\|D)|(kpr)|(kdp)|(train st.+moving)|(\|lc)|(penalty))"</v>
      </c>
      <c r="AG205" s="182" t="str">
        <f t="shared" si="140"/>
        <v>Other</v>
      </c>
      <c r="AH205" s="78" t="str">
        <f t="shared" si="86"/>
        <v>"%USERPROFILE%\Documents\GitHub\eaglep3\Utilities\RefineRTDCRunTimes.py" --tripid 308-08 --locoid 4035 --swversion DE.1.0.9.0 --startMP 300:23631 --initTime 2017-10-08T04:09:19 --startdatetime 2017-10-08T04:19:55 --delay 84 --endMP 204:141 --enddatetime 2017-10-08T04:35:31 --enforcementcount 0 &gt;&gt;%USERPROFILE%\Documents\GitHub\eaglep3-reporting\EC\2017-10-08-refined-times.txt</v>
      </c>
      <c r="AI205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{"issue":{"subject":"","project_id":79,"tracker_id":40,"status_id":1,"priority_id":2,"assigned_to_id":338,"start_date":"2017-10-08","description":"","custom_fields":[{"id":1,"name":"Subdivision","value":"Other"},{"id":4,"name":"Milepost","value":"0.0141"},{"id":17,"name":"Train ID","value":"308-08"},{"id":16,"name":"Locomotive ID","value":"4035"},{"id":130,"name":"Impact","value":""},{"id":150,"name":"Time of Event (Mountain Time)","value":"04:35:31"},{"id":151,"name":"Denver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88"/>
        <v>start /low /b %USERPROFILE%\Documents\GitHub\eaglep3\Utilities\DownloadLogsFromS3.py --loco 4035 --day 2017-10-08</v>
      </c>
      <c r="AN205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0"/>
        <v>https://d0f6bd738d7f1b3e5a7ca70fe4ff75f0.us-east-1.aws.found.io/app/kibana#/discover/Steve-Slow-Train-Analysis-(2080s-and-2083s)?_g=(refreshInterval:(display:Off,pause:!f,section:0,value:0),time:(from:'2017-10-08T03:09:19-0600',mode:absolute,to:'2017-10-08T05:35:31-0600'))&amp;_a=(columns:!('Message%20ID',Summary),filters:!(),index:'emp_*',interval:auto,query:(query_string:(analyze_wildcard:!t,query:'%22rtdc.l.rtdc.4035%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840</v>
      </c>
      <c r="B206" s="7">
        <v>4050</v>
      </c>
      <c r="C206" s="21" t="s">
        <v>194</v>
      </c>
      <c r="D206" s="21" t="s">
        <v>338</v>
      </c>
      <c r="E206" s="13">
        <v>43017.066319444442</v>
      </c>
      <c r="F206" s="13">
        <v>43017.067731481482</v>
      </c>
      <c r="G206" s="7">
        <v>72</v>
      </c>
      <c r="H206" s="21" t="s">
        <v>567</v>
      </c>
      <c r="I206" s="13">
        <v>43017.072743055556</v>
      </c>
      <c r="J206" s="7">
        <v>0</v>
      </c>
      <c r="K206" s="89" t="str">
        <f t="shared" si="135"/>
        <v>4049/4050</v>
      </c>
      <c r="L206" s="185" t="str">
        <f>VLOOKUP(A206,'Trips&amp;Operators'!$C$1:$G$99911,5,FALSE)</f>
        <v>ELBAUM MIKE</v>
      </c>
      <c r="M206" s="6">
        <f t="shared" si="136"/>
        <v>5.0115740741603076E-3</v>
      </c>
      <c r="N206" s="7">
        <f t="shared" si="147"/>
        <v>7.216666666790843</v>
      </c>
      <c r="O206" s="7"/>
      <c r="P206" s="7"/>
      <c r="Q206" s="22"/>
      <c r="R206" s="174"/>
      <c r="S206" s="221">
        <f t="shared" si="148"/>
        <v>1</v>
      </c>
      <c r="T206" s="174" t="str">
        <f t="shared" si="137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57"/>
        <v>https://d0f6bd738d7f1b3e5a7ca70fe4ff75f0.us-east-1.aws.found.io/app/kibana#/discover/Steve-Slow-Train-Analysis-(2080s-and-2083s)?_g=(refreshInterval:(display:Off,pause:!f,section:0,value:0),time:(from:'2017-10-09T00:35:30-0600',mode:absolute,to:'2017-10-09T02:44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6" s="204" t="str">
        <f>IF(AA206&lt;VLOOKUP(AG206,Variables!$AC$3:$AD$8,2,FALSE),"Y","N")</f>
        <v>Y</v>
      </c>
      <c r="X206" s="204">
        <f t="shared" si="149"/>
        <v>1</v>
      </c>
      <c r="Y206" s="204">
        <f t="shared" si="155"/>
        <v>4.53E-2</v>
      </c>
      <c r="Z206" s="204">
        <f t="shared" si="156"/>
        <v>2.3306</v>
      </c>
      <c r="AA206" s="204">
        <f t="shared" si="138"/>
        <v>2.2852999999999999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39"/>
        <v>309</v>
      </c>
      <c r="AE206" s="77" t="str">
        <f t="shared" si="158"/>
        <v>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 &amp; 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</v>
      </c>
      <c r="AF206" s="74" t="str">
        <f t="shared" si="159"/>
        <v>"C:\Program Files (x86)\AstroGrep\AstroGrep.exe" /e /r /s /spath="%USERPROFILE%\AppData\Local\Temp\OnboardLogs" /stypes="app*4050*20171009*" /stext=" 07:.+((SYSTEM_STATE.+slice.+state.+changed )|(ment ac)|(multiple cpu faults)|(system.+state.+changed )|(\[timeout)|(PRM\|1\|D)|(kpr)|(kdp)|(train st.+moving)|(\|lc)|(penalty))"</v>
      </c>
      <c r="AG206" s="182" t="str">
        <f t="shared" si="140"/>
        <v>Other</v>
      </c>
      <c r="AH206" s="78" t="str">
        <f t="shared" si="86"/>
        <v>"%USERPROFILE%\Documents\GitHub\eaglep3\Utilities\RefineRTDCRunTimes.py" --tripid 309-08 --locoid 4050 --swversion DE.1.0.9.0 --startMP 204:453 --initTime 2017-10-09T01:35:30 --startdatetime 2017-10-09T01:37:32 --delay 72 --endMP 300:23306 --enddatetime 2017-10-09T01:44:45 --enforcementcount 0 &gt;&gt;%USERPROFILE%\Documents\GitHub\eaglep3-reporting\EC\2017-10-08-refined-times.txt</v>
      </c>
      <c r="AI206" s="96" t="str">
        <f t="shared" si="87"/>
        <v>echo {"issue":{"subject":"","project_id":79,"tracker_id":40,"status_id":1,"priority_id":2,"assigned_to_id":338,"start_date":"2017-10-09","description":"","custom_fields":[{"id":1,"name":"Subdivision","value":"Other"},{"id":4,"name":"Milepost","value":"2.3306"},{"id":17,"name":"Train ID","value":"309-08"},{"id":16,"name":"Locomotive ID","value":"4050"},{"id":130,"name":"Impact","value":""},{"id":150,"name":"Time of Event (Mountain Time)","value":"01:44:45"},{"id":151,"name":"Denver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88"/>
        <v>start /low /b %USERPROFILE%\Documents\GitHub\eaglep3\Utilities\DownloadLogsFromS3.py --loco 4050 --day 2017-10-09</v>
      </c>
      <c r="AN206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07:44:45"},{"id":29,"name":"Sharepoint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0"/>
        <v>https://d0f6bd738d7f1b3e5a7ca70fe4ff75f0.us-east-1.aws.found.io/app/kibana#/discover/Steve-Slow-Train-Analysis-(2080s-and-2083s)?_g=(refreshInterval:(display:Off,pause:!f,section:0,value:0),time:(from:'2017-10-09T00:35:30-0600',mode:absolute,to:'2017-10-09T02:44:45-0600'))&amp;_a=(columns:!('Message%20ID',Summary),filters:!(),index:'emp_*',interval:auto,query:(query_string:(analyze_wildcard:!t,query:'%22rtdc.l.rtdc.4050%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651</v>
      </c>
      <c r="B207" s="7">
        <v>4031</v>
      </c>
      <c r="C207" s="21" t="s">
        <v>194</v>
      </c>
      <c r="D207" s="21" t="s">
        <v>971</v>
      </c>
      <c r="E207" s="13">
        <v>43016.197002314817</v>
      </c>
      <c r="F207" s="13">
        <v>43016.200601851851</v>
      </c>
      <c r="G207" s="7">
        <v>117</v>
      </c>
      <c r="H207" s="21" t="s">
        <v>423</v>
      </c>
      <c r="I207" s="13">
        <v>43016.207106481481</v>
      </c>
      <c r="J207" s="7">
        <v>0</v>
      </c>
      <c r="K207" s="89" t="str">
        <f t="shared" si="135"/>
        <v>4031/4032</v>
      </c>
      <c r="L207" s="185" t="str">
        <f>VLOOKUP(A207,'Trips&amp;Operators'!$C$1:$G$99911,5,FALSE)</f>
        <v>WILLIAMS DONTE</v>
      </c>
      <c r="M207" s="6">
        <f t="shared" si="136"/>
        <v>6.5046296294895001E-3</v>
      </c>
      <c r="N207" s="7">
        <f t="shared" si="147"/>
        <v>9.3666666664648801</v>
      </c>
      <c r="O207" s="7"/>
      <c r="P207" s="7"/>
      <c r="Q207" s="22"/>
      <c r="R207" s="174"/>
      <c r="S207" s="221">
        <f t="shared" si="148"/>
        <v>1</v>
      </c>
      <c r="T207" s="174" t="str">
        <f t="shared" si="137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57"/>
        <v>https://d0f6bd738d7f1b3e5a7ca70fe4ff75f0.us-east-1.aws.found.io/app/kibana#/discover/Steve-Slow-Train-Analysis-(2080s-and-2083s)?_g=(refreshInterval:(display:Off,pause:!f,section:0,value:0),time:(from:'2017-10-08T03:43:41-0600',mode:absolute,to:'2017-10-08T05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204" t="str">
        <f>IF(AA207&lt;VLOOKUP(AG207,Variables!$AC$3:$AD$8,2,FALSE),"Y","N")</f>
        <v>Y</v>
      </c>
      <c r="X207" s="204">
        <f t="shared" si="149"/>
        <v>1</v>
      </c>
      <c r="Y207" s="204">
        <f t="shared" si="155"/>
        <v>2.3645999999999998</v>
      </c>
      <c r="Z207" s="204">
        <f t="shared" si="156"/>
        <v>1.6E-2</v>
      </c>
      <c r="AA207" s="204">
        <f t="shared" si="138"/>
        <v>2.3485999999999998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39"/>
        <v>310</v>
      </c>
      <c r="AE207" s="77" t="str">
        <f t="shared" si="158"/>
        <v>aws s3 cp s3://rtdc.mdm.uploadarchive.raw/RTDC4031/ "%USERPROFILE%\AppData\Local\Temp\OnboardLogs"\RTDC4031\2017-10-08 --exclude "*" --recursive --include "*20171008*" &amp; "%USERPROFILE%\Documents\GitHub\mrs-test-scripts\Headless Mode &amp; Sideloading\WalkAndUnGZ.bat" "%USERPROFILE%\AppData\Local\Temp\OnboardLogs"\RTDC4031\2017-10-08 &amp; aws s3 cp s3://rtdc.mdm.uploadarchive.raw/RTDC4031/ "%USERPROFILE%\AppData\Local\Temp\OnboardLogs"\RTDC4031\2017-10-09 --exclude "*" --recursive --include "*20171009*" &amp; "%USERPROFILE%\Documents\GitHub\mrs-test-scripts\Headless Mode &amp; Sideloading\WalkAndUnGZ.bat" "%USERPROFILE%\AppData\Local\Temp\OnboardLogs"\RTDC4031\2017-10-09</v>
      </c>
      <c r="AF207" s="74" t="str">
        <f t="shared" si="159"/>
        <v>"C:\Program Files (x86)\AstroGrep\AstroGrep.exe" /e /r /s /spath="%USERPROFILE%\AppData\Local\Temp\OnboardLogs" /stypes="app*4031*20171008*" /stext=" 10:.+((SYSTEM_STATE.+slice.+state.+changed )|(ment ac)|(multiple cpu faults)|(system.+state.+changed )|(\[timeout)|(PRM\|1\|D)|(kpr)|(kdp)|(train st.+moving)|(\|lc)|(penalty))"</v>
      </c>
      <c r="AG207" s="182" t="str">
        <f t="shared" si="140"/>
        <v>Other</v>
      </c>
      <c r="AH207" s="78" t="str">
        <f t="shared" si="86"/>
        <v>"%USERPROFILE%\Documents\GitHub\eaglep3\Utilities\RefineRTDCRunTimes.py" --tripid 310-08 --locoid 4031 --swversion DE.1.0.9.0 --startMP 300:23646 --initTime 2017-10-08T04:43:41 --startdatetime 2017-10-08T04:48:52 --delay 117 --endMP 204:160 --enddatetime 2017-10-08T04:58:14 --enforcementcount 0 &gt;&gt;%USERPROFILE%\Documents\GitHub\eaglep3-reporting\EC\2017-10-08-refined-times.txt</v>
      </c>
      <c r="AI207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{"issue":{"subject":"","project_id":79,"tracker_id":40,"status_id":1,"priority_id":2,"assigned_to_id":338,"start_date":"2017-10-08","description":"","custom_fields":[{"id":1,"name":"Subdivision","value":"Other"},{"id":4,"name":"Milepost","value":"0.016"},{"id":17,"name":"Train ID","value":"310-08"},{"id":16,"name":"Locomotive ID","value":"4031"},{"id":130,"name":"Impact","value":""},{"id":150,"name":"Time of Event (Mountain Time)","value":"04:58:14"},{"id":151,"name":"Denver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88"/>
        <v>start /low /b %USERPROFILE%\Documents\GitHub\eaglep3\Utilities\DownloadLogsFromS3.py --loco 4031 --day 2017-10-08</v>
      </c>
      <c r="AN207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10:58:14"},{"id":29,"name":"Sharepoint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0"/>
        <v>https://d0f6bd738d7f1b3e5a7ca70fe4ff75f0.us-east-1.aws.found.io/app/kibana#/discover/Steve-Slow-Train-Analysis-(2080s-and-2083s)?_g=(refreshInterval:(display:Off,pause:!f,section:0,value:0),time:(from:'2017-10-08T03:43:41-0600',mode:absolute,to:'2017-10-08T05:58:14-0600'))&amp;_a=(columns:!('Message%20ID',Summary),filters:!(),index:'emp_*',interval:auto,query:(query_string:(analyze_wildcard:!t,query:'%22rtdc.l.rtdc.4031%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841</v>
      </c>
      <c r="B208" s="7">
        <v>4066</v>
      </c>
      <c r="C208" s="21" t="s">
        <v>194</v>
      </c>
      <c r="D208" s="21" t="s">
        <v>404</v>
      </c>
      <c r="E208" s="13">
        <v>43017.087696759256</v>
      </c>
      <c r="F208" s="13">
        <v>43017.089062500003</v>
      </c>
      <c r="G208" s="7">
        <v>59</v>
      </c>
      <c r="H208" s="21" t="s">
        <v>452</v>
      </c>
      <c r="I208" s="13">
        <v>43017.096944444442</v>
      </c>
      <c r="J208" s="7">
        <v>0</v>
      </c>
      <c r="K208" s="89" t="str">
        <f t="shared" si="135"/>
        <v>4065/4066</v>
      </c>
      <c r="L208" s="185" t="str">
        <f>VLOOKUP(A208,'Trips&amp;Operators'!$C$1:$G$99911,5,FALSE)</f>
        <v>DUNCAN SHEILA</v>
      </c>
      <c r="M208" s="6">
        <f t="shared" si="136"/>
        <v>7.8819444388500415E-3</v>
      </c>
      <c r="N208" s="7">
        <f t="shared" si="147"/>
        <v>11.34999999194406</v>
      </c>
      <c r="O208" s="7"/>
      <c r="P208" s="7"/>
      <c r="Q208" s="22"/>
      <c r="R208" s="174"/>
      <c r="S208" s="221">
        <f t="shared" si="148"/>
        <v>1</v>
      </c>
      <c r="T208" s="174" t="str">
        <f t="shared" si="137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57"/>
        <v>https://d0f6bd738d7f1b3e5a7ca70fe4ff75f0.us-east-1.aws.found.io/app/kibana#/discover/Steve-Slow-Train-Analysis-(2080s-and-2083s)?_g=(refreshInterval:(display:Off,pause:!f,section:0,value:0),time:(from:'2017-10-09T01:06:17-0600',mode:absolute,to:'2017-10-09T03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204" t="str">
        <f>IF(AA208&lt;VLOOKUP(AG208,Variables!$AC$3:$AD$8,2,FALSE),"Y","N")</f>
        <v>Y</v>
      </c>
      <c r="X208" s="204">
        <f t="shared" si="149"/>
        <v>1</v>
      </c>
      <c r="Y208" s="204">
        <f t="shared" si="155"/>
        <v>4.6699999999999998E-2</v>
      </c>
      <c r="Z208" s="204">
        <f t="shared" si="156"/>
        <v>2.3346</v>
      </c>
      <c r="AA208" s="204">
        <f t="shared" si="138"/>
        <v>2.2879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39"/>
        <v>311</v>
      </c>
      <c r="AE208" s="77" t="str">
        <f t="shared" si="158"/>
        <v>aws s3 cp s3://rtdc.mdm.uploadarchive.raw/RTDC4066/ "%USERPROFILE%\AppData\Local\Temp\OnboardLogs"\RTDC4066\2017-10-09 --exclude "*" --recursive --include "*20171009*" &amp; "%USERPROFILE%\Documents\GitHub\mrs-test-scripts\Headless Mode &amp; Sideloading\WalkAndUnGZ.bat" "%USERPROFILE%\AppData\Local\Temp\OnboardLogs"\RTDC4066\2017-10-09 &amp; 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</v>
      </c>
      <c r="AF208" s="74" t="str">
        <f t="shared" si="159"/>
        <v>"C:\Program Files (x86)\AstroGrep\AstroGrep.exe" /e /r /s /spath="%USERPROFILE%\AppData\Local\Temp\OnboardLogs" /stypes="app*4066*20171009*" /stext=" 08:.+((SYSTEM_STATE.+slice.+state.+changed )|(ment ac)|(multiple cpu faults)|(system.+state.+changed )|(\[timeout)|(PRM\|1\|D)|(kpr)|(kdp)|(train st.+moving)|(\|lc)|(penalty))"</v>
      </c>
      <c r="AG208" s="182" t="str">
        <f t="shared" si="140"/>
        <v>Other</v>
      </c>
      <c r="AH208" s="78" t="str">
        <f t="shared" si="86"/>
        <v>"%USERPROFILE%\Documents\GitHub\eaglep3\Utilities\RefineRTDCRunTimes.py" --tripid 311-08 --locoid 4066 --swversion DE.1.0.9.0 --startMP 204:467 --initTime 2017-10-09T02:06:17 --startdatetime 2017-10-09T02:08:15 --delay 59 --endMP 300:23346 --enddatetime 2017-10-09T02:19:36 --enforcementcount 0 &gt;&gt;%USERPROFILE%\Documents\GitHub\eaglep3-reporting\EC\2017-10-08-refined-times.txt</v>
      </c>
      <c r="AI208" s="96" t="str">
        <f t="shared" si="87"/>
        <v>echo {"issue":{"subject":"","project_id":79,"tracker_id":40,"status_id":1,"priority_id":2,"assigned_to_id":338,"start_date":"2017-10-09","description":"","custom_fields":[{"id":1,"name":"Subdivision","value":"Other"},{"id":4,"name":"Milepost","value":"2.3346"},{"id":17,"name":"Train ID","value":"311-08"},{"id":16,"name":"Locomotive ID","value":"4066"},{"id":130,"name":"Impact","value":""},{"id":150,"name":"Time of Event (Mountain Time)","value":"02:19:36"},{"id":151,"name":"Denver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88"/>
        <v>start /low /b %USERPROFILE%\Documents\GitHub\eaglep3\Utilities\DownloadLogsFromS3.py --loco 4066 --day 2017-10-09</v>
      </c>
      <c r="AN208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0"/>
        <v>https://d0f6bd738d7f1b3e5a7ca70fe4ff75f0.us-east-1.aws.found.io/app/kibana#/discover/Steve-Slow-Train-Analysis-(2080s-and-2083s)?_g=(refreshInterval:(display:Off,pause:!f,section:0,value:0),time:(from:'2017-10-09T01:06:17-0600',mode:absolute,to:'2017-10-09T03:19:36-0600'))&amp;_a=(columns:!('Message%20ID',Summary),filters:!(),index:'emp_*',interval:auto,query:(query_string:(analyze_wildcard:!t,query:'%22rtdc.l.rtdc.4066%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588</v>
      </c>
      <c r="B209" s="7">
        <v>4005</v>
      </c>
      <c r="C209" s="21" t="s">
        <v>194</v>
      </c>
      <c r="D209" s="21" t="s">
        <v>972</v>
      </c>
      <c r="E209" s="13">
        <v>43016.223958333336</v>
      </c>
      <c r="F209" s="13">
        <v>43016.231134259258</v>
      </c>
      <c r="G209" s="7">
        <v>89</v>
      </c>
      <c r="H209" s="21" t="s">
        <v>973</v>
      </c>
      <c r="I209" s="13">
        <v>43016.234224537038</v>
      </c>
      <c r="J209" s="7">
        <v>0</v>
      </c>
      <c r="K209" s="89" t="str">
        <f t="shared" si="135"/>
        <v>4005/4006</v>
      </c>
      <c r="L209" s="185" t="str">
        <f>VLOOKUP(A209,'Trips&amp;Operators'!$C$1:$G$99911,5,FALSE)</f>
        <v>LAMAR NEKESHA</v>
      </c>
      <c r="M209" s="6">
        <f t="shared" si="136"/>
        <v>3.0902777798473835E-3</v>
      </c>
      <c r="N209" s="7">
        <f t="shared" si="147"/>
        <v>4.4500000029802322</v>
      </c>
      <c r="O209" s="7"/>
      <c r="P209" s="7"/>
      <c r="Q209" s="22"/>
      <c r="R209" s="174"/>
      <c r="S209" s="221">
        <f t="shared" si="148"/>
        <v>0</v>
      </c>
      <c r="T209" s="174" t="str">
        <f t="shared" si="137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157"/>
        <v>https://d0f6bd738d7f1b3e5a7ca70fe4ff75f0.us-east-1.aws.found.io/app/kibana#/discover/Steve-Slow-Train-Analysis-(2080s-and-2083s)?_g=(refreshInterval:(display:Off,pause:!f,section:0,value:0),time:(from:'2017-10-08T04:22:30-0600',mode:absolute,to:'2017-10-08T06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204" t="str">
        <f>IF(AA209&lt;VLOOKUP(AG209,Variables!$AC$3:$AD$8,2,FALSE),"Y","N")</f>
        <v>Y</v>
      </c>
      <c r="X209" s="204">
        <f t="shared" si="149"/>
        <v>1</v>
      </c>
      <c r="Y209" s="204">
        <f t="shared" si="155"/>
        <v>2.2791999999999999</v>
      </c>
      <c r="Z209" s="204">
        <f t="shared" si="156"/>
        <v>1.9402999999999999</v>
      </c>
      <c r="AA209" s="204">
        <f t="shared" si="138"/>
        <v>0.33889999999999998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39"/>
        <v>312</v>
      </c>
      <c r="AE209" s="77" t="str">
        <f t="shared" si="158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209" s="74" t="str">
        <f t="shared" si="159"/>
        <v>"C:\Program Files (x86)\AstroGrep\AstroGrep.exe" /e /r /s /spath="%USERPROFILE%\AppData\Local\Temp\OnboardLogs" /stypes="app*4005*20171008*" /stext=" 11:.+((SYSTEM_STATE.+slice.+state.+changed )|(ment ac)|(multiple cpu faults)|(system.+state.+changed )|(\[timeout)|(PRM\|1\|D)|(kpr)|(kdp)|(train st.+moving)|(\|lc)|(penalty))"</v>
      </c>
      <c r="AG209" s="182" t="str">
        <f t="shared" si="140"/>
        <v>Other</v>
      </c>
      <c r="AH209" s="78" t="str">
        <f t="shared" si="86"/>
        <v>"%USERPROFILE%\Documents\GitHub\eaglep3\Utilities\RefineRTDCRunTimes.py" --tripid 312-08 --locoid 4005 --swversion DE.1.0.9.0 --startMP 300:22792 --initTime 2017-10-08T05:22:30 --startdatetime 2017-10-08T05:32:50 --delay 89 --endMP 300:19403 --enddatetime 2017-10-08T05:37:17 --enforcementcount 0 &gt;&gt;%USERPROFILE%\Documents\GitHub\eaglep3-reporting\EC\2017-10-08-refined-times.txt</v>
      </c>
      <c r="AI209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{"issue":{"subject":"","project_id":79,"tracker_id":40,"status_id":1,"priority_id":2,"assigned_to_id":338,"start_date":"2017-10-08","description":"","custom_fields":[{"id":1,"name":"Subdivision","value":"Other"},{"id":4,"name":"Milepost","value":"1.9403"},{"id":17,"name":"Train ID","value":"312-08"},{"id":16,"name":"Locomotive ID","value":"4005"},{"id":130,"name":"Impact","value":""},{"id":150,"name":"Time of Event (Mountain Time)","value":"05:37:17"},{"id":151,"name":"Denver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88"/>
        <v>start /low /b %USERPROFILE%\Documents\GitHub\eaglep3\Utilities\DownloadLogsFromS3.py --loco 4005 --day 2017-10-08</v>
      </c>
      <c r="AN209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0"/>
        <v>https://d0f6bd738d7f1b3e5a7ca70fe4ff75f0.us-east-1.aws.found.io/app/kibana#/discover/Steve-Slow-Train-Analysis-(2080s-and-2083s)?_g=(refreshInterval:(display:Off,pause:!f,section:0,value:0),time:(from:'2017-10-08T04:22:30-0600',mode:absolute,to:'2017-10-08T06:37:17-0600'))&amp;_a=(columns:!('Message%20ID',Summary),filters:!(),index:'emp_*',interval:auto,query:(query_string:(analyze_wildcard:!t,query:'%22rtdc.l.rtdc.4005%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588</v>
      </c>
      <c r="B210" s="7">
        <v>4005</v>
      </c>
      <c r="C210" s="21" t="s">
        <v>194</v>
      </c>
      <c r="D210" s="21" t="s">
        <v>974</v>
      </c>
      <c r="E210" s="13">
        <v>43016.23027777778</v>
      </c>
      <c r="F210" s="13">
        <v>43016.231134259258</v>
      </c>
      <c r="G210" s="7">
        <v>39</v>
      </c>
      <c r="H210" s="21" t="s">
        <v>975</v>
      </c>
      <c r="I210" s="13">
        <v>43016.234224537038</v>
      </c>
      <c r="J210" s="7">
        <v>0</v>
      </c>
      <c r="K210" s="89" t="str">
        <f t="shared" si="135"/>
        <v>4005/4006</v>
      </c>
      <c r="L210" s="185" t="str">
        <f>VLOOKUP(A210,'Trips&amp;Operators'!$C$1:$G$99911,5,FALSE)</f>
        <v>LAMAR NEKESHA</v>
      </c>
      <c r="M210" s="6">
        <f t="shared" si="136"/>
        <v>3.0902777798473835E-3</v>
      </c>
      <c r="N210" s="7">
        <f t="shared" si="147"/>
        <v>4.4500000029802322</v>
      </c>
      <c r="O210" s="7"/>
      <c r="P210" s="7"/>
      <c r="Q210" s="22"/>
      <c r="R210" s="174"/>
      <c r="S210" s="221">
        <f t="shared" si="148"/>
        <v>1</v>
      </c>
      <c r="T210" s="174" t="str">
        <f t="shared" si="137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57"/>
        <v>https://d0f6bd738d7f1b3e5a7ca70fe4ff75f0.us-east-1.aws.found.io/app/kibana#/discover/Steve-Slow-Train-Analysis-(2080s-and-2083s)?_g=(refreshInterval:(display:Off,pause:!f,section:0,value:0),time:(from:'2017-10-08T04:31:36-0600',mode:absolute,to:'2017-10-08T06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04" t="str">
        <f>IF(AA210&lt;VLOOKUP(AG210,Variables!$AC$3:$AD$8,2,FALSE),"Y","N")</f>
        <v>Y</v>
      </c>
      <c r="X210" s="204">
        <f t="shared" si="149"/>
        <v>0</v>
      </c>
      <c r="Y210" s="204">
        <f t="shared" si="155"/>
        <v>1.9400999999999999</v>
      </c>
      <c r="Z210" s="204">
        <f t="shared" si="156"/>
        <v>0.45329999999999998</v>
      </c>
      <c r="AA210" s="204">
        <f t="shared" si="138"/>
        <v>1.4867999999999999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39"/>
        <v>312</v>
      </c>
      <c r="AE210" s="77" t="str">
        <f t="shared" si="158"/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AF210" s="74" t="str">
        <f t="shared" si="159"/>
        <v>"C:\Program Files (x86)\AstroGrep\AstroGrep.exe" /e /r /s /spath="%USERPROFILE%\AppData\Local\Temp\OnboardLogs" /stypes="app*4005*20171008*" /stext=" 11:.+((SYSTEM_STATE.+slice.+state.+changed )|(ment ac)|(multiple cpu faults)|(system.+state.+changed )|(\[timeout)|(PRM\|1\|D)|(kpr)|(kdp)|(train st.+moving)|(\|lc)|(penalty))"</v>
      </c>
      <c r="AG210" s="182" t="str">
        <f t="shared" si="140"/>
        <v>Other</v>
      </c>
      <c r="AH210" s="78" t="str">
        <f t="shared" si="86"/>
        <v>"%USERPROFILE%\Documents\GitHub\eaglep3\Utilities\RefineRTDCRunTimes.py" --tripid 312-08 --locoid 4005 --swversion DE.1.0.9.0 --startMP 300:19401 --initTime 2017-10-08T05:31:36 --startdatetime 2017-10-08T05:32:50 --delay 39 --endMP 204:4533 --enddatetime 2017-10-08T05:37:17 --enforcementcount 0 &gt;&gt;%USERPROFILE%\Documents\GitHub\eaglep3-reporting\EC\2017-10-08-refined-times.txt</v>
      </c>
      <c r="AI210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{"issue":{"subject":"","project_id":79,"tracker_id":40,"status_id":1,"priority_id":2,"assigned_to_id":338,"start_date":"2017-10-08","description":"","custom_fields":[{"id":1,"name":"Subdivision","value":"Other"},{"id":4,"name":"Milepost","value":"0.4533"},{"id":17,"name":"Train ID","value":"312-08"},{"id":16,"name":"Locomotive ID","value":"4005"},{"id":130,"name":"Impact","value":""},{"id":150,"name":"Time of Event (Mountain Time)","value":"05:37:17"},{"id":151,"name":"Denver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88"/>
        <v>start /low /b %USERPROFILE%\Documents\GitHub\eaglep3\Utilities\DownloadLogsFromS3.py --loco 4005 --day 2017-10-08</v>
      </c>
      <c r="AN210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0"/>
        <v>https://d0f6bd738d7f1b3e5a7ca70fe4ff75f0.us-east-1.aws.found.io/app/kibana#/discover/Steve-Slow-Train-Analysis-(2080s-and-2083s)?_g=(refreshInterval:(display:Off,pause:!f,section:0,value:0),time:(from:'2017-10-08T04:31:36-0600',mode:absolute,to:'2017-10-08T06:37:17-0600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837</v>
      </c>
      <c r="B211" s="7">
        <v>4036</v>
      </c>
      <c r="C211" s="21" t="s">
        <v>194</v>
      </c>
      <c r="D211" s="21" t="s">
        <v>976</v>
      </c>
      <c r="E211" s="13">
        <v>43017.033865740741</v>
      </c>
      <c r="F211" s="13">
        <v>43017.035162037035</v>
      </c>
      <c r="G211" s="7">
        <v>64</v>
      </c>
      <c r="H211" s="21" t="s">
        <v>453</v>
      </c>
      <c r="I211" s="13">
        <v>43017.042743055557</v>
      </c>
      <c r="J211" s="7">
        <v>0</v>
      </c>
      <c r="K211" s="89" t="str">
        <f t="shared" si="135"/>
        <v>4035/4036</v>
      </c>
      <c r="L211" s="185" t="str">
        <f>VLOOKUP(A211,'Trips&amp;Operators'!$C$1:$G$99911,5,FALSE)</f>
        <v>STAMBAUGH JAMES</v>
      </c>
      <c r="M211" s="6">
        <f t="shared" si="136"/>
        <v>7.5810185226146132E-3</v>
      </c>
      <c r="N211" s="7">
        <f t="shared" si="147"/>
        <v>10.916666672565043</v>
      </c>
      <c r="O211" s="7"/>
      <c r="P211" s="7"/>
      <c r="Q211" s="22"/>
      <c r="R211" s="174"/>
      <c r="S211" s="221">
        <f t="shared" si="148"/>
        <v>1</v>
      </c>
      <c r="T211" s="174" t="str">
        <f t="shared" si="137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57"/>
        <v>https://d0f6bd738d7f1b3e5a7ca70fe4ff75f0.us-east-1.aws.found.io/app/kibana#/discover/Steve-Slow-Train-Analysis-(2080s-and-2083s)?_g=(refreshInterval:(display:Off,pause:!f,section:0,value:0),time:(from:'2017-10-08T23:48:46-0600',mode:absolute,to:'2017-10-09T02:01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1" s="204" t="str">
        <f>IF(AA211&lt;VLOOKUP(AG211,Variables!$AC$3:$AD$8,2,FALSE),"Y","N")</f>
        <v>Y</v>
      </c>
      <c r="X211" s="204">
        <f t="shared" si="149"/>
        <v>1</v>
      </c>
      <c r="Y211" s="204">
        <f t="shared" si="155"/>
        <v>4.2900000000000001E-2</v>
      </c>
      <c r="Z211" s="204">
        <f t="shared" si="156"/>
        <v>2.3298999999999999</v>
      </c>
      <c r="AA211" s="204">
        <f t="shared" si="138"/>
        <v>2.2869999999999999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39"/>
        <v>313</v>
      </c>
      <c r="AE211" s="77" t="str">
        <f t="shared" si="158"/>
        <v>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 &amp; 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</v>
      </c>
      <c r="AF211" s="74" t="str">
        <f t="shared" si="159"/>
        <v>"C:\Program Files (x86)\AstroGrep\AstroGrep.exe" /e /r /s /spath="%USERPROFILE%\AppData\Local\Temp\OnboardLogs" /stypes="app*4036*20171009*" /stext=" 07:.+((SYSTEM_STATE.+slice.+state.+changed )|(ment ac)|(multiple cpu faults)|(system.+state.+changed )|(\[timeout)|(PRM\|1\|D)|(kpr)|(kdp)|(train st.+moving)|(\|lc)|(penalty))"</v>
      </c>
      <c r="AG211" s="182" t="str">
        <f t="shared" si="140"/>
        <v>Other</v>
      </c>
      <c r="AH211" s="78" t="str">
        <f t="shared" si="86"/>
        <v>"%USERPROFILE%\Documents\GitHub\eaglep3\Utilities\RefineRTDCRunTimes.py" --tripid 313-08 --locoid 4036 --swversion DE.1.0.9.0 --startMP 204:429 --initTime 2017-10-09T00:48:46 --startdatetime 2017-10-09T00:50:38 --delay 64 --endMP 300:23299 --enddatetime 2017-10-09T01:01:33 --enforcementcount 0 &gt;&gt;%USERPROFILE%\Documents\GitHub\eaglep3-reporting\EC\2017-10-08-refined-times.txt</v>
      </c>
      <c r="AI211" s="96" t="str">
        <f t="shared" si="87"/>
        <v>echo {"issue":{"subject":"","project_id":79,"tracker_id":40,"status_id":1,"priority_id":2,"assigned_to_id":338,"start_date":"2017-10-09","description":"","custom_fields":[{"id":1,"name":"Subdivision","value":"Other"},{"id":4,"name":"Milepost","value":"2.3299"},{"id":17,"name":"Train ID","value":"313-08"},{"id":16,"name":"Locomotive ID","value":"4036"},{"id":130,"name":"Impact","value":""},{"id":150,"name":"Time of Event (Mountain Time)","value":"01:01:33"},{"id":151,"name":"Denver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88"/>
        <v>start /low /b %USERPROFILE%\Documents\GitHub\eaglep3\Utilities\DownloadLogsFromS3.py --loco 4036 --day 2017-10-09</v>
      </c>
      <c r="AN211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07:01:33"},{"id":29,"name":"Sharepoint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0"/>
        <v>https://d0f6bd738d7f1b3e5a7ca70fe4ff75f0.us-east-1.aws.found.io/app/kibana#/discover/Steve-Slow-Train-Analysis-(2080s-and-2083s)?_g=(refreshInterval:(display:Off,pause:!f,section:0,value:0),time:(from:'2017-10-08T23:48:46-0600',mode:absolute,to:'2017-10-09T02:01:33-0600'))&amp;_a=(columns:!('Message%20ID',Summary),filters:!(),index:'emp_*',interval:auto,query:(query_string:(analyze_wildcard:!t,query:'%22rtdc.l.rtdc.4036%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655</v>
      </c>
      <c r="B212" s="7">
        <v>4064</v>
      </c>
      <c r="C212" s="21" t="s">
        <v>194</v>
      </c>
      <c r="D212" s="21" t="s">
        <v>930</v>
      </c>
      <c r="E212" s="13">
        <v>43016.223009259258</v>
      </c>
      <c r="F212" s="13">
        <v>43016.226793981485</v>
      </c>
      <c r="G212" s="7">
        <v>78</v>
      </c>
      <c r="H212" s="21" t="s">
        <v>435</v>
      </c>
      <c r="I212" s="13">
        <v>43016.232025462959</v>
      </c>
      <c r="J212" s="7">
        <v>0</v>
      </c>
      <c r="K212" s="89" t="str">
        <f t="shared" si="135"/>
        <v>4063/4064</v>
      </c>
      <c r="L212" s="185" t="str">
        <f>VLOOKUP(A212,'Trips&amp;Operators'!$C$1:$G$99911,5,FALSE)</f>
        <v>MACDONALD THOMAS</v>
      </c>
      <c r="M212" s="6">
        <f t="shared" si="136"/>
        <v>5.2314814747660421E-3</v>
      </c>
      <c r="N212" s="7">
        <f t="shared" si="147"/>
        <v>7.5333333236631006</v>
      </c>
      <c r="O212" s="7"/>
      <c r="P212" s="7"/>
      <c r="Q212" s="22"/>
      <c r="R212" s="174"/>
      <c r="S212" s="221">
        <f t="shared" si="148"/>
        <v>0</v>
      </c>
      <c r="T212" s="174" t="str">
        <f t="shared" si="137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157"/>
        <v>https://d0f6bd738d7f1b3e5a7ca70fe4ff75f0.us-east-1.aws.found.io/app/kibana#/discover/Steve-Slow-Train-Analysis-(2080s-and-2083s)?_g=(refreshInterval:(display:Off,pause:!f,section:0,value:0),time:(from:'2017-10-08T04:21:08-0600',mode:absolute,to:'2017-10-08T06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204" t="str">
        <f>IF(AA212&lt;VLOOKUP(AG212,Variables!$AC$3:$AD$8,2,FALSE),"Y","N")</f>
        <v>Y</v>
      </c>
      <c r="X212" s="204">
        <f t="shared" si="149"/>
        <v>1588</v>
      </c>
      <c r="Y212" s="204">
        <f t="shared" si="155"/>
        <v>2.9956999999999998</v>
      </c>
      <c r="Z212" s="204">
        <f t="shared" si="156"/>
        <v>5.8929</v>
      </c>
      <c r="AA212" s="204">
        <f t="shared" si="138"/>
        <v>2.8972000000000002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39"/>
        <v>1901</v>
      </c>
      <c r="AE212" s="77" t="str">
        <f t="shared" si="158"/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AF212" s="74" t="str">
        <f t="shared" si="159"/>
        <v>"C:\Program Files (x86)\AstroGrep\AstroGrep.exe" /e /r /s /spath="%USERPROFILE%\AppData\Local\Temp\OnboardLogs" /stypes="app*4064*20171008*" /stext=" 11:.+((SYSTEM_STATE.+slice.+state.+changed )|(ment ac)|(multiple cpu faults)|(system.+state.+changed )|(\[timeout)|(PRM\|1\|D)|(kpr)|(kdp)|(train st.+moving)|(\|lc)|(penalty))"</v>
      </c>
      <c r="AG212" s="182" t="str">
        <f t="shared" si="140"/>
        <v>Other</v>
      </c>
      <c r="AH212" s="78" t="str">
        <f t="shared" si="86"/>
        <v>"%USERPROFILE%\Documents\GitHub\eaglep3\Utilities\RefineRTDCRunTimes.py" --tripid 1901-08 --locoid 4064 --swversion DE.1.0.9.0 --startMP 300:29957 --initTime 2017-10-08T05:21:08 --startdatetime 2017-10-08T05:26:35 --delay 78 --endMP 300:58929 --enddatetime 2017-10-08T05:34:07 --enforcementcount 0 &gt;&gt;%USERPROFILE%\Documents\GitHub\eaglep3-reporting\EC\2017-10-08-refined-times.txt</v>
      </c>
      <c r="AI212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{"issue":{"subject":"","project_id":79,"tracker_id":40,"status_id":1,"priority_id":2,"assigned_to_id":338,"start_date":"2017-10-08","description":"","custom_fields":[{"id":1,"name":"Subdivision","value":"Other"},{"id":4,"name":"Milepost","value":"5.8929"},{"id":17,"name":"Train ID","value":"1901-08"},{"id":16,"name":"Locomotive ID","value":"4064"},{"id":130,"name":"Impact","value":""},{"id":150,"name":"Time of Event (Mountain Time)","value":"05:34:07"},{"id":151,"name":"Denver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88"/>
        <v>start /low /b %USERPROFILE%\Documents\GitHub\eaglep3\Utilities\DownloadLogsFromS3.py --loco 4064 --day 2017-10-08</v>
      </c>
      <c r="AN212" s="151" t="str">
        <f t="shared" si="89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11:34:07"},{"id":29,"name":"Sharepoint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0"/>
        <v>https://d0f6bd738d7f1b3e5a7ca70fe4ff75f0.us-east-1.aws.found.io/app/kibana#/discover/Steve-Slow-Train-Analysis-(2080s-and-2083s)?_g=(refreshInterval:(display:Off,pause:!f,section:0,value:0),time:(from:'2017-10-08T04:21:08-0600',mode:absolute,to:'2017-10-08T06:34:07-0600'))&amp;_a=(columns:!('Message%20ID',Summary),filters:!(),index:'emp_*',interval:auto,query:(query_string:(analyze_wildcard:!t,query:'%22rtdc.l.rtdc.4064%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832</v>
      </c>
      <c r="B213" s="7">
        <v>4015</v>
      </c>
      <c r="C213" s="21" t="s">
        <v>194</v>
      </c>
      <c r="D213" s="21" t="s">
        <v>931</v>
      </c>
      <c r="E213" s="13">
        <v>43016.977349537039</v>
      </c>
      <c r="F213" s="13">
        <v>43016.979050925926</v>
      </c>
      <c r="G213" s="7">
        <v>68</v>
      </c>
      <c r="H213" s="21" t="s">
        <v>932</v>
      </c>
      <c r="I213" s="13">
        <v>43016.987847222219</v>
      </c>
      <c r="J213" s="7">
        <v>0</v>
      </c>
      <c r="K213" s="89" t="str">
        <f t="shared" si="135"/>
        <v>4015/4016</v>
      </c>
      <c r="L213" s="185" t="str">
        <f>VLOOKUP(A213,'Trips&amp;Operators'!$C$1:$G$99911,5,FALSE)</f>
        <v>ANDERS STEVEN</v>
      </c>
      <c r="M213" s="6">
        <f t="shared" si="136"/>
        <v>8.7962962934398092E-3</v>
      </c>
      <c r="N213" s="7">
        <f t="shared" si="147"/>
        <v>12.666666662553325</v>
      </c>
      <c r="O213" s="7"/>
      <c r="P213" s="7"/>
      <c r="Q213" s="22"/>
      <c r="R213" s="174"/>
      <c r="S213" s="221">
        <f t="shared" si="148"/>
        <v>0</v>
      </c>
      <c r="T213" s="174" t="str">
        <f t="shared" si="137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 t="shared" si="157"/>
        <v>https://d0f6bd738d7f1b3e5a7ca70fe4ff75f0.us-east-1.aws.found.io/app/kibana#/discover/Steve-Slow-Train-Analysis-(2080s-and-2083s)?_g=(refreshInterval:(display:Off,pause:!f,section:0,value:0),time:(from:'2017-10-08T22:27:23-0600',mode:absolute,to:'2017-10-09T00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204" t="str">
        <f>IF(AA213&lt;VLOOKUP(AG213,Variables!$AC$3:$AD$8,2,FALSE),"Y","N")</f>
        <v>Y</v>
      </c>
      <c r="X213" s="204">
        <f t="shared" si="149"/>
        <v>1</v>
      </c>
      <c r="Y213" s="204">
        <f t="shared" si="155"/>
        <v>5.8658000000000001</v>
      </c>
      <c r="Z213" s="204">
        <f t="shared" si="156"/>
        <v>2.8784000000000001</v>
      </c>
      <c r="AA213" s="204">
        <f t="shared" si="138"/>
        <v>2.9874000000000001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39"/>
        <v>1902</v>
      </c>
      <c r="AE213" s="77" t="str">
        <f t="shared" si="158"/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AF213" s="74" t="str">
        <f t="shared" si="159"/>
        <v>"C:\Program Files (x86)\AstroGrep\AstroGrep.exe" /e /r /s /spath="%USERPROFILE%\AppData\Local\Temp\OnboardLogs" /stypes="app*4015*20171009*" /stext=" 05:.+((SYSTEM_STATE.+slice.+state.+changed )|(ment ac)|(multiple cpu faults)|(system.+state.+changed )|(\[timeout)|(PRM\|1\|D)|(kpr)|(kdp)|(train st.+moving)|(\|lc)|(penalty))"</v>
      </c>
      <c r="AG213" s="182" t="str">
        <f t="shared" si="140"/>
        <v>Other</v>
      </c>
      <c r="AH213" s="78" t="str">
        <f t="shared" si="86"/>
        <v>"%USERPROFILE%\Documents\GitHub\eaglep3\Utilities\RefineRTDCRunTimes.py" --tripid 1902-08 --locoid 4015 --swversion DE.1.0.9.0 --startMP 300:58658 --initTime 2017-10-08T23:27:23 --startdatetime 2017-10-08T23:29:50 --delay 68 --endMP 300:28784 --enddatetime 2017-10-08T23:42:30 --enforcementcount 0 &gt;&gt;%USERPROFILE%\Documents\GitHub\eaglep3-reporting\EC\2017-10-08-refined-times.txt</v>
      </c>
      <c r="AI213" s="96" t="str">
        <f t="shared" si="87"/>
        <v>echo {"issue":{"subject":"","project_id":79,"tracker_id":40,"status_id":1,"priority_id":2,"assigned_to_id":338,"start_date":"2017-10-08","description":"","custom_fields":[{"id":1,"name":"Subdivision","value":"Other"},{"id":4,"name":"Milepost","value":"2.8784"},{"id":17,"name":"Train ID","value":"1902-08"},{"id":16,"name":"Locomotive ID","value":"4015"},{"id":130,"name":"Impact","value":""},{"id":150,"name":"Time of Event (Mountain Time)","value":"23:42:30"},{"id":151,"name":"Denver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88"/>
        <v>start /low /b %USERPROFILE%\Documents\GitHub\eaglep3\Utilities\DownloadLogsFromS3.py --loco 4015 --day 2017-10-08</v>
      </c>
      <c r="AN213" s="151" t="str">
        <f t="shared" si="89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05:42:30"},{"id":29,"name":"Sharepoint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0"/>
        <v>https://d0f6bd738d7f1b3e5a7ca70fe4ff75f0.us-east-1.aws.found.io/app/kibana#/discover/Steve-Slow-Train-Analysis-(2080s-and-2083s)?_g=(refreshInterval:(display:Off,pause:!f,section:0,value:0),time:(from:'2017-10-08T22:27:23-0600',mode:absolute,to:'2017-10-09T00:42:30-0600'))&amp;_a=(columns:!('Message%20ID',Summary),filters:!(),index:'emp_*',interval:auto,query:(query_string:(analyze_wildcard:!t,query:'%22rtdc.l.rtdc.4015%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636</v>
      </c>
      <c r="B214" s="7">
        <v>4060</v>
      </c>
      <c r="C214" s="21" t="s">
        <v>194</v>
      </c>
      <c r="D214" s="21" t="s">
        <v>872</v>
      </c>
      <c r="E214" s="13">
        <v>43016.132233796299</v>
      </c>
      <c r="F214" s="13">
        <v>43016.138182870367</v>
      </c>
      <c r="G214" s="7">
        <v>85</v>
      </c>
      <c r="H214" s="21" t="s">
        <v>977</v>
      </c>
      <c r="I214" s="13">
        <v>43016.139097222222</v>
      </c>
      <c r="J214" s="7">
        <v>0</v>
      </c>
      <c r="K214" s="89" t="str">
        <f t="shared" si="135"/>
        <v>4059/4060</v>
      </c>
      <c r="L214" s="185" t="str">
        <f>VLOOKUP(A214,'Trips&amp;Operators'!$C$1:$G$99911,5,FALSE)</f>
        <v>DELGADO DIANAH</v>
      </c>
      <c r="M214" s="6">
        <f t="shared" si="136"/>
        <v>9.1435185458976775E-4</v>
      </c>
      <c r="N214" s="7">
        <f t="shared" si="147"/>
        <v>1.3166666706092656</v>
      </c>
      <c r="O214" s="7"/>
      <c r="P214" s="7"/>
      <c r="Q214" s="22"/>
      <c r="R214" s="174"/>
      <c r="S214" s="221">
        <f t="shared" si="148"/>
        <v>0</v>
      </c>
      <c r="T214" s="174" t="str">
        <f t="shared" si="137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57"/>
        <v>https://d0f6bd738d7f1b3e5a7ca70fe4ff75f0.us-east-1.aws.found.io/app/kibana#/discover/Steve-Slow-Train-Analysis-(2080s-and-2083s)?_g=(refreshInterval:(display:Off,pause:!f,section:0,value:0),time:(from:'2017-10-08T02:10:25-0600',mode:absolute,to:'2017-10-08T04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4" s="204" t="str">
        <f>IF(AA214&lt;VLOOKUP(AG214,Variables!$AC$3:$AD$8,2,FALSE),"Y","N")</f>
        <v>Y</v>
      </c>
      <c r="X214" s="204">
        <f t="shared" si="149"/>
        <v>-1851</v>
      </c>
      <c r="Y214" s="204">
        <f t="shared" si="155"/>
        <v>4.8399999999999999E-2</v>
      </c>
      <c r="Z214" s="204">
        <f t="shared" si="156"/>
        <v>0.3332</v>
      </c>
      <c r="AA214" s="204">
        <f t="shared" si="138"/>
        <v>0.2848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39"/>
        <v>51</v>
      </c>
      <c r="AE214" s="77" t="str">
        <f t="shared" si="158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214" s="74" t="str">
        <f t="shared" si="159"/>
        <v>"C:\Program Files (x86)\AstroGrep\AstroGrep.exe" /e /r /s /spath="%USERPROFILE%\AppData\Local\Temp\OnboardLogs" /stypes="app*4060*20171008*" /stext=" 09:.+((SYSTEM_STATE.+slice.+state.+changed )|(ment ac)|(multiple cpu faults)|(system.+state.+changed )|(\[timeout)|(PRM\|1\|D)|(kpr)|(kdp)|(train st.+moving)|(\|lc)|(penalty))"</v>
      </c>
      <c r="AG214" s="182" t="str">
        <f t="shared" si="140"/>
        <v>Shuttle/Test</v>
      </c>
      <c r="AH214" s="78" t="str">
        <f t="shared" ref="AH214:AH226" si="160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51-08 --locoid 4060 --swversion DE.1.0.9.0 --startMP 204:484 --initTime 2017-10-08T03:10:25 --startdatetime 2017-10-08T03:18:59 --delay 85 --endMP 204:3332 --enddatetime 2017-10-08T03:20:18 --enforcementcount 0 &gt;&gt;%USERPROFILE%\Documents\GitHub\eaglep3-reporting\EC\2017-10-08-refined-times.txt</v>
      </c>
      <c r="AI214" s="96" t="str">
        <f t="shared" ref="AI214:AI226" si="161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Shuttle/Test"},{"id":4,"name":"Milepost","value":"0.3332"},{"id":17,"name":"Train ID","value":"51-08"},{"id":16,"name":"Locomotive ID","value":"4060"},{"id":130,"name":"Impact","value":""},{"id":150,"name":"Time of Event (Mountain Time)","value":"03:20:18"},{"id":151,"name":"Denver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ref="AM214:AM226" si="162">"start /low /b "&amp;dls3logs&amp;" --loco "&amp;B214&amp;" --day "&amp;TEXT(F214,"YYYY-MM-DD")</f>
        <v>start /low /b %USERPROFILE%\Documents\GitHub\eaglep3\Utilities\DownloadLogsFromS3.py --loco 4060 --day 2017-10-08</v>
      </c>
      <c r="AN214" s="151" t="str">
        <f t="shared" ref="AN214:AN226" si="163"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09:20:18"},{"id":29,"name":"Sharepoint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ref="AO214:AO226" si="164"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-08T02:10:25-0600',mode:absolute,to:'2017-10-08T04:20:18-0600'))&amp;_a=(columns:!('Message%20ID',Summary),filters:!(),index:'emp_*',interval:auto,query:(query_string:(analyze_wildcard:!t,query:'%22rtdc.l.rtdc.4060%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636</v>
      </c>
      <c r="B215" s="7">
        <v>4018</v>
      </c>
      <c r="C215" s="21" t="s">
        <v>194</v>
      </c>
      <c r="D215" s="21" t="s">
        <v>978</v>
      </c>
      <c r="E215" s="13">
        <v>43016.475810185184</v>
      </c>
      <c r="F215" s="13">
        <v>43016.478518518517</v>
      </c>
      <c r="G215" s="7">
        <v>143</v>
      </c>
      <c r="H215" s="21" t="s">
        <v>568</v>
      </c>
      <c r="I215" s="13">
        <v>43016.483564814815</v>
      </c>
      <c r="J215" s="7">
        <v>0</v>
      </c>
      <c r="K215" s="89" t="str">
        <f t="shared" si="135"/>
        <v>4017/4018</v>
      </c>
      <c r="L215" s="185" t="str">
        <f>VLOOKUP(A215,'Trips&amp;Operators'!$C$1:$G$99911,5,FALSE)</f>
        <v>DELGADO DIANAH</v>
      </c>
      <c r="M215" s="6">
        <f t="shared" si="136"/>
        <v>5.0462962972233072E-3</v>
      </c>
      <c r="N215" s="7">
        <f t="shared" si="147"/>
        <v>7.2666666680015624</v>
      </c>
      <c r="O215" s="7"/>
      <c r="P215" s="7"/>
      <c r="Q215" s="22"/>
      <c r="R215" s="174"/>
      <c r="S215" s="221">
        <f t="shared" si="148"/>
        <v>1</v>
      </c>
      <c r="T215" s="174" t="str">
        <f t="shared" si="137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57"/>
        <v>https://d0f6bd738d7f1b3e5a7ca70fe4ff75f0.us-east-1.aws.found.io/app/kibana#/discover/Steve-Slow-Train-Analysis-(2080s-and-2083s)?_g=(refreshInterval:(display:Off,pause:!f,section:0,value:0),time:(from:'2017-10-08T10:25:10-0600',mode:absolute,to:'2017-10-08T12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204" t="str">
        <f>IF(AA215&lt;VLOOKUP(AG215,Variables!$AC$3:$AD$8,2,FALSE),"Y","N")</f>
        <v>Y</v>
      </c>
      <c r="X215" s="204">
        <f t="shared" si="149"/>
        <v>0</v>
      </c>
      <c r="Y215" s="204">
        <f t="shared" si="155"/>
        <v>0.1285</v>
      </c>
      <c r="Z215" s="204">
        <f t="shared" si="156"/>
        <v>2.4216000000000002</v>
      </c>
      <c r="AA215" s="204">
        <f t="shared" si="138"/>
        <v>2.2931000000000004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39"/>
        <v>51</v>
      </c>
      <c r="AE215" s="77" t="str">
        <f t="shared" si="158"/>
        <v>aws s3 cp s3://rtdc.mdm.uploadarchive.raw/RTDC4018/ "%USERPROFILE%\AppData\Local\Temp\OnboardLogs"\RTDC4018\2017-10-08 --exclude "*" --recursive --include "*20171008*" &amp; "%USERPROFILE%\Documents\GitHub\mrs-test-scripts\Headless Mode &amp; Sideloading\WalkAndUnGZ.bat" "%USERPROFILE%\AppData\Local\Temp\OnboardLogs"\RTDC4018\2017-10-08 &amp; aws s3 cp s3://rtdc.mdm.uploadarchive.raw/RTDC4018/ "%USERPROFILE%\AppData\Local\Temp\OnboardLogs"\RTDC4018\2017-10-09 --exclude "*" --recursive --include "*20171009*" &amp; "%USERPROFILE%\Documents\GitHub\mrs-test-scripts\Headless Mode &amp; Sideloading\WalkAndUnGZ.bat" "%USERPROFILE%\AppData\Local\Temp\OnboardLogs"\RTDC4018\2017-10-09</v>
      </c>
      <c r="AF215" s="74" t="str">
        <f t="shared" si="159"/>
        <v>"C:\Program Files (x86)\AstroGrep\AstroGrep.exe" /e /r /s /spath="%USERPROFILE%\AppData\Local\Temp\OnboardLogs" /stypes="app*4018*20171008*" /stext=" 17:.+((SYSTEM_STATE.+slice.+state.+changed )|(ment ac)|(multiple cpu faults)|(system.+state.+changed )|(\[timeout)|(PRM\|1\|D)|(kpr)|(kdp)|(train st.+moving)|(\|lc)|(penalty))"</v>
      </c>
      <c r="AG215" s="182" t="str">
        <f t="shared" si="140"/>
        <v>Shuttle/Test</v>
      </c>
      <c r="AH215" s="78" t="str">
        <f t="shared" si="160"/>
        <v>"%USERPROFILE%\Documents\GitHub\eaglep3\Utilities\RefineRTDCRunTimes.py" --tripid 51-08 --locoid 4018 --swversion DE.1.0.9.0 --startMP 204:1285 --initTime 2017-10-08T11:25:10 --startdatetime 2017-10-08T11:29:04 --delay 143 --endMP 300:24216 --enddatetime 2017-10-08T11:36:20 --enforcementcount 0 &gt;&gt;%USERPROFILE%\Documents\GitHub\eaglep3-reporting\EC\2017-10-08-refined-times.txt</v>
      </c>
      <c r="AI215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2.4216"},{"id":17,"name":"Train ID","value":"51-08"},{"id":16,"name":"Locomotive ID","value":"4018"},{"id":130,"name":"Impact","value":""},{"id":150,"name":"Time of Event (Mountain Time)","value":"11:36:20"},{"id":151,"name":"Denver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62"/>
        <v>start /low /b %USERPROFILE%\Documents\GitHub\eaglep3\Utilities\DownloadLogsFromS3.py --loco 4018 --day 2017-10-08</v>
      </c>
      <c r="AN215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17:36:20"},{"id":29,"name":"Sharepoint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64"/>
        <v>https://d0f6bd738d7f1b3e5a7ca70fe4ff75f0.us-east-1.aws.found.io/app/kibana#/discover/Steve-Slow-Train-Analysis-(2080s-and-2083s)?_g=(refreshInterval:(display:Off,pause:!f,section:0,value:0),time:(from:'2017-10-08T10:25:10-0600',mode:absolute,to:'2017-10-08T12:36:20-0600'))&amp;_a=(columns:!('Message%20ID',Summary),filters:!(),index:'emp_*',interval:auto,query:(query_string:(analyze_wildcard:!t,query:'%22rtdc.l.rtdc.4018%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638</v>
      </c>
      <c r="B216" s="7">
        <v>4059</v>
      </c>
      <c r="C216" s="21" t="s">
        <v>194</v>
      </c>
      <c r="D216" s="21" t="s">
        <v>979</v>
      </c>
      <c r="E216" s="13">
        <v>43016.140046296299</v>
      </c>
      <c r="F216" s="13">
        <v>43016.142384259256</v>
      </c>
      <c r="G216" s="7">
        <v>115</v>
      </c>
      <c r="H216" s="21" t="s">
        <v>980</v>
      </c>
      <c r="I216" s="13">
        <v>43016.143321759257</v>
      </c>
      <c r="J216" s="7">
        <v>0</v>
      </c>
      <c r="K216" s="89" t="str">
        <f t="shared" si="135"/>
        <v>4059/4060</v>
      </c>
      <c r="L216" s="185" t="str">
        <f>VLOOKUP(A216,'Trips&amp;Operators'!$C$1:$G$99911,5,FALSE)</f>
        <v>DELGADO DIANAH</v>
      </c>
      <c r="M216" s="6">
        <f t="shared" si="136"/>
        <v>9.3750000087311491E-4</v>
      </c>
      <c r="N216" s="7">
        <f t="shared" si="147"/>
        <v>1.3500000012572855</v>
      </c>
      <c r="O216" s="7"/>
      <c r="P216" s="7"/>
      <c r="Q216" s="22"/>
      <c r="R216" s="174"/>
      <c r="S216" s="221">
        <f t="shared" si="148"/>
        <v>0</v>
      </c>
      <c r="T216" s="174" t="str">
        <f t="shared" si="137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57"/>
        <v>https://d0f6bd738d7f1b3e5a7ca70fe4ff75f0.us-east-1.aws.found.io/app/kibana#/discover/Steve-Slow-Train-Analysis-(2080s-and-2083s)?_g=(refreshInterval:(display:Off,pause:!f,section:0,value:0),time:(from:'2017-10-08T02:21:40-0600',mode:absolute,to:'2017-10-08T04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6" s="204" t="str">
        <f>IF(AA216&lt;VLOOKUP(AG216,Variables!$AC$3:$AD$8,2,FALSE),"Y","N")</f>
        <v>Y</v>
      </c>
      <c r="X216" s="204">
        <f t="shared" si="149"/>
        <v>1</v>
      </c>
      <c r="Y216" s="204">
        <f t="shared" si="155"/>
        <v>0.30009999999999998</v>
      </c>
      <c r="Z216" s="204">
        <f t="shared" si="156"/>
        <v>0.11559999999999999</v>
      </c>
      <c r="AA216" s="204">
        <f t="shared" si="138"/>
        <v>0.1845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39"/>
        <v>52</v>
      </c>
      <c r="AE216" s="77" t="str">
        <f t="shared" si="158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216" s="74" t="str">
        <f t="shared" si="159"/>
        <v>"C:\Program Files (x86)\AstroGrep\AstroGrep.exe" /e /r /s /spath="%USERPROFILE%\AppData\Local\Temp\OnboardLogs" /stypes="app*4059*20171008*" /stext=" 09:.+((SYSTEM_STATE.+slice.+state.+changed )|(ment ac)|(multiple cpu faults)|(system.+state.+changed )|(\[timeout)|(PRM\|1\|D)|(kpr)|(kdp)|(train st.+moving)|(\|lc)|(penalty))"</v>
      </c>
      <c r="AG216" s="182" t="str">
        <f t="shared" si="140"/>
        <v>Shuttle/Test</v>
      </c>
      <c r="AH216" s="78" t="str">
        <f t="shared" si="160"/>
        <v>"%USERPROFILE%\Documents\GitHub\eaglep3\Utilities\RefineRTDCRunTimes.py" --tripid 52-08 --locoid 4059 --swversion DE.1.0.9.0 --startMP 204:3001 --initTime 2017-10-08T03:21:40 --startdatetime 2017-10-08T03:25:02 --delay 115 --endMP 204:1156 --enddatetime 2017-10-08T03:26:23 --enforcementcount 0 &gt;&gt;%USERPROFILE%\Documents\GitHub\eaglep3-reporting\EC\2017-10-08-refined-times.txt</v>
      </c>
      <c r="AI216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0.1156"},{"id":17,"name":"Train ID","value":"52-08"},{"id":16,"name":"Locomotive ID","value":"4059"},{"id":130,"name":"Impact","value":""},{"id":150,"name":"Time of Event (Mountain Time)","value":"03:26:23"},{"id":151,"name":"Denver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62"/>
        <v>start /low /b %USERPROFILE%\Documents\GitHub\eaglep3\Utilities\DownloadLogsFromS3.py --loco 4059 --day 2017-10-08</v>
      </c>
      <c r="AN216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09:26:23"},{"id":29,"name":"Sharepoint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64"/>
        <v>https://d0f6bd738d7f1b3e5a7ca70fe4ff75f0.us-east-1.aws.found.io/app/kibana#/discover/Steve-Slow-Train-Analysis-(2080s-and-2083s)?_g=(refreshInterval:(display:Off,pause:!f,section:0,value:0),time:(from:'2017-10-08T02:21:40-0600',mode:absolute,to:'2017-10-08T04:26:23-0600'))&amp;_a=(columns:!('Message%20ID',Summary),filters:!(),index:'emp_*',interval:auto,query:(query_string:(analyze_wildcard:!t,query:'%22rtdc.l.rtdc.4059%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638</v>
      </c>
      <c r="B217" s="7">
        <v>4017</v>
      </c>
      <c r="C217" s="21" t="s">
        <v>194</v>
      </c>
      <c r="D217" s="21" t="s">
        <v>981</v>
      </c>
      <c r="E217" s="13">
        <v>43016.445960648147</v>
      </c>
      <c r="F217" s="13">
        <v>43016.45076388889</v>
      </c>
      <c r="G217" s="7">
        <v>104</v>
      </c>
      <c r="H217" s="21" t="s">
        <v>454</v>
      </c>
      <c r="I217" s="13">
        <v>43016.456342592595</v>
      </c>
      <c r="J217" s="7">
        <v>0</v>
      </c>
      <c r="K217" s="89" t="str">
        <f t="shared" si="135"/>
        <v>4017/4018</v>
      </c>
      <c r="L217" s="185" t="str">
        <f>VLOOKUP(A217,'Trips&amp;Operators'!$C$1:$G$99911,5,FALSE)</f>
        <v>DELGADO DIANAH</v>
      </c>
      <c r="M217" s="6">
        <f t="shared" si="136"/>
        <v>5.5787037053960375E-3</v>
      </c>
      <c r="N217" s="7">
        <f t="shared" si="147"/>
        <v>8.0333333357702941</v>
      </c>
      <c r="O217" s="7"/>
      <c r="P217" s="7"/>
      <c r="Q217" s="22"/>
      <c r="R217" s="174"/>
      <c r="S217" s="221">
        <f t="shared" si="148"/>
        <v>1</v>
      </c>
      <c r="T217" s="174" t="str">
        <f t="shared" si="137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57"/>
        <v>https://d0f6bd738d7f1b3e5a7ca70fe4ff75f0.us-east-1.aws.found.io/app/kibana#/discover/Steve-Slow-Train-Analysis-(2080s-and-2083s)?_g=(refreshInterval:(display:Off,pause:!f,section:0,value:0),time:(from:'2017-10-08T09:42:11-0600',mode:absolute,to:'2017-10-08T11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204" t="str">
        <f>IF(AA217&lt;VLOOKUP(AG217,Variables!$AC$3:$AD$8,2,FALSE),"Y","N")</f>
        <v>Y</v>
      </c>
      <c r="X217" s="204">
        <f t="shared" si="149"/>
        <v>0</v>
      </c>
      <c r="Y217" s="204">
        <f t="shared" si="155"/>
        <v>2.3521000000000001</v>
      </c>
      <c r="Z217" s="204">
        <f t="shared" si="156"/>
        <v>9.6500000000000002E-2</v>
      </c>
      <c r="AA217" s="204">
        <f t="shared" si="138"/>
        <v>2.2556000000000003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39"/>
        <v>52</v>
      </c>
      <c r="AE217" s="77" t="str">
        <f t="shared" si="158"/>
        <v>aws s3 cp s3://rtdc.mdm.uploadarchive.raw/RTDC4017/ "%USERPROFILE%\AppData\Local\Temp\OnboardLogs"\RTDC4017\2017-10-08 --exclude "*" --recursive --include "*20171008*" &amp; "%USERPROFILE%\Documents\GitHub\mrs-test-scripts\Headless Mode &amp; Sideloading\WalkAndUnGZ.bat" "%USERPROFILE%\AppData\Local\Temp\OnboardLogs"\RTDC4017\2017-10-08 &amp; aws s3 cp s3://rtdc.mdm.uploadarchive.raw/RTDC4017/ "%USERPROFILE%\AppData\Local\Temp\OnboardLogs"\RTDC4017\2017-10-09 --exclude "*" --recursive --include "*20171009*" &amp; "%USERPROFILE%\Documents\GitHub\mrs-test-scripts\Headless Mode &amp; Sideloading\WalkAndUnGZ.bat" "%USERPROFILE%\AppData\Local\Temp\OnboardLogs"\RTDC4017\2017-10-09</v>
      </c>
      <c r="AF217" s="74" t="str">
        <f t="shared" si="159"/>
        <v>"C:\Program Files (x86)\AstroGrep\AstroGrep.exe" /e /r /s /spath="%USERPROFILE%\AppData\Local\Temp\OnboardLogs" /stypes="app*4017*20171008*" /stext=" 16:.+((SYSTEM_STATE.+slice.+state.+changed )|(ment ac)|(multiple cpu faults)|(system.+state.+changed )|(\[timeout)|(PRM\|1\|D)|(kpr)|(kdp)|(train st.+moving)|(\|lc)|(penalty))"</v>
      </c>
      <c r="AG217" s="182" t="str">
        <f t="shared" si="140"/>
        <v>Shuttle/Test</v>
      </c>
      <c r="AH217" s="78" t="str">
        <f t="shared" si="160"/>
        <v>"%USERPROFILE%\Documents\GitHub\eaglep3\Utilities\RefineRTDCRunTimes.py" --tripid 52-08 --locoid 4017 --swversion DE.1.0.9.0 --startMP 300:23521 --initTime 2017-10-08T10:42:11 --startdatetime 2017-10-08T10:49:06 --delay 104 --endMP 204:965 --enddatetime 2017-10-08T10:57:08 --enforcementcount 0 &gt;&gt;%USERPROFILE%\Documents\GitHub\eaglep3-reporting\EC\2017-10-08-refined-times.txt</v>
      </c>
      <c r="AI217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0.0965"},{"id":17,"name":"Train ID","value":"52-08"},{"id":16,"name":"Locomotive ID","value":"4017"},{"id":130,"name":"Impact","value":""},{"id":150,"name":"Time of Event (Mountain Time)","value":"10:57:08"},{"id":151,"name":"Denver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62"/>
        <v>start /low /b %USERPROFILE%\Documents\GitHub\eaglep3\Utilities\DownloadLogsFromS3.py --loco 4017 --day 2017-10-08</v>
      </c>
      <c r="AN217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16:57:08"},{"id":29,"name":"Sharepoint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64"/>
        <v>https://d0f6bd738d7f1b3e5a7ca70fe4ff75f0.us-east-1.aws.found.io/app/kibana#/discover/Steve-Slow-Train-Analysis-(2080s-and-2083s)?_g=(refreshInterval:(display:Off,pause:!f,section:0,value:0),time:(from:'2017-10-08T09:42:11-0600',mode:absolute,to:'2017-10-08T11:57:08-0600'))&amp;_a=(columns:!('Message%20ID',Summary),filters:!(),index:'emp_*',interval:auto,query:(query_string:(analyze_wildcard:!t,query:'%22rtdc.l.rtdc.4017%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843</v>
      </c>
      <c r="B218" s="7">
        <v>4013</v>
      </c>
      <c r="C218" s="21" t="s">
        <v>194</v>
      </c>
      <c r="D218" s="21" t="s">
        <v>982</v>
      </c>
      <c r="E218" s="13">
        <v>43017.096678240741</v>
      </c>
      <c r="F218" s="13">
        <v>43017.099687499998</v>
      </c>
      <c r="G218" s="7">
        <v>69</v>
      </c>
      <c r="H218" s="21" t="s">
        <v>983</v>
      </c>
      <c r="I218" s="13">
        <v>43017.105173611111</v>
      </c>
      <c r="J218" s="7">
        <v>0</v>
      </c>
      <c r="K218" s="89" t="str">
        <f t="shared" si="135"/>
        <v>4013/4014</v>
      </c>
      <c r="L218" s="185" t="str">
        <f>VLOOKUP(A218,'Trips&amp;Operators'!$C$1:$G$99911,5,FALSE)</f>
        <v>SPECTOR MICHAEL</v>
      </c>
      <c r="M218" s="6">
        <f t="shared" si="136"/>
        <v>5.4861111129866913E-3</v>
      </c>
      <c r="N218" s="7">
        <f t="shared" si="147"/>
        <v>7.9000000027008355</v>
      </c>
      <c r="O218" s="7"/>
      <c r="P218" s="7"/>
      <c r="Q218" s="22"/>
      <c r="R218" s="174"/>
      <c r="S218" s="221">
        <f t="shared" si="148"/>
        <v>1</v>
      </c>
      <c r="T218" s="174" t="str">
        <f t="shared" si="137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57"/>
        <v>https://d0f6bd738d7f1b3e5a7ca70fe4ff75f0.us-east-1.aws.found.io/app/kibana#/discover/Steve-Slow-Train-Analysis-(2080s-and-2083s)?_g=(refreshInterval:(display:Off,pause:!f,section:0,value:0),time:(from:'2017-10-09T01:19:13-0600',mode:absolute,to:'2017-10-09T03:31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04" t="str">
        <f>IF(AA218&lt;VLOOKUP(AG218,Variables!$AC$3:$AD$8,2,FALSE),"Y","N")</f>
        <v>Y</v>
      </c>
      <c r="X218" s="204">
        <f t="shared" si="149"/>
        <v>0</v>
      </c>
      <c r="Y218" s="204">
        <f t="shared" si="155"/>
        <v>2.3180000000000001</v>
      </c>
      <c r="Z218" s="204">
        <f t="shared" si="156"/>
        <v>0.1173</v>
      </c>
      <c r="AA218" s="204">
        <f t="shared" si="138"/>
        <v>2.2006999999999999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39"/>
        <v>52</v>
      </c>
      <c r="AE218" s="77" t="str">
        <f t="shared" si="158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218" s="74" t="str">
        <f t="shared" si="159"/>
        <v>"C:\Program Files (x86)\AstroGrep\AstroGrep.exe" /e /r /s /spath="%USERPROFILE%\AppData\Local\Temp\OnboardLogs" /stypes="app*4013*20171009*" /stext=" 08:.+((SYSTEM_STATE.+slice.+state.+changed )|(ment ac)|(multiple cpu faults)|(system.+state.+changed )|(\[timeout)|(PRM\|1\|D)|(kpr)|(kdp)|(train st.+moving)|(\|lc)|(penalty))"</v>
      </c>
      <c r="AG218" s="182" t="str">
        <f t="shared" si="140"/>
        <v>Shuttle/Test</v>
      </c>
      <c r="AH218" s="78" t="str">
        <f t="shared" si="160"/>
        <v>"%USERPROFILE%\Documents\GitHub\eaglep3\Utilities\RefineRTDCRunTimes.py" --tripid 52-09 --locoid 4013 --swversion DE.1.0.9.0 --startMP 300:23180 --initTime 2017-10-09T02:19:13 --startdatetime 2017-10-09T02:23:33 --delay 69 --endMP 204:1173 --enddatetime 2017-10-09T02:31:27 --enforcementcount 0 &gt;&gt;%USERPROFILE%\Documents\GitHub\eaglep3-reporting\EC\2017-10-08-refined-times.txt</v>
      </c>
      <c r="AI218" s="96" t="str">
        <f t="shared" si="161"/>
        <v>echo {"issue":{"subject":"","project_id":79,"tracker_id":40,"status_id":1,"priority_id":2,"assigned_to_id":338,"start_date":"2017-10-09","description":"","custom_fields":[{"id":1,"name":"Subdivision","value":"Shuttle/Test"},{"id":4,"name":"Milepost","value":"0.1173"},{"id":17,"name":"Train ID","value":"52-09"},{"id":16,"name":"Locomotive ID","value":"4013"},{"id":130,"name":"Impact","value":""},{"id":150,"name":"Time of Event (Mountain Time)","value":"02:31:27"},{"id":151,"name":"Denver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62"/>
        <v>start /low /b %USERPROFILE%\Documents\GitHub\eaglep3\Utilities\DownloadLogsFromS3.py --loco 4013 --day 2017-10-09</v>
      </c>
      <c r="AN218" s="151" t="str">
        <f t="shared" si="16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08:31:27"},{"id":29,"name":"Sharepoint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64"/>
        <v>https://d0f6bd738d7f1b3e5a7ca70fe4ff75f0.us-east-1.aws.found.io/app/kibana#/discover/Steve-Slow-Train-Analysis-(2080s-and-2083s)?_g=(refreshInterval:(display:Off,pause:!f,section:0,value:0),time:(from:'2017-10-09T01:19:13-0600',mode:absolute,to:'2017-10-09T03:31:27-0600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682</v>
      </c>
      <c r="B219" s="7">
        <v>4060</v>
      </c>
      <c r="C219" s="21" t="s">
        <v>194</v>
      </c>
      <c r="D219" s="21" t="s">
        <v>984</v>
      </c>
      <c r="E219" s="13">
        <v>43016.328738425924</v>
      </c>
      <c r="F219" s="13">
        <v>43016.333726851852</v>
      </c>
      <c r="G219" s="7">
        <v>52</v>
      </c>
      <c r="H219" s="21" t="s">
        <v>985</v>
      </c>
      <c r="I219" s="13">
        <v>43016.33489583333</v>
      </c>
      <c r="J219" s="7">
        <v>0</v>
      </c>
      <c r="K219" s="89" t="str">
        <f t="shared" si="135"/>
        <v>4059/4060</v>
      </c>
      <c r="L219" s="185" t="str">
        <f>VLOOKUP(A219,'Trips&amp;Operators'!$C$1:$G$99911,5,FALSE)</f>
        <v>DELGADO DIANAH</v>
      </c>
      <c r="M219" s="6">
        <f t="shared" si="136"/>
        <v>1.1689814782585017E-3</v>
      </c>
      <c r="N219" s="7">
        <f t="shared" si="147"/>
        <v>1.6833333286922425</v>
      </c>
      <c r="O219" s="7"/>
      <c r="P219" s="7"/>
      <c r="Q219" s="22"/>
      <c r="R219" s="174"/>
      <c r="S219" s="221">
        <f t="shared" si="148"/>
        <v>0</v>
      </c>
      <c r="T219" s="174" t="str">
        <f t="shared" si="137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57"/>
        <v>https://d0f6bd738d7f1b3e5a7ca70fe4ff75f0.us-east-1.aws.found.io/app/kibana#/discover/Steve-Slow-Train-Analysis-(2080s-and-2083s)?_g=(refreshInterval:(display:Off,pause:!f,section:0,value:0),time:(from:'2017-10-08T06:53:23-0600',mode:absolute,to:'2017-10-08T09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9" s="204" t="str">
        <f>IF(AA219&lt;VLOOKUP(AG219,Variables!$AC$3:$AD$8,2,FALSE),"Y","N")</f>
        <v>Y</v>
      </c>
      <c r="X219" s="204">
        <f t="shared" si="149"/>
        <v>9</v>
      </c>
      <c r="Y219" s="204">
        <f t="shared" si="155"/>
        <v>0.14829999999999999</v>
      </c>
      <c r="Z219" s="204">
        <f t="shared" si="156"/>
        <v>0.3342</v>
      </c>
      <c r="AA219" s="204">
        <f t="shared" si="138"/>
        <v>0.18590000000000001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39"/>
        <v>61</v>
      </c>
      <c r="AE219" s="77" t="str">
        <f t="shared" si="158"/>
        <v>aws s3 cp s3://rtdc.mdm.uploadarchive.raw/RTDC4060/ "%USERPROFILE%\AppData\Local\Temp\OnboardLogs"\RTDC4060\2017-10-08 --exclude "*" --recursive --include "*20171008*" &amp; "%USERPROFILE%\Documents\GitHub\mrs-test-scripts\Headless Mode &amp; Sideloading\WalkAndUnGZ.bat" "%USERPROFILE%\AppData\Local\Temp\OnboardLogs"\RTDC4060\2017-10-08 &amp; aws s3 cp s3://rtdc.mdm.uploadarchive.raw/RTDC4060/ "%USERPROFILE%\AppData\Local\Temp\OnboardLogs"\RTDC4060\2017-10-09 --exclude "*" --recursive --include "*20171009*" &amp; "%USERPROFILE%\Documents\GitHub\mrs-test-scripts\Headless Mode &amp; Sideloading\WalkAndUnGZ.bat" "%USERPROFILE%\AppData\Local\Temp\OnboardLogs"\RTDC4060\2017-10-09</v>
      </c>
      <c r="AF219" s="74" t="str">
        <f t="shared" si="159"/>
        <v>"C:\Program Files (x86)\AstroGrep\AstroGrep.exe" /e /r /s /spath="%USERPROFILE%\AppData\Local\Temp\OnboardLogs" /stypes="app*4060*20171008*" /stext=" 14:.+((SYSTEM_STATE.+slice.+state.+changed )|(ment ac)|(multiple cpu faults)|(system.+state.+changed )|(\[timeout)|(PRM\|1\|D)|(kpr)|(kdp)|(train st.+moving)|(\|lc)|(penalty))"</v>
      </c>
      <c r="AG219" s="182" t="str">
        <f t="shared" si="140"/>
        <v>Shuttle/Test</v>
      </c>
      <c r="AH219" s="78" t="str">
        <f t="shared" si="160"/>
        <v>"%USERPROFILE%\Documents\GitHub\eaglep3\Utilities\RefineRTDCRunTimes.py" --tripid 61-08 --locoid 4060 --swversion DE.1.0.9.0 --startMP 204:1483 --initTime 2017-10-08T07:53:23 --startdatetime 2017-10-08T08:00:34 --delay 52 --endMP 204:3342 --enddatetime 2017-10-08T08:02:15 --enforcementcount 0 &gt;&gt;%USERPROFILE%\Documents\GitHub\eaglep3-reporting\EC\2017-10-08-refined-times.txt</v>
      </c>
      <c r="AI219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0.3342"},{"id":17,"name":"Train ID","value":"61-08"},{"id":16,"name":"Locomotive ID","value":"4060"},{"id":130,"name":"Impact","value":""},{"id":150,"name":"Time of Event (Mountain Time)","value":"08:02:15"},{"id":151,"name":"Denver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62"/>
        <v>start /low /b %USERPROFILE%\Documents\GitHub\eaglep3\Utilities\DownloadLogsFromS3.py --loco 4060 --day 2017-10-08</v>
      </c>
      <c r="AN219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64"/>
        <v>https://d0f6bd738d7f1b3e5a7ca70fe4ff75f0.us-east-1.aws.found.io/app/kibana#/discover/Steve-Slow-Train-Analysis-(2080s-and-2083s)?_g=(refreshInterval:(display:Off,pause:!f,section:0,value:0),time:(from:'2017-10-08T06:53:23-0600',mode:absolute,to:'2017-10-08T09:02:15-0600'))&amp;_a=(columns:!('Message%20ID',Summary),filters:!(),index:'emp_*',interval:auto,query:(query_string:(analyze_wildcard:!t,query:'%22rtdc.l.rtdc.4060%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682</v>
      </c>
      <c r="B220" s="7">
        <v>4059</v>
      </c>
      <c r="C220" s="21" t="s">
        <v>194</v>
      </c>
      <c r="D220" s="21" t="s">
        <v>986</v>
      </c>
      <c r="E220" s="13">
        <v>43016.332685185182</v>
      </c>
      <c r="F220" s="13">
        <v>43016.333726851852</v>
      </c>
      <c r="G220" s="7">
        <v>49</v>
      </c>
      <c r="H220" s="21" t="s">
        <v>937</v>
      </c>
      <c r="I220" s="13">
        <v>43016.33489583333</v>
      </c>
      <c r="J220" s="7">
        <v>0</v>
      </c>
      <c r="K220" s="89" t="str">
        <f t="shared" si="135"/>
        <v>4059/4060</v>
      </c>
      <c r="L220" s="185" t="str">
        <f>VLOOKUP(A220,'Trips&amp;Operators'!$C$1:$G$99911,5,FALSE)</f>
        <v>DELGADO DIANAH</v>
      </c>
      <c r="M220" s="6">
        <f t="shared" si="136"/>
        <v>1.1689814782585017E-3</v>
      </c>
      <c r="N220" s="7">
        <f t="shared" si="147"/>
        <v>1.6833333286922425</v>
      </c>
      <c r="O220" s="7"/>
      <c r="P220" s="7"/>
      <c r="Q220" s="22"/>
      <c r="R220" s="174"/>
      <c r="S220" s="221">
        <f t="shared" si="148"/>
        <v>0</v>
      </c>
      <c r="T220" s="174" t="str">
        <f t="shared" si="137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57"/>
        <v>https://d0f6bd738d7f1b3e5a7ca70fe4ff75f0.us-east-1.aws.found.io/app/kibana#/discover/Steve-Slow-Train-Analysis-(2080s-and-2083s)?_g=(refreshInterval:(display:Off,pause:!f,section:0,value:0),time:(from:'2017-10-08T06:59:04-0600',mode:absolute,to:'2017-10-08T09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0" s="204" t="str">
        <f>IF(AA220&lt;VLOOKUP(AG220,Variables!$AC$3:$AD$8,2,FALSE),"Y","N")</f>
        <v>Y</v>
      </c>
      <c r="X220" s="204">
        <f t="shared" si="149"/>
        <v>0</v>
      </c>
      <c r="Y220" s="204">
        <f t="shared" si="155"/>
        <v>0.2999</v>
      </c>
      <c r="Z220" s="204">
        <f t="shared" si="156"/>
        <v>1.2699999999999999E-2</v>
      </c>
      <c r="AA220" s="204">
        <f t="shared" si="138"/>
        <v>0.28720000000000001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39"/>
        <v>61</v>
      </c>
      <c r="AE220" s="77" t="str">
        <f t="shared" si="158"/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AF220" s="74" t="str">
        <f t="shared" si="159"/>
        <v>"C:\Program Files (x86)\AstroGrep\AstroGrep.exe" /e /r /s /spath="%USERPROFILE%\AppData\Local\Temp\OnboardLogs" /stypes="app*4059*20171008*" /stext=" 14:.+((SYSTEM_STATE.+slice.+state.+changed )|(ment ac)|(multiple cpu faults)|(system.+state.+changed )|(\[timeout)|(PRM\|1\|D)|(kpr)|(kdp)|(train st.+moving)|(\|lc)|(penalty))"</v>
      </c>
      <c r="AG220" s="182" t="str">
        <f t="shared" si="140"/>
        <v>Shuttle/Test</v>
      </c>
      <c r="AH220" s="78" t="str">
        <f t="shared" si="160"/>
        <v>"%USERPROFILE%\Documents\GitHub\eaglep3\Utilities\RefineRTDCRunTimes.py" --tripid 61-08 --locoid 4059 --swversion DE.1.0.9.0 --startMP 204:2999 --initTime 2017-10-08T07:59:04 --startdatetime 2017-10-08T08:00:34 --delay 49 --endMP 204:127 --enddatetime 2017-10-08T08:02:15 --enforcementcount 0 &gt;&gt;%USERPROFILE%\Documents\GitHub\eaglep3-reporting\EC\2017-10-08-refined-times.txt</v>
      </c>
      <c r="AI220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0.0127"},{"id":17,"name":"Train ID","value":"61-08"},{"id":16,"name":"Locomotive ID","value":"4059"},{"id":130,"name":"Impact","value":""},{"id":150,"name":"Time of Event (Mountain Time)","value":"08:02:15"},{"id":151,"name":"Denver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62"/>
        <v>start /low /b %USERPROFILE%\Documents\GitHub\eaglep3\Utilities\DownloadLogsFromS3.py --loco 4059 --day 2017-10-08</v>
      </c>
      <c r="AN220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14:02:15"},{"id":29,"name":"Sharepoint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64"/>
        <v>https://d0f6bd738d7f1b3e5a7ca70fe4ff75f0.us-east-1.aws.found.io/app/kibana#/discover/Steve-Slow-Train-Analysis-(2080s-and-2083s)?_g=(refreshInterval:(display:Off,pause:!f,section:0,value:0),time:(from:'2017-10-08T06:59:04-0600',mode:absolute,to:'2017-10-08T09:02:15-0600'))&amp;_a=(columns:!('Message%20ID',Summary),filters:!(),index:'emp_*',interval:auto,query:(query_string:(analyze_wildcard:!t,query:'%22rtdc.l.rtdc.4059%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688</v>
      </c>
      <c r="B221" s="7">
        <v>4058</v>
      </c>
      <c r="C221" s="21" t="s">
        <v>194</v>
      </c>
      <c r="D221" s="21" t="s">
        <v>987</v>
      </c>
      <c r="E221" s="13">
        <v>43016.340289351851</v>
      </c>
      <c r="F221" s="13">
        <v>25568.708333333332</v>
      </c>
      <c r="G221" s="7">
        <v>95</v>
      </c>
      <c r="H221" s="21" t="s">
        <v>570</v>
      </c>
      <c r="I221" s="13">
        <v>25568.708333333332</v>
      </c>
      <c r="J221" s="7">
        <v>0</v>
      </c>
      <c r="K221" s="89" t="str">
        <f t="shared" si="135"/>
        <v>4057/4058</v>
      </c>
      <c r="L221" s="185" t="str">
        <f>VLOOKUP(A221,'Trips&amp;Operators'!$C$1:$G$99911,5,FALSE)</f>
        <v>LOPES KIMBERLY</v>
      </c>
      <c r="M221" s="6">
        <f t="shared" si="136"/>
        <v>0</v>
      </c>
      <c r="N221" s="7">
        <f t="shared" si="147"/>
        <v>0</v>
      </c>
      <c r="O221" s="7"/>
      <c r="P221" s="7"/>
      <c r="Q221" s="22"/>
      <c r="R221" s="174"/>
      <c r="S221" s="221">
        <f t="shared" si="148"/>
        <v>0</v>
      </c>
      <c r="T221" s="174" t="str">
        <f t="shared" si="137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57"/>
        <v>https://d0f6bd738d7f1b3e5a7ca70fe4ff75f0.us-east-1.aws.found.io/app/kibana#/discover/Steve-Slow-Train-Analysis-(2080s-and-2083s)?_g=(refreshInterval:(display:Off,pause:!f,section:0,value:0),time:(from:'2017-10-08T07:10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1" s="204" t="str">
        <f>IF(AA221&lt;VLOOKUP(AG221,Variables!$AC$3:$AD$8,2,FALSE),"Y","N")</f>
        <v>Y</v>
      </c>
      <c r="X221" s="204">
        <f t="shared" si="149"/>
        <v>2</v>
      </c>
      <c r="Y221" s="204">
        <f t="shared" si="155"/>
        <v>0.1147</v>
      </c>
      <c r="Z221" s="204">
        <f t="shared" si="156"/>
        <v>0.1148</v>
      </c>
      <c r="AA221" s="204">
        <f t="shared" si="138"/>
        <v>1.0000000000000286E-4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39"/>
        <v>63</v>
      </c>
      <c r="AE221" s="77" t="str">
        <f t="shared" si="158"/>
        <v>aws s3 cp s3://rtdc.mdm.uploadarchive.raw/RTDC4058/ "%USERPROFILE%\AppData\Local\Temp\OnboardLogs"\RTDC4058\1969-12-31 --exclude "*" --recursive --include "*19691231*" &amp; "%USERPROFILE%\Documents\GitHub\mrs-test-scripts\Headless Mode &amp; Sideloading\WalkAndUnGZ.bat" "%USERPROFILE%\AppData\Local\Temp\OnboardLogs"\RTDC4058\1969-12-31 &amp; aws s3 cp s3://rtdc.mdm.uploadarchive.raw/RTDC4058/ "%USERPROFILE%\AppData\Local\Temp\OnboardLogs"\RTDC4058\1970-01-01 --exclude "*" --recursive --include "*19700101*" &amp; "%USERPROFILE%\Documents\GitHub\mrs-test-scripts\Headless Mode &amp; Sideloading\WalkAndUnGZ.bat" "%USERPROFILE%\AppData\Local\Temp\OnboardLogs"\RTDC4058\1970-01-01</v>
      </c>
      <c r="AF221" s="74" t="str">
        <f t="shared" si="159"/>
        <v>"C:\Program Files (x86)\AstroGrep\AstroGrep.exe" /e /r /s /spath="%USERPROFILE%\AppData\Local\Temp\OnboardLogs" /stypes="app*4058*19691231*" /stext=" 23:.+((SYSTEM_STATE.+slice.+state.+changed )|(ment ac)|(multiple cpu faults)|(system.+state.+changed )|(\[timeout)|(PRM\|1\|D)|(kpr)|(kdp)|(train st.+moving)|(\|lc)|(penalty))"</v>
      </c>
      <c r="AG221" s="182" t="str">
        <f t="shared" si="140"/>
        <v>Shuttle/Test</v>
      </c>
      <c r="AH221" s="78" t="str">
        <f t="shared" si="160"/>
        <v>"%USERPROFILE%\Documents\GitHub\eaglep3\Utilities\RefineRTDCRunTimes.py" --tripid 63-08 --locoid 4058 --swversion DE.1.0.9.0 --startMP 204:1147 --initTime 2017-10-08T08:10:01 --startdatetime 1969-12-31T17:00:00 --delay 95 --endMP 204:1148 --enddatetime 1969-12-31T17:00:00 --enforcementcount 0 &gt;&gt;%USERPROFILE%\Documents\GitHub\eaglep3-reporting\EC\2017-10-08-refined-times.txt</v>
      </c>
      <c r="AI221" s="96" t="str">
        <f t="shared" si="161"/>
        <v>echo {"issue":{"subject":"","project_id":79,"tracker_id":40,"status_id":1,"priority_id":2,"assigned_to_id":338,"start_date":"1969-12-31","description":"","custom_fields":[{"id":1,"name":"Subdivision","value":"Shuttle/Test"},{"id":4,"name":"Milepost","value":"0.1148"},{"id":17,"name":"Train ID","value":"63-08"},{"id":16,"name":"Locomotive ID","value":"4058"},{"id":130,"name":"Impact","value":""},{"id":150,"name":"Time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62"/>
        <v>start /low /b %USERPROFILE%\Documents\GitHub\eaglep3\Utilities\DownloadLogsFromS3.py --loco 4058 --day 1969-12-31</v>
      </c>
      <c r="AN221" s="151" t="str">
        <f t="shared" si="16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64"/>
        <v>https://d0f6bd738d7f1b3e5a7ca70fe4ff75f0.us-east-1.aws.found.io/app/kibana#/discover/Steve-Slow-Train-Analysis-(2080s-and-2083s)?_g=(refreshInterval:(display:Off,pause:!f,section:0,value:0),time:(from:'2017-10-08T07:10:01-0600',mode:absolute,to:'1969-12-31T18:00:00-0600'))&amp;_a=(columns:!('Message%20ID',Summary),filters:!(),index:'emp_*',interval:auto,query:(query_string:(analyze_wildcard:!t,query:'%22rtdc.l.rtdc.4058%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790</v>
      </c>
      <c r="B222" s="7">
        <v>4041</v>
      </c>
      <c r="C222" s="21" t="s">
        <v>194</v>
      </c>
      <c r="D222" s="21" t="s">
        <v>988</v>
      </c>
      <c r="E222" s="13">
        <v>43016.746018518519</v>
      </c>
      <c r="F222" s="13">
        <v>43016.749108796299</v>
      </c>
      <c r="G222" s="7">
        <v>80</v>
      </c>
      <c r="H222" s="21" t="s">
        <v>989</v>
      </c>
      <c r="I222" s="13">
        <v>43016.756435185183</v>
      </c>
      <c r="J222" s="7">
        <v>0</v>
      </c>
      <c r="K222" s="89" t="str">
        <f t="shared" si="135"/>
        <v>4041/4042</v>
      </c>
      <c r="L222" s="185" t="str">
        <f>VLOOKUP(A222,'Trips&amp;Operators'!$C$1:$G$99911,5,FALSE)</f>
        <v>CASSIDY BRANDON</v>
      </c>
      <c r="M222" s="6">
        <f t="shared" si="136"/>
        <v>7.326388884393964E-3</v>
      </c>
      <c r="N222" s="7">
        <f t="shared" si="147"/>
        <v>10.549999993527308</v>
      </c>
      <c r="O222" s="7"/>
      <c r="P222" s="7"/>
      <c r="Q222" s="22"/>
      <c r="R222" s="174"/>
      <c r="S222" s="221">
        <f t="shared" si="148"/>
        <v>1</v>
      </c>
      <c r="T222" s="174" t="str">
        <f t="shared" si="137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57"/>
        <v>https://d0f6bd738d7f1b3e5a7ca70fe4ff75f0.us-east-1.aws.found.io/app/kibana#/discover/Steve-Slow-Train-Analysis-(2080s-and-2083s)?_g=(refreshInterval:(display:Off,pause:!f,section:0,value:0),time:(from:'2017-10-08T16:54:16-0600',mode:absolute,to:'2017-10-08T19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2" s="204" t="str">
        <f>IF(AA222&lt;VLOOKUP(AG222,Variables!$AC$3:$AD$8,2,FALSE),"Y","N")</f>
        <v>Y</v>
      </c>
      <c r="X222" s="204">
        <f t="shared" si="149"/>
        <v>11</v>
      </c>
      <c r="Y222" s="204">
        <f t="shared" si="155"/>
        <v>2.3851</v>
      </c>
      <c r="Z222" s="204">
        <f t="shared" si="156"/>
        <v>0.2102</v>
      </c>
      <c r="AA222" s="204">
        <f t="shared" si="138"/>
        <v>2.1749000000000001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39"/>
        <v>74</v>
      </c>
      <c r="AE222" s="77" t="str">
        <f t="shared" si="158"/>
        <v>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 &amp; aws s3 cp s3://rtdc.mdm.uploadarchive.raw/RTDC4041/ "%USERPROFILE%\AppData\Local\Temp\OnboardLogs"\RTDC4041\2017-10-09 --exclude "*" --recursive --include "*20171009*" &amp; "%USERPROFILE%\Documents\GitHub\mrs-test-scripts\Headless Mode &amp; Sideloading\WalkAndUnGZ.bat" "%USERPROFILE%\AppData\Local\Temp\OnboardLogs"\RTDC4041\2017-10-09</v>
      </c>
      <c r="AF222" s="74" t="str">
        <f t="shared" si="159"/>
        <v>"C:\Program Files (x86)\AstroGrep\AstroGrep.exe" /e /r /s /spath="%USERPROFILE%\AppData\Local\Temp\OnboardLogs" /stypes="app*4041*20171009*" /stext=" 00:.+((SYSTEM_STATE.+slice.+state.+changed )|(ment ac)|(multiple cpu faults)|(system.+state.+changed )|(\[timeout)|(PRM\|1\|D)|(kpr)|(kdp)|(train st.+moving)|(\|lc)|(penalty))"</v>
      </c>
      <c r="AG222" s="182" t="str">
        <f t="shared" si="140"/>
        <v>Shuttle/Test</v>
      </c>
      <c r="AH222" s="78" t="str">
        <f t="shared" si="160"/>
        <v>"%USERPROFILE%\Documents\GitHub\eaglep3\Utilities\RefineRTDCRunTimes.py" --tripid 74-08 --locoid 4041 --swversion DE.1.0.9.0 --startMP 300:23851 --initTime 2017-10-08T17:54:16 --startdatetime 2017-10-08T17:58:43 --delay 80 --endMP 204:2102 --enddatetime 2017-10-08T18:09:16 --enforcementcount 0 &gt;&gt;%USERPROFILE%\Documents\GitHub\eaglep3-reporting\EC\2017-10-08-refined-times.txt</v>
      </c>
      <c r="AI222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0.2102"},{"id":17,"name":"Train ID","value":"74-08"},{"id":16,"name":"Locomotive ID","value":"4041"},{"id":130,"name":"Impact","value":""},{"id":150,"name":"Time of Event (Mountain Time)","value":"18:09:16"},{"id":151,"name":"Denver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62"/>
        <v>start /low /b %USERPROFILE%\Documents\GitHub\eaglep3\Utilities\DownloadLogsFromS3.py --loco 4041 --day 2017-10-08</v>
      </c>
      <c r="AN222" s="151" t="str">
        <f t="shared" si="16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00:09:16"},{"id":29,"name":"Sharepoint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64"/>
        <v>https://d0f6bd738d7f1b3e5a7ca70fe4ff75f0.us-east-1.aws.found.io/app/kibana#/discover/Steve-Slow-Train-Analysis-(2080s-and-2083s)?_g=(refreshInterval:(display:Off,pause:!f,section:0,value:0),time:(from:'2017-10-08T16:54:16-0600',mode:absolute,to:'2017-10-08T19:09:16-0600'))&amp;_a=(columns:!('Message%20ID',Summary),filters:!(),index:'emp_*',interval:auto,query:(query_string:(analyze_wildcard:!t,query:'%22rtdc.l.rtdc.4041%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775</v>
      </c>
      <c r="B223" s="7">
        <v>4032</v>
      </c>
      <c r="C223" s="21" t="s">
        <v>194</v>
      </c>
      <c r="D223" s="21" t="s">
        <v>990</v>
      </c>
      <c r="E223" s="13">
        <v>43016.685347222221</v>
      </c>
      <c r="F223" s="13">
        <v>43016.69027777778</v>
      </c>
      <c r="G223" s="7">
        <v>77</v>
      </c>
      <c r="H223" s="21" t="s">
        <v>452</v>
      </c>
      <c r="I223" s="13">
        <v>43016.697245370371</v>
      </c>
      <c r="J223" s="7">
        <v>0</v>
      </c>
      <c r="K223" s="89" t="str">
        <f t="shared" si="135"/>
        <v>4031/4032</v>
      </c>
      <c r="L223" s="185" t="str">
        <f>VLOOKUP(A223,'Trips&amp;Operators'!$C$1:$G$99911,5,FALSE)</f>
        <v>MCREYNOLDS KYLE</v>
      </c>
      <c r="M223" s="6">
        <f t="shared" si="136"/>
        <v>6.9675925915362313E-3</v>
      </c>
      <c r="N223" s="7">
        <f t="shared" si="147"/>
        <v>10.033333331812173</v>
      </c>
      <c r="O223" s="7"/>
      <c r="P223" s="7"/>
      <c r="Q223" s="22"/>
      <c r="R223" s="174"/>
      <c r="S223" s="221">
        <f t="shared" si="148"/>
        <v>1</v>
      </c>
      <c r="T223" s="174" t="str">
        <f t="shared" si="137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57"/>
        <v>https://d0f6bd738d7f1b3e5a7ca70fe4ff75f0.us-east-1.aws.found.io/app/kibana#/discover/Steve-Slow-Train-Analysis-(2080s-and-2083s)?_g=(refreshInterval:(display:Off,pause:!f,section:0,value:0),time:(from:'2017-10-08T15:26:54-0600',mode:absolute,to:'2017-10-08T17:44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3" s="204" t="str">
        <f>IF(AA223&lt;VLOOKUP(AG223,Variables!$AC$3:$AD$8,2,FALSE),"Y","N")</f>
        <v>Y</v>
      </c>
      <c r="X223" s="204">
        <f t="shared" si="149"/>
        <v>1</v>
      </c>
      <c r="Y223" s="204">
        <f t="shared" si="155"/>
        <v>0.14749999999999999</v>
      </c>
      <c r="Z223" s="204">
        <f t="shared" si="156"/>
        <v>2.3346</v>
      </c>
      <c r="AA223" s="204">
        <f t="shared" si="138"/>
        <v>2.1871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39"/>
        <v>75</v>
      </c>
      <c r="AE223" s="77" t="str">
        <f t="shared" si="158"/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AF223" s="74" t="str">
        <f t="shared" si="159"/>
        <v>"C:\Program Files (x86)\AstroGrep\AstroGrep.exe" /e /r /s /spath="%USERPROFILE%\AppData\Local\Temp\OnboardLogs" /stypes="app*4032*20171008*" /stext=" 22:.+((SYSTEM_STATE.+slice.+state.+changed )|(ment ac)|(multiple cpu faults)|(system.+state.+changed )|(\[timeout)|(PRM\|1\|D)|(kpr)|(kdp)|(train st.+moving)|(\|lc)|(penalty))"</v>
      </c>
      <c r="AG223" s="182" t="str">
        <f t="shared" si="140"/>
        <v>Shuttle/Test</v>
      </c>
      <c r="AH223" s="78" t="str">
        <f t="shared" si="160"/>
        <v>"%USERPROFILE%\Documents\GitHub\eaglep3\Utilities\RefineRTDCRunTimes.py" --tripid 75-08 --locoid 4032 --swversion DE.1.0.9.0 --startMP 204:1475 --initTime 2017-10-08T16:26:54 --startdatetime 2017-10-08T16:34:00 --delay 77 --endMP 300:23346 --enddatetime 2017-10-08T16:44:02 --enforcementcount 0 &gt;&gt;%USERPROFILE%\Documents\GitHub\eaglep3-reporting\EC\2017-10-08-refined-times.txt</v>
      </c>
      <c r="AI223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2.3346"},{"id":17,"name":"Train ID","value":"75-08"},{"id":16,"name":"Locomotive ID","value":"4032"},{"id":130,"name":"Impact","value":""},{"id":150,"name":"Time of Event (Mountain Time)","value":"16:44:02"},{"id":151,"name":"Denver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62"/>
        <v>start /low /b %USERPROFILE%\Documents\GitHub\eaglep3\Utilities\DownloadLogsFromS3.py --loco 4032 --day 2017-10-08</v>
      </c>
      <c r="AN223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22:44:02"},{"id":29,"name":"Sharepoint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64"/>
        <v>https://d0f6bd738d7f1b3e5a7ca70fe4ff75f0.us-east-1.aws.found.io/app/kibana#/discover/Steve-Slow-Train-Analysis-(2080s-and-2083s)?_g=(refreshInterval:(display:Off,pause:!f,section:0,value:0),time:(from:'2017-10-08T15:26:54-0600',mode:absolute,to:'2017-10-08T17:44:02-0600'))&amp;_a=(columns:!('Message%20ID',Summary),filters:!(),index:'emp_*',interval:auto,query:(query_string:(analyze_wildcard:!t,query:'%22rtdc.l.rtdc.4032%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775</v>
      </c>
      <c r="B224" s="7">
        <v>4061</v>
      </c>
      <c r="C224" s="21" t="s">
        <v>194</v>
      </c>
      <c r="D224" s="21" t="s">
        <v>991</v>
      </c>
      <c r="E224" s="13">
        <v>43016.855092592596</v>
      </c>
      <c r="F224" s="13">
        <v>43016.858310185184</v>
      </c>
      <c r="G224" s="7">
        <v>83</v>
      </c>
      <c r="H224" s="21" t="s">
        <v>992</v>
      </c>
      <c r="I224" s="13">
        <v>43016.863738425927</v>
      </c>
      <c r="J224" s="7">
        <v>0</v>
      </c>
      <c r="K224" s="89" t="str">
        <f t="shared" si="135"/>
        <v>4061/4062</v>
      </c>
      <c r="L224" s="185" t="str">
        <f>VLOOKUP(A224,'Trips&amp;Operators'!$C$1:$G$99911,5,FALSE)</f>
        <v>MCREYNOLDS KYLE</v>
      </c>
      <c r="M224" s="6">
        <f t="shared" si="136"/>
        <v>5.4282407436403446E-3</v>
      </c>
      <c r="N224" s="7">
        <f t="shared" si="147"/>
        <v>7.8166666708420962</v>
      </c>
      <c r="O224" s="7"/>
      <c r="P224" s="7"/>
      <c r="Q224" s="22"/>
      <c r="R224" s="174"/>
      <c r="S224" s="221">
        <f t="shared" si="148"/>
        <v>0</v>
      </c>
      <c r="T224" s="174" t="str">
        <f t="shared" si="137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57"/>
        <v>https://d0f6bd738d7f1b3e5a7ca70fe4ff75f0.us-east-1.aws.found.io/app/kibana#/discover/Steve-Slow-Train-Analysis-(2080s-and-2083s)?_g=(refreshInterval:(display:Off,pause:!f,section:0,value:0),time:(from:'2017-10-08T19:31:20-0600',mode:absolute,to:'2017-10-08T21:43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4" s="204" t="str">
        <f>IF(AA224&lt;VLOOKUP(AG224,Variables!$AC$3:$AD$8,2,FALSE),"Y","N")</f>
        <v>Y</v>
      </c>
      <c r="X224" s="204">
        <f t="shared" si="149"/>
        <v>0</v>
      </c>
      <c r="Y224" s="204">
        <f t="shared" si="155"/>
        <v>2.3618000000000001</v>
      </c>
      <c r="Z224" s="204">
        <f t="shared" si="156"/>
        <v>0.25950000000000001</v>
      </c>
      <c r="AA224" s="204">
        <f t="shared" si="138"/>
        <v>2.1023000000000001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39"/>
        <v>75</v>
      </c>
      <c r="AE224" s="77" t="str">
        <f t="shared" si="158"/>
        <v>aws s3 cp s3://rtdc.mdm.uploadarchive.raw/RTDC4061/ "%USERPROFILE%\AppData\Local\Temp\OnboardLogs"\RTDC4061\2017-10-08 --exclude "*" --recursive --include "*20171008*" &amp; "%USERPROFILE%\Documents\GitHub\mrs-test-scripts\Headless Mode &amp; Sideloading\WalkAndUnGZ.bat" "%USERPROFILE%\AppData\Local\Temp\OnboardLogs"\RTDC4061\2017-10-08 &amp; aws s3 cp s3://rtdc.mdm.uploadarchive.raw/RTDC4061/ "%USERPROFILE%\AppData\Local\Temp\OnboardLogs"\RTDC4061\2017-10-09 --exclude "*" --recursive --include "*20171009*" &amp; "%USERPROFILE%\Documents\GitHub\mrs-test-scripts\Headless Mode &amp; Sideloading\WalkAndUnGZ.bat" "%USERPROFILE%\AppData\Local\Temp\OnboardLogs"\RTDC4061\2017-10-09</v>
      </c>
      <c r="AF224" s="74" t="str">
        <f t="shared" si="159"/>
        <v>"C:\Program Files (x86)\AstroGrep\AstroGrep.exe" /e /r /s /spath="%USERPROFILE%\AppData\Local\Temp\OnboardLogs" /stypes="app*4061*20171009*" /stext=" 02:.+((SYSTEM_STATE.+slice.+state.+changed )|(ment ac)|(multiple cpu faults)|(system.+state.+changed )|(\[timeout)|(PRM\|1\|D)|(kpr)|(kdp)|(train st.+moving)|(\|lc)|(penalty))"</v>
      </c>
      <c r="AG224" s="182" t="str">
        <f t="shared" si="140"/>
        <v>Shuttle/Test</v>
      </c>
      <c r="AH224" s="78" t="str">
        <f t="shared" si="160"/>
        <v>"%USERPROFILE%\Documents\GitHub\eaglep3\Utilities\RefineRTDCRunTimes.py" --tripid 75-08 --locoid 4061 --swversion DE.1.0.9.0 --startMP 300:23618 --initTime 2017-10-08T20:31:20 --startdatetime 2017-10-08T20:35:58 --delay 83 --endMP 204:2595 --enddatetime 2017-10-08T20:43:47 --enforcementcount 0 &gt;&gt;%USERPROFILE%\Documents\GitHub\eaglep3-reporting\EC\2017-10-08-refined-times.txt</v>
      </c>
      <c r="AI224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0.2595"},{"id":17,"name":"Train ID","value":"75-08"},{"id":16,"name":"Locomotive ID","value":"4061"},{"id":130,"name":"Impact","value":""},{"id":150,"name":"Time of Event (Mountain Time)","value":"20:43:47"},{"id":151,"name":"Denver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62"/>
        <v>start /low /b %USERPROFILE%\Documents\GitHub\eaglep3\Utilities\DownloadLogsFromS3.py --loco 4061 --day 2017-10-08</v>
      </c>
      <c r="AN224" s="151" t="str">
        <f t="shared" si="16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02:43:47"},{"id":29,"name":"Sharepoint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64"/>
        <v>https://d0f6bd738d7f1b3e5a7ca70fe4ff75f0.us-east-1.aws.found.io/app/kibana#/discover/Steve-Slow-Train-Analysis-(2080s-and-2083s)?_g=(refreshInterval:(display:Off,pause:!f,section:0,value:0),time:(from:'2017-10-08T19:31:20-0600',mode:absolute,to:'2017-10-08T21:43:47-0600'))&amp;_a=(columns:!('Message%20ID',Summary),filters:!(),index:'emp_*',interval:auto,query:(query_string:(analyze_wildcard:!t,query:'%22rtdc.l.rtdc.4061%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782</v>
      </c>
      <c r="B225" s="7">
        <v>4058</v>
      </c>
      <c r="C225" s="21" t="s">
        <v>194</v>
      </c>
      <c r="D225" s="21" t="s">
        <v>993</v>
      </c>
      <c r="E225" s="13">
        <v>43016.717361111114</v>
      </c>
      <c r="F225" s="13">
        <v>43016.725219907406</v>
      </c>
      <c r="G225" s="7">
        <v>105</v>
      </c>
      <c r="H225" s="21" t="s">
        <v>994</v>
      </c>
      <c r="I225" s="13">
        <v>43016.731574074074</v>
      </c>
      <c r="J225" s="7">
        <v>0</v>
      </c>
      <c r="K225" s="89" t="str">
        <f t="shared" si="135"/>
        <v>4057/4058</v>
      </c>
      <c r="L225" s="185" t="str">
        <f>VLOOKUP(A225,'Trips&amp;Operators'!$C$1:$G$99911,5,FALSE)</f>
        <v>GONZALEZ ARMANDO</v>
      </c>
      <c r="M225" s="6">
        <f t="shared" si="136"/>
        <v>6.3541666677338071E-3</v>
      </c>
      <c r="N225" s="7">
        <f t="shared" si="147"/>
        <v>9.1500000015366822</v>
      </c>
      <c r="O225" s="7"/>
      <c r="P225" s="7"/>
      <c r="Q225" s="22"/>
      <c r="R225" s="174"/>
      <c r="S225" s="221">
        <f t="shared" si="148"/>
        <v>1</v>
      </c>
      <c r="T225" s="174" t="str">
        <f t="shared" si="137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57"/>
        <v>https://d0f6bd738d7f1b3e5a7ca70fe4ff75f0.us-east-1.aws.found.io/app/kibana#/discover/Steve-Slow-Train-Analysis-(2080s-and-2083s)?_g=(refreshInterval:(display:Off,pause:!f,section:0,value:0),time:(from:'2017-10-08T16:13:00-0600',mode:absolute,to:'2017-10-08T18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5" s="204" t="str">
        <f>IF(AA225&lt;VLOOKUP(AG225,Variables!$AC$3:$AD$8,2,FALSE),"Y","N")</f>
        <v>Y</v>
      </c>
      <c r="X225" s="204">
        <f t="shared" si="149"/>
        <v>2</v>
      </c>
      <c r="Y225" s="204">
        <f t="shared" si="155"/>
        <v>0.11600000000000001</v>
      </c>
      <c r="Z225" s="204">
        <f t="shared" si="156"/>
        <v>2.3308</v>
      </c>
      <c r="AA225" s="204">
        <f t="shared" si="138"/>
        <v>2.2147999999999999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39"/>
        <v>77</v>
      </c>
      <c r="AE225" s="77" t="str">
        <f t="shared" si="158"/>
        <v>aws s3 cp s3://rtdc.mdm.uploadarchive.raw/RTDC4058/ "%USERPROFILE%\AppData\Local\Temp\OnboardLogs"\RTDC4058\2017-10-08 --exclude "*" --recursive --include "*20171008*" &amp; "%USERPROFILE%\Documents\GitHub\mrs-test-scripts\Headless Mode &amp; Sideloading\WalkAndUnGZ.bat" "%USERPROFILE%\AppData\Local\Temp\OnboardLogs"\RTDC4058\2017-10-08 &amp; aws s3 cp s3://rtdc.mdm.uploadarchive.raw/RTDC4058/ "%USERPROFILE%\AppData\Local\Temp\OnboardLogs"\RTDC4058\2017-10-09 --exclude "*" --recursive --include "*20171009*" &amp; "%USERPROFILE%\Documents\GitHub\mrs-test-scripts\Headless Mode &amp; Sideloading\WalkAndUnGZ.bat" "%USERPROFILE%\AppData\Local\Temp\OnboardLogs"\RTDC4058\2017-10-09</v>
      </c>
      <c r="AF225" s="74" t="str">
        <f t="shared" si="159"/>
        <v>"C:\Program Files (x86)\AstroGrep\AstroGrep.exe" /e /r /s /spath="%USERPROFILE%\AppData\Local\Temp\OnboardLogs" /stypes="app*4058*20171008*" /stext=" 23:.+((SYSTEM_STATE.+slice.+state.+changed )|(ment ac)|(multiple cpu faults)|(system.+state.+changed )|(\[timeout)|(PRM\|1\|D)|(kpr)|(kdp)|(train st.+moving)|(\|lc)|(penalty))"</v>
      </c>
      <c r="AG225" s="182" t="str">
        <f t="shared" si="140"/>
        <v>Shuttle/Test</v>
      </c>
      <c r="AH225" s="78" t="str">
        <f t="shared" si="160"/>
        <v>"%USERPROFILE%\Documents\GitHub\eaglep3\Utilities\RefineRTDCRunTimes.py" --tripid 77-08 --locoid 4058 --swversion DE.1.0.9.0 --startMP 204:1160 --initTime 2017-10-08T17:13:00 --startdatetime 2017-10-08T17:24:19 --delay 105 --endMP 300:23308 --enddatetime 2017-10-08T17:33:28 --enforcementcount 0 &gt;&gt;%USERPROFILE%\Documents\GitHub\eaglep3-reporting\EC\2017-10-08-refined-times.txt</v>
      </c>
      <c r="AI225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2.3308"},{"id":17,"name":"Train ID","value":"77-08"},{"id":16,"name":"Locomotive ID","value":"4058"},{"id":130,"name":"Impact","value":""},{"id":150,"name":"Time of Event (Mountain Time)","value":"17:33:28"},{"id":151,"name":"Denver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62"/>
        <v>start /low /b %USERPROFILE%\Documents\GitHub\eaglep3\Utilities\DownloadLogsFromS3.py --loco 4058 --day 2017-10-08</v>
      </c>
      <c r="AN225" s="151" t="str">
        <f t="shared" si="163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23:33:28"},{"id":29,"name":"Sharepoint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64"/>
        <v>https://d0f6bd738d7f1b3e5a7ca70fe4ff75f0.us-east-1.aws.found.io/app/kibana#/discover/Steve-Slow-Train-Analysis-(2080s-and-2083s)?_g=(refreshInterval:(display:Off,pause:!f,section:0,value:0),time:(from:'2017-10-08T16:13:00-0600',mode:absolute,to:'2017-10-08T18:33:28-0600'))&amp;_a=(columns:!('Message%20ID',Summary),filters:!(),index:'emp_*',interval:auto,query:(query_string:(analyze_wildcard:!t,query:'%22rtdc.l.rtdc.4058%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810</v>
      </c>
      <c r="B226" s="7">
        <v>4042</v>
      </c>
      <c r="C226" s="21" t="s">
        <v>194</v>
      </c>
      <c r="D226" s="21" t="s">
        <v>570</v>
      </c>
      <c r="E226" s="13">
        <v>43016.831504629627</v>
      </c>
      <c r="F226" s="13">
        <v>43016.836550925924</v>
      </c>
      <c r="G226" s="7">
        <v>75</v>
      </c>
      <c r="H226" s="21" t="s">
        <v>995</v>
      </c>
      <c r="I226" s="13">
        <v>43016.846759259257</v>
      </c>
      <c r="J226" s="7">
        <v>0</v>
      </c>
      <c r="K226" s="89" t="str">
        <f t="shared" si="135"/>
        <v>4041/4042</v>
      </c>
      <c r="L226" s="185" t="str">
        <f>VLOOKUP(A226,'Trips&amp;Operators'!$C$1:$G$99911,5,FALSE)</f>
        <v>GUNTHIER ERIC</v>
      </c>
      <c r="M226" s="6">
        <f t="shared" si="136"/>
        <v>1.0208333333139308E-2</v>
      </c>
      <c r="N226" s="7">
        <f t="shared" si="147"/>
        <v>14.699999999720603</v>
      </c>
      <c r="O226" s="7"/>
      <c r="P226" s="7"/>
      <c r="Q226" s="22"/>
      <c r="R226" s="174"/>
      <c r="S226" s="221">
        <f t="shared" si="148"/>
        <v>1</v>
      </c>
      <c r="T226" s="174" t="str">
        <f t="shared" si="137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57"/>
        <v>https://d0f6bd738d7f1b3e5a7ca70fe4ff75f0.us-east-1.aws.found.io/app/kibana#/discover/Steve-Slow-Train-Analysis-(2080s-and-2083s)?_g=(refreshInterval:(display:Off,pause:!f,section:0,value:0),time:(from:'2017-10-08T18:57:22-0600',mode:absolute,to:'2017-10-08T21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204" t="str">
        <f>IF(AA226&lt;VLOOKUP(AG226,Variables!$AC$3:$AD$8,2,FALSE),"Y","N")</f>
        <v>Y</v>
      </c>
      <c r="X226" s="204">
        <f t="shared" si="149"/>
        <v>2</v>
      </c>
      <c r="Y226" s="204">
        <f t="shared" si="155"/>
        <v>0.1148</v>
      </c>
      <c r="Z226" s="204">
        <f t="shared" si="156"/>
        <v>2.4192999999999998</v>
      </c>
      <c r="AA226" s="204">
        <f t="shared" si="138"/>
        <v>2.3045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39"/>
        <v>79</v>
      </c>
      <c r="AE226" s="77" t="str">
        <f t="shared" si="158"/>
        <v>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 &amp; aws s3 cp s3://rtdc.mdm.uploadarchive.raw/RTDC4042/ "%USERPROFILE%\AppData\Local\Temp\OnboardLogs"\RTDC4042\2017-10-09 --exclude "*" --recursive --include "*20171009*" &amp; "%USERPROFILE%\Documents\GitHub\mrs-test-scripts\Headless Mode &amp; Sideloading\WalkAndUnGZ.bat" "%USERPROFILE%\AppData\Local\Temp\OnboardLogs"\RTDC4042\2017-10-09</v>
      </c>
      <c r="AF226" s="74" t="str">
        <f t="shared" si="159"/>
        <v>"C:\Program Files (x86)\AstroGrep\AstroGrep.exe" /e /r /s /spath="%USERPROFILE%\AppData\Local\Temp\OnboardLogs" /stypes="app*4042*20171009*" /stext=" 02:.+((SYSTEM_STATE.+slice.+state.+changed )|(ment ac)|(multiple cpu faults)|(system.+state.+changed )|(\[timeout)|(PRM\|1\|D)|(kpr)|(kdp)|(train st.+moving)|(\|lc)|(penalty))"</v>
      </c>
      <c r="AG226" s="182" t="str">
        <f t="shared" si="140"/>
        <v>Shuttle/Test</v>
      </c>
      <c r="AH226" s="78" t="str">
        <f t="shared" si="160"/>
        <v>"%USERPROFILE%\Documents\GitHub\eaglep3\Utilities\RefineRTDCRunTimes.py" --tripid 79-08 --locoid 4042 --swversion DE.1.0.9.0 --startMP 204:1148 --initTime 2017-10-08T19:57:22 --startdatetime 2017-10-08T20:04:38 --delay 75 --endMP 300:24193 --enddatetime 2017-10-08T20:19:20 --enforcementcount 0 &gt;&gt;%USERPROFILE%\Documents\GitHub\eaglep3-reporting\EC\2017-10-08-refined-times.txt</v>
      </c>
      <c r="AI226" s="96" t="str">
        <f t="shared" si="161"/>
        <v>echo {"issue":{"subject":"","project_id":79,"tracker_id":40,"status_id":1,"priority_id":2,"assigned_to_id":338,"start_date":"2017-10-08","description":"","custom_fields":[{"id":1,"name":"Subdivision","value":"Shuttle/Test"},{"id":4,"name":"Milepost","value":"2.4193"},{"id":17,"name":"Train ID","value":"79-08"},{"id":16,"name":"Locomotive ID","value":"4042"},{"id":130,"name":"Impact","value":""},{"id":150,"name":"Time of Event (Mountain Time)","value":"20:19:20"},{"id":151,"name":"Denver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62"/>
        <v>start /low /b %USERPROFILE%\Documents\GitHub\eaglep3\Utilities\DownloadLogsFromS3.py --loco 4042 --day 2017-10-08</v>
      </c>
      <c r="AN226" s="151" t="str">
        <f t="shared" si="163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02:19:20"},{"id":29,"name":"Sharepoint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64"/>
        <v>https://d0f6bd738d7f1b3e5a7ca70fe4ff75f0.us-east-1.aws.found.io/app/kibana#/discover/Steve-Slow-Train-Analysis-(2080s-and-2083s)?_g=(refreshInterval:(display:Off,pause:!f,section:0,value:0),time:(from:'2017-10-08T18:57:22-0600',mode:absolute,to:'2017-10-08T21:19:20-0600'))&amp;_a=(columns:!('Message%20ID',Summary),filters:!(),index:'emp_*',interval:auto,query:(query_string:(analyze_wildcard:!t,query:'%22rtdc.l.rtdc.4042%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</sheetData>
  <autoFilter ref="A12:AG359">
    <sortState ref="A13:AG359">
      <sortCondition ref="AG13:AG226"/>
      <sortCondition ref="AD13:AD226"/>
    </sortState>
  </autoFilter>
  <sortState ref="A13:AN277">
    <sortCondition ref="AG13:AG277"/>
    <sortCondition ref="AD13:AD277"/>
  </sortState>
  <mergeCells count="1">
    <mergeCell ref="A11:P11"/>
  </mergeCells>
  <conditionalFormatting sqref="W11:W12 W365:X1048576 W13:X226">
    <cfRule type="cellIs" dxfId="10" priority="422" operator="equal">
      <formula>"Y"</formula>
    </cfRule>
  </conditionalFormatting>
  <conditionalFormatting sqref="X365:X1048576 X13:X226">
    <cfRule type="cellIs" dxfId="9" priority="405" operator="greaterThan">
      <formula>1</formula>
    </cfRule>
  </conditionalFormatting>
  <conditionalFormatting sqref="X365:X1048576 X12:X226">
    <cfRule type="cellIs" dxfId="8" priority="402" operator="equal">
      <formula>0</formula>
    </cfRule>
  </conditionalFormatting>
  <conditionalFormatting sqref="A13:S22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10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- 2017-10-08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354</v>
      </c>
      <c r="X6" s="181" t="s">
        <v>347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43017.057060185187</v>
      </c>
      <c r="B7" s="30" t="s">
        <v>598</v>
      </c>
      <c r="C7" s="30" t="s">
        <v>616</v>
      </c>
      <c r="D7" s="30" t="s">
        <v>49</v>
      </c>
      <c r="E7" s="30" t="s">
        <v>185</v>
      </c>
      <c r="F7" s="42">
        <v>500</v>
      </c>
      <c r="G7" s="42">
        <v>568</v>
      </c>
      <c r="H7" s="42">
        <v>49368</v>
      </c>
      <c r="I7" s="42">
        <v>46770</v>
      </c>
      <c r="J7" s="30" t="s">
        <v>186</v>
      </c>
      <c r="K7" s="42">
        <v>48048</v>
      </c>
      <c r="L7" s="131" t="s">
        <v>51</v>
      </c>
      <c r="M7" s="132">
        <f t="shared" ref="M7:M44" si="0">CONVERT((I7-K7)/10000,"mi","ft")*IF(L7="Increasing Mileposts (1)",-1,1)</f>
        <v>-674.78399999999999</v>
      </c>
      <c r="N7" s="133" t="str">
        <f>VLOOKUP(C7,'Trips&amp;Operators'!$C$1:$G$99911,5,FALSE)</f>
        <v>ELBAUM MIKE</v>
      </c>
      <c r="O7" s="176" t="s">
        <v>178</v>
      </c>
      <c r="P7" s="134" t="s">
        <v>360</v>
      </c>
      <c r="Q7" s="30"/>
      <c r="R7" s="81" t="str">
        <f>VLOOKUP(C7,'Train Runs'!$A$13:$AE$10018,31,0)</f>
        <v>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 &amp; 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</v>
      </c>
      <c r="S7" s="84" t="str">
        <f>VLOOKUP(C7,'Train Runs'!$A$13:$AE$10018,22,0)</f>
        <v>https://d0f6bd738d7f1b3e5a7ca70fe4ff75f0.us-east-1.aws.found.io/app/kibana#/discover/Steve-Slow-Train-Analysis-(2080s-and-2083s)?_g=(refreshInterval:(display:Off,pause:!f,section:0,value:0),time:(from:'2017-10-08T23:38:45-0600',mode:absolute,to:'2017-10-09T02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7" s="86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/stypes="*4049*201710090*" /stext=" 07:.+((SYSTEM_STATE.+slice.+state.+changed )|(ment ac)|(multiple cpu faults)|(system.+state.+changed )|(\[timeout)|(PRM\|1\|D)|(kpr)|(kdp)|(train st.+moving)|(\|lc)|(penalty))"</v>
      </c>
      <c r="U7" s="9" t="str">
        <f t="shared" ref="U7:U44" si="2">MID(B7,13,4)</f>
        <v>4049</v>
      </c>
      <c r="V7" s="31">
        <f t="shared" ref="V7:V44" si="3">A7-utc_offset/24</f>
        <v>43017.307060185187</v>
      </c>
      <c r="W7" s="45" t="str">
        <f t="shared" ref="W7:W44" si="4">DetSubdiv(C7)</f>
        <v>EC</v>
      </c>
      <c r="X7" s="22">
        <f t="shared" ref="X7:X44" si="5">VALUE(LEFT(C7,LEN(C7)-3))</f>
        <v>242</v>
      </c>
      <c r="Y7" s="96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Arrival","project_id":79,"tracker_id":40,"status_id":1,"priority_id":2,"assigned_to_id":338,"start_date":"2017-10-09","description":"","custom_fields":[{"id":1,"name":"Subdivision","value":"EC"},{"id":4,"name":"Milepost","value":"4.8048"},{"id":17,"name":"Train ID","value":"242-08"},{"id":16,"name":"Locomotive ID","value":"4049"},{"id":130,"name":"Impact","value":""},{"id":150,"name":"Time of Event (Mountain Time)","value":"01:22:10"},{"id":151,"name":"Denver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4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/c/Users/stu/AppData/Local/Temp/OnboardLogs/RTDC4049 --include="*4049*201710090*"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"%USERPROFILE%\AppData\Local\Temp\OnboardLogs"\RTDC4049\*4049*201710090* &gt;&gt; 2017-10-08-SliceDisagreementCheck.txt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4049 --day 2017-10-09</v>
      </c>
    </row>
    <row r="8" spans="1:32" s="1" customFormat="1" x14ac:dyDescent="0.25">
      <c r="A8" s="31">
        <v>43016.50980324074</v>
      </c>
      <c r="B8" s="30" t="s">
        <v>600</v>
      </c>
      <c r="C8" s="30" t="s">
        <v>601</v>
      </c>
      <c r="D8" s="30" t="s">
        <v>49</v>
      </c>
      <c r="E8" s="30" t="s">
        <v>185</v>
      </c>
      <c r="F8" s="42">
        <v>0</v>
      </c>
      <c r="G8" s="42">
        <v>491</v>
      </c>
      <c r="H8" s="42">
        <v>62652</v>
      </c>
      <c r="I8" s="42">
        <v>63929</v>
      </c>
      <c r="J8" s="30" t="s">
        <v>186</v>
      </c>
      <c r="K8" s="42">
        <v>63069</v>
      </c>
      <c r="L8" s="131" t="s">
        <v>50</v>
      </c>
      <c r="M8" s="132">
        <f t="shared" si="0"/>
        <v>-454.08</v>
      </c>
      <c r="N8" s="133" t="str">
        <f>VLOOKUP(C8,'Trips&amp;Operators'!$C$1:$G$99911,5,FALSE)</f>
        <v>BADERTSCHER DIANE</v>
      </c>
      <c r="O8" s="176" t="s">
        <v>178</v>
      </c>
      <c r="P8" s="134" t="s">
        <v>360</v>
      </c>
      <c r="Q8" s="30"/>
      <c r="R8" s="81" t="str">
        <f>VLOOKUP(C8,'Train Runs'!$A$13:$AE$10018,31,0)</f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S8" s="84" t="str">
        <f>VLOOKUP(C8,'Train Runs'!$A$13:$AE$10018,22,0)</f>
        <v>https://d0f6bd738d7f1b3e5a7ca70fe4ff75f0.us-east-1.aws.found.io/app/kibana#/discover/Steve-Slow-Train-Analysis-(2080s-and-2083s)?_g=(refreshInterval:(display:Off,pause:!f,section:0,value:0),time:(from:'2017-10-08T10:54:04-0600',mode:absolute,to:'2017-10-08T13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8" s="86" t="str">
        <f t="shared" si="1"/>
        <v>"C:\Program Files (x86)\AstroGrep\AstroGrep.exe" /e /r /s /spath="%USERPROFILE%\AppData\Local\Temp\OnboardLogs" /stypes="*4036*201710081*"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4036</v>
      </c>
      <c r="V8" s="31">
        <f t="shared" si="3"/>
        <v>43016.75980324074</v>
      </c>
      <c r="W8" s="45" t="str">
        <f t="shared" si="4"/>
        <v>EC</v>
      </c>
      <c r="X8" s="22">
        <f t="shared" si="5"/>
        <v>167</v>
      </c>
      <c r="Y8" s="96" t="str">
        <f t="shared" si="6"/>
        <v>echo {"issue":{"subject":"Early Arrival","project_id":79,"tracker_id":40,"status_id":1,"priority_id":2,"assigned_to_id":338,"start_date":"2017-10-08","description":"","custom_fields":[{"id":1,"name":"Subdivision","value":"EC"},{"id":4,"name":"Milepost","value":"6.3069"},{"id":17,"name":"Train ID","value":"167-08"},{"id":16,"name":"Locomotive ID","value":"4036"},{"id":130,"name":"Impact","value":""},{"id":150,"name":"Time of Event (Mountain Time)","value":"12:14:07"},{"id":151,"name":"Denver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/c/Users/stu/AppData/Local/Temp/OnboardLogs/RTDC4036 --include="*4036*201710081*"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"%USERPROFILE%\AppData\Local\Temp\OnboardLogs"\RTDC4036\*4036*201710081* &gt;&gt; 2017-10-08-SliceDisagreementCheck.txt</v>
      </c>
      <c r="AE8" s="145" t="str">
        <f t="shared" ref="AE8:AE44" si="9">"start /low /b "&amp;dls3logs&amp;" --loco "&amp;U8&amp;" --day "&amp;TEXT(V8,"YYYY-MM-DD")</f>
        <v>start /low /b %USERPROFILE%\Documents\GitHub\eaglep3\Utilities\DownloadLogsFromS3.py --loco 4036 --day 2017-10-08</v>
      </c>
    </row>
    <row r="9" spans="1:32" s="1" customFormat="1" x14ac:dyDescent="0.25">
      <c r="A9" s="31">
        <v>43016.713020833333</v>
      </c>
      <c r="B9" s="30" t="s">
        <v>501</v>
      </c>
      <c r="C9" s="30" t="s">
        <v>605</v>
      </c>
      <c r="D9" s="30" t="s">
        <v>49</v>
      </c>
      <c r="E9" s="30" t="s">
        <v>185</v>
      </c>
      <c r="F9" s="42">
        <v>0</v>
      </c>
      <c r="G9" s="42">
        <v>543</v>
      </c>
      <c r="H9" s="42">
        <v>66190</v>
      </c>
      <c r="I9" s="42">
        <v>64683</v>
      </c>
      <c r="J9" s="30" t="s">
        <v>186</v>
      </c>
      <c r="K9" s="42">
        <v>63309</v>
      </c>
      <c r="L9" s="131" t="s">
        <v>51</v>
      </c>
      <c r="M9" s="132">
        <f t="shared" si="0"/>
        <v>725.47199999999998</v>
      </c>
      <c r="N9" s="133" t="str">
        <f>VLOOKUP(C9,'Trips&amp;Operators'!$C$1:$G$99911,5,FALSE)</f>
        <v>BERLING GARY</v>
      </c>
      <c r="O9" s="176" t="s">
        <v>178</v>
      </c>
      <c r="P9" s="134" t="s">
        <v>360</v>
      </c>
      <c r="Q9" s="30"/>
      <c r="R9" s="81" t="str">
        <f>VLOOKUP(C9,'Train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9" s="84" t="str">
        <f>VLOOKUP(C9,'Train Runs'!$A$13:$AE$10018,22,0)</f>
        <v>https://d0f6bd738d7f1b3e5a7ca70fe4ff75f0.us-east-1.aws.found.io/app/kibana#/discover/Steve-Slow-Train-Analysis-(2080s-and-2083s)?_g=(refreshInterval:(display:Off,pause:!f,section:0,value:0),time:(from:'2017-10-08T15:35:31-0600',mode:absolute,to:'2017-10-08T18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 t="shared" si="1"/>
        <v>"C:\Program Files (x86)\AstroGrep\AstroGrep.exe" /e /r /s /spath="%USERPROFILE%\AppData\Local\Temp\OnboardLogs" /stypes="*4015*201710082*"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4015</v>
      </c>
      <c r="V9" s="31">
        <f t="shared" si="3"/>
        <v>43016.963020833333</v>
      </c>
      <c r="W9" s="45" t="str">
        <f t="shared" si="4"/>
        <v>EC</v>
      </c>
      <c r="X9" s="22">
        <f t="shared" si="5"/>
        <v>198</v>
      </c>
      <c r="Y9" s="96" t="str">
        <f t="shared" si="6"/>
        <v>echo {"issue":{"subject":"Early Arrival","project_id":79,"tracker_id":40,"status_id":1,"priority_id":2,"assigned_to_id":338,"start_date":"2017-10-08","description":"","custom_fields":[{"id":1,"name":"Subdivision","value":"EC"},{"id":4,"name":"Milepost","value":"6.3309"},{"id":17,"name":"Train ID","value":"198-08"},{"id":16,"name":"Locomotive ID","value":"4015"},{"id":130,"name":"Impact","value":""},{"id":150,"name":"Time of Event (Mountain Time)","value":"17:06:45"},{"id":151,"name":"Denver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/c/Users/stu/AppData/Local/Temp/OnboardLogs/RTDC4015 --include="*4015*201710082*"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"%USERPROFILE%\AppData\Local\Temp\OnboardLogs"\RTDC4015\*4015*201710082* &gt;&gt; 2017-10-08-SliceDisagreementCheck.txt</v>
      </c>
      <c r="AE9" s="145" t="str">
        <f t="shared" si="9"/>
        <v>start /low /b %USERPROFILE%\Documents\GitHub\eaglep3\Utilities\DownloadLogsFromS3.py --loco 4015 --day 2017-10-08</v>
      </c>
    </row>
    <row r="10" spans="1:32" s="1" customFormat="1" x14ac:dyDescent="0.25">
      <c r="A10" s="31">
        <v>43016.409756944442</v>
      </c>
      <c r="B10" s="30" t="s">
        <v>595</v>
      </c>
      <c r="C10" s="30" t="s">
        <v>596</v>
      </c>
      <c r="D10" s="30" t="s">
        <v>49</v>
      </c>
      <c r="E10" s="30" t="s">
        <v>185</v>
      </c>
      <c r="F10" s="42">
        <v>90</v>
      </c>
      <c r="G10" s="42">
        <v>147</v>
      </c>
      <c r="H10" s="42">
        <v>63971</v>
      </c>
      <c r="I10" s="42">
        <v>63806</v>
      </c>
      <c r="J10" s="30" t="s">
        <v>186</v>
      </c>
      <c r="K10" s="42">
        <v>63309</v>
      </c>
      <c r="L10" s="131" t="s">
        <v>51</v>
      </c>
      <c r="M10" s="132">
        <f t="shared" si="0"/>
        <v>262.416</v>
      </c>
      <c r="N10" s="133" t="str">
        <f>VLOOKUP(C10,'Trips&amp;Operators'!$C$1:$G$99911,5,FALSE)</f>
        <v>LOPES KIMBERLY</v>
      </c>
      <c r="O10" s="176" t="s">
        <v>178</v>
      </c>
      <c r="P10" s="134" t="s">
        <v>360</v>
      </c>
      <c r="Q10" s="30"/>
      <c r="R10" s="81" t="str">
        <f>VLOOKUP(C10,'Train Runs'!$A$13:$AE$10018,31,0)</f>
        <v>aws s3 cp s3://rtdc.mdm.uploadarchive.raw/RTDC4035/ "%USERPROFILE%\AppData\Local\Temp\OnboardLogs"\RTDC4035\2017-10-08 --exclude "*" --recursive --include "*20171008*" &amp; "%USERPROFILE%\Documents\GitHub\mrs-test-scripts\Headless Mode &amp; Sideloading\WalkAndUnGZ.bat" "%USERPROFILE%\AppData\Local\Temp\OnboardLogs"\RTDC4035\2017-10-08 &amp; aws s3 cp s3://rtdc.mdm.uploadarchive.raw/RTDC4035/ "%USERPROFILE%\AppData\Local\Temp\OnboardLogs"\RTDC4035\2017-10-09 --exclude "*" --recursive --include "*20171009*" &amp; "%USERPROFILE%\Documents\GitHub\mrs-test-scripts\Headless Mode &amp; Sideloading\WalkAndUnGZ.bat" "%USERPROFILE%\AppData\Local\Temp\OnboardLogs"\RTDC4035\2017-10-09</v>
      </c>
      <c r="S10" s="84" t="str">
        <f>VLOOKUP(C10,'Train Runs'!$A$13:$AE$10018,22,0)</f>
        <v>https://d0f6bd738d7f1b3e5a7ca70fe4ff75f0.us-east-1.aws.found.io/app/kibana#/discover/Steve-Slow-Train-Analysis-(2080s-and-2083s)?_g=(refreshInterval:(display:Off,pause:!f,section:0,value:0),time:(from:'2017-10-08T08:18:12-0600',mode:absolute,to:'2017-10-08T11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0" s="86" t="str">
        <f t="shared" si="1"/>
        <v>"C:\Program Files (x86)\AstroGrep\AstroGrep.exe" /e /r /s /spath="%USERPROFILE%\AppData\Local\Temp\OnboardLogs" /stypes="*4035*201710081*"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4035</v>
      </c>
      <c r="V10" s="31">
        <f t="shared" si="3"/>
        <v>43016.659756944442</v>
      </c>
      <c r="W10" s="45" t="str">
        <f t="shared" si="4"/>
        <v>EC</v>
      </c>
      <c r="X10" s="22">
        <f t="shared" si="5"/>
        <v>140</v>
      </c>
      <c r="Y10" s="96" t="str">
        <f t="shared" si="6"/>
        <v>echo {"issue":{"subject":"Early Arrival","project_id":79,"tracker_id":40,"status_id":1,"priority_id":2,"assigned_to_id":338,"start_date":"2017-10-08","description":"","custom_fields":[{"id":1,"name":"Subdivision","value":"EC"},{"id":4,"name":"Milepost","value":"6.3309"},{"id":17,"name":"Train ID","value":"140-08"},{"id":16,"name":"Locomotive ID","value":"4035"},{"id":130,"name":"Impact","value":""},{"id":150,"name":"Time of Event (Mountain Time)","value":"09:50:03"},{"id":151,"name":"Denver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/c/Users/stu/AppData/Local/Temp/OnboardLogs/RTDC4035 --include="*4035*201710081*"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"%USERPROFILE%\AppData\Local\Temp\OnboardLogs"\RTDC4035\*4035*201710081* &gt;&gt; 2017-10-08-SliceDisagreementCheck.txt</v>
      </c>
      <c r="AE10" s="145" t="str">
        <f t="shared" si="9"/>
        <v>start /low /b %USERPROFILE%\Documents\GitHub\eaglep3\Utilities\DownloadLogsFromS3.py --loco 4035 --day 2017-10-08</v>
      </c>
    </row>
    <row r="11" spans="1:32" s="1" customFormat="1" x14ac:dyDescent="0.25">
      <c r="A11" s="31">
        <v>43016.992083333331</v>
      </c>
      <c r="B11" s="30" t="s">
        <v>462</v>
      </c>
      <c r="C11" s="30" t="s">
        <v>614</v>
      </c>
      <c r="D11" s="30" t="s">
        <v>49</v>
      </c>
      <c r="E11" s="30" t="s">
        <v>185</v>
      </c>
      <c r="F11" s="42">
        <v>390</v>
      </c>
      <c r="G11" s="42">
        <v>441</v>
      </c>
      <c r="H11" s="42">
        <v>110262</v>
      </c>
      <c r="I11" s="42">
        <v>108874</v>
      </c>
      <c r="J11" s="30" t="s">
        <v>186</v>
      </c>
      <c r="K11" s="42">
        <v>109135</v>
      </c>
      <c r="L11" s="131" t="s">
        <v>51</v>
      </c>
      <c r="M11" s="132">
        <f t="shared" si="0"/>
        <v>-137.80799999999999</v>
      </c>
      <c r="N11" s="133" t="str">
        <f>VLOOKUP(C11,'Trips&amp;Operators'!$C$1:$G$99911,5,FALSE)</f>
        <v>DUNCAN SHEILA</v>
      </c>
      <c r="O11" s="176" t="s">
        <v>178</v>
      </c>
      <c r="P11" s="134" t="s">
        <v>360</v>
      </c>
      <c r="Q11" s="30"/>
      <c r="R11" s="81" t="str">
        <f>VLOOKUP(C11,'Train Runs'!$A$13:$AE$10018,31,0)</f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S11" s="84" t="str">
        <f>VLOOKUP(C11,'Train Runs'!$A$13:$AE$10018,22,0)</f>
        <v>https://d0f6bd738d7f1b3e5a7ca70fe4ff75f0.us-east-1.aws.found.io/app/kibana#/discover/Steve-Slow-Train-Analysis-(2080s-and-2083s)?_g=(refreshInterval:(display:Off,pause:!f,section:0,value:0),time:(from:'2017-10-08T22:11:53-0600',mode:absolute,to:'2017-10-09T01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1" s="86" t="str">
        <f t="shared" si="1"/>
        <v>"C:\Program Files (x86)\AstroGrep\AstroGrep.exe" /e /r /s /spath="%USERPROFILE%\AppData\Local\Temp\OnboardLogs" /stypes="*4065*201710090*" /stext=" 05:.+((SYSTEM_STATE.+slice.+state.+changed )|(ment ac)|(multiple cpu faults)|(system.+state.+changed )|(\[timeout)|(PRM\|1\|D)|(kpr)|(kdp)|(train st.+moving)|(\|lc)|(penalty))"</v>
      </c>
      <c r="U11" s="9" t="str">
        <f t="shared" si="2"/>
        <v>4065</v>
      </c>
      <c r="V11" s="31">
        <f t="shared" si="3"/>
        <v>43017.242083333331</v>
      </c>
      <c r="W11" s="45" t="str">
        <f t="shared" si="4"/>
        <v>EC</v>
      </c>
      <c r="X11" s="22">
        <f t="shared" si="5"/>
        <v>236</v>
      </c>
      <c r="Y11" s="96" t="str">
        <f t="shared" si="6"/>
        <v>echo {"issue":{"subject":"Early Arrival","project_id":79,"tracker_id":40,"status_id":1,"priority_id":2,"assigned_to_id":338,"start_date":"2017-10-08","description":"","custom_fields":[{"id":1,"name":"Subdivision","value":"EC"},{"id":4,"name":"Milepost","value":"10.9135"},{"id":17,"name":"Train ID","value":"236-08"},{"id":16,"name":"Locomotive ID","value":"4065"},{"id":130,"name":"Impact","value":""},{"id":150,"name":"Time of Event (Mountain Time)","value":"23:48:36"},{"id":151,"name":"Denver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/c/Users/stu/AppData/Local/Temp/OnboardLogs/RTDC4065 --include="*4065*201710090*"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"%USERPROFILE%\AppData\Local\Temp\OnboardLogs"\RTDC4065\*4065*201710090* &gt;&gt; 2017-10-08-SliceDisagreementCheck.txt</v>
      </c>
      <c r="AE11" s="145" t="str">
        <f t="shared" si="9"/>
        <v>start /low /b %USERPROFILE%\Documents\GitHub\eaglep3\Utilities\DownloadLogsFromS3.py --loco 4065 --day 2017-10-09</v>
      </c>
    </row>
    <row r="12" spans="1:32" x14ac:dyDescent="0.25">
      <c r="A12" s="31">
        <v>43016.780578703707</v>
      </c>
      <c r="B12" s="30" t="s">
        <v>606</v>
      </c>
      <c r="C12" s="30" t="s">
        <v>610</v>
      </c>
      <c r="D12" s="30" t="s">
        <v>95</v>
      </c>
      <c r="E12" s="30" t="s">
        <v>192</v>
      </c>
      <c r="F12" s="42">
        <v>700</v>
      </c>
      <c r="G12" s="42">
        <v>751</v>
      </c>
      <c r="H12" s="42">
        <v>174109</v>
      </c>
      <c r="I12" s="42">
        <v>177070</v>
      </c>
      <c r="J12" s="30" t="s">
        <v>193</v>
      </c>
      <c r="K12" s="42">
        <v>161962</v>
      </c>
      <c r="L12" s="131" t="s">
        <v>50</v>
      </c>
      <c r="M12" s="132">
        <f t="shared" si="0"/>
        <v>-7977.0240000000003</v>
      </c>
      <c r="N12" s="133" t="str">
        <f>VLOOKUP(C12,'Trips&amp;Operators'!$C$1:$G$99911,5,FALSE)</f>
        <v>ELBAUM MIKE</v>
      </c>
      <c r="O12" s="176" t="s">
        <v>178</v>
      </c>
      <c r="P12" s="134"/>
      <c r="Q12" s="30"/>
      <c r="R12" s="81" t="str">
        <f>VLOOKUP(C12,'Train Runs'!$A$13:$AE$10018,31,0)</f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S12" s="84" t="str">
        <f>VLOOKUP(C12,'Train Runs'!$A$13:$AE$10018,22,0)</f>
        <v>https://d0f6bd738d7f1b3e5a7ca70fe4ff75f0.us-east-1.aws.found.io/app/kibana#/discover/Steve-Slow-Train-Analysis-(2080s-and-2083s)?_g=(refreshInterval:(display:Off,pause:!f,section:0,value:0),time:(from:'2017-10-08T17:08:42-0600',mode:absolute,to:'2017-10-08T19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2" s="86" t="str">
        <f t="shared" si="1"/>
        <v>"C:\Program Files (x86)\AstroGrep\AstroGrep.exe" /e /r /s /spath="%USERPROFILE%\AppData\Local\Temp\OnboardLogs" /stypes="*4050*201710090*"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4050</v>
      </c>
      <c r="V12" s="31">
        <f t="shared" si="3"/>
        <v>43017.030578703707</v>
      </c>
      <c r="W12" s="45" t="str">
        <f t="shared" si="4"/>
        <v>EC</v>
      </c>
      <c r="X12" s="22">
        <f t="shared" si="5"/>
        <v>217</v>
      </c>
      <c r="Y12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{"issue":{"subject":"","project_id":79,"tracker_id":40,"status_id":1,"priority_id":2,"assigned_to_id":338,"start_date":"2017-10-08","description":"","custom_fields":[{"id":1,"name":"Subdivision","value":"EC"},{"id":4,"name":"Milepost","value":"16.1962"},{"id":17,"name":"Train ID","value":"217-08"},{"id":16,"name":"Locomotive ID","value":"4050"},{"id":130,"name":"Impact","value":""},{"id":150,"name":"Time of Event (Mountain Time)","value":"18:44:02"},{"id":151,"name":"Denver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/c/Users/stu/AppData/Local/Temp/OnboardLogs/RTDC4050 --include="*4050*201710090*"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"%USERPROFILE%\AppData\Local\Temp\OnboardLogs"\RTDC4050\*4050*201710090* &gt;&gt; 2017-10-08-SliceDisagreementCheck.txt</v>
      </c>
      <c r="AE12" s="145" t="str">
        <f t="shared" si="9"/>
        <v>start /low /b %USERPROFILE%\Documents\GitHub\eaglep3\Utilities\DownloadLogsFromS3.py --loco 4050 --day 2017-10-09</v>
      </c>
      <c r="AF12" s="1"/>
    </row>
    <row r="13" spans="1:32" x14ac:dyDescent="0.25">
      <c r="A13" s="31">
        <v>43016.978379629632</v>
      </c>
      <c r="B13" s="30" t="s">
        <v>462</v>
      </c>
      <c r="C13" s="30" t="s">
        <v>614</v>
      </c>
      <c r="D13" s="30" t="s">
        <v>49</v>
      </c>
      <c r="E13" s="30" t="s">
        <v>192</v>
      </c>
      <c r="F13" s="42">
        <v>150</v>
      </c>
      <c r="G13" s="42">
        <v>207</v>
      </c>
      <c r="H13" s="42">
        <v>230773</v>
      </c>
      <c r="I13" s="42">
        <v>230402</v>
      </c>
      <c r="J13" s="30" t="s">
        <v>193</v>
      </c>
      <c r="K13" s="42">
        <v>229055</v>
      </c>
      <c r="L13" s="131" t="s">
        <v>51</v>
      </c>
      <c r="M13" s="132">
        <f t="shared" si="0"/>
        <v>711.21599999999989</v>
      </c>
      <c r="N13" s="133" t="str">
        <f>VLOOKUP(C13,'Trips&amp;Operators'!$C$1:$G$99911,5,FALSE)</f>
        <v>DUNCAN SHEILA</v>
      </c>
      <c r="O13" s="176" t="s">
        <v>178</v>
      </c>
      <c r="P13" s="134"/>
      <c r="Q13" s="30"/>
      <c r="R13" s="81" t="str">
        <f>VLOOKUP(C13,'Train Runs'!$A$13:$AE$10018,31,0)</f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S13" s="84" t="str">
        <f>VLOOKUP(C13,'Train Runs'!$A$13:$AE$10018,22,0)</f>
        <v>https://d0f6bd738d7f1b3e5a7ca70fe4ff75f0.us-east-1.aws.found.io/app/kibana#/discover/Steve-Slow-Train-Analysis-(2080s-and-2083s)?_g=(refreshInterval:(display:Off,pause:!f,section:0,value:0),time:(from:'2017-10-08T22:11:53-0600',mode:absolute,to:'2017-10-09T01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3" s="86" t="str">
        <f t="shared" si="1"/>
        <v>"C:\Program Files (x86)\AstroGrep\AstroGrep.exe" /e /r /s /spath="%USERPROFILE%\AppData\Local\Temp\OnboardLogs" /stypes="*4065*201710090*" /stext=" 05:.+((SYSTEM_STATE.+slice.+state.+changed )|(ment ac)|(multiple cpu faults)|(system.+state.+changed )|(\[timeout)|(PRM\|1\|D)|(kpr)|(kdp)|(train st.+moving)|(\|lc)|(penalty))"</v>
      </c>
      <c r="U13" s="9" t="str">
        <f t="shared" si="2"/>
        <v>4065</v>
      </c>
      <c r="V13" s="31">
        <f t="shared" si="3"/>
        <v>43017.228379629632</v>
      </c>
      <c r="W13" s="45" t="str">
        <f t="shared" si="4"/>
        <v>EC</v>
      </c>
      <c r="X13" s="22">
        <f t="shared" si="5"/>
        <v>236</v>
      </c>
      <c r="Y13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{"issue":{"subject":"","project_id":79,"tracker_id":40,"status_id":1,"priority_id":2,"assigned_to_id":338,"start_date":"2017-10-08","description":"","custom_fields":[{"id":1,"name":"Subdivision","value":"EC"},{"id":4,"name":"Milepost","value":"22.9055"},{"id":17,"name":"Train ID","value":"236-08"},{"id":16,"name":"Locomotive ID","value":"4065"},{"id":130,"name":"Impact","value":""},{"id":150,"name":"Time of Event (Mountain Time)","value":"23:28:52"},{"id":151,"name":"Denver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/c/Users/stu/AppData/Local/Temp/OnboardLogs/RTDC4065 --include="*4065*201710090*"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"%USERPROFILE%\AppData\Local\Temp\OnboardLogs"\RTDC4065\*4065*201710090* &gt;&gt; 2017-10-08-SliceDisagreementCheck.txt</v>
      </c>
      <c r="AE13" s="145" t="str">
        <f t="shared" si="9"/>
        <v>start /low /b %USERPROFILE%\Documents\GitHub\eaglep3\Utilities\DownloadLogsFromS3.py --loco 4065 --day 2017-10-09</v>
      </c>
      <c r="AF13" s="1"/>
    </row>
    <row r="14" spans="1:32" x14ac:dyDescent="0.25">
      <c r="A14" s="31">
        <v>43016.316134259258</v>
      </c>
      <c r="B14" s="30" t="s">
        <v>591</v>
      </c>
      <c r="C14" s="30" t="s">
        <v>592</v>
      </c>
      <c r="D14" s="30" t="s">
        <v>49</v>
      </c>
      <c r="E14" s="30" t="s">
        <v>357</v>
      </c>
      <c r="F14" s="42">
        <v>0</v>
      </c>
      <c r="G14" s="42">
        <v>614</v>
      </c>
      <c r="H14" s="42">
        <v>159215</v>
      </c>
      <c r="I14" s="42">
        <v>161922</v>
      </c>
      <c r="J14" s="30" t="s">
        <v>358</v>
      </c>
      <c r="K14" s="42">
        <v>162254</v>
      </c>
      <c r="L14" s="131" t="s">
        <v>50</v>
      </c>
      <c r="M14" s="132">
        <f t="shared" si="0"/>
        <v>175.29599999999999</v>
      </c>
      <c r="N14" s="133" t="str">
        <f>VLOOKUP(C14,'Trips&amp;Operators'!$C$1:$G$99911,5,FALSE)</f>
        <v>WILLIAMS DONTE</v>
      </c>
      <c r="O14" s="176" t="s">
        <v>383</v>
      </c>
      <c r="P14" s="134" t="s">
        <v>1017</v>
      </c>
      <c r="Q14" s="30"/>
      <c r="R14" s="81" t="str">
        <f>VLOOKUP(C14,'Train Runs'!$A$13:$AE$10018,31,0)</f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S14" s="84" t="str">
        <f>VLOOKUP(C14,'Train Runs'!$A$13:$AE$10018,22,0)</f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4" s="86" t="str">
        <f t="shared" si="1"/>
        <v>"C:\Program Files (x86)\AstroGrep\AstroGrep.exe" /e /r /s /spath="%USERPROFILE%\AppData\Local\Temp\OnboardLogs" /stypes="*4032*201710081*"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4032</v>
      </c>
      <c r="V14" s="31">
        <f t="shared" si="3"/>
        <v>43016.566134259258</v>
      </c>
      <c r="W14" s="45" t="str">
        <f t="shared" si="4"/>
        <v>EC</v>
      </c>
      <c r="X14" s="22">
        <f t="shared" si="5"/>
        <v>127</v>
      </c>
      <c r="Y14" s="96" t="str">
        <f t="shared" si="6"/>
        <v>echo {"issue":{"subject":"Wi-MAX data drop (trip 127)","project_id":79,"tracker_id":40,"status_id":1,"priority_id":2,"assigned_to_id":338,"start_date":"2017-10-08","description":"","custom_fields":[{"id":1,"name":"Subdivision","value":"EC"},{"id":4,"name":"Milepost","value":"16.2254"},{"id":17,"name":"Train ID","value":"127-08"},{"id":16,"name":"Locomotive ID","value":"4032"},{"id":130,"name":"Impact","value":""},{"id":150,"name":"Time of Event (Mountain Time)","value":"07:35:14"},{"id":151,"name":"Denver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/c/Users/stu/AppData/Local/Temp/OnboardLogs/RTDC4032 --include="*4032*201710081*"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"%USERPROFILE%\AppData\Local\Temp\OnboardLogs"\RTDC4032\*4032*201710081* &gt;&gt; 2017-10-08-SliceDisagreementCheck.txt</v>
      </c>
      <c r="AE14" s="145" t="str">
        <f t="shared" si="9"/>
        <v>start /low /b %USERPROFILE%\Documents\GitHub\eaglep3\Utilities\DownloadLogsFromS3.py --loco 4032 --day 2017-10-08</v>
      </c>
      <c r="AF14" s="1"/>
    </row>
    <row r="15" spans="1:32" x14ac:dyDescent="0.25">
      <c r="A15" s="31">
        <v>43016.319479166668</v>
      </c>
      <c r="B15" s="30" t="s">
        <v>591</v>
      </c>
      <c r="C15" s="30" t="s">
        <v>592</v>
      </c>
      <c r="D15" s="30" t="s">
        <v>49</v>
      </c>
      <c r="E15" s="30" t="s">
        <v>357</v>
      </c>
      <c r="F15" s="42">
        <v>0</v>
      </c>
      <c r="G15" s="42">
        <v>630</v>
      </c>
      <c r="H15" s="42">
        <v>181907</v>
      </c>
      <c r="I15" s="42">
        <v>183901</v>
      </c>
      <c r="J15" s="30" t="s">
        <v>358</v>
      </c>
      <c r="K15" s="42">
        <v>182907</v>
      </c>
      <c r="L15" s="131" t="s">
        <v>50</v>
      </c>
      <c r="M15" s="132">
        <f t="shared" si="0"/>
        <v>-524.83199999999999</v>
      </c>
      <c r="N15" s="133" t="str">
        <f>VLOOKUP(C15,'Trips&amp;Operators'!$C$1:$G$99911,5,FALSE)</f>
        <v>WILLIAMS DONTE</v>
      </c>
      <c r="O15" s="176" t="s">
        <v>383</v>
      </c>
      <c r="P15" s="134" t="s">
        <v>1017</v>
      </c>
      <c r="Q15" s="30"/>
      <c r="R15" s="81" t="str">
        <f>VLOOKUP(C15,'Train Runs'!$A$13:$AE$10018,31,0)</f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S15" s="84" t="str">
        <f>VLOOKUP(C15,'Train Runs'!$A$13:$AE$10018,22,0)</f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5" s="86" t="str">
        <f t="shared" si="1"/>
        <v>"C:\Program Files (x86)\AstroGrep\AstroGrep.exe" /e /r /s /spath="%USERPROFILE%\AppData\Local\Temp\OnboardLogs" /stypes="*4032*201710081*"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4032</v>
      </c>
      <c r="V15" s="31">
        <f t="shared" si="3"/>
        <v>43016.569479166668</v>
      </c>
      <c r="W15" s="45" t="str">
        <f t="shared" si="4"/>
        <v>EC</v>
      </c>
      <c r="X15" s="22">
        <f t="shared" si="5"/>
        <v>127</v>
      </c>
      <c r="Y15" s="96" t="str">
        <f t="shared" si="6"/>
        <v>echo {"issue":{"subject":"Wi-MAX data drop (trip 127)","project_id":79,"tracker_id":40,"status_id":1,"priority_id":2,"assigned_to_id":338,"start_date":"2017-10-08","description":"","custom_fields":[{"id":1,"name":"Subdivision","value":"EC"},{"id":4,"name":"Milepost","value":"18.2907"},{"id":17,"name":"Train ID","value":"127-08"},{"id":16,"name":"Locomotive ID","value":"4032"},{"id":130,"name":"Impact","value":""},{"id":150,"name":"Time of Event (Mountain Time)","value":"07:40:03"},{"id":151,"name":"Denver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/c/Users/stu/AppData/Local/Temp/OnboardLogs/RTDC4032 --include="*4032*201710081*"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"%USERPROFILE%\AppData\Local\Temp\OnboardLogs"\RTDC4032\*4032*201710081* &gt;&gt; 2017-10-08-SliceDisagreementCheck.txt</v>
      </c>
      <c r="AE15" s="145" t="str">
        <f t="shared" si="9"/>
        <v>start /low /b %USERPROFILE%\Documents\GitHub\eaglep3\Utilities\DownloadLogsFromS3.py --loco 4032 --day 2017-10-08</v>
      </c>
      <c r="AF15" s="1"/>
    </row>
    <row r="16" spans="1:32" x14ac:dyDescent="0.25">
      <c r="A16" s="31">
        <v>43016.322002314817</v>
      </c>
      <c r="B16" s="30" t="s">
        <v>591</v>
      </c>
      <c r="C16" s="30" t="s">
        <v>592</v>
      </c>
      <c r="D16" s="30" t="s">
        <v>49</v>
      </c>
      <c r="E16" s="30" t="s">
        <v>357</v>
      </c>
      <c r="F16" s="42">
        <v>0</v>
      </c>
      <c r="G16" s="42">
        <v>142</v>
      </c>
      <c r="H16" s="42">
        <v>190209</v>
      </c>
      <c r="I16" s="42">
        <v>190388</v>
      </c>
      <c r="J16" s="30" t="s">
        <v>358</v>
      </c>
      <c r="K16" s="42">
        <v>190738</v>
      </c>
      <c r="L16" s="131" t="s">
        <v>50</v>
      </c>
      <c r="M16" s="132">
        <f t="shared" si="0"/>
        <v>184.8</v>
      </c>
      <c r="N16" s="133" t="str">
        <f>VLOOKUP(C16,'Trips&amp;Operators'!$C$1:$G$99911,5,FALSE)</f>
        <v>WILLIAMS DONTE</v>
      </c>
      <c r="O16" s="176" t="s">
        <v>383</v>
      </c>
      <c r="P16" s="134" t="s">
        <v>1017</v>
      </c>
      <c r="Q16" s="30"/>
      <c r="R16" s="81" t="str">
        <f>VLOOKUP(C16,'Train Runs'!$A$13:$AE$10018,31,0)</f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S16" s="84" t="str">
        <f>VLOOKUP(C16,'Train Runs'!$A$13:$AE$10018,22,0)</f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86" t="str">
        <f t="shared" si="1"/>
        <v>"C:\Program Files (x86)\AstroGrep\AstroGrep.exe" /e /r /s /spath="%USERPROFILE%\AppData\Local\Temp\OnboardLogs" /stypes="*4032*201710081*"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4032</v>
      </c>
      <c r="V16" s="31">
        <f t="shared" si="3"/>
        <v>43016.572002314817</v>
      </c>
      <c r="W16" s="45" t="str">
        <f t="shared" si="4"/>
        <v>EC</v>
      </c>
      <c r="X16" s="22">
        <f t="shared" si="5"/>
        <v>127</v>
      </c>
      <c r="Y16" s="96" t="str">
        <f t="shared" si="6"/>
        <v>echo {"issue":{"subject":"Wi-MAX data drop (trip 127)","project_id":79,"tracker_id":40,"status_id":1,"priority_id":2,"assigned_to_id":338,"start_date":"2017-10-08","description":"","custom_fields":[{"id":1,"name":"Subdivision","value":"EC"},{"id":4,"name":"Milepost","value":"19.0738"},{"id":17,"name":"Train ID","value":"127-08"},{"id":16,"name":"Locomotive ID","value":"4032"},{"id":130,"name":"Impact","value":""},{"id":150,"name":"Time of Event (Mountain Time)","value":"07:43:41"},{"id":151,"name":"Denver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/c/Users/stu/AppData/Local/Temp/OnboardLogs/RTDC4032 --include="*4032*201710081*"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"%USERPROFILE%\AppData\Local\Temp\OnboardLogs"\RTDC4032\*4032*201710081* &gt;&gt; 2017-10-08-SliceDisagreementCheck.txt</v>
      </c>
      <c r="AE16" s="145" t="str">
        <f t="shared" si="9"/>
        <v>start /low /b %USERPROFILE%\Documents\GitHub\eaglep3\Utilities\DownloadLogsFromS3.py --loco 4032 --day 2017-10-08</v>
      </c>
      <c r="AF16" s="1"/>
    </row>
    <row r="17" spans="1:32" x14ac:dyDescent="0.25">
      <c r="A17" s="31">
        <v>43016.323148148149</v>
      </c>
      <c r="B17" s="30" t="s">
        <v>591</v>
      </c>
      <c r="C17" s="30" t="s">
        <v>592</v>
      </c>
      <c r="D17" s="30" t="s">
        <v>49</v>
      </c>
      <c r="E17" s="30" t="s">
        <v>357</v>
      </c>
      <c r="F17" s="42">
        <v>0</v>
      </c>
      <c r="G17" s="42">
        <v>32</v>
      </c>
      <c r="H17" s="42">
        <v>190415</v>
      </c>
      <c r="I17" s="42">
        <v>190522</v>
      </c>
      <c r="J17" s="30" t="s">
        <v>358</v>
      </c>
      <c r="K17" s="42">
        <v>190738</v>
      </c>
      <c r="L17" s="131" t="s">
        <v>50</v>
      </c>
      <c r="M17" s="132">
        <f t="shared" si="0"/>
        <v>114.048</v>
      </c>
      <c r="N17" s="133" t="str">
        <f>VLOOKUP(C17,'Trips&amp;Operators'!$C$1:$G$99911,5,FALSE)</f>
        <v>WILLIAMS DONTE</v>
      </c>
      <c r="O17" s="176" t="s">
        <v>383</v>
      </c>
      <c r="P17" s="134" t="s">
        <v>1017</v>
      </c>
      <c r="Q17" s="30"/>
      <c r="R17" s="81" t="str">
        <f>VLOOKUP(C17,'Train Runs'!$A$13:$AE$10018,31,0)</f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S17" s="84" t="str">
        <f>VLOOKUP(C17,'Train Runs'!$A$13:$AE$10018,22,0)</f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86" t="str">
        <f t="shared" si="1"/>
        <v>"C:\Program Files (x86)\AstroGrep\AstroGrep.exe" /e /r /s /spath="%USERPROFILE%\AppData\Local\Temp\OnboardLogs" /stypes="*4032*201710081*"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4032</v>
      </c>
      <c r="V17" s="31">
        <f t="shared" si="3"/>
        <v>43016.573148148149</v>
      </c>
      <c r="W17" s="45" t="str">
        <f t="shared" si="4"/>
        <v>EC</v>
      </c>
      <c r="X17" s="22">
        <f t="shared" si="5"/>
        <v>127</v>
      </c>
      <c r="Y17" s="96" t="str">
        <f t="shared" si="6"/>
        <v>echo {"issue":{"subject":"Wi-MAX data drop (trip 127)","project_id":79,"tracker_id":40,"status_id":1,"priority_id":2,"assigned_to_id":338,"start_date":"2017-10-08","description":"","custom_fields":[{"id":1,"name":"Subdivision","value":"EC"},{"id":4,"name":"Milepost","value":"19.0738"},{"id":17,"name":"Train ID","value":"127-08"},{"id":16,"name":"Locomotive ID","value":"4032"},{"id":130,"name":"Impact","value":""},{"id":150,"name":"Time of Event (Mountain Time)","value":"07:45:20"},{"id":151,"name":"Denver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/c/Users/stu/AppData/Local/Temp/OnboardLogs/RTDC4032 --include="*4032*201710081*"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"%USERPROFILE%\AppData\Local\Temp\OnboardLogs"\RTDC4032\*4032*201710081* &gt;&gt; 2017-10-08-SliceDisagreementCheck.txt</v>
      </c>
      <c r="AE17" s="145" t="str">
        <f t="shared" si="9"/>
        <v>start /low /b %USERPROFILE%\Documents\GitHub\eaglep3\Utilities\DownloadLogsFromS3.py --loco 4032 --day 2017-10-08</v>
      </c>
      <c r="AF17" s="1"/>
    </row>
    <row r="18" spans="1:32" x14ac:dyDescent="0.25">
      <c r="A18" s="31">
        <v>43016.458854166667</v>
      </c>
      <c r="B18" s="30" t="s">
        <v>598</v>
      </c>
      <c r="C18" s="30" t="s">
        <v>599</v>
      </c>
      <c r="D18" s="30" t="s">
        <v>49</v>
      </c>
      <c r="E18" s="30" t="s">
        <v>460</v>
      </c>
      <c r="F18" s="42">
        <v>0</v>
      </c>
      <c r="G18" s="42">
        <v>417</v>
      </c>
      <c r="H18" s="42">
        <v>17758</v>
      </c>
      <c r="I18" s="42">
        <v>15835</v>
      </c>
      <c r="J18" s="30" t="s">
        <v>461</v>
      </c>
      <c r="K18" s="42">
        <v>17100</v>
      </c>
      <c r="L18" s="131" t="s">
        <v>51</v>
      </c>
      <c r="M18" s="132">
        <f t="shared" si="0"/>
        <v>-667.92</v>
      </c>
      <c r="N18" s="133" t="str">
        <f>VLOOKUP(C18,'Trips&amp;Operators'!$C$1:$G$99911,5,FALSE)</f>
        <v>LANGERAK WILLIAM</v>
      </c>
      <c r="O18" s="176" t="s">
        <v>383</v>
      </c>
      <c r="P18" s="134" t="s">
        <v>418</v>
      </c>
      <c r="Q18" s="30"/>
      <c r="R18" s="81" t="str">
        <f>VLOOKUP(C18,'Train Runs'!$A$13:$AE$10018,31,0)</f>
        <v>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 &amp; aws s3 cp s3://rtdc.mdm.uploadarchive.raw/RTDC4049/ "%USERPROFILE%\AppData\Local\Temp\OnboardLogs"\RTDC4049\2017-10-09 --exclude "*" --recursive --include "*20171009*" &amp; "%USERPROFILE%\Documents\GitHub\mrs-test-scripts\Headless Mode &amp; Sideloading\WalkAndUnGZ.bat" "%USERPROFILE%\AppData\Local\Temp\OnboardLogs"\RTDC4049\2017-10-09</v>
      </c>
      <c r="S18" s="84" t="str">
        <f>VLOOKUP(C18,'Train Runs'!$A$13:$AE$10018,22,0)</f>
        <v>https://d0f6bd738d7f1b3e5a7ca70fe4ff75f0.us-east-1.aws.found.io/app/kibana#/discover/Steve-Slow-Train-Analysis-(2080s-and-2083s)?_g=(refreshInterval:(display:Off,pause:!f,section:0,value:0),time:(from:'2017-10-08T09:11:17-0600',mode:absolute,to:'2017-10-08T11:59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86" t="str">
        <f t="shared" si="1"/>
        <v>"C:\Program Files (x86)\AstroGrep\AstroGrep.exe" /e /r /s /spath="%USERPROFILE%\AppData\Local\Temp\OnboardLogs" /stypes="*4049*201710081*"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4049</v>
      </c>
      <c r="V18" s="31">
        <f t="shared" si="3"/>
        <v>43016.708854166667</v>
      </c>
      <c r="W18" s="45" t="str">
        <f t="shared" si="4"/>
        <v>EC</v>
      </c>
      <c r="X18" s="22">
        <f t="shared" si="5"/>
        <v>148</v>
      </c>
      <c r="Y18" s="96" t="str">
        <f t="shared" si="6"/>
        <v>echo {"issue":{"subject":"Wi-MAX data drop","project_id":79,"tracker_id":40,"status_id":1,"priority_id":2,"assigned_to_id":338,"start_date":"2017-10-08","description":"","custom_fields":[{"id":1,"name":"Subdivision","value":"EC"},{"id":4,"name":"Milepost","value":"1.71"},{"id":17,"name":"Train ID","value":"148-08"},{"id":16,"name":"Locomotive ID","value":"4049"},{"id":130,"name":"Impact","value":""},{"id":150,"name":"Time of Event (Mountain Time)","value":"11:00:45"},{"id":151,"name":"Denver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/c/Users/stu/AppData/Local/Temp/OnboardLogs/RTDC4049 --include="*4049*201710081*"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"%USERPROFILE%\AppData\Local\Temp\OnboardLogs"\RTDC4049\*4049*201710081* &gt;&gt; 2017-10-08-SliceDisagreementCheck.txt</v>
      </c>
      <c r="AE18" s="145" t="str">
        <f t="shared" si="9"/>
        <v>start /low /b %USERPROFILE%\Documents\GitHub\eaglep3\Utilities\DownloadLogsFromS3.py --loco 4049 --day 2017-10-08</v>
      </c>
      <c r="AF18" s="1"/>
    </row>
    <row r="19" spans="1:32" x14ac:dyDescent="0.25">
      <c r="A19" s="31">
        <v>43016.308171296296</v>
      </c>
      <c r="B19" s="30" t="s">
        <v>591</v>
      </c>
      <c r="C19" s="30" t="s">
        <v>592</v>
      </c>
      <c r="D19" s="30" t="s">
        <v>95</v>
      </c>
      <c r="E19" s="30" t="s">
        <v>460</v>
      </c>
      <c r="F19" s="42">
        <v>0</v>
      </c>
      <c r="G19" s="42">
        <v>178</v>
      </c>
      <c r="H19" s="42">
        <v>104265</v>
      </c>
      <c r="I19" s="42">
        <v>104572</v>
      </c>
      <c r="J19" s="30" t="s">
        <v>461</v>
      </c>
      <c r="K19" s="42">
        <v>103445</v>
      </c>
      <c r="L19" s="131" t="s">
        <v>50</v>
      </c>
      <c r="M19" s="132">
        <f t="shared" si="0"/>
        <v>-595.05600000000004</v>
      </c>
      <c r="N19" s="133" t="str">
        <f>VLOOKUP(C19,'Trips&amp;Operators'!$C$1:$G$99911,5,FALSE)</f>
        <v>WILLIAMS DONTE</v>
      </c>
      <c r="O19" s="176" t="s">
        <v>383</v>
      </c>
      <c r="P19" s="134" t="s">
        <v>1017</v>
      </c>
      <c r="Q19" s="30"/>
      <c r="R19" s="81" t="str">
        <f>VLOOKUP(C19,'Train Runs'!$A$13:$AE$10018,31,0)</f>
        <v>aws s3 cp s3://rtdc.mdm.uploadarchive.raw/RTDC4032/ "%USERPROFILE%\AppData\Local\Temp\OnboardLogs"\RTDC4032\2017-10-08 --exclude "*" --recursive --include "*20171008*" &amp; "%USERPROFILE%\Documents\GitHub\mrs-test-scripts\Headless Mode &amp; Sideloading\WalkAndUnGZ.bat" "%USERPROFILE%\AppData\Local\Temp\OnboardLogs"\RTDC4032\2017-10-08 &amp; 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</v>
      </c>
      <c r="S19" s="84" t="str">
        <f>VLOOKUP(C19,'Train Runs'!$A$13:$AE$10018,22,0)</f>
        <v>https://d0f6bd738d7f1b3e5a7ca70fe4ff75f0.us-east-1.aws.found.io/app/kibana#/discover/Steve-Slow-Train-Analysis-(2080s-and-2083s)?_g=(refreshInterval:(display:Off,pause:!f,section:0,value:0),time:(from:'2017-10-08T05:52:52-0600',mode:absolute,to:'2017-10-08T08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6" t="str">
        <f t="shared" si="1"/>
        <v>"C:\Program Files (x86)\AstroGrep\AstroGrep.exe" /e /r /s /spath="%USERPROFILE%\AppData\Local\Temp\OnboardLogs" /stypes="*4032*201710081*"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43016.558171296296</v>
      </c>
      <c r="W19" s="45" t="str">
        <f t="shared" si="4"/>
        <v>EC</v>
      </c>
      <c r="X19" s="22">
        <f t="shared" si="5"/>
        <v>127</v>
      </c>
      <c r="Y19" s="96" t="str">
        <f t="shared" si="6"/>
        <v>echo {"issue":{"subject":"Wi-MAX data drop (trip 127)","project_id":79,"tracker_id":40,"status_id":1,"priority_id":2,"assigned_to_id":338,"start_date":"2017-10-08","description":"","custom_fields":[{"id":1,"name":"Subdivision","value":"EC"},{"id":4,"name":"Milepost","value":"10.3445"},{"id":17,"name":"Train ID","value":"127-08"},{"id":16,"name":"Locomotive ID","value":"4032"},{"id":130,"name":"Impact","value":""},{"id":150,"name":"Time of Event (Mountain Time)","value":"07:23:46"},{"id":151,"name":"Denver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/c/Users/stu/AppData/Local/Temp/OnboardLogs/RTDC4032 --include="*4032*201710081*"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"%USERPROFILE%\AppData\Local\Temp\OnboardLogs"\RTDC4032\*4032*201710081* &gt;&gt; 2017-10-08-SliceDisagreementCheck.txt</v>
      </c>
      <c r="AE19" s="145" t="str">
        <f t="shared" si="9"/>
        <v>start /low /b %USERPROFILE%\Documents\GitHub\eaglep3\Utilities\DownloadLogsFromS3.py --loco 4032 --day 2017-10-08</v>
      </c>
      <c r="AF19" s="1"/>
    </row>
    <row r="20" spans="1:32" x14ac:dyDescent="0.25">
      <c r="A20" s="31">
        <v>43016.201238425929</v>
      </c>
      <c r="B20" s="30" t="s">
        <v>501</v>
      </c>
      <c r="C20" s="30" t="s">
        <v>586</v>
      </c>
      <c r="D20" s="30" t="s">
        <v>49</v>
      </c>
      <c r="E20" s="30" t="s">
        <v>179</v>
      </c>
      <c r="F20" s="42">
        <v>0</v>
      </c>
      <c r="G20" s="42">
        <v>52</v>
      </c>
      <c r="H20" s="42">
        <v>161</v>
      </c>
      <c r="I20" s="42">
        <v>125</v>
      </c>
      <c r="J20" s="30" t="s">
        <v>180</v>
      </c>
      <c r="K20" s="42">
        <v>1</v>
      </c>
      <c r="L20" s="131" t="s">
        <v>51</v>
      </c>
      <c r="M20" s="132">
        <f t="shared" si="0"/>
        <v>65.471999999999994</v>
      </c>
      <c r="N20" s="133" t="str">
        <f>VLOOKUP(C20,'Trips&amp;Operators'!$C$1:$G$99911,5,FALSE)</f>
        <v>THOMPSON LESTER</v>
      </c>
      <c r="O20" s="176" t="s">
        <v>178</v>
      </c>
      <c r="P20" s="134"/>
      <c r="Q20" s="30"/>
      <c r="R20" s="81" t="str">
        <f>VLOOKUP(C20,'Train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20" s="84" t="str">
        <f>VLOOKUP(C20,'Train Runs'!$A$13:$AE$10018,22,0)</f>
        <v>https://d0f6bd738d7f1b3e5a7ca70fe4ff75f0.us-east-1.aws.found.io/app/kibana#/discover/Steve-Slow-Train-Analysis-(2080s-and-2083s)?_g=(refreshInterval:(display:Off,pause:!f,section:0,value:0),time:(from:'2017-10-08T03:08:58-0600',mode:absolute,to:'2017-10-08T05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86" t="str">
        <f t="shared" si="1"/>
        <v>"C:\Program Files (x86)\AstroGrep\AstroGrep.exe" /e /r /s /spath="%USERPROFILE%\AppData\Local\Temp\OnboardLogs" /stypes="*4015*201710081*" /stext=" 10:.+((SYSTEM_STATE.+slice.+state.+changed )|(ment ac)|(multiple cpu faults)|(system.+state.+changed )|(\[timeout)|(PRM\|1\|D)|(kpr)|(kdp)|(train st.+moving)|(\|lc)|(penalty))"</v>
      </c>
      <c r="U20" s="9" t="str">
        <f t="shared" si="2"/>
        <v>4015</v>
      </c>
      <c r="V20" s="31">
        <f t="shared" si="3"/>
        <v>43016.451238425929</v>
      </c>
      <c r="W20" s="45" t="str">
        <f t="shared" si="4"/>
        <v>EC</v>
      </c>
      <c r="X20" s="22">
        <f t="shared" si="5"/>
        <v>102</v>
      </c>
      <c r="Y20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{"issue":{"subject":"","project_id":79,"tracker_id":40,"status_id":1,"priority_id":2,"assigned_to_id":338,"start_date":"2017-10-08","description":"","custom_fields":[{"id":1,"name":"Subdivision","value":"EC"},{"id":4,"name":"Milepost","value":"0.0001"},{"id":17,"name":"Train ID","value":"102-08"},{"id":16,"name":"Locomotive ID","value":"4015"},{"id":130,"name":"Impact","value":""},{"id":150,"name":"Time of Event (Mountain Time)","value":"04:49:47"},{"id":151,"name":"Denver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/c/Users/stu/AppData/Local/Temp/OnboardLogs/RTDC4015 --include="*4015*201710081*"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"%USERPROFILE%\AppData\Local\Temp\OnboardLogs"\RTDC4015\*4015*201710081* &gt;&gt; 2017-10-08-SliceDisagreementCheck.txt</v>
      </c>
      <c r="AE20" s="145" t="str">
        <f t="shared" si="9"/>
        <v>start /low /b %USERPROFILE%\Documents\GitHub\eaglep3\Utilities\DownloadLogsFromS3.py --loco 4015 --day 2017-10-08</v>
      </c>
      <c r="AF20" s="1"/>
    </row>
    <row r="21" spans="1:32" x14ac:dyDescent="0.25">
      <c r="A21" s="31">
        <v>43016.275173611109</v>
      </c>
      <c r="B21" s="30" t="s">
        <v>501</v>
      </c>
      <c r="C21" s="30" t="s">
        <v>590</v>
      </c>
      <c r="D21" s="30" t="s">
        <v>49</v>
      </c>
      <c r="E21" s="30" t="s">
        <v>179</v>
      </c>
      <c r="F21" s="42">
        <v>0</v>
      </c>
      <c r="G21" s="42">
        <v>50</v>
      </c>
      <c r="H21" s="42">
        <v>172</v>
      </c>
      <c r="I21" s="42">
        <v>129</v>
      </c>
      <c r="J21" s="30" t="s">
        <v>180</v>
      </c>
      <c r="K21" s="42">
        <v>1</v>
      </c>
      <c r="L21" s="131" t="s">
        <v>51</v>
      </c>
      <c r="M21" s="132">
        <f t="shared" si="0"/>
        <v>67.584000000000003</v>
      </c>
      <c r="N21" s="133" t="str">
        <f>VLOOKUP(C21,'Trips&amp;Operators'!$C$1:$G$99911,5,FALSE)</f>
        <v>THOMPSON LESTER</v>
      </c>
      <c r="O21" s="176" t="s">
        <v>178</v>
      </c>
      <c r="P21" s="134"/>
      <c r="Q21" s="30"/>
      <c r="R21" s="81" t="str">
        <f>VLOOKUP(C21,'Train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21" s="84" t="str">
        <f>VLOOKUP(C21,'Train Runs'!$A$13:$AE$10018,22,0)</f>
        <v>https://d0f6bd738d7f1b3e5a7ca70fe4ff75f0.us-east-1.aws.found.io/app/kibana#/discover/Steve-Slow-Train-Analysis-(2080s-and-2083s)?_g=(refreshInterval:(display:Off,pause:!f,section:0,value:0),time:(from:'2017-10-08T04:51:51-0600',mode:absolute,to:'2017-10-08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86" t="str">
        <f t="shared" si="1"/>
        <v>"C:\Program Files (x86)\AstroGrep\AstroGrep.exe" /e /r /s /spath="%USERPROFILE%\AppData\Local\Temp\OnboardLogs" /stypes="*4015*201710081*"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4015</v>
      </c>
      <c r="V21" s="31">
        <f t="shared" si="3"/>
        <v>43016.525173611109</v>
      </c>
      <c r="W21" s="45" t="str">
        <f t="shared" si="4"/>
        <v>EC</v>
      </c>
      <c r="X21" s="22">
        <f t="shared" si="5"/>
        <v>112</v>
      </c>
      <c r="Y21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{"issue":{"subject":"","project_id":79,"tracker_id":40,"status_id":1,"priority_id":2,"assigned_to_id":338,"start_date":"2017-10-08","description":"","custom_fields":[{"id":1,"name":"Subdivision","value":"EC"},{"id":4,"name":"Milepost","value":"0.0001"},{"id":17,"name":"Train ID","value":"112-08"},{"id":16,"name":"Locomotive ID","value":"4015"},{"id":130,"name":"Impact","value":""},{"id":150,"name":"Time of Event (Mountain Time)","value":"06:36:15"},{"id":151,"name":"Denver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/c/Users/stu/AppData/Local/Temp/OnboardLogs/RTDC4015 --include="*4015*201710081*"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"%USERPROFILE%\AppData\Local\Temp\OnboardLogs"\RTDC4015\*4015*201710081* &gt;&gt; 2017-10-08-SliceDisagreementCheck.txt</v>
      </c>
      <c r="AE21" s="145" t="str">
        <f t="shared" si="9"/>
        <v>start /low /b %USERPROFILE%\Documents\GitHub\eaglep3\Utilities\DownloadLogsFromS3.py --loco 4015 --day 2017-10-08</v>
      </c>
      <c r="AF21" s="1"/>
    </row>
    <row r="22" spans="1:32" x14ac:dyDescent="0.25">
      <c r="A22" s="31">
        <v>43016.357314814813</v>
      </c>
      <c r="B22" s="30" t="s">
        <v>501</v>
      </c>
      <c r="C22" s="30" t="s">
        <v>594</v>
      </c>
      <c r="D22" s="30" t="s">
        <v>49</v>
      </c>
      <c r="E22" s="30" t="s">
        <v>179</v>
      </c>
      <c r="F22" s="42">
        <v>0</v>
      </c>
      <c r="G22" s="42">
        <v>51</v>
      </c>
      <c r="H22" s="42">
        <v>201</v>
      </c>
      <c r="I22" s="42">
        <v>150</v>
      </c>
      <c r="J22" s="30" t="s">
        <v>180</v>
      </c>
      <c r="K22" s="42">
        <v>1</v>
      </c>
      <c r="L22" s="131" t="s">
        <v>51</v>
      </c>
      <c r="M22" s="132">
        <f t="shared" si="0"/>
        <v>78.671999999999997</v>
      </c>
      <c r="N22" s="133" t="str">
        <f>VLOOKUP(C22,'Trips&amp;Operators'!$C$1:$G$99911,5,FALSE)</f>
        <v>THOMPSON LESTER</v>
      </c>
      <c r="O22" s="176" t="s">
        <v>178</v>
      </c>
      <c r="P22" s="134"/>
      <c r="Q22" s="30"/>
      <c r="R22" s="81" t="str">
        <f>VLOOKUP(C22,'Train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22" s="84" t="str">
        <f>VLOOKUP(C22,'Train Runs'!$A$13:$AE$10018,22,0)</f>
        <v>https://d0f6bd738d7f1b3e5a7ca70fe4ff75f0.us-east-1.aws.found.io/app/kibana#/discover/Steve-Slow-Train-Analysis-(2080s-and-2083s)?_g=(refreshInterval:(display:Off,pause:!f,section:0,value:0),time:(from:'2017-10-08T06:37:32-0600',mode:absolute,to:'2017-10-08T09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86" t="str">
        <f t="shared" si="1"/>
        <v>"C:\Program Files (x86)\AstroGrep\AstroGrep.exe" /e /r /s /spath="%USERPROFILE%\AppData\Local\Temp\OnboardLogs" /stypes="*4015*201710081*"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4015</v>
      </c>
      <c r="V22" s="31">
        <f t="shared" si="3"/>
        <v>43016.607314814813</v>
      </c>
      <c r="W22" s="45" t="str">
        <f t="shared" si="4"/>
        <v>EC</v>
      </c>
      <c r="X22" s="22">
        <f t="shared" si="5"/>
        <v>126</v>
      </c>
      <c r="Y22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{"issue":{"subject":"","project_id":79,"tracker_id":40,"status_id":1,"priority_id":2,"assigned_to_id":338,"start_date":"2017-10-08","description":"","custom_fields":[{"id":1,"name":"Subdivision","value":"EC"},{"id":4,"name":"Milepost","value":"0.0001"},{"id":17,"name":"Train ID","value":"126-08"},{"id":16,"name":"Locomotive ID","value":"4015"},{"id":130,"name":"Impact","value":""},{"id":150,"name":"Time of Event (Mountain Time)","value":"08:34:32"},{"id":151,"name":"Denver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/c/Users/stu/AppData/Local/Temp/OnboardLogs/RTDC4015 --include="*4015*201710081*"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"%USERPROFILE%\AppData\Local\Temp\OnboardLogs"\RTDC4015\*4015*201710081* &gt;&gt; 2017-10-08-SliceDisagreementCheck.txt</v>
      </c>
      <c r="AE22" s="145" t="str">
        <f t="shared" si="9"/>
        <v>start /low /b %USERPROFILE%\Documents\GitHub\eaglep3\Utilities\DownloadLogsFromS3.py --loco 4015 --day 2017-10-08</v>
      </c>
      <c r="AF22" s="1"/>
    </row>
    <row r="23" spans="1:32" x14ac:dyDescent="0.25">
      <c r="A23" s="31">
        <v>43016.713645833333</v>
      </c>
      <c r="B23" s="30" t="s">
        <v>606</v>
      </c>
      <c r="C23" s="30" t="s">
        <v>607</v>
      </c>
      <c r="D23" s="30" t="s">
        <v>49</v>
      </c>
      <c r="E23" s="30" t="s">
        <v>179</v>
      </c>
      <c r="F23" s="42">
        <v>0</v>
      </c>
      <c r="G23" s="42">
        <v>52</v>
      </c>
      <c r="H23" s="42">
        <v>233317</v>
      </c>
      <c r="I23" s="42">
        <v>233363</v>
      </c>
      <c r="J23" s="30" t="s">
        <v>180</v>
      </c>
      <c r="K23" s="42">
        <v>233491</v>
      </c>
      <c r="L23" s="131" t="s">
        <v>50</v>
      </c>
      <c r="M23" s="132">
        <f t="shared" si="0"/>
        <v>67.584000000000003</v>
      </c>
      <c r="N23" s="133" t="str">
        <f>VLOOKUP(C23,'Trips&amp;Operators'!$C$1:$G$99911,5,FALSE)</f>
        <v>DAVIS MICHAEL</v>
      </c>
      <c r="O23" s="176" t="s">
        <v>178</v>
      </c>
      <c r="P23" s="134"/>
      <c r="Q23" s="30"/>
      <c r="R23" s="81" t="str">
        <f>VLOOKUP(C23,'Train Runs'!$A$13:$AE$10018,31,0)</f>
        <v>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 &amp; aws s3 cp s3://rtdc.mdm.uploadarchive.raw/RTDC4050/ "%USERPROFILE%\AppData\Local\Temp\OnboardLogs"\RTDC4050\2017-10-09 --exclude "*" --recursive --include "*20171009*" &amp; "%USERPROFILE%\Documents\GitHub\mrs-test-scripts\Headless Mode &amp; Sideloading\WalkAndUnGZ.bat" "%USERPROFILE%\AppData\Local\Temp\OnboardLogs"\RTDC4050\2017-10-09</v>
      </c>
      <c r="S23" s="84" t="str">
        <f>VLOOKUP(C23,'Train Runs'!$A$13:$AE$10018,22,0)</f>
        <v>https://d0f6bd738d7f1b3e5a7ca70fe4ff75f0.us-east-1.aws.found.io/app/kibana#/discover/Steve-Slow-Train-Analysis-(2080s-and-2083s)?_g=(refreshInterval:(display:Off,pause:!f,section:0,value:0),time:(from:'2017-10-08T15:27:10-0600',mode:absolute,to:'2017-10-08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3" s="86" t="str">
        <f t="shared" si="1"/>
        <v>"C:\Program Files (x86)\AstroGrep\AstroGrep.exe" /e /r /s /spath="%USERPROFILE%\AppData\Local\Temp\OnboardLogs" /stypes="*4050*201710082*"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4050</v>
      </c>
      <c r="V23" s="31">
        <f t="shared" si="3"/>
        <v>43016.963645833333</v>
      </c>
      <c r="W23" s="45" t="str">
        <f t="shared" si="4"/>
        <v>EC</v>
      </c>
      <c r="X23" s="22">
        <f t="shared" si="5"/>
        <v>203</v>
      </c>
      <c r="Y23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{"issue":{"subject":"","project_id":79,"tracker_id":40,"status_id":1,"priority_id":2,"assigned_to_id":338,"start_date":"2017-10-08","description":"","custom_fields":[{"id":1,"name":"Subdivision","value":"EC"},{"id":4,"name":"Milepost","value":"23.3491"},{"id":17,"name":"Train ID","value":"203-08"},{"id":16,"name":"Locomotive ID","value":"4050"},{"id":130,"name":"Impact","value":""},{"id":150,"name":"Time of Event (Mountain Time)","value":"17:07:39"},{"id":151,"name":"Denver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/c/Users/stu/AppData/Local/Temp/OnboardLogs/RTDC4050 --include="*4050*201710082*"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"%USERPROFILE%\AppData\Local\Temp\OnboardLogs"\RTDC4050\*4050*201710082* &gt;&gt; 2017-10-08-SliceDisagreementCheck.txt</v>
      </c>
      <c r="AE23" s="145" t="str">
        <f t="shared" si="9"/>
        <v>start /low /b %USERPROFILE%\Documents\GitHub\eaglep3\Utilities\DownloadLogsFromS3.py --loco 4050 --day 2017-10-08</v>
      </c>
      <c r="AF23" s="1"/>
    </row>
    <row r="24" spans="1:32" x14ac:dyDescent="0.25">
      <c r="A24" s="31">
        <v>43016.983634259261</v>
      </c>
      <c r="B24" s="30" t="s">
        <v>600</v>
      </c>
      <c r="C24" s="30" t="s">
        <v>615</v>
      </c>
      <c r="D24" s="30" t="s">
        <v>49</v>
      </c>
      <c r="E24" s="30" t="s">
        <v>179</v>
      </c>
      <c r="F24" s="42">
        <v>0</v>
      </c>
      <c r="G24" s="42">
        <v>19</v>
      </c>
      <c r="H24" s="42">
        <v>233460</v>
      </c>
      <c r="I24" s="42">
        <v>233474</v>
      </c>
      <c r="J24" s="30" t="s">
        <v>180</v>
      </c>
      <c r="K24" s="42">
        <v>233491</v>
      </c>
      <c r="L24" s="131" t="s">
        <v>50</v>
      </c>
      <c r="M24" s="132">
        <f t="shared" si="0"/>
        <v>8.9760000000000009</v>
      </c>
      <c r="N24" s="133" t="str">
        <f>VLOOKUP(C24,'Trips&amp;Operators'!$C$1:$G$99911,5,FALSE)</f>
        <v>STAMBAUGH JAMES</v>
      </c>
      <c r="O24" s="176" t="s">
        <v>178</v>
      </c>
      <c r="P24" s="134"/>
      <c r="Q24" s="30"/>
      <c r="R24" s="81" t="str">
        <f>VLOOKUP(C24,'Train Runs'!$A$13:$AE$10018,31,0)</f>
        <v>aws s3 cp s3://rtdc.mdm.uploadarchive.raw/RTDC4036/ "%USERPROFILE%\AppData\Local\Temp\OnboardLogs"\RTDC4036\2017-10-08 --exclude "*" --recursive --include "*20171008*" &amp; "%USERPROFILE%\Documents\GitHub\mrs-test-scripts\Headless Mode &amp; Sideloading\WalkAndUnGZ.bat" "%USERPROFILE%\AppData\Local\Temp\OnboardLogs"\RTDC4036\2017-10-08 &amp; aws s3 cp s3://rtdc.mdm.uploadarchive.raw/RTDC4036/ "%USERPROFILE%\AppData\Local\Temp\OnboardLogs"\RTDC4036\2017-10-09 --exclude "*" --recursive --include "*20171009*" &amp; "%USERPROFILE%\Documents\GitHub\mrs-test-scripts\Headless Mode &amp; Sideloading\WalkAndUnGZ.bat" "%USERPROFILE%\AppData\Local\Temp\OnboardLogs"\RTDC4036\2017-10-09</v>
      </c>
      <c r="S24" s="84" t="str">
        <f>VLOOKUP(C24,'Train Runs'!$A$13:$AE$10018,22,0)</f>
        <v>https://d0f6bd738d7f1b3e5a7ca70fe4ff75f0.us-east-1.aws.found.io/app/kibana#/discover/Steve-Slow-Train-Analysis-(2080s-and-2083s)?_g=(refreshInterval:(display:Off,pause:!f,section:0,value:0),time:(from:'2017-10-08T21:37:55-0600',mode:absolute,to:'2017-10-09T00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4" s="86" t="str">
        <f t="shared" si="1"/>
        <v>"C:\Program Files (x86)\AstroGrep\AstroGrep.exe" /e /r /s /spath="%USERPROFILE%\AppData\Local\Temp\OnboardLogs" /stypes="*4036*201710090*"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4036</v>
      </c>
      <c r="V24" s="31">
        <f t="shared" si="3"/>
        <v>43017.233634259261</v>
      </c>
      <c r="W24" s="45" t="str">
        <f t="shared" si="4"/>
        <v>EC</v>
      </c>
      <c r="X24" s="22">
        <f t="shared" si="5"/>
        <v>237</v>
      </c>
      <c r="Y24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{"issue":{"subject":"","project_id":79,"tracker_id":40,"status_id":1,"priority_id":2,"assigned_to_id":338,"start_date":"2017-10-08","description":"","custom_fields":[{"id":1,"name":"Subdivision","value":"EC"},{"id":4,"name":"Milepost","value":"23.3491"},{"id":17,"name":"Train ID","value":"237-08"},{"id":16,"name":"Locomotive ID","value":"4036"},{"id":130,"name":"Impact","value":""},{"id":150,"name":"Time of Event (Mountain Time)","value":"23:36:26"},{"id":151,"name":"Denver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/c/Users/stu/AppData/Local/Temp/OnboardLogs/RTDC4036 --include="*4036*201710090*"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"%USERPROFILE%\AppData\Local\Temp\OnboardLogs"\RTDC4036\*4036*201710090* &gt;&gt; 2017-10-08-SliceDisagreementCheck.txt</v>
      </c>
      <c r="AE24" s="145" t="str">
        <f t="shared" si="9"/>
        <v>start /low /b %USERPROFILE%\Documents\GitHub\eaglep3\Utilities\DownloadLogsFromS3.py --loco 4036 --day 2017-10-09</v>
      </c>
      <c r="AF24" s="1"/>
    </row>
    <row r="25" spans="1:32" x14ac:dyDescent="0.25">
      <c r="A25" s="31">
        <v>43016.826574074075</v>
      </c>
      <c r="B25" s="30" t="s">
        <v>501</v>
      </c>
      <c r="C25" s="30" t="s">
        <v>611</v>
      </c>
      <c r="D25" s="30" t="s">
        <v>49</v>
      </c>
      <c r="E25" s="30" t="s">
        <v>185</v>
      </c>
      <c r="F25" s="42">
        <v>350</v>
      </c>
      <c r="G25" s="42">
        <v>511</v>
      </c>
      <c r="H25" s="42">
        <v>13907</v>
      </c>
      <c r="I25" s="42">
        <v>12453</v>
      </c>
      <c r="J25" s="30" t="s">
        <v>186</v>
      </c>
      <c r="K25" s="42">
        <v>10988</v>
      </c>
      <c r="L25" s="131" t="s">
        <v>51</v>
      </c>
      <c r="M25" s="132">
        <f t="shared" si="0"/>
        <v>773.52</v>
      </c>
      <c r="N25" s="133" t="str">
        <f>VLOOKUP(C25,'Trips&amp;Operators'!$C$1:$G$99911,5,FALSE)</f>
        <v>HOLCOMB KAMDEN</v>
      </c>
      <c r="O25" s="176" t="s">
        <v>178</v>
      </c>
      <c r="P25" s="134" t="s">
        <v>360</v>
      </c>
      <c r="Q25" s="30"/>
      <c r="R25" s="81" t="str">
        <f>VLOOKUP(C25,'Train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25" s="84" t="str">
        <f>VLOOKUP(C25,'Train Runs'!$A$13:$AE$10018,22,0)</f>
        <v>https://d0f6bd738d7f1b3e5a7ca70fe4ff75f0.us-east-1.aws.found.io/app/kibana#/discover/Steve-Slow-Train-Analysis-(2080s-and-2083s)?_g=(refreshInterval:(display:Off,pause:!f,section:0,value:0),time:(from:'2017-10-08T18:10:30-0600',mode:absolute,to:'2017-10-08T20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86" t="str">
        <f t="shared" si="1"/>
        <v>"C:\Program Files (x86)\AstroGrep\AstroGrep.exe" /e /r /s /spath="%USERPROFILE%\AppData\Local\Temp\OnboardLogs" /stypes="*4015*201710090*"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4015</v>
      </c>
      <c r="V25" s="31">
        <f t="shared" si="3"/>
        <v>43017.076574074075</v>
      </c>
      <c r="W25" s="45" t="str">
        <f t="shared" si="4"/>
        <v>NW</v>
      </c>
      <c r="X25" s="22">
        <f t="shared" si="5"/>
        <v>1828</v>
      </c>
      <c r="Y25" s="96" t="str">
        <f t="shared" si="6"/>
        <v>echo {"issue":{"subject":"Early Arrival","project_id":79,"tracker_id":40,"status_id":1,"priority_id":2,"assigned_to_id":338,"start_date":"2017-10-08","description":"","custom_fields":[{"id":1,"name":"Subdivision","value":"NW"},{"id":4,"name":"Milepost","value":"1.0988"},{"id":17,"name":"Train ID","value":"1828-08"},{"id":16,"name":"Locomotive ID","value":"4015"},{"id":130,"name":"Impact","value":""},{"id":150,"name":"Time of Event (Mountain Time)","value":"19:50:16"},{"id":151,"name":"Denver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/c/Users/stu/AppData/Local/Temp/OnboardLogs/RTDC4015 --include="*4015*201710090*"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"%USERPROFILE%\AppData\Local\Temp\OnboardLogs"\RTDC4015\*4015*201710090* &gt;&gt; 2017-10-08-SliceDisagreementCheck.txt</v>
      </c>
      <c r="AE25" s="145" t="str">
        <f t="shared" si="9"/>
        <v>start /low /b %USERPROFILE%\Documents\GitHub\eaglep3\Utilities\DownloadLogsFromS3.py --loco 4015 --day 2017-10-09</v>
      </c>
      <c r="AF25" s="1"/>
    </row>
    <row r="26" spans="1:32" x14ac:dyDescent="0.25">
      <c r="A26" s="31">
        <v>43016.678715277776</v>
      </c>
      <c r="B26" s="30" t="s">
        <v>391</v>
      </c>
      <c r="C26" s="30" t="s">
        <v>604</v>
      </c>
      <c r="D26" s="30" t="s">
        <v>49</v>
      </c>
      <c r="E26" s="30" t="s">
        <v>192</v>
      </c>
      <c r="F26" s="42">
        <v>400</v>
      </c>
      <c r="G26" s="42">
        <v>487</v>
      </c>
      <c r="H26" s="42">
        <v>35041</v>
      </c>
      <c r="I26" s="42">
        <v>37104</v>
      </c>
      <c r="J26" s="30" t="s">
        <v>193</v>
      </c>
      <c r="K26" s="42">
        <v>38172</v>
      </c>
      <c r="L26" s="131" t="s">
        <v>50</v>
      </c>
      <c r="M26" s="132">
        <f t="shared" si="0"/>
        <v>563.904</v>
      </c>
      <c r="N26" s="133" t="str">
        <f>VLOOKUP(C26,'Trips&amp;Operators'!$C$1:$G$99911,5,FALSE)</f>
        <v>HOLCOMB KAMDEN</v>
      </c>
      <c r="O26" s="176" t="s">
        <v>178</v>
      </c>
      <c r="P26" s="134"/>
      <c r="Q26" s="30"/>
      <c r="R26" s="81" t="str">
        <f>VLOOKUP(C26,'Train Runs'!$A$13:$AE$10018,31,0)</f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S26" s="84" t="str">
        <f>VLOOKUP(C26,'Train Runs'!$A$13:$AE$10018,22,0)</f>
        <v>https://d0f6bd738d7f1b3e5a7ca70fe4ff75f0.us-east-1.aws.found.io/app/kibana#/discover/Steve-Slow-Train-Analysis-(2080s-and-2083s)?_g=(refreshInterval:(display:Off,pause:!f,section:0,value:0),time:(from:'2017-10-08T15:05:44-0600',mode:absolute,to:'2017-10-08T17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6" s="86" t="str">
        <f t="shared" si="1"/>
        <v>"C:\Program Files (x86)\AstroGrep\AstroGrep.exe" /e /r /s /spath="%USERPROFILE%\AppData\Local\Temp\OnboardLogs" /stypes="*4064*201710082*"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4064</v>
      </c>
      <c r="V26" s="31">
        <f t="shared" si="3"/>
        <v>43016.928715277776</v>
      </c>
      <c r="W26" s="45" t="str">
        <f t="shared" si="4"/>
        <v>NW</v>
      </c>
      <c r="X26" s="22">
        <f t="shared" si="5"/>
        <v>1821</v>
      </c>
      <c r="Y26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{"issue":{"subject":"","project_id":79,"tracker_id":40,"status_id":1,"priority_id":2,"assigned_to_id":338,"start_date":"2017-10-08","description":"","custom_fields":[{"id":1,"name":"Subdivision","value":"NW"},{"id":4,"name":"Milepost","value":"3.8172"},{"id":17,"name":"Train ID","value":"1821-08"},{"id":16,"name":"Locomotive ID","value":"4064"},{"id":130,"name":"Impact","value":""},{"id":150,"name":"Time of Event (Mountain Time)","value":"16:17:21"},{"id":151,"name":"Denver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/c/Users/stu/AppData/Local/Temp/OnboardLogs/RTDC4064 --include="*4064*201710082*"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"%USERPROFILE%\AppData\Local\Temp\OnboardLogs"\RTDC4064\*4064*201710082* &gt;&gt; 2017-10-08-SliceDisagreementCheck.txt</v>
      </c>
      <c r="AE26" s="145" t="str">
        <f t="shared" si="9"/>
        <v>start /low /b %USERPROFILE%\Documents\GitHub\eaglep3\Utilities\DownloadLogsFromS3.py --loco 4064 --day 2017-10-08</v>
      </c>
      <c r="AF26" s="1"/>
    </row>
    <row r="27" spans="1:32" x14ac:dyDescent="0.25">
      <c r="A27" s="31">
        <v>43016.72246527778</v>
      </c>
      <c r="B27" s="30" t="s">
        <v>391</v>
      </c>
      <c r="C27" s="30" t="s">
        <v>608</v>
      </c>
      <c r="D27" s="30" t="s">
        <v>49</v>
      </c>
      <c r="E27" s="30" t="s">
        <v>192</v>
      </c>
      <c r="F27" s="42">
        <v>150</v>
      </c>
      <c r="G27" s="42">
        <v>324</v>
      </c>
      <c r="H27" s="42">
        <v>55604</v>
      </c>
      <c r="I27" s="42">
        <v>56177</v>
      </c>
      <c r="J27" s="30" t="s">
        <v>193</v>
      </c>
      <c r="K27" s="42">
        <v>57008</v>
      </c>
      <c r="L27" s="131" t="s">
        <v>50</v>
      </c>
      <c r="M27" s="132">
        <f t="shared" si="0"/>
        <v>438.76799999999997</v>
      </c>
      <c r="N27" s="133" t="str">
        <f>VLOOKUP(C27,'Trips&amp;Operators'!$C$1:$G$99911,5,FALSE)</f>
        <v>HOLCOMB KAMDEN</v>
      </c>
      <c r="O27" s="176" t="s">
        <v>178</v>
      </c>
      <c r="P27" s="134"/>
      <c r="Q27" s="30"/>
      <c r="R27" s="81" t="str">
        <f>VLOOKUP(C27,'Train Runs'!$A$13:$AE$10018,31,0)</f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S27" s="84" t="str">
        <f>VLOOKUP(C27,'Train Runs'!$A$13:$AE$10018,22,0)</f>
        <v>https://d0f6bd738d7f1b3e5a7ca70fe4ff75f0.us-east-1.aws.found.io/app/kibana#/discover/Steve-Slow-Train-Analysis-(2080s-and-2083s)?_g=(refreshInterval:(display:Off,pause:!f,section:0,value:0),time:(from:'2017-10-08T16:07:01-0600',mode:absolute,to:'2017-10-08T18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7" s="86" t="str">
        <f t="shared" si="1"/>
        <v>"C:\Program Files (x86)\AstroGrep\AstroGrep.exe" /e /r /s /spath="%USERPROFILE%\AppData\Local\Temp\OnboardLogs" /stypes="*4064*201710082*"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4064</v>
      </c>
      <c r="V27" s="31">
        <f t="shared" si="3"/>
        <v>43016.97246527778</v>
      </c>
      <c r="W27" s="45" t="str">
        <f t="shared" si="4"/>
        <v>NW</v>
      </c>
      <c r="X27" s="22">
        <f t="shared" si="5"/>
        <v>1823</v>
      </c>
      <c r="Y27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{"issue":{"subject":"","project_id":79,"tracker_id":40,"status_id":1,"priority_id":2,"assigned_to_id":338,"start_date":"2017-10-08","description":"","custom_fields":[{"id":1,"name":"Subdivision","value":"NW"},{"id":4,"name":"Milepost","value":"5.7008"},{"id":17,"name":"Train ID","value":"1823-08"},{"id":16,"name":"Locomotive ID","value":"4064"},{"id":130,"name":"Impact","value":""},{"id":150,"name":"Time of Event (Mountain Time)","value":"17:20:21"},{"id":151,"name":"Denver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/c/Users/stu/AppData/Local/Temp/OnboardLogs/RTDC4064 --include="*4064*201710082*"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"%USERPROFILE%\AppData\Local\Temp\OnboardLogs"\RTDC4064\*4064*201710082* &gt;&gt; 2017-10-08-SliceDisagreementCheck.txt</v>
      </c>
      <c r="AE27" s="145" t="str">
        <f t="shared" si="9"/>
        <v>start /low /b %USERPROFILE%\Documents\GitHub\eaglep3\Utilities\DownloadLogsFromS3.py --loco 4064 --day 2017-10-08</v>
      </c>
      <c r="AF27" s="1"/>
    </row>
    <row r="28" spans="1:32" x14ac:dyDescent="0.25">
      <c r="A28" s="31">
        <v>43016.840787037036</v>
      </c>
      <c r="B28" s="30" t="s">
        <v>500</v>
      </c>
      <c r="C28" s="30" t="s">
        <v>612</v>
      </c>
      <c r="D28" s="30" t="s">
        <v>95</v>
      </c>
      <c r="E28" s="30" t="s">
        <v>357</v>
      </c>
      <c r="F28" s="42">
        <v>0</v>
      </c>
      <c r="G28" s="42">
        <v>88</v>
      </c>
      <c r="H28" s="42">
        <v>1857</v>
      </c>
      <c r="I28" s="42">
        <v>1973</v>
      </c>
      <c r="J28" s="30" t="s">
        <v>358</v>
      </c>
      <c r="K28" s="42">
        <v>1725</v>
      </c>
      <c r="L28" s="131" t="s">
        <v>50</v>
      </c>
      <c r="M28" s="132">
        <f t="shared" si="0"/>
        <v>-130.94399999999999</v>
      </c>
      <c r="N28" s="133" t="str">
        <f>VLOOKUP(C28,'Trips&amp;Operators'!$C$1:$G$99911,5,FALSE)</f>
        <v>HOLCOMB KAMDEN</v>
      </c>
      <c r="O28" s="176" t="s">
        <v>178</v>
      </c>
      <c r="P28" s="134" t="s">
        <v>582</v>
      </c>
      <c r="Q28" s="30"/>
      <c r="R28" s="81" t="str">
        <f>VLOOKUP(C28,'Train Runs'!$A$13:$AE$10018,31,0)</f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S28" s="84" t="str">
        <f>VLOOKUP(C28,'Train Runs'!$A$13:$AE$10018,22,0)</f>
        <v>https://d0f6bd738d7f1b3e5a7ca70fe4ff75f0.us-east-1.aws.found.io/app/kibana#/discover/Steve-Slow-Train-Analysis-(2080s-and-2083s)?_g=(refreshInterval:(display:Off,pause:!f,section:0,value:0),time:(from:'2017-10-08T19:08:22-0600',mode:absolute,to:'2017-10-08T21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8" s="86" t="str">
        <f t="shared" si="1"/>
        <v>"C:\Program Files (x86)\AstroGrep\AstroGrep.exe" /e /r /s /spath="%USERPROFILE%\AppData\Local\Temp\OnboardLogs" /stypes="*4016*201710090*" /stext=" 02:.+((SYSTEM_STATE.+slice.+state.+changed )|(ment ac)|(multiple cpu faults)|(system.+state.+changed )|(\[timeout)|(PRM\|1\|D)|(kpr)|(kdp)|(train st.+moving)|(\|lc)|(penalty))"</v>
      </c>
      <c r="U28" s="9" t="str">
        <f t="shared" si="2"/>
        <v>4016</v>
      </c>
      <c r="V28" s="31">
        <f t="shared" si="3"/>
        <v>43017.090787037036</v>
      </c>
      <c r="W28" s="45" t="str">
        <f t="shared" si="4"/>
        <v>NW</v>
      </c>
      <c r="X28" s="22">
        <f t="shared" si="5"/>
        <v>1829</v>
      </c>
      <c r="Y28" s="96" t="str">
        <f t="shared" si="6"/>
        <v>echo {"issue":{"subject":"Went active too close to signal","project_id":79,"tracker_id":40,"status_id":1,"priority_id":2,"assigned_to_id":338,"start_date":"2017-10-08","description":"","custom_fields":[{"id":1,"name":"Subdivision","value":"NW"},{"id":4,"name":"Milepost","value":"0.1725"},{"id":17,"name":"Train ID","value":"1829-08"},{"id":16,"name":"Locomotive ID","value":"4016"},{"id":130,"name":"Impact","value":""},{"id":150,"name":"Time of Event (Mountain Time)","value":"20:10:44"},{"id":151,"name":"Denver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/c/Users/stu/AppData/Local/Temp/OnboardLogs/RTDC4016 --include="*4016*201710090*"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"%USERPROFILE%\AppData\Local\Temp\OnboardLogs"\RTDC4016\*4016*201710090* &gt;&gt; 2017-10-08-SliceDisagreementCheck.txt</v>
      </c>
      <c r="AE28" s="145" t="str">
        <f t="shared" si="9"/>
        <v>start /low /b %USERPROFILE%\Documents\GitHub\eaglep3\Utilities\DownloadLogsFromS3.py --loco 4016 --day 2017-10-09</v>
      </c>
      <c r="AF28" s="1"/>
    </row>
    <row r="29" spans="1:32" x14ac:dyDescent="0.25">
      <c r="A29" s="31">
        <v>43016.622083333335</v>
      </c>
      <c r="B29" s="30" t="s">
        <v>389</v>
      </c>
      <c r="C29" s="30" t="s">
        <v>602</v>
      </c>
      <c r="D29" s="30" t="s">
        <v>95</v>
      </c>
      <c r="E29" s="30" t="s">
        <v>357</v>
      </c>
      <c r="F29" s="42">
        <v>0</v>
      </c>
      <c r="G29" s="42">
        <v>80</v>
      </c>
      <c r="H29" s="42">
        <v>4781</v>
      </c>
      <c r="I29" s="42">
        <v>4664</v>
      </c>
      <c r="J29" s="30" t="s">
        <v>358</v>
      </c>
      <c r="K29" s="42">
        <v>4798</v>
      </c>
      <c r="L29" s="131" t="s">
        <v>51</v>
      </c>
      <c r="M29" s="132">
        <f t="shared" si="0"/>
        <v>-70.751999999999995</v>
      </c>
      <c r="N29" s="133" t="str">
        <f>VLOOKUP(C29,'Trips&amp;Operators'!$C$1:$G$99911,5,FALSE)</f>
        <v>HOLCOMB KAMDEN</v>
      </c>
      <c r="O29" s="176" t="s">
        <v>383</v>
      </c>
      <c r="P29" s="134" t="s">
        <v>1016</v>
      </c>
      <c r="Q29" s="30"/>
      <c r="R29" s="81" t="str">
        <f>VLOOKUP(C29,'Train Runs'!$A$13:$AE$10018,31,0)</f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S29" s="84" t="str">
        <f>VLOOKUP(C29,'Train Runs'!$A$13:$AE$10018,22,0)</f>
        <v>https://d0f6bd738d7f1b3e5a7ca70fe4ff75f0.us-east-1.aws.found.io/app/kibana#/discover/Steve-Slow-Train-Analysis-(2080s-and-2083s)?_g=(refreshInterval:(display:Off,pause:!f,section:0,value:0),time:(from:'2017-10-08T13:39:03-0600',mode:absolute,to:'2017-10-08T15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9" s="86" t="str">
        <f t="shared" si="1"/>
        <v>"C:\Program Files (x86)\AstroGrep\AstroGrep.exe" /e /r /s /spath="%USERPROFILE%\AppData\Local\Temp\OnboardLogs" /stypes="*4063*201710082*"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4063</v>
      </c>
      <c r="V29" s="31">
        <f t="shared" si="3"/>
        <v>43016.872083333335</v>
      </c>
      <c r="W29" s="45" t="str">
        <f t="shared" si="4"/>
        <v>NW</v>
      </c>
      <c r="X29" s="22">
        <f t="shared" si="5"/>
        <v>1818</v>
      </c>
      <c r="Y29" s="96" t="str">
        <f t="shared" si="6"/>
        <v>echo {"issue":{"subject":"Poor GPS under Wawetta St overpass","project_id":79,"tracker_id":40,"status_id":1,"priority_id":2,"assigned_to_id":338,"start_date":"2017-10-08","description":"","custom_fields":[{"id":1,"name":"Subdivision","value":"NW"},{"id":4,"name":"Milepost","value":"0.4798"},{"id":17,"name":"Train ID","value":"1818-08"},{"id":16,"name":"Locomotive ID","value":"4063"},{"id":130,"name":"Impact","value":""},{"id":150,"name":"Time of Event (Mountain Time)","value":"14:55:48"},{"id":151,"name":"Denver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/c/Users/stu/AppData/Local/Temp/OnboardLogs/RTDC4063 --include="*4063*201710082*"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"%USERPROFILE%\AppData\Local\Temp\OnboardLogs"\RTDC4063\*4063*201710082* &gt;&gt; 2017-10-08-SliceDisagreementCheck.txt</v>
      </c>
      <c r="AE29" s="145" t="str">
        <f t="shared" si="9"/>
        <v>start /low /b %USERPROFILE%\Documents\GitHub\eaglep3\Utilities\DownloadLogsFromS3.py --loco 4063 --day 2017-10-08</v>
      </c>
      <c r="AF29" s="1"/>
    </row>
    <row r="30" spans="1:32" x14ac:dyDescent="0.25">
      <c r="A30" s="31">
        <v>43016.663831018515</v>
      </c>
      <c r="B30" s="30" t="s">
        <v>389</v>
      </c>
      <c r="C30" s="30" t="s">
        <v>603</v>
      </c>
      <c r="D30" s="30" t="s">
        <v>49</v>
      </c>
      <c r="E30" s="30" t="s">
        <v>357</v>
      </c>
      <c r="F30" s="42">
        <v>0</v>
      </c>
      <c r="G30" s="42">
        <v>77</v>
      </c>
      <c r="H30" s="42">
        <v>4806</v>
      </c>
      <c r="I30" s="42">
        <v>4703</v>
      </c>
      <c r="J30" s="30" t="s">
        <v>358</v>
      </c>
      <c r="K30" s="42">
        <v>4798</v>
      </c>
      <c r="L30" s="131" t="s">
        <v>51</v>
      </c>
      <c r="M30" s="132">
        <f t="shared" si="0"/>
        <v>-50.16</v>
      </c>
      <c r="N30" s="133" t="str">
        <f>VLOOKUP(C30,'Trips&amp;Operators'!$C$1:$G$99911,5,FALSE)</f>
        <v>HOLCOMB KAMDEN</v>
      </c>
      <c r="O30" s="176" t="s">
        <v>383</v>
      </c>
      <c r="P30" s="134" t="s">
        <v>1016</v>
      </c>
      <c r="Q30" s="30"/>
      <c r="R30" s="81" t="str">
        <f>VLOOKUP(C30,'Train Runs'!$A$13:$AE$10018,31,0)</f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S30" s="84" t="str">
        <f>VLOOKUP(C30,'Train Runs'!$A$13:$AE$10018,22,0)</f>
        <v>https://d0f6bd738d7f1b3e5a7ca70fe4ff75f0.us-east-1.aws.found.io/app/kibana#/discover/Steve-Slow-Train-Analysis-(2080s-and-2083s)?_g=(refreshInterval:(display:Off,pause:!f,section:0,value:0),time:(from:'2017-10-08T14:38:09-0600',mode:absolute,to:'2017-10-08T16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0" s="86" t="str">
        <f t="shared" si="1"/>
        <v>"C:\Program Files (x86)\AstroGrep\AstroGrep.exe" /e /r /s /spath="%USERPROFILE%\AppData\Local\Temp\OnboardLogs" /stypes="*4063*201710082*"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4063</v>
      </c>
      <c r="V30" s="31">
        <f t="shared" si="3"/>
        <v>43016.913831018515</v>
      </c>
      <c r="W30" s="45" t="str">
        <f t="shared" si="4"/>
        <v>NW</v>
      </c>
      <c r="X30" s="22">
        <f t="shared" si="5"/>
        <v>1820</v>
      </c>
      <c r="Y30" s="96" t="str">
        <f t="shared" si="6"/>
        <v>echo {"issue":{"subject":"Poor GPS under Wawetta St overpass","project_id":79,"tracker_id":40,"status_id":1,"priority_id":2,"assigned_to_id":338,"start_date":"2017-10-08","description":"","custom_fields":[{"id":1,"name":"Subdivision","value":"NW"},{"id":4,"name":"Milepost","value":"0.4798"},{"id":17,"name":"Train ID","value":"1820-08"},{"id":16,"name":"Locomotive ID","value":"4063"},{"id":130,"name":"Impact","value":""},{"id":150,"name":"Time of Event (Mountain Time)","value":"15:55:55"},{"id":151,"name":"Denver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/c/Users/stu/AppData/Local/Temp/OnboardLogs/RTDC4063 --include="*4063*201710082*"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"%USERPROFILE%\AppData\Local\Temp\OnboardLogs"\RTDC4063\*4063*201710082* &gt;&gt; 2017-10-08-SliceDisagreementCheck.txt</v>
      </c>
      <c r="AE30" s="145" t="str">
        <f t="shared" si="9"/>
        <v>start /low /b %USERPROFILE%\Documents\GitHub\eaglep3\Utilities\DownloadLogsFromS3.py --loco 4063 --day 2017-10-08</v>
      </c>
      <c r="AF30" s="1"/>
    </row>
    <row r="31" spans="1:32" x14ac:dyDescent="0.25">
      <c r="A31" s="31">
        <v>43016.74496527778</v>
      </c>
      <c r="B31" s="30" t="s">
        <v>389</v>
      </c>
      <c r="C31" s="30" t="s">
        <v>609</v>
      </c>
      <c r="D31" s="30" t="s">
        <v>49</v>
      </c>
      <c r="E31" s="30" t="s">
        <v>357</v>
      </c>
      <c r="F31" s="42">
        <v>0</v>
      </c>
      <c r="G31" s="42">
        <v>81</v>
      </c>
      <c r="H31" s="42">
        <v>4809</v>
      </c>
      <c r="I31" s="42">
        <v>4697</v>
      </c>
      <c r="J31" s="30" t="s">
        <v>358</v>
      </c>
      <c r="K31" s="42">
        <v>4798</v>
      </c>
      <c r="L31" s="131" t="s">
        <v>51</v>
      </c>
      <c r="M31" s="132">
        <f t="shared" si="0"/>
        <v>-53.328000000000003</v>
      </c>
      <c r="N31" s="133" t="str">
        <f>VLOOKUP(C31,'Trips&amp;Operators'!$C$1:$G$99911,5,FALSE)</f>
        <v>HOLCOMB KAMDEN</v>
      </c>
      <c r="O31" s="176" t="s">
        <v>383</v>
      </c>
      <c r="P31" s="134" t="s">
        <v>1016</v>
      </c>
      <c r="Q31" s="30"/>
      <c r="R31" s="81" t="str">
        <f>VLOOKUP(C31,'Train Runs'!$A$13:$AE$10018,31,0)</f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S31" s="84" t="str">
        <f>VLOOKUP(C31,'Train Runs'!$A$13:$AE$10018,22,0)</f>
        <v>https://d0f6bd738d7f1b3e5a7ca70fe4ff75f0.us-east-1.aws.found.io/app/kibana#/discover/Steve-Slow-Train-Analysis-(2080s-and-2083s)?_g=(refreshInterval:(display:Off,pause:!f,section:0,value:0),time:(from:'2017-10-08T16:25:19-0600',mode:absolute,to:'2017-10-08T18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1" s="86" t="str">
        <f t="shared" si="1"/>
        <v>"C:\Program Files (x86)\AstroGrep\AstroGrep.exe" /e /r /s /spath="%USERPROFILE%\AppData\Local\Temp\OnboardLogs" /stypes="*4063*201710082*"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4063</v>
      </c>
      <c r="V31" s="31">
        <f t="shared" si="3"/>
        <v>43016.99496527778</v>
      </c>
      <c r="W31" s="45" t="str">
        <f t="shared" si="4"/>
        <v>NW</v>
      </c>
      <c r="X31" s="22">
        <f t="shared" si="5"/>
        <v>1824</v>
      </c>
      <c r="Y31" s="96" t="str">
        <f t="shared" si="6"/>
        <v>echo {"issue":{"subject":"Poor GPS under Wawetta St overpass","project_id":79,"tracker_id":40,"status_id":1,"priority_id":2,"assigned_to_id":338,"start_date":"2017-10-08","description":"","custom_fields":[{"id":1,"name":"Subdivision","value":"NW"},{"id":4,"name":"Milepost","value":"0.4798"},{"id":17,"name":"Train ID","value":"1824-08"},{"id":16,"name":"Locomotive ID","value":"4063"},{"id":130,"name":"Impact","value":""},{"id":150,"name":"Time of Event (Mountain Time)","value":"17:52:45"},{"id":151,"name":"Denver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/c/Users/stu/AppData/Local/Temp/OnboardLogs/RTDC4063 --include="*4063*201710082*"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"%USERPROFILE%\AppData\Local\Temp\OnboardLogs"\RTDC4063\*4063*201710082* &gt;&gt; 2017-10-08-SliceDisagreementCheck.txt</v>
      </c>
      <c r="AE31" s="145" t="str">
        <f t="shared" si="9"/>
        <v>start /low /b %USERPROFILE%\Documents\GitHub\eaglep3\Utilities\DownloadLogsFromS3.py --loco 4063 --day 2017-10-08</v>
      </c>
      <c r="AF31" s="1"/>
    </row>
    <row r="32" spans="1:32" x14ac:dyDescent="0.25">
      <c r="A32" s="31">
        <v>43016.310844907406</v>
      </c>
      <c r="B32" s="30" t="s">
        <v>389</v>
      </c>
      <c r="C32" s="30" t="s">
        <v>593</v>
      </c>
      <c r="D32" s="30" t="s">
        <v>95</v>
      </c>
      <c r="E32" s="30" t="s">
        <v>357</v>
      </c>
      <c r="F32" s="42">
        <v>0</v>
      </c>
      <c r="G32" s="42">
        <v>25</v>
      </c>
      <c r="H32" s="42">
        <v>58434</v>
      </c>
      <c r="I32" s="42">
        <v>58415</v>
      </c>
      <c r="J32" s="30" t="s">
        <v>358</v>
      </c>
      <c r="K32" s="42">
        <v>58472</v>
      </c>
      <c r="L32" s="131" t="s">
        <v>51</v>
      </c>
      <c r="M32" s="132">
        <f t="shared" si="0"/>
        <v>-30.096</v>
      </c>
      <c r="N32" s="133" t="str">
        <f>VLOOKUP(C32,'Trips&amp;Operators'!$C$1:$G$99911,5,FALSE)</f>
        <v>MACDONALD THOMAS</v>
      </c>
      <c r="O32" s="176" t="s">
        <v>178</v>
      </c>
      <c r="P32" s="134" t="s">
        <v>1018</v>
      </c>
      <c r="Q32" s="30"/>
      <c r="R32" s="81" t="str">
        <f>VLOOKUP(C32,'Train Runs'!$A$13:$AE$10018,31,0)</f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S32" s="84" t="str">
        <f>VLOOKUP(C32,'Train Runs'!$A$13:$AE$10018,22,0)</f>
        <v>https://d0f6bd738d7f1b3e5a7ca70fe4ff75f0.us-east-1.aws.found.io/app/kibana#/discover/Steve-Slow-Train-Analysis-(2080s-and-2083s)?_g=(refreshInterval:(display:Off,pause:!f,section:0,value:0),time:(from:'2017-10-08T06:25:13-0600',mode:absolute,to:'2017-10-08T08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2" s="86" t="str">
        <f t="shared" si="1"/>
        <v>"C:\Program Files (x86)\AstroGrep\AstroGrep.exe" /e /r /s /spath="%USERPROFILE%\AppData\Local\Temp\OnboardLogs" /stypes="*4063*201710081*"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4063</v>
      </c>
      <c r="V32" s="31">
        <f t="shared" si="3"/>
        <v>43016.560844907406</v>
      </c>
      <c r="W32" s="45" t="str">
        <f t="shared" si="4"/>
        <v>NW</v>
      </c>
      <c r="X32" s="22">
        <f t="shared" si="5"/>
        <v>1804</v>
      </c>
      <c r="Y32" s="96" t="str">
        <f t="shared" si="6"/>
        <v>echo {"issue":{"subject":"Selected wrong track","project_id":79,"tracker_id":40,"status_id":1,"priority_id":2,"assigned_to_id":338,"start_date":"2017-10-08","description":"","custom_fields":[{"id":1,"name":"Subdivision","value":"NW"},{"id":4,"name":"Milepost","value":"5.8472"},{"id":17,"name":"Train ID","value":"1804-08"},{"id":16,"name":"Locomotive ID","value":"4063"},{"id":130,"name":"Impact","value":""},{"id":150,"name":"Time of Event (Mountain Time)","value":"07:27:37"},{"id":151,"name":"Denver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/c/Users/stu/AppData/Local/Temp/OnboardLogs/RTDC4063 --include="*4063*201710081*"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"%USERPROFILE%\AppData\Local\Temp\OnboardLogs"\RTDC4063\*4063*201710081* &gt;&gt; 2017-10-08-SliceDisagreementCheck.txt</v>
      </c>
      <c r="AE32" s="145" t="str">
        <f t="shared" si="9"/>
        <v>start /low /b %USERPROFILE%\Documents\GitHub\eaglep3\Utilities\DownloadLogsFromS3.py --loco 4063 --day 2017-10-08</v>
      </c>
      <c r="AF32" s="1"/>
    </row>
    <row r="33" spans="1:32" x14ac:dyDescent="0.25">
      <c r="A33" s="31">
        <v>43016.455497685187</v>
      </c>
      <c r="B33" s="30" t="s">
        <v>389</v>
      </c>
      <c r="C33" s="30" t="s">
        <v>597</v>
      </c>
      <c r="D33" s="30" t="s">
        <v>49</v>
      </c>
      <c r="E33" s="30" t="s">
        <v>179</v>
      </c>
      <c r="F33" s="42">
        <v>0</v>
      </c>
      <c r="G33" s="42">
        <v>71</v>
      </c>
      <c r="H33" s="42">
        <v>794</v>
      </c>
      <c r="I33" s="42">
        <v>740</v>
      </c>
      <c r="J33" s="30" t="s">
        <v>180</v>
      </c>
      <c r="K33" s="42">
        <v>575</v>
      </c>
      <c r="L33" s="131" t="s">
        <v>51</v>
      </c>
      <c r="M33" s="132">
        <f t="shared" si="0"/>
        <v>87.12</v>
      </c>
      <c r="N33" s="133" t="str">
        <f>VLOOKUP(C33,'Trips&amp;Operators'!$C$1:$G$99911,5,FALSE)</f>
        <v>MACDONALD THOMAS</v>
      </c>
      <c r="O33" s="176" t="s">
        <v>178</v>
      </c>
      <c r="P33" s="134"/>
      <c r="Q33" s="30"/>
      <c r="R33" s="81" t="str">
        <f>VLOOKUP(C33,'Train Runs'!$A$13:$AE$10018,31,0)</f>
        <v>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 &amp; aws s3 cp s3://rtdc.mdm.uploadarchive.raw/RTDC4063/ "%USERPROFILE%\AppData\Local\Temp\OnboardLogs"\RTDC4063\2017-10-09 --exclude "*" --recursive --include "*20171009*" &amp; "%USERPROFILE%\Documents\GitHub\mrs-test-scripts\Headless Mode &amp; Sideloading\WalkAndUnGZ.bat" "%USERPROFILE%\AppData\Local\Temp\OnboardLogs"\RTDC4063\2017-10-09</v>
      </c>
      <c r="S33" s="84" t="str">
        <f>VLOOKUP(C33,'Train Runs'!$A$13:$AE$10018,22,0)</f>
        <v>https://d0f6bd738d7f1b3e5a7ca70fe4ff75f0.us-east-1.aws.found.io/app/kibana#/discover/Steve-Slow-Train-Analysis-(2080s-and-2083s)?_g=(refreshInterval:(display:Off,pause:!f,section:0,value:0),time:(from:'2017-10-08T09:24:27-0600',mode:absolute,to:'2017-10-08T11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3" s="86" t="str">
        <f t="shared" si="1"/>
        <v>"C:\Program Files (x86)\AstroGrep\AstroGrep.exe" /e /r /s /spath="%USERPROFILE%\AppData\Local\Temp\OnboardLogs" /stypes="*4063*201710081*"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4063</v>
      </c>
      <c r="V33" s="31">
        <f t="shared" si="3"/>
        <v>43016.705497685187</v>
      </c>
      <c r="W33" s="45" t="str">
        <f t="shared" si="4"/>
        <v>NW</v>
      </c>
      <c r="X33" s="22">
        <f t="shared" si="5"/>
        <v>1810</v>
      </c>
      <c r="Y33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{"issue":{"subject":"","project_id":79,"tracker_id":40,"status_id":1,"priority_id":2,"assigned_to_id":338,"start_date":"2017-10-08","description":"","custom_fields":[{"id":1,"name":"Subdivision","value":"NW"},{"id":4,"name":"Milepost","value":"0.0575"},{"id":17,"name":"Train ID","value":"1810-08"},{"id":16,"name":"Locomotive ID","value":"4063"},{"id":130,"name":"Impact","value":""},{"id":150,"name":"Time of Event (Mountain Time)","value":"10:55:55"},{"id":151,"name":"Denver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/c/Users/stu/AppData/Local/Temp/OnboardLogs/RTDC4063 --include="*4063*201710081*"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"%USERPROFILE%\AppData\Local\Temp\OnboardLogs"\RTDC4063\*4063*201710081* &gt;&gt; 2017-10-08-SliceDisagreementCheck.txt</v>
      </c>
      <c r="AE33" s="145" t="str">
        <f t="shared" si="9"/>
        <v>start /low /b %USERPROFILE%\Documents\GitHub\eaglep3\Utilities\DownloadLogsFromS3.py --loco 4063 --day 2017-10-08</v>
      </c>
      <c r="AF33" s="1"/>
    </row>
    <row r="34" spans="1:32" x14ac:dyDescent="0.25">
      <c r="A34" s="31">
        <v>43016.830810185187</v>
      </c>
      <c r="B34" s="30" t="s">
        <v>501</v>
      </c>
      <c r="C34" s="30" t="s">
        <v>611</v>
      </c>
      <c r="D34" s="30" t="s">
        <v>49</v>
      </c>
      <c r="E34" s="30" t="s">
        <v>179</v>
      </c>
      <c r="F34" s="42">
        <v>0</v>
      </c>
      <c r="G34" s="42">
        <v>55</v>
      </c>
      <c r="H34" s="42">
        <v>761</v>
      </c>
      <c r="I34" s="42">
        <v>703</v>
      </c>
      <c r="J34" s="30" t="s">
        <v>180</v>
      </c>
      <c r="K34" s="42">
        <v>575</v>
      </c>
      <c r="L34" s="131" t="s">
        <v>51</v>
      </c>
      <c r="M34" s="132">
        <f t="shared" si="0"/>
        <v>67.584000000000003</v>
      </c>
      <c r="N34" s="133" t="str">
        <f>VLOOKUP(C34,'Trips&amp;Operators'!$C$1:$G$99911,5,FALSE)</f>
        <v>HOLCOMB KAMDEN</v>
      </c>
      <c r="O34" s="176" t="s">
        <v>178</v>
      </c>
      <c r="P34" s="134"/>
      <c r="Q34" s="30"/>
      <c r="R34" s="81" t="str">
        <f>VLOOKUP(C34,'Train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34" s="84" t="str">
        <f>VLOOKUP(C34,'Train Runs'!$A$13:$AE$10018,22,0)</f>
        <v>https://d0f6bd738d7f1b3e5a7ca70fe4ff75f0.us-east-1.aws.found.io/app/kibana#/discover/Steve-Slow-Train-Analysis-(2080s-and-2083s)?_g=(refreshInterval:(display:Off,pause:!f,section:0,value:0),time:(from:'2017-10-08T18:10:30-0600',mode:absolute,to:'2017-10-08T20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86" t="str">
        <f t="shared" si="1"/>
        <v>"C:\Program Files (x86)\AstroGrep\AstroGrep.exe" /e /r /s /spath="%USERPROFILE%\AppData\Local\Temp\OnboardLogs" /stypes="*4015*201710090*"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4015</v>
      </c>
      <c r="V34" s="31">
        <f t="shared" si="3"/>
        <v>43017.080810185187</v>
      </c>
      <c r="W34" s="45" t="str">
        <f t="shared" si="4"/>
        <v>NW</v>
      </c>
      <c r="X34" s="22">
        <f t="shared" si="5"/>
        <v>1828</v>
      </c>
      <c r="Y34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{"issue":{"subject":"","project_id":79,"tracker_id":40,"status_id":1,"priority_id":2,"assigned_to_id":338,"start_date":"2017-10-08","description":"","custom_fields":[{"id":1,"name":"Subdivision","value":"NW"},{"id":4,"name":"Milepost","value":"0.0575"},{"id":17,"name":"Train ID","value":"1828-08"},{"id":16,"name":"Locomotive ID","value":"4015"},{"id":130,"name":"Impact","value":""},{"id":150,"name":"Time of Event (Mountain Time)","value":"19:56:22"},{"id":151,"name":"Denver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/c/Users/stu/AppData/Local/Temp/OnboardLogs/RTDC4015 --include="*4015*201710090*"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"%USERPROFILE%\AppData\Local\Temp\OnboardLogs"\RTDC4015\*4015*201710090* &gt;&gt; 2017-10-08-SliceDisagreementCheck.txt</v>
      </c>
      <c r="AE34" s="145" t="str">
        <f t="shared" si="9"/>
        <v>start /low /b %USERPROFILE%\Documents\GitHub\eaglep3\Utilities\DownloadLogsFromS3.py --loco 4015 --day 2017-10-09</v>
      </c>
      <c r="AF34" s="1"/>
    </row>
    <row r="35" spans="1:32" x14ac:dyDescent="0.25">
      <c r="A35" s="31">
        <v>43016.915462962963</v>
      </c>
      <c r="B35" s="30" t="s">
        <v>501</v>
      </c>
      <c r="C35" s="30" t="s">
        <v>613</v>
      </c>
      <c r="D35" s="30" t="s">
        <v>49</v>
      </c>
      <c r="E35" s="30" t="s">
        <v>179</v>
      </c>
      <c r="F35" s="42">
        <v>0</v>
      </c>
      <c r="G35" s="42">
        <v>48</v>
      </c>
      <c r="H35" s="42">
        <v>706</v>
      </c>
      <c r="I35" s="42">
        <v>666</v>
      </c>
      <c r="J35" s="30" t="s">
        <v>180</v>
      </c>
      <c r="K35" s="42">
        <v>575</v>
      </c>
      <c r="L35" s="131" t="s">
        <v>51</v>
      </c>
      <c r="M35" s="132">
        <f t="shared" si="0"/>
        <v>48.048000000000002</v>
      </c>
      <c r="N35" s="133" t="str">
        <f>VLOOKUP(C35,'Trips&amp;Operators'!$C$1:$G$99911,5,FALSE)</f>
        <v>HOLCOMB KAMDEN</v>
      </c>
      <c r="O35" s="176" t="s">
        <v>178</v>
      </c>
      <c r="P35" s="134"/>
      <c r="Q35" s="30"/>
      <c r="R35" s="81" t="str">
        <f>VLOOKUP(C35,'Train Runs'!$A$13:$AE$10018,31,0)</f>
        <v>aws s3 cp s3://rtdc.mdm.uploadarchive.raw/RTDC4015/ "%USERPROFILE%\AppData\Local\Temp\OnboardLogs"\RTDC4015\2017-10-08 --exclude "*" --recursive --include "*20171008*" &amp; "%USERPROFILE%\Documents\GitHub\mrs-test-scripts\Headless Mode &amp; Sideloading\WalkAndUnGZ.bat" "%USERPROFILE%\AppData\Local\Temp\OnboardLogs"\RTDC4015\2017-10-08 &amp; 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</v>
      </c>
      <c r="S35" s="84" t="str">
        <f>VLOOKUP(C35,'Train Runs'!$A$13:$AE$10018,22,0)</f>
        <v>https://d0f6bd738d7f1b3e5a7ca70fe4ff75f0.us-east-1.aws.found.io/app/kibana#/discover/Steve-Slow-Train-Analysis-(2080s-and-2083s)?_g=(refreshInterval:(display:Off,pause:!f,section:0,value:0),time:(from:'2017-10-08T20:26:15-0600',mode:absolute,to:'2017-10-08T22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5" s="86" t="str">
        <f t="shared" si="1"/>
        <v>"C:\Program Files (x86)\AstroGrep\AstroGrep.exe" /e /r /s /spath="%USERPROFILE%\AppData\Local\Temp\OnboardLogs" /stypes="*4015*201710090*" /stext=" 03:.+((SYSTEM_STATE.+slice.+state.+changed )|(ment ac)|(multiple cpu faults)|(system.+state.+changed )|(\[timeout)|(PRM\|1\|D)|(kpr)|(kdp)|(train st.+moving)|(\|lc)|(penalty))"</v>
      </c>
      <c r="U35" s="9" t="str">
        <f t="shared" si="2"/>
        <v>4015</v>
      </c>
      <c r="V35" s="31">
        <f t="shared" si="3"/>
        <v>43017.165462962963</v>
      </c>
      <c r="W35" s="45" t="str">
        <f t="shared" si="4"/>
        <v>NW</v>
      </c>
      <c r="X35" s="22">
        <f t="shared" si="5"/>
        <v>1832</v>
      </c>
      <c r="Y35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{"issue":{"subject":"","project_id":79,"tracker_id":40,"status_id":1,"priority_id":2,"assigned_to_id":338,"start_date":"2017-10-08","description":"","custom_fields":[{"id":1,"name":"Subdivision","value":"NW"},{"id":4,"name":"Milepost","value":"0.0575"},{"id":17,"name":"Train ID","value":"1832-08"},{"id":16,"name":"Locomotive ID","value":"4015"},{"id":130,"name":"Impact","value":""},{"id":150,"name":"Time of Event (Mountain Time)","value":"21:58:16"},{"id":151,"name":"Denver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/c/Users/stu/AppData/Local/Temp/OnboardLogs/RTDC4015 --include="*4015*201710090*"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"%USERPROFILE%\AppData\Local\Temp\OnboardLogs"\RTDC4015\*4015*201710090* &gt;&gt; 2017-10-08-SliceDisagreementCheck.txt</v>
      </c>
      <c r="AE35" s="145" t="str">
        <f t="shared" si="9"/>
        <v>start /low /b %USERPROFILE%\Documents\GitHub\eaglep3\Utilities\DownloadLogsFromS3.py --loco 4015 --day 2017-10-09</v>
      </c>
      <c r="AF35" s="1"/>
    </row>
    <row r="36" spans="1:32" x14ac:dyDescent="0.25">
      <c r="A36" s="31">
        <v>43016.683263888888</v>
      </c>
      <c r="B36" s="30" t="s">
        <v>391</v>
      </c>
      <c r="C36" s="30" t="s">
        <v>604</v>
      </c>
      <c r="D36" s="30" t="s">
        <v>49</v>
      </c>
      <c r="E36" s="30" t="s">
        <v>179</v>
      </c>
      <c r="F36" s="42">
        <v>0</v>
      </c>
      <c r="G36" s="42">
        <v>84</v>
      </c>
      <c r="H36" s="42">
        <v>58736</v>
      </c>
      <c r="I36" s="42">
        <v>58828</v>
      </c>
      <c r="J36" s="30" t="s">
        <v>180</v>
      </c>
      <c r="K36" s="42">
        <v>59048</v>
      </c>
      <c r="L36" s="131" t="s">
        <v>50</v>
      </c>
      <c r="M36" s="132">
        <f t="shared" si="0"/>
        <v>116.16</v>
      </c>
      <c r="N36" s="133" t="str">
        <f>VLOOKUP(C36,'Trips&amp;Operators'!$C$1:$G$99911,5,FALSE)</f>
        <v>HOLCOMB KAMDEN</v>
      </c>
      <c r="O36" s="176" t="s">
        <v>178</v>
      </c>
      <c r="P36" s="134"/>
      <c r="Q36" s="30"/>
      <c r="R36" s="81" t="str">
        <f>VLOOKUP(C36,'Train Runs'!$A$13:$AE$10018,31,0)</f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S36" s="84" t="str">
        <f>VLOOKUP(C36,'Train Runs'!$A$13:$AE$10018,22,0)</f>
        <v>https://d0f6bd738d7f1b3e5a7ca70fe4ff75f0.us-east-1.aws.found.io/app/kibana#/discover/Steve-Slow-Train-Analysis-(2080s-and-2083s)?_g=(refreshInterval:(display:Off,pause:!f,section:0,value:0),time:(from:'2017-10-08T15:05:44-0600',mode:absolute,to:'2017-10-08T17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6" s="86" t="str">
        <f t="shared" si="1"/>
        <v>"C:\Program Files (x86)\AstroGrep\AstroGrep.exe" /e /r /s /spath="%USERPROFILE%\AppData\Local\Temp\OnboardLogs" /stypes="*4064*201710082*"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4064</v>
      </c>
      <c r="V36" s="31">
        <f t="shared" si="3"/>
        <v>43016.933263888888</v>
      </c>
      <c r="W36" s="45" t="str">
        <f t="shared" si="4"/>
        <v>NW</v>
      </c>
      <c r="X36" s="22">
        <f t="shared" si="5"/>
        <v>1821</v>
      </c>
      <c r="Y36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{"issue":{"subject":"","project_id":79,"tracker_id":40,"status_id":1,"priority_id":2,"assigned_to_id":338,"start_date":"2017-10-08","description":"","custom_fields":[{"id":1,"name":"Subdivision","value":"NW"},{"id":4,"name":"Milepost","value":"5.9048"},{"id":17,"name":"Train ID","value":"1821-08"},{"id":16,"name":"Locomotive ID","value":"4064"},{"id":130,"name":"Impact","value":""},{"id":150,"name":"Time of Event (Mountain Time)","value":"16:23:54"},{"id":151,"name":"Denver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/c/Users/stu/AppData/Local/Temp/OnboardLogs/RTDC4064 --include="*4064*201710082*"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"%USERPROFILE%\AppData\Local\Temp\OnboardLogs"\RTDC4064\*4064*201710082* &gt;&gt; 2017-10-08-SliceDisagreementCheck.txt</v>
      </c>
      <c r="AE36" s="145" t="str">
        <f t="shared" si="9"/>
        <v>start /low /b %USERPROFILE%\Documents\GitHub\eaglep3\Utilities\DownloadLogsFromS3.py --loco 4064 --day 2017-10-08</v>
      </c>
      <c r="AF36" s="1"/>
    </row>
    <row r="37" spans="1:32" x14ac:dyDescent="0.25">
      <c r="A37" s="31">
        <v>43016.683935185189</v>
      </c>
      <c r="B37" s="30" t="s">
        <v>391</v>
      </c>
      <c r="C37" s="30" t="s">
        <v>604</v>
      </c>
      <c r="D37" s="30" t="s">
        <v>49</v>
      </c>
      <c r="E37" s="30" t="s">
        <v>179</v>
      </c>
      <c r="F37" s="42">
        <v>0</v>
      </c>
      <c r="G37" s="42">
        <v>18</v>
      </c>
      <c r="H37" s="42">
        <v>59003</v>
      </c>
      <c r="I37" s="42">
        <v>59029</v>
      </c>
      <c r="J37" s="30" t="s">
        <v>180</v>
      </c>
      <c r="K37" s="42">
        <v>59048</v>
      </c>
      <c r="L37" s="131" t="s">
        <v>50</v>
      </c>
      <c r="M37" s="132">
        <f t="shared" si="0"/>
        <v>10.032</v>
      </c>
      <c r="N37" s="133" t="str">
        <f>VLOOKUP(C37,'Trips&amp;Operators'!$C$1:$G$99911,5,FALSE)</f>
        <v>HOLCOMB KAMDEN</v>
      </c>
      <c r="O37" s="176" t="s">
        <v>178</v>
      </c>
      <c r="P37" s="134"/>
      <c r="Q37" s="30"/>
      <c r="R37" s="81" t="str">
        <f>VLOOKUP(C37,'Train Runs'!$A$13:$AE$10018,31,0)</f>
        <v>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 &amp; aws s3 cp s3://rtdc.mdm.uploadarchive.raw/RTDC4064/ "%USERPROFILE%\AppData\Local\Temp\OnboardLogs"\RTDC4064\2017-10-09 --exclude "*" --recursive --include "*20171009*" &amp; "%USERPROFILE%\Documents\GitHub\mrs-test-scripts\Headless Mode &amp; Sideloading\WalkAndUnGZ.bat" "%USERPROFILE%\AppData\Local\Temp\OnboardLogs"\RTDC4064\2017-10-09</v>
      </c>
      <c r="S37" s="84" t="str">
        <f>VLOOKUP(C37,'Train Runs'!$A$13:$AE$10018,22,0)</f>
        <v>https://d0f6bd738d7f1b3e5a7ca70fe4ff75f0.us-east-1.aws.found.io/app/kibana#/discover/Steve-Slow-Train-Analysis-(2080s-and-2083s)?_g=(refreshInterval:(display:Off,pause:!f,section:0,value:0),time:(from:'2017-10-08T15:05:44-0600',mode:absolute,to:'2017-10-08T17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86" t="str">
        <f t="shared" si="1"/>
        <v>"C:\Program Files (x86)\AstroGrep\AstroGrep.exe" /e /r /s /spath="%USERPROFILE%\AppData\Local\Temp\OnboardLogs" /stypes="*4064*201710082*"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4064</v>
      </c>
      <c r="V37" s="31">
        <f t="shared" si="3"/>
        <v>43016.933935185189</v>
      </c>
      <c r="W37" s="45" t="str">
        <f t="shared" si="4"/>
        <v>NW</v>
      </c>
      <c r="X37" s="22">
        <f t="shared" si="5"/>
        <v>1821</v>
      </c>
      <c r="Y37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{"issue":{"subject":"","project_id":79,"tracker_id":40,"status_id":1,"priority_id":2,"assigned_to_id":338,"start_date":"2017-10-08","description":"","custom_fields":[{"id":1,"name":"Subdivision","value":"NW"},{"id":4,"name":"Milepost","value":"5.9048"},{"id":17,"name":"Train ID","value":"1821-08"},{"id":16,"name":"Locomotive ID","value":"4064"},{"id":130,"name":"Impact","value":""},{"id":150,"name":"Time of Event (Mountain Time)","value":"16:24:52"},{"id":151,"name":"Denver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/c/Users/stu/AppData/Local/Temp/OnboardLogs/RTDC4064 --include="*4064*201710082*"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"%USERPROFILE%\AppData\Local\Temp\OnboardLogs"\RTDC4064\*4064*201710082* &gt;&gt; 2017-10-08-SliceDisagreementCheck.txt</v>
      </c>
      <c r="AE37" s="145" t="str">
        <f t="shared" si="9"/>
        <v>start /low /b %USERPROFILE%\Documents\GitHub\eaglep3\Utilities\DownloadLogsFromS3.py --loco 4064 --day 2017-10-08</v>
      </c>
      <c r="AF37" s="1"/>
    </row>
    <row r="38" spans="1:32" x14ac:dyDescent="0.25">
      <c r="A38" s="31">
        <v>43016.85224537037</v>
      </c>
      <c r="B38" s="30" t="s">
        <v>500</v>
      </c>
      <c r="C38" s="30" t="s">
        <v>612</v>
      </c>
      <c r="D38" s="30" t="s">
        <v>49</v>
      </c>
      <c r="E38" s="30" t="s">
        <v>179</v>
      </c>
      <c r="F38" s="42">
        <v>0</v>
      </c>
      <c r="G38" s="42">
        <v>27</v>
      </c>
      <c r="H38" s="42">
        <v>59008</v>
      </c>
      <c r="I38" s="42">
        <v>59025</v>
      </c>
      <c r="J38" s="30" t="s">
        <v>180</v>
      </c>
      <c r="K38" s="42">
        <v>59048</v>
      </c>
      <c r="L38" s="131" t="s">
        <v>50</v>
      </c>
      <c r="M38" s="132">
        <f t="shared" si="0"/>
        <v>12.144</v>
      </c>
      <c r="N38" s="133" t="str">
        <f>VLOOKUP(C38,'Trips&amp;Operators'!$C$1:$G$99911,5,FALSE)</f>
        <v>HOLCOMB KAMDEN</v>
      </c>
      <c r="O38" s="176" t="s">
        <v>178</v>
      </c>
      <c r="P38" s="134"/>
      <c r="Q38" s="30"/>
      <c r="R38" s="81" t="str">
        <f>VLOOKUP(C38,'Train Runs'!$A$13:$AE$10018,31,0)</f>
        <v>aws s3 cp s3://rtdc.mdm.uploadarchive.raw/RTDC4016/ "%USERPROFILE%\AppData\Local\Temp\OnboardLogs"\RTDC4016\2017-10-08 --exclude "*" --recursive --include "*20171008*" &amp; "%USERPROFILE%\Documents\GitHub\mrs-test-scripts\Headless Mode &amp; Sideloading\WalkAndUnGZ.bat" "%USERPROFILE%\AppData\Local\Temp\OnboardLogs"\RTDC4016\2017-10-08 &amp; 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</v>
      </c>
      <c r="S38" s="84" t="str">
        <f>VLOOKUP(C38,'Train Runs'!$A$13:$AE$10018,22,0)</f>
        <v>https://d0f6bd738d7f1b3e5a7ca70fe4ff75f0.us-east-1.aws.found.io/app/kibana#/discover/Steve-Slow-Train-Analysis-(2080s-and-2083s)?_g=(refreshInterval:(display:Off,pause:!f,section:0,value:0),time:(from:'2017-10-08T19:08:22-0600',mode:absolute,to:'2017-10-08T21:27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8" s="86" t="str">
        <f t="shared" si="1"/>
        <v>"C:\Program Files (x86)\AstroGrep\AstroGrep.exe" /e /r /s /spath="%USERPROFILE%\AppData\Local\Temp\OnboardLogs" /stypes="*4016*201710090*" /stext=" 02:.+((SYSTEM_STATE.+slice.+state.+changed )|(ment ac)|(multiple cpu faults)|(system.+state.+changed )|(\[timeout)|(PRM\|1\|D)|(kpr)|(kdp)|(train st.+moving)|(\|lc)|(penalty))"</v>
      </c>
      <c r="U38" s="9" t="str">
        <f t="shared" si="2"/>
        <v>4016</v>
      </c>
      <c r="V38" s="31">
        <f t="shared" si="3"/>
        <v>43017.10224537037</v>
      </c>
      <c r="W38" s="45" t="str">
        <f t="shared" si="4"/>
        <v>NW</v>
      </c>
      <c r="X38" s="22">
        <f t="shared" si="5"/>
        <v>1829</v>
      </c>
      <c r="Y38" s="96" t="str">
        <f t="shared" si="6"/>
        <v>echo {"issue":{"subject":"","project_id":79,"tracker_id":40,"status_id":1,"priority_id":2,"assigned_to_id":338,"start_date":"2017-10-08","description":"","custom_fields":[{"id":1,"name":"Subdivision","value":"NW"},{"id":4,"name":"Milepost","value":"5.9048"},{"id":17,"name":"Train ID","value":"1829-08"},{"id":16,"name":"Locomotive ID","value":"4016"},{"id":130,"name":"Impact","value":""},{"id":150,"name":"Time of Event (Mountain Time)","value":"20:27:14"},{"id":151,"name":"Denver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/c/Users/stu/AppData/Local/Temp/OnboardLogs/RTDC4016 --include="*4016*201710090*"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"%USERPROFILE%\AppData\Local\Temp\OnboardLogs"\RTDC4016\*4016*201710090* &gt;&gt; 2017-10-08-SliceDisagreementCheck.txt</v>
      </c>
      <c r="AE38" s="145" t="str">
        <f t="shared" si="9"/>
        <v>start /low /b %USERPROFILE%\Documents\GitHub\eaglep3\Utilities\DownloadLogsFromS3.py --loco 4016 --day 2017-10-09</v>
      </c>
      <c r="AF38" s="1"/>
    </row>
    <row r="39" spans="1:32" x14ac:dyDescent="0.25">
      <c r="A39" s="31">
        <v>43016.232222222221</v>
      </c>
      <c r="B39" s="30" t="s">
        <v>587</v>
      </c>
      <c r="C39" s="30" t="s">
        <v>588</v>
      </c>
      <c r="D39" s="30" t="s">
        <v>49</v>
      </c>
      <c r="E39" s="30" t="s">
        <v>185</v>
      </c>
      <c r="F39" s="42">
        <v>0</v>
      </c>
      <c r="G39" s="42">
        <v>255</v>
      </c>
      <c r="H39" s="42">
        <v>11213</v>
      </c>
      <c r="I39" s="42">
        <v>10691</v>
      </c>
      <c r="J39" s="30" t="s">
        <v>186</v>
      </c>
      <c r="K39" s="42">
        <v>10988</v>
      </c>
      <c r="L39" s="131" t="s">
        <v>51</v>
      </c>
      <c r="M39" s="132">
        <f t="shared" si="0"/>
        <v>-156.816</v>
      </c>
      <c r="N39" s="133" t="str">
        <f>VLOOKUP(C39,'Trips&amp;Operators'!$C$1:$G$99911,5,FALSE)</f>
        <v>LAMAR NEKESHA</v>
      </c>
      <c r="O39" s="176" t="s">
        <v>178</v>
      </c>
      <c r="P39" s="134"/>
      <c r="Q39" s="30"/>
      <c r="R39" s="81" t="str">
        <f>VLOOKUP(C39,'Train Runs'!$A$13:$AE$10018,31,0)</f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S39" s="84" t="str">
        <f>VLOOKUP(C39,'Train Runs'!$A$13:$AE$10018,22,0)</f>
        <v>https://d0f6bd738d7f1b3e5a7ca70fe4ff75f0.us-east-1.aws.found.io/app/kibana#/discover/Steve-Slow-Train-Analysis-(2080s-and-2083s)?_g=(refreshInterval:(display:Off,pause:!f,section:0,value:0),time:(from:'2017-10-08T04:22:30-0600',mode:absolute,to:'2017-10-08T06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9" s="86" t="str">
        <f t="shared" si="1"/>
        <v>"C:\Program Files (x86)\AstroGrep\AstroGrep.exe" /e /r /s /spath="%USERPROFILE%\AppData\Local\Temp\OnboardLogs" /stypes="*4005*201710081*" /stext=" 11:.+((SYSTEM_STATE.+slice.+state.+changed )|(ment ac)|(multiple cpu faults)|(system.+state.+changed )|(\[timeout)|(PRM\|1\|D)|(kpr)|(kdp)|(train st.+moving)|(\|lc)|(penalty))"</v>
      </c>
      <c r="U39" s="9" t="str">
        <f t="shared" si="2"/>
        <v>4005</v>
      </c>
      <c r="V39" s="31">
        <f t="shared" si="3"/>
        <v>43016.482222222221</v>
      </c>
      <c r="W39" s="45" t="str">
        <f t="shared" si="4"/>
        <v>Other</v>
      </c>
      <c r="X39" s="22">
        <f t="shared" si="5"/>
        <v>312</v>
      </c>
      <c r="Y39" s="96" t="str">
        <f t="shared" si="6"/>
        <v>echo {"issue":{"subject":"","project_id":79,"tracker_id":40,"status_id":1,"priority_id":2,"assigned_to_id":338,"start_date":"2017-10-08","description":"","custom_fields":[{"id":1,"name":"Subdivision","value":"Other"},{"id":4,"name":"Milepost","value":"1.0988"},{"id":17,"name":"Train ID","value":"312-08"},{"id":16,"name":"Locomotive ID","value":"4005"},{"id":130,"name":"Impact","value":""},{"id":150,"name":"Time of Event (Mountain Time)","value":"05:34:24"},{"id":151,"name":"Denver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/c/Users/stu/AppData/Local/Temp/OnboardLogs/RTDC4005 --include="*4005*201710081*"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"%USERPROFILE%\AppData\Local\Temp\OnboardLogs"\RTDC4005\*4005*201710081* &gt;&gt; 2017-10-08-SliceDisagreementCheck.txt</v>
      </c>
      <c r="AE39" s="145" t="str">
        <f t="shared" si="9"/>
        <v>start /low /b %USERPROFILE%\Documents\GitHub\eaglep3\Utilities\DownloadLogsFromS3.py --loco 4005 --day 2017-10-08</v>
      </c>
      <c r="AF39" s="1"/>
    </row>
    <row r="40" spans="1:32" x14ac:dyDescent="0.25">
      <c r="A40" s="31">
        <v>43016.178344907406</v>
      </c>
      <c r="B40" s="30" t="s">
        <v>462</v>
      </c>
      <c r="C40" s="30" t="s">
        <v>585</v>
      </c>
      <c r="D40" s="30" t="s">
        <v>49</v>
      </c>
      <c r="E40" s="30" t="s">
        <v>357</v>
      </c>
      <c r="F40" s="42">
        <v>0</v>
      </c>
      <c r="G40" s="42">
        <v>73</v>
      </c>
      <c r="H40" s="42">
        <v>4823</v>
      </c>
      <c r="I40" s="42">
        <v>4692</v>
      </c>
      <c r="J40" s="30" t="s">
        <v>358</v>
      </c>
      <c r="K40" s="42">
        <v>4798</v>
      </c>
      <c r="L40" s="131" t="s">
        <v>51</v>
      </c>
      <c r="M40" s="132">
        <f t="shared" si="0"/>
        <v>-55.968000000000004</v>
      </c>
      <c r="N40" s="133" t="str">
        <f>VLOOKUP(C40,'Trips&amp;Operators'!$C$1:$G$99911,5,FALSE)</f>
        <v>LALONDE GREGORY</v>
      </c>
      <c r="O40" s="176" t="s">
        <v>178</v>
      </c>
      <c r="P40" s="134"/>
      <c r="Q40" s="30"/>
      <c r="R40" s="81" t="str">
        <f>VLOOKUP(C40,'Train Runs'!$A$13:$AE$10018,31,0)</f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S40" s="84" t="str">
        <f>VLOOKUP(C40,'Train Runs'!$A$13:$AE$10018,22,0)</f>
        <v>https://d0f6bd738d7f1b3e5a7ca70fe4ff75f0.us-east-1.aws.found.io/app/kibana#/discover/Steve-Slow-Train-Analysis-(2080s-and-2083s)?_g=(refreshInterval:(display:Off,pause:!f,section:0,value:0),time:(from:'2017-10-08T03:00:00-0600',mode:absolute,to:'2017-10-08T05:16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0" s="86" t="str">
        <f t="shared" si="1"/>
        <v>"C:\Program Files (x86)\AstroGrep\AstroGrep.exe" /e /r /s /spath="%USERPROFILE%\AppData\Local\Temp\OnboardLogs" /stypes="*4065*201710081*" /stext=" 10:.+((SYSTEM_STATE.+slice.+state.+changed )|(ment ac)|(multiple cpu faults)|(system.+state.+changed )|(\[timeout)|(PRM\|1\|D)|(kpr)|(kdp)|(train st.+moving)|(\|lc)|(penalty))"</v>
      </c>
      <c r="U40" s="9" t="str">
        <f t="shared" si="2"/>
        <v>4065</v>
      </c>
      <c r="V40" s="31">
        <f t="shared" si="3"/>
        <v>43016.428344907406</v>
      </c>
      <c r="W40" s="45" t="str">
        <f t="shared" si="4"/>
        <v>Other</v>
      </c>
      <c r="X40" s="22">
        <f t="shared" si="5"/>
        <v>306</v>
      </c>
      <c r="Y40" s="96" t="str">
        <f t="shared" si="6"/>
        <v>echo {"issue":{"subject":"","project_id":79,"tracker_id":40,"status_id":1,"priority_id":2,"assigned_to_id":338,"start_date":"2017-10-08","description":"","custom_fields":[{"id":1,"name":"Subdivision","value":"Other"},{"id":4,"name":"Milepost","value":"0.4798"},{"id":17,"name":"Train ID","value":"306-08"},{"id":16,"name":"Locomotive ID","value":"4065"},{"id":130,"name":"Impact","value":""},{"id":150,"name":"Time of Event (Mountain Time)","value":"04:16:49"},{"id":151,"name":"Denver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/c/Users/stu/AppData/Local/Temp/OnboardLogs/RTDC4065 --include="*4065*201710081*"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"%USERPROFILE%\AppData\Local\Temp\OnboardLogs"\RTDC4065\*4065*201710081* &gt;&gt; 2017-10-08-SliceDisagreementCheck.txt</v>
      </c>
      <c r="AE40" s="145" t="str">
        <f t="shared" si="9"/>
        <v>start /low /b %USERPROFILE%\Documents\GitHub\eaglep3\Utilities\DownloadLogsFromS3.py --loco 4065 --day 2017-10-08</v>
      </c>
      <c r="AF40" s="1"/>
    </row>
    <row r="41" spans="1:32" x14ac:dyDescent="0.25">
      <c r="A41" s="31">
        <v>43016.234224537038</v>
      </c>
      <c r="B41" s="30" t="s">
        <v>587</v>
      </c>
      <c r="C41" s="30" t="s">
        <v>588</v>
      </c>
      <c r="D41" s="30" t="s">
        <v>95</v>
      </c>
      <c r="E41" s="30" t="s">
        <v>357</v>
      </c>
      <c r="F41" s="42">
        <v>0</v>
      </c>
      <c r="G41" s="42">
        <v>100</v>
      </c>
      <c r="H41" s="42">
        <v>4787</v>
      </c>
      <c r="I41" s="42">
        <v>4630</v>
      </c>
      <c r="J41" s="30" t="s">
        <v>358</v>
      </c>
      <c r="K41" s="42">
        <v>4798</v>
      </c>
      <c r="L41" s="131" t="s">
        <v>51</v>
      </c>
      <c r="M41" s="132">
        <f t="shared" si="0"/>
        <v>-88.703999999999994</v>
      </c>
      <c r="N41" s="133" t="str">
        <f>VLOOKUP(C41,'Trips&amp;Operators'!$C$1:$G$99911,5,FALSE)</f>
        <v>LAMAR NEKESHA</v>
      </c>
      <c r="O41" s="176" t="s">
        <v>383</v>
      </c>
      <c r="P41" s="134" t="s">
        <v>1016</v>
      </c>
      <c r="Q41" s="30"/>
      <c r="R41" s="81" t="str">
        <f>VLOOKUP(C41,'Train Runs'!$A$13:$AE$10018,31,0)</f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S41" s="84" t="str">
        <f>VLOOKUP(C41,'Train Runs'!$A$13:$AE$10018,22,0)</f>
        <v>https://d0f6bd738d7f1b3e5a7ca70fe4ff75f0.us-east-1.aws.found.io/app/kibana#/discover/Steve-Slow-Train-Analysis-(2080s-and-2083s)?_g=(refreshInterval:(display:Off,pause:!f,section:0,value:0),time:(from:'2017-10-08T04:22:30-0600',mode:absolute,to:'2017-10-08T06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86" t="str">
        <f t="shared" si="1"/>
        <v>"C:\Program Files (x86)\AstroGrep\AstroGrep.exe" /e /r /s /spath="%USERPROFILE%\AppData\Local\Temp\OnboardLogs" /stypes="*4005*201710081*" /stext=" 11:.+((SYSTEM_STATE.+slice.+state.+changed )|(ment ac)|(multiple cpu faults)|(system.+state.+changed )|(\[timeout)|(PRM\|1\|D)|(kpr)|(kdp)|(train st.+moving)|(\|lc)|(penalty))"</v>
      </c>
      <c r="U41" s="9" t="str">
        <f t="shared" si="2"/>
        <v>4005</v>
      </c>
      <c r="V41" s="31">
        <f t="shared" si="3"/>
        <v>43016.484224537038</v>
      </c>
      <c r="W41" s="45" t="str">
        <f t="shared" si="4"/>
        <v>Other</v>
      </c>
      <c r="X41" s="22">
        <f t="shared" si="5"/>
        <v>312</v>
      </c>
      <c r="Y41" s="96" t="str">
        <f t="shared" si="6"/>
        <v>echo {"issue":{"subject":"Poor GPS under Wawetta St overpass","project_id":79,"tracker_id":40,"status_id":1,"priority_id":2,"assigned_to_id":338,"start_date":"2017-10-08","description":"","custom_fields":[{"id":1,"name":"Subdivision","value":"Other"},{"id":4,"name":"Milepost","value":"0.4798"},{"id":17,"name":"Train ID","value":"312-08"},{"id":16,"name":"Locomotive ID","value":"4005"},{"id":130,"name":"Impact","value":""},{"id":150,"name":"Time of Event (Mountain Time)","value":"05:37:17"},{"id":151,"name":"Denver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/c/Users/stu/AppData/Local/Temp/OnboardLogs/RTDC4005 --include="*4005*201710081*"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"%USERPROFILE%\AppData\Local\Temp\OnboardLogs"\RTDC4005\*4005*201710081* &gt;&gt; 2017-10-08-SliceDisagreementCheck.txt</v>
      </c>
      <c r="AE41" s="145" t="str">
        <f t="shared" si="9"/>
        <v>start /low /b %USERPROFILE%\Documents\GitHub\eaglep3\Utilities\DownloadLogsFromS3.py --loco 4005 --day 2017-10-08</v>
      </c>
      <c r="AF41" s="1"/>
    </row>
    <row r="42" spans="1:32" x14ac:dyDescent="0.25">
      <c r="A42" s="31">
        <v>43016.173715277779</v>
      </c>
      <c r="B42" s="30" t="s">
        <v>462</v>
      </c>
      <c r="C42" s="30" t="s">
        <v>585</v>
      </c>
      <c r="D42" s="30" t="s">
        <v>49</v>
      </c>
      <c r="E42" s="30" t="s">
        <v>357</v>
      </c>
      <c r="F42" s="42">
        <v>0</v>
      </c>
      <c r="G42" s="42">
        <v>351</v>
      </c>
      <c r="H42" s="42">
        <v>8909</v>
      </c>
      <c r="I42" s="42">
        <v>8265</v>
      </c>
      <c r="J42" s="30" t="s">
        <v>358</v>
      </c>
      <c r="K42" s="42">
        <v>6799</v>
      </c>
      <c r="L42" s="131" t="s">
        <v>51</v>
      </c>
      <c r="M42" s="132">
        <f t="shared" si="0"/>
        <v>774.048</v>
      </c>
      <c r="N42" s="133" t="str">
        <f>VLOOKUP(C42,'Trips&amp;Operators'!$C$1:$G$99911,5,FALSE)</f>
        <v>LALONDE GREGORY</v>
      </c>
      <c r="O42" s="176" t="s">
        <v>178</v>
      </c>
      <c r="P42" s="134"/>
      <c r="Q42" s="30"/>
      <c r="R42" s="81" t="str">
        <f>VLOOKUP(C42,'Train Runs'!$A$13:$AE$10018,31,0)</f>
        <v>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 &amp; 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</v>
      </c>
      <c r="S42" s="84" t="str">
        <f>VLOOKUP(C42,'Train Runs'!$A$13:$AE$10018,22,0)</f>
        <v>https://d0f6bd738d7f1b3e5a7ca70fe4ff75f0.us-east-1.aws.found.io/app/kibana#/discover/Steve-Slow-Train-Analysis-(2080s-and-2083s)?_g=(refreshInterval:(display:Off,pause:!f,section:0,value:0),time:(from:'2017-10-08T03:00:00-0600',mode:absolute,to:'2017-10-08T05:16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2" s="86" t="str">
        <f t="shared" si="1"/>
        <v>"C:\Program Files (x86)\AstroGrep\AstroGrep.exe" /e /r /s /spath="%USERPROFILE%\AppData\Local\Temp\OnboardLogs" /stypes="*4065*201710081*" /stext=" 10:.+((SYSTEM_STATE.+slice.+state.+changed )|(ment ac)|(multiple cpu faults)|(system.+state.+changed )|(\[timeout)|(PRM\|1\|D)|(kpr)|(kdp)|(train st.+moving)|(\|lc)|(penalty))"</v>
      </c>
      <c r="U42" s="9" t="str">
        <f t="shared" si="2"/>
        <v>4065</v>
      </c>
      <c r="V42" s="31">
        <f t="shared" si="3"/>
        <v>43016.423715277779</v>
      </c>
      <c r="W42" s="45" t="str">
        <f t="shared" si="4"/>
        <v>Other</v>
      </c>
      <c r="X42" s="22">
        <f t="shared" si="5"/>
        <v>306</v>
      </c>
      <c r="Y42" s="96" t="str">
        <f t="shared" si="6"/>
        <v>echo {"issue":{"subject":"","project_id":79,"tracker_id":40,"status_id":1,"priority_id":2,"assigned_to_id":338,"start_date":"2017-10-08","description":"","custom_fields":[{"id":1,"name":"Subdivision","value":"Other"},{"id":4,"name":"Milepost","value":"0.6799"},{"id":17,"name":"Train ID","value":"306-08"},{"id":16,"name":"Locomotive ID","value":"4065"},{"id":130,"name":"Impact","value":""},{"id":150,"name":"Time of Event (Mountain Time)","value":"04:10:09"},{"id":151,"name":"Denver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/c/Users/stu/AppData/Local/Temp/OnboardLogs/RTDC4065 --include="*4065*201710081*"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"%USERPROFILE%\AppData\Local\Temp\OnboardLogs"\RTDC4065\*4065*201710081* &gt;&gt; 2017-10-08-SliceDisagreementCheck.txt</v>
      </c>
      <c r="AE42" s="145" t="str">
        <f t="shared" si="9"/>
        <v>start /low /b %USERPROFILE%\Documents\GitHub\eaglep3\Utilities\DownloadLogsFromS3.py --loco 4065 --day 2017-10-08</v>
      </c>
      <c r="AF42" s="1"/>
    </row>
    <row r="43" spans="1:32" x14ac:dyDescent="0.25">
      <c r="A43" s="31">
        <v>43016.22824074074</v>
      </c>
      <c r="B43" s="30" t="s">
        <v>587</v>
      </c>
      <c r="C43" s="30" t="s">
        <v>588</v>
      </c>
      <c r="D43" s="30" t="s">
        <v>95</v>
      </c>
      <c r="E43" s="30" t="s">
        <v>589</v>
      </c>
      <c r="F43" s="42">
        <v>0</v>
      </c>
      <c r="G43" s="42">
        <v>29</v>
      </c>
      <c r="H43" s="42">
        <v>22351</v>
      </c>
      <c r="I43" s="42">
        <v>22338</v>
      </c>
      <c r="J43" s="30" t="s">
        <v>461</v>
      </c>
      <c r="K43" s="42">
        <v>24193</v>
      </c>
      <c r="L43" s="131" t="s">
        <v>51</v>
      </c>
      <c r="M43" s="132">
        <f t="shared" si="0"/>
        <v>-979.44</v>
      </c>
      <c r="N43" s="133" t="str">
        <f>VLOOKUP(C43,'Trips&amp;Operators'!$C$1:$G$99911,5,FALSE)</f>
        <v>LAMAR NEKESHA</v>
      </c>
      <c r="O43" s="176" t="s">
        <v>178</v>
      </c>
      <c r="P43" s="134"/>
      <c r="Q43" s="30"/>
      <c r="R43" s="81" t="str">
        <f>VLOOKUP(C43,'Train Runs'!$A$13:$AE$10018,31,0)</f>
        <v>aws s3 cp s3://rtdc.mdm.uploadarchive.raw/RTDC4005/ "%USERPROFILE%\AppData\Local\Temp\OnboardLogs"\RTDC4005\2017-10-08 --exclude "*" --recursive --include "*20171008*" &amp; "%USERPROFILE%\Documents\GitHub\mrs-test-scripts\Headless Mode &amp; Sideloading\WalkAndUnGZ.bat" "%USERPROFILE%\AppData\Local\Temp\OnboardLogs"\RTDC4005\2017-10-08 &amp; aws s3 cp s3://rtdc.mdm.uploadarchive.raw/RTDC4005/ "%USERPROFILE%\AppData\Local\Temp\OnboardLogs"\RTDC4005\2017-10-09 --exclude "*" --recursive --include "*20171009*" &amp; "%USERPROFILE%\Documents\GitHub\mrs-test-scripts\Headless Mode &amp; Sideloading\WalkAndUnGZ.bat" "%USERPROFILE%\AppData\Local\Temp\OnboardLogs"\RTDC4005\2017-10-09</v>
      </c>
      <c r="S43" s="84" t="str">
        <f>VLOOKUP(C43,'Train Runs'!$A$13:$AE$10018,22,0)</f>
        <v>https://d0f6bd738d7f1b3e5a7ca70fe4ff75f0.us-east-1.aws.found.io/app/kibana#/discover/Steve-Slow-Train-Analysis-(2080s-and-2083s)?_g=(refreshInterval:(display:Off,pause:!f,section:0,value:0),time:(from:'2017-10-08T04:22:30-0600',mode:absolute,to:'2017-10-08T06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3" s="86" t="str">
        <f t="shared" si="1"/>
        <v>"C:\Program Files (x86)\AstroGrep\AstroGrep.exe" /e /r /s /spath="%USERPROFILE%\AppData\Local\Temp\OnboardLogs" /stypes="*4005*201710081*" /stext=" 11:.+((SYSTEM_STATE.+slice.+state.+changed )|(ment ac)|(multiple cpu faults)|(system.+state.+changed )|(\[timeout)|(PRM\|1\|D)|(kpr)|(kdp)|(train st.+moving)|(\|lc)|(penalty))"</v>
      </c>
      <c r="U43" s="9" t="str">
        <f t="shared" si="2"/>
        <v>4005</v>
      </c>
      <c r="V43" s="31">
        <f t="shared" si="3"/>
        <v>43016.47824074074</v>
      </c>
      <c r="W43" s="45" t="str">
        <f t="shared" si="4"/>
        <v>Other</v>
      </c>
      <c r="X43" s="22">
        <f t="shared" si="5"/>
        <v>312</v>
      </c>
      <c r="Y43" s="96" t="str">
        <f t="shared" si="6"/>
        <v>echo {"issue":{"subject":"","project_id":79,"tracker_id":40,"status_id":1,"priority_id":2,"assigned_to_id":338,"start_date":"2017-10-08","description":"","custom_fields":[{"id":1,"name":"Subdivision","value":"Other"},{"id":4,"name":"Milepost","value":"2.4193"},{"id":17,"name":"Train ID","value":"312-08"},{"id":16,"name":"Locomotive ID","value":"4005"},{"id":130,"name":"Impact","value":""},{"id":150,"name":"Time of Event (Mountain Time)","value":"05:28:40"},{"id":151,"name":"Denver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/c/Users/stu/AppData/Local/Temp/OnboardLogs/RTDC4005 --include="*4005*201710081*"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"%USERPROFILE%\AppData\Local\Temp\OnboardLogs"\RTDC4005\*4005*201710081* &gt;&gt; 2017-10-08-SliceDisagreementCheck.txt</v>
      </c>
      <c r="AE43" s="145" t="str">
        <f t="shared" si="9"/>
        <v>start /low /b %USERPROFILE%\Documents\GitHub\eaglep3\Utilities\DownloadLogsFromS3.py --loco 4005 --day 2017-10-08</v>
      </c>
      <c r="AF43" s="1"/>
    </row>
    <row r="44" spans="1:32" x14ac:dyDescent="0.25">
      <c r="A44" s="31">
        <v>43016.129652777781</v>
      </c>
      <c r="B44" s="30" t="s">
        <v>583</v>
      </c>
      <c r="C44" s="30" t="s">
        <v>584</v>
      </c>
      <c r="D44" s="30" t="s">
        <v>49</v>
      </c>
      <c r="E44" s="30" t="s">
        <v>179</v>
      </c>
      <c r="F44" s="42">
        <v>0</v>
      </c>
      <c r="G44" s="42">
        <v>95</v>
      </c>
      <c r="H44" s="42">
        <v>364</v>
      </c>
      <c r="I44" s="42">
        <v>314</v>
      </c>
      <c r="J44" s="30" t="s">
        <v>180</v>
      </c>
      <c r="K44" s="42">
        <v>1</v>
      </c>
      <c r="L44" s="131" t="s">
        <v>51</v>
      </c>
      <c r="M44" s="132">
        <f t="shared" si="0"/>
        <v>165.26400000000001</v>
      </c>
      <c r="N44" s="133" t="str">
        <f>VLOOKUP(C44,'Trips&amp;Operators'!$C$1:$G$99911,5,FALSE)</f>
        <v>THOMPSON LESTER</v>
      </c>
      <c r="O44" s="176" t="s">
        <v>178</v>
      </c>
      <c r="P44" s="134"/>
      <c r="Q44" s="30"/>
      <c r="R44" s="81" t="str">
        <f>VLOOKUP(C44,'Train Runs'!$A$13:$AE$10018,31,0)</f>
        <v>aws s3 cp s3://rtdc.mdm.uploadarchive.raw/RTDC4059/ "%USERPROFILE%\AppData\Local\Temp\OnboardLogs"\RTDC4059\2017-10-08 --exclude "*" --recursive --include "*20171008*" &amp; "%USERPROFILE%\Documents\GitHub\mrs-test-scripts\Headless Mode &amp; Sideloading\WalkAndUnGZ.bat" "%USERPROFILE%\AppData\Local\Temp\OnboardLogs"\RTDC4059\2017-10-08 &amp; aws s3 cp s3://rtdc.mdm.uploadarchive.raw/RTDC4059/ "%USERPROFILE%\AppData\Local\Temp\OnboardLogs"\RTDC4059\2017-10-09 --exclude "*" --recursive --include "*20171009*" &amp; "%USERPROFILE%\Documents\GitHub\mrs-test-scripts\Headless Mode &amp; Sideloading\WalkAndUnGZ.bat" "%USERPROFILE%\AppData\Local\Temp\OnboardLogs"\RTDC4059\2017-10-09</v>
      </c>
      <c r="S44" s="84" t="str">
        <f>VLOOKUP(C44,'Train Runs'!$A$13:$AE$10018,22,0)</f>
        <v>https://d0f6bd738d7f1b3e5a7ca70fe4ff75f0.us-east-1.aws.found.io/app/kibana#/discover/Steve-Slow-Train-Analysis-(2080s-and-2083s)?_g=(refreshInterval:(display:Off,pause:!f,section:0,value:0),time:(from:'2017-10-08T01:51:42-0600',mode:absolute,to:'2017-10-08T04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4" s="86" t="str">
        <f t="shared" si="1"/>
        <v>"C:\Program Files (x86)\AstroGrep\AstroGrep.exe" /e /r /s /spath="%USERPROFILE%\AppData\Local\Temp\OnboardLogs" /stypes="*4059*201710080*" /stext=" 09:.+((SYSTEM_STATE.+slice.+state.+changed )|(ment ac)|(multiple cpu faults)|(system.+state.+changed )|(\[timeout)|(PRM\|1\|D)|(kpr)|(kdp)|(train st.+moving)|(\|lc)|(penalty))"</v>
      </c>
      <c r="U44" s="9" t="str">
        <f t="shared" si="2"/>
        <v>4059</v>
      </c>
      <c r="V44" s="31">
        <f t="shared" si="3"/>
        <v>43016.379652777781</v>
      </c>
      <c r="W44" s="45" t="str">
        <f t="shared" si="4"/>
        <v>Other</v>
      </c>
      <c r="X44" s="22">
        <f t="shared" si="5"/>
        <v>300</v>
      </c>
      <c r="Y44" s="96" t="str">
        <f t="shared" si="6"/>
        <v>echo {"issue":{"subject":"","project_id":79,"tracker_id":40,"status_id":1,"priority_id":2,"assigned_to_id":338,"start_date":"2017-10-08","description":"","custom_fields":[{"id":1,"name":"Subdivision","value":"Other"},{"id":4,"name":"Milepost","value":"0.0001"},{"id":17,"name":"Train ID","value":"300-08"},{"id":16,"name":"Locomotive ID","value":"4059"},{"id":130,"name":"Impact","value":""},{"id":150,"name":"Time of Event (Mountain Time)","value":"03:06:42"},{"id":151,"name":"Denver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/c/Users/stu/AppData/Local/Temp/OnboardLogs/RTDC4059 --include="*4059*201710080*"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"%USERPROFILE%\AppData\Local\Temp\OnboardLogs"\RTDC4059\*4059*201710080* &gt;&gt; 2017-10-08-SliceDisagreementCheck.txt</v>
      </c>
      <c r="AE44" s="145" t="str">
        <f t="shared" si="9"/>
        <v>start /low /b %USERPROFILE%\Documents\GitHub\eaglep3\Utilities\DownloadLogsFromS3.py --loco 4059 --day 2017-10-08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4">
      <sortCondition ref="W7:W44"/>
      <sortCondition ref="E7:E44"/>
      <sortCondition ref="K7:K44"/>
      <sortCondition ref="F7:F44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44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44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2017-10-08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1830</v>
      </c>
      <c r="B3" s="42" t="str">
        <f>A3&amp;"-"&amp;IF(DAY(Variables!$A$2)&lt;10,0,"")&amp;DAY(Variables!$A$2)</f>
        <v>1830-08</v>
      </c>
      <c r="C3" s="135"/>
      <c r="D3" s="153" t="str">
        <f>VLOOKUP(B3,'Trips&amp;Operators'!$C$1:$H$1072,6,FALSE)</f>
        <v>4015</v>
      </c>
      <c r="E3" s="30"/>
      <c r="F3" s="21" t="str">
        <f>VLOOKUP(B3,'Trips&amp;Operators'!$C$2:$E$9912,3,FALSE)</f>
        <v>HOLCOMB</v>
      </c>
      <c r="G3" s="21" t="str">
        <f>VLOOKUP(B3,'Trips&amp;Operators'!$C$1:$F$9912,4,FALSE)</f>
        <v>KAMDEN</v>
      </c>
      <c r="H3" s="29" t="str">
        <f>VLOOKUP(B3,'Trips&amp;Operators'!$C$1:$H$9912,5,FALSE)</f>
        <v>HOLCOMB KAMDEN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221830-08%22)),sort:!(Time.ISO8601,asc))</v>
      </c>
      <c r="J3" s="30" t="str">
        <f>VLOOKUP(B3,'Train Runs'!$A$13:$A$100015,1,FALSE)</f>
        <v>1830-08</v>
      </c>
    </row>
    <row r="4" spans="1:10" x14ac:dyDescent="0.25">
      <c r="A4" s="198"/>
      <c r="B4" s="42" t="str">
        <f>A4&amp;"-"&amp;IF(DAY(Variables!$A$2)&lt;10,0,"")&amp;DAY(Variables!$A$2)</f>
        <v>-08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Runs'!$A$13:$A$100015,1,FALSE)</f>
        <v>#N/A</v>
      </c>
    </row>
    <row r="5" spans="1:10" x14ac:dyDescent="0.25">
      <c r="A5" s="198"/>
      <c r="B5" s="42" t="str">
        <f>A5&amp;"-"&amp;IF(DAY(Variables!$A$2)&lt;10,0,"")&amp;DAY(Variables!$A$2)</f>
        <v>-08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Runs'!$A$13:$A$100015,1,FALSE)</f>
        <v>#N/A</v>
      </c>
    </row>
    <row r="6" spans="1:10" x14ac:dyDescent="0.25">
      <c r="A6" s="198"/>
      <c r="B6" s="42" t="str">
        <f>A6&amp;"-"&amp;IF(DAY(Variables!$A$2)&lt;10,0,"")&amp;DAY(Variables!$A$2)</f>
        <v>-08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Runs'!$A$13:$A$100015,1,FALSE)</f>
        <v>#N/A</v>
      </c>
    </row>
    <row r="7" spans="1:10" x14ac:dyDescent="0.25">
      <c r="A7" s="198"/>
      <c r="B7" s="42" t="str">
        <f>A7&amp;"-"&amp;IF(DAY(Variables!$A$2)&lt;10,0,"")&amp;DAY(Variables!$A$2)</f>
        <v>-08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Runs'!$A$13:$A$100015,1,FALSE)</f>
        <v>#N/A</v>
      </c>
    </row>
    <row r="8" spans="1:10" x14ac:dyDescent="0.25">
      <c r="A8" s="198"/>
      <c r="B8" s="42" t="str">
        <f>A8&amp;"-"&amp;IF(DAY(Variables!$A$2)&lt;10,0,"")&amp;DAY(Variables!$A$2)</f>
        <v>-08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Runs'!$A$13:$A$100015,1,FALSE)</f>
        <v>#N/A</v>
      </c>
    </row>
    <row r="9" spans="1:10" x14ac:dyDescent="0.25">
      <c r="A9" s="198"/>
      <c r="B9" s="42" t="str">
        <f>A9&amp;"-"&amp;IF(DAY(Variables!$A$2)&lt;10,0,"")&amp;DAY(Variables!$A$2)</f>
        <v>-08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Runs'!$A$13:$A$100015,1,FALSE)</f>
        <v>#N/A</v>
      </c>
    </row>
    <row r="10" spans="1:10" x14ac:dyDescent="0.25">
      <c r="A10" s="198"/>
      <c r="B10" s="42" t="str">
        <f>A10&amp;"-"&amp;IF(DAY(Variables!$A$2)&lt;10,0,"")&amp;DAY(Variables!$A$2)</f>
        <v>-08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Runs'!$A$13:$A$100015,1,FALSE)</f>
        <v>#N/A</v>
      </c>
    </row>
    <row r="11" spans="1:10" x14ac:dyDescent="0.25">
      <c r="A11" s="198"/>
      <c r="B11" s="42" t="str">
        <f>A11&amp;"-"&amp;IF(DAY(Variables!$A$2)&lt;10,0,"")&amp;DAY(Variables!$A$2)</f>
        <v>-08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Runs'!$A$13:$A$100015,1,FALSE)</f>
        <v>#N/A</v>
      </c>
    </row>
    <row r="12" spans="1:10" x14ac:dyDescent="0.25">
      <c r="A12" s="198"/>
      <c r="B12" s="42" t="str">
        <f>A12&amp;"-"&amp;IF(DAY(Variables!$A$2)&lt;10,0,"")&amp;DAY(Variables!$A$2)</f>
        <v>-08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Runs'!$A$13:$A$100015,1,FALSE)</f>
        <v>#N/A</v>
      </c>
    </row>
    <row r="13" spans="1:10" x14ac:dyDescent="0.25">
      <c r="A13" s="198"/>
      <c r="B13" s="42" t="str">
        <f>A13&amp;"-"&amp;IF(DAY(Variables!$A$2)&lt;10,0,"")&amp;DAY(Variables!$A$2)</f>
        <v>-08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Runs'!$A$13:$A$100015,1,FALSE)</f>
        <v>#N/A</v>
      </c>
    </row>
    <row r="14" spans="1:10" x14ac:dyDescent="0.25">
      <c r="A14" s="198"/>
      <c r="B14" s="42" t="str">
        <f>A14&amp;"-"&amp;IF(DAY(Variables!$A$2)&lt;10,0,"")&amp;DAY(Variables!$A$2)</f>
        <v>-08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Runs'!$A$13:$A$100015,1,FALSE)</f>
        <v>#N/A</v>
      </c>
    </row>
    <row r="15" spans="1:10" x14ac:dyDescent="0.25">
      <c r="A15" s="198"/>
      <c r="B15" s="42" t="str">
        <f>A15&amp;"-"&amp;IF(DAY(Variables!$A$2)&lt;10,0,"")&amp;DAY(Variables!$A$2)</f>
        <v>-08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Runs'!$A$13:$A$100015,1,FALSE)</f>
        <v>#N/A</v>
      </c>
    </row>
    <row r="16" spans="1:10" x14ac:dyDescent="0.25">
      <c r="A16" s="198"/>
      <c r="B16" s="42" t="str">
        <f>A16&amp;"-"&amp;IF(DAY(Variables!$A$2)&lt;10,0,"")&amp;DAY(Variables!$A$2)</f>
        <v>-08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Runs'!$A$13:$A$100015,1,FALSE)</f>
        <v>#N/A</v>
      </c>
    </row>
    <row r="17" spans="1:10" x14ac:dyDescent="0.25">
      <c r="A17" s="198"/>
      <c r="B17" s="42" t="str">
        <f>A17&amp;"-"&amp;IF(DAY(Variables!$A$2)&lt;10,0,"")&amp;DAY(Variables!$A$2)</f>
        <v>-08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Runs'!$A$13:$A$100015,1,FALSE)</f>
        <v>#N/A</v>
      </c>
    </row>
    <row r="18" spans="1:10" x14ac:dyDescent="0.25">
      <c r="A18" s="198"/>
      <c r="B18" s="42" t="str">
        <f>A18&amp;"-"&amp;IF(DAY(Variables!$A$2)&lt;10,0,"")&amp;DAY(Variables!$A$2)</f>
        <v>-08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Runs'!$A$13:$A$100015,1,FALSE)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43016.03707175926</v>
      </c>
      <c r="B2" s="20" t="s">
        <v>617</v>
      </c>
      <c r="C2" s="20" t="s">
        <v>618</v>
      </c>
      <c r="D2" s="138">
        <v>3510000</v>
      </c>
      <c r="E2" s="20" t="s">
        <v>619</v>
      </c>
      <c r="F2" s="20" t="s">
        <v>620</v>
      </c>
      <c r="G2" s="8" t="str">
        <f>E2&amp;" "&amp;F2</f>
        <v>BARRON PERLA</v>
      </c>
      <c r="H2" t="str">
        <f>MID(B2,13,4)</f>
        <v>4024</v>
      </c>
    </row>
    <row r="3" spans="1:8" x14ac:dyDescent="0.25">
      <c r="A3" s="8">
        <v>43016.041898148149</v>
      </c>
      <c r="B3" s="20" t="s">
        <v>621</v>
      </c>
      <c r="C3" s="20" t="s">
        <v>622</v>
      </c>
      <c r="D3" s="138">
        <v>3320000</v>
      </c>
      <c r="E3" s="20" t="s">
        <v>373</v>
      </c>
      <c r="F3" s="20" t="s">
        <v>374</v>
      </c>
      <c r="G3" s="8" t="str">
        <f t="shared" ref="G3:G66" si="0">E3&amp;" "&amp;F3</f>
        <v>NICHOLSON WESLEY</v>
      </c>
      <c r="H3" s="20" t="str">
        <f t="shared" ref="H3:H66" si="1">MID(B3,13,4)</f>
        <v>4052</v>
      </c>
    </row>
    <row r="4" spans="1:8" x14ac:dyDescent="0.25">
      <c r="A4" s="8">
        <v>43016.046631944446</v>
      </c>
      <c r="B4" s="20" t="s">
        <v>498</v>
      </c>
      <c r="C4" s="20" t="s">
        <v>623</v>
      </c>
      <c r="D4" s="138">
        <v>3000000</v>
      </c>
      <c r="E4" s="20" t="s">
        <v>437</v>
      </c>
      <c r="F4" s="20" t="s">
        <v>438</v>
      </c>
      <c r="G4" s="8" t="str">
        <f t="shared" si="0"/>
        <v>FORTUNATO FRANK</v>
      </c>
      <c r="H4" s="20" t="str">
        <f t="shared" si="1"/>
        <v>4012</v>
      </c>
    </row>
    <row r="5" spans="1:8" x14ac:dyDescent="0.25">
      <c r="A5" s="8">
        <v>43016.053877314815</v>
      </c>
      <c r="B5" s="20" t="s">
        <v>624</v>
      </c>
      <c r="C5" s="20" t="s">
        <v>625</v>
      </c>
      <c r="D5" s="138">
        <v>3320000</v>
      </c>
      <c r="E5" s="20" t="s">
        <v>373</v>
      </c>
      <c r="F5" s="20" t="s">
        <v>374</v>
      </c>
      <c r="G5" s="8" t="str">
        <f t="shared" si="0"/>
        <v>NICHOLSON WESLEY</v>
      </c>
      <c r="H5" s="20" t="str">
        <f t="shared" si="1"/>
        <v>4051</v>
      </c>
    </row>
    <row r="6" spans="1:8" x14ac:dyDescent="0.25">
      <c r="A6" s="8">
        <v>43016.069166666668</v>
      </c>
      <c r="B6" s="20" t="s">
        <v>388</v>
      </c>
      <c r="C6" s="20" t="s">
        <v>626</v>
      </c>
      <c r="D6" s="138">
        <v>3340000</v>
      </c>
      <c r="E6" s="20" t="s">
        <v>627</v>
      </c>
      <c r="F6" s="20" t="s">
        <v>628</v>
      </c>
      <c r="G6" s="8" t="str">
        <f t="shared" si="0"/>
        <v>ELBAUM MIKE</v>
      </c>
      <c r="H6" s="20" t="str">
        <f t="shared" si="1"/>
        <v>4010</v>
      </c>
    </row>
    <row r="7" spans="1:8" x14ac:dyDescent="0.25">
      <c r="A7" s="8">
        <v>43016.080289351848</v>
      </c>
      <c r="B7" s="20" t="s">
        <v>629</v>
      </c>
      <c r="C7" s="20" t="s">
        <v>630</v>
      </c>
      <c r="D7" s="138">
        <v>3510000</v>
      </c>
      <c r="E7" s="20" t="s">
        <v>619</v>
      </c>
      <c r="F7" s="20" t="s">
        <v>620</v>
      </c>
      <c r="G7" s="8" t="str">
        <f t="shared" si="0"/>
        <v>BARRON PERLA</v>
      </c>
      <c r="H7" s="20" t="str">
        <f t="shared" si="1"/>
        <v>4023</v>
      </c>
    </row>
    <row r="8" spans="1:8" x14ac:dyDescent="0.25">
      <c r="A8" s="8">
        <v>43016.110729166663</v>
      </c>
      <c r="B8" s="20" t="s">
        <v>617</v>
      </c>
      <c r="C8" s="20" t="s">
        <v>631</v>
      </c>
      <c r="D8" s="138">
        <v>3510000</v>
      </c>
      <c r="E8" s="20" t="s">
        <v>619</v>
      </c>
      <c r="F8" s="20" t="s">
        <v>620</v>
      </c>
      <c r="G8" s="8" t="str">
        <f t="shared" si="0"/>
        <v>BARRON PERLA</v>
      </c>
      <c r="H8" s="20" t="str">
        <f t="shared" si="1"/>
        <v>4024</v>
      </c>
    </row>
    <row r="9" spans="1:8" ht="15.75" thickBot="1" x14ac:dyDescent="0.3">
      <c r="A9" s="24">
        <v>43016.119768518518</v>
      </c>
      <c r="B9" s="20" t="s">
        <v>583</v>
      </c>
      <c r="C9" s="20" t="s">
        <v>584</v>
      </c>
      <c r="D9" s="138">
        <v>3120000</v>
      </c>
      <c r="E9" s="20" t="s">
        <v>632</v>
      </c>
      <c r="F9" s="20" t="s">
        <v>633</v>
      </c>
      <c r="G9" s="8" t="str">
        <f t="shared" si="0"/>
        <v>THOMPSON LESTER</v>
      </c>
      <c r="H9" s="20" t="str">
        <f t="shared" si="1"/>
        <v>4059</v>
      </c>
    </row>
    <row r="10" spans="1:8" x14ac:dyDescent="0.25">
      <c r="A10" s="8">
        <v>43016.13181712963</v>
      </c>
      <c r="B10" s="20" t="s">
        <v>497</v>
      </c>
      <c r="C10" s="20" t="s">
        <v>634</v>
      </c>
      <c r="D10" s="138">
        <v>2010000</v>
      </c>
      <c r="E10" s="20" t="s">
        <v>505</v>
      </c>
      <c r="F10" s="20" t="s">
        <v>506</v>
      </c>
      <c r="G10" s="8" t="str">
        <f t="shared" si="0"/>
        <v>MAELZER KURT</v>
      </c>
      <c r="H10" s="20" t="str">
        <f t="shared" si="1"/>
        <v>4001</v>
      </c>
    </row>
    <row r="11" spans="1:8" x14ac:dyDescent="0.25">
      <c r="A11" s="8">
        <v>43016.133009259262</v>
      </c>
      <c r="B11" s="20" t="s">
        <v>635</v>
      </c>
      <c r="C11" s="20" t="s">
        <v>636</v>
      </c>
      <c r="D11" s="138">
        <v>2370000</v>
      </c>
      <c r="E11" s="20" t="s">
        <v>469</v>
      </c>
      <c r="F11" s="20" t="s">
        <v>470</v>
      </c>
      <c r="G11" s="8" t="str">
        <f t="shared" si="0"/>
        <v>DELGADO DIANAH</v>
      </c>
      <c r="H11" s="20" t="str">
        <f t="shared" si="1"/>
        <v>4060</v>
      </c>
    </row>
    <row r="12" spans="1:8" x14ac:dyDescent="0.25">
      <c r="A12" s="8">
        <v>43016.134432870371</v>
      </c>
      <c r="B12" s="20" t="s">
        <v>500</v>
      </c>
      <c r="C12" s="20" t="s">
        <v>637</v>
      </c>
      <c r="D12" s="138">
        <v>3120000</v>
      </c>
      <c r="E12" s="20" t="s">
        <v>632</v>
      </c>
      <c r="F12" s="20" t="s">
        <v>633</v>
      </c>
      <c r="G12" s="8" t="str">
        <f t="shared" si="0"/>
        <v>THOMPSON LESTER</v>
      </c>
      <c r="H12" s="20" t="str">
        <f t="shared" si="1"/>
        <v>4016</v>
      </c>
    </row>
    <row r="13" spans="1:8" x14ac:dyDescent="0.25">
      <c r="A13" s="8">
        <v>43016.140787037039</v>
      </c>
      <c r="B13" s="20" t="s">
        <v>583</v>
      </c>
      <c r="C13" s="20" t="s">
        <v>638</v>
      </c>
      <c r="D13" s="138">
        <v>2370000</v>
      </c>
      <c r="E13" s="20" t="s">
        <v>469</v>
      </c>
      <c r="F13" s="20" t="s">
        <v>470</v>
      </c>
      <c r="G13" s="8" t="str">
        <f t="shared" si="0"/>
        <v>DELGADO DIANAH</v>
      </c>
      <c r="H13" s="20" t="str">
        <f t="shared" si="1"/>
        <v>4059</v>
      </c>
    </row>
    <row r="14" spans="1:8" x14ac:dyDescent="0.25">
      <c r="A14" s="8">
        <v>43016.144479166665</v>
      </c>
      <c r="B14" s="20" t="s">
        <v>425</v>
      </c>
      <c r="C14" s="20" t="s">
        <v>639</v>
      </c>
      <c r="D14" s="138">
        <v>2010000</v>
      </c>
      <c r="E14" s="20" t="s">
        <v>505</v>
      </c>
      <c r="F14" s="20" t="s">
        <v>506</v>
      </c>
      <c r="G14" s="8" t="str">
        <f t="shared" si="0"/>
        <v>MAELZER KURT</v>
      </c>
      <c r="H14" s="20" t="str">
        <f t="shared" si="1"/>
        <v>4002</v>
      </c>
    </row>
    <row r="15" spans="1:8" x14ac:dyDescent="0.25">
      <c r="A15" s="8">
        <v>43016.158206018517</v>
      </c>
      <c r="B15" s="20" t="s">
        <v>598</v>
      </c>
      <c r="C15" s="20" t="s">
        <v>640</v>
      </c>
      <c r="D15" s="138">
        <v>3300000</v>
      </c>
      <c r="E15" s="20" t="s">
        <v>641</v>
      </c>
      <c r="F15" s="20" t="s">
        <v>642</v>
      </c>
      <c r="G15" s="8" t="str">
        <f t="shared" si="0"/>
        <v>LANGERAK WILLIAM</v>
      </c>
      <c r="H15" s="20" t="str">
        <f t="shared" si="1"/>
        <v>4049</v>
      </c>
    </row>
    <row r="16" spans="1:8" x14ac:dyDescent="0.25">
      <c r="A16" s="8">
        <v>43016.167164351849</v>
      </c>
      <c r="B16" s="20" t="s">
        <v>462</v>
      </c>
      <c r="C16" s="20" t="s">
        <v>585</v>
      </c>
      <c r="D16" s="138">
        <v>2530000</v>
      </c>
      <c r="E16" s="20" t="s">
        <v>643</v>
      </c>
      <c r="F16" s="20" t="s">
        <v>644</v>
      </c>
      <c r="G16" s="8" t="str">
        <f t="shared" si="0"/>
        <v>LALONDE GREGORY</v>
      </c>
      <c r="H16" s="20" t="str">
        <f t="shared" si="1"/>
        <v>4065</v>
      </c>
    </row>
    <row r="17" spans="1:8" x14ac:dyDescent="0.25">
      <c r="A17" s="8">
        <v>43016.172071759262</v>
      </c>
      <c r="B17" s="20" t="s">
        <v>606</v>
      </c>
      <c r="C17" s="20" t="s">
        <v>645</v>
      </c>
      <c r="D17" s="138">
        <v>3300000</v>
      </c>
      <c r="E17" s="20" t="s">
        <v>641</v>
      </c>
      <c r="F17" s="20" t="s">
        <v>642</v>
      </c>
      <c r="G17" s="8" t="str">
        <f t="shared" si="0"/>
        <v>LANGERAK WILLIAM</v>
      </c>
      <c r="H17" s="20" t="str">
        <f t="shared" si="1"/>
        <v>4050</v>
      </c>
    </row>
    <row r="18" spans="1:8" x14ac:dyDescent="0.25">
      <c r="A18" s="8">
        <v>43016.17355324074</v>
      </c>
      <c r="B18" s="20" t="s">
        <v>501</v>
      </c>
      <c r="C18" s="20" t="s">
        <v>586</v>
      </c>
      <c r="D18" s="138">
        <v>3120000</v>
      </c>
      <c r="E18" s="20" t="s">
        <v>632</v>
      </c>
      <c r="F18" s="20" t="s">
        <v>633</v>
      </c>
      <c r="G18" s="8" t="str">
        <f t="shared" si="0"/>
        <v>THOMPSON LESTER</v>
      </c>
      <c r="H18" s="20" t="str">
        <f t="shared" si="1"/>
        <v>4015</v>
      </c>
    </row>
    <row r="19" spans="1:8" x14ac:dyDescent="0.25">
      <c r="A19" s="8">
        <v>43016.173819444448</v>
      </c>
      <c r="B19" s="20" t="s">
        <v>595</v>
      </c>
      <c r="C19" s="20" t="s">
        <v>646</v>
      </c>
      <c r="D19" s="138">
        <v>1100000</v>
      </c>
      <c r="E19" s="20" t="s">
        <v>465</v>
      </c>
      <c r="F19" s="20" t="s">
        <v>466</v>
      </c>
      <c r="G19" s="8" t="str">
        <f t="shared" si="0"/>
        <v>GEBRETEKLE DAGNEW</v>
      </c>
      <c r="H19" s="20" t="str">
        <f t="shared" si="1"/>
        <v>4035</v>
      </c>
    </row>
    <row r="20" spans="1:8" x14ac:dyDescent="0.25">
      <c r="A20" s="8">
        <v>43016.176134259258</v>
      </c>
      <c r="B20" s="20" t="s">
        <v>606</v>
      </c>
      <c r="C20" s="20" t="s">
        <v>645</v>
      </c>
      <c r="D20" s="138">
        <v>3300000</v>
      </c>
      <c r="E20" s="20" t="s">
        <v>641</v>
      </c>
      <c r="F20" s="20" t="s">
        <v>642</v>
      </c>
      <c r="G20" s="8" t="str">
        <f t="shared" si="0"/>
        <v>LANGERAK WILLIAM</v>
      </c>
      <c r="H20" s="20" t="str">
        <f t="shared" si="1"/>
        <v>4050</v>
      </c>
    </row>
    <row r="21" spans="1:8" x14ac:dyDescent="0.25">
      <c r="A21" s="8">
        <v>43016.185324074075</v>
      </c>
      <c r="B21" s="20" t="s">
        <v>455</v>
      </c>
      <c r="C21" s="20" t="s">
        <v>647</v>
      </c>
      <c r="D21" s="138">
        <v>2530000</v>
      </c>
      <c r="E21" s="20" t="s">
        <v>643</v>
      </c>
      <c r="F21" s="20" t="s">
        <v>644</v>
      </c>
      <c r="G21" s="8" t="str">
        <f t="shared" si="0"/>
        <v>LALONDE GREGORY</v>
      </c>
      <c r="H21" s="20" t="str">
        <f t="shared" si="1"/>
        <v>4066</v>
      </c>
    </row>
    <row r="22" spans="1:8" x14ac:dyDescent="0.25">
      <c r="A22" s="26">
        <v>43016.190694444442</v>
      </c>
      <c r="B22" s="20" t="s">
        <v>497</v>
      </c>
      <c r="C22" s="20" t="s">
        <v>648</v>
      </c>
      <c r="D22" s="138">
        <v>2010000</v>
      </c>
      <c r="E22" s="20" t="s">
        <v>505</v>
      </c>
      <c r="F22" s="20" t="s">
        <v>506</v>
      </c>
      <c r="G22" s="8" t="str">
        <f t="shared" si="0"/>
        <v>MAELZER KURT</v>
      </c>
      <c r="H22" s="20" t="str">
        <f t="shared" si="1"/>
        <v>4001</v>
      </c>
    </row>
    <row r="23" spans="1:8" x14ac:dyDescent="0.25">
      <c r="A23" s="8">
        <v>43016.194479166668</v>
      </c>
      <c r="B23" s="20" t="s">
        <v>600</v>
      </c>
      <c r="C23" s="20" t="s">
        <v>649</v>
      </c>
      <c r="D23" s="138">
        <v>1100000</v>
      </c>
      <c r="E23" s="20" t="s">
        <v>465</v>
      </c>
      <c r="F23" s="20" t="s">
        <v>466</v>
      </c>
      <c r="G23" s="8" t="str">
        <f t="shared" si="0"/>
        <v>GEBRETEKLE DAGNEW</v>
      </c>
      <c r="H23" s="20" t="str">
        <f t="shared" si="1"/>
        <v>4036</v>
      </c>
    </row>
    <row r="24" spans="1:8" x14ac:dyDescent="0.25">
      <c r="A24" s="8">
        <v>43016.198136574072</v>
      </c>
      <c r="B24" s="20" t="s">
        <v>650</v>
      </c>
      <c r="C24" s="20" t="s">
        <v>651</v>
      </c>
      <c r="D24" s="138">
        <v>3040000</v>
      </c>
      <c r="E24" s="20" t="s">
        <v>507</v>
      </c>
      <c r="F24" s="20" t="s">
        <v>508</v>
      </c>
      <c r="G24" s="8" t="str">
        <f t="shared" si="0"/>
        <v>WILLIAMS DONTE</v>
      </c>
      <c r="H24" s="20" t="str">
        <f t="shared" si="1"/>
        <v>4031</v>
      </c>
    </row>
    <row r="25" spans="1:8" x14ac:dyDescent="0.25">
      <c r="A25" s="8">
        <v>43016.204571759263</v>
      </c>
      <c r="B25" s="20" t="s">
        <v>598</v>
      </c>
      <c r="C25" s="20" t="s">
        <v>652</v>
      </c>
      <c r="D25" s="138">
        <v>3300000</v>
      </c>
      <c r="E25" s="20" t="s">
        <v>641</v>
      </c>
      <c r="F25" s="20" t="s">
        <v>642</v>
      </c>
      <c r="G25" s="8" t="str">
        <f t="shared" si="0"/>
        <v>LANGERAK WILLIAM</v>
      </c>
      <c r="H25" s="20" t="str">
        <f t="shared" si="1"/>
        <v>4049</v>
      </c>
    </row>
    <row r="26" spans="1:8" x14ac:dyDescent="0.25">
      <c r="A26" s="8">
        <v>43016.205914351849</v>
      </c>
      <c r="B26" s="20" t="s">
        <v>500</v>
      </c>
      <c r="C26" s="20" t="s">
        <v>590</v>
      </c>
      <c r="D26" s="138">
        <v>3120000</v>
      </c>
      <c r="E26" s="20" t="s">
        <v>632</v>
      </c>
      <c r="F26" s="20" t="s">
        <v>633</v>
      </c>
      <c r="G26" s="8" t="str">
        <f t="shared" si="0"/>
        <v>THOMPSON LESTER</v>
      </c>
      <c r="H26" s="20" t="str">
        <f t="shared" si="1"/>
        <v>4016</v>
      </c>
    </row>
    <row r="27" spans="1:8" x14ac:dyDescent="0.25">
      <c r="A27" s="8">
        <v>43016.213923611111</v>
      </c>
      <c r="B27" s="20" t="s">
        <v>462</v>
      </c>
      <c r="C27" s="20" t="s">
        <v>653</v>
      </c>
      <c r="D27" s="138">
        <v>2530000</v>
      </c>
      <c r="E27" s="20" t="s">
        <v>643</v>
      </c>
      <c r="F27" s="20" t="s">
        <v>644</v>
      </c>
      <c r="G27" s="8" t="str">
        <f t="shared" si="0"/>
        <v>LALONDE GREGORY</v>
      </c>
      <c r="H27" s="20" t="str">
        <f t="shared" si="1"/>
        <v>4065</v>
      </c>
    </row>
    <row r="28" spans="1:8" x14ac:dyDescent="0.25">
      <c r="A28" s="8">
        <v>43016.214629629627</v>
      </c>
      <c r="B28" s="20" t="s">
        <v>591</v>
      </c>
      <c r="C28" s="20" t="s">
        <v>654</v>
      </c>
      <c r="D28" s="138">
        <v>3040000</v>
      </c>
      <c r="E28" s="20" t="s">
        <v>507</v>
      </c>
      <c r="F28" s="20" t="s">
        <v>508</v>
      </c>
      <c r="G28" s="8" t="str">
        <f t="shared" si="0"/>
        <v>WILLIAMS DONTE</v>
      </c>
      <c r="H28" s="20" t="str">
        <f t="shared" si="1"/>
        <v>4032</v>
      </c>
    </row>
    <row r="29" spans="1:8" x14ac:dyDescent="0.25">
      <c r="A29" s="8">
        <v>43016.222812499997</v>
      </c>
      <c r="B29" s="20" t="s">
        <v>391</v>
      </c>
      <c r="C29" s="20" t="s">
        <v>655</v>
      </c>
      <c r="D29" s="138">
        <v>2560000</v>
      </c>
      <c r="E29" s="20" t="s">
        <v>656</v>
      </c>
      <c r="F29" s="20" t="s">
        <v>657</v>
      </c>
      <c r="G29" s="8" t="str">
        <f t="shared" si="0"/>
        <v>MACDONALD THOMAS</v>
      </c>
      <c r="H29" s="20" t="str">
        <f t="shared" si="1"/>
        <v>4064</v>
      </c>
    </row>
    <row r="30" spans="1:8" x14ac:dyDescent="0.25">
      <c r="A30" s="8">
        <v>43016.223703703705</v>
      </c>
      <c r="B30" s="20" t="s">
        <v>391</v>
      </c>
      <c r="C30" s="20" t="s">
        <v>655</v>
      </c>
      <c r="D30" s="138">
        <v>2560000</v>
      </c>
      <c r="E30" s="20" t="s">
        <v>656</v>
      </c>
      <c r="F30" s="20" t="s">
        <v>657</v>
      </c>
      <c r="G30" s="8" t="str">
        <f t="shared" si="0"/>
        <v>MACDONALD THOMAS</v>
      </c>
      <c r="H30" s="20" t="str">
        <f t="shared" si="1"/>
        <v>4064</v>
      </c>
    </row>
    <row r="31" spans="1:8" x14ac:dyDescent="0.25">
      <c r="A31" s="8">
        <v>43016.224618055552</v>
      </c>
      <c r="B31" s="20" t="s">
        <v>587</v>
      </c>
      <c r="C31" s="20" t="s">
        <v>588</v>
      </c>
      <c r="D31" s="138">
        <v>3090000</v>
      </c>
      <c r="E31" s="20" t="s">
        <v>658</v>
      </c>
      <c r="F31" s="20" t="s">
        <v>659</v>
      </c>
      <c r="G31" s="8" t="str">
        <f t="shared" si="0"/>
        <v>LAMAR NEKESHA</v>
      </c>
      <c r="H31" s="20" t="str">
        <f t="shared" si="1"/>
        <v>4005</v>
      </c>
    </row>
    <row r="32" spans="1:8" x14ac:dyDescent="0.25">
      <c r="A32" s="8">
        <v>43016.224629629629</v>
      </c>
      <c r="B32" s="20" t="s">
        <v>425</v>
      </c>
      <c r="C32" s="20" t="s">
        <v>660</v>
      </c>
      <c r="D32" s="138">
        <v>2010000</v>
      </c>
      <c r="E32" s="20" t="s">
        <v>505</v>
      </c>
      <c r="F32" s="20" t="s">
        <v>506</v>
      </c>
      <c r="G32" s="8" t="str">
        <f t="shared" si="0"/>
        <v>MAELZER KURT</v>
      </c>
      <c r="H32" s="20" t="str">
        <f t="shared" si="1"/>
        <v>4002</v>
      </c>
    </row>
    <row r="33" spans="1:8" x14ac:dyDescent="0.25">
      <c r="A33" s="8">
        <v>43016.225416666668</v>
      </c>
      <c r="B33" s="20" t="s">
        <v>595</v>
      </c>
      <c r="C33" s="20" t="s">
        <v>661</v>
      </c>
      <c r="D33" s="138">
        <v>1100000</v>
      </c>
      <c r="E33" s="20" t="s">
        <v>465</v>
      </c>
      <c r="F33" s="20" t="s">
        <v>466</v>
      </c>
      <c r="G33" s="8" t="str">
        <f t="shared" si="0"/>
        <v>GEBRETEKLE DAGNEW</v>
      </c>
      <c r="H33" s="20" t="str">
        <f t="shared" si="1"/>
        <v>4035</v>
      </c>
    </row>
    <row r="34" spans="1:8" x14ac:dyDescent="0.25">
      <c r="A34" s="8">
        <v>43016.230520833335</v>
      </c>
      <c r="B34" s="20" t="s">
        <v>587</v>
      </c>
      <c r="C34" s="20" t="s">
        <v>588</v>
      </c>
      <c r="D34" s="138">
        <v>3090000</v>
      </c>
      <c r="E34" s="20" t="s">
        <v>658</v>
      </c>
      <c r="F34" s="20" t="s">
        <v>659</v>
      </c>
      <c r="G34" s="8" t="str">
        <f t="shared" si="0"/>
        <v>LAMAR NEKESHA</v>
      </c>
      <c r="H34" s="20" t="str">
        <f t="shared" si="1"/>
        <v>4005</v>
      </c>
    </row>
    <row r="35" spans="1:8" x14ac:dyDescent="0.25">
      <c r="A35" s="8">
        <v>43016.236550925925</v>
      </c>
      <c r="B35" s="20" t="s">
        <v>389</v>
      </c>
      <c r="C35" s="20" t="s">
        <v>662</v>
      </c>
      <c r="D35" s="138">
        <v>2560000</v>
      </c>
      <c r="E35" s="20" t="s">
        <v>656</v>
      </c>
      <c r="F35" s="20" t="s">
        <v>657</v>
      </c>
      <c r="G35" s="8" t="str">
        <f t="shared" si="0"/>
        <v>MACDONALD THOMAS</v>
      </c>
      <c r="H35" s="20" t="str">
        <f t="shared" si="1"/>
        <v>4063</v>
      </c>
    </row>
    <row r="36" spans="1:8" x14ac:dyDescent="0.25">
      <c r="A36" s="8">
        <v>43016.236631944441</v>
      </c>
      <c r="B36" s="20" t="s">
        <v>500</v>
      </c>
      <c r="C36" s="20" t="s">
        <v>663</v>
      </c>
      <c r="D36" s="138">
        <v>3120000</v>
      </c>
      <c r="E36" s="20" t="s">
        <v>632</v>
      </c>
      <c r="F36" s="20" t="s">
        <v>633</v>
      </c>
      <c r="G36" s="8" t="str">
        <f t="shared" si="0"/>
        <v>THOMPSON LESTER</v>
      </c>
      <c r="H36" s="20" t="str">
        <f t="shared" si="1"/>
        <v>4016</v>
      </c>
    </row>
    <row r="37" spans="1:8" x14ac:dyDescent="0.25">
      <c r="A37" s="8">
        <v>43016.23951388889</v>
      </c>
      <c r="B37" s="20" t="s">
        <v>664</v>
      </c>
      <c r="C37" s="20" t="s">
        <v>665</v>
      </c>
      <c r="D37" s="138">
        <v>3090000</v>
      </c>
      <c r="E37" s="20" t="s">
        <v>658</v>
      </c>
      <c r="F37" s="20" t="s">
        <v>659</v>
      </c>
      <c r="G37" s="8" t="str">
        <f t="shared" si="0"/>
        <v>LAMAR NEKESHA</v>
      </c>
      <c r="H37" s="20" t="str">
        <f t="shared" si="1"/>
        <v>4006</v>
      </c>
    </row>
    <row r="38" spans="1:8" x14ac:dyDescent="0.25">
      <c r="A38" s="8">
        <v>43016.244780092595</v>
      </c>
      <c r="B38" s="20" t="s">
        <v>501</v>
      </c>
      <c r="C38" s="20" t="s">
        <v>590</v>
      </c>
      <c r="D38" s="138">
        <v>3120000</v>
      </c>
      <c r="E38" s="20" t="s">
        <v>632</v>
      </c>
      <c r="F38" s="20" t="s">
        <v>633</v>
      </c>
      <c r="G38" s="8" t="str">
        <f t="shared" si="0"/>
        <v>THOMPSON LESTER</v>
      </c>
      <c r="H38" s="20" t="str">
        <f t="shared" si="1"/>
        <v>4015</v>
      </c>
    </row>
    <row r="39" spans="1:8" x14ac:dyDescent="0.25">
      <c r="A39" s="8">
        <v>43016.246377314812</v>
      </c>
      <c r="B39" s="20" t="s">
        <v>606</v>
      </c>
      <c r="C39" s="20" t="s">
        <v>666</v>
      </c>
      <c r="D39" s="138">
        <v>3300000</v>
      </c>
      <c r="E39" s="20" t="s">
        <v>641</v>
      </c>
      <c r="F39" s="20" t="s">
        <v>642</v>
      </c>
      <c r="G39" s="8" t="str">
        <f t="shared" si="0"/>
        <v>LANGERAK WILLIAM</v>
      </c>
      <c r="H39" s="20" t="str">
        <f t="shared" si="1"/>
        <v>4050</v>
      </c>
    </row>
    <row r="40" spans="1:8" x14ac:dyDescent="0.25">
      <c r="A40" s="8">
        <v>43016.255127314813</v>
      </c>
      <c r="B40" s="25" t="s">
        <v>650</v>
      </c>
      <c r="C40" s="20" t="s">
        <v>667</v>
      </c>
      <c r="D40" s="138">
        <v>3040000</v>
      </c>
      <c r="E40" s="20" t="s">
        <v>507</v>
      </c>
      <c r="F40" s="20" t="s">
        <v>508</v>
      </c>
      <c r="G40" s="8" t="str">
        <f t="shared" si="0"/>
        <v>WILLIAMS DONTE</v>
      </c>
      <c r="H40" s="20" t="str">
        <f t="shared" si="1"/>
        <v>4031</v>
      </c>
    </row>
    <row r="41" spans="1:8" x14ac:dyDescent="0.25">
      <c r="A41" s="8">
        <v>43016.25571759259</v>
      </c>
      <c r="B41" s="20" t="s">
        <v>391</v>
      </c>
      <c r="C41" s="20" t="s">
        <v>668</v>
      </c>
      <c r="D41" s="138">
        <v>2560000</v>
      </c>
      <c r="E41" s="20" t="s">
        <v>656</v>
      </c>
      <c r="F41" s="20" t="s">
        <v>657</v>
      </c>
      <c r="G41" s="8" t="str">
        <f t="shared" si="0"/>
        <v>MACDONALD THOMAS</v>
      </c>
      <c r="H41" s="20" t="str">
        <f t="shared" si="1"/>
        <v>4064</v>
      </c>
    </row>
    <row r="42" spans="1:8" x14ac:dyDescent="0.25">
      <c r="A42" s="8">
        <v>43016.259467592594</v>
      </c>
      <c r="B42" s="20" t="s">
        <v>455</v>
      </c>
      <c r="C42" s="20" t="s">
        <v>669</v>
      </c>
      <c r="D42" s="138">
        <v>2530000</v>
      </c>
      <c r="E42" s="20" t="s">
        <v>643</v>
      </c>
      <c r="F42" s="20" t="s">
        <v>644</v>
      </c>
      <c r="G42" s="8" t="str">
        <f t="shared" si="0"/>
        <v>LALONDE GREGORY</v>
      </c>
      <c r="H42" s="20" t="str">
        <f t="shared" si="1"/>
        <v>4066</v>
      </c>
    </row>
    <row r="43" spans="1:8" x14ac:dyDescent="0.25">
      <c r="A43" s="8">
        <v>43016.264409722222</v>
      </c>
      <c r="B43" s="20" t="s">
        <v>497</v>
      </c>
      <c r="C43" s="20" t="s">
        <v>670</v>
      </c>
      <c r="D43" s="138">
        <v>2010000</v>
      </c>
      <c r="E43" s="20" t="s">
        <v>505</v>
      </c>
      <c r="F43" s="20" t="s">
        <v>506</v>
      </c>
      <c r="G43" s="8" t="str">
        <f t="shared" si="0"/>
        <v>MAELZER KURT</v>
      </c>
      <c r="H43" s="20" t="str">
        <f t="shared" si="1"/>
        <v>4001</v>
      </c>
    </row>
    <row r="44" spans="1:8" x14ac:dyDescent="0.25">
      <c r="A44" s="8">
        <v>43016.267187500001</v>
      </c>
      <c r="B44" s="20" t="s">
        <v>600</v>
      </c>
      <c r="C44" s="20" t="s">
        <v>671</v>
      </c>
      <c r="D44" s="138">
        <v>1100000</v>
      </c>
      <c r="E44" s="20" t="s">
        <v>465</v>
      </c>
      <c r="F44" s="20" t="s">
        <v>466</v>
      </c>
      <c r="G44" s="8" t="str">
        <f t="shared" si="0"/>
        <v>GEBRETEKLE DAGNEW</v>
      </c>
      <c r="H44" s="20" t="str">
        <f t="shared" si="1"/>
        <v>4036</v>
      </c>
    </row>
    <row r="45" spans="1:8" x14ac:dyDescent="0.25">
      <c r="A45" s="8">
        <v>43016.275659722225</v>
      </c>
      <c r="B45" s="20" t="s">
        <v>389</v>
      </c>
      <c r="C45" s="20" t="s">
        <v>672</v>
      </c>
      <c r="D45" s="138">
        <v>2560000</v>
      </c>
      <c r="E45" s="20" t="s">
        <v>656</v>
      </c>
      <c r="F45" s="20" t="s">
        <v>657</v>
      </c>
      <c r="G45" s="8" t="str">
        <f t="shared" si="0"/>
        <v>MACDONALD THOMAS</v>
      </c>
      <c r="H45" s="20" t="str">
        <f t="shared" si="1"/>
        <v>4063</v>
      </c>
    </row>
    <row r="46" spans="1:8" x14ac:dyDescent="0.25">
      <c r="A46" s="8">
        <v>43016.277002314811</v>
      </c>
      <c r="B46" s="20" t="s">
        <v>598</v>
      </c>
      <c r="C46" s="20" t="s">
        <v>673</v>
      </c>
      <c r="D46" s="138">
        <v>3300000</v>
      </c>
      <c r="E46" s="20" t="s">
        <v>641</v>
      </c>
      <c r="F46" s="20" t="s">
        <v>642</v>
      </c>
      <c r="G46" s="8" t="str">
        <f t="shared" si="0"/>
        <v>LANGERAK WILLIAM</v>
      </c>
      <c r="H46" s="20" t="str">
        <f t="shared" si="1"/>
        <v>4049</v>
      </c>
    </row>
    <row r="47" spans="1:8" x14ac:dyDescent="0.25">
      <c r="A47" s="8">
        <v>43016.277407407404</v>
      </c>
      <c r="B47" s="20" t="s">
        <v>587</v>
      </c>
      <c r="C47" s="20" t="s">
        <v>674</v>
      </c>
      <c r="D47" s="138">
        <v>3090000</v>
      </c>
      <c r="E47" s="20" t="s">
        <v>658</v>
      </c>
      <c r="F47" s="20" t="s">
        <v>659</v>
      </c>
      <c r="G47" s="8" t="str">
        <f t="shared" si="0"/>
        <v>LAMAR NEKESHA</v>
      </c>
      <c r="H47" s="20" t="str">
        <f t="shared" si="1"/>
        <v>4005</v>
      </c>
    </row>
    <row r="48" spans="1:8" x14ac:dyDescent="0.25">
      <c r="A48" s="8">
        <v>43016.277858796297</v>
      </c>
      <c r="B48" s="20" t="s">
        <v>500</v>
      </c>
      <c r="C48" s="20" t="s">
        <v>675</v>
      </c>
      <c r="D48" s="138">
        <v>3120000</v>
      </c>
      <c r="E48" s="20" t="s">
        <v>632</v>
      </c>
      <c r="F48" s="20" t="s">
        <v>633</v>
      </c>
      <c r="G48" s="8" t="str">
        <f t="shared" si="0"/>
        <v>THOMPSON LESTER</v>
      </c>
      <c r="H48" s="20" t="str">
        <f t="shared" si="1"/>
        <v>4016</v>
      </c>
    </row>
    <row r="49" spans="1:8" x14ac:dyDescent="0.25">
      <c r="A49" s="8">
        <v>43016.287118055552</v>
      </c>
      <c r="B49" s="20" t="s">
        <v>591</v>
      </c>
      <c r="C49" s="20" t="s">
        <v>592</v>
      </c>
      <c r="D49" s="138">
        <v>3040000</v>
      </c>
      <c r="E49" s="20" t="s">
        <v>507</v>
      </c>
      <c r="F49" s="20" t="s">
        <v>508</v>
      </c>
      <c r="G49" s="8" t="str">
        <f t="shared" si="0"/>
        <v>WILLIAMS DONTE</v>
      </c>
      <c r="H49" s="20" t="str">
        <f t="shared" si="1"/>
        <v>4032</v>
      </c>
    </row>
    <row r="50" spans="1:8" x14ac:dyDescent="0.25">
      <c r="A50" s="8">
        <v>43016.287187499998</v>
      </c>
      <c r="B50" s="20" t="s">
        <v>462</v>
      </c>
      <c r="C50" s="20" t="s">
        <v>676</v>
      </c>
      <c r="D50" s="138">
        <v>2530000</v>
      </c>
      <c r="E50" s="20" t="s">
        <v>643</v>
      </c>
      <c r="F50" s="20" t="s">
        <v>644</v>
      </c>
      <c r="G50" s="8" t="str">
        <f t="shared" si="0"/>
        <v>LALONDE GREGORY</v>
      </c>
      <c r="H50" s="20" t="str">
        <f t="shared" si="1"/>
        <v>4065</v>
      </c>
    </row>
    <row r="51" spans="1:8" x14ac:dyDescent="0.25">
      <c r="A51" s="8">
        <v>43016.294456018521</v>
      </c>
      <c r="B51" s="20" t="s">
        <v>391</v>
      </c>
      <c r="C51" s="20" t="s">
        <v>677</v>
      </c>
      <c r="D51" s="138">
        <v>2560000</v>
      </c>
      <c r="E51" s="20" t="s">
        <v>656</v>
      </c>
      <c r="F51" s="20" t="s">
        <v>657</v>
      </c>
      <c r="G51" s="8" t="str">
        <f t="shared" si="0"/>
        <v>MACDONALD THOMAS</v>
      </c>
      <c r="H51" s="20" t="str">
        <f t="shared" si="1"/>
        <v>4064</v>
      </c>
    </row>
    <row r="52" spans="1:8" x14ac:dyDescent="0.25">
      <c r="A52" s="8">
        <v>43016.297696759262</v>
      </c>
      <c r="B52" s="20" t="s">
        <v>425</v>
      </c>
      <c r="C52" s="20" t="s">
        <v>678</v>
      </c>
      <c r="D52" s="138">
        <v>2010000</v>
      </c>
      <c r="E52" s="20" t="s">
        <v>505</v>
      </c>
      <c r="F52" s="20" t="s">
        <v>506</v>
      </c>
      <c r="G52" s="8" t="str">
        <f t="shared" si="0"/>
        <v>MAELZER KURT</v>
      </c>
      <c r="H52" s="20" t="str">
        <f t="shared" si="1"/>
        <v>4002</v>
      </c>
    </row>
    <row r="53" spans="1:8" x14ac:dyDescent="0.25">
      <c r="A53" s="8">
        <v>43016.297962962963</v>
      </c>
      <c r="B53" s="20" t="s">
        <v>595</v>
      </c>
      <c r="C53" s="20" t="s">
        <v>679</v>
      </c>
      <c r="D53" s="138">
        <v>1100000</v>
      </c>
      <c r="E53" s="20" t="s">
        <v>465</v>
      </c>
      <c r="F53" s="20" t="s">
        <v>466</v>
      </c>
      <c r="G53" s="8" t="str">
        <f t="shared" si="0"/>
        <v>GEBRETEKLE DAGNEW</v>
      </c>
      <c r="H53" s="20" t="str">
        <f t="shared" si="1"/>
        <v>4035</v>
      </c>
    </row>
    <row r="54" spans="1:8" x14ac:dyDescent="0.25">
      <c r="A54" s="8">
        <v>43016.30704861111</v>
      </c>
      <c r="B54" s="20" t="s">
        <v>664</v>
      </c>
      <c r="C54" s="20" t="s">
        <v>680</v>
      </c>
      <c r="D54" s="138">
        <v>3090000</v>
      </c>
      <c r="E54" s="20" t="s">
        <v>658</v>
      </c>
      <c r="F54" s="20" t="s">
        <v>659</v>
      </c>
      <c r="G54" s="8" t="str">
        <f t="shared" si="0"/>
        <v>LAMAR NEKESHA</v>
      </c>
      <c r="H54" s="20" t="str">
        <f t="shared" si="1"/>
        <v>4006</v>
      </c>
    </row>
    <row r="55" spans="1:8" x14ac:dyDescent="0.25">
      <c r="A55" s="8">
        <v>43016.309513888889</v>
      </c>
      <c r="B55" s="20" t="s">
        <v>389</v>
      </c>
      <c r="C55" s="20" t="s">
        <v>593</v>
      </c>
      <c r="D55" s="138">
        <v>2560000</v>
      </c>
      <c r="E55" s="20" t="s">
        <v>656</v>
      </c>
      <c r="F55" s="20" t="s">
        <v>657</v>
      </c>
      <c r="G55" s="8" t="str">
        <f t="shared" si="0"/>
        <v>MACDONALD THOMAS</v>
      </c>
      <c r="H55" s="20" t="str">
        <f t="shared" si="1"/>
        <v>4063</v>
      </c>
    </row>
    <row r="56" spans="1:8" x14ac:dyDescent="0.25">
      <c r="A56" s="8">
        <v>43016.317939814813</v>
      </c>
      <c r="B56" s="20" t="s">
        <v>606</v>
      </c>
      <c r="C56" s="20" t="s">
        <v>681</v>
      </c>
      <c r="D56" s="138">
        <v>3300000</v>
      </c>
      <c r="E56" s="20" t="s">
        <v>641</v>
      </c>
      <c r="F56" s="20" t="s">
        <v>642</v>
      </c>
      <c r="G56" s="8" t="str">
        <f t="shared" si="0"/>
        <v>LANGERAK WILLIAM</v>
      </c>
      <c r="H56" s="20" t="str">
        <f t="shared" si="1"/>
        <v>4050</v>
      </c>
    </row>
    <row r="57" spans="1:8" x14ac:dyDescent="0.25">
      <c r="A57" s="8">
        <v>43016.31821759259</v>
      </c>
      <c r="B57" s="20" t="s">
        <v>501</v>
      </c>
      <c r="C57" s="20" t="s">
        <v>594</v>
      </c>
      <c r="D57" s="138">
        <v>3120000</v>
      </c>
      <c r="E57" s="20" t="s">
        <v>632</v>
      </c>
      <c r="F57" s="20" t="s">
        <v>633</v>
      </c>
      <c r="G57" s="8" t="str">
        <f t="shared" si="0"/>
        <v>THOMPSON LESTER</v>
      </c>
      <c r="H57" s="20" t="str">
        <f t="shared" si="1"/>
        <v>4015</v>
      </c>
    </row>
    <row r="58" spans="1:8" x14ac:dyDescent="0.25">
      <c r="A58" s="8">
        <v>43016.329085648147</v>
      </c>
      <c r="B58" s="20" t="s">
        <v>635</v>
      </c>
      <c r="C58" s="20" t="s">
        <v>682</v>
      </c>
      <c r="D58" s="138">
        <v>2370000</v>
      </c>
      <c r="E58" s="20" t="s">
        <v>469</v>
      </c>
      <c r="F58" s="20" t="s">
        <v>470</v>
      </c>
      <c r="G58" s="8" t="str">
        <f t="shared" si="0"/>
        <v>DELGADO DIANAH</v>
      </c>
      <c r="H58" s="20" t="str">
        <f t="shared" si="1"/>
        <v>4060</v>
      </c>
    </row>
    <row r="59" spans="1:8" x14ac:dyDescent="0.25">
      <c r="A59" s="8">
        <v>43016.330613425926</v>
      </c>
      <c r="B59" s="20" t="s">
        <v>650</v>
      </c>
      <c r="C59" s="20" t="s">
        <v>683</v>
      </c>
      <c r="D59" s="138">
        <v>3040000</v>
      </c>
      <c r="E59" s="20" t="s">
        <v>507</v>
      </c>
      <c r="F59" s="20" t="s">
        <v>508</v>
      </c>
      <c r="G59" s="8" t="str">
        <f t="shared" si="0"/>
        <v>WILLIAMS DONTE</v>
      </c>
      <c r="H59" s="20" t="str">
        <f t="shared" si="1"/>
        <v>4031</v>
      </c>
    </row>
    <row r="60" spans="1:8" x14ac:dyDescent="0.25">
      <c r="A60" s="8">
        <v>43016.330625000002</v>
      </c>
      <c r="B60" s="20" t="s">
        <v>455</v>
      </c>
      <c r="C60" s="20" t="s">
        <v>684</v>
      </c>
      <c r="D60" s="138">
        <v>2530000</v>
      </c>
      <c r="E60" s="20" t="s">
        <v>643</v>
      </c>
      <c r="F60" s="20" t="s">
        <v>644</v>
      </c>
      <c r="G60" s="8" t="str">
        <f t="shared" si="0"/>
        <v>LALONDE GREGORY</v>
      </c>
      <c r="H60" s="20" t="str">
        <f t="shared" si="1"/>
        <v>4066</v>
      </c>
    </row>
    <row r="61" spans="1:8" x14ac:dyDescent="0.25">
      <c r="A61" s="8">
        <v>43016.331782407404</v>
      </c>
      <c r="B61" s="20" t="s">
        <v>583</v>
      </c>
      <c r="C61" s="20" t="s">
        <v>682</v>
      </c>
      <c r="D61" s="138">
        <v>2370000</v>
      </c>
      <c r="E61" s="20" t="s">
        <v>469</v>
      </c>
      <c r="F61" s="20" t="s">
        <v>470</v>
      </c>
      <c r="G61" s="8" t="str">
        <f t="shared" si="0"/>
        <v>DELGADO DIANAH</v>
      </c>
      <c r="H61" s="20" t="str">
        <f t="shared" si="1"/>
        <v>4059</v>
      </c>
    </row>
    <row r="62" spans="1:8" x14ac:dyDescent="0.25">
      <c r="A62" s="8">
        <v>43016.333043981482</v>
      </c>
      <c r="B62" s="20" t="s">
        <v>583</v>
      </c>
      <c r="C62" s="20" t="s">
        <v>682</v>
      </c>
      <c r="D62" s="138">
        <v>2370000</v>
      </c>
      <c r="E62" s="20" t="s">
        <v>469</v>
      </c>
      <c r="F62" s="20" t="s">
        <v>470</v>
      </c>
      <c r="G62" s="8" t="str">
        <f t="shared" si="0"/>
        <v>DELGADO DIANAH</v>
      </c>
      <c r="H62" s="20" t="str">
        <f t="shared" si="1"/>
        <v>4059</v>
      </c>
    </row>
    <row r="63" spans="1:8" x14ac:dyDescent="0.25">
      <c r="A63" s="8">
        <v>43016.337291666663</v>
      </c>
      <c r="B63" s="20" t="s">
        <v>635</v>
      </c>
      <c r="C63" s="20" t="s">
        <v>685</v>
      </c>
      <c r="D63" s="138">
        <v>2370000</v>
      </c>
      <c r="E63" s="20" t="s">
        <v>469</v>
      </c>
      <c r="F63" s="20" t="s">
        <v>470</v>
      </c>
      <c r="G63" s="8" t="str">
        <f t="shared" si="0"/>
        <v>DELGADO DIANAH</v>
      </c>
      <c r="H63" s="20" t="str">
        <f t="shared" si="1"/>
        <v>4060</v>
      </c>
    </row>
    <row r="64" spans="1:8" x14ac:dyDescent="0.25">
      <c r="A64" s="26">
        <v>43016.338148148148</v>
      </c>
      <c r="B64" s="20" t="s">
        <v>391</v>
      </c>
      <c r="C64" s="20" t="s">
        <v>686</v>
      </c>
      <c r="D64" s="138">
        <v>2560000</v>
      </c>
      <c r="E64" s="20" t="s">
        <v>656</v>
      </c>
      <c r="F64" s="20" t="s">
        <v>657</v>
      </c>
      <c r="G64" s="8" t="str">
        <f t="shared" si="0"/>
        <v>MACDONALD THOMAS</v>
      </c>
      <c r="H64" s="20" t="str">
        <f t="shared" si="1"/>
        <v>4064</v>
      </c>
    </row>
    <row r="65" spans="1:8" x14ac:dyDescent="0.25">
      <c r="A65" s="8">
        <v>43016.339270833334</v>
      </c>
      <c r="B65" s="20" t="s">
        <v>497</v>
      </c>
      <c r="C65" s="20" t="s">
        <v>687</v>
      </c>
      <c r="D65" s="138">
        <v>2010000</v>
      </c>
      <c r="E65" s="20" t="s">
        <v>505</v>
      </c>
      <c r="F65" s="20" t="s">
        <v>506</v>
      </c>
      <c r="G65" s="8" t="str">
        <f t="shared" si="0"/>
        <v>MAELZER KURT</v>
      </c>
      <c r="H65" s="20" t="str">
        <f t="shared" si="1"/>
        <v>4001</v>
      </c>
    </row>
    <row r="66" spans="1:8" x14ac:dyDescent="0.25">
      <c r="A66" s="8">
        <v>43016.341168981482</v>
      </c>
      <c r="B66" s="20" t="s">
        <v>376</v>
      </c>
      <c r="C66" s="20" t="s">
        <v>688</v>
      </c>
      <c r="D66" s="138">
        <v>2440000</v>
      </c>
      <c r="E66" s="20" t="s">
        <v>689</v>
      </c>
      <c r="F66" s="20" t="s">
        <v>690</v>
      </c>
      <c r="G66" s="8" t="str">
        <f t="shared" si="0"/>
        <v>LOPES KIMBERLY</v>
      </c>
      <c r="H66" s="20" t="str">
        <f t="shared" si="1"/>
        <v>4058</v>
      </c>
    </row>
    <row r="67" spans="1:8" x14ac:dyDescent="0.25">
      <c r="A67" s="8">
        <v>43016.349178240744</v>
      </c>
      <c r="B67" s="20" t="s">
        <v>600</v>
      </c>
      <c r="C67" s="20" t="s">
        <v>691</v>
      </c>
      <c r="D67" s="138">
        <v>2440000</v>
      </c>
      <c r="E67" s="20" t="s">
        <v>689</v>
      </c>
      <c r="F67" s="20" t="s">
        <v>690</v>
      </c>
      <c r="G67" s="8" t="str">
        <f t="shared" ref="G67:G130" si="2">E67&amp;" "&amp;F67</f>
        <v>LOPES KIMBERLY</v>
      </c>
      <c r="H67" s="20" t="str">
        <f t="shared" ref="H67:H130" si="3">MID(B67,13,4)</f>
        <v>4036</v>
      </c>
    </row>
    <row r="68" spans="1:8" x14ac:dyDescent="0.25">
      <c r="A68" s="8">
        <v>43016.349849537037</v>
      </c>
      <c r="B68" s="20" t="s">
        <v>389</v>
      </c>
      <c r="C68" s="20" t="s">
        <v>692</v>
      </c>
      <c r="D68" s="138">
        <v>2560000</v>
      </c>
      <c r="E68" s="20" t="s">
        <v>656</v>
      </c>
      <c r="F68" s="20" t="s">
        <v>657</v>
      </c>
      <c r="G68" s="8" t="str">
        <f t="shared" si="2"/>
        <v>MACDONALD THOMAS</v>
      </c>
      <c r="H68" s="20" t="str">
        <f t="shared" si="3"/>
        <v>4063</v>
      </c>
    </row>
    <row r="69" spans="1:8" x14ac:dyDescent="0.25">
      <c r="A69" s="8">
        <v>43016.349907407406</v>
      </c>
      <c r="B69" s="20" t="s">
        <v>587</v>
      </c>
      <c r="C69" s="20" t="s">
        <v>693</v>
      </c>
      <c r="D69" s="138">
        <v>3090000</v>
      </c>
      <c r="E69" s="20" t="s">
        <v>658</v>
      </c>
      <c r="F69" s="20" t="s">
        <v>659</v>
      </c>
      <c r="G69" s="8" t="str">
        <f t="shared" si="2"/>
        <v>LAMAR NEKESHA</v>
      </c>
      <c r="H69" s="20" t="str">
        <f t="shared" si="3"/>
        <v>4005</v>
      </c>
    </row>
    <row r="70" spans="1:8" x14ac:dyDescent="0.25">
      <c r="A70" s="8">
        <v>43016.351053240738</v>
      </c>
      <c r="B70" s="20" t="s">
        <v>598</v>
      </c>
      <c r="C70" s="20" t="s">
        <v>694</v>
      </c>
      <c r="D70" s="138">
        <v>3300000</v>
      </c>
      <c r="E70" s="20" t="s">
        <v>641</v>
      </c>
      <c r="F70" s="20" t="s">
        <v>642</v>
      </c>
      <c r="G70" s="8" t="str">
        <f t="shared" si="2"/>
        <v>LANGERAK WILLIAM</v>
      </c>
      <c r="H70" s="20" t="str">
        <f t="shared" si="3"/>
        <v>4049</v>
      </c>
    </row>
    <row r="71" spans="1:8" x14ac:dyDescent="0.25">
      <c r="A71" s="8">
        <v>43016.359606481485</v>
      </c>
      <c r="B71" s="20" t="s">
        <v>462</v>
      </c>
      <c r="C71" s="20" t="s">
        <v>695</v>
      </c>
      <c r="D71" s="138">
        <v>2530000</v>
      </c>
      <c r="E71" s="20" t="s">
        <v>643</v>
      </c>
      <c r="F71" s="20" t="s">
        <v>644</v>
      </c>
      <c r="G71" s="8" t="str">
        <f t="shared" si="2"/>
        <v>LALONDE GREGORY</v>
      </c>
      <c r="H71" s="20" t="str">
        <f t="shared" si="3"/>
        <v>4065</v>
      </c>
    </row>
    <row r="72" spans="1:8" x14ac:dyDescent="0.25">
      <c r="A72" s="8">
        <v>43016.365208333336</v>
      </c>
      <c r="B72" s="20" t="s">
        <v>500</v>
      </c>
      <c r="C72" s="20" t="s">
        <v>696</v>
      </c>
      <c r="D72" s="138">
        <v>3040000</v>
      </c>
      <c r="E72" s="20" t="s">
        <v>507</v>
      </c>
      <c r="F72" s="20" t="s">
        <v>508</v>
      </c>
      <c r="G72" s="8" t="str">
        <f t="shared" si="2"/>
        <v>WILLIAMS DONTE</v>
      </c>
      <c r="H72" s="20" t="str">
        <f t="shared" si="3"/>
        <v>4016</v>
      </c>
    </row>
    <row r="73" spans="1:8" x14ac:dyDescent="0.25">
      <c r="A73" s="8">
        <v>43016.370486111111</v>
      </c>
      <c r="B73" s="20" t="s">
        <v>425</v>
      </c>
      <c r="C73" s="20" t="s">
        <v>697</v>
      </c>
      <c r="D73" s="138">
        <v>2010000</v>
      </c>
      <c r="E73" s="20" t="s">
        <v>505</v>
      </c>
      <c r="F73" s="20" t="s">
        <v>506</v>
      </c>
      <c r="G73" s="8" t="str">
        <f t="shared" si="2"/>
        <v>MAELZER KURT</v>
      </c>
      <c r="H73" s="20" t="str">
        <f t="shared" si="3"/>
        <v>4002</v>
      </c>
    </row>
    <row r="74" spans="1:8" x14ac:dyDescent="0.25">
      <c r="A74" s="8">
        <v>43016.376203703701</v>
      </c>
      <c r="B74" s="20" t="s">
        <v>583</v>
      </c>
      <c r="C74" s="20" t="s">
        <v>698</v>
      </c>
      <c r="D74" s="138">
        <v>2370000</v>
      </c>
      <c r="E74" s="20" t="s">
        <v>469</v>
      </c>
      <c r="F74" s="20" t="s">
        <v>470</v>
      </c>
      <c r="G74" s="8" t="str">
        <f t="shared" si="2"/>
        <v>DELGADO DIANAH</v>
      </c>
      <c r="H74" s="20" t="str">
        <f t="shared" si="3"/>
        <v>4059</v>
      </c>
    </row>
    <row r="75" spans="1:8" x14ac:dyDescent="0.25">
      <c r="A75" s="8">
        <v>43016.379502314812</v>
      </c>
      <c r="B75" s="20" t="s">
        <v>391</v>
      </c>
      <c r="C75" s="20" t="s">
        <v>699</v>
      </c>
      <c r="D75" s="138">
        <v>2560000</v>
      </c>
      <c r="E75" s="20" t="s">
        <v>656</v>
      </c>
      <c r="F75" s="20" t="s">
        <v>657</v>
      </c>
      <c r="G75" s="8" t="str">
        <f t="shared" si="2"/>
        <v>MACDONALD THOMAS</v>
      </c>
      <c r="H75" s="20" t="str">
        <f t="shared" si="3"/>
        <v>4064</v>
      </c>
    </row>
    <row r="76" spans="1:8" x14ac:dyDescent="0.25">
      <c r="A76" s="8">
        <v>43016.382881944446</v>
      </c>
      <c r="B76" s="20" t="s">
        <v>664</v>
      </c>
      <c r="C76" s="20" t="s">
        <v>700</v>
      </c>
      <c r="D76" s="138">
        <v>3090000</v>
      </c>
      <c r="E76" s="20" t="s">
        <v>658</v>
      </c>
      <c r="F76" s="20" t="s">
        <v>659</v>
      </c>
      <c r="G76" s="8" t="str">
        <f t="shared" si="2"/>
        <v>LAMAR NEKESHA</v>
      </c>
      <c r="H76" s="20" t="str">
        <f t="shared" si="3"/>
        <v>4006</v>
      </c>
    </row>
    <row r="77" spans="1:8" x14ac:dyDescent="0.25">
      <c r="A77" s="8">
        <v>43016.388553240744</v>
      </c>
      <c r="B77" s="20" t="s">
        <v>595</v>
      </c>
      <c r="C77" s="20" t="s">
        <v>596</v>
      </c>
      <c r="D77" s="138">
        <v>2440000</v>
      </c>
      <c r="E77" s="20" t="s">
        <v>689</v>
      </c>
      <c r="F77" s="20" t="s">
        <v>690</v>
      </c>
      <c r="G77" s="8" t="str">
        <f t="shared" si="2"/>
        <v>LOPES KIMBERLY</v>
      </c>
      <c r="H77" s="20" t="str">
        <f t="shared" si="3"/>
        <v>4035</v>
      </c>
    </row>
    <row r="78" spans="1:8" x14ac:dyDescent="0.25">
      <c r="A78" s="8">
        <v>43016.391284722224</v>
      </c>
      <c r="B78" s="20" t="s">
        <v>606</v>
      </c>
      <c r="C78" s="20" t="s">
        <v>701</v>
      </c>
      <c r="D78" s="138">
        <v>3300000</v>
      </c>
      <c r="E78" s="20" t="s">
        <v>641</v>
      </c>
      <c r="F78" s="20" t="s">
        <v>642</v>
      </c>
      <c r="G78" s="8" t="str">
        <f t="shared" si="2"/>
        <v>LANGERAK WILLIAM</v>
      </c>
      <c r="H78" s="20" t="str">
        <f t="shared" si="3"/>
        <v>4050</v>
      </c>
    </row>
    <row r="79" spans="1:8" x14ac:dyDescent="0.25">
      <c r="A79" s="8">
        <v>43016.39266203704</v>
      </c>
      <c r="B79" s="20" t="s">
        <v>389</v>
      </c>
      <c r="C79" s="20" t="s">
        <v>702</v>
      </c>
      <c r="D79" s="138">
        <v>2560000</v>
      </c>
      <c r="E79" s="20" t="s">
        <v>656</v>
      </c>
      <c r="F79" s="20" t="s">
        <v>657</v>
      </c>
      <c r="G79" s="8" t="str">
        <f t="shared" si="2"/>
        <v>MACDONALD THOMAS</v>
      </c>
      <c r="H79" s="20" t="str">
        <f t="shared" si="3"/>
        <v>4063</v>
      </c>
    </row>
    <row r="80" spans="1:8" x14ac:dyDescent="0.25">
      <c r="A80" s="8">
        <v>43016.401122685187</v>
      </c>
      <c r="B80" s="20" t="s">
        <v>501</v>
      </c>
      <c r="C80" s="20" t="s">
        <v>703</v>
      </c>
      <c r="D80" s="138">
        <v>3040000</v>
      </c>
      <c r="E80" s="20" t="s">
        <v>507</v>
      </c>
      <c r="F80" s="20" t="s">
        <v>508</v>
      </c>
      <c r="G80" s="8" t="str">
        <f t="shared" si="2"/>
        <v>WILLIAMS DONTE</v>
      </c>
      <c r="H80" s="20" t="str">
        <f t="shared" si="3"/>
        <v>4015</v>
      </c>
    </row>
    <row r="81" spans="1:8" x14ac:dyDescent="0.25">
      <c r="A81" s="8">
        <v>43016.403599537036</v>
      </c>
      <c r="B81" s="20" t="s">
        <v>455</v>
      </c>
      <c r="C81" s="20" t="s">
        <v>704</v>
      </c>
      <c r="D81" s="138">
        <v>2530000</v>
      </c>
      <c r="E81" s="20" t="s">
        <v>643</v>
      </c>
      <c r="F81" s="20" t="s">
        <v>644</v>
      </c>
      <c r="G81" s="8" t="str">
        <f t="shared" si="2"/>
        <v>LALONDE GREGORY</v>
      </c>
      <c r="H81" s="20" t="str">
        <f t="shared" si="3"/>
        <v>4066</v>
      </c>
    </row>
    <row r="82" spans="1:8" x14ac:dyDescent="0.25">
      <c r="A82" s="8">
        <v>43016.412673611114</v>
      </c>
      <c r="B82" s="20" t="s">
        <v>635</v>
      </c>
      <c r="C82" s="20" t="s">
        <v>705</v>
      </c>
      <c r="D82" s="138">
        <v>1100000</v>
      </c>
      <c r="E82" s="20" t="s">
        <v>465</v>
      </c>
      <c r="F82" s="20" t="s">
        <v>466</v>
      </c>
      <c r="G82" s="8" t="str">
        <f t="shared" si="2"/>
        <v>GEBRETEKLE DAGNEW</v>
      </c>
      <c r="H82" s="20" t="str">
        <f t="shared" si="3"/>
        <v>4060</v>
      </c>
    </row>
    <row r="83" spans="1:8" x14ac:dyDescent="0.25">
      <c r="A83" s="8">
        <v>43016.413958333331</v>
      </c>
      <c r="B83" s="20" t="s">
        <v>497</v>
      </c>
      <c r="C83" s="20" t="s">
        <v>706</v>
      </c>
      <c r="D83" s="138">
        <v>2010000</v>
      </c>
      <c r="E83" s="20" t="s">
        <v>505</v>
      </c>
      <c r="F83" s="20" t="s">
        <v>506</v>
      </c>
      <c r="G83" s="8" t="str">
        <f t="shared" si="2"/>
        <v>MAELZER KURT</v>
      </c>
      <c r="H83" s="20" t="str">
        <f t="shared" si="3"/>
        <v>4001</v>
      </c>
    </row>
    <row r="84" spans="1:8" x14ac:dyDescent="0.25">
      <c r="A84" s="8">
        <v>43016.416712962964</v>
      </c>
      <c r="B84" s="20" t="s">
        <v>587</v>
      </c>
      <c r="C84" s="20" t="s">
        <v>707</v>
      </c>
      <c r="D84" s="138">
        <v>3090000</v>
      </c>
      <c r="E84" s="20" t="s">
        <v>658</v>
      </c>
      <c r="F84" s="20" t="s">
        <v>659</v>
      </c>
      <c r="G84" s="8" t="str">
        <f t="shared" si="2"/>
        <v>LAMAR NEKESHA</v>
      </c>
      <c r="H84" s="20" t="str">
        <f t="shared" si="3"/>
        <v>4005</v>
      </c>
    </row>
    <row r="85" spans="1:8" x14ac:dyDescent="0.25">
      <c r="A85" s="8">
        <v>43016.421423611115</v>
      </c>
      <c r="B85" s="20" t="s">
        <v>391</v>
      </c>
      <c r="C85" s="20" t="s">
        <v>708</v>
      </c>
      <c r="D85" s="138">
        <v>2560000</v>
      </c>
      <c r="E85" s="20" t="s">
        <v>656</v>
      </c>
      <c r="F85" s="20" t="s">
        <v>657</v>
      </c>
      <c r="G85" s="8" t="str">
        <f t="shared" si="2"/>
        <v>MACDONALD THOMAS</v>
      </c>
      <c r="H85" s="20" t="str">
        <f t="shared" si="3"/>
        <v>4064</v>
      </c>
    </row>
    <row r="86" spans="1:8" x14ac:dyDescent="0.25">
      <c r="A86" s="8">
        <v>43016.422199074077</v>
      </c>
      <c r="B86" s="20" t="s">
        <v>600</v>
      </c>
      <c r="C86" s="20" t="s">
        <v>709</v>
      </c>
      <c r="D86" s="138">
        <v>2550000</v>
      </c>
      <c r="E86" s="20" t="s">
        <v>509</v>
      </c>
      <c r="F86" s="20" t="s">
        <v>510</v>
      </c>
      <c r="G86" s="8" t="str">
        <f t="shared" si="2"/>
        <v>BADERTSCHER DIANE</v>
      </c>
      <c r="H86" s="20" t="str">
        <f t="shared" si="3"/>
        <v>4036</v>
      </c>
    </row>
    <row r="87" spans="1:8" x14ac:dyDescent="0.25">
      <c r="A87" s="8">
        <v>43016.425023148149</v>
      </c>
      <c r="B87" s="20" t="s">
        <v>598</v>
      </c>
      <c r="C87" s="20" t="s">
        <v>599</v>
      </c>
      <c r="D87" s="138">
        <v>3300000</v>
      </c>
      <c r="E87" s="20" t="s">
        <v>641</v>
      </c>
      <c r="F87" s="20" t="s">
        <v>642</v>
      </c>
      <c r="G87" s="8" t="str">
        <f t="shared" si="2"/>
        <v>LANGERAK WILLIAM</v>
      </c>
      <c r="H87" s="20" t="str">
        <f t="shared" si="3"/>
        <v>4049</v>
      </c>
    </row>
    <row r="88" spans="1:8" x14ac:dyDescent="0.25">
      <c r="A88" s="8">
        <v>43016.432835648149</v>
      </c>
      <c r="B88" s="20" t="s">
        <v>462</v>
      </c>
      <c r="C88" s="20" t="s">
        <v>710</v>
      </c>
      <c r="D88" s="138">
        <v>2530000</v>
      </c>
      <c r="E88" s="20" t="s">
        <v>643</v>
      </c>
      <c r="F88" s="20" t="s">
        <v>644</v>
      </c>
      <c r="G88" s="8" t="str">
        <f t="shared" si="2"/>
        <v>LALONDE GREGORY</v>
      </c>
      <c r="H88" s="20" t="str">
        <f t="shared" si="3"/>
        <v>4065</v>
      </c>
    </row>
    <row r="89" spans="1:8" x14ac:dyDescent="0.25">
      <c r="A89" s="8">
        <v>43016.433541666665</v>
      </c>
      <c r="B89" s="20" t="s">
        <v>500</v>
      </c>
      <c r="C89" s="20" t="s">
        <v>711</v>
      </c>
      <c r="D89" s="138">
        <v>3040000</v>
      </c>
      <c r="E89" s="20" t="s">
        <v>507</v>
      </c>
      <c r="F89" s="20" t="s">
        <v>508</v>
      </c>
      <c r="G89" s="8" t="str">
        <f t="shared" si="2"/>
        <v>WILLIAMS DONTE</v>
      </c>
      <c r="H89" s="20" t="str">
        <f t="shared" si="3"/>
        <v>4016</v>
      </c>
    </row>
    <row r="90" spans="1:8" x14ac:dyDescent="0.25">
      <c r="A90" s="8">
        <v>43016.433946759258</v>
      </c>
      <c r="B90" s="20" t="s">
        <v>389</v>
      </c>
      <c r="C90" s="20" t="s">
        <v>597</v>
      </c>
      <c r="D90" s="138">
        <v>2560000</v>
      </c>
      <c r="E90" s="20" t="s">
        <v>656</v>
      </c>
      <c r="F90" s="20" t="s">
        <v>657</v>
      </c>
      <c r="G90" s="8" t="str">
        <f t="shared" si="2"/>
        <v>MACDONALD THOMAS</v>
      </c>
      <c r="H90" s="20" t="str">
        <f t="shared" si="3"/>
        <v>4063</v>
      </c>
    </row>
    <row r="91" spans="1:8" x14ac:dyDescent="0.25">
      <c r="A91" s="8">
        <v>43016.443310185183</v>
      </c>
      <c r="B91" s="20" t="s">
        <v>583</v>
      </c>
      <c r="C91" s="20" t="s">
        <v>712</v>
      </c>
      <c r="D91" s="138">
        <v>1100000</v>
      </c>
      <c r="E91" s="20" t="s">
        <v>465</v>
      </c>
      <c r="F91" s="20" t="s">
        <v>466</v>
      </c>
      <c r="G91" s="8" t="str">
        <f t="shared" si="2"/>
        <v>GEBRETEKLE DAGNEW</v>
      </c>
      <c r="H91" s="20" t="str">
        <f t="shared" si="3"/>
        <v>4059</v>
      </c>
    </row>
    <row r="92" spans="1:8" x14ac:dyDescent="0.25">
      <c r="A92" s="8">
        <v>43016.445671296293</v>
      </c>
      <c r="B92" s="20" t="s">
        <v>425</v>
      </c>
      <c r="C92" s="20" t="s">
        <v>713</v>
      </c>
      <c r="D92" s="138">
        <v>2600000</v>
      </c>
      <c r="E92" s="20" t="s">
        <v>426</v>
      </c>
      <c r="F92" s="20" t="s">
        <v>412</v>
      </c>
      <c r="G92" s="8" t="str">
        <f t="shared" si="2"/>
        <v>DAVIDSON DAVID</v>
      </c>
      <c r="H92" s="20" t="str">
        <f t="shared" si="3"/>
        <v>4002</v>
      </c>
    </row>
    <row r="93" spans="1:8" x14ac:dyDescent="0.25">
      <c r="A93" s="8">
        <v>43016.446851851855</v>
      </c>
      <c r="B93" s="20" t="s">
        <v>459</v>
      </c>
      <c r="C93" s="20" t="s">
        <v>638</v>
      </c>
      <c r="D93" s="138">
        <v>3330000</v>
      </c>
      <c r="E93" s="20" t="s">
        <v>714</v>
      </c>
      <c r="F93" s="20" t="s">
        <v>715</v>
      </c>
      <c r="G93" s="8" t="str">
        <f t="shared" si="2"/>
        <v>GONZALEZ ARMANDO</v>
      </c>
      <c r="H93" s="20" t="str">
        <f t="shared" si="3"/>
        <v>4017</v>
      </c>
    </row>
    <row r="94" spans="1:8" x14ac:dyDescent="0.25">
      <c r="A94" s="8">
        <v>43016.447511574072</v>
      </c>
      <c r="B94" s="20" t="s">
        <v>425</v>
      </c>
      <c r="C94" s="20" t="s">
        <v>713</v>
      </c>
      <c r="D94" s="138">
        <v>2600000</v>
      </c>
      <c r="E94" s="20" t="s">
        <v>426</v>
      </c>
      <c r="F94" s="20" t="s">
        <v>412</v>
      </c>
      <c r="G94" s="8" t="str">
        <f t="shared" si="2"/>
        <v>DAVIDSON DAVID</v>
      </c>
      <c r="H94" s="20" t="str">
        <f t="shared" si="3"/>
        <v>4002</v>
      </c>
    </row>
    <row r="95" spans="1:8" x14ac:dyDescent="0.25">
      <c r="A95" s="8">
        <v>43016.452581018515</v>
      </c>
      <c r="B95" s="20" t="s">
        <v>664</v>
      </c>
      <c r="C95" s="20" t="s">
        <v>716</v>
      </c>
      <c r="D95" s="138">
        <v>3090000</v>
      </c>
      <c r="E95" s="20" t="s">
        <v>658</v>
      </c>
      <c r="F95" s="20" t="s">
        <v>659</v>
      </c>
      <c r="G95" s="8" t="str">
        <f t="shared" si="2"/>
        <v>LAMAR NEKESHA</v>
      </c>
      <c r="H95" s="20" t="str">
        <f t="shared" si="3"/>
        <v>4006</v>
      </c>
    </row>
    <row r="96" spans="1:8" x14ac:dyDescent="0.25">
      <c r="A96" s="8">
        <v>43016.462384259263</v>
      </c>
      <c r="B96" s="20" t="s">
        <v>595</v>
      </c>
      <c r="C96" s="20" t="s">
        <v>717</v>
      </c>
      <c r="D96" s="138">
        <v>2550000</v>
      </c>
      <c r="E96" s="20" t="s">
        <v>509</v>
      </c>
      <c r="F96" s="20" t="s">
        <v>510</v>
      </c>
      <c r="G96" s="8" t="str">
        <f t="shared" si="2"/>
        <v>BADERTSCHER DIANE</v>
      </c>
      <c r="H96" s="20" t="str">
        <f t="shared" si="3"/>
        <v>4035</v>
      </c>
    </row>
    <row r="97" spans="1:8" x14ac:dyDescent="0.25">
      <c r="A97" s="8">
        <v>43016.463067129633</v>
      </c>
      <c r="B97" s="20" t="s">
        <v>391</v>
      </c>
      <c r="C97" s="20" t="s">
        <v>718</v>
      </c>
      <c r="D97" s="138">
        <v>2560000</v>
      </c>
      <c r="E97" s="20" t="s">
        <v>656</v>
      </c>
      <c r="F97" s="20" t="s">
        <v>657</v>
      </c>
      <c r="G97" s="8" t="str">
        <f t="shared" si="2"/>
        <v>MACDONALD THOMAS</v>
      </c>
      <c r="H97" s="20" t="str">
        <f t="shared" si="3"/>
        <v>4064</v>
      </c>
    </row>
    <row r="98" spans="1:8" x14ac:dyDescent="0.25">
      <c r="A98" s="8">
        <v>43016.46738425926</v>
      </c>
      <c r="B98" s="20" t="s">
        <v>606</v>
      </c>
      <c r="C98" s="20" t="s">
        <v>719</v>
      </c>
      <c r="D98" s="138">
        <v>920000</v>
      </c>
      <c r="E98" s="20" t="s">
        <v>342</v>
      </c>
      <c r="F98" s="20" t="s">
        <v>419</v>
      </c>
      <c r="G98" s="8" t="str">
        <f t="shared" si="2"/>
        <v>DAVIS MICHAEL</v>
      </c>
      <c r="H98" s="20" t="str">
        <f t="shared" si="3"/>
        <v>4050</v>
      </c>
    </row>
    <row r="99" spans="1:8" x14ac:dyDescent="0.25">
      <c r="A99" s="8">
        <v>43016.473749999997</v>
      </c>
      <c r="B99" s="20" t="s">
        <v>501</v>
      </c>
      <c r="C99" s="20" t="s">
        <v>720</v>
      </c>
      <c r="D99" s="138">
        <v>3040000</v>
      </c>
      <c r="E99" s="20" t="s">
        <v>507</v>
      </c>
      <c r="F99" s="20" t="s">
        <v>508</v>
      </c>
      <c r="G99" s="8" t="str">
        <f t="shared" si="2"/>
        <v>WILLIAMS DONTE</v>
      </c>
      <c r="H99" s="20" t="str">
        <f t="shared" si="3"/>
        <v>4015</v>
      </c>
    </row>
    <row r="100" spans="1:8" x14ac:dyDescent="0.25">
      <c r="A100" s="8">
        <v>43016.47378472222</v>
      </c>
      <c r="B100" s="20" t="s">
        <v>455</v>
      </c>
      <c r="C100" s="20" t="s">
        <v>721</v>
      </c>
      <c r="D100" s="138">
        <v>3330000</v>
      </c>
      <c r="E100" s="20" t="s">
        <v>714</v>
      </c>
      <c r="F100" s="20" t="s">
        <v>715</v>
      </c>
      <c r="G100" s="8" t="str">
        <f t="shared" si="2"/>
        <v>GONZALEZ ARMANDO</v>
      </c>
      <c r="H100" s="20" t="str">
        <f t="shared" si="3"/>
        <v>4066</v>
      </c>
    </row>
    <row r="101" spans="1:8" x14ac:dyDescent="0.25">
      <c r="A101" s="8">
        <v>43016.474930555552</v>
      </c>
      <c r="B101" s="20" t="s">
        <v>389</v>
      </c>
      <c r="C101" s="20" t="s">
        <v>722</v>
      </c>
      <c r="D101" s="138">
        <v>2560000</v>
      </c>
      <c r="E101" s="20" t="s">
        <v>656</v>
      </c>
      <c r="F101" s="20" t="s">
        <v>657</v>
      </c>
      <c r="G101" s="8" t="str">
        <f t="shared" si="2"/>
        <v>MACDONALD THOMAS</v>
      </c>
      <c r="H101" s="20" t="str">
        <f t="shared" si="3"/>
        <v>4063</v>
      </c>
    </row>
    <row r="102" spans="1:8" x14ac:dyDescent="0.25">
      <c r="A102" s="8">
        <v>43016.475856481484</v>
      </c>
      <c r="B102" s="20" t="s">
        <v>497</v>
      </c>
      <c r="C102" s="20" t="s">
        <v>723</v>
      </c>
      <c r="D102" s="138">
        <v>2600000</v>
      </c>
      <c r="E102" s="20" t="s">
        <v>426</v>
      </c>
      <c r="F102" s="20" t="s">
        <v>412</v>
      </c>
      <c r="G102" s="8" t="str">
        <f t="shared" si="2"/>
        <v>DAVIDSON DAVID</v>
      </c>
      <c r="H102" s="20" t="str">
        <f t="shared" si="3"/>
        <v>4001</v>
      </c>
    </row>
    <row r="103" spans="1:8" x14ac:dyDescent="0.25">
      <c r="A103" s="8">
        <v>43016.477094907408</v>
      </c>
      <c r="B103" s="20" t="s">
        <v>458</v>
      </c>
      <c r="C103" s="20" t="s">
        <v>636</v>
      </c>
      <c r="D103" s="138">
        <v>2470000</v>
      </c>
      <c r="E103" s="20" t="s">
        <v>724</v>
      </c>
      <c r="F103" s="20" t="s">
        <v>725</v>
      </c>
      <c r="G103" s="8" t="str">
        <f t="shared" si="2"/>
        <v>ROMERO CHAD</v>
      </c>
      <c r="H103" s="20" t="str">
        <f t="shared" si="3"/>
        <v>4018</v>
      </c>
    </row>
    <row r="104" spans="1:8" x14ac:dyDescent="0.25">
      <c r="A104" s="8">
        <v>43016.484594907408</v>
      </c>
      <c r="B104" s="20" t="s">
        <v>635</v>
      </c>
      <c r="C104" s="20" t="s">
        <v>726</v>
      </c>
      <c r="D104" s="138">
        <v>2970000</v>
      </c>
      <c r="E104" s="20" t="s">
        <v>727</v>
      </c>
      <c r="F104" s="20" t="s">
        <v>728</v>
      </c>
      <c r="G104" s="8" t="str">
        <f t="shared" si="2"/>
        <v>GUZMAN DANNY</v>
      </c>
      <c r="H104" s="20" t="str">
        <f t="shared" si="3"/>
        <v>4060</v>
      </c>
    </row>
    <row r="105" spans="1:8" x14ac:dyDescent="0.25">
      <c r="A105" s="8">
        <v>43016.496261574073</v>
      </c>
      <c r="B105" s="20" t="s">
        <v>587</v>
      </c>
      <c r="C105" s="20" t="s">
        <v>729</v>
      </c>
      <c r="D105" s="138">
        <v>3090000</v>
      </c>
      <c r="E105" s="20" t="s">
        <v>658</v>
      </c>
      <c r="F105" s="20" t="s">
        <v>659</v>
      </c>
      <c r="G105" s="8" t="str">
        <f t="shared" si="2"/>
        <v>LAMAR NEKESHA</v>
      </c>
      <c r="H105" s="20" t="str">
        <f t="shared" si="3"/>
        <v>4005</v>
      </c>
    </row>
    <row r="106" spans="1:8" x14ac:dyDescent="0.25">
      <c r="A106" s="8">
        <v>43016.49628472222</v>
      </c>
      <c r="B106" s="20" t="s">
        <v>600</v>
      </c>
      <c r="C106" s="20" t="s">
        <v>601</v>
      </c>
      <c r="D106" s="138">
        <v>2550000</v>
      </c>
      <c r="E106" s="20" t="s">
        <v>509</v>
      </c>
      <c r="F106" s="20" t="s">
        <v>510</v>
      </c>
      <c r="G106" s="8" t="str">
        <f t="shared" si="2"/>
        <v>BADERTSCHER DIANE</v>
      </c>
      <c r="H106" s="20" t="str">
        <f t="shared" si="3"/>
        <v>4036</v>
      </c>
    </row>
    <row r="107" spans="1:8" x14ac:dyDescent="0.25">
      <c r="A107" s="8">
        <v>43016.505219907405</v>
      </c>
      <c r="B107" s="20" t="s">
        <v>391</v>
      </c>
      <c r="C107" s="20" t="s">
        <v>730</v>
      </c>
      <c r="D107" s="138">
        <v>2560000</v>
      </c>
      <c r="E107" s="20" t="s">
        <v>656</v>
      </c>
      <c r="F107" s="20" t="s">
        <v>657</v>
      </c>
      <c r="G107" s="8" t="str">
        <f t="shared" si="2"/>
        <v>MACDONALD THOMAS</v>
      </c>
      <c r="H107" s="20" t="str">
        <f t="shared" si="3"/>
        <v>4064</v>
      </c>
    </row>
    <row r="108" spans="1:8" x14ac:dyDescent="0.25">
      <c r="A108" s="8">
        <v>43016.50681712963</v>
      </c>
      <c r="B108" s="20" t="s">
        <v>598</v>
      </c>
      <c r="C108" s="20" t="s">
        <v>731</v>
      </c>
      <c r="D108" s="138">
        <v>920000</v>
      </c>
      <c r="E108" s="20" t="s">
        <v>342</v>
      </c>
      <c r="F108" s="20" t="s">
        <v>419</v>
      </c>
      <c r="G108" s="8" t="str">
        <f t="shared" si="2"/>
        <v>DAVIS MICHAEL</v>
      </c>
      <c r="H108" s="20" t="str">
        <f t="shared" si="3"/>
        <v>4049</v>
      </c>
    </row>
    <row r="109" spans="1:8" x14ac:dyDescent="0.25">
      <c r="A109" s="8">
        <v>43016.507592592592</v>
      </c>
      <c r="B109" s="20" t="s">
        <v>500</v>
      </c>
      <c r="C109" s="20" t="s">
        <v>732</v>
      </c>
      <c r="D109" s="138">
        <v>2350000</v>
      </c>
      <c r="E109" s="20" t="s">
        <v>467</v>
      </c>
      <c r="F109" s="20" t="s">
        <v>468</v>
      </c>
      <c r="G109" s="8" t="str">
        <f t="shared" si="2"/>
        <v>BERLING GARY</v>
      </c>
      <c r="H109" s="20" t="str">
        <f t="shared" si="3"/>
        <v>4016</v>
      </c>
    </row>
    <row r="110" spans="1:8" x14ac:dyDescent="0.25">
      <c r="A110" s="8">
        <v>43016.515543981484</v>
      </c>
      <c r="B110" s="20" t="s">
        <v>462</v>
      </c>
      <c r="C110" s="20" t="s">
        <v>733</v>
      </c>
      <c r="D110" s="138">
        <v>3330000</v>
      </c>
      <c r="E110" s="20" t="s">
        <v>714</v>
      </c>
      <c r="F110" s="20" t="s">
        <v>715</v>
      </c>
      <c r="G110" s="8" t="str">
        <f t="shared" si="2"/>
        <v>GONZALEZ ARMANDO</v>
      </c>
      <c r="H110" s="20" t="str">
        <f t="shared" si="3"/>
        <v>4065</v>
      </c>
    </row>
    <row r="111" spans="1:8" x14ac:dyDescent="0.25">
      <c r="A111" s="8">
        <v>43016.516886574071</v>
      </c>
      <c r="B111" s="20" t="s">
        <v>389</v>
      </c>
      <c r="C111" s="20" t="s">
        <v>734</v>
      </c>
      <c r="D111" s="138">
        <v>2560000</v>
      </c>
      <c r="E111" s="20" t="s">
        <v>656</v>
      </c>
      <c r="F111" s="20" t="s">
        <v>657</v>
      </c>
      <c r="G111" s="8" t="str">
        <f t="shared" si="2"/>
        <v>MACDONALD THOMAS</v>
      </c>
      <c r="H111" s="20" t="str">
        <f t="shared" si="3"/>
        <v>4063</v>
      </c>
    </row>
    <row r="112" spans="1:8" x14ac:dyDescent="0.25">
      <c r="A112" s="8">
        <v>43016.517013888886</v>
      </c>
      <c r="B112" s="20" t="s">
        <v>425</v>
      </c>
      <c r="C112" s="20" t="s">
        <v>735</v>
      </c>
      <c r="D112" s="138">
        <v>880000</v>
      </c>
      <c r="E112" s="20" t="s">
        <v>511</v>
      </c>
      <c r="F112" s="20" t="s">
        <v>419</v>
      </c>
      <c r="G112" s="8" t="str">
        <f t="shared" si="2"/>
        <v>STEWART MICHAEL</v>
      </c>
      <c r="H112" s="20" t="str">
        <f t="shared" si="3"/>
        <v>4002</v>
      </c>
    </row>
    <row r="113" spans="1:8" x14ac:dyDescent="0.25">
      <c r="A113" s="8">
        <v>43016.517083333332</v>
      </c>
      <c r="B113" s="20" t="s">
        <v>583</v>
      </c>
      <c r="C113" s="20" t="s">
        <v>736</v>
      </c>
      <c r="D113" s="138">
        <v>2970000</v>
      </c>
      <c r="E113" s="20" t="s">
        <v>727</v>
      </c>
      <c r="F113" s="20" t="s">
        <v>728</v>
      </c>
      <c r="G113" s="8" t="str">
        <f t="shared" si="2"/>
        <v>GUZMAN DANNY</v>
      </c>
      <c r="H113" s="20" t="str">
        <f t="shared" si="3"/>
        <v>4059</v>
      </c>
    </row>
    <row r="114" spans="1:8" x14ac:dyDescent="0.25">
      <c r="A114" s="8">
        <v>43016.526932870373</v>
      </c>
      <c r="B114" s="20" t="s">
        <v>664</v>
      </c>
      <c r="C114" s="20" t="s">
        <v>737</v>
      </c>
      <c r="D114" s="138">
        <v>2230000</v>
      </c>
      <c r="E114" s="20" t="s">
        <v>738</v>
      </c>
      <c r="F114" s="20" t="s">
        <v>419</v>
      </c>
      <c r="G114" s="8" t="str">
        <f t="shared" si="2"/>
        <v>SMITH MICHAEL</v>
      </c>
      <c r="H114" s="20" t="str">
        <f t="shared" si="3"/>
        <v>4006</v>
      </c>
    </row>
    <row r="115" spans="1:8" x14ac:dyDescent="0.25">
      <c r="A115" s="8">
        <v>43016.533101851855</v>
      </c>
      <c r="B115" s="20" t="s">
        <v>595</v>
      </c>
      <c r="C115" s="20" t="s">
        <v>739</v>
      </c>
      <c r="D115" s="138">
        <v>2550000</v>
      </c>
      <c r="E115" s="20" t="s">
        <v>509</v>
      </c>
      <c r="F115" s="20" t="s">
        <v>510</v>
      </c>
      <c r="G115" s="8" t="str">
        <f t="shared" si="2"/>
        <v>BADERTSCHER DIANE</v>
      </c>
      <c r="H115" s="20" t="str">
        <f t="shared" si="3"/>
        <v>4035</v>
      </c>
    </row>
    <row r="116" spans="1:8" x14ac:dyDescent="0.25">
      <c r="A116" s="8">
        <v>43016.539513888885</v>
      </c>
      <c r="B116" s="20" t="s">
        <v>606</v>
      </c>
      <c r="C116" s="20" t="s">
        <v>740</v>
      </c>
      <c r="D116" s="138">
        <v>920000</v>
      </c>
      <c r="E116" s="20" t="s">
        <v>342</v>
      </c>
      <c r="F116" s="20" t="s">
        <v>419</v>
      </c>
      <c r="G116" s="8" t="str">
        <f t="shared" si="2"/>
        <v>DAVIS MICHAEL</v>
      </c>
      <c r="H116" s="20" t="str">
        <f t="shared" si="3"/>
        <v>4050</v>
      </c>
    </row>
    <row r="117" spans="1:8" x14ac:dyDescent="0.25">
      <c r="A117" s="8">
        <v>43016.544432870367</v>
      </c>
      <c r="B117" s="20" t="s">
        <v>501</v>
      </c>
      <c r="C117" s="20" t="s">
        <v>741</v>
      </c>
      <c r="D117" s="138">
        <v>2350000</v>
      </c>
      <c r="E117" s="20" t="s">
        <v>467</v>
      </c>
      <c r="F117" s="20" t="s">
        <v>468</v>
      </c>
      <c r="G117" s="8" t="str">
        <f t="shared" si="2"/>
        <v>BERLING GARY</v>
      </c>
      <c r="H117" s="20" t="str">
        <f t="shared" si="3"/>
        <v>4015</v>
      </c>
    </row>
    <row r="118" spans="1:8" x14ac:dyDescent="0.25">
      <c r="A118" s="8">
        <v>43016.547546296293</v>
      </c>
      <c r="B118" s="20" t="s">
        <v>391</v>
      </c>
      <c r="C118" s="20" t="s">
        <v>742</v>
      </c>
      <c r="D118" s="138">
        <v>2560000</v>
      </c>
      <c r="E118" s="20" t="s">
        <v>656</v>
      </c>
      <c r="F118" s="20" t="s">
        <v>657</v>
      </c>
      <c r="G118" s="8" t="str">
        <f t="shared" si="2"/>
        <v>MACDONALD THOMAS</v>
      </c>
      <c r="H118" s="20" t="str">
        <f t="shared" si="3"/>
        <v>4064</v>
      </c>
    </row>
    <row r="119" spans="1:8" x14ac:dyDescent="0.25">
      <c r="A119" s="8">
        <v>43016.549791666665</v>
      </c>
      <c r="B119" s="20" t="s">
        <v>455</v>
      </c>
      <c r="C119" s="20" t="s">
        <v>743</v>
      </c>
      <c r="D119" s="138">
        <v>2630000</v>
      </c>
      <c r="E119" s="20" t="s">
        <v>744</v>
      </c>
      <c r="F119" s="20" t="s">
        <v>745</v>
      </c>
      <c r="G119" s="8" t="str">
        <f t="shared" si="2"/>
        <v>SAFIEF AEIMEN</v>
      </c>
      <c r="H119" s="20" t="str">
        <f t="shared" si="3"/>
        <v>4066</v>
      </c>
    </row>
    <row r="120" spans="1:8" x14ac:dyDescent="0.25">
      <c r="A120" s="8">
        <v>43016.555069444446</v>
      </c>
      <c r="B120" s="20" t="s">
        <v>497</v>
      </c>
      <c r="C120" s="20" t="s">
        <v>746</v>
      </c>
      <c r="D120" s="138">
        <v>880000</v>
      </c>
      <c r="E120" s="20" t="s">
        <v>511</v>
      </c>
      <c r="F120" s="20" t="s">
        <v>419</v>
      </c>
      <c r="G120" s="8" t="str">
        <f t="shared" si="2"/>
        <v>STEWART MICHAEL</v>
      </c>
      <c r="H120" s="20" t="str">
        <f t="shared" si="3"/>
        <v>4001</v>
      </c>
    </row>
    <row r="121" spans="1:8" x14ac:dyDescent="0.25">
      <c r="A121" s="8">
        <v>43016.559259259258</v>
      </c>
      <c r="B121" s="20" t="s">
        <v>389</v>
      </c>
      <c r="C121" s="20" t="s">
        <v>742</v>
      </c>
      <c r="D121" s="138">
        <v>2560000</v>
      </c>
      <c r="E121" s="20" t="s">
        <v>656</v>
      </c>
      <c r="F121" s="20" t="s">
        <v>657</v>
      </c>
      <c r="G121" s="8" t="str">
        <f t="shared" si="2"/>
        <v>MACDONALD THOMAS</v>
      </c>
      <c r="H121" s="20" t="str">
        <f t="shared" si="3"/>
        <v>4063</v>
      </c>
    </row>
    <row r="122" spans="1:8" x14ac:dyDescent="0.25">
      <c r="A122" s="8">
        <v>43016.559340277781</v>
      </c>
      <c r="B122" s="25" t="s">
        <v>635</v>
      </c>
      <c r="C122" s="20" t="s">
        <v>747</v>
      </c>
      <c r="D122" s="138">
        <v>2970000</v>
      </c>
      <c r="E122" s="20" t="s">
        <v>727</v>
      </c>
      <c r="F122" s="20" t="s">
        <v>728</v>
      </c>
      <c r="G122" s="8" t="str">
        <f t="shared" si="2"/>
        <v>GUZMAN DANNY</v>
      </c>
      <c r="H122" s="20" t="str">
        <f t="shared" si="3"/>
        <v>4060</v>
      </c>
    </row>
    <row r="123" spans="1:8" x14ac:dyDescent="0.25">
      <c r="A123" s="8">
        <v>43016.559849537036</v>
      </c>
      <c r="B123" s="20" t="s">
        <v>389</v>
      </c>
      <c r="C123" s="20" t="s">
        <v>742</v>
      </c>
      <c r="D123" s="138">
        <v>2560000</v>
      </c>
      <c r="E123" s="20" t="s">
        <v>656</v>
      </c>
      <c r="F123" s="20" t="s">
        <v>657</v>
      </c>
      <c r="G123" s="8" t="str">
        <f t="shared" si="2"/>
        <v>MACDONALD THOMAS</v>
      </c>
      <c r="H123" s="20" t="str">
        <f t="shared" si="3"/>
        <v>4063</v>
      </c>
    </row>
    <row r="124" spans="1:8" x14ac:dyDescent="0.25">
      <c r="A124" s="8">
        <v>43016.560428240744</v>
      </c>
      <c r="B124" s="20" t="s">
        <v>389</v>
      </c>
      <c r="C124" s="20" t="s">
        <v>748</v>
      </c>
      <c r="D124" s="138">
        <v>2560000</v>
      </c>
      <c r="E124" s="20" t="s">
        <v>656</v>
      </c>
      <c r="F124" s="20" t="s">
        <v>657</v>
      </c>
      <c r="G124" s="8" t="str">
        <f t="shared" si="2"/>
        <v>MACDONALD THOMAS</v>
      </c>
      <c r="H124" s="20" t="str">
        <f t="shared" si="3"/>
        <v>4063</v>
      </c>
    </row>
    <row r="125" spans="1:8" x14ac:dyDescent="0.25">
      <c r="A125" s="8">
        <v>43016.562557870369</v>
      </c>
      <c r="B125" s="20" t="s">
        <v>587</v>
      </c>
      <c r="C125" s="20" t="s">
        <v>749</v>
      </c>
      <c r="D125" s="138">
        <v>2230000</v>
      </c>
      <c r="E125" s="20" t="s">
        <v>738</v>
      </c>
      <c r="F125" s="20" t="s">
        <v>419</v>
      </c>
      <c r="G125" s="8" t="str">
        <f t="shared" si="2"/>
        <v>SMITH MICHAEL</v>
      </c>
      <c r="H125" s="20" t="str">
        <f t="shared" si="3"/>
        <v>4005</v>
      </c>
    </row>
    <row r="126" spans="1:8" x14ac:dyDescent="0.25">
      <c r="A126" s="8">
        <v>43016.569328703707</v>
      </c>
      <c r="B126" s="20" t="s">
        <v>600</v>
      </c>
      <c r="C126" s="20" t="s">
        <v>750</v>
      </c>
      <c r="D126" s="138">
        <v>2550000</v>
      </c>
      <c r="E126" s="20" t="s">
        <v>509</v>
      </c>
      <c r="F126" s="20" t="s">
        <v>510</v>
      </c>
      <c r="G126" s="8" t="str">
        <f t="shared" si="2"/>
        <v>BADERTSCHER DIANE</v>
      </c>
      <c r="H126" s="20" t="str">
        <f t="shared" si="3"/>
        <v>4036</v>
      </c>
    </row>
    <row r="127" spans="1:8" x14ac:dyDescent="0.25">
      <c r="A127" s="8">
        <v>43016.578969907408</v>
      </c>
      <c r="B127" s="20" t="s">
        <v>462</v>
      </c>
      <c r="C127" s="20" t="s">
        <v>751</v>
      </c>
      <c r="D127" s="138">
        <v>2630000</v>
      </c>
      <c r="E127" s="20" t="s">
        <v>744</v>
      </c>
      <c r="F127" s="20" t="s">
        <v>745</v>
      </c>
      <c r="G127" s="8" t="str">
        <f t="shared" si="2"/>
        <v>SAFIEF AEIMEN</v>
      </c>
      <c r="H127" s="20" t="str">
        <f t="shared" si="3"/>
        <v>4065</v>
      </c>
    </row>
    <row r="128" spans="1:8" x14ac:dyDescent="0.25">
      <c r="A128" s="8">
        <v>43016.579236111109</v>
      </c>
      <c r="B128" s="20" t="s">
        <v>500</v>
      </c>
      <c r="C128" s="20" t="s">
        <v>752</v>
      </c>
      <c r="D128" s="138">
        <v>2350000</v>
      </c>
      <c r="E128" s="20" t="s">
        <v>467</v>
      </c>
      <c r="F128" s="20" t="s">
        <v>468</v>
      </c>
      <c r="G128" s="8" t="str">
        <f t="shared" si="2"/>
        <v>BERLING GARY</v>
      </c>
      <c r="H128" s="20" t="str">
        <f t="shared" si="3"/>
        <v>4016</v>
      </c>
    </row>
    <row r="129" spans="1:8" x14ac:dyDescent="0.25">
      <c r="A129" s="8">
        <v>43016.579687500001</v>
      </c>
      <c r="B129" s="20" t="s">
        <v>598</v>
      </c>
      <c r="C129" s="20" t="s">
        <v>753</v>
      </c>
      <c r="D129" s="138">
        <v>920000</v>
      </c>
      <c r="E129" s="20" t="s">
        <v>342</v>
      </c>
      <c r="F129" s="20" t="s">
        <v>419</v>
      </c>
      <c r="G129" s="8" t="str">
        <f t="shared" si="2"/>
        <v>DAVIS MICHAEL</v>
      </c>
      <c r="H129" s="20" t="str">
        <f t="shared" si="3"/>
        <v>4049</v>
      </c>
    </row>
    <row r="130" spans="1:8" x14ac:dyDescent="0.25">
      <c r="A130" s="8">
        <v>43016.584016203706</v>
      </c>
      <c r="B130" s="20" t="s">
        <v>391</v>
      </c>
      <c r="C130" s="20" t="s">
        <v>754</v>
      </c>
      <c r="D130" s="138">
        <v>2420000</v>
      </c>
      <c r="E130" s="20" t="s">
        <v>471</v>
      </c>
      <c r="F130" s="20" t="s">
        <v>472</v>
      </c>
      <c r="G130" s="8" t="str">
        <f t="shared" si="2"/>
        <v>HOLCOMB KAMDEN</v>
      </c>
      <c r="H130" s="20" t="str">
        <f t="shared" si="3"/>
        <v>4064</v>
      </c>
    </row>
    <row r="131" spans="1:8" x14ac:dyDescent="0.25">
      <c r="A131" s="8">
        <v>43016.590486111112</v>
      </c>
      <c r="B131" s="20" t="s">
        <v>583</v>
      </c>
      <c r="C131" s="20" t="s">
        <v>755</v>
      </c>
      <c r="D131" s="138">
        <v>2970000</v>
      </c>
      <c r="E131" s="20" t="s">
        <v>727</v>
      </c>
      <c r="F131" s="20" t="s">
        <v>728</v>
      </c>
      <c r="G131" s="8" t="str">
        <f t="shared" ref="G131:G194" si="4">E131&amp;" "&amp;F131</f>
        <v>GUZMAN DANNY</v>
      </c>
      <c r="H131" s="20" t="str">
        <f t="shared" ref="H131:H194" si="5">MID(B131,13,4)</f>
        <v>4059</v>
      </c>
    </row>
    <row r="132" spans="1:8" x14ac:dyDescent="0.25">
      <c r="A132" s="8">
        <v>43016.590613425928</v>
      </c>
      <c r="B132" s="20" t="s">
        <v>425</v>
      </c>
      <c r="C132" s="20" t="s">
        <v>756</v>
      </c>
      <c r="D132" s="138">
        <v>880000</v>
      </c>
      <c r="E132" s="20" t="s">
        <v>511</v>
      </c>
      <c r="F132" s="20" t="s">
        <v>419</v>
      </c>
      <c r="G132" s="8" t="str">
        <f t="shared" si="4"/>
        <v>STEWART MICHAEL</v>
      </c>
      <c r="H132" s="20" t="str">
        <f t="shared" si="5"/>
        <v>4002</v>
      </c>
    </row>
    <row r="133" spans="1:8" x14ac:dyDescent="0.25">
      <c r="A133" s="8">
        <v>43016.600324074076</v>
      </c>
      <c r="B133" s="20" t="s">
        <v>664</v>
      </c>
      <c r="C133" s="20" t="s">
        <v>757</v>
      </c>
      <c r="D133" s="138">
        <v>2230000</v>
      </c>
      <c r="E133" s="20" t="s">
        <v>738</v>
      </c>
      <c r="F133" s="20" t="s">
        <v>419</v>
      </c>
      <c r="G133" s="8" t="str">
        <f t="shared" si="4"/>
        <v>SMITH MICHAEL</v>
      </c>
      <c r="H133" s="20" t="str">
        <f t="shared" si="5"/>
        <v>4006</v>
      </c>
    </row>
    <row r="134" spans="1:8" x14ac:dyDescent="0.25">
      <c r="A134" s="8">
        <v>43016.600960648146</v>
      </c>
      <c r="B134" s="20" t="s">
        <v>389</v>
      </c>
      <c r="C134" s="20" t="s">
        <v>602</v>
      </c>
      <c r="D134" s="138">
        <v>2420000</v>
      </c>
      <c r="E134" s="20" t="s">
        <v>471</v>
      </c>
      <c r="F134" s="20" t="s">
        <v>472</v>
      </c>
      <c r="G134" s="8" t="str">
        <f t="shared" si="4"/>
        <v>HOLCOMB KAMDEN</v>
      </c>
      <c r="H134" s="20" t="str">
        <f t="shared" si="5"/>
        <v>4063</v>
      </c>
    </row>
    <row r="135" spans="1:8" x14ac:dyDescent="0.25">
      <c r="A135" s="8">
        <v>43016.607083333336</v>
      </c>
      <c r="B135" s="20" t="s">
        <v>595</v>
      </c>
      <c r="C135" s="20" t="s">
        <v>758</v>
      </c>
      <c r="D135" s="138">
        <v>2550000</v>
      </c>
      <c r="E135" s="20" t="s">
        <v>509</v>
      </c>
      <c r="F135" s="20" t="s">
        <v>510</v>
      </c>
      <c r="G135" s="8" t="str">
        <f t="shared" si="4"/>
        <v>BADERTSCHER DIANE</v>
      </c>
      <c r="H135" s="20" t="str">
        <f t="shared" si="5"/>
        <v>4035</v>
      </c>
    </row>
    <row r="136" spans="1:8" x14ac:dyDescent="0.25">
      <c r="A136" s="8">
        <v>43016.610682870371</v>
      </c>
      <c r="B136" s="20" t="s">
        <v>389</v>
      </c>
      <c r="C136" s="20" t="s">
        <v>602</v>
      </c>
      <c r="D136" s="138">
        <v>2420000</v>
      </c>
      <c r="E136" s="20" t="s">
        <v>471</v>
      </c>
      <c r="F136" s="20" t="s">
        <v>472</v>
      </c>
      <c r="G136" s="8" t="str">
        <f t="shared" si="4"/>
        <v>HOLCOMB KAMDEN</v>
      </c>
      <c r="H136" s="20" t="str">
        <f t="shared" si="5"/>
        <v>4063</v>
      </c>
    </row>
    <row r="137" spans="1:8" x14ac:dyDescent="0.25">
      <c r="A137" s="8">
        <v>43016.613495370373</v>
      </c>
      <c r="B137" s="20" t="s">
        <v>606</v>
      </c>
      <c r="C137" s="20" t="s">
        <v>759</v>
      </c>
      <c r="D137" s="138">
        <v>920000</v>
      </c>
      <c r="E137" s="20" t="s">
        <v>342</v>
      </c>
      <c r="F137" s="20" t="s">
        <v>419</v>
      </c>
      <c r="G137" s="8" t="str">
        <f t="shared" si="4"/>
        <v>DAVIS MICHAEL</v>
      </c>
      <c r="H137" s="20" t="str">
        <f t="shared" si="5"/>
        <v>4050</v>
      </c>
    </row>
    <row r="138" spans="1:8" x14ac:dyDescent="0.25">
      <c r="A138" s="8">
        <v>43016.614803240744</v>
      </c>
      <c r="B138" s="20" t="s">
        <v>462</v>
      </c>
      <c r="C138" s="20" t="s">
        <v>751</v>
      </c>
      <c r="D138" s="138">
        <v>2630000</v>
      </c>
      <c r="E138" s="20" t="s">
        <v>744</v>
      </c>
      <c r="F138" s="20" t="s">
        <v>745</v>
      </c>
      <c r="G138" s="8" t="str">
        <f t="shared" si="4"/>
        <v>SAFIEF AEIMEN</v>
      </c>
      <c r="H138" s="20" t="str">
        <f t="shared" si="5"/>
        <v>4065</v>
      </c>
    </row>
    <row r="139" spans="1:8" x14ac:dyDescent="0.25">
      <c r="A139" s="8">
        <v>43016.619837962964</v>
      </c>
      <c r="B139" s="20" t="s">
        <v>501</v>
      </c>
      <c r="C139" s="20" t="s">
        <v>760</v>
      </c>
      <c r="D139" s="138">
        <v>2350000</v>
      </c>
      <c r="E139" s="20" t="s">
        <v>467</v>
      </c>
      <c r="F139" s="20" t="s">
        <v>468</v>
      </c>
      <c r="G139" s="8" t="str">
        <f t="shared" si="4"/>
        <v>BERLING GARY</v>
      </c>
      <c r="H139" s="20" t="str">
        <f t="shared" si="5"/>
        <v>4015</v>
      </c>
    </row>
    <row r="140" spans="1:8" x14ac:dyDescent="0.25">
      <c r="A140" s="8">
        <v>43016.62431712963</v>
      </c>
      <c r="B140" s="20" t="s">
        <v>455</v>
      </c>
      <c r="C140" s="20" t="s">
        <v>761</v>
      </c>
      <c r="D140" s="138">
        <v>2630000</v>
      </c>
      <c r="E140" s="20" t="s">
        <v>744</v>
      </c>
      <c r="F140" s="20" t="s">
        <v>745</v>
      </c>
      <c r="G140" s="8" t="str">
        <f t="shared" si="4"/>
        <v>SAFIEF AEIMEN</v>
      </c>
      <c r="H140" s="20" t="str">
        <f t="shared" si="5"/>
        <v>4066</v>
      </c>
    </row>
    <row r="141" spans="1:8" x14ac:dyDescent="0.25">
      <c r="A141" s="8">
        <v>43016.626516203702</v>
      </c>
      <c r="B141" s="20" t="s">
        <v>391</v>
      </c>
      <c r="C141" s="20" t="s">
        <v>762</v>
      </c>
      <c r="D141" s="138">
        <v>2420000</v>
      </c>
      <c r="E141" s="20" t="s">
        <v>471</v>
      </c>
      <c r="F141" s="20" t="s">
        <v>472</v>
      </c>
      <c r="G141" s="8" t="str">
        <f t="shared" si="4"/>
        <v>HOLCOMB KAMDEN</v>
      </c>
      <c r="H141" s="20" t="str">
        <f t="shared" si="5"/>
        <v>4064</v>
      </c>
    </row>
    <row r="142" spans="1:8" x14ac:dyDescent="0.25">
      <c r="A142" s="8">
        <v>43016.627511574072</v>
      </c>
      <c r="B142" s="20" t="s">
        <v>497</v>
      </c>
      <c r="C142" s="20" t="s">
        <v>763</v>
      </c>
      <c r="D142" s="138">
        <v>880000</v>
      </c>
      <c r="E142" s="20" t="s">
        <v>511</v>
      </c>
      <c r="F142" s="20" t="s">
        <v>419</v>
      </c>
      <c r="G142" s="8" t="str">
        <f t="shared" si="4"/>
        <v>STEWART MICHAEL</v>
      </c>
      <c r="H142" s="20" t="str">
        <f t="shared" si="5"/>
        <v>4001</v>
      </c>
    </row>
    <row r="143" spans="1:8" x14ac:dyDescent="0.25">
      <c r="A143" s="8">
        <v>43016.632407407407</v>
      </c>
      <c r="B143" s="20" t="s">
        <v>635</v>
      </c>
      <c r="C143" s="20" t="s">
        <v>764</v>
      </c>
      <c r="D143" s="138">
        <v>2970000</v>
      </c>
      <c r="E143" s="20" t="s">
        <v>727</v>
      </c>
      <c r="F143" s="20" t="s">
        <v>728</v>
      </c>
      <c r="G143" s="8" t="str">
        <f t="shared" si="4"/>
        <v>GUZMAN DANNY</v>
      </c>
      <c r="H143" s="20" t="str">
        <f t="shared" si="5"/>
        <v>4060</v>
      </c>
    </row>
    <row r="144" spans="1:8" x14ac:dyDescent="0.25">
      <c r="A144" s="8">
        <v>43016.635185185187</v>
      </c>
      <c r="B144" s="20" t="s">
        <v>587</v>
      </c>
      <c r="C144" s="20" t="s">
        <v>765</v>
      </c>
      <c r="D144" s="138">
        <v>2230000</v>
      </c>
      <c r="E144" s="20" t="s">
        <v>738</v>
      </c>
      <c r="F144" s="20" t="s">
        <v>419</v>
      </c>
      <c r="G144" s="8" t="str">
        <f t="shared" si="4"/>
        <v>SMITH MICHAEL</v>
      </c>
      <c r="H144" s="20" t="str">
        <f t="shared" si="5"/>
        <v>4005</v>
      </c>
    </row>
    <row r="145" spans="1:8" x14ac:dyDescent="0.25">
      <c r="A145" s="8">
        <v>43016.641736111109</v>
      </c>
      <c r="B145" s="20" t="s">
        <v>389</v>
      </c>
      <c r="C145" s="20" t="s">
        <v>603</v>
      </c>
      <c r="D145" s="138">
        <v>2420000</v>
      </c>
      <c r="E145" s="20" t="s">
        <v>471</v>
      </c>
      <c r="F145" s="20" t="s">
        <v>472</v>
      </c>
      <c r="G145" s="8" t="str">
        <f t="shared" si="4"/>
        <v>HOLCOMB KAMDEN</v>
      </c>
      <c r="H145" s="20" t="str">
        <f t="shared" si="5"/>
        <v>4063</v>
      </c>
    </row>
    <row r="146" spans="1:8" x14ac:dyDescent="0.25">
      <c r="A146" s="8">
        <v>43016.642488425925</v>
      </c>
      <c r="B146" s="20" t="s">
        <v>600</v>
      </c>
      <c r="C146" s="20" t="s">
        <v>766</v>
      </c>
      <c r="D146" s="138">
        <v>2550000</v>
      </c>
      <c r="E146" s="20" t="s">
        <v>509</v>
      </c>
      <c r="F146" s="20" t="s">
        <v>510</v>
      </c>
      <c r="G146" s="8" t="str">
        <f t="shared" si="4"/>
        <v>BADERTSCHER DIANE</v>
      </c>
      <c r="H146" s="20" t="str">
        <f t="shared" si="5"/>
        <v>4036</v>
      </c>
    </row>
    <row r="147" spans="1:8" x14ac:dyDescent="0.25">
      <c r="A147" s="8">
        <v>43016.651724537034</v>
      </c>
      <c r="B147" s="20" t="s">
        <v>389</v>
      </c>
      <c r="C147" s="20" t="s">
        <v>603</v>
      </c>
      <c r="D147" s="138">
        <v>2420000</v>
      </c>
      <c r="E147" s="20" t="s">
        <v>471</v>
      </c>
      <c r="F147" s="20" t="s">
        <v>472</v>
      </c>
      <c r="G147" s="8" t="str">
        <f t="shared" si="4"/>
        <v>HOLCOMB KAMDEN</v>
      </c>
      <c r="H147" s="20" t="str">
        <f t="shared" si="5"/>
        <v>4063</v>
      </c>
    </row>
    <row r="148" spans="1:8" x14ac:dyDescent="0.25">
      <c r="A148" s="8">
        <v>43016.652743055558</v>
      </c>
      <c r="B148" s="20" t="s">
        <v>500</v>
      </c>
      <c r="C148" s="20" t="s">
        <v>767</v>
      </c>
      <c r="D148" s="138">
        <v>2350000</v>
      </c>
      <c r="E148" s="20" t="s">
        <v>467</v>
      </c>
      <c r="F148" s="20" t="s">
        <v>468</v>
      </c>
      <c r="G148" s="8" t="str">
        <f t="shared" si="4"/>
        <v>BERLING GARY</v>
      </c>
      <c r="H148" s="20" t="str">
        <f t="shared" si="5"/>
        <v>4016</v>
      </c>
    </row>
    <row r="149" spans="1:8" x14ac:dyDescent="0.25">
      <c r="A149" s="8">
        <v>43016.653182870374</v>
      </c>
      <c r="B149" s="20" t="s">
        <v>598</v>
      </c>
      <c r="C149" s="20" t="s">
        <v>768</v>
      </c>
      <c r="D149" s="138">
        <v>920000</v>
      </c>
      <c r="E149" s="20" t="s">
        <v>342</v>
      </c>
      <c r="F149" s="20" t="s">
        <v>419</v>
      </c>
      <c r="G149" s="8" t="str">
        <f t="shared" si="4"/>
        <v>DAVIS MICHAEL</v>
      </c>
      <c r="H149" s="20" t="str">
        <f t="shared" si="5"/>
        <v>4049</v>
      </c>
    </row>
    <row r="150" spans="1:8" x14ac:dyDescent="0.25">
      <c r="A150" s="8">
        <v>43016.656851851854</v>
      </c>
      <c r="B150" s="20" t="s">
        <v>462</v>
      </c>
      <c r="C150" s="20" t="s">
        <v>769</v>
      </c>
      <c r="D150" s="138">
        <v>2630000</v>
      </c>
      <c r="E150" s="20" t="s">
        <v>744</v>
      </c>
      <c r="F150" s="20" t="s">
        <v>745</v>
      </c>
      <c r="G150" s="8" t="str">
        <f t="shared" si="4"/>
        <v>SAFIEF AEIMEN</v>
      </c>
      <c r="H150" s="20" t="str">
        <f t="shared" si="5"/>
        <v>4065</v>
      </c>
    </row>
    <row r="151" spans="1:8" x14ac:dyDescent="0.25">
      <c r="A151" s="8">
        <v>43016.663055555553</v>
      </c>
      <c r="B151" s="20" t="s">
        <v>425</v>
      </c>
      <c r="C151" s="20" t="s">
        <v>770</v>
      </c>
      <c r="D151" s="138">
        <v>880000</v>
      </c>
      <c r="E151" s="20" t="s">
        <v>511</v>
      </c>
      <c r="F151" s="20" t="s">
        <v>419</v>
      </c>
      <c r="G151" s="8" t="str">
        <f t="shared" si="4"/>
        <v>STEWART MICHAEL</v>
      </c>
      <c r="H151" s="20" t="str">
        <f t="shared" si="5"/>
        <v>4002</v>
      </c>
    </row>
    <row r="152" spans="1:8" x14ac:dyDescent="0.25">
      <c r="A152" s="8">
        <v>43016.663761574076</v>
      </c>
      <c r="B152" s="20" t="s">
        <v>583</v>
      </c>
      <c r="C152" s="20" t="s">
        <v>771</v>
      </c>
      <c r="D152" s="138">
        <v>2970000</v>
      </c>
      <c r="E152" s="20" t="s">
        <v>727</v>
      </c>
      <c r="F152" s="20" t="s">
        <v>728</v>
      </c>
      <c r="G152" s="8" t="str">
        <f t="shared" si="4"/>
        <v>GUZMAN DANNY</v>
      </c>
      <c r="H152" s="20" t="str">
        <f t="shared" si="5"/>
        <v>4059</v>
      </c>
    </row>
    <row r="153" spans="1:8" x14ac:dyDescent="0.25">
      <c r="A153" s="8">
        <v>43016.670995370368</v>
      </c>
      <c r="B153" s="20" t="s">
        <v>391</v>
      </c>
      <c r="C153" s="20" t="s">
        <v>604</v>
      </c>
      <c r="D153" s="138">
        <v>2420000</v>
      </c>
      <c r="E153" s="20" t="s">
        <v>471</v>
      </c>
      <c r="F153" s="20" t="s">
        <v>472</v>
      </c>
      <c r="G153" s="8" t="str">
        <f t="shared" si="4"/>
        <v>HOLCOMB KAMDEN</v>
      </c>
      <c r="H153" s="20" t="str">
        <f t="shared" si="5"/>
        <v>4064</v>
      </c>
    </row>
    <row r="154" spans="1:8" x14ac:dyDescent="0.25">
      <c r="A154" s="8">
        <v>43016.672326388885</v>
      </c>
      <c r="B154" s="20" t="s">
        <v>664</v>
      </c>
      <c r="C154" s="20" t="s">
        <v>772</v>
      </c>
      <c r="D154" s="138">
        <v>2230000</v>
      </c>
      <c r="E154" s="20" t="s">
        <v>738</v>
      </c>
      <c r="F154" s="20" t="s">
        <v>419</v>
      </c>
      <c r="G154" s="8" t="str">
        <f t="shared" si="4"/>
        <v>SMITH MICHAEL</v>
      </c>
      <c r="H154" s="20" t="str">
        <f t="shared" si="5"/>
        <v>4006</v>
      </c>
    </row>
    <row r="155" spans="1:8" x14ac:dyDescent="0.25">
      <c r="A155" s="8">
        <v>43016.680266203701</v>
      </c>
      <c r="B155" s="20" t="s">
        <v>595</v>
      </c>
      <c r="C155" s="20" t="s">
        <v>773</v>
      </c>
      <c r="D155" s="138">
        <v>2550000</v>
      </c>
      <c r="E155" s="20" t="s">
        <v>509</v>
      </c>
      <c r="F155" s="20" t="s">
        <v>510</v>
      </c>
      <c r="G155" s="8" t="str">
        <f t="shared" si="4"/>
        <v>BADERTSCHER DIANE</v>
      </c>
      <c r="H155" s="20" t="str">
        <f t="shared" si="5"/>
        <v>4035</v>
      </c>
    </row>
    <row r="156" spans="1:8" x14ac:dyDescent="0.25">
      <c r="A156" s="8">
        <v>43016.685127314813</v>
      </c>
      <c r="B156" s="20" t="s">
        <v>389</v>
      </c>
      <c r="C156" s="20" t="s">
        <v>774</v>
      </c>
      <c r="D156" s="138">
        <v>2420000</v>
      </c>
      <c r="E156" s="20" t="s">
        <v>471</v>
      </c>
      <c r="F156" s="20" t="s">
        <v>472</v>
      </c>
      <c r="G156" s="8" t="str">
        <f t="shared" si="4"/>
        <v>HOLCOMB KAMDEN</v>
      </c>
      <c r="H156" s="20" t="str">
        <f t="shared" si="5"/>
        <v>4063</v>
      </c>
    </row>
    <row r="157" spans="1:8" x14ac:dyDescent="0.25">
      <c r="A157" s="8">
        <v>43016.686018518521</v>
      </c>
      <c r="B157" s="20" t="s">
        <v>591</v>
      </c>
      <c r="C157" s="20" t="s">
        <v>775</v>
      </c>
      <c r="D157" s="138">
        <v>2540000</v>
      </c>
      <c r="E157" s="20" t="s">
        <v>473</v>
      </c>
      <c r="F157" s="20" t="s">
        <v>474</v>
      </c>
      <c r="G157" s="8" t="str">
        <f t="shared" si="4"/>
        <v>MCREYNOLDS KYLE</v>
      </c>
      <c r="H157" s="20" t="str">
        <f t="shared" si="5"/>
        <v>4032</v>
      </c>
    </row>
    <row r="158" spans="1:8" x14ac:dyDescent="0.25">
      <c r="A158" s="8">
        <v>43016.686030092591</v>
      </c>
      <c r="B158" s="20" t="s">
        <v>606</v>
      </c>
      <c r="C158" s="20" t="s">
        <v>607</v>
      </c>
      <c r="D158" s="138">
        <v>920000</v>
      </c>
      <c r="E158" s="20" t="s">
        <v>342</v>
      </c>
      <c r="F158" s="20" t="s">
        <v>419</v>
      </c>
      <c r="G158" s="8" t="str">
        <f t="shared" si="4"/>
        <v>DAVIS MICHAEL</v>
      </c>
      <c r="H158" s="20" t="str">
        <f t="shared" si="5"/>
        <v>4050</v>
      </c>
    </row>
    <row r="159" spans="1:8" x14ac:dyDescent="0.25">
      <c r="A159" s="8">
        <v>43016.691840277781</v>
      </c>
      <c r="B159" s="20" t="s">
        <v>501</v>
      </c>
      <c r="C159" s="20" t="s">
        <v>605</v>
      </c>
      <c r="D159" s="138">
        <v>2350000</v>
      </c>
      <c r="E159" s="20" t="s">
        <v>467</v>
      </c>
      <c r="F159" s="20" t="s">
        <v>468</v>
      </c>
      <c r="G159" s="8" t="str">
        <f t="shared" si="4"/>
        <v>BERLING GARY</v>
      </c>
      <c r="H159" s="20" t="str">
        <f t="shared" si="5"/>
        <v>4015</v>
      </c>
    </row>
    <row r="160" spans="1:8" x14ac:dyDescent="0.25">
      <c r="A160" s="8">
        <v>43016.693877314814</v>
      </c>
      <c r="B160" s="20" t="s">
        <v>455</v>
      </c>
      <c r="C160" s="20" t="s">
        <v>776</v>
      </c>
      <c r="D160" s="138">
        <v>2630000</v>
      </c>
      <c r="E160" s="20" t="s">
        <v>744</v>
      </c>
      <c r="F160" s="20" t="s">
        <v>745</v>
      </c>
      <c r="G160" s="8" t="str">
        <f t="shared" si="4"/>
        <v>SAFIEF AEIMEN</v>
      </c>
      <c r="H160" s="20" t="str">
        <f t="shared" si="5"/>
        <v>4066</v>
      </c>
    </row>
    <row r="161" spans="1:8" x14ac:dyDescent="0.25">
      <c r="A161" s="8">
        <v>43016.702268518522</v>
      </c>
      <c r="B161" s="20" t="s">
        <v>497</v>
      </c>
      <c r="C161" s="20" t="s">
        <v>777</v>
      </c>
      <c r="D161" s="138">
        <v>880000</v>
      </c>
      <c r="E161" s="20" t="s">
        <v>511</v>
      </c>
      <c r="F161" s="20" t="s">
        <v>419</v>
      </c>
      <c r="G161" s="8" t="str">
        <f t="shared" si="4"/>
        <v>STEWART MICHAEL</v>
      </c>
      <c r="H161" s="20" t="str">
        <f t="shared" si="5"/>
        <v>4001</v>
      </c>
    </row>
    <row r="162" spans="1:8" x14ac:dyDescent="0.25">
      <c r="A162" s="8">
        <v>43016.705208333333</v>
      </c>
      <c r="B162" s="20" t="s">
        <v>635</v>
      </c>
      <c r="C162" s="20" t="s">
        <v>778</v>
      </c>
      <c r="D162" s="138">
        <v>2970000</v>
      </c>
      <c r="E162" s="20" t="s">
        <v>727</v>
      </c>
      <c r="F162" s="20" t="s">
        <v>728</v>
      </c>
      <c r="G162" s="8" t="str">
        <f t="shared" si="4"/>
        <v>GUZMAN DANNY</v>
      </c>
      <c r="H162" s="20" t="str">
        <f t="shared" si="5"/>
        <v>4060</v>
      </c>
    </row>
    <row r="163" spans="1:8" x14ac:dyDescent="0.25">
      <c r="A163" s="8">
        <v>43016.712187500001</v>
      </c>
      <c r="B163" s="20" t="s">
        <v>587</v>
      </c>
      <c r="C163" s="20" t="s">
        <v>779</v>
      </c>
      <c r="D163" s="138">
        <v>2230000</v>
      </c>
      <c r="E163" s="20" t="s">
        <v>738</v>
      </c>
      <c r="F163" s="20" t="s">
        <v>419</v>
      </c>
      <c r="G163" s="8" t="str">
        <f t="shared" si="4"/>
        <v>SMITH MICHAEL</v>
      </c>
      <c r="H163" s="20" t="str">
        <f t="shared" si="5"/>
        <v>4005</v>
      </c>
    </row>
    <row r="164" spans="1:8" x14ac:dyDescent="0.25">
      <c r="A164" s="8">
        <v>43016.713541666664</v>
      </c>
      <c r="B164" s="20" t="s">
        <v>391</v>
      </c>
      <c r="C164" s="20" t="s">
        <v>608</v>
      </c>
      <c r="D164" s="138">
        <v>2420000</v>
      </c>
      <c r="E164" s="20" t="s">
        <v>471</v>
      </c>
      <c r="F164" s="20" t="s">
        <v>472</v>
      </c>
      <c r="G164" s="8" t="str">
        <f t="shared" si="4"/>
        <v>HOLCOMB KAMDEN</v>
      </c>
      <c r="H164" s="20" t="str">
        <f t="shared" si="5"/>
        <v>4064</v>
      </c>
    </row>
    <row r="165" spans="1:8" x14ac:dyDescent="0.25">
      <c r="A165" s="8">
        <v>43016.715937499997</v>
      </c>
      <c r="B165" s="20" t="s">
        <v>600</v>
      </c>
      <c r="C165" s="20" t="s">
        <v>780</v>
      </c>
      <c r="D165" s="138">
        <v>2000000</v>
      </c>
      <c r="E165" s="20" t="s">
        <v>781</v>
      </c>
      <c r="F165" s="20" t="s">
        <v>365</v>
      </c>
      <c r="G165" s="8" t="str">
        <f t="shared" si="4"/>
        <v>STAMBAUGH JAMES</v>
      </c>
      <c r="H165" s="20" t="str">
        <f t="shared" si="5"/>
        <v>4036</v>
      </c>
    </row>
    <row r="166" spans="1:8" x14ac:dyDescent="0.25">
      <c r="A166" s="8">
        <v>43016.718252314815</v>
      </c>
      <c r="B166" s="20" t="s">
        <v>376</v>
      </c>
      <c r="C166" s="20" t="s">
        <v>782</v>
      </c>
      <c r="D166" s="138">
        <v>3330000</v>
      </c>
      <c r="E166" s="20" t="s">
        <v>714</v>
      </c>
      <c r="F166" s="20" t="s">
        <v>715</v>
      </c>
      <c r="G166" s="8" t="str">
        <f t="shared" si="4"/>
        <v>GONZALEZ ARMANDO</v>
      </c>
      <c r="H166" s="20" t="str">
        <f t="shared" si="5"/>
        <v>4058</v>
      </c>
    </row>
    <row r="167" spans="1:8" x14ac:dyDescent="0.25">
      <c r="A167" s="8">
        <v>43016.725416666668</v>
      </c>
      <c r="B167" s="20" t="s">
        <v>462</v>
      </c>
      <c r="C167" s="20" t="s">
        <v>783</v>
      </c>
      <c r="D167" s="138">
        <v>2630000</v>
      </c>
      <c r="E167" s="20" t="s">
        <v>744</v>
      </c>
      <c r="F167" s="20" t="s">
        <v>745</v>
      </c>
      <c r="G167" s="8" t="str">
        <f t="shared" si="4"/>
        <v>SAFIEF AEIMEN</v>
      </c>
      <c r="H167" s="20" t="str">
        <f t="shared" si="5"/>
        <v>4065</v>
      </c>
    </row>
    <row r="168" spans="1:8" x14ac:dyDescent="0.25">
      <c r="A168" s="8">
        <v>43016.725937499999</v>
      </c>
      <c r="B168" s="20" t="s">
        <v>598</v>
      </c>
      <c r="C168" s="20" t="s">
        <v>784</v>
      </c>
      <c r="D168" s="138">
        <v>920000</v>
      </c>
      <c r="E168" s="20" t="s">
        <v>342</v>
      </c>
      <c r="F168" s="20" t="s">
        <v>419</v>
      </c>
      <c r="G168" s="8" t="str">
        <f t="shared" si="4"/>
        <v>DAVIS MICHAEL</v>
      </c>
      <c r="H168" s="20" t="str">
        <f t="shared" si="5"/>
        <v>4049</v>
      </c>
    </row>
    <row r="169" spans="1:8" x14ac:dyDescent="0.25">
      <c r="A169" s="8">
        <v>43016.72625</v>
      </c>
      <c r="B169" s="20" t="s">
        <v>389</v>
      </c>
      <c r="C169" s="20" t="s">
        <v>609</v>
      </c>
      <c r="D169" s="138">
        <v>2420000</v>
      </c>
      <c r="E169" s="20" t="s">
        <v>471</v>
      </c>
      <c r="F169" s="20" t="s">
        <v>472</v>
      </c>
      <c r="G169" s="8" t="str">
        <f t="shared" si="4"/>
        <v>HOLCOMB KAMDEN</v>
      </c>
      <c r="H169" s="20" t="str">
        <f t="shared" si="5"/>
        <v>4063</v>
      </c>
    </row>
    <row r="170" spans="1:8" x14ac:dyDescent="0.25">
      <c r="A170" s="8">
        <v>43016.7265625</v>
      </c>
      <c r="B170" s="20" t="s">
        <v>500</v>
      </c>
      <c r="C170" s="20" t="s">
        <v>785</v>
      </c>
      <c r="D170" s="138">
        <v>2350000</v>
      </c>
      <c r="E170" s="20" t="s">
        <v>467</v>
      </c>
      <c r="F170" s="20" t="s">
        <v>468</v>
      </c>
      <c r="G170" s="8" t="str">
        <f t="shared" si="4"/>
        <v>BERLING GARY</v>
      </c>
      <c r="H170" s="20" t="str">
        <f t="shared" si="5"/>
        <v>4016</v>
      </c>
    </row>
    <row r="171" spans="1:8" x14ac:dyDescent="0.25">
      <c r="A171" s="8">
        <v>43016.73678240741</v>
      </c>
      <c r="B171" s="20" t="s">
        <v>583</v>
      </c>
      <c r="C171" s="20" t="s">
        <v>786</v>
      </c>
      <c r="D171" s="138">
        <v>2970000</v>
      </c>
      <c r="E171" s="20" t="s">
        <v>727</v>
      </c>
      <c r="F171" s="20" t="s">
        <v>728</v>
      </c>
      <c r="G171" s="8" t="str">
        <f t="shared" si="4"/>
        <v>GUZMAN DANNY</v>
      </c>
      <c r="H171" s="20" t="str">
        <f t="shared" si="5"/>
        <v>4059</v>
      </c>
    </row>
    <row r="172" spans="1:8" x14ac:dyDescent="0.25">
      <c r="A172" s="8">
        <v>43016.738530092596</v>
      </c>
      <c r="B172" s="20" t="s">
        <v>425</v>
      </c>
      <c r="C172" s="20" t="s">
        <v>787</v>
      </c>
      <c r="D172" s="138">
        <v>890000</v>
      </c>
      <c r="E172" s="20" t="s">
        <v>362</v>
      </c>
      <c r="F172" s="20" t="s">
        <v>363</v>
      </c>
      <c r="G172" s="8" t="str">
        <f t="shared" si="4"/>
        <v>LOZA FIDEL</v>
      </c>
      <c r="H172" s="20" t="str">
        <f t="shared" si="5"/>
        <v>4002</v>
      </c>
    </row>
    <row r="173" spans="1:8" x14ac:dyDescent="0.25">
      <c r="A173" s="8">
        <v>43016.745115740741</v>
      </c>
      <c r="B173" s="20" t="s">
        <v>664</v>
      </c>
      <c r="C173" s="20" t="s">
        <v>788</v>
      </c>
      <c r="D173" s="138">
        <v>2030000</v>
      </c>
      <c r="E173" s="20" t="s">
        <v>789</v>
      </c>
      <c r="F173" s="20" t="s">
        <v>412</v>
      </c>
      <c r="G173" s="8" t="str">
        <f t="shared" si="4"/>
        <v>KILLION DAVID</v>
      </c>
      <c r="H173" s="20" t="str">
        <f t="shared" si="5"/>
        <v>4006</v>
      </c>
    </row>
    <row r="174" spans="1:8" x14ac:dyDescent="0.25">
      <c r="A174" s="8">
        <v>43016.74658564815</v>
      </c>
      <c r="B174" s="20" t="s">
        <v>496</v>
      </c>
      <c r="C174" s="20" t="s">
        <v>790</v>
      </c>
      <c r="D174" s="138">
        <v>3290000</v>
      </c>
      <c r="E174" s="20" t="s">
        <v>791</v>
      </c>
      <c r="F174" s="20" t="s">
        <v>792</v>
      </c>
      <c r="G174" s="8" t="str">
        <f t="shared" si="4"/>
        <v>CASSIDY BRANDON</v>
      </c>
      <c r="H174" s="20" t="str">
        <f t="shared" si="5"/>
        <v>4041</v>
      </c>
    </row>
    <row r="175" spans="1:8" x14ac:dyDescent="0.25">
      <c r="A175" s="8">
        <v>43016.755543981482</v>
      </c>
      <c r="B175" s="20" t="s">
        <v>391</v>
      </c>
      <c r="C175" s="20" t="s">
        <v>793</v>
      </c>
      <c r="D175" s="138">
        <v>2420000</v>
      </c>
      <c r="E175" s="20" t="s">
        <v>471</v>
      </c>
      <c r="F175" s="20" t="s">
        <v>472</v>
      </c>
      <c r="G175" s="8" t="str">
        <f t="shared" si="4"/>
        <v>HOLCOMB KAMDEN</v>
      </c>
      <c r="H175" s="20" t="str">
        <f t="shared" si="5"/>
        <v>4064</v>
      </c>
    </row>
    <row r="176" spans="1:8" x14ac:dyDescent="0.25">
      <c r="A176" s="8">
        <v>43016.75640046296</v>
      </c>
      <c r="B176" s="20" t="s">
        <v>595</v>
      </c>
      <c r="C176" s="20" t="s">
        <v>794</v>
      </c>
      <c r="D176" s="138">
        <v>2000000</v>
      </c>
      <c r="E176" s="20" t="s">
        <v>781</v>
      </c>
      <c r="F176" s="20" t="s">
        <v>365</v>
      </c>
      <c r="G176" s="8" t="str">
        <f t="shared" si="4"/>
        <v>STAMBAUGH JAMES</v>
      </c>
      <c r="H176" s="20" t="str">
        <f t="shared" si="5"/>
        <v>4035</v>
      </c>
    </row>
    <row r="177" spans="1:8" x14ac:dyDescent="0.25">
      <c r="A177" s="8">
        <v>43016.756689814814</v>
      </c>
      <c r="B177" s="20" t="s">
        <v>606</v>
      </c>
      <c r="C177" s="20" t="s">
        <v>610</v>
      </c>
      <c r="D177" s="138">
        <v>3340000</v>
      </c>
      <c r="E177" s="20" t="s">
        <v>627</v>
      </c>
      <c r="F177" s="20" t="s">
        <v>628</v>
      </c>
      <c r="G177" s="8" t="str">
        <f t="shared" si="4"/>
        <v>ELBAUM MIKE</v>
      </c>
      <c r="H177" s="20" t="str">
        <f t="shared" si="5"/>
        <v>4050</v>
      </c>
    </row>
    <row r="178" spans="1:8" x14ac:dyDescent="0.25">
      <c r="A178" s="8">
        <v>43016.765405092592</v>
      </c>
      <c r="B178" s="20" t="s">
        <v>501</v>
      </c>
      <c r="C178" s="20" t="s">
        <v>795</v>
      </c>
      <c r="D178" s="138">
        <v>2350000</v>
      </c>
      <c r="E178" s="20" t="s">
        <v>467</v>
      </c>
      <c r="F178" s="20" t="s">
        <v>468</v>
      </c>
      <c r="G178" s="8" t="str">
        <f t="shared" si="4"/>
        <v>BERLING GARY</v>
      </c>
      <c r="H178" s="20" t="str">
        <f t="shared" si="5"/>
        <v>4015</v>
      </c>
    </row>
    <row r="179" spans="1:8" x14ac:dyDescent="0.25">
      <c r="A179" s="8">
        <v>43016.765833333331</v>
      </c>
      <c r="B179" s="20" t="s">
        <v>455</v>
      </c>
      <c r="C179" s="20" t="s">
        <v>796</v>
      </c>
      <c r="D179" s="138">
        <v>2680000</v>
      </c>
      <c r="E179" s="20" t="s">
        <v>368</v>
      </c>
      <c r="F179" s="20" t="s">
        <v>369</v>
      </c>
      <c r="G179" s="8" t="str">
        <f t="shared" si="4"/>
        <v>DUNCAN SHEILA</v>
      </c>
      <c r="H179" s="20" t="str">
        <f t="shared" si="5"/>
        <v>4066</v>
      </c>
    </row>
    <row r="180" spans="1:8" x14ac:dyDescent="0.25">
      <c r="A180" s="8">
        <v>43016.769432870373</v>
      </c>
      <c r="B180" s="20" t="s">
        <v>389</v>
      </c>
      <c r="C180" s="20" t="s">
        <v>797</v>
      </c>
      <c r="D180" s="138">
        <v>2420000</v>
      </c>
      <c r="E180" s="20" t="s">
        <v>471</v>
      </c>
      <c r="F180" s="20" t="s">
        <v>472</v>
      </c>
      <c r="G180" s="8" t="str">
        <f t="shared" si="4"/>
        <v>HOLCOMB KAMDEN</v>
      </c>
      <c r="H180" s="20" t="str">
        <f t="shared" si="5"/>
        <v>4063</v>
      </c>
    </row>
    <row r="181" spans="1:8" x14ac:dyDescent="0.25">
      <c r="A181" s="8">
        <v>43016.776273148149</v>
      </c>
      <c r="B181" s="20" t="s">
        <v>635</v>
      </c>
      <c r="C181" s="20" t="s">
        <v>798</v>
      </c>
      <c r="D181" s="138">
        <v>2970000</v>
      </c>
      <c r="E181" s="20" t="s">
        <v>727</v>
      </c>
      <c r="F181" s="20" t="s">
        <v>728</v>
      </c>
      <c r="G181" s="8" t="str">
        <f t="shared" si="4"/>
        <v>GUZMAN DANNY</v>
      </c>
      <c r="H181" s="20" t="str">
        <f t="shared" si="5"/>
        <v>4060</v>
      </c>
    </row>
    <row r="182" spans="1:8" x14ac:dyDescent="0.25">
      <c r="A182" s="8">
        <v>43016.777094907404</v>
      </c>
      <c r="B182" s="20" t="s">
        <v>497</v>
      </c>
      <c r="C182" s="20" t="s">
        <v>799</v>
      </c>
      <c r="D182" s="138">
        <v>890000</v>
      </c>
      <c r="E182" s="20" t="s">
        <v>362</v>
      </c>
      <c r="F182" s="20" t="s">
        <v>363</v>
      </c>
      <c r="G182" s="8" t="str">
        <f t="shared" si="4"/>
        <v>LOZA FIDEL</v>
      </c>
      <c r="H182" s="20" t="str">
        <f t="shared" si="5"/>
        <v>4001</v>
      </c>
    </row>
    <row r="183" spans="1:8" x14ac:dyDescent="0.25">
      <c r="A183" s="8">
        <v>43016.781898148147</v>
      </c>
      <c r="B183" s="20" t="s">
        <v>587</v>
      </c>
      <c r="C183" s="20" t="s">
        <v>800</v>
      </c>
      <c r="D183" s="138">
        <v>2030000</v>
      </c>
      <c r="E183" s="20" t="s">
        <v>789</v>
      </c>
      <c r="F183" s="20" t="s">
        <v>412</v>
      </c>
      <c r="G183" s="8" t="str">
        <f t="shared" si="4"/>
        <v>KILLION DAVID</v>
      </c>
      <c r="H183" s="20" t="str">
        <f t="shared" si="5"/>
        <v>4005</v>
      </c>
    </row>
    <row r="184" spans="1:8" x14ac:dyDescent="0.25">
      <c r="A184" s="8">
        <v>43016.789212962962</v>
      </c>
      <c r="B184" s="20" t="s">
        <v>600</v>
      </c>
      <c r="C184" s="20" t="s">
        <v>801</v>
      </c>
      <c r="D184" s="138">
        <v>2000000</v>
      </c>
      <c r="E184" s="20" t="s">
        <v>781</v>
      </c>
      <c r="F184" s="20" t="s">
        <v>365</v>
      </c>
      <c r="G184" s="8" t="str">
        <f t="shared" si="4"/>
        <v>STAMBAUGH JAMES</v>
      </c>
      <c r="H184" s="20" t="str">
        <f t="shared" si="5"/>
        <v>4036</v>
      </c>
    </row>
    <row r="185" spans="1:8" x14ac:dyDescent="0.25">
      <c r="A185" s="8">
        <v>43016.792974537035</v>
      </c>
      <c r="B185" s="20" t="s">
        <v>598</v>
      </c>
      <c r="C185" s="20" t="s">
        <v>802</v>
      </c>
      <c r="D185" s="138">
        <v>3340000</v>
      </c>
      <c r="E185" s="20" t="s">
        <v>627</v>
      </c>
      <c r="F185" s="20" t="s">
        <v>628</v>
      </c>
      <c r="G185" s="8" t="str">
        <f t="shared" si="4"/>
        <v>ELBAUM MIKE</v>
      </c>
      <c r="H185" s="20" t="str">
        <f t="shared" si="5"/>
        <v>4049</v>
      </c>
    </row>
    <row r="186" spans="1:8" x14ac:dyDescent="0.25">
      <c r="A186" s="8">
        <v>43016.799363425926</v>
      </c>
      <c r="B186" s="20" t="s">
        <v>500</v>
      </c>
      <c r="C186" s="20" t="s">
        <v>803</v>
      </c>
      <c r="D186" s="138">
        <v>2420000</v>
      </c>
      <c r="E186" s="20" t="s">
        <v>471</v>
      </c>
      <c r="F186" s="20" t="s">
        <v>472</v>
      </c>
      <c r="G186" s="8" t="str">
        <f t="shared" si="4"/>
        <v>HOLCOMB KAMDEN</v>
      </c>
      <c r="H186" s="20" t="str">
        <f t="shared" si="5"/>
        <v>4016</v>
      </c>
    </row>
    <row r="187" spans="1:8" x14ac:dyDescent="0.25">
      <c r="A187" s="8">
        <v>43016.801076388889</v>
      </c>
      <c r="B187" s="20" t="s">
        <v>391</v>
      </c>
      <c r="C187" s="20" t="s">
        <v>804</v>
      </c>
      <c r="D187" s="138">
        <v>2350000</v>
      </c>
      <c r="E187" s="20" t="s">
        <v>467</v>
      </c>
      <c r="F187" s="20" t="s">
        <v>468</v>
      </c>
      <c r="G187" s="8" t="str">
        <f t="shared" si="4"/>
        <v>BERLING GARY</v>
      </c>
      <c r="H187" s="20" t="str">
        <f t="shared" si="5"/>
        <v>4064</v>
      </c>
    </row>
    <row r="188" spans="1:8" x14ac:dyDescent="0.25">
      <c r="A188" s="8">
        <v>43016.80395833333</v>
      </c>
      <c r="B188" s="20" t="s">
        <v>462</v>
      </c>
      <c r="C188" s="20" t="s">
        <v>805</v>
      </c>
      <c r="D188" s="138">
        <v>2680000</v>
      </c>
      <c r="E188" s="20" t="s">
        <v>368</v>
      </c>
      <c r="F188" s="20" t="s">
        <v>369</v>
      </c>
      <c r="G188" s="8" t="str">
        <f t="shared" si="4"/>
        <v>DUNCAN SHEILA</v>
      </c>
      <c r="H188" s="20" t="str">
        <f t="shared" si="5"/>
        <v>4065</v>
      </c>
    </row>
    <row r="189" spans="1:8" x14ac:dyDescent="0.25">
      <c r="A189" s="8">
        <v>43016.808842592596</v>
      </c>
      <c r="B189" s="20" t="s">
        <v>425</v>
      </c>
      <c r="C189" s="20" t="s">
        <v>806</v>
      </c>
      <c r="D189" s="138">
        <v>890000</v>
      </c>
      <c r="E189" s="20" t="s">
        <v>362</v>
      </c>
      <c r="F189" s="20" t="s">
        <v>363</v>
      </c>
      <c r="G189" s="8" t="str">
        <f t="shared" si="4"/>
        <v>LOZA FIDEL</v>
      </c>
      <c r="H189" s="20" t="str">
        <f t="shared" si="5"/>
        <v>4002</v>
      </c>
    </row>
    <row r="190" spans="1:8" x14ac:dyDescent="0.25">
      <c r="A190" s="8">
        <v>43016.812395833331</v>
      </c>
      <c r="B190" s="20" t="s">
        <v>501</v>
      </c>
      <c r="C190" s="20" t="s">
        <v>611</v>
      </c>
      <c r="D190" s="138">
        <v>2420000</v>
      </c>
      <c r="E190" s="20" t="s">
        <v>471</v>
      </c>
      <c r="F190" s="20" t="s">
        <v>472</v>
      </c>
      <c r="G190" s="8" t="str">
        <f t="shared" si="4"/>
        <v>HOLCOMB KAMDEN</v>
      </c>
      <c r="H190" s="20" t="str">
        <f t="shared" si="5"/>
        <v>4015</v>
      </c>
    </row>
    <row r="191" spans="1:8" x14ac:dyDescent="0.25">
      <c r="A191" s="8">
        <v>43016.818749999999</v>
      </c>
      <c r="B191" s="20" t="s">
        <v>664</v>
      </c>
      <c r="C191" s="20" t="s">
        <v>807</v>
      </c>
      <c r="D191" s="138">
        <v>2030000</v>
      </c>
      <c r="E191" s="20" t="s">
        <v>789</v>
      </c>
      <c r="F191" s="20" t="s">
        <v>412</v>
      </c>
      <c r="G191" s="8" t="str">
        <f t="shared" si="4"/>
        <v>KILLION DAVID</v>
      </c>
      <c r="H191" s="20" t="str">
        <f t="shared" si="5"/>
        <v>4006</v>
      </c>
    </row>
    <row r="192" spans="1:8" x14ac:dyDescent="0.25">
      <c r="A192" s="8">
        <v>43016.826562499999</v>
      </c>
      <c r="B192" s="20" t="s">
        <v>595</v>
      </c>
      <c r="C192" s="20" t="s">
        <v>808</v>
      </c>
      <c r="D192" s="138">
        <v>2000000</v>
      </c>
      <c r="E192" s="20" t="s">
        <v>781</v>
      </c>
      <c r="F192" s="20" t="s">
        <v>365</v>
      </c>
      <c r="G192" s="8" t="str">
        <f t="shared" si="4"/>
        <v>STAMBAUGH JAMES</v>
      </c>
      <c r="H192" s="20" t="str">
        <f t="shared" si="5"/>
        <v>4035</v>
      </c>
    </row>
    <row r="193" spans="1:8" x14ac:dyDescent="0.25">
      <c r="A193" s="8">
        <v>43016.826932870368</v>
      </c>
      <c r="B193" s="20" t="s">
        <v>606</v>
      </c>
      <c r="C193" s="20" t="s">
        <v>809</v>
      </c>
      <c r="D193" s="138">
        <v>3340000</v>
      </c>
      <c r="E193" s="20" t="s">
        <v>627</v>
      </c>
      <c r="F193" s="20" t="s">
        <v>628</v>
      </c>
      <c r="G193" s="8" t="str">
        <f t="shared" si="4"/>
        <v>ELBAUM MIKE</v>
      </c>
      <c r="H193" s="20" t="str">
        <f t="shared" si="5"/>
        <v>4050</v>
      </c>
    </row>
    <row r="194" spans="1:8" x14ac:dyDescent="0.25">
      <c r="A194" s="8">
        <v>43016.832060185188</v>
      </c>
      <c r="B194" s="20" t="s">
        <v>390</v>
      </c>
      <c r="C194" s="20" t="s">
        <v>810</v>
      </c>
      <c r="D194" s="138">
        <v>3500000</v>
      </c>
      <c r="E194" s="20" t="s">
        <v>811</v>
      </c>
      <c r="F194" s="20" t="s">
        <v>812</v>
      </c>
      <c r="G194" s="8" t="str">
        <f t="shared" si="4"/>
        <v>GUNTHIER ERIC</v>
      </c>
      <c r="H194" s="20" t="str">
        <f t="shared" si="5"/>
        <v>4042</v>
      </c>
    </row>
    <row r="195" spans="1:8" x14ac:dyDescent="0.25">
      <c r="A195" s="8">
        <v>43016.839502314811</v>
      </c>
      <c r="B195" s="20" t="s">
        <v>500</v>
      </c>
      <c r="C195" s="20" t="s">
        <v>612</v>
      </c>
      <c r="D195" s="138">
        <v>2420000</v>
      </c>
      <c r="E195" s="20" t="s">
        <v>471</v>
      </c>
      <c r="F195" s="20" t="s">
        <v>472</v>
      </c>
      <c r="G195" s="8" t="str">
        <f t="shared" ref="G195:G258" si="6">E195&amp;" "&amp;F195</f>
        <v>HOLCOMB KAMDEN</v>
      </c>
      <c r="H195" s="20" t="str">
        <f t="shared" ref="H195:H258" si="7">MID(B195,13,4)</f>
        <v>4016</v>
      </c>
    </row>
    <row r="196" spans="1:8" x14ac:dyDescent="0.25">
      <c r="A196" s="8">
        <v>43016.84039351852</v>
      </c>
      <c r="B196" s="20" t="s">
        <v>455</v>
      </c>
      <c r="C196" s="20" t="s">
        <v>813</v>
      </c>
      <c r="D196" s="138">
        <v>2680000</v>
      </c>
      <c r="E196" s="20" t="s">
        <v>368</v>
      </c>
      <c r="F196" s="20" t="s">
        <v>369</v>
      </c>
      <c r="G196" s="8" t="str">
        <f t="shared" si="6"/>
        <v>DUNCAN SHEILA</v>
      </c>
      <c r="H196" s="20" t="str">
        <f t="shared" si="7"/>
        <v>4066</v>
      </c>
    </row>
    <row r="197" spans="1:8" x14ac:dyDescent="0.25">
      <c r="A197" s="8">
        <v>43016.842002314814</v>
      </c>
      <c r="B197" s="20" t="s">
        <v>500</v>
      </c>
      <c r="C197" s="20" t="s">
        <v>612</v>
      </c>
      <c r="D197" s="138">
        <v>2420000</v>
      </c>
      <c r="E197" s="20" t="s">
        <v>471</v>
      </c>
      <c r="F197" s="20" t="s">
        <v>472</v>
      </c>
      <c r="G197" s="8" t="str">
        <f t="shared" si="6"/>
        <v>HOLCOMB KAMDEN</v>
      </c>
      <c r="H197" s="20" t="str">
        <f t="shared" si="7"/>
        <v>4016</v>
      </c>
    </row>
    <row r="198" spans="1:8" x14ac:dyDescent="0.25">
      <c r="A198" s="8">
        <v>43016.850370370368</v>
      </c>
      <c r="B198" s="20" t="s">
        <v>497</v>
      </c>
      <c r="C198" s="20" t="s">
        <v>814</v>
      </c>
      <c r="D198" s="138">
        <v>890000</v>
      </c>
      <c r="E198" s="20" t="s">
        <v>362</v>
      </c>
      <c r="F198" s="20" t="s">
        <v>363</v>
      </c>
      <c r="G198" s="8" t="str">
        <f t="shared" si="6"/>
        <v>LOZA FIDEL</v>
      </c>
      <c r="H198" s="20" t="str">
        <f t="shared" si="7"/>
        <v>4001</v>
      </c>
    </row>
    <row r="199" spans="1:8" x14ac:dyDescent="0.25">
      <c r="A199" s="8">
        <v>43016.853680555556</v>
      </c>
      <c r="B199" s="20" t="s">
        <v>501</v>
      </c>
      <c r="C199" s="20" t="s">
        <v>815</v>
      </c>
      <c r="D199" s="138">
        <v>2420000</v>
      </c>
      <c r="E199" s="20" t="s">
        <v>471</v>
      </c>
      <c r="F199" s="20" t="s">
        <v>472</v>
      </c>
      <c r="G199" s="8" t="str">
        <f t="shared" si="6"/>
        <v>HOLCOMB KAMDEN</v>
      </c>
      <c r="H199" s="20" t="str">
        <f t="shared" si="7"/>
        <v>4015</v>
      </c>
    </row>
    <row r="200" spans="1:8" x14ac:dyDescent="0.25">
      <c r="A200" s="8">
        <v>43016.855775462966</v>
      </c>
      <c r="B200" s="20" t="s">
        <v>410</v>
      </c>
      <c r="C200" s="20" t="s">
        <v>775</v>
      </c>
      <c r="D200" s="138">
        <v>3500000</v>
      </c>
      <c r="E200" s="20" t="s">
        <v>811</v>
      </c>
      <c r="F200" s="20" t="s">
        <v>812</v>
      </c>
      <c r="G200" s="8" t="str">
        <f t="shared" si="6"/>
        <v>GUNTHIER ERIC</v>
      </c>
      <c r="H200" s="20" t="str">
        <f t="shared" si="7"/>
        <v>4061</v>
      </c>
    </row>
    <row r="201" spans="1:8" x14ac:dyDescent="0.25">
      <c r="A201" s="8">
        <v>43016.85864583333</v>
      </c>
      <c r="B201" s="20" t="s">
        <v>600</v>
      </c>
      <c r="C201" s="20" t="s">
        <v>816</v>
      </c>
      <c r="D201" s="138">
        <v>2000000</v>
      </c>
      <c r="E201" s="20" t="s">
        <v>781</v>
      </c>
      <c r="F201" s="20" t="s">
        <v>365</v>
      </c>
      <c r="G201" s="8" t="str">
        <f t="shared" si="6"/>
        <v>STAMBAUGH JAMES</v>
      </c>
      <c r="H201" s="20" t="str">
        <f t="shared" si="7"/>
        <v>4036</v>
      </c>
    </row>
    <row r="202" spans="1:8" x14ac:dyDescent="0.25">
      <c r="A202" s="26">
        <v>43016.8596412037</v>
      </c>
      <c r="B202" s="20" t="s">
        <v>598</v>
      </c>
      <c r="C202" s="20" t="s">
        <v>817</v>
      </c>
      <c r="D202" s="138">
        <v>3340000</v>
      </c>
      <c r="E202" s="20" t="s">
        <v>627</v>
      </c>
      <c r="F202" s="20" t="s">
        <v>628</v>
      </c>
      <c r="G202" s="8" t="str">
        <f t="shared" si="6"/>
        <v>ELBAUM MIKE</v>
      </c>
      <c r="H202" s="20" t="str">
        <f t="shared" si="7"/>
        <v>4049</v>
      </c>
    </row>
    <row r="203" spans="1:8" x14ac:dyDescent="0.25">
      <c r="A203" s="8">
        <v>43016.879988425928</v>
      </c>
      <c r="B203" s="20" t="s">
        <v>500</v>
      </c>
      <c r="C203" s="20" t="s">
        <v>818</v>
      </c>
      <c r="D203" s="138">
        <v>2420000</v>
      </c>
      <c r="E203" s="20" t="s">
        <v>471</v>
      </c>
      <c r="F203" s="20" t="s">
        <v>472</v>
      </c>
      <c r="G203" s="8" t="str">
        <f t="shared" si="6"/>
        <v>HOLCOMB KAMDEN</v>
      </c>
      <c r="H203" s="20" t="str">
        <f t="shared" si="7"/>
        <v>4016</v>
      </c>
    </row>
    <row r="204" spans="1:8" x14ac:dyDescent="0.25">
      <c r="A204" s="8">
        <v>43016.880729166667</v>
      </c>
      <c r="B204" s="20" t="s">
        <v>462</v>
      </c>
      <c r="C204" s="20" t="s">
        <v>819</v>
      </c>
      <c r="D204" s="138">
        <v>2680000</v>
      </c>
      <c r="E204" s="20" t="s">
        <v>368</v>
      </c>
      <c r="F204" s="20" t="s">
        <v>369</v>
      </c>
      <c r="G204" s="8" t="str">
        <f t="shared" si="6"/>
        <v>DUNCAN SHEILA</v>
      </c>
      <c r="H204" s="20" t="str">
        <f t="shared" si="7"/>
        <v>4065</v>
      </c>
    </row>
    <row r="205" spans="1:8" x14ac:dyDescent="0.25">
      <c r="A205" s="8">
        <v>43016.884016203701</v>
      </c>
      <c r="B205" s="20" t="s">
        <v>425</v>
      </c>
      <c r="C205" s="20" t="s">
        <v>820</v>
      </c>
      <c r="D205" s="138">
        <v>890000</v>
      </c>
      <c r="E205" s="20" t="s">
        <v>362</v>
      </c>
      <c r="F205" s="20" t="s">
        <v>363</v>
      </c>
      <c r="G205" s="8" t="str">
        <f t="shared" si="6"/>
        <v>LOZA FIDEL</v>
      </c>
      <c r="H205" s="20" t="str">
        <f t="shared" si="7"/>
        <v>4002</v>
      </c>
    </row>
    <row r="206" spans="1:8" x14ac:dyDescent="0.25">
      <c r="A206" s="8">
        <v>43016.893645833334</v>
      </c>
      <c r="B206" s="20" t="s">
        <v>501</v>
      </c>
      <c r="C206" s="20" t="s">
        <v>613</v>
      </c>
      <c r="D206" s="138">
        <v>2420000</v>
      </c>
      <c r="E206" s="20" t="s">
        <v>471</v>
      </c>
      <c r="F206" s="20" t="s">
        <v>472</v>
      </c>
      <c r="G206" s="8" t="str">
        <f t="shared" si="6"/>
        <v>HOLCOMB KAMDEN</v>
      </c>
      <c r="H206" s="20" t="str">
        <f t="shared" si="7"/>
        <v>4015</v>
      </c>
    </row>
    <row r="207" spans="1:8" x14ac:dyDescent="0.25">
      <c r="A207" s="8">
        <v>43016.899930555555</v>
      </c>
      <c r="B207" s="20" t="s">
        <v>606</v>
      </c>
      <c r="C207" s="20" t="s">
        <v>821</v>
      </c>
      <c r="D207" s="138">
        <v>3340000</v>
      </c>
      <c r="E207" s="20" t="s">
        <v>627</v>
      </c>
      <c r="F207" s="20" t="s">
        <v>628</v>
      </c>
      <c r="G207" s="8" t="str">
        <f t="shared" si="6"/>
        <v>ELBAUM MIKE</v>
      </c>
      <c r="H207" s="20" t="str">
        <f t="shared" si="7"/>
        <v>4050</v>
      </c>
    </row>
    <row r="208" spans="1:8" x14ac:dyDescent="0.25">
      <c r="A208" s="8">
        <v>43016.900995370372</v>
      </c>
      <c r="B208" s="20" t="s">
        <v>606</v>
      </c>
      <c r="C208" s="20" t="s">
        <v>821</v>
      </c>
      <c r="D208" s="138">
        <v>3340000</v>
      </c>
      <c r="E208" s="20" t="s">
        <v>627</v>
      </c>
      <c r="F208" s="20" t="s">
        <v>628</v>
      </c>
      <c r="G208" s="8" t="str">
        <f t="shared" si="6"/>
        <v>ELBAUM MIKE</v>
      </c>
      <c r="H208" s="20" t="str">
        <f t="shared" si="7"/>
        <v>4050</v>
      </c>
    </row>
    <row r="209" spans="1:8" x14ac:dyDescent="0.25">
      <c r="A209" s="8">
        <v>43016.903055555558</v>
      </c>
      <c r="B209" s="20" t="s">
        <v>501</v>
      </c>
      <c r="C209" s="20" t="s">
        <v>613</v>
      </c>
      <c r="D209" s="138">
        <v>2420000</v>
      </c>
      <c r="E209" s="20" t="s">
        <v>471</v>
      </c>
      <c r="F209" s="20" t="s">
        <v>472</v>
      </c>
      <c r="G209" s="8" t="str">
        <f t="shared" si="6"/>
        <v>HOLCOMB KAMDEN</v>
      </c>
      <c r="H209" s="20" t="str">
        <f t="shared" si="7"/>
        <v>4015</v>
      </c>
    </row>
    <row r="210" spans="1:8" x14ac:dyDescent="0.25">
      <c r="A210" s="8">
        <v>43016.907280092593</v>
      </c>
      <c r="B210" s="20" t="s">
        <v>595</v>
      </c>
      <c r="C210" s="20" t="s">
        <v>822</v>
      </c>
      <c r="D210" s="138">
        <v>2000000</v>
      </c>
      <c r="E210" s="20" t="s">
        <v>781</v>
      </c>
      <c r="F210" s="20" t="s">
        <v>365</v>
      </c>
      <c r="G210" s="8" t="str">
        <f t="shared" si="6"/>
        <v>STAMBAUGH JAMES</v>
      </c>
      <c r="H210" s="20" t="str">
        <f t="shared" si="7"/>
        <v>4035</v>
      </c>
    </row>
    <row r="211" spans="1:8" x14ac:dyDescent="0.25">
      <c r="A211" s="8">
        <v>43016.92083333333</v>
      </c>
      <c r="B211" s="20" t="s">
        <v>500</v>
      </c>
      <c r="C211" s="20" t="s">
        <v>823</v>
      </c>
      <c r="D211" s="138">
        <v>2420000</v>
      </c>
      <c r="E211" s="20" t="s">
        <v>471</v>
      </c>
      <c r="F211" s="20" t="s">
        <v>472</v>
      </c>
      <c r="G211" s="8" t="str">
        <f t="shared" si="6"/>
        <v>HOLCOMB KAMDEN</v>
      </c>
      <c r="H211" s="20" t="str">
        <f t="shared" si="7"/>
        <v>4016</v>
      </c>
    </row>
    <row r="212" spans="1:8" x14ac:dyDescent="0.25">
      <c r="A212" s="8">
        <v>43016.922430555554</v>
      </c>
      <c r="B212" s="20" t="s">
        <v>455</v>
      </c>
      <c r="C212" s="20" t="s">
        <v>824</v>
      </c>
      <c r="D212" s="138">
        <v>2680000</v>
      </c>
      <c r="E212" s="20" t="s">
        <v>368</v>
      </c>
      <c r="F212" s="20" t="s">
        <v>369</v>
      </c>
      <c r="G212" s="8" t="str">
        <f t="shared" si="6"/>
        <v>DUNCAN SHEILA</v>
      </c>
      <c r="H212" s="20" t="str">
        <f t="shared" si="7"/>
        <v>4066</v>
      </c>
    </row>
    <row r="213" spans="1:8" x14ac:dyDescent="0.25">
      <c r="A213" s="8">
        <v>43016.933969907404</v>
      </c>
      <c r="B213" s="20" t="s">
        <v>501</v>
      </c>
      <c r="C213" s="20" t="s">
        <v>825</v>
      </c>
      <c r="D213" s="138">
        <v>2420000</v>
      </c>
      <c r="E213" s="20" t="s">
        <v>471</v>
      </c>
      <c r="F213" s="20" t="s">
        <v>472</v>
      </c>
      <c r="G213" s="8" t="str">
        <f t="shared" si="6"/>
        <v>HOLCOMB KAMDEN</v>
      </c>
      <c r="H213" s="20" t="str">
        <f t="shared" si="7"/>
        <v>4015</v>
      </c>
    </row>
    <row r="214" spans="1:8" x14ac:dyDescent="0.25">
      <c r="A214" s="8">
        <v>43016.934004629627</v>
      </c>
      <c r="B214" s="20" t="s">
        <v>497</v>
      </c>
      <c r="C214" s="20" t="s">
        <v>826</v>
      </c>
      <c r="D214" s="138">
        <v>890000</v>
      </c>
      <c r="E214" s="20" t="s">
        <v>362</v>
      </c>
      <c r="F214" s="20" t="s">
        <v>363</v>
      </c>
      <c r="G214" s="8" t="str">
        <f t="shared" si="6"/>
        <v>LOZA FIDEL</v>
      </c>
      <c r="H214" s="20" t="str">
        <f t="shared" si="7"/>
        <v>4001</v>
      </c>
    </row>
    <row r="215" spans="1:8" x14ac:dyDescent="0.25">
      <c r="A215" s="8">
        <v>43016.943425925929</v>
      </c>
      <c r="B215" s="20" t="s">
        <v>600</v>
      </c>
      <c r="C215" s="20" t="s">
        <v>615</v>
      </c>
      <c r="D215" s="138">
        <v>2000000</v>
      </c>
      <c r="E215" s="20" t="s">
        <v>781</v>
      </c>
      <c r="F215" s="20" t="s">
        <v>365</v>
      </c>
      <c r="G215" s="8" t="str">
        <f t="shared" si="6"/>
        <v>STAMBAUGH JAMES</v>
      </c>
      <c r="H215" s="20" t="str">
        <f t="shared" si="7"/>
        <v>4036</v>
      </c>
    </row>
    <row r="216" spans="1:8" x14ac:dyDescent="0.25">
      <c r="A216" s="8">
        <v>43016.945092592592</v>
      </c>
      <c r="B216" s="20" t="s">
        <v>598</v>
      </c>
      <c r="C216" s="20" t="s">
        <v>827</v>
      </c>
      <c r="D216" s="138">
        <v>3340000</v>
      </c>
      <c r="E216" s="20" t="s">
        <v>627</v>
      </c>
      <c r="F216" s="20" t="s">
        <v>628</v>
      </c>
      <c r="G216" s="8" t="str">
        <f t="shared" si="6"/>
        <v>ELBAUM MIKE</v>
      </c>
      <c r="H216" s="20" t="str">
        <f t="shared" si="7"/>
        <v>4049</v>
      </c>
    </row>
    <row r="217" spans="1:8" x14ac:dyDescent="0.25">
      <c r="A217" s="8">
        <v>43016.9609837963</v>
      </c>
      <c r="B217" s="20" t="s">
        <v>500</v>
      </c>
      <c r="C217" s="20" t="s">
        <v>828</v>
      </c>
      <c r="D217" s="138">
        <v>3310000</v>
      </c>
      <c r="E217" s="20" t="s">
        <v>829</v>
      </c>
      <c r="F217" s="20" t="s">
        <v>830</v>
      </c>
      <c r="G217" s="8" t="str">
        <f t="shared" si="6"/>
        <v>ANDERS STEVEN</v>
      </c>
      <c r="H217" s="20" t="str">
        <f t="shared" si="7"/>
        <v>4016</v>
      </c>
    </row>
    <row r="218" spans="1:8" x14ac:dyDescent="0.25">
      <c r="A218" s="8">
        <v>43016.966967592591</v>
      </c>
      <c r="B218" s="20" t="s">
        <v>462</v>
      </c>
      <c r="C218" s="20" t="s">
        <v>614</v>
      </c>
      <c r="D218" s="138">
        <v>2680000</v>
      </c>
      <c r="E218" s="20" t="s">
        <v>368</v>
      </c>
      <c r="F218" s="20" t="s">
        <v>369</v>
      </c>
      <c r="G218" s="8" t="str">
        <f t="shared" si="6"/>
        <v>DUNCAN SHEILA</v>
      </c>
      <c r="H218" s="20" t="str">
        <f t="shared" si="7"/>
        <v>4065</v>
      </c>
    </row>
    <row r="219" spans="1:8" x14ac:dyDescent="0.25">
      <c r="A219" s="8">
        <v>43016.974236111113</v>
      </c>
      <c r="B219" s="20" t="s">
        <v>425</v>
      </c>
      <c r="C219" s="20" t="s">
        <v>831</v>
      </c>
      <c r="D219" s="138">
        <v>890000</v>
      </c>
      <c r="E219" s="20" t="s">
        <v>362</v>
      </c>
      <c r="F219" s="20" t="s">
        <v>363</v>
      </c>
      <c r="G219" s="8" t="str">
        <f t="shared" si="6"/>
        <v>LOZA FIDEL</v>
      </c>
      <c r="H219" s="20" t="str">
        <f t="shared" si="7"/>
        <v>4002</v>
      </c>
    </row>
    <row r="220" spans="1:8" x14ac:dyDescent="0.25">
      <c r="A220" s="8">
        <v>43016.977916666663</v>
      </c>
      <c r="B220" s="20" t="s">
        <v>501</v>
      </c>
      <c r="C220" s="20" t="s">
        <v>832</v>
      </c>
      <c r="D220" s="138">
        <v>3310000</v>
      </c>
      <c r="E220" s="20" t="s">
        <v>829</v>
      </c>
      <c r="F220" s="20" t="s">
        <v>830</v>
      </c>
      <c r="G220" s="8" t="str">
        <f t="shared" si="6"/>
        <v>ANDERS STEVEN</v>
      </c>
      <c r="H220" s="20" t="str">
        <f t="shared" si="7"/>
        <v>4015</v>
      </c>
    </row>
    <row r="221" spans="1:8" x14ac:dyDescent="0.25">
      <c r="A221" s="8">
        <v>43016.991053240738</v>
      </c>
      <c r="B221" s="20" t="s">
        <v>595</v>
      </c>
      <c r="C221" s="20" t="s">
        <v>833</v>
      </c>
      <c r="D221" s="138">
        <v>2000000</v>
      </c>
      <c r="E221" s="20" t="s">
        <v>781</v>
      </c>
      <c r="F221" s="20" t="s">
        <v>365</v>
      </c>
      <c r="G221" s="8" t="str">
        <f t="shared" si="6"/>
        <v>STAMBAUGH JAMES</v>
      </c>
      <c r="H221" s="20" t="str">
        <f t="shared" si="7"/>
        <v>4035</v>
      </c>
    </row>
    <row r="222" spans="1:8" x14ac:dyDescent="0.25">
      <c r="A222" s="8">
        <v>43016.995474537034</v>
      </c>
      <c r="B222" s="20" t="s">
        <v>606</v>
      </c>
      <c r="C222" s="20" t="s">
        <v>834</v>
      </c>
      <c r="D222" s="138">
        <v>3340000</v>
      </c>
      <c r="E222" s="20" t="s">
        <v>627</v>
      </c>
      <c r="F222" s="20" t="s">
        <v>628</v>
      </c>
      <c r="G222" s="8" t="str">
        <f t="shared" si="6"/>
        <v>ELBAUM MIKE</v>
      </c>
      <c r="H222" s="20" t="str">
        <f t="shared" si="7"/>
        <v>4050</v>
      </c>
    </row>
    <row r="223" spans="1:8" x14ac:dyDescent="0.25">
      <c r="A223" s="8">
        <v>43017.010416666664</v>
      </c>
      <c r="B223" s="20" t="s">
        <v>455</v>
      </c>
      <c r="C223" s="20" t="s">
        <v>835</v>
      </c>
      <c r="D223" s="138">
        <v>2680000</v>
      </c>
      <c r="E223" s="20" t="s">
        <v>368</v>
      </c>
      <c r="F223" s="20" t="s">
        <v>369</v>
      </c>
      <c r="G223" s="8" t="str">
        <f t="shared" si="6"/>
        <v>DUNCAN SHEILA</v>
      </c>
      <c r="H223" s="20" t="str">
        <f t="shared" si="7"/>
        <v>4066</v>
      </c>
    </row>
    <row r="224" spans="1:8" x14ac:dyDescent="0.25">
      <c r="A224" s="8">
        <v>43017.015567129631</v>
      </c>
      <c r="B224" t="s">
        <v>497</v>
      </c>
      <c r="C224" t="s">
        <v>836</v>
      </c>
      <c r="D224" s="138">
        <v>890000</v>
      </c>
      <c r="E224" t="s">
        <v>362</v>
      </c>
      <c r="F224" s="20" t="s">
        <v>363</v>
      </c>
      <c r="G224" s="8" t="str">
        <f t="shared" si="6"/>
        <v>LOZA FIDEL</v>
      </c>
      <c r="H224" s="20" t="str">
        <f t="shared" si="7"/>
        <v>4001</v>
      </c>
    </row>
    <row r="225" spans="1:8" x14ac:dyDescent="0.25">
      <c r="A225" s="8">
        <v>43017.027395833335</v>
      </c>
      <c r="B225" t="s">
        <v>598</v>
      </c>
      <c r="C225" t="s">
        <v>616</v>
      </c>
      <c r="D225" s="138">
        <v>3340000</v>
      </c>
      <c r="E225" t="s">
        <v>627</v>
      </c>
      <c r="F225" s="20" t="s">
        <v>628</v>
      </c>
      <c r="G225" s="8" t="str">
        <f t="shared" si="6"/>
        <v>ELBAUM MIKE</v>
      </c>
      <c r="H225" s="20" t="str">
        <f t="shared" si="7"/>
        <v>4049</v>
      </c>
    </row>
    <row r="226" spans="1:8" x14ac:dyDescent="0.25">
      <c r="A226" s="8">
        <v>43017.034363425926</v>
      </c>
      <c r="B226" t="s">
        <v>600</v>
      </c>
      <c r="C226" t="s">
        <v>837</v>
      </c>
      <c r="D226" s="138">
        <v>2000000</v>
      </c>
      <c r="E226" t="s">
        <v>781</v>
      </c>
      <c r="F226" s="20" t="s">
        <v>365</v>
      </c>
      <c r="G226" s="8" t="str">
        <f t="shared" si="6"/>
        <v>STAMBAUGH JAMES</v>
      </c>
      <c r="H226" s="20" t="str">
        <f t="shared" si="7"/>
        <v>4036</v>
      </c>
    </row>
    <row r="227" spans="1:8" x14ac:dyDescent="0.25">
      <c r="A227" s="8">
        <v>43017.048055555555</v>
      </c>
      <c r="B227" t="s">
        <v>425</v>
      </c>
      <c r="C227" t="s">
        <v>838</v>
      </c>
      <c r="D227" s="138">
        <v>890000</v>
      </c>
      <c r="E227" t="s">
        <v>362</v>
      </c>
      <c r="F227" s="20" t="s">
        <v>363</v>
      </c>
      <c r="G227" s="8" t="str">
        <f t="shared" si="6"/>
        <v>LOZA FIDEL</v>
      </c>
      <c r="H227" s="20" t="str">
        <f t="shared" si="7"/>
        <v>4002</v>
      </c>
    </row>
    <row r="228" spans="1:8" x14ac:dyDescent="0.25">
      <c r="A228" s="8">
        <v>43017.049027777779</v>
      </c>
      <c r="B228" t="s">
        <v>462</v>
      </c>
      <c r="C228" t="s">
        <v>839</v>
      </c>
      <c r="D228" s="138">
        <v>2680000</v>
      </c>
      <c r="E228" t="s">
        <v>368</v>
      </c>
      <c r="F228" s="20" t="s">
        <v>369</v>
      </c>
      <c r="G228" s="8" t="str">
        <f t="shared" si="6"/>
        <v>DUNCAN SHEILA</v>
      </c>
      <c r="H228" s="20" t="str">
        <f t="shared" si="7"/>
        <v>4065</v>
      </c>
    </row>
    <row r="229" spans="1:8" x14ac:dyDescent="0.25">
      <c r="A229" s="8">
        <v>43017.06690972222</v>
      </c>
      <c r="B229" t="s">
        <v>606</v>
      </c>
      <c r="C229" t="s">
        <v>840</v>
      </c>
      <c r="D229" s="138">
        <v>3340000</v>
      </c>
      <c r="E229" t="s">
        <v>627</v>
      </c>
      <c r="F229" s="20" t="s">
        <v>628</v>
      </c>
      <c r="G229" s="8" t="str">
        <f t="shared" si="6"/>
        <v>ELBAUM MIKE</v>
      </c>
      <c r="H229" s="20" t="str">
        <f t="shared" si="7"/>
        <v>4050</v>
      </c>
    </row>
    <row r="230" spans="1:8" x14ac:dyDescent="0.25">
      <c r="A230" s="8">
        <v>43017.088148148148</v>
      </c>
      <c r="B230" t="s">
        <v>455</v>
      </c>
      <c r="C230" t="s">
        <v>841</v>
      </c>
      <c r="D230" s="138">
        <v>2680000</v>
      </c>
      <c r="E230" t="s">
        <v>368</v>
      </c>
      <c r="F230" s="20" t="s">
        <v>369</v>
      </c>
      <c r="G230" s="8" t="str">
        <f t="shared" si="6"/>
        <v>DUNCAN SHEILA</v>
      </c>
      <c r="H230" s="20" t="str">
        <f t="shared" si="7"/>
        <v>4066</v>
      </c>
    </row>
    <row r="231" spans="1:8" x14ac:dyDescent="0.25">
      <c r="A231" s="8">
        <v>43017.094907407409</v>
      </c>
      <c r="B231" t="s">
        <v>842</v>
      </c>
      <c r="C231" t="s">
        <v>843</v>
      </c>
      <c r="D231" s="138">
        <v>1090000</v>
      </c>
      <c r="E231" t="s">
        <v>424</v>
      </c>
      <c r="F231" s="20" t="s">
        <v>419</v>
      </c>
      <c r="G231" s="8" t="str">
        <f t="shared" si="6"/>
        <v>SPECTOR MICHAEL</v>
      </c>
      <c r="H231" s="20" t="str">
        <f t="shared" si="7"/>
        <v>4013</v>
      </c>
    </row>
    <row r="232" spans="1:8" x14ac:dyDescent="0.25">
      <c r="A232" s="8">
        <v>43017.097013888888</v>
      </c>
      <c r="B232" t="s">
        <v>842</v>
      </c>
      <c r="C232" t="s">
        <v>843</v>
      </c>
      <c r="D232" s="138">
        <v>1090000</v>
      </c>
      <c r="E232" t="s">
        <v>424</v>
      </c>
      <c r="F232" s="20" t="s">
        <v>419</v>
      </c>
      <c r="G232" s="8" t="str">
        <f t="shared" si="6"/>
        <v>SPECTOR MICHAEL</v>
      </c>
      <c r="H232" s="20" t="str">
        <f t="shared" si="7"/>
        <v>4013</v>
      </c>
    </row>
    <row r="233" spans="1:8" x14ac:dyDescent="0.25">
      <c r="A233" s="8">
        <v>43013.825520833336</v>
      </c>
      <c r="B233" t="s">
        <v>376</v>
      </c>
      <c r="C233" t="s">
        <v>512</v>
      </c>
      <c r="D233" s="138">
        <v>3490000</v>
      </c>
      <c r="E233" t="s">
        <v>513</v>
      </c>
      <c r="F233" s="20" t="s">
        <v>514</v>
      </c>
      <c r="G233" s="8" t="str">
        <f t="shared" si="6"/>
        <v>WEST BRYAN</v>
      </c>
      <c r="H233" s="20" t="str">
        <f t="shared" si="7"/>
        <v>4058</v>
      </c>
    </row>
    <row r="234" spans="1:8" x14ac:dyDescent="0.25">
      <c r="A234" s="8">
        <v>43013.829305555555</v>
      </c>
      <c r="B234" t="s">
        <v>499</v>
      </c>
      <c r="C234" t="s">
        <v>515</v>
      </c>
      <c r="D234" s="138">
        <v>3190000</v>
      </c>
      <c r="E234" t="s">
        <v>370</v>
      </c>
      <c r="F234" s="20" t="s">
        <v>371</v>
      </c>
      <c r="G234" s="8" t="str">
        <f t="shared" si="6"/>
        <v>HART KEVIN</v>
      </c>
      <c r="H234" s="20" t="str">
        <f t="shared" si="7"/>
        <v>4043</v>
      </c>
    </row>
    <row r="235" spans="1:8" x14ac:dyDescent="0.25">
      <c r="A235" s="8">
        <v>43013.829988425925</v>
      </c>
      <c r="B235" t="s">
        <v>382</v>
      </c>
      <c r="C235" t="s">
        <v>512</v>
      </c>
      <c r="D235" s="138">
        <v>3490000</v>
      </c>
      <c r="E235" t="s">
        <v>513</v>
      </c>
      <c r="F235" s="20" t="s">
        <v>514</v>
      </c>
      <c r="G235" s="8" t="str">
        <f t="shared" si="6"/>
        <v>WEST BRYAN</v>
      </c>
      <c r="H235" s="20" t="str">
        <f t="shared" si="7"/>
        <v>4057</v>
      </c>
    </row>
    <row r="236" spans="1:8" x14ac:dyDescent="0.25">
      <c r="A236" s="8">
        <v>43013.832569444443</v>
      </c>
      <c r="B236" t="s">
        <v>388</v>
      </c>
      <c r="C236" t="s">
        <v>502</v>
      </c>
      <c r="D236" s="138">
        <v>3320000</v>
      </c>
      <c r="E236" t="s">
        <v>373</v>
      </c>
      <c r="F236" s="20" t="s">
        <v>374</v>
      </c>
      <c r="G236" s="8" t="str">
        <f t="shared" si="6"/>
        <v>NICHOLSON WESLEY</v>
      </c>
      <c r="H236" s="20" t="str">
        <f t="shared" si="7"/>
        <v>4010</v>
      </c>
    </row>
    <row r="237" spans="1:8" x14ac:dyDescent="0.25">
      <c r="A237" s="8">
        <v>43013.837268518517</v>
      </c>
      <c r="B237" t="s">
        <v>425</v>
      </c>
      <c r="C237" t="s">
        <v>516</v>
      </c>
      <c r="D237" s="138">
        <v>3280000</v>
      </c>
      <c r="E237" t="s">
        <v>439</v>
      </c>
      <c r="F237" s="20" t="s">
        <v>440</v>
      </c>
      <c r="G237" s="8" t="str">
        <f t="shared" si="6"/>
        <v>BIRKHOLZ NADINE</v>
      </c>
      <c r="H237" s="20" t="str">
        <f t="shared" si="7"/>
        <v>4002</v>
      </c>
    </row>
    <row r="238" spans="1:8" x14ac:dyDescent="0.25">
      <c r="A238" s="8">
        <v>43013.849212962959</v>
      </c>
      <c r="B238" t="s">
        <v>457</v>
      </c>
      <c r="C238" t="s">
        <v>517</v>
      </c>
      <c r="D238" s="138">
        <v>2540000</v>
      </c>
      <c r="E238" t="s">
        <v>473</v>
      </c>
      <c r="F238" s="20" t="s">
        <v>474</v>
      </c>
      <c r="G238" s="8" t="str">
        <f t="shared" si="6"/>
        <v>MCREYNOLDS KYLE</v>
      </c>
      <c r="H238" s="20" t="str">
        <f t="shared" si="7"/>
        <v>4028</v>
      </c>
    </row>
    <row r="239" spans="1:8" x14ac:dyDescent="0.25">
      <c r="A239" s="8">
        <v>43013.852094907408</v>
      </c>
      <c r="B239" t="s">
        <v>436</v>
      </c>
      <c r="C239" t="s">
        <v>518</v>
      </c>
      <c r="D239" s="138">
        <v>890000</v>
      </c>
      <c r="E239" t="s">
        <v>362</v>
      </c>
      <c r="F239" s="20" t="s">
        <v>363</v>
      </c>
      <c r="G239" s="8" t="str">
        <f t="shared" si="6"/>
        <v>LOZA FIDEL</v>
      </c>
      <c r="H239" s="20" t="str">
        <f t="shared" si="7"/>
        <v>4007</v>
      </c>
    </row>
    <row r="240" spans="1:8" x14ac:dyDescent="0.25">
      <c r="A240" s="8">
        <v>43013.85255787037</v>
      </c>
      <c r="B240" t="s">
        <v>497</v>
      </c>
      <c r="C240" t="s">
        <v>519</v>
      </c>
      <c r="D240" s="138">
        <v>3280000</v>
      </c>
      <c r="E240" t="s">
        <v>439</v>
      </c>
      <c r="F240" s="20" t="s">
        <v>440</v>
      </c>
      <c r="G240" s="8" t="str">
        <f t="shared" si="6"/>
        <v>BIRKHOLZ NADINE</v>
      </c>
      <c r="H240" s="20" t="str">
        <f t="shared" si="7"/>
        <v>4001</v>
      </c>
    </row>
    <row r="241" spans="1:8" x14ac:dyDescent="0.25">
      <c r="A241" s="8">
        <v>43013.865543981483</v>
      </c>
      <c r="B241" t="s">
        <v>464</v>
      </c>
      <c r="C241" t="s">
        <v>520</v>
      </c>
      <c r="D241" s="138">
        <v>3320000</v>
      </c>
      <c r="E241" t="s">
        <v>373</v>
      </c>
      <c r="F241" s="20" t="s">
        <v>374</v>
      </c>
      <c r="G241" s="8" t="str">
        <f t="shared" si="6"/>
        <v>NICHOLSON WESLEY</v>
      </c>
      <c r="H241" s="20" t="str">
        <f t="shared" si="7"/>
        <v>4009</v>
      </c>
    </row>
    <row r="242" spans="1:8" x14ac:dyDescent="0.25">
      <c r="A242" s="8">
        <v>43013.870868055557</v>
      </c>
      <c r="B242" t="s">
        <v>504</v>
      </c>
      <c r="C242" t="s">
        <v>521</v>
      </c>
      <c r="D242" s="138">
        <v>3190000</v>
      </c>
      <c r="E242" t="s">
        <v>370</v>
      </c>
      <c r="F242" s="20" t="s">
        <v>371</v>
      </c>
      <c r="G242" s="8" t="str">
        <f t="shared" si="6"/>
        <v>HART KEVIN</v>
      </c>
      <c r="H242" s="20" t="str">
        <f t="shared" si="7"/>
        <v>4044</v>
      </c>
    </row>
    <row r="243" spans="1:8" x14ac:dyDescent="0.25">
      <c r="A243" s="8">
        <v>43013.876504629632</v>
      </c>
      <c r="B243" t="s">
        <v>425</v>
      </c>
      <c r="C243" t="s">
        <v>522</v>
      </c>
      <c r="D243" s="138">
        <v>3130000</v>
      </c>
      <c r="E243" t="s">
        <v>441</v>
      </c>
      <c r="F243" s="20" t="s">
        <v>442</v>
      </c>
      <c r="G243" s="8" t="str">
        <f t="shared" si="6"/>
        <v>ZEWDU DEREJE</v>
      </c>
      <c r="H243" s="20" t="str">
        <f t="shared" si="7"/>
        <v>4002</v>
      </c>
    </row>
    <row r="244" spans="1:8" x14ac:dyDescent="0.25">
      <c r="A244" s="8">
        <v>43013.887060185189</v>
      </c>
      <c r="B244" t="s">
        <v>420</v>
      </c>
      <c r="C244" t="s">
        <v>523</v>
      </c>
      <c r="D244" s="138">
        <v>890000</v>
      </c>
      <c r="E244" t="s">
        <v>362</v>
      </c>
      <c r="F244" s="20" t="s">
        <v>363</v>
      </c>
      <c r="G244" s="8" t="str">
        <f t="shared" si="6"/>
        <v>LOZA FIDEL</v>
      </c>
      <c r="H244" s="20" t="str">
        <f t="shared" si="7"/>
        <v>4008</v>
      </c>
    </row>
    <row r="245" spans="1:8" x14ac:dyDescent="0.25">
      <c r="A245" s="8">
        <v>43013.888090277775</v>
      </c>
      <c r="B245" t="s">
        <v>456</v>
      </c>
      <c r="C245" t="s">
        <v>524</v>
      </c>
      <c r="D245" s="138">
        <v>2540000</v>
      </c>
      <c r="E245" t="s">
        <v>473</v>
      </c>
      <c r="F245" s="20" t="s">
        <v>474</v>
      </c>
      <c r="G245" s="8" t="str">
        <f t="shared" si="6"/>
        <v>MCREYNOLDS KYLE</v>
      </c>
      <c r="H245" s="20" t="str">
        <f t="shared" si="7"/>
        <v>4027</v>
      </c>
    </row>
    <row r="246" spans="1:8" x14ac:dyDescent="0.25">
      <c r="A246" s="8">
        <v>43013.893553240741</v>
      </c>
      <c r="B246" t="s">
        <v>497</v>
      </c>
      <c r="C246" t="s">
        <v>525</v>
      </c>
      <c r="D246" s="138">
        <v>3130000</v>
      </c>
      <c r="E246" t="s">
        <v>441</v>
      </c>
      <c r="F246" s="20" t="s">
        <v>442</v>
      </c>
      <c r="G246" s="8" t="str">
        <f t="shared" si="6"/>
        <v>ZEWDU DEREJE</v>
      </c>
      <c r="H246" s="20" t="str">
        <f t="shared" si="7"/>
        <v>4001</v>
      </c>
    </row>
    <row r="247" spans="1:8" x14ac:dyDescent="0.25">
      <c r="A247" s="8">
        <v>43013.904421296298</v>
      </c>
      <c r="B247" t="s">
        <v>388</v>
      </c>
      <c r="C247" t="s">
        <v>526</v>
      </c>
      <c r="D247" s="138">
        <v>3320000</v>
      </c>
      <c r="E247" t="s">
        <v>373</v>
      </c>
      <c r="F247" s="20" t="s">
        <v>374</v>
      </c>
      <c r="G247" s="8" t="str">
        <f t="shared" si="6"/>
        <v>NICHOLSON WESLEY</v>
      </c>
      <c r="H247" s="20" t="str">
        <f t="shared" si="7"/>
        <v>4010</v>
      </c>
    </row>
    <row r="248" spans="1:8" x14ac:dyDescent="0.25">
      <c r="A248" s="8">
        <v>43013.912349537037</v>
      </c>
      <c r="B248" t="s">
        <v>499</v>
      </c>
      <c r="C248" t="s">
        <v>527</v>
      </c>
      <c r="D248" s="138">
        <v>3190000</v>
      </c>
      <c r="E248" t="s">
        <v>370</v>
      </c>
      <c r="F248" s="20" t="s">
        <v>371</v>
      </c>
      <c r="G248" s="8" t="str">
        <f t="shared" si="6"/>
        <v>HART KEVIN</v>
      </c>
      <c r="H248" s="20" t="str">
        <f t="shared" si="7"/>
        <v>4043</v>
      </c>
    </row>
    <row r="249" spans="1:8" x14ac:dyDescent="0.25">
      <c r="A249" s="8">
        <v>43013.915439814817</v>
      </c>
      <c r="B249" t="s">
        <v>425</v>
      </c>
      <c r="C249" t="s">
        <v>528</v>
      </c>
      <c r="D249" s="138">
        <v>3130000</v>
      </c>
      <c r="E249" t="s">
        <v>441</v>
      </c>
      <c r="F249" s="20" t="s">
        <v>442</v>
      </c>
      <c r="G249" s="8" t="str">
        <f t="shared" si="6"/>
        <v>ZEWDU DEREJE</v>
      </c>
      <c r="H249" s="20" t="str">
        <f t="shared" si="7"/>
        <v>4002</v>
      </c>
    </row>
    <row r="250" spans="1:8" x14ac:dyDescent="0.25">
      <c r="A250" s="8">
        <v>43013.930925925924</v>
      </c>
      <c r="B250" t="s">
        <v>457</v>
      </c>
      <c r="C250" t="s">
        <v>529</v>
      </c>
      <c r="D250" s="138">
        <v>2540000</v>
      </c>
      <c r="E250" t="s">
        <v>473</v>
      </c>
      <c r="F250" s="20" t="s">
        <v>474</v>
      </c>
      <c r="G250" s="8" t="str">
        <f t="shared" si="6"/>
        <v>MCREYNOLDS KYLE</v>
      </c>
      <c r="H250" s="20" t="str">
        <f t="shared" si="7"/>
        <v>4028</v>
      </c>
    </row>
    <row r="251" spans="1:8" x14ac:dyDescent="0.25">
      <c r="A251" s="8">
        <v>43013.93372685185</v>
      </c>
      <c r="B251" t="s">
        <v>436</v>
      </c>
      <c r="C251" t="s">
        <v>530</v>
      </c>
      <c r="D251" s="138">
        <v>890000</v>
      </c>
      <c r="E251" t="s">
        <v>362</v>
      </c>
      <c r="F251" s="20" t="s">
        <v>363</v>
      </c>
      <c r="G251" s="8" t="str">
        <f t="shared" si="6"/>
        <v>LOZA FIDEL</v>
      </c>
      <c r="H251" s="20" t="str">
        <f t="shared" si="7"/>
        <v>4007</v>
      </c>
    </row>
    <row r="252" spans="1:8" x14ac:dyDescent="0.25">
      <c r="A252" s="8">
        <v>43013.934965277775</v>
      </c>
      <c r="B252" t="s">
        <v>497</v>
      </c>
      <c r="C252" t="s">
        <v>531</v>
      </c>
      <c r="D252" s="138">
        <v>3130000</v>
      </c>
      <c r="E252" t="s">
        <v>441</v>
      </c>
      <c r="F252" s="20" t="s">
        <v>442</v>
      </c>
      <c r="G252" s="8" t="str">
        <f t="shared" si="6"/>
        <v>ZEWDU DEREJE</v>
      </c>
      <c r="H252" s="20" t="str">
        <f t="shared" si="7"/>
        <v>4001</v>
      </c>
    </row>
    <row r="253" spans="1:8" x14ac:dyDescent="0.25">
      <c r="A253" s="8">
        <v>43013.949525462966</v>
      </c>
      <c r="B253" t="s">
        <v>464</v>
      </c>
      <c r="C253" t="s">
        <v>532</v>
      </c>
      <c r="D253" s="138">
        <v>3320000</v>
      </c>
      <c r="E253" t="s">
        <v>373</v>
      </c>
      <c r="F253" s="20" t="s">
        <v>374</v>
      </c>
      <c r="G253" s="8" t="str">
        <f t="shared" si="6"/>
        <v>NICHOLSON WESLEY</v>
      </c>
      <c r="H253" s="20" t="str">
        <f t="shared" si="7"/>
        <v>4009</v>
      </c>
    </row>
    <row r="254" spans="1:8" x14ac:dyDescent="0.25">
      <c r="A254" s="8">
        <v>43013.95521990741</v>
      </c>
      <c r="B254" t="s">
        <v>504</v>
      </c>
      <c r="C254" t="s">
        <v>533</v>
      </c>
      <c r="D254" s="138">
        <v>3190000</v>
      </c>
      <c r="E254" t="s">
        <v>370</v>
      </c>
      <c r="F254" s="20" t="s">
        <v>371</v>
      </c>
      <c r="G254" s="8" t="str">
        <f t="shared" si="6"/>
        <v>HART KEVIN</v>
      </c>
      <c r="H254" s="20" t="str">
        <f t="shared" si="7"/>
        <v>4044</v>
      </c>
    </row>
    <row r="255" spans="1:8" x14ac:dyDescent="0.25">
      <c r="A255" s="8">
        <v>43013.958831018521</v>
      </c>
      <c r="B255" t="s">
        <v>425</v>
      </c>
      <c r="C255" t="s">
        <v>503</v>
      </c>
      <c r="D255" s="138">
        <v>3130000</v>
      </c>
      <c r="E255" t="s">
        <v>441</v>
      </c>
      <c r="F255" s="20" t="s">
        <v>442</v>
      </c>
      <c r="G255" s="8" t="str">
        <f t="shared" si="6"/>
        <v>ZEWDU DEREJE</v>
      </c>
      <c r="H255" s="20" t="str">
        <f t="shared" si="7"/>
        <v>4002</v>
      </c>
    </row>
    <row r="256" spans="1:8" x14ac:dyDescent="0.25">
      <c r="A256" s="8">
        <v>43013.966817129629</v>
      </c>
      <c r="B256" t="s">
        <v>420</v>
      </c>
      <c r="C256" t="s">
        <v>534</v>
      </c>
      <c r="D256" s="138">
        <v>890000</v>
      </c>
      <c r="E256" t="s">
        <v>362</v>
      </c>
      <c r="F256" s="20" t="s">
        <v>363</v>
      </c>
      <c r="G256" s="8" t="str">
        <f t="shared" si="6"/>
        <v>LOZA FIDEL</v>
      </c>
      <c r="H256" s="20" t="str">
        <f t="shared" si="7"/>
        <v>4008</v>
      </c>
    </row>
    <row r="257" spans="1:8" x14ac:dyDescent="0.25">
      <c r="A257" s="8">
        <v>43013.972060185188</v>
      </c>
      <c r="B257" t="s">
        <v>456</v>
      </c>
      <c r="C257" t="s">
        <v>535</v>
      </c>
      <c r="D257" s="138">
        <v>2540000</v>
      </c>
      <c r="E257" t="s">
        <v>473</v>
      </c>
      <c r="F257" s="20" t="s">
        <v>474</v>
      </c>
      <c r="G257" s="8" t="str">
        <f t="shared" si="6"/>
        <v>MCREYNOLDS KYLE</v>
      </c>
      <c r="H257" s="20" t="str">
        <f t="shared" si="7"/>
        <v>4027</v>
      </c>
    </row>
    <row r="258" spans="1:8" x14ac:dyDescent="0.25">
      <c r="A258" s="8">
        <v>43013.976585648146</v>
      </c>
      <c r="B258" t="s">
        <v>497</v>
      </c>
      <c r="C258" t="s">
        <v>536</v>
      </c>
      <c r="D258" s="138">
        <v>3130000</v>
      </c>
      <c r="E258" t="s">
        <v>441</v>
      </c>
      <c r="F258" s="20" t="s">
        <v>442</v>
      </c>
      <c r="G258" s="8" t="str">
        <f t="shared" si="6"/>
        <v>ZEWDU DEREJE</v>
      </c>
      <c r="H258" s="20" t="str">
        <f t="shared" si="7"/>
        <v>4001</v>
      </c>
    </row>
    <row r="259" spans="1:8" x14ac:dyDescent="0.25">
      <c r="A259" s="8">
        <v>43013.993784722225</v>
      </c>
      <c r="B259" t="s">
        <v>388</v>
      </c>
      <c r="C259" t="s">
        <v>537</v>
      </c>
      <c r="D259" s="138">
        <v>3320000</v>
      </c>
      <c r="E259" t="s">
        <v>373</v>
      </c>
      <c r="F259" s="20" t="s">
        <v>374</v>
      </c>
      <c r="G259" s="8" t="str">
        <f t="shared" ref="G259:G273" si="8">E259&amp;" "&amp;F259</f>
        <v>NICHOLSON WESLEY</v>
      </c>
      <c r="H259" s="20" t="str">
        <f t="shared" ref="H259:H273" si="9">MID(B259,13,4)</f>
        <v>4010</v>
      </c>
    </row>
    <row r="260" spans="1:8" x14ac:dyDescent="0.25">
      <c r="A260" s="8">
        <v>43013.995775462965</v>
      </c>
      <c r="B260" t="s">
        <v>499</v>
      </c>
      <c r="C260" t="s">
        <v>538</v>
      </c>
      <c r="D260" s="138">
        <v>3190000</v>
      </c>
      <c r="E260" t="s">
        <v>370</v>
      </c>
      <c r="F260" s="20" t="s">
        <v>371</v>
      </c>
      <c r="G260" s="8" t="str">
        <f t="shared" si="8"/>
        <v>HART KEVIN</v>
      </c>
      <c r="H260" s="20" t="str">
        <f t="shared" si="9"/>
        <v>4043</v>
      </c>
    </row>
    <row r="261" spans="1:8" x14ac:dyDescent="0.25">
      <c r="A261" s="8">
        <v>43014.016296296293</v>
      </c>
      <c r="B261" t="s">
        <v>457</v>
      </c>
      <c r="C261" t="s">
        <v>539</v>
      </c>
      <c r="D261" s="138">
        <v>2540000</v>
      </c>
      <c r="E261" t="s">
        <v>473</v>
      </c>
      <c r="F261" s="20" t="s">
        <v>474</v>
      </c>
      <c r="G261" s="8" t="str">
        <f t="shared" si="8"/>
        <v>MCREYNOLDS KYLE</v>
      </c>
      <c r="H261" s="20" t="str">
        <f t="shared" si="9"/>
        <v>4028</v>
      </c>
    </row>
    <row r="262" spans="1:8" x14ac:dyDescent="0.25">
      <c r="A262" s="8">
        <v>43014.01730324074</v>
      </c>
      <c r="B262" t="s">
        <v>436</v>
      </c>
      <c r="C262" t="s">
        <v>540</v>
      </c>
      <c r="D262" s="138">
        <v>890000</v>
      </c>
      <c r="E262" t="s">
        <v>362</v>
      </c>
      <c r="F262" s="20" t="s">
        <v>363</v>
      </c>
      <c r="G262" s="8" t="str">
        <f t="shared" si="8"/>
        <v>LOZA FIDEL</v>
      </c>
      <c r="H262" s="20" t="str">
        <f t="shared" si="9"/>
        <v>4007</v>
      </c>
    </row>
    <row r="263" spans="1:8" x14ac:dyDescent="0.25">
      <c r="A263" s="8">
        <v>43014.025231481479</v>
      </c>
      <c r="B263" t="s">
        <v>504</v>
      </c>
      <c r="C263" t="s">
        <v>541</v>
      </c>
      <c r="D263" s="138">
        <v>3190000</v>
      </c>
      <c r="E263" t="s">
        <v>370</v>
      </c>
      <c r="F263" s="20" t="s">
        <v>371</v>
      </c>
      <c r="G263" s="8" t="str">
        <f t="shared" si="8"/>
        <v>HART KEVIN</v>
      </c>
      <c r="H263" s="20" t="str">
        <f t="shared" si="9"/>
        <v>4044</v>
      </c>
    </row>
    <row r="264" spans="1:8" x14ac:dyDescent="0.25">
      <c r="A264" s="8">
        <v>43014.03460648148</v>
      </c>
      <c r="B264" t="s">
        <v>464</v>
      </c>
      <c r="C264" t="s">
        <v>542</v>
      </c>
      <c r="D264" s="138">
        <v>3320000</v>
      </c>
      <c r="E264" t="s">
        <v>373</v>
      </c>
      <c r="F264" s="20" t="s">
        <v>374</v>
      </c>
      <c r="G264" s="8" t="str">
        <f t="shared" si="8"/>
        <v>NICHOLSON WESLEY</v>
      </c>
      <c r="H264" s="20" t="str">
        <f t="shared" si="9"/>
        <v>4009</v>
      </c>
    </row>
    <row r="265" spans="1:8" x14ac:dyDescent="0.25">
      <c r="A265" s="8">
        <v>43014.049490740741</v>
      </c>
      <c r="B265" t="s">
        <v>420</v>
      </c>
      <c r="C265" t="s">
        <v>543</v>
      </c>
      <c r="D265" s="138">
        <v>890000</v>
      </c>
      <c r="E265" t="s">
        <v>362</v>
      </c>
      <c r="F265" s="20" t="s">
        <v>363</v>
      </c>
      <c r="G265" s="8" t="str">
        <f t="shared" si="8"/>
        <v>LOZA FIDEL</v>
      </c>
      <c r="H265" s="20" t="str">
        <f t="shared" si="9"/>
        <v>4008</v>
      </c>
    </row>
    <row r="266" spans="1:8" x14ac:dyDescent="0.25">
      <c r="A266" s="8">
        <v>43014.055567129632</v>
      </c>
      <c r="B266" t="s">
        <v>456</v>
      </c>
      <c r="C266" t="s">
        <v>544</v>
      </c>
      <c r="D266" s="138">
        <v>2540000</v>
      </c>
      <c r="E266" t="s">
        <v>473</v>
      </c>
      <c r="F266" s="20" t="s">
        <v>474</v>
      </c>
      <c r="G266" s="8" t="str">
        <f t="shared" si="8"/>
        <v>MCREYNOLDS KYLE</v>
      </c>
      <c r="H266" s="20" t="str">
        <f t="shared" si="9"/>
        <v>4027</v>
      </c>
    </row>
    <row r="267" spans="1:8" x14ac:dyDescent="0.25">
      <c r="A267" s="8">
        <v>43014.071423611109</v>
      </c>
      <c r="B267" t="s">
        <v>388</v>
      </c>
      <c r="C267" t="s">
        <v>545</v>
      </c>
      <c r="D267" s="138">
        <v>3320000</v>
      </c>
      <c r="E267" t="s">
        <v>373</v>
      </c>
      <c r="F267" s="20" t="s">
        <v>374</v>
      </c>
      <c r="G267" s="8" t="str">
        <f t="shared" si="8"/>
        <v>NICHOLSON WESLEY</v>
      </c>
      <c r="H267" s="20" t="str">
        <f t="shared" si="9"/>
        <v>4010</v>
      </c>
    </row>
    <row r="268" spans="1:8" x14ac:dyDescent="0.25">
      <c r="A268" s="8">
        <v>43014.088414351849</v>
      </c>
      <c r="B268" t="s">
        <v>457</v>
      </c>
      <c r="C268" t="s">
        <v>546</v>
      </c>
      <c r="D268" s="138">
        <v>2540000</v>
      </c>
      <c r="E268" t="s">
        <v>473</v>
      </c>
      <c r="F268" s="20" t="s">
        <v>474</v>
      </c>
      <c r="G268" s="8" t="str">
        <f t="shared" si="8"/>
        <v>MCREYNOLDS KYLE</v>
      </c>
      <c r="H268" s="20" t="str">
        <f t="shared" si="9"/>
        <v>4028</v>
      </c>
    </row>
    <row r="269" spans="1:8" x14ac:dyDescent="0.25">
      <c r="A269" s="8">
        <v>43014.113668981481</v>
      </c>
      <c r="B269" t="s">
        <v>459</v>
      </c>
      <c r="C269" t="s">
        <v>547</v>
      </c>
      <c r="D269" s="138">
        <v>1830000</v>
      </c>
      <c r="E269" t="s">
        <v>380</v>
      </c>
      <c r="F269" s="20" t="s">
        <v>381</v>
      </c>
      <c r="G269" s="8" t="str">
        <f t="shared" si="8"/>
        <v>YORK EDGAR</v>
      </c>
      <c r="H269" s="20" t="str">
        <f t="shared" si="9"/>
        <v>4017</v>
      </c>
    </row>
    <row r="270" spans="1:8" x14ac:dyDescent="0.25">
      <c r="A270" s="8">
        <v>43013.06894675926</v>
      </c>
      <c r="B270" t="s">
        <v>455</v>
      </c>
      <c r="C270" t="s">
        <v>463</v>
      </c>
      <c r="D270" s="138">
        <v>890000</v>
      </c>
      <c r="E270" t="s">
        <v>362</v>
      </c>
      <c r="F270" s="20" t="s">
        <v>363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391</v>
      </c>
      <c r="C271" t="s">
        <v>475</v>
      </c>
      <c r="D271" s="138">
        <v>2540000</v>
      </c>
      <c r="E271" t="s">
        <v>473</v>
      </c>
      <c r="F271" s="20" t="s">
        <v>474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411</v>
      </c>
      <c r="C272" t="s">
        <v>476</v>
      </c>
      <c r="D272" s="138">
        <v>900000</v>
      </c>
      <c r="E272" t="s">
        <v>392</v>
      </c>
      <c r="F272" s="20" t="s">
        <v>393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411</v>
      </c>
      <c r="C273" t="s">
        <v>476</v>
      </c>
      <c r="D273" s="138">
        <v>900000</v>
      </c>
      <c r="E273" t="s">
        <v>392</v>
      </c>
      <c r="F273" s="20" t="s">
        <v>393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410</v>
      </c>
      <c r="C274" t="s">
        <v>477</v>
      </c>
      <c r="D274" s="138">
        <v>1830000</v>
      </c>
      <c r="E274" t="s">
        <v>380</v>
      </c>
      <c r="F274" s="20" t="s">
        <v>381</v>
      </c>
    </row>
    <row r="275" spans="1:8" x14ac:dyDescent="0.25">
      <c r="A275" s="8">
        <v>43013.112997685188</v>
      </c>
      <c r="B275" t="s">
        <v>410</v>
      </c>
      <c r="C275" t="s">
        <v>477</v>
      </c>
      <c r="D275" s="138">
        <v>1830000</v>
      </c>
      <c r="E275" t="s">
        <v>380</v>
      </c>
      <c r="F275" s="20" t="s">
        <v>381</v>
      </c>
    </row>
    <row r="276" spans="1:8" x14ac:dyDescent="0.25">
      <c r="A276" s="8">
        <v>43013.113483796296</v>
      </c>
      <c r="B276" t="s">
        <v>410</v>
      </c>
      <c r="C276" t="s">
        <v>477</v>
      </c>
      <c r="D276" s="138">
        <v>1830000</v>
      </c>
      <c r="E276" t="s">
        <v>380</v>
      </c>
      <c r="F276" s="20" t="s">
        <v>381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844</v>
      </c>
      <c r="I1" s="218" t="s">
        <v>162</v>
      </c>
      <c r="J1" s="218" t="s">
        <v>163</v>
      </c>
      <c r="K1" s="218" t="s">
        <v>395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344</v>
      </c>
      <c r="Q1" s="218" t="s">
        <v>154</v>
      </c>
      <c r="R1" s="218" t="s">
        <v>161</v>
      </c>
      <c r="S1" s="218" t="s">
        <v>345</v>
      </c>
      <c r="T1" s="225" t="s">
        <v>158</v>
      </c>
    </row>
    <row r="2" spans="1:20" x14ac:dyDescent="0.25">
      <c r="A2" s="196">
        <v>57.68</v>
      </c>
      <c r="B2" s="196">
        <v>0.03</v>
      </c>
      <c r="C2" s="196">
        <v>26.5</v>
      </c>
      <c r="D2" s="8">
        <v>43016</v>
      </c>
      <c r="E2" s="196">
        <v>0.3</v>
      </c>
      <c r="F2" s="196" t="s">
        <v>443</v>
      </c>
      <c r="G2" s="196">
        <v>289.18</v>
      </c>
      <c r="H2" s="196"/>
      <c r="I2" s="196">
        <v>0</v>
      </c>
      <c r="J2" s="196">
        <v>0</v>
      </c>
      <c r="K2" s="196"/>
      <c r="L2" s="196">
        <v>1001.88</v>
      </c>
      <c r="M2" s="196" t="s">
        <v>444</v>
      </c>
      <c r="N2" s="196">
        <v>57.68</v>
      </c>
      <c r="O2" s="196">
        <v>1507442400</v>
      </c>
      <c r="P2" s="196">
        <v>0</v>
      </c>
      <c r="Q2" s="196">
        <v>3.81</v>
      </c>
      <c r="R2" s="196">
        <v>250</v>
      </c>
      <c r="S2" s="196">
        <v>6.01</v>
      </c>
      <c r="T2" s="201">
        <v>1.7</v>
      </c>
    </row>
    <row r="3" spans="1:20" x14ac:dyDescent="0.25">
      <c r="A3" s="196">
        <v>56.99</v>
      </c>
      <c r="B3" s="196">
        <v>0.03</v>
      </c>
      <c r="C3" s="196">
        <v>24.97</v>
      </c>
      <c r="D3" s="8">
        <v>43016.041666666664</v>
      </c>
      <c r="E3" s="196">
        <v>0.28999999999999998</v>
      </c>
      <c r="F3" s="196" t="s">
        <v>443</v>
      </c>
      <c r="G3" s="196">
        <v>289.3</v>
      </c>
      <c r="H3" s="196"/>
      <c r="I3" s="196">
        <v>0</v>
      </c>
      <c r="J3" s="196">
        <v>0</v>
      </c>
      <c r="K3" s="196"/>
      <c r="L3" s="196">
        <v>1003.4</v>
      </c>
      <c r="M3" s="196" t="s">
        <v>444</v>
      </c>
      <c r="N3" s="196">
        <v>56.99</v>
      </c>
      <c r="O3" s="196">
        <v>1507446000</v>
      </c>
      <c r="P3" s="196">
        <v>0</v>
      </c>
      <c r="Q3" s="196">
        <v>6.2</v>
      </c>
      <c r="R3" s="196">
        <v>244</v>
      </c>
      <c r="S3" s="196">
        <v>6.67</v>
      </c>
      <c r="T3" s="201">
        <v>1.52</v>
      </c>
    </row>
    <row r="4" spans="1:20" x14ac:dyDescent="0.25">
      <c r="A4" s="196">
        <v>57.68</v>
      </c>
      <c r="B4" s="196">
        <v>0.06</v>
      </c>
      <c r="C4" s="196">
        <v>23.39</v>
      </c>
      <c r="D4" s="8">
        <v>43016.083333333336</v>
      </c>
      <c r="E4" s="196">
        <v>0.26</v>
      </c>
      <c r="F4" s="196" t="s">
        <v>443</v>
      </c>
      <c r="G4" s="196">
        <v>289.19</v>
      </c>
      <c r="H4" s="196"/>
      <c r="I4" s="196">
        <v>0</v>
      </c>
      <c r="J4" s="196">
        <v>0</v>
      </c>
      <c r="K4" s="196"/>
      <c r="L4" s="196">
        <v>1002.02</v>
      </c>
      <c r="M4" s="196" t="s">
        <v>444</v>
      </c>
      <c r="N4" s="196">
        <v>57.68</v>
      </c>
      <c r="O4" s="196">
        <v>1507449600</v>
      </c>
      <c r="P4" s="196">
        <v>0</v>
      </c>
      <c r="Q4" s="196">
        <v>6.92</v>
      </c>
      <c r="R4" s="196">
        <v>249</v>
      </c>
      <c r="S4" s="196">
        <v>6.08</v>
      </c>
      <c r="T4" s="201">
        <v>1.76</v>
      </c>
    </row>
    <row r="5" spans="1:20" x14ac:dyDescent="0.25">
      <c r="A5" s="196">
        <v>54.19</v>
      </c>
      <c r="B5" s="196">
        <v>0.01</v>
      </c>
      <c r="C5" s="196">
        <v>25.3</v>
      </c>
      <c r="D5" s="8">
        <v>43016.125</v>
      </c>
      <c r="E5" s="196">
        <v>0.32</v>
      </c>
      <c r="F5" s="196" t="s">
        <v>443</v>
      </c>
      <c r="G5" s="196">
        <v>289.08</v>
      </c>
      <c r="H5" s="196"/>
      <c r="I5" s="196">
        <v>0</v>
      </c>
      <c r="J5" s="196">
        <v>0</v>
      </c>
      <c r="K5" s="196"/>
      <c r="L5" s="196">
        <v>1006.21</v>
      </c>
      <c r="M5" s="196" t="s">
        <v>444</v>
      </c>
      <c r="N5" s="196">
        <v>54.19</v>
      </c>
      <c r="O5" s="196">
        <v>1507453200</v>
      </c>
      <c r="P5" s="196">
        <v>0</v>
      </c>
      <c r="Q5" s="196">
        <v>3.29</v>
      </c>
      <c r="R5" s="196">
        <v>220</v>
      </c>
      <c r="S5" s="196">
        <v>4.84</v>
      </c>
      <c r="T5" s="201">
        <v>1.67</v>
      </c>
    </row>
    <row r="6" spans="1:20" x14ac:dyDescent="0.25">
      <c r="A6" s="196">
        <v>49.93</v>
      </c>
      <c r="B6" s="196">
        <v>0.02</v>
      </c>
      <c r="C6" s="196">
        <v>26.75</v>
      </c>
      <c r="D6" s="8">
        <v>43016.166666666664</v>
      </c>
      <c r="E6" s="196">
        <v>0.4</v>
      </c>
      <c r="F6" s="196" t="s">
        <v>443</v>
      </c>
      <c r="G6" s="196">
        <v>289.07</v>
      </c>
      <c r="H6" s="196"/>
      <c r="I6" s="196">
        <v>0</v>
      </c>
      <c r="J6" s="196">
        <v>0</v>
      </c>
      <c r="K6" s="196"/>
      <c r="L6" s="196">
        <v>1004.37</v>
      </c>
      <c r="M6" s="196" t="s">
        <v>444</v>
      </c>
      <c r="N6" s="196">
        <v>49.93</v>
      </c>
      <c r="O6" s="196">
        <v>1507456800</v>
      </c>
      <c r="P6" s="196">
        <v>0</v>
      </c>
      <c r="Q6" s="196">
        <v>3.54</v>
      </c>
      <c r="R6" s="196">
        <v>230</v>
      </c>
      <c r="S6" s="196">
        <v>4.47</v>
      </c>
      <c r="T6" s="201">
        <v>2.04</v>
      </c>
    </row>
    <row r="7" spans="1:20" x14ac:dyDescent="0.25">
      <c r="A7" s="196">
        <v>48.86</v>
      </c>
      <c r="B7" s="196">
        <v>0.01</v>
      </c>
      <c r="C7" s="196">
        <v>26.51</v>
      </c>
      <c r="D7" s="8">
        <v>43016.208333333336</v>
      </c>
      <c r="E7" s="196">
        <v>0.42</v>
      </c>
      <c r="F7" s="196" t="s">
        <v>443</v>
      </c>
      <c r="G7" s="196">
        <v>288.94</v>
      </c>
      <c r="H7" s="196"/>
      <c r="I7" s="196">
        <v>0</v>
      </c>
      <c r="J7" s="196">
        <v>0</v>
      </c>
      <c r="K7" s="196"/>
      <c r="L7" s="196">
        <v>1002.33</v>
      </c>
      <c r="M7" s="196" t="s">
        <v>444</v>
      </c>
      <c r="N7" s="196">
        <v>48.86</v>
      </c>
      <c r="O7" s="196">
        <v>1507460400</v>
      </c>
      <c r="P7" s="196">
        <v>0</v>
      </c>
      <c r="Q7" s="196">
        <v>3.61</v>
      </c>
      <c r="R7" s="196">
        <v>205</v>
      </c>
      <c r="S7" s="196">
        <v>4.6399999999999997</v>
      </c>
      <c r="T7" s="201">
        <v>1.94</v>
      </c>
    </row>
    <row r="8" spans="1:20" x14ac:dyDescent="0.25">
      <c r="A8" s="196">
        <v>47.37</v>
      </c>
      <c r="B8" s="196">
        <v>0.01</v>
      </c>
      <c r="C8" s="196">
        <v>26.86</v>
      </c>
      <c r="D8" s="8">
        <v>43016.25</v>
      </c>
      <c r="E8" s="196">
        <v>0.45</v>
      </c>
      <c r="F8" s="196" t="s">
        <v>443</v>
      </c>
      <c r="G8" s="196">
        <v>292.10000000000002</v>
      </c>
      <c r="H8" s="196"/>
      <c r="I8" s="196">
        <v>0</v>
      </c>
      <c r="J8" s="196">
        <v>0</v>
      </c>
      <c r="K8" s="196"/>
      <c r="L8" s="196">
        <v>1003</v>
      </c>
      <c r="M8" s="196" t="s">
        <v>444</v>
      </c>
      <c r="N8" s="196">
        <v>47.37</v>
      </c>
      <c r="O8" s="196">
        <v>1507464000</v>
      </c>
      <c r="P8" s="196">
        <v>0</v>
      </c>
      <c r="Q8" s="196">
        <v>3.36</v>
      </c>
      <c r="R8" s="196">
        <v>196</v>
      </c>
      <c r="S8" s="196">
        <v>4.24</v>
      </c>
      <c r="T8" s="201">
        <v>1.73</v>
      </c>
    </row>
    <row r="9" spans="1:20" x14ac:dyDescent="0.25">
      <c r="A9" s="196">
        <v>46.6</v>
      </c>
      <c r="B9" s="196">
        <v>0.05</v>
      </c>
      <c r="C9" s="196">
        <v>27.33</v>
      </c>
      <c r="D9" s="8">
        <v>43016.291666666664</v>
      </c>
      <c r="E9" s="196">
        <v>0.47</v>
      </c>
      <c r="F9" s="196" t="s">
        <v>443</v>
      </c>
      <c r="G9" s="196">
        <v>290.86</v>
      </c>
      <c r="H9" s="196"/>
      <c r="I9" s="196">
        <v>0</v>
      </c>
      <c r="J9" s="196">
        <v>0</v>
      </c>
      <c r="K9" s="196"/>
      <c r="L9" s="196">
        <v>1004.4</v>
      </c>
      <c r="M9" s="196" t="s">
        <v>444</v>
      </c>
      <c r="N9" s="196">
        <v>46.6</v>
      </c>
      <c r="O9" s="196">
        <v>1507467600</v>
      </c>
      <c r="P9" s="196">
        <v>0</v>
      </c>
      <c r="Q9" s="196">
        <v>4.2300000000000004</v>
      </c>
      <c r="R9" s="196">
        <v>180</v>
      </c>
      <c r="S9" s="196">
        <v>4.59</v>
      </c>
      <c r="T9" s="201">
        <v>1.95</v>
      </c>
    </row>
    <row r="10" spans="1:20" x14ac:dyDescent="0.25">
      <c r="A10" s="196">
        <v>48.39</v>
      </c>
      <c r="B10" s="196">
        <v>7.0000000000000007E-2</v>
      </c>
      <c r="C10" s="196">
        <v>29.38</v>
      </c>
      <c r="D10" s="8">
        <v>43016.333333333336</v>
      </c>
      <c r="E10" s="196">
        <v>0.48</v>
      </c>
      <c r="F10" s="196" t="s">
        <v>478</v>
      </c>
      <c r="G10" s="196">
        <v>288.81</v>
      </c>
      <c r="H10" s="196"/>
      <c r="I10" s="196">
        <v>0</v>
      </c>
      <c r="J10" s="196">
        <v>0</v>
      </c>
      <c r="K10" s="196"/>
      <c r="L10" s="196">
        <v>1004.28</v>
      </c>
      <c r="M10" s="196" t="s">
        <v>444</v>
      </c>
      <c r="N10" s="196">
        <v>48.39</v>
      </c>
      <c r="O10" s="196">
        <v>1507471200</v>
      </c>
      <c r="P10" s="196">
        <v>1</v>
      </c>
      <c r="Q10" s="196">
        <v>4.3600000000000003</v>
      </c>
      <c r="R10" s="196">
        <v>82</v>
      </c>
      <c r="S10" s="196">
        <v>5.94</v>
      </c>
      <c r="T10" s="201">
        <v>1.27</v>
      </c>
    </row>
    <row r="11" spans="1:20" x14ac:dyDescent="0.25">
      <c r="A11" s="196">
        <v>51.47</v>
      </c>
      <c r="B11" s="196">
        <v>0.05</v>
      </c>
      <c r="C11" s="196">
        <v>31.8</v>
      </c>
      <c r="D11" s="8">
        <v>43016.375</v>
      </c>
      <c r="E11" s="196">
        <v>0.47</v>
      </c>
      <c r="F11" s="196" t="s">
        <v>478</v>
      </c>
      <c r="G11" s="196">
        <v>286.87</v>
      </c>
      <c r="H11" s="196"/>
      <c r="I11" s="196">
        <v>0</v>
      </c>
      <c r="J11" s="196">
        <v>0</v>
      </c>
      <c r="K11" s="196"/>
      <c r="L11" s="196">
        <v>1004.69</v>
      </c>
      <c r="M11" s="196" t="s">
        <v>444</v>
      </c>
      <c r="N11" s="196">
        <v>51.47</v>
      </c>
      <c r="O11" s="196">
        <v>1507474800</v>
      </c>
      <c r="P11" s="196">
        <v>1</v>
      </c>
      <c r="Q11" s="196">
        <v>3.79</v>
      </c>
      <c r="R11" s="196">
        <v>347</v>
      </c>
      <c r="S11" s="196">
        <v>9.7100000000000009</v>
      </c>
      <c r="T11" s="201">
        <v>2.8</v>
      </c>
    </row>
    <row r="12" spans="1:20" x14ac:dyDescent="0.25">
      <c r="A12" s="196">
        <v>51.49</v>
      </c>
      <c r="B12" s="196">
        <v>0.06</v>
      </c>
      <c r="C12" s="196">
        <v>34.08</v>
      </c>
      <c r="D12" s="8">
        <v>43016.416666666664</v>
      </c>
      <c r="E12" s="196">
        <v>0.51</v>
      </c>
      <c r="F12" s="196" t="s">
        <v>478</v>
      </c>
      <c r="G12" s="196">
        <v>285.25</v>
      </c>
      <c r="H12" s="196"/>
      <c r="I12" s="196">
        <v>0</v>
      </c>
      <c r="J12" s="196">
        <v>0</v>
      </c>
      <c r="K12" s="196"/>
      <c r="L12" s="196">
        <v>1004.43</v>
      </c>
      <c r="M12" s="196" t="s">
        <v>444</v>
      </c>
      <c r="N12" s="196">
        <v>51.49</v>
      </c>
      <c r="O12" s="196">
        <v>1507478400</v>
      </c>
      <c r="P12" s="196">
        <v>2</v>
      </c>
      <c r="Q12" s="196">
        <v>4.0999999999999996</v>
      </c>
      <c r="R12" s="196">
        <v>3</v>
      </c>
      <c r="S12" s="196">
        <v>9.9600000000000009</v>
      </c>
      <c r="T12" s="201">
        <v>3.77</v>
      </c>
    </row>
    <row r="13" spans="1:20" x14ac:dyDescent="0.25">
      <c r="A13" s="196">
        <v>53.19</v>
      </c>
      <c r="B13" s="196">
        <v>0.03</v>
      </c>
      <c r="C13" s="196">
        <v>35.479999999999997</v>
      </c>
      <c r="D13" s="8">
        <v>43016.458333333336</v>
      </c>
      <c r="E13" s="196">
        <v>0.51</v>
      </c>
      <c r="F13" s="196" t="s">
        <v>478</v>
      </c>
      <c r="G13" s="196">
        <v>283.73</v>
      </c>
      <c r="H13" s="196"/>
      <c r="I13" s="196">
        <v>0</v>
      </c>
      <c r="J13" s="196">
        <v>0</v>
      </c>
      <c r="K13" s="196"/>
      <c r="L13" s="196">
        <v>1003.43</v>
      </c>
      <c r="M13" s="196" t="s">
        <v>444</v>
      </c>
      <c r="N13" s="196">
        <v>53.19</v>
      </c>
      <c r="O13" s="196">
        <v>1507482000</v>
      </c>
      <c r="P13" s="196">
        <v>4</v>
      </c>
      <c r="Q13" s="196">
        <v>4.33</v>
      </c>
      <c r="R13" s="196">
        <v>16</v>
      </c>
      <c r="S13" s="196">
        <v>8.86</v>
      </c>
      <c r="T13" s="201">
        <v>3.28</v>
      </c>
    </row>
    <row r="14" spans="1:20" x14ac:dyDescent="0.25">
      <c r="A14" s="196">
        <v>55.29</v>
      </c>
      <c r="B14" s="196">
        <v>0.03</v>
      </c>
      <c r="C14" s="196">
        <v>35.590000000000003</v>
      </c>
      <c r="D14" s="8">
        <v>43016.5</v>
      </c>
      <c r="E14" s="196">
        <v>0.47</v>
      </c>
      <c r="F14" s="196" t="s">
        <v>478</v>
      </c>
      <c r="G14" s="196">
        <v>277.48</v>
      </c>
      <c r="H14" s="196"/>
      <c r="I14" s="196">
        <v>0</v>
      </c>
      <c r="J14" s="196">
        <v>0</v>
      </c>
      <c r="K14" s="196"/>
      <c r="L14" s="196">
        <v>1002.54</v>
      </c>
      <c r="M14" s="196" t="s">
        <v>444</v>
      </c>
      <c r="N14" s="196">
        <v>55.29</v>
      </c>
      <c r="O14" s="196">
        <v>1507485600</v>
      </c>
      <c r="P14" s="196">
        <v>5</v>
      </c>
      <c r="Q14" s="196">
        <v>3.96</v>
      </c>
      <c r="R14" s="196">
        <v>27</v>
      </c>
      <c r="S14" s="196">
        <v>7.23</v>
      </c>
      <c r="T14" s="201">
        <v>2.88</v>
      </c>
    </row>
    <row r="15" spans="1:20" x14ac:dyDescent="0.25">
      <c r="A15" s="196">
        <v>58.43</v>
      </c>
      <c r="B15" s="196">
        <v>0.05</v>
      </c>
      <c r="C15" s="196">
        <v>36.17</v>
      </c>
      <c r="D15" s="8">
        <v>43016.541666666664</v>
      </c>
      <c r="E15" s="196">
        <v>0.43</v>
      </c>
      <c r="F15" s="196" t="s">
        <v>478</v>
      </c>
      <c r="G15" s="196">
        <v>277.47000000000003</v>
      </c>
      <c r="H15" s="196"/>
      <c r="I15" s="196">
        <v>0</v>
      </c>
      <c r="J15" s="196">
        <v>0</v>
      </c>
      <c r="K15" s="196"/>
      <c r="L15" s="196">
        <v>1000.98</v>
      </c>
      <c r="M15" s="196" t="s">
        <v>444</v>
      </c>
      <c r="N15" s="196">
        <v>58.43</v>
      </c>
      <c r="O15" s="196">
        <v>1507489200</v>
      </c>
      <c r="P15" s="196">
        <v>5</v>
      </c>
      <c r="Q15" s="196">
        <v>4.3600000000000003</v>
      </c>
      <c r="R15" s="196">
        <v>44</v>
      </c>
      <c r="S15" s="196">
        <v>6.66</v>
      </c>
      <c r="T15" s="201">
        <v>1.73</v>
      </c>
    </row>
    <row r="16" spans="1:20" x14ac:dyDescent="0.25">
      <c r="A16" s="196">
        <v>61.12</v>
      </c>
      <c r="B16" s="196">
        <v>0.04</v>
      </c>
      <c r="C16" s="196">
        <v>36.94</v>
      </c>
      <c r="D16" s="8">
        <v>43016.583333333336</v>
      </c>
      <c r="E16" s="196">
        <v>0.41</v>
      </c>
      <c r="F16" s="196" t="s">
        <v>478</v>
      </c>
      <c r="G16" s="196">
        <v>278.66000000000003</v>
      </c>
      <c r="H16" s="196"/>
      <c r="I16" s="196">
        <v>0</v>
      </c>
      <c r="J16" s="196">
        <v>0</v>
      </c>
      <c r="K16" s="196"/>
      <c r="L16" s="196">
        <v>998.92</v>
      </c>
      <c r="M16" s="196" t="s">
        <v>444</v>
      </c>
      <c r="N16" s="196">
        <v>61.12</v>
      </c>
      <c r="O16" s="196">
        <v>1507492800</v>
      </c>
      <c r="P16" s="196">
        <v>5</v>
      </c>
      <c r="Q16" s="196">
        <v>4.08</v>
      </c>
      <c r="R16" s="196">
        <v>44</v>
      </c>
      <c r="S16" s="196">
        <v>6.98</v>
      </c>
      <c r="T16" s="201">
        <v>1.6</v>
      </c>
    </row>
    <row r="17" spans="1:20" x14ac:dyDescent="0.25">
      <c r="A17" s="196">
        <v>63.11</v>
      </c>
      <c r="B17" s="196">
        <v>7.0000000000000007E-2</v>
      </c>
      <c r="C17" s="196">
        <v>37.58</v>
      </c>
      <c r="D17" s="8">
        <v>43016.625</v>
      </c>
      <c r="E17" s="196">
        <v>0.39</v>
      </c>
      <c r="F17" s="196" t="s">
        <v>478</v>
      </c>
      <c r="G17" s="196">
        <v>279.97000000000003</v>
      </c>
      <c r="H17" s="196"/>
      <c r="I17" s="196">
        <v>0</v>
      </c>
      <c r="J17" s="196">
        <v>0</v>
      </c>
      <c r="K17" s="196"/>
      <c r="L17" s="196">
        <v>997.88</v>
      </c>
      <c r="M17" s="196" t="s">
        <v>444</v>
      </c>
      <c r="N17" s="196">
        <v>63.11</v>
      </c>
      <c r="O17" s="196">
        <v>1507496400</v>
      </c>
      <c r="P17" s="196">
        <v>3</v>
      </c>
      <c r="Q17" s="196">
        <v>4.3600000000000003</v>
      </c>
      <c r="R17" s="196">
        <v>22</v>
      </c>
      <c r="S17" s="196">
        <v>8.11</v>
      </c>
      <c r="T17" s="201">
        <v>2.0699999999999998</v>
      </c>
    </row>
    <row r="18" spans="1:20" x14ac:dyDescent="0.25">
      <c r="A18" s="196">
        <v>64.14</v>
      </c>
      <c r="B18" s="196">
        <v>7.0000000000000007E-2</v>
      </c>
      <c r="C18" s="196">
        <v>38</v>
      </c>
      <c r="D18" s="8">
        <v>43016.666666666664</v>
      </c>
      <c r="E18" s="196">
        <v>0.38</v>
      </c>
      <c r="F18" s="196" t="s">
        <v>478</v>
      </c>
      <c r="G18" s="196">
        <v>280.89999999999998</v>
      </c>
      <c r="H18" s="196"/>
      <c r="I18" s="196">
        <v>0</v>
      </c>
      <c r="J18" s="196">
        <v>0</v>
      </c>
      <c r="K18" s="196"/>
      <c r="L18" s="196">
        <v>997.25</v>
      </c>
      <c r="M18" s="196" t="s">
        <v>444</v>
      </c>
      <c r="N18" s="196">
        <v>64.14</v>
      </c>
      <c r="O18" s="196">
        <v>1507500000</v>
      </c>
      <c r="P18" s="196">
        <v>2</v>
      </c>
      <c r="Q18" s="196">
        <v>4.3600000000000003</v>
      </c>
      <c r="R18" s="196">
        <v>9</v>
      </c>
      <c r="S18" s="196">
        <v>9.8800000000000008</v>
      </c>
      <c r="T18" s="201">
        <v>3.12</v>
      </c>
    </row>
    <row r="19" spans="1:20" x14ac:dyDescent="0.25">
      <c r="A19" s="196">
        <v>63.74</v>
      </c>
      <c r="B19" s="196">
        <v>7.0000000000000007E-2</v>
      </c>
      <c r="C19" s="196">
        <v>38.4</v>
      </c>
      <c r="D19" s="8">
        <v>43016.708333333336</v>
      </c>
      <c r="E19" s="196">
        <v>0.39</v>
      </c>
      <c r="F19" s="196" t="s">
        <v>478</v>
      </c>
      <c r="G19" s="196">
        <v>281.83999999999997</v>
      </c>
      <c r="H19" s="196"/>
      <c r="I19" s="196">
        <v>0</v>
      </c>
      <c r="J19" s="196">
        <v>0</v>
      </c>
      <c r="K19" s="196"/>
      <c r="L19" s="196">
        <v>997.6</v>
      </c>
      <c r="M19" s="196" t="s">
        <v>444</v>
      </c>
      <c r="N19" s="196">
        <v>63.74</v>
      </c>
      <c r="O19" s="196">
        <v>1507503600</v>
      </c>
      <c r="P19" s="196">
        <v>1</v>
      </c>
      <c r="Q19" s="196">
        <v>4.3600000000000003</v>
      </c>
      <c r="R19" s="196">
        <v>2</v>
      </c>
      <c r="S19" s="196">
        <v>10.16</v>
      </c>
      <c r="T19" s="201">
        <v>3.69</v>
      </c>
    </row>
    <row r="20" spans="1:20" x14ac:dyDescent="0.25">
      <c r="A20" s="196">
        <v>61.57</v>
      </c>
      <c r="B20" s="196">
        <v>0.08</v>
      </c>
      <c r="C20" s="196">
        <v>38.700000000000003</v>
      </c>
      <c r="D20" s="8">
        <v>43016.75</v>
      </c>
      <c r="E20" s="196">
        <v>0.43</v>
      </c>
      <c r="F20" s="196" t="s">
        <v>478</v>
      </c>
      <c r="G20" s="196">
        <v>280.67</v>
      </c>
      <c r="H20" s="196"/>
      <c r="I20" s="196">
        <v>0</v>
      </c>
      <c r="J20" s="196">
        <v>0</v>
      </c>
      <c r="K20" s="196"/>
      <c r="L20" s="196">
        <v>999.03</v>
      </c>
      <c r="M20" s="196" t="s">
        <v>444</v>
      </c>
      <c r="N20" s="196">
        <v>61.57</v>
      </c>
      <c r="O20" s="196">
        <v>1507507200</v>
      </c>
      <c r="P20" s="196">
        <v>0</v>
      </c>
      <c r="Q20" s="196">
        <v>4.3600000000000003</v>
      </c>
      <c r="R20" s="196">
        <v>1</v>
      </c>
      <c r="S20" s="196">
        <v>12.08</v>
      </c>
      <c r="T20" s="201">
        <v>5.08</v>
      </c>
    </row>
    <row r="21" spans="1:20" x14ac:dyDescent="0.25">
      <c r="A21" s="196">
        <v>57.9</v>
      </c>
      <c r="B21" s="196">
        <v>0.2</v>
      </c>
      <c r="C21" s="196">
        <v>38.47</v>
      </c>
      <c r="D21" s="8">
        <v>43016.791666666664</v>
      </c>
      <c r="E21" s="196">
        <v>0.48</v>
      </c>
      <c r="F21" s="196" t="s">
        <v>443</v>
      </c>
      <c r="G21" s="196">
        <v>280.8</v>
      </c>
      <c r="H21" s="196"/>
      <c r="I21" s="196">
        <v>0</v>
      </c>
      <c r="J21" s="196">
        <v>0</v>
      </c>
      <c r="K21" s="196"/>
      <c r="L21" s="196">
        <v>1002.18</v>
      </c>
      <c r="M21" s="196" t="s">
        <v>444</v>
      </c>
      <c r="N21" s="196">
        <v>57.9</v>
      </c>
      <c r="O21" s="196">
        <v>1507510800</v>
      </c>
      <c r="P21" s="196">
        <v>0</v>
      </c>
      <c r="Q21" s="196">
        <v>4.3600000000000003</v>
      </c>
      <c r="R21" s="196">
        <v>359</v>
      </c>
      <c r="S21" s="196">
        <v>15.49</v>
      </c>
      <c r="T21" s="201">
        <v>6.95</v>
      </c>
    </row>
    <row r="22" spans="1:20" x14ac:dyDescent="0.25">
      <c r="A22" s="196">
        <v>55.8</v>
      </c>
      <c r="B22" s="196">
        <v>0.64</v>
      </c>
      <c r="C22" s="196">
        <v>37.520000000000003</v>
      </c>
      <c r="D22" s="8">
        <v>43016.833333333336</v>
      </c>
      <c r="E22" s="196">
        <v>0.5</v>
      </c>
      <c r="F22" s="196" t="s">
        <v>397</v>
      </c>
      <c r="G22" s="196">
        <v>281.04000000000002</v>
      </c>
      <c r="H22" s="196"/>
      <c r="I22" s="196">
        <v>2.0000000000000001E-4</v>
      </c>
      <c r="J22" s="196">
        <v>0.01</v>
      </c>
      <c r="K22" s="196" t="s">
        <v>396</v>
      </c>
      <c r="L22" s="196">
        <v>1004.69</v>
      </c>
      <c r="M22" s="196" t="s">
        <v>398</v>
      </c>
      <c r="N22" s="196">
        <v>55.8</v>
      </c>
      <c r="O22" s="196">
        <v>1507514400</v>
      </c>
      <c r="P22" s="196">
        <v>0</v>
      </c>
      <c r="Q22" s="196">
        <v>4.3600000000000003</v>
      </c>
      <c r="R22" s="196">
        <v>12</v>
      </c>
      <c r="S22" s="196">
        <v>17.89</v>
      </c>
      <c r="T22" s="201">
        <v>8.32</v>
      </c>
    </row>
    <row r="23" spans="1:20" x14ac:dyDescent="0.25">
      <c r="A23" s="196">
        <v>50.88</v>
      </c>
      <c r="B23" s="196">
        <v>0.76</v>
      </c>
      <c r="C23" s="196">
        <v>38.51</v>
      </c>
      <c r="D23" s="8">
        <v>43016.875</v>
      </c>
      <c r="E23" s="196">
        <v>0.62</v>
      </c>
      <c r="F23" s="196" t="s">
        <v>397</v>
      </c>
      <c r="G23" s="196">
        <v>281.75</v>
      </c>
      <c r="H23" s="196"/>
      <c r="I23" s="196">
        <v>6.9999999999999999E-4</v>
      </c>
      <c r="J23" s="196">
        <v>0.02</v>
      </c>
      <c r="K23" s="196" t="s">
        <v>396</v>
      </c>
      <c r="L23" s="196">
        <v>1007.69</v>
      </c>
      <c r="M23" s="196" t="s">
        <v>398</v>
      </c>
      <c r="N23" s="196">
        <v>50.88</v>
      </c>
      <c r="O23" s="196">
        <v>1507518000</v>
      </c>
      <c r="P23" s="196">
        <v>0</v>
      </c>
      <c r="Q23" s="196">
        <v>3.72</v>
      </c>
      <c r="R23" s="196">
        <v>11</v>
      </c>
      <c r="S23" s="196">
        <v>18.82</v>
      </c>
      <c r="T23" s="201">
        <v>8.66</v>
      </c>
    </row>
    <row r="24" spans="1:20" x14ac:dyDescent="0.25">
      <c r="A24" s="196">
        <v>35.369999999999997</v>
      </c>
      <c r="B24" s="196">
        <v>0.56000000000000005</v>
      </c>
      <c r="C24" s="196">
        <v>37.01</v>
      </c>
      <c r="D24" s="8">
        <v>43016.916666666664</v>
      </c>
      <c r="E24" s="196">
        <v>0.86</v>
      </c>
      <c r="F24" s="196" t="s">
        <v>397</v>
      </c>
      <c r="G24" s="196">
        <v>283.27999999999997</v>
      </c>
      <c r="H24" s="196"/>
      <c r="I24" s="196">
        <v>1.6000000000000001E-3</v>
      </c>
      <c r="J24" s="196">
        <v>0.14000000000000001</v>
      </c>
      <c r="K24" s="196" t="s">
        <v>396</v>
      </c>
      <c r="L24" s="196">
        <v>1010.69</v>
      </c>
      <c r="M24" s="196" t="s">
        <v>401</v>
      </c>
      <c r="N24" s="196">
        <v>40.92</v>
      </c>
      <c r="O24" s="196">
        <v>1507521600</v>
      </c>
      <c r="P24" s="196">
        <v>0</v>
      </c>
      <c r="Q24" s="196">
        <v>2.4300000000000002</v>
      </c>
      <c r="R24" s="196">
        <v>352</v>
      </c>
      <c r="S24" s="196">
        <v>20.3</v>
      </c>
      <c r="T24" s="201">
        <v>8.69</v>
      </c>
    </row>
    <row r="25" spans="1:20" x14ac:dyDescent="0.25">
      <c r="A25" s="196">
        <v>30.52</v>
      </c>
      <c r="B25" s="196">
        <v>0.85</v>
      </c>
      <c r="C25" s="196">
        <v>34.04</v>
      </c>
      <c r="D25" s="8">
        <v>43016.958333333336</v>
      </c>
      <c r="E25" s="196">
        <v>0.9</v>
      </c>
      <c r="F25" s="196" t="s">
        <v>548</v>
      </c>
      <c r="G25" s="196">
        <v>285.38</v>
      </c>
      <c r="H25" s="196"/>
      <c r="I25" s="196">
        <v>3.8E-3</v>
      </c>
      <c r="J25" s="196">
        <v>0.39</v>
      </c>
      <c r="K25" s="196" t="s">
        <v>396</v>
      </c>
      <c r="L25" s="196">
        <v>1013.49</v>
      </c>
      <c r="M25" s="196" t="s">
        <v>549</v>
      </c>
      <c r="N25" s="196">
        <v>36.619999999999997</v>
      </c>
      <c r="O25" s="196">
        <v>1507525200</v>
      </c>
      <c r="P25" s="196">
        <v>0</v>
      </c>
      <c r="Q25" s="196">
        <v>1.96</v>
      </c>
      <c r="R25" s="196">
        <v>350</v>
      </c>
      <c r="S25" s="196">
        <v>17.829999999999998</v>
      </c>
      <c r="T25" s="201">
        <v>7.92</v>
      </c>
    </row>
    <row r="26" spans="1:20" x14ac:dyDescent="0.25">
      <c r="A26" s="196">
        <v>29.28</v>
      </c>
      <c r="B26" s="196">
        <v>0.96</v>
      </c>
      <c r="C26" s="196">
        <v>32.659999999999997</v>
      </c>
      <c r="D26" s="8">
        <v>43017</v>
      </c>
      <c r="E26" s="196">
        <v>0.91</v>
      </c>
      <c r="F26" s="196" t="s">
        <v>550</v>
      </c>
      <c r="G26" s="196">
        <v>287.69</v>
      </c>
      <c r="H26" s="196"/>
      <c r="I26" s="196">
        <v>4.4000000000000003E-3</v>
      </c>
      <c r="J26" s="196">
        <v>0.32</v>
      </c>
      <c r="K26" s="196" t="s">
        <v>396</v>
      </c>
      <c r="L26" s="196">
        <v>1015.58</v>
      </c>
      <c r="M26" s="196" t="s">
        <v>551</v>
      </c>
      <c r="N26" s="196">
        <v>35.08</v>
      </c>
      <c r="O26" s="196">
        <v>1507528800</v>
      </c>
      <c r="P26" s="196">
        <v>0</v>
      </c>
      <c r="Q26" s="196">
        <v>2.08</v>
      </c>
      <c r="R26" s="196">
        <v>354</v>
      </c>
      <c r="S26" s="196">
        <v>14.79</v>
      </c>
      <c r="T26" s="201">
        <v>6.89</v>
      </c>
    </row>
    <row r="27" spans="1:20" x14ac:dyDescent="0.25">
      <c r="A27" s="196">
        <v>29.35</v>
      </c>
      <c r="B27" s="196">
        <v>0.92</v>
      </c>
      <c r="C27" s="196">
        <v>32.299999999999997</v>
      </c>
      <c r="D27" s="8">
        <v>43017.041666666664</v>
      </c>
      <c r="E27" s="196">
        <v>0.92</v>
      </c>
      <c r="F27" s="196" t="s">
        <v>397</v>
      </c>
      <c r="G27" s="196">
        <v>290.08999999999997</v>
      </c>
      <c r="H27" s="196"/>
      <c r="I27" s="196">
        <v>4.3E-3</v>
      </c>
      <c r="J27" s="196">
        <v>0.05</v>
      </c>
      <c r="K27" s="196" t="s">
        <v>396</v>
      </c>
      <c r="L27" s="196">
        <v>1016.83</v>
      </c>
      <c r="M27" s="196" t="s">
        <v>398</v>
      </c>
      <c r="N27" s="196">
        <v>34.31</v>
      </c>
      <c r="O27" s="196">
        <v>1507532400</v>
      </c>
      <c r="P27" s="196">
        <v>0</v>
      </c>
      <c r="Q27" s="196">
        <v>2.56</v>
      </c>
      <c r="R27" s="196">
        <v>1</v>
      </c>
      <c r="S27" s="196">
        <v>12.91</v>
      </c>
      <c r="T27" s="201">
        <v>5.52</v>
      </c>
    </row>
    <row r="28" spans="1:20" x14ac:dyDescent="0.25">
      <c r="A28" s="196">
        <v>30.64</v>
      </c>
      <c r="B28" s="196">
        <v>0.9</v>
      </c>
      <c r="C28" s="196">
        <v>32.03</v>
      </c>
      <c r="D28" s="8">
        <v>43017.083333333336</v>
      </c>
      <c r="E28" s="196">
        <v>0.93</v>
      </c>
      <c r="F28" s="196" t="s">
        <v>845</v>
      </c>
      <c r="G28" s="196">
        <v>292.89999999999998</v>
      </c>
      <c r="H28" s="196">
        <v>2.8000000000000001E-2</v>
      </c>
      <c r="I28" s="196">
        <v>3.7000000000000002E-3</v>
      </c>
      <c r="J28" s="196">
        <v>0.06</v>
      </c>
      <c r="K28" s="196" t="s">
        <v>845</v>
      </c>
      <c r="L28" s="196">
        <v>1017.77</v>
      </c>
      <c r="M28" s="196" t="s">
        <v>846</v>
      </c>
      <c r="N28" s="196">
        <v>33.880000000000003</v>
      </c>
      <c r="O28" s="196">
        <v>1507536000</v>
      </c>
      <c r="P28" s="196">
        <v>0</v>
      </c>
      <c r="Q28" s="196">
        <v>2.13</v>
      </c>
      <c r="R28" s="196">
        <v>359</v>
      </c>
      <c r="S28" s="196">
        <v>9.14</v>
      </c>
      <c r="T28" s="201">
        <v>3.64</v>
      </c>
    </row>
    <row r="29" spans="1:20" x14ac:dyDescent="0.25">
      <c r="A29" s="196">
        <v>30.08</v>
      </c>
      <c r="B29" s="196">
        <v>0.78</v>
      </c>
      <c r="C29" s="196">
        <v>31.85</v>
      </c>
      <c r="D29" s="8">
        <v>43017.125</v>
      </c>
      <c r="E29" s="196">
        <v>0.92</v>
      </c>
      <c r="F29" s="196" t="s">
        <v>845</v>
      </c>
      <c r="G29" s="196">
        <v>295.37</v>
      </c>
      <c r="H29" s="196">
        <v>2.7E-2</v>
      </c>
      <c r="I29" s="196">
        <v>3.5000000000000001E-3</v>
      </c>
      <c r="J29" s="196">
        <v>0.06</v>
      </c>
      <c r="K29" s="196" t="s">
        <v>845</v>
      </c>
      <c r="L29" s="196">
        <v>1018.41</v>
      </c>
      <c r="M29" s="196" t="s">
        <v>846</v>
      </c>
      <c r="N29" s="196">
        <v>33.869999999999997</v>
      </c>
      <c r="O29" s="196">
        <v>1507539600</v>
      </c>
      <c r="P29" s="196">
        <v>0</v>
      </c>
      <c r="Q29" s="196">
        <v>2.2999999999999998</v>
      </c>
      <c r="R29" s="196">
        <v>359</v>
      </c>
      <c r="S29" s="196">
        <v>9.31</v>
      </c>
      <c r="T29" s="201">
        <v>4.1500000000000004</v>
      </c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348</v>
      </c>
      <c r="AE2" s="56" t="s">
        <v>351</v>
      </c>
      <c r="AF2" s="56" t="s">
        <v>352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353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998</v>
      </c>
      <c r="J20" s="140" t="s">
        <v>87</v>
      </c>
      <c r="M20" s="154" t="s">
        <v>341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999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1000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1003</v>
      </c>
      <c r="J25" s="140" t="s">
        <v>144</v>
      </c>
      <c r="M25" s="154" t="b">
        <v>1</v>
      </c>
    </row>
    <row r="26" spans="3:24" x14ac:dyDescent="0.25">
      <c r="C26" t="s">
        <v>1004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%USERPROFILE%\Documents\GitHub\eaglep3-reporting\EC\2017-10-08-refined-times.txt</v>
      </c>
    </row>
    <row r="27" spans="3:24" x14ac:dyDescent="0.25">
      <c r="C27" t="s">
        <v>1005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%USERPROFILE%\Documents\GitHub\eaglep3-reporting\EC\2017-10-08-Enforcements.txt</v>
      </c>
    </row>
    <row r="28" spans="3:24" x14ac:dyDescent="0.25">
      <c r="C28" t="s">
        <v>1006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%USERPROFILE%\Documents\GitHub\eaglep3-reporting\EC\2017-10-08-Runs-refined.txt</v>
      </c>
    </row>
    <row r="29" spans="3:24" x14ac:dyDescent="0.25">
      <c r="C29" t="s">
        <v>1007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%USERPROFILE%\Documents\GitHub\eaglep3-reporting\EC\2017-10-08-Trips.txt</v>
      </c>
    </row>
    <row r="30" spans="3:24" x14ac:dyDescent="0.25">
      <c r="C30" t="s">
        <v>1008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%USERPROFILE%\Documents\GitHub\eaglep3-reporting\EC\2017-10-08-Weather.txt</v>
      </c>
    </row>
    <row r="31" spans="3:24" x14ac:dyDescent="0.25">
      <c r="C31" t="s">
        <v>1009</v>
      </c>
      <c r="J31" s="140" t="s">
        <v>190</v>
      </c>
      <c r="M31" s="154" t="s">
        <v>191</v>
      </c>
    </row>
    <row r="32" spans="3:24" x14ac:dyDescent="0.25">
      <c r="C32" t="s">
        <v>1010</v>
      </c>
    </row>
    <row r="33" spans="3:3" x14ac:dyDescent="0.25">
      <c r="C33" t="s">
        <v>1011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495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2017-10-09T15:46:27Z</dcterms:modified>
</cp:coreProperties>
</file>