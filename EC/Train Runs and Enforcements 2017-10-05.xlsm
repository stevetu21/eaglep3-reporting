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queryTables/queryTable1.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01" codeName="{21656B06-1B9B-AA78-C99D-37B55691406E}"/>
  <workbookPr codeName="ThisWorkbook"/>
  <mc:AlternateContent xmlns:mc="http://schemas.openxmlformats.org/markup-compatibility/2006">
    <mc:Choice Requires="x15">
      <x15ac:absPath xmlns:x15ac="http://schemas.microsoft.com/office/spreadsheetml/2010/11/ac" url="C:\Users\stu\Documents\GitHub\eaglep3-reporting\EC\"/>
    </mc:Choice>
  </mc:AlternateContent>
  <bookViews>
    <workbookView xWindow="0" yWindow="0" windowWidth="23040" windowHeight="9120"/>
  </bookViews>
  <sheets>
    <sheet name="Train Runs" sheetId="1" r:id="rId1"/>
    <sheet name="Enforcements" sheetId="3" r:id="rId2"/>
    <sheet name="Missing Trips" sheetId="6" r:id="rId3"/>
    <sheet name="Trips&amp;Operators" sheetId="4" r:id="rId4"/>
    <sheet name="Weather" sheetId="8" r:id="rId5"/>
    <sheet name="Variables" sheetId="5" r:id="rId6"/>
    <sheet name="Redmine List Values" sheetId="7" r:id="rId7"/>
    <sheet name="Slice Disagreement Check" sheetId="9" r:id="rId8"/>
  </sheets>
  <functionGroups builtInGroupCount="18"/>
  <externalReferences>
    <externalReference r:id="rId9"/>
  </externalReferences>
  <definedNames>
    <definedName name="_xlnm._FilterDatabase" localSheetId="1" hidden="1">Enforcements!$A$6:$AC$42</definedName>
    <definedName name="_xlnm._FilterDatabase" localSheetId="2" hidden="1">'Missing Trips'!$A$2:$J$26</definedName>
    <definedName name="_xlnm._FilterDatabase" localSheetId="0" hidden="1">'Train Runs'!$A$12:$AG$351</definedName>
    <definedName name="_xlnm._FilterDatabase" localSheetId="3" hidden="1">'Trips&amp;Operators'!$A$1:$E$211</definedName>
    <definedName name="astrogrep_path">Variables!$M$18</definedName>
    <definedName name="Denver_Train_Runs_04122016" localSheetId="0">'Train Runs'!$A$12:$J$79</definedName>
    <definedName name="dls3logs">Variables!$M$31</definedName>
    <definedName name="enforcements_txt">Variables!$M$27</definedName>
    <definedName name="outputrefinedruntimes">Variables!$M$25</definedName>
    <definedName name="redm_api_key">'Redmine List Values'!$I$1</definedName>
    <definedName name="redm_url">'Redmine List Values'!$I$2</definedName>
    <definedName name="redmine_api">'Redmine List Values'!$I$1</definedName>
    <definedName name="redmine_api_wcr">'Redmine List Values'!$J$1</definedName>
    <definedName name="redmine_assignee">'Redmine List Values'!$I$5</definedName>
    <definedName name="redmine_assignee_wcr">'Redmine List Values'!$J$5</definedName>
    <definedName name="redmine_op_impact">'Redmine List Values'!$I$6</definedName>
    <definedName name="redmine_priority">'Redmine List Values'!$I$4</definedName>
    <definedName name="redmine_priority_wcr">'Redmine List Values'!$J$4</definedName>
    <definedName name="redmine_status">'Redmine List Values'!$I$3</definedName>
    <definedName name="redmine_status_wcr">'Redmine List Values'!$J$3</definedName>
    <definedName name="redmine_status2">'Redmine List Values'!$J$3</definedName>
    <definedName name="redmine_url">'Redmine List Values'!$I$2</definedName>
    <definedName name="redmine_url_wcr">'Redmine List Values'!$J$2</definedName>
    <definedName name="redmine_url2">'Redmine List Values'!$J$2</definedName>
    <definedName name="RefinedRTDCRunTimesOutputFile">Variables!$M$26</definedName>
    <definedName name="refinertdcruntimes">Variables!$M$24</definedName>
    <definedName name="runsrefined_txt">Variables!$M$28</definedName>
    <definedName name="s3_bucket">Variables!$M$21</definedName>
    <definedName name="search_path">Variables!$M$19</definedName>
    <definedName name="search_regexp">Variables!$M$20</definedName>
    <definedName name="SubdivInfo">Variables!$AC$3:$AF$8</definedName>
    <definedName name="trips_txt">Variables!$M$29</definedName>
    <definedName name="utc_offset">Variables!$M$23</definedName>
    <definedName name="walkandungz">Variables!$M$22</definedName>
    <definedName name="weather_txt">Variables!$M$30</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54" i="1" l="1"/>
  <c r="M154" i="1"/>
  <c r="N154" i="1" s="1"/>
  <c r="AA154" i="1"/>
  <c r="AB154" i="1"/>
  <c r="AC154" i="1"/>
  <c r="AD154" i="1"/>
  <c r="AE154" i="1"/>
  <c r="AM154" i="1"/>
  <c r="K152" i="1"/>
  <c r="M152" i="1"/>
  <c r="N152" i="1" s="1"/>
  <c r="AA152" i="1"/>
  <c r="AB152" i="1"/>
  <c r="AC152" i="1"/>
  <c r="AD152" i="1"/>
  <c r="AE152" i="1"/>
  <c r="AM152" i="1"/>
  <c r="K138" i="1"/>
  <c r="M138" i="1"/>
  <c r="N138" i="1" s="1"/>
  <c r="AA138" i="1"/>
  <c r="AB138" i="1"/>
  <c r="AC138" i="1"/>
  <c r="AD138" i="1"/>
  <c r="T138" i="1" s="1"/>
  <c r="AE138" i="1"/>
  <c r="AM138" i="1"/>
  <c r="K136" i="1"/>
  <c r="M136" i="1"/>
  <c r="N136" i="1" s="1"/>
  <c r="AA136" i="1"/>
  <c r="AB136" i="1"/>
  <c r="AC136" i="1"/>
  <c r="AD136" i="1"/>
  <c r="T136" i="1" s="1"/>
  <c r="AE136" i="1"/>
  <c r="AM136" i="1"/>
  <c r="K125" i="1"/>
  <c r="M125" i="1"/>
  <c r="N125" i="1" s="1"/>
  <c r="AA125" i="1"/>
  <c r="AB125" i="1"/>
  <c r="AC125" i="1"/>
  <c r="AD125" i="1"/>
  <c r="T125" i="1" s="1"/>
  <c r="AE125" i="1"/>
  <c r="AM125" i="1"/>
  <c r="K126" i="1"/>
  <c r="M126" i="1"/>
  <c r="N126" i="1" s="1"/>
  <c r="X126" i="1"/>
  <c r="Y126" i="1"/>
  <c r="Z126" i="1"/>
  <c r="AB126" i="1"/>
  <c r="AC126" i="1"/>
  <c r="AD126" i="1"/>
  <c r="T126" i="1" s="1"/>
  <c r="AE126" i="1"/>
  <c r="AM126" i="1"/>
  <c r="K14" i="1"/>
  <c r="M14" i="1"/>
  <c r="N14" i="1" s="1"/>
  <c r="Y14" i="1"/>
  <c r="Z14" i="1"/>
  <c r="AB14" i="1"/>
  <c r="AC14" i="1"/>
  <c r="AD14" i="1"/>
  <c r="T14" i="1" s="1"/>
  <c r="AE14" i="1"/>
  <c r="AM14" i="1"/>
  <c r="K15" i="1"/>
  <c r="M15" i="1"/>
  <c r="N15" i="1" s="1"/>
  <c r="Y15" i="1"/>
  <c r="Z15" i="1"/>
  <c r="AB15" i="1"/>
  <c r="AC15" i="1"/>
  <c r="AD15" i="1"/>
  <c r="T15" i="1" s="1"/>
  <c r="AE15" i="1"/>
  <c r="AM15" i="1"/>
  <c r="K16" i="1"/>
  <c r="M16" i="1"/>
  <c r="N16" i="1" s="1"/>
  <c r="Y16" i="1"/>
  <c r="Z16" i="1"/>
  <c r="AB16" i="1"/>
  <c r="AC16" i="1"/>
  <c r="AD16" i="1"/>
  <c r="T16" i="1" s="1"/>
  <c r="AE16" i="1"/>
  <c r="AM16" i="1"/>
  <c r="K17" i="1"/>
  <c r="M17" i="1"/>
  <c r="N17" i="1" s="1"/>
  <c r="Y17" i="1"/>
  <c r="Z17" i="1"/>
  <c r="AB17" i="1"/>
  <c r="AC17" i="1"/>
  <c r="AD17" i="1"/>
  <c r="T17" i="1" s="1"/>
  <c r="AE17" i="1"/>
  <c r="AM17" i="1"/>
  <c r="K18" i="1"/>
  <c r="M18" i="1"/>
  <c r="N18" i="1" s="1"/>
  <c r="Y18" i="1"/>
  <c r="Z18" i="1"/>
  <c r="AB18" i="1"/>
  <c r="AC18" i="1"/>
  <c r="AD18" i="1"/>
  <c r="T18" i="1" s="1"/>
  <c r="AE18" i="1"/>
  <c r="AM18" i="1"/>
  <c r="K19" i="1"/>
  <c r="M19" i="1"/>
  <c r="N19" i="1" s="1"/>
  <c r="Y19" i="1"/>
  <c r="Z19" i="1"/>
  <c r="AB19" i="1"/>
  <c r="AC19" i="1"/>
  <c r="AD19" i="1"/>
  <c r="T19" i="1" s="1"/>
  <c r="AE19" i="1"/>
  <c r="AM19" i="1"/>
  <c r="K20" i="1"/>
  <c r="M20" i="1"/>
  <c r="N20" i="1" s="1"/>
  <c r="Y20" i="1"/>
  <c r="Z20" i="1"/>
  <c r="AB20" i="1"/>
  <c r="AC20" i="1"/>
  <c r="AD20" i="1"/>
  <c r="AE20" i="1"/>
  <c r="AM20" i="1"/>
  <c r="K21" i="1"/>
  <c r="M21" i="1"/>
  <c r="N21" i="1" s="1"/>
  <c r="Y21" i="1"/>
  <c r="Z21" i="1"/>
  <c r="AB21" i="1"/>
  <c r="AC21" i="1"/>
  <c r="AD21" i="1"/>
  <c r="AE21" i="1"/>
  <c r="AM21" i="1"/>
  <c r="K22" i="1"/>
  <c r="M22" i="1"/>
  <c r="N22" i="1" s="1"/>
  <c r="Y22" i="1"/>
  <c r="Z22" i="1"/>
  <c r="AB22" i="1"/>
  <c r="AC22" i="1"/>
  <c r="AD22" i="1"/>
  <c r="AE22" i="1"/>
  <c r="AM22" i="1"/>
  <c r="K23" i="1"/>
  <c r="M23" i="1"/>
  <c r="N23" i="1" s="1"/>
  <c r="Y23" i="1"/>
  <c r="Z23" i="1"/>
  <c r="AB23" i="1"/>
  <c r="AC23" i="1"/>
  <c r="AD23" i="1"/>
  <c r="AE23" i="1"/>
  <c r="AM23" i="1"/>
  <c r="K24" i="1"/>
  <c r="M24" i="1"/>
  <c r="N24" i="1" s="1"/>
  <c r="Y24" i="1"/>
  <c r="Z24" i="1"/>
  <c r="AB24" i="1"/>
  <c r="AC24" i="1"/>
  <c r="AD24" i="1"/>
  <c r="AE24" i="1"/>
  <c r="AM24" i="1"/>
  <c r="K25" i="1"/>
  <c r="M25" i="1"/>
  <c r="N25" i="1" s="1"/>
  <c r="Y25" i="1"/>
  <c r="Z25" i="1"/>
  <c r="AB25" i="1"/>
  <c r="AC25" i="1"/>
  <c r="AD25" i="1"/>
  <c r="AE25" i="1"/>
  <c r="AM25" i="1"/>
  <c r="K26" i="1"/>
  <c r="M26" i="1"/>
  <c r="N26" i="1" s="1"/>
  <c r="Y26" i="1"/>
  <c r="Z26" i="1"/>
  <c r="AB26" i="1"/>
  <c r="AC26" i="1"/>
  <c r="AD26" i="1"/>
  <c r="AE26" i="1"/>
  <c r="AM26" i="1"/>
  <c r="K27" i="1"/>
  <c r="M27" i="1"/>
  <c r="N27" i="1" s="1"/>
  <c r="Y27" i="1"/>
  <c r="Z27" i="1"/>
  <c r="AB27" i="1"/>
  <c r="AC27" i="1"/>
  <c r="AD27" i="1"/>
  <c r="AE27" i="1"/>
  <c r="AM27" i="1"/>
  <c r="K28" i="1"/>
  <c r="M28" i="1"/>
  <c r="P28" i="1" s="1"/>
  <c r="Y28" i="1"/>
  <c r="Z28" i="1"/>
  <c r="AB28" i="1"/>
  <c r="AC28" i="1"/>
  <c r="AD28" i="1"/>
  <c r="AE28" i="1"/>
  <c r="AM28" i="1"/>
  <c r="K29" i="1"/>
  <c r="M29" i="1"/>
  <c r="N29" i="1" s="1"/>
  <c r="Y29" i="1"/>
  <c r="Z29" i="1"/>
  <c r="AB29" i="1"/>
  <c r="AC29" i="1"/>
  <c r="AD29" i="1"/>
  <c r="AE29" i="1"/>
  <c r="AM29" i="1"/>
  <c r="K30" i="1"/>
  <c r="M30" i="1"/>
  <c r="N30" i="1" s="1"/>
  <c r="Y30" i="1"/>
  <c r="Z30" i="1"/>
  <c r="AB30" i="1"/>
  <c r="AC30" i="1"/>
  <c r="AD30" i="1"/>
  <c r="AE30" i="1"/>
  <c r="AM30" i="1"/>
  <c r="K31" i="1"/>
  <c r="M31" i="1"/>
  <c r="N31" i="1" s="1"/>
  <c r="Y31" i="1"/>
  <c r="Z31" i="1"/>
  <c r="AB31" i="1"/>
  <c r="AC31" i="1"/>
  <c r="AD31" i="1"/>
  <c r="AE31" i="1"/>
  <c r="AM31" i="1"/>
  <c r="K32" i="1"/>
  <c r="M32" i="1"/>
  <c r="N32" i="1" s="1"/>
  <c r="Y32" i="1"/>
  <c r="Z32" i="1"/>
  <c r="AB32" i="1"/>
  <c r="AC32" i="1"/>
  <c r="AD32" i="1"/>
  <c r="AE32" i="1"/>
  <c r="R16" i="3" s="1"/>
  <c r="AM32" i="1"/>
  <c r="K33" i="1"/>
  <c r="M33" i="1"/>
  <c r="N33" i="1" s="1"/>
  <c r="Y33" i="1"/>
  <c r="Z33" i="1"/>
  <c r="AB33" i="1"/>
  <c r="AC33" i="1"/>
  <c r="AD33" i="1"/>
  <c r="AE33" i="1"/>
  <c r="AM33" i="1"/>
  <c r="K34" i="1"/>
  <c r="M34" i="1"/>
  <c r="N34" i="1" s="1"/>
  <c r="Y34" i="1"/>
  <c r="Z34" i="1"/>
  <c r="AB34" i="1"/>
  <c r="AC34" i="1"/>
  <c r="AD34" i="1"/>
  <c r="AE34" i="1"/>
  <c r="AM34" i="1"/>
  <c r="K35" i="1"/>
  <c r="M35" i="1"/>
  <c r="N35" i="1" s="1"/>
  <c r="Y35" i="1"/>
  <c r="Z35" i="1"/>
  <c r="AB35" i="1"/>
  <c r="AC35" i="1"/>
  <c r="AD35" i="1"/>
  <c r="AE35" i="1"/>
  <c r="AM35" i="1"/>
  <c r="K36" i="1"/>
  <c r="M36" i="1"/>
  <c r="N36" i="1" s="1"/>
  <c r="Y36" i="1"/>
  <c r="Z36" i="1"/>
  <c r="AB36" i="1"/>
  <c r="AC36" i="1"/>
  <c r="AD36" i="1"/>
  <c r="AE36" i="1"/>
  <c r="AM36" i="1"/>
  <c r="K37" i="1"/>
  <c r="M37" i="1"/>
  <c r="N37" i="1" s="1"/>
  <c r="Y37" i="1"/>
  <c r="Z37" i="1"/>
  <c r="AB37" i="1"/>
  <c r="AC37" i="1"/>
  <c r="AD37" i="1"/>
  <c r="AE37" i="1"/>
  <c r="AM37" i="1"/>
  <c r="K38" i="1"/>
  <c r="M38" i="1"/>
  <c r="N38" i="1" s="1"/>
  <c r="Y38" i="1"/>
  <c r="Z38" i="1"/>
  <c r="AB38" i="1"/>
  <c r="AC38" i="1"/>
  <c r="AD38" i="1"/>
  <c r="AE38" i="1"/>
  <c r="AM38" i="1"/>
  <c r="K39" i="1"/>
  <c r="M39" i="1"/>
  <c r="N39" i="1" s="1"/>
  <c r="Y39" i="1"/>
  <c r="Z39" i="1"/>
  <c r="AB39" i="1"/>
  <c r="AC39" i="1"/>
  <c r="AD39" i="1"/>
  <c r="AE39" i="1"/>
  <c r="AM39" i="1"/>
  <c r="K40" i="1"/>
  <c r="M40" i="1"/>
  <c r="N40" i="1" s="1"/>
  <c r="Y40" i="1"/>
  <c r="Z40" i="1"/>
  <c r="AB40" i="1"/>
  <c r="AC40" i="1"/>
  <c r="AD40" i="1"/>
  <c r="AE40" i="1"/>
  <c r="AM40" i="1"/>
  <c r="K41" i="1"/>
  <c r="M41" i="1"/>
  <c r="N41" i="1" s="1"/>
  <c r="Y41" i="1"/>
  <c r="Z41" i="1"/>
  <c r="AB41" i="1"/>
  <c r="AC41" i="1"/>
  <c r="AD41" i="1"/>
  <c r="AE41" i="1"/>
  <c r="AM41" i="1"/>
  <c r="K42" i="1"/>
  <c r="M42" i="1"/>
  <c r="N42" i="1" s="1"/>
  <c r="Y42" i="1"/>
  <c r="Z42" i="1"/>
  <c r="AB42" i="1"/>
  <c r="AC42" i="1"/>
  <c r="AD42" i="1"/>
  <c r="AE42" i="1"/>
  <c r="AM42" i="1"/>
  <c r="K43" i="1"/>
  <c r="M43" i="1"/>
  <c r="N43" i="1" s="1"/>
  <c r="Y43" i="1"/>
  <c r="Z43" i="1"/>
  <c r="AB43" i="1"/>
  <c r="AC43" i="1"/>
  <c r="AD43" i="1"/>
  <c r="T43" i="1" s="1"/>
  <c r="AE43" i="1"/>
  <c r="AM43" i="1"/>
  <c r="K44" i="1"/>
  <c r="M44" i="1"/>
  <c r="N44" i="1" s="1"/>
  <c r="Y44" i="1"/>
  <c r="Z44" i="1"/>
  <c r="AB44" i="1"/>
  <c r="AC44" i="1"/>
  <c r="AD44" i="1"/>
  <c r="T44" i="1" s="1"/>
  <c r="AE44" i="1"/>
  <c r="AM44" i="1"/>
  <c r="K45" i="1"/>
  <c r="M45" i="1"/>
  <c r="N45" i="1" s="1"/>
  <c r="Y45" i="1"/>
  <c r="Z45" i="1"/>
  <c r="AB45" i="1"/>
  <c r="AC45" i="1"/>
  <c r="AD45" i="1"/>
  <c r="AE45" i="1"/>
  <c r="AM45" i="1"/>
  <c r="K46" i="1"/>
  <c r="M46" i="1"/>
  <c r="N46" i="1" s="1"/>
  <c r="Y46" i="1"/>
  <c r="Z46" i="1"/>
  <c r="AB46" i="1"/>
  <c r="AC46" i="1"/>
  <c r="AD46" i="1"/>
  <c r="T46" i="1" s="1"/>
  <c r="AE46" i="1"/>
  <c r="R17" i="3" s="1"/>
  <c r="AM46" i="1"/>
  <c r="K47" i="1"/>
  <c r="M47" i="1"/>
  <c r="N47" i="1" s="1"/>
  <c r="Y47" i="1"/>
  <c r="Z47" i="1"/>
  <c r="AB47" i="1"/>
  <c r="AC47" i="1"/>
  <c r="AD47" i="1"/>
  <c r="X47" i="1" s="1"/>
  <c r="AE47" i="1"/>
  <c r="AM47" i="1"/>
  <c r="K48" i="1"/>
  <c r="M48" i="1"/>
  <c r="N48" i="1" s="1"/>
  <c r="Y48" i="1"/>
  <c r="Z48" i="1"/>
  <c r="AB48" i="1"/>
  <c r="AC48" i="1"/>
  <c r="AD48" i="1"/>
  <c r="T48" i="1" s="1"/>
  <c r="AE48" i="1"/>
  <c r="AM48" i="1"/>
  <c r="K49" i="1"/>
  <c r="M49" i="1"/>
  <c r="N49" i="1" s="1"/>
  <c r="Y49" i="1"/>
  <c r="Z49" i="1"/>
  <c r="AB49" i="1"/>
  <c r="AC49" i="1"/>
  <c r="AD49" i="1"/>
  <c r="X49" i="1" s="1"/>
  <c r="AE49" i="1"/>
  <c r="AM49" i="1"/>
  <c r="K50" i="1"/>
  <c r="M50" i="1"/>
  <c r="N50" i="1" s="1"/>
  <c r="Y50" i="1"/>
  <c r="Z50" i="1"/>
  <c r="AB50" i="1"/>
  <c r="AC50" i="1"/>
  <c r="AD50" i="1"/>
  <c r="AE50" i="1"/>
  <c r="R21" i="3" s="1"/>
  <c r="AM50" i="1"/>
  <c r="K51" i="1"/>
  <c r="M51" i="1"/>
  <c r="N51" i="1" s="1"/>
  <c r="Y51" i="1"/>
  <c r="Z51" i="1"/>
  <c r="AB51" i="1"/>
  <c r="AC51" i="1"/>
  <c r="AD51" i="1"/>
  <c r="T51" i="1" s="1"/>
  <c r="AE51" i="1"/>
  <c r="AM51" i="1"/>
  <c r="K52" i="1"/>
  <c r="M52" i="1"/>
  <c r="N52" i="1" s="1"/>
  <c r="Y52" i="1"/>
  <c r="Z52" i="1"/>
  <c r="AB52" i="1"/>
  <c r="AC52" i="1"/>
  <c r="AD52" i="1"/>
  <c r="T52" i="1" s="1"/>
  <c r="AE52" i="1"/>
  <c r="AM52" i="1"/>
  <c r="K53" i="1"/>
  <c r="M53" i="1"/>
  <c r="N53" i="1" s="1"/>
  <c r="Y53" i="1"/>
  <c r="Z53" i="1"/>
  <c r="AB53" i="1"/>
  <c r="AC53" i="1"/>
  <c r="AD53" i="1"/>
  <c r="AE53" i="1"/>
  <c r="AM53" i="1"/>
  <c r="K54" i="1"/>
  <c r="M54" i="1"/>
  <c r="N54" i="1" s="1"/>
  <c r="Y54" i="1"/>
  <c r="Z54" i="1"/>
  <c r="AB54" i="1"/>
  <c r="AC54" i="1"/>
  <c r="AD54" i="1"/>
  <c r="T54" i="1" s="1"/>
  <c r="AE54" i="1"/>
  <c r="AM54" i="1"/>
  <c r="K55" i="1"/>
  <c r="M55" i="1"/>
  <c r="N55" i="1" s="1"/>
  <c r="Y55" i="1"/>
  <c r="Z55" i="1"/>
  <c r="AB55" i="1"/>
  <c r="AC55" i="1"/>
  <c r="AD55" i="1"/>
  <c r="AE55" i="1"/>
  <c r="AM55" i="1"/>
  <c r="K56" i="1"/>
  <c r="M56" i="1"/>
  <c r="N56" i="1" s="1"/>
  <c r="Y56" i="1"/>
  <c r="Z56" i="1"/>
  <c r="AB56" i="1"/>
  <c r="AC56" i="1"/>
  <c r="AD56" i="1"/>
  <c r="T56" i="1" s="1"/>
  <c r="AE56" i="1"/>
  <c r="AM56" i="1"/>
  <c r="K57" i="1"/>
  <c r="M57" i="1"/>
  <c r="N57" i="1" s="1"/>
  <c r="Y57" i="1"/>
  <c r="Z57" i="1"/>
  <c r="AB57" i="1"/>
  <c r="AC57" i="1"/>
  <c r="AD57" i="1"/>
  <c r="AE57" i="1"/>
  <c r="AM57" i="1"/>
  <c r="K58" i="1"/>
  <c r="M58" i="1"/>
  <c r="N58" i="1" s="1"/>
  <c r="Y58" i="1"/>
  <c r="Z58" i="1"/>
  <c r="AB58" i="1"/>
  <c r="AC58" i="1"/>
  <c r="AD58" i="1"/>
  <c r="X58" i="1" s="1"/>
  <c r="AE58" i="1"/>
  <c r="AM58" i="1"/>
  <c r="K59" i="1"/>
  <c r="M59" i="1"/>
  <c r="N59" i="1" s="1"/>
  <c r="Y59" i="1"/>
  <c r="Z59" i="1"/>
  <c r="AB59" i="1"/>
  <c r="AC59" i="1"/>
  <c r="AD59" i="1"/>
  <c r="T59" i="1" s="1"/>
  <c r="AE59" i="1"/>
  <c r="AM59" i="1"/>
  <c r="K60" i="1"/>
  <c r="M60" i="1"/>
  <c r="N60" i="1" s="1"/>
  <c r="Y60" i="1"/>
  <c r="Z60" i="1"/>
  <c r="AB60" i="1"/>
  <c r="AC60" i="1"/>
  <c r="AD60" i="1"/>
  <c r="T60" i="1" s="1"/>
  <c r="AE60" i="1"/>
  <c r="AM60" i="1"/>
  <c r="K61" i="1"/>
  <c r="M61" i="1"/>
  <c r="N61" i="1" s="1"/>
  <c r="Y61" i="1"/>
  <c r="Z61" i="1"/>
  <c r="AB61" i="1"/>
  <c r="AC61" i="1"/>
  <c r="AD61" i="1"/>
  <c r="AE61" i="1"/>
  <c r="AM61" i="1"/>
  <c r="K62" i="1"/>
  <c r="M62" i="1"/>
  <c r="N62" i="1" s="1"/>
  <c r="Y62" i="1"/>
  <c r="Z62" i="1"/>
  <c r="AB62" i="1"/>
  <c r="AC62" i="1"/>
  <c r="AD62" i="1"/>
  <c r="T62" i="1" s="1"/>
  <c r="AE62" i="1"/>
  <c r="AM62" i="1"/>
  <c r="K63" i="1"/>
  <c r="M63" i="1"/>
  <c r="N63" i="1" s="1"/>
  <c r="Y63" i="1"/>
  <c r="Z63" i="1"/>
  <c r="AA63" i="1" s="1"/>
  <c r="AB63" i="1"/>
  <c r="AC63" i="1"/>
  <c r="AD63" i="1"/>
  <c r="AE63" i="1"/>
  <c r="R19" i="3" s="1"/>
  <c r="AM63" i="1"/>
  <c r="K64" i="1"/>
  <c r="M64" i="1"/>
  <c r="N64" i="1" s="1"/>
  <c r="Y64" i="1"/>
  <c r="AA64" i="1" s="1"/>
  <c r="Z64" i="1"/>
  <c r="AB64" i="1"/>
  <c r="AC64" i="1"/>
  <c r="AD64" i="1"/>
  <c r="T64" i="1" s="1"/>
  <c r="AE64" i="1"/>
  <c r="AM64" i="1"/>
  <c r="K65" i="1"/>
  <c r="M65" i="1"/>
  <c r="P65" i="1" s="1"/>
  <c r="Y65" i="1"/>
  <c r="Z65" i="1"/>
  <c r="AB65" i="1"/>
  <c r="AC65" i="1"/>
  <c r="AD65" i="1"/>
  <c r="AE65" i="1"/>
  <c r="AM65" i="1"/>
  <c r="K66" i="1"/>
  <c r="M66" i="1"/>
  <c r="Y66" i="1"/>
  <c r="Z66" i="1"/>
  <c r="AB66" i="1"/>
  <c r="AC66" i="1"/>
  <c r="AD66" i="1"/>
  <c r="AE66" i="1"/>
  <c r="AM66" i="1"/>
  <c r="K67" i="1"/>
  <c r="M67" i="1"/>
  <c r="N67" i="1" s="1"/>
  <c r="Y67" i="1"/>
  <c r="Z67" i="1"/>
  <c r="AA67" i="1" s="1"/>
  <c r="AB67" i="1"/>
  <c r="AC67" i="1"/>
  <c r="AD67" i="1"/>
  <c r="T67" i="1" s="1"/>
  <c r="AE67" i="1"/>
  <c r="AM67" i="1"/>
  <c r="K68" i="1"/>
  <c r="M68" i="1"/>
  <c r="N68" i="1" s="1"/>
  <c r="Y68" i="1"/>
  <c r="Z68" i="1"/>
  <c r="AB68" i="1"/>
  <c r="AC68" i="1"/>
  <c r="AD68" i="1"/>
  <c r="T68" i="1" s="1"/>
  <c r="AE68" i="1"/>
  <c r="AM68" i="1"/>
  <c r="K69" i="1"/>
  <c r="M69" i="1"/>
  <c r="N69" i="1" s="1"/>
  <c r="Y69" i="1"/>
  <c r="Z69" i="1"/>
  <c r="AB69" i="1"/>
  <c r="AC69" i="1"/>
  <c r="AD69" i="1"/>
  <c r="T69" i="1" s="1"/>
  <c r="AE69" i="1"/>
  <c r="AM69" i="1"/>
  <c r="K70" i="1"/>
  <c r="M70" i="1"/>
  <c r="N70" i="1" s="1"/>
  <c r="Y70" i="1"/>
  <c r="Z70" i="1"/>
  <c r="AB70" i="1"/>
  <c r="AC70" i="1"/>
  <c r="AD70" i="1"/>
  <c r="T70" i="1" s="1"/>
  <c r="AE70" i="1"/>
  <c r="AM70" i="1"/>
  <c r="K71" i="1"/>
  <c r="M71" i="1"/>
  <c r="N71" i="1" s="1"/>
  <c r="Y71" i="1"/>
  <c r="Z71" i="1"/>
  <c r="AB71" i="1"/>
  <c r="AC71" i="1"/>
  <c r="AD71" i="1"/>
  <c r="AE71" i="1"/>
  <c r="AM71" i="1"/>
  <c r="K72" i="1"/>
  <c r="M72" i="1"/>
  <c r="N72" i="1" s="1"/>
  <c r="Y72" i="1"/>
  <c r="Z72" i="1"/>
  <c r="AB72" i="1"/>
  <c r="AC72" i="1"/>
  <c r="AD72" i="1"/>
  <c r="T72" i="1" s="1"/>
  <c r="AE72" i="1"/>
  <c r="AM72" i="1"/>
  <c r="K73" i="1"/>
  <c r="M73" i="1"/>
  <c r="N73" i="1" s="1"/>
  <c r="Y73" i="1"/>
  <c r="Z73" i="1"/>
  <c r="AB73" i="1"/>
  <c r="AC73" i="1"/>
  <c r="AD73" i="1"/>
  <c r="T73" i="1" s="1"/>
  <c r="AE73" i="1"/>
  <c r="AM73" i="1"/>
  <c r="K74" i="1"/>
  <c r="M74" i="1"/>
  <c r="N74" i="1" s="1"/>
  <c r="Y74" i="1"/>
  <c r="Z74" i="1"/>
  <c r="AB74" i="1"/>
  <c r="AC74" i="1"/>
  <c r="AD74" i="1"/>
  <c r="T74" i="1" s="1"/>
  <c r="AE74" i="1"/>
  <c r="AM74" i="1"/>
  <c r="K75" i="1"/>
  <c r="M75" i="1"/>
  <c r="N75" i="1" s="1"/>
  <c r="Y75" i="1"/>
  <c r="Z75" i="1"/>
  <c r="AB75" i="1"/>
  <c r="AC75" i="1"/>
  <c r="AD75" i="1"/>
  <c r="T75" i="1" s="1"/>
  <c r="AE75" i="1"/>
  <c r="AM75" i="1"/>
  <c r="K76" i="1"/>
  <c r="M76" i="1"/>
  <c r="N76" i="1" s="1"/>
  <c r="Y76" i="1"/>
  <c r="Z76" i="1"/>
  <c r="AB76" i="1"/>
  <c r="AC76" i="1"/>
  <c r="AD76" i="1"/>
  <c r="AE76" i="1"/>
  <c r="R22" i="3" s="1"/>
  <c r="AM76" i="1"/>
  <c r="K77" i="1"/>
  <c r="M77" i="1"/>
  <c r="N77" i="1" s="1"/>
  <c r="Y77" i="1"/>
  <c r="Z77" i="1"/>
  <c r="AB77" i="1"/>
  <c r="AC77" i="1"/>
  <c r="AD77" i="1"/>
  <c r="AE77" i="1"/>
  <c r="AM77" i="1"/>
  <c r="K78" i="1"/>
  <c r="M78" i="1"/>
  <c r="N78" i="1" s="1"/>
  <c r="Y78" i="1"/>
  <c r="Z78" i="1"/>
  <c r="AB78" i="1"/>
  <c r="AC78" i="1"/>
  <c r="AD78" i="1"/>
  <c r="AE78" i="1"/>
  <c r="AM78" i="1"/>
  <c r="K79" i="1"/>
  <c r="M79" i="1"/>
  <c r="N79" i="1" s="1"/>
  <c r="Y79" i="1"/>
  <c r="Z79" i="1"/>
  <c r="AB79" i="1"/>
  <c r="AC79" i="1"/>
  <c r="AD79" i="1"/>
  <c r="AE79" i="1"/>
  <c r="R12" i="3" s="1"/>
  <c r="AM79" i="1"/>
  <c r="K80" i="1"/>
  <c r="M80" i="1"/>
  <c r="N80" i="1" s="1"/>
  <c r="Y80" i="1"/>
  <c r="Z80" i="1"/>
  <c r="AB80" i="1"/>
  <c r="AC80" i="1"/>
  <c r="AD80" i="1"/>
  <c r="AE80" i="1"/>
  <c r="AM80" i="1"/>
  <c r="K81" i="1"/>
  <c r="M81" i="1"/>
  <c r="N81" i="1" s="1"/>
  <c r="Y81" i="1"/>
  <c r="Z81" i="1"/>
  <c r="AB81" i="1"/>
  <c r="AC81" i="1"/>
  <c r="AD81" i="1"/>
  <c r="AE81" i="1"/>
  <c r="R8" i="3" s="1"/>
  <c r="AM81" i="1"/>
  <c r="K82" i="1"/>
  <c r="M82" i="1"/>
  <c r="N82" i="1" s="1"/>
  <c r="Y82" i="1"/>
  <c r="Z82" i="1"/>
  <c r="AB82" i="1"/>
  <c r="AC82" i="1"/>
  <c r="AD82" i="1"/>
  <c r="AE82" i="1"/>
  <c r="R10" i="3" s="1"/>
  <c r="AM82" i="1"/>
  <c r="K83" i="1"/>
  <c r="M83" i="1"/>
  <c r="N83" i="1" s="1"/>
  <c r="Y83" i="1"/>
  <c r="Z83" i="1"/>
  <c r="AB83" i="1"/>
  <c r="AC83" i="1"/>
  <c r="AD83" i="1"/>
  <c r="AE83" i="1"/>
  <c r="AM83" i="1"/>
  <c r="K84" i="1"/>
  <c r="M84" i="1"/>
  <c r="N84" i="1" s="1"/>
  <c r="Y84" i="1"/>
  <c r="Z84" i="1"/>
  <c r="AB84" i="1"/>
  <c r="AC84" i="1"/>
  <c r="AD84" i="1"/>
  <c r="AE84" i="1"/>
  <c r="AM84" i="1"/>
  <c r="K85" i="1"/>
  <c r="M85" i="1"/>
  <c r="N85" i="1" s="1"/>
  <c r="Y85" i="1"/>
  <c r="Z85" i="1"/>
  <c r="AB85" i="1"/>
  <c r="AC85" i="1"/>
  <c r="AD85" i="1"/>
  <c r="AE85" i="1"/>
  <c r="R27" i="3" s="1"/>
  <c r="AM85" i="1"/>
  <c r="K86" i="1"/>
  <c r="M86" i="1"/>
  <c r="N86" i="1" s="1"/>
  <c r="Y86" i="1"/>
  <c r="Z86" i="1"/>
  <c r="AB86" i="1"/>
  <c r="AC86" i="1"/>
  <c r="AD86" i="1"/>
  <c r="AE86" i="1"/>
  <c r="AM86" i="1"/>
  <c r="K87" i="1"/>
  <c r="M87" i="1"/>
  <c r="N87" i="1" s="1"/>
  <c r="Y87" i="1"/>
  <c r="Z87" i="1"/>
  <c r="AB87" i="1"/>
  <c r="AC87" i="1"/>
  <c r="AD87" i="1"/>
  <c r="AE87" i="1"/>
  <c r="AM87" i="1"/>
  <c r="K88" i="1"/>
  <c r="M88" i="1"/>
  <c r="N88" i="1" s="1"/>
  <c r="Y88" i="1"/>
  <c r="Z88" i="1"/>
  <c r="AB88" i="1"/>
  <c r="AC88" i="1"/>
  <c r="AD88" i="1"/>
  <c r="AE88" i="1"/>
  <c r="R11" i="3" s="1"/>
  <c r="AM88" i="1"/>
  <c r="K89" i="1"/>
  <c r="M89" i="1"/>
  <c r="N89" i="1" s="1"/>
  <c r="Y89" i="1"/>
  <c r="AB89" i="1"/>
  <c r="AC89" i="1"/>
  <c r="AD89" i="1"/>
  <c r="AE89" i="1"/>
  <c r="AM89" i="1"/>
  <c r="K90" i="1"/>
  <c r="M90" i="1"/>
  <c r="N90" i="1" s="1"/>
  <c r="Y90" i="1"/>
  <c r="Z90" i="1"/>
  <c r="AB90" i="1"/>
  <c r="AC90" i="1"/>
  <c r="AD90" i="1"/>
  <c r="AE90" i="1"/>
  <c r="AM90" i="1"/>
  <c r="K91" i="1"/>
  <c r="M91" i="1"/>
  <c r="N91" i="1" s="1"/>
  <c r="Y91" i="1"/>
  <c r="Z91" i="1"/>
  <c r="AB91" i="1"/>
  <c r="AC91" i="1"/>
  <c r="AD91" i="1"/>
  <c r="AE91" i="1"/>
  <c r="AM91" i="1"/>
  <c r="K92" i="1"/>
  <c r="M92" i="1"/>
  <c r="N92" i="1"/>
  <c r="Y92" i="1"/>
  <c r="Z92" i="1"/>
  <c r="AB92" i="1"/>
  <c r="AC92" i="1"/>
  <c r="AD92" i="1"/>
  <c r="AE92" i="1"/>
  <c r="R29" i="3" s="1"/>
  <c r="AM92" i="1"/>
  <c r="K93" i="1"/>
  <c r="M93" i="1"/>
  <c r="N93" i="1"/>
  <c r="Y93" i="1"/>
  <c r="Z93" i="1"/>
  <c r="AB93" i="1"/>
  <c r="AC93" i="1"/>
  <c r="AD93" i="1"/>
  <c r="AE93" i="1"/>
  <c r="AM93" i="1"/>
  <c r="K94" i="1"/>
  <c r="M94" i="1"/>
  <c r="N94" i="1" s="1"/>
  <c r="Y94" i="1"/>
  <c r="Z94" i="1"/>
  <c r="AB94" i="1"/>
  <c r="AC94" i="1"/>
  <c r="AD94" i="1"/>
  <c r="AE94" i="1"/>
  <c r="AM94" i="1"/>
  <c r="K95" i="1"/>
  <c r="M95" i="1"/>
  <c r="N95" i="1" s="1"/>
  <c r="Y95" i="1"/>
  <c r="Z95" i="1"/>
  <c r="AB95" i="1"/>
  <c r="AC95" i="1"/>
  <c r="AD95" i="1"/>
  <c r="AE95" i="1"/>
  <c r="AM95" i="1"/>
  <c r="K96" i="1"/>
  <c r="M96" i="1"/>
  <c r="P96" i="1" s="1"/>
  <c r="Y96" i="1"/>
  <c r="Z96" i="1"/>
  <c r="AA96" i="1" s="1"/>
  <c r="AB96" i="1"/>
  <c r="AC96" i="1"/>
  <c r="AD96" i="1"/>
  <c r="AE96" i="1"/>
  <c r="AM96" i="1"/>
  <c r="K97" i="1"/>
  <c r="M97" i="1"/>
  <c r="Y97" i="1"/>
  <c r="Z97" i="1"/>
  <c r="AB97" i="1"/>
  <c r="AC97" i="1"/>
  <c r="AD97" i="1"/>
  <c r="AE97" i="1"/>
  <c r="AM97" i="1"/>
  <c r="K98" i="1"/>
  <c r="M98" i="1"/>
  <c r="N98" i="1" s="1"/>
  <c r="Y98" i="1"/>
  <c r="Z98" i="1"/>
  <c r="AB98" i="1"/>
  <c r="AC98" i="1"/>
  <c r="AD98" i="1"/>
  <c r="AE98" i="1"/>
  <c r="AM98" i="1"/>
  <c r="K99" i="1"/>
  <c r="M99" i="1"/>
  <c r="N99" i="1" s="1"/>
  <c r="Y99" i="1"/>
  <c r="Z99" i="1"/>
  <c r="AB99" i="1"/>
  <c r="AC99" i="1"/>
  <c r="AD99" i="1"/>
  <c r="AE99" i="1"/>
  <c r="AM99" i="1"/>
  <c r="K100" i="1"/>
  <c r="M100" i="1"/>
  <c r="N100" i="1" s="1"/>
  <c r="Y100" i="1"/>
  <c r="Z100" i="1"/>
  <c r="AA100" i="1" s="1"/>
  <c r="AB100" i="1"/>
  <c r="AC100" i="1"/>
  <c r="AD100" i="1"/>
  <c r="AE100" i="1"/>
  <c r="AM100" i="1"/>
  <c r="K101" i="1"/>
  <c r="M101" i="1"/>
  <c r="P101" i="1" s="1"/>
  <c r="Y101" i="1"/>
  <c r="Z101" i="1"/>
  <c r="AB101" i="1"/>
  <c r="AC101" i="1"/>
  <c r="AD101" i="1"/>
  <c r="AE101" i="1"/>
  <c r="R25" i="3" s="1"/>
  <c r="AM101" i="1"/>
  <c r="K102" i="1"/>
  <c r="M102" i="1"/>
  <c r="Y102" i="1"/>
  <c r="Z102" i="1"/>
  <c r="AB102" i="1"/>
  <c r="AC102" i="1"/>
  <c r="AD102" i="1"/>
  <c r="AE102" i="1"/>
  <c r="AM102" i="1"/>
  <c r="K103" i="1"/>
  <c r="M103" i="1"/>
  <c r="N103" i="1" s="1"/>
  <c r="Y103" i="1"/>
  <c r="Z103" i="1"/>
  <c r="AB103" i="1"/>
  <c r="AC103" i="1"/>
  <c r="AD103" i="1"/>
  <c r="AE103" i="1"/>
  <c r="AM103" i="1"/>
  <c r="K104" i="1"/>
  <c r="M104" i="1"/>
  <c r="N104" i="1" s="1"/>
  <c r="Y104" i="1"/>
  <c r="Z104" i="1"/>
  <c r="AB104" i="1"/>
  <c r="AC104" i="1"/>
  <c r="AD104" i="1"/>
  <c r="AE104" i="1"/>
  <c r="AM104" i="1"/>
  <c r="K105" i="1"/>
  <c r="M105" i="1"/>
  <c r="N105" i="1" s="1"/>
  <c r="Y105" i="1"/>
  <c r="Z105" i="1"/>
  <c r="AB105" i="1"/>
  <c r="AC105" i="1"/>
  <c r="AD105" i="1"/>
  <c r="AE105" i="1"/>
  <c r="AM105" i="1"/>
  <c r="K106" i="1"/>
  <c r="M106" i="1"/>
  <c r="N106" i="1" s="1"/>
  <c r="Y106" i="1"/>
  <c r="Z106" i="1"/>
  <c r="AB106" i="1"/>
  <c r="AC106" i="1"/>
  <c r="AD106" i="1"/>
  <c r="AE106" i="1"/>
  <c r="AM106" i="1"/>
  <c r="K107" i="1"/>
  <c r="M107" i="1"/>
  <c r="N107" i="1" s="1"/>
  <c r="Y107" i="1"/>
  <c r="Z107" i="1"/>
  <c r="AB107" i="1"/>
  <c r="AC107" i="1"/>
  <c r="AD107" i="1"/>
  <c r="AE107" i="1"/>
  <c r="AM107" i="1"/>
  <c r="K108" i="1"/>
  <c r="M108" i="1"/>
  <c r="N108" i="1" s="1"/>
  <c r="Y108" i="1"/>
  <c r="Z108" i="1"/>
  <c r="AA108" i="1" s="1"/>
  <c r="AB108" i="1"/>
  <c r="AC108" i="1"/>
  <c r="AD108" i="1"/>
  <c r="AE108" i="1"/>
  <c r="AM108" i="1"/>
  <c r="K109" i="1"/>
  <c r="M109" i="1"/>
  <c r="N109" i="1" s="1"/>
  <c r="Y109" i="1"/>
  <c r="Z109" i="1"/>
  <c r="AB109" i="1"/>
  <c r="AC109" i="1"/>
  <c r="AD109" i="1"/>
  <c r="AE109" i="1"/>
  <c r="AM109" i="1"/>
  <c r="K110" i="1"/>
  <c r="M110" i="1"/>
  <c r="N110" i="1" s="1"/>
  <c r="Y110" i="1"/>
  <c r="Z110" i="1"/>
  <c r="AB110" i="1"/>
  <c r="AC110" i="1"/>
  <c r="AD110" i="1"/>
  <c r="AE110" i="1"/>
  <c r="AM110" i="1"/>
  <c r="K111" i="1"/>
  <c r="M111" i="1"/>
  <c r="P111" i="1" s="1"/>
  <c r="Y111" i="1"/>
  <c r="Z111" i="1"/>
  <c r="AB111" i="1"/>
  <c r="AC111" i="1"/>
  <c r="AD111" i="1"/>
  <c r="AE111" i="1"/>
  <c r="AM111" i="1"/>
  <c r="K112" i="1"/>
  <c r="M112" i="1"/>
  <c r="N112" i="1" s="1"/>
  <c r="Y112" i="1"/>
  <c r="Z112" i="1"/>
  <c r="AB112" i="1"/>
  <c r="AC112" i="1"/>
  <c r="AD112" i="1"/>
  <c r="AE112" i="1"/>
  <c r="AM112" i="1"/>
  <c r="K113" i="1"/>
  <c r="M113" i="1"/>
  <c r="N113" i="1" s="1"/>
  <c r="Y113" i="1"/>
  <c r="Z113" i="1"/>
  <c r="AB113" i="1"/>
  <c r="AC113" i="1"/>
  <c r="AD113" i="1"/>
  <c r="AE113" i="1"/>
  <c r="AM113" i="1"/>
  <c r="K114" i="1"/>
  <c r="M114" i="1"/>
  <c r="N114" i="1" s="1"/>
  <c r="Y114" i="1"/>
  <c r="Z114" i="1"/>
  <c r="AB114" i="1"/>
  <c r="AC114" i="1"/>
  <c r="AD114" i="1"/>
  <c r="AE114" i="1"/>
  <c r="AM114" i="1"/>
  <c r="K115" i="1"/>
  <c r="M115" i="1"/>
  <c r="N115" i="1" s="1"/>
  <c r="Y115" i="1"/>
  <c r="Z115" i="1"/>
  <c r="AB115" i="1"/>
  <c r="AC115" i="1"/>
  <c r="AD115" i="1"/>
  <c r="AE115" i="1"/>
  <c r="AM115" i="1"/>
  <c r="K116" i="1"/>
  <c r="M116" i="1"/>
  <c r="N116" i="1" s="1"/>
  <c r="Y116" i="1"/>
  <c r="Z116" i="1"/>
  <c r="AB116" i="1"/>
  <c r="AC116" i="1"/>
  <c r="AD116" i="1"/>
  <c r="AE116" i="1"/>
  <c r="AM116" i="1"/>
  <c r="K117" i="1"/>
  <c r="M117" i="1"/>
  <c r="N117" i="1" s="1"/>
  <c r="Y117" i="1"/>
  <c r="Z117" i="1"/>
  <c r="AB117" i="1"/>
  <c r="AC117" i="1"/>
  <c r="AD117" i="1"/>
  <c r="AE117" i="1"/>
  <c r="AM117" i="1"/>
  <c r="K118" i="1"/>
  <c r="M118" i="1"/>
  <c r="P118" i="1" s="1"/>
  <c r="Y118" i="1"/>
  <c r="Z118" i="1"/>
  <c r="AB118" i="1"/>
  <c r="AC118" i="1"/>
  <c r="AD118" i="1"/>
  <c r="AE118" i="1"/>
  <c r="AM118" i="1"/>
  <c r="K119" i="1"/>
  <c r="M119" i="1"/>
  <c r="Y119" i="1"/>
  <c r="Z119" i="1"/>
  <c r="AB119" i="1"/>
  <c r="AC119" i="1"/>
  <c r="AD119" i="1"/>
  <c r="AE119" i="1"/>
  <c r="AM119" i="1"/>
  <c r="K120" i="1"/>
  <c r="M120" i="1"/>
  <c r="N120" i="1" s="1"/>
  <c r="Y120" i="1"/>
  <c r="Z120" i="1"/>
  <c r="AB120" i="1"/>
  <c r="AC120" i="1"/>
  <c r="AD120" i="1"/>
  <c r="AE120" i="1"/>
  <c r="AM120" i="1"/>
  <c r="K121" i="1"/>
  <c r="M121" i="1"/>
  <c r="N121" i="1" s="1"/>
  <c r="Y121" i="1"/>
  <c r="Z121" i="1"/>
  <c r="AB121" i="1"/>
  <c r="AC121" i="1"/>
  <c r="AD121" i="1"/>
  <c r="AE121" i="1"/>
  <c r="AM121" i="1"/>
  <c r="K122" i="1"/>
  <c r="M122" i="1"/>
  <c r="N122" i="1" s="1"/>
  <c r="Y122" i="1"/>
  <c r="Z122" i="1"/>
  <c r="AB122" i="1"/>
  <c r="AC122" i="1"/>
  <c r="AD122" i="1"/>
  <c r="AE122" i="1"/>
  <c r="AM122" i="1"/>
  <c r="K123" i="1"/>
  <c r="M123" i="1"/>
  <c r="N123" i="1" s="1"/>
  <c r="Y123" i="1"/>
  <c r="Z123" i="1"/>
  <c r="AB123" i="1"/>
  <c r="AC123" i="1"/>
  <c r="AD123" i="1"/>
  <c r="AE123" i="1"/>
  <c r="AM123" i="1"/>
  <c r="K124" i="1"/>
  <c r="M124" i="1"/>
  <c r="N124" i="1" s="1"/>
  <c r="Y124" i="1"/>
  <c r="Z124" i="1"/>
  <c r="AA124" i="1" s="1"/>
  <c r="AB124" i="1"/>
  <c r="AC124" i="1"/>
  <c r="AD124" i="1"/>
  <c r="AE124" i="1"/>
  <c r="AM124" i="1"/>
  <c r="K127" i="1"/>
  <c r="M127" i="1"/>
  <c r="N127" i="1" s="1"/>
  <c r="Y127" i="1"/>
  <c r="Z127" i="1"/>
  <c r="AB127" i="1"/>
  <c r="AC127" i="1"/>
  <c r="AD127" i="1"/>
  <c r="X127" i="1" s="1"/>
  <c r="AE127" i="1"/>
  <c r="AM127" i="1"/>
  <c r="K128" i="1"/>
  <c r="M128" i="1"/>
  <c r="N128" i="1" s="1"/>
  <c r="Y128" i="1"/>
  <c r="Z128" i="1"/>
  <c r="AB128" i="1"/>
  <c r="AC128" i="1"/>
  <c r="AD128" i="1"/>
  <c r="AE128" i="1"/>
  <c r="AM128" i="1"/>
  <c r="K129" i="1"/>
  <c r="M129" i="1"/>
  <c r="N129" i="1" s="1"/>
  <c r="Y129" i="1"/>
  <c r="Z129" i="1"/>
  <c r="AB129" i="1"/>
  <c r="AC129" i="1"/>
  <c r="AD129" i="1"/>
  <c r="AE129" i="1"/>
  <c r="AM129" i="1"/>
  <c r="K130" i="1"/>
  <c r="M130" i="1"/>
  <c r="N130" i="1" s="1"/>
  <c r="Y130" i="1"/>
  <c r="Z130" i="1"/>
  <c r="AB130" i="1"/>
  <c r="AC130" i="1"/>
  <c r="AD130" i="1"/>
  <c r="AE130" i="1"/>
  <c r="AM130" i="1"/>
  <c r="K131" i="1"/>
  <c r="M131" i="1"/>
  <c r="N131" i="1" s="1"/>
  <c r="Y131" i="1"/>
  <c r="Z131" i="1"/>
  <c r="AB131" i="1"/>
  <c r="AC131" i="1"/>
  <c r="AD131" i="1"/>
  <c r="T131" i="1" s="1"/>
  <c r="AE131" i="1"/>
  <c r="AM131" i="1"/>
  <c r="K132" i="1"/>
  <c r="M132" i="1"/>
  <c r="N132" i="1" s="1"/>
  <c r="Y132" i="1"/>
  <c r="Z132" i="1"/>
  <c r="AB132" i="1"/>
  <c r="AC132" i="1"/>
  <c r="AD132" i="1"/>
  <c r="AE132" i="1"/>
  <c r="AM132" i="1"/>
  <c r="K133" i="1"/>
  <c r="M133" i="1"/>
  <c r="N133" i="1" s="1"/>
  <c r="Y133" i="1"/>
  <c r="Z133" i="1"/>
  <c r="AB133" i="1"/>
  <c r="AC133" i="1"/>
  <c r="AD133" i="1"/>
  <c r="AE133" i="1"/>
  <c r="AM133" i="1"/>
  <c r="K134" i="1"/>
  <c r="M134" i="1"/>
  <c r="N134" i="1" s="1"/>
  <c r="Y134" i="1"/>
  <c r="Z134" i="1"/>
  <c r="AB134" i="1"/>
  <c r="AC134" i="1"/>
  <c r="AD134" i="1"/>
  <c r="AE134" i="1"/>
  <c r="AM134" i="1"/>
  <c r="K135" i="1"/>
  <c r="M135" i="1"/>
  <c r="N135" i="1" s="1"/>
  <c r="Y135" i="1"/>
  <c r="Z135" i="1"/>
  <c r="AB135" i="1"/>
  <c r="AC135" i="1"/>
  <c r="AD135" i="1"/>
  <c r="AE135" i="1"/>
  <c r="AM135" i="1"/>
  <c r="K137" i="1"/>
  <c r="M137" i="1"/>
  <c r="N137" i="1" s="1"/>
  <c r="Y137" i="1"/>
  <c r="Z137" i="1"/>
  <c r="AB137" i="1"/>
  <c r="AC137" i="1"/>
  <c r="AD137" i="1"/>
  <c r="X137" i="1" s="1"/>
  <c r="AE137" i="1"/>
  <c r="AM137" i="1"/>
  <c r="K139" i="1"/>
  <c r="M139" i="1"/>
  <c r="N139" i="1" s="1"/>
  <c r="Y139" i="1"/>
  <c r="Z139" i="1"/>
  <c r="AB139" i="1"/>
  <c r="AC139" i="1"/>
  <c r="AD139" i="1"/>
  <c r="X139" i="1" s="1"/>
  <c r="AE139" i="1"/>
  <c r="AM139" i="1"/>
  <c r="K140" i="1"/>
  <c r="M140" i="1"/>
  <c r="N140" i="1" s="1"/>
  <c r="Y140" i="1"/>
  <c r="Z140" i="1"/>
  <c r="AB140" i="1"/>
  <c r="AC140" i="1"/>
  <c r="AD140" i="1"/>
  <c r="T140" i="1" s="1"/>
  <c r="AE140" i="1"/>
  <c r="AM140" i="1"/>
  <c r="K141" i="1"/>
  <c r="M141" i="1"/>
  <c r="N141" i="1" s="1"/>
  <c r="Y141" i="1"/>
  <c r="Z141" i="1"/>
  <c r="AB141" i="1"/>
  <c r="AC141" i="1"/>
  <c r="AD141" i="1"/>
  <c r="AE141" i="1"/>
  <c r="AM141" i="1"/>
  <c r="K142" i="1"/>
  <c r="M142" i="1"/>
  <c r="N142" i="1" s="1"/>
  <c r="Y142" i="1"/>
  <c r="Z142" i="1"/>
  <c r="AB142" i="1"/>
  <c r="AC142" i="1"/>
  <c r="AD142" i="1"/>
  <c r="AE142" i="1"/>
  <c r="AM142" i="1"/>
  <c r="K143" i="1"/>
  <c r="M143" i="1"/>
  <c r="N143" i="1" s="1"/>
  <c r="Y143" i="1"/>
  <c r="Z143" i="1"/>
  <c r="AB143" i="1"/>
  <c r="AC143" i="1"/>
  <c r="AD143" i="1"/>
  <c r="AE143" i="1"/>
  <c r="AM143" i="1"/>
  <c r="K144" i="1"/>
  <c r="M144" i="1"/>
  <c r="N144" i="1" s="1"/>
  <c r="Y144" i="1"/>
  <c r="Z144" i="1"/>
  <c r="AB144" i="1"/>
  <c r="AC144" i="1"/>
  <c r="AD144" i="1"/>
  <c r="AE144" i="1"/>
  <c r="AM144" i="1"/>
  <c r="K145" i="1"/>
  <c r="M145" i="1"/>
  <c r="N145" i="1" s="1"/>
  <c r="Y145" i="1"/>
  <c r="Z145" i="1"/>
  <c r="AB145" i="1"/>
  <c r="AC145" i="1"/>
  <c r="AD145" i="1"/>
  <c r="AE145" i="1"/>
  <c r="AM145" i="1"/>
  <c r="K146" i="1"/>
  <c r="M146" i="1"/>
  <c r="N146" i="1" s="1"/>
  <c r="Y146" i="1"/>
  <c r="Z146" i="1"/>
  <c r="AB146" i="1"/>
  <c r="AC146" i="1"/>
  <c r="AD146" i="1"/>
  <c r="AE146" i="1"/>
  <c r="AM146" i="1"/>
  <c r="K147" i="1"/>
  <c r="M147" i="1"/>
  <c r="N147" i="1" s="1"/>
  <c r="Y147" i="1"/>
  <c r="Z147" i="1"/>
  <c r="AB147" i="1"/>
  <c r="AC147" i="1"/>
  <c r="AD147" i="1"/>
  <c r="T147" i="1" s="1"/>
  <c r="AE147" i="1"/>
  <c r="AM147" i="1"/>
  <c r="K148" i="1"/>
  <c r="M148" i="1"/>
  <c r="N148" i="1" s="1"/>
  <c r="Y148" i="1"/>
  <c r="Z148" i="1"/>
  <c r="AB148" i="1"/>
  <c r="AC148" i="1"/>
  <c r="AD148" i="1"/>
  <c r="AE148" i="1"/>
  <c r="AM148" i="1"/>
  <c r="K149" i="1"/>
  <c r="M149" i="1"/>
  <c r="N149" i="1" s="1"/>
  <c r="Y149" i="1"/>
  <c r="Z149" i="1"/>
  <c r="AB149" i="1"/>
  <c r="AC149" i="1"/>
  <c r="AD149" i="1"/>
  <c r="AE149" i="1"/>
  <c r="AM149" i="1"/>
  <c r="K150" i="1"/>
  <c r="M150" i="1"/>
  <c r="N150" i="1" s="1"/>
  <c r="Y150" i="1"/>
  <c r="Z150" i="1"/>
  <c r="AA150" i="1" s="1"/>
  <c r="AB150" i="1"/>
  <c r="AC150" i="1"/>
  <c r="AD150" i="1"/>
  <c r="T150" i="1" s="1"/>
  <c r="AE150" i="1"/>
  <c r="AM150" i="1"/>
  <c r="K151" i="1"/>
  <c r="M151" i="1"/>
  <c r="N151" i="1" s="1"/>
  <c r="Y151" i="1"/>
  <c r="Z151" i="1"/>
  <c r="AB151" i="1"/>
  <c r="AC151" i="1"/>
  <c r="AD151" i="1"/>
  <c r="AE151" i="1"/>
  <c r="AM151" i="1"/>
  <c r="K153" i="1"/>
  <c r="M153" i="1"/>
  <c r="N153" i="1" s="1"/>
  <c r="Y153" i="1"/>
  <c r="AA153" i="1" s="1"/>
  <c r="Z153" i="1"/>
  <c r="AB153" i="1"/>
  <c r="AC153" i="1"/>
  <c r="AD153" i="1"/>
  <c r="AE153" i="1"/>
  <c r="AM153" i="1"/>
  <c r="K155" i="1"/>
  <c r="M155" i="1"/>
  <c r="N155" i="1" s="1"/>
  <c r="Y155" i="1"/>
  <c r="Z155" i="1"/>
  <c r="AB155" i="1"/>
  <c r="AC155" i="1"/>
  <c r="AD155" i="1"/>
  <c r="X155" i="1" s="1"/>
  <c r="AE155" i="1"/>
  <c r="AM155" i="1"/>
  <c r="K156" i="1"/>
  <c r="M156" i="1"/>
  <c r="N156" i="1" s="1"/>
  <c r="Y156" i="1"/>
  <c r="Z156" i="1"/>
  <c r="AB156" i="1"/>
  <c r="AC156" i="1"/>
  <c r="AD156" i="1"/>
  <c r="T156" i="1" s="1"/>
  <c r="AE156" i="1"/>
  <c r="AM156" i="1"/>
  <c r="K157" i="1"/>
  <c r="M157" i="1"/>
  <c r="N157" i="1" s="1"/>
  <c r="Y157" i="1"/>
  <c r="Z157" i="1"/>
  <c r="AB157" i="1"/>
  <c r="AC157" i="1"/>
  <c r="AD157" i="1"/>
  <c r="T157" i="1" s="1"/>
  <c r="AE157" i="1"/>
  <c r="AM157" i="1"/>
  <c r="K158" i="1"/>
  <c r="M158" i="1"/>
  <c r="N158" i="1" s="1"/>
  <c r="Y158" i="1"/>
  <c r="Z158" i="1"/>
  <c r="AB158" i="1"/>
  <c r="AC158" i="1"/>
  <c r="AD158" i="1"/>
  <c r="AE158" i="1"/>
  <c r="AM158" i="1"/>
  <c r="K159" i="1"/>
  <c r="M159" i="1"/>
  <c r="N159" i="1" s="1"/>
  <c r="Y159" i="1"/>
  <c r="Z159" i="1"/>
  <c r="AB159" i="1"/>
  <c r="AC159" i="1"/>
  <c r="AD159" i="1"/>
  <c r="T159" i="1" s="1"/>
  <c r="AE159" i="1"/>
  <c r="AM159" i="1"/>
  <c r="K160" i="1"/>
  <c r="M160" i="1"/>
  <c r="N160" i="1" s="1"/>
  <c r="Y160" i="1"/>
  <c r="Z160" i="1"/>
  <c r="AB160" i="1"/>
  <c r="AC160" i="1"/>
  <c r="AD160" i="1"/>
  <c r="T160" i="1" s="1"/>
  <c r="AE160" i="1"/>
  <c r="AM160" i="1"/>
  <c r="K211" i="1"/>
  <c r="M211" i="1"/>
  <c r="N211" i="1" s="1"/>
  <c r="Y211" i="1"/>
  <c r="Z211" i="1"/>
  <c r="AB211" i="1"/>
  <c r="AC211" i="1"/>
  <c r="AD211" i="1"/>
  <c r="T211" i="1" s="1"/>
  <c r="AE211" i="1"/>
  <c r="AM161" i="1"/>
  <c r="K212" i="1"/>
  <c r="M212" i="1"/>
  <c r="N212" i="1" s="1"/>
  <c r="Y212" i="1"/>
  <c r="Z212" i="1"/>
  <c r="AB212" i="1"/>
  <c r="AC212" i="1"/>
  <c r="AD212" i="1"/>
  <c r="T212" i="1" s="1"/>
  <c r="AE212" i="1"/>
  <c r="AM162" i="1"/>
  <c r="K213" i="1"/>
  <c r="M213" i="1"/>
  <c r="N213" i="1" s="1"/>
  <c r="Y213" i="1"/>
  <c r="Z213" i="1"/>
  <c r="AB213" i="1"/>
  <c r="AC213" i="1"/>
  <c r="AD213" i="1"/>
  <c r="AE213" i="1"/>
  <c r="AM163" i="1"/>
  <c r="K214" i="1"/>
  <c r="M214" i="1"/>
  <c r="N214" i="1" s="1"/>
  <c r="Y214" i="1"/>
  <c r="Z214" i="1"/>
  <c r="AB214" i="1"/>
  <c r="AC214" i="1"/>
  <c r="AD214" i="1"/>
  <c r="T214" i="1" s="1"/>
  <c r="AE214" i="1"/>
  <c r="AM164" i="1"/>
  <c r="K215" i="1"/>
  <c r="M215" i="1"/>
  <c r="N215" i="1" s="1"/>
  <c r="Y215" i="1"/>
  <c r="Z215" i="1"/>
  <c r="AB215" i="1"/>
  <c r="AC215" i="1"/>
  <c r="AD215" i="1"/>
  <c r="AE215" i="1"/>
  <c r="AM165" i="1"/>
  <c r="K216" i="1"/>
  <c r="M216" i="1"/>
  <c r="N216" i="1" s="1"/>
  <c r="Y216" i="1"/>
  <c r="Z216" i="1"/>
  <c r="AB216" i="1"/>
  <c r="AC216" i="1"/>
  <c r="AD216" i="1"/>
  <c r="T216" i="1" s="1"/>
  <c r="AE216" i="1"/>
  <c r="AM166" i="1"/>
  <c r="K217" i="1"/>
  <c r="M217" i="1"/>
  <c r="N217" i="1" s="1"/>
  <c r="Y217" i="1"/>
  <c r="Z217" i="1"/>
  <c r="AB217" i="1"/>
  <c r="AC217" i="1"/>
  <c r="AD217" i="1"/>
  <c r="T217" i="1" s="1"/>
  <c r="AE217" i="1"/>
  <c r="AM167" i="1"/>
  <c r="K218" i="1"/>
  <c r="M218" i="1"/>
  <c r="N218" i="1" s="1"/>
  <c r="Y218" i="1"/>
  <c r="Z218" i="1"/>
  <c r="AB218" i="1"/>
  <c r="AC218" i="1"/>
  <c r="AD218" i="1"/>
  <c r="AE218" i="1"/>
  <c r="AM168" i="1"/>
  <c r="K219" i="1"/>
  <c r="M219" i="1"/>
  <c r="N219" i="1" s="1"/>
  <c r="Y219" i="1"/>
  <c r="Z219" i="1"/>
  <c r="AB219" i="1"/>
  <c r="AC219" i="1"/>
  <c r="AD219" i="1"/>
  <c r="T219" i="1" s="1"/>
  <c r="AE219" i="1"/>
  <c r="AM169" i="1"/>
  <c r="K220" i="1"/>
  <c r="M220" i="1"/>
  <c r="N220" i="1" s="1"/>
  <c r="Y220" i="1"/>
  <c r="Z220" i="1"/>
  <c r="AB220" i="1"/>
  <c r="AC220" i="1"/>
  <c r="AD220" i="1"/>
  <c r="AE220" i="1"/>
  <c r="AM170" i="1"/>
  <c r="K221" i="1"/>
  <c r="M221" i="1"/>
  <c r="N221" i="1" s="1"/>
  <c r="Y221" i="1"/>
  <c r="Z221" i="1"/>
  <c r="AB221" i="1"/>
  <c r="AC221" i="1"/>
  <c r="AD221" i="1"/>
  <c r="T221" i="1" s="1"/>
  <c r="AE221" i="1"/>
  <c r="AM171" i="1"/>
  <c r="K222" i="1"/>
  <c r="M222" i="1"/>
  <c r="N222" i="1" s="1"/>
  <c r="Y222" i="1"/>
  <c r="Z222" i="1"/>
  <c r="AB222" i="1"/>
  <c r="AC222" i="1"/>
  <c r="AD222" i="1"/>
  <c r="AE222" i="1"/>
  <c r="AM172" i="1"/>
  <c r="K223" i="1"/>
  <c r="M223" i="1"/>
  <c r="N223" i="1" s="1"/>
  <c r="Y223" i="1"/>
  <c r="Z223" i="1"/>
  <c r="AB223" i="1"/>
  <c r="AC223" i="1"/>
  <c r="AD223" i="1"/>
  <c r="T223" i="1" s="1"/>
  <c r="AE223" i="1"/>
  <c r="AM173" i="1"/>
  <c r="K230" i="1"/>
  <c r="M230" i="1"/>
  <c r="N230" i="1" s="1"/>
  <c r="Y230" i="1"/>
  <c r="Z230" i="1"/>
  <c r="AB230" i="1"/>
  <c r="AC230" i="1"/>
  <c r="AD230" i="1"/>
  <c r="AE230" i="1"/>
  <c r="AM174" i="1"/>
  <c r="K231" i="1"/>
  <c r="M231" i="1"/>
  <c r="N231" i="1" s="1"/>
  <c r="Y231" i="1"/>
  <c r="Z231" i="1"/>
  <c r="AB231" i="1"/>
  <c r="AC231" i="1"/>
  <c r="AD231" i="1"/>
  <c r="T231" i="1" s="1"/>
  <c r="AE231" i="1"/>
  <c r="AM175" i="1"/>
  <c r="K232" i="1"/>
  <c r="M232" i="1"/>
  <c r="N232" i="1" s="1"/>
  <c r="Y232" i="1"/>
  <c r="Z232" i="1"/>
  <c r="AB232" i="1"/>
  <c r="AC232" i="1"/>
  <c r="AD232" i="1"/>
  <c r="AE232" i="1"/>
  <c r="AM176" i="1"/>
  <c r="K233" i="1"/>
  <c r="M233" i="1"/>
  <c r="N233" i="1" s="1"/>
  <c r="Y233" i="1"/>
  <c r="Z233" i="1"/>
  <c r="AB233" i="1"/>
  <c r="AC233" i="1"/>
  <c r="AD233" i="1"/>
  <c r="T233" i="1" s="1"/>
  <c r="AE233" i="1"/>
  <c r="AM177" i="1"/>
  <c r="K234" i="1"/>
  <c r="M234" i="1"/>
  <c r="N234" i="1" s="1"/>
  <c r="Y234" i="1"/>
  <c r="Z234" i="1"/>
  <c r="AB234" i="1"/>
  <c r="AC234" i="1"/>
  <c r="AD234" i="1"/>
  <c r="AE234" i="1"/>
  <c r="AM178" i="1"/>
  <c r="K235" i="1"/>
  <c r="M235" i="1"/>
  <c r="N235" i="1" s="1"/>
  <c r="Y235" i="1"/>
  <c r="Z235" i="1"/>
  <c r="AB235" i="1"/>
  <c r="AC235" i="1"/>
  <c r="AD235" i="1"/>
  <c r="T235" i="1" s="1"/>
  <c r="AE235" i="1"/>
  <c r="AM179" i="1"/>
  <c r="K236" i="1"/>
  <c r="M236" i="1"/>
  <c r="N236" i="1" s="1"/>
  <c r="Y236" i="1"/>
  <c r="Z236" i="1"/>
  <c r="AB236" i="1"/>
  <c r="AC236" i="1"/>
  <c r="AD236" i="1"/>
  <c r="AE236" i="1"/>
  <c r="AM180" i="1"/>
  <c r="K237" i="1"/>
  <c r="M237" i="1"/>
  <c r="N237" i="1" s="1"/>
  <c r="Y237" i="1"/>
  <c r="Z237" i="1"/>
  <c r="AB237" i="1"/>
  <c r="AC237" i="1"/>
  <c r="AD237" i="1"/>
  <c r="T237" i="1" s="1"/>
  <c r="AE237" i="1"/>
  <c r="AM181" i="1"/>
  <c r="K238" i="1"/>
  <c r="M238" i="1"/>
  <c r="N238" i="1" s="1"/>
  <c r="Y238" i="1"/>
  <c r="Z238" i="1"/>
  <c r="AB238" i="1"/>
  <c r="AC238" i="1"/>
  <c r="AD238" i="1"/>
  <c r="AE238" i="1"/>
  <c r="AM182" i="1"/>
  <c r="K239" i="1"/>
  <c r="M239" i="1"/>
  <c r="N239" i="1" s="1"/>
  <c r="Y239" i="1"/>
  <c r="Z239" i="1"/>
  <c r="AB239" i="1"/>
  <c r="AC239" i="1"/>
  <c r="AD239" i="1"/>
  <c r="T239" i="1" s="1"/>
  <c r="AE239" i="1"/>
  <c r="AM183" i="1"/>
  <c r="K240" i="1"/>
  <c r="M240" i="1"/>
  <c r="N240" i="1" s="1"/>
  <c r="Y240" i="1"/>
  <c r="Z240" i="1"/>
  <c r="AB240" i="1"/>
  <c r="AC240" i="1"/>
  <c r="AD240" i="1"/>
  <c r="AE240" i="1"/>
  <c r="AM184" i="1"/>
  <c r="K241" i="1"/>
  <c r="M241" i="1"/>
  <c r="N241" i="1" s="1"/>
  <c r="Y241" i="1"/>
  <c r="Z241" i="1"/>
  <c r="AB241" i="1"/>
  <c r="AC241" i="1"/>
  <c r="AD241" i="1"/>
  <c r="T241" i="1" s="1"/>
  <c r="AE241" i="1"/>
  <c r="AM185" i="1"/>
  <c r="K242" i="1"/>
  <c r="M242" i="1"/>
  <c r="N242" i="1" s="1"/>
  <c r="Y242" i="1"/>
  <c r="Z242" i="1"/>
  <c r="AB242" i="1"/>
  <c r="AC242" i="1"/>
  <c r="AD242" i="1"/>
  <c r="AE242" i="1"/>
  <c r="AM186" i="1"/>
  <c r="K243" i="1"/>
  <c r="M243" i="1"/>
  <c r="N243" i="1" s="1"/>
  <c r="Y243" i="1"/>
  <c r="Z243" i="1"/>
  <c r="AB243" i="1"/>
  <c r="AC243" i="1"/>
  <c r="AD243" i="1"/>
  <c r="AE243" i="1"/>
  <c r="AM187" i="1"/>
  <c r="K244" i="1"/>
  <c r="M244" i="1"/>
  <c r="N244" i="1" s="1"/>
  <c r="Y244" i="1"/>
  <c r="Z244" i="1"/>
  <c r="AB244" i="1"/>
  <c r="AC244" i="1"/>
  <c r="AD244" i="1"/>
  <c r="AE244" i="1"/>
  <c r="AM188" i="1"/>
  <c r="K245" i="1"/>
  <c r="M245" i="1"/>
  <c r="N245" i="1" s="1"/>
  <c r="Y245" i="1"/>
  <c r="Z245" i="1"/>
  <c r="AB245" i="1"/>
  <c r="AC245" i="1"/>
  <c r="AD245" i="1"/>
  <c r="T245" i="1" s="1"/>
  <c r="AE245" i="1"/>
  <c r="AM189" i="1"/>
  <c r="K246" i="1"/>
  <c r="M246" i="1"/>
  <c r="N246" i="1" s="1"/>
  <c r="Y246" i="1"/>
  <c r="Z246" i="1"/>
  <c r="AB246" i="1"/>
  <c r="AC246" i="1"/>
  <c r="AD246" i="1"/>
  <c r="AE246" i="1"/>
  <c r="AM190" i="1"/>
  <c r="K247" i="1"/>
  <c r="M247" i="1"/>
  <c r="N247" i="1" s="1"/>
  <c r="Y247" i="1"/>
  <c r="Z247" i="1"/>
  <c r="AB247" i="1"/>
  <c r="AC247" i="1"/>
  <c r="AD247" i="1"/>
  <c r="T247" i="1" s="1"/>
  <c r="AE247" i="1"/>
  <c r="AM191" i="1"/>
  <c r="K248" i="1"/>
  <c r="M248" i="1"/>
  <c r="N248" i="1" s="1"/>
  <c r="Y248" i="1"/>
  <c r="Z248" i="1"/>
  <c r="AB248" i="1"/>
  <c r="AC248" i="1"/>
  <c r="AD248" i="1"/>
  <c r="AE248" i="1"/>
  <c r="AM192" i="1"/>
  <c r="K161" i="1"/>
  <c r="M161" i="1"/>
  <c r="N161" i="1" s="1"/>
  <c r="Y161" i="1"/>
  <c r="Z161" i="1"/>
  <c r="AB161" i="1"/>
  <c r="AC161" i="1"/>
  <c r="AD161" i="1"/>
  <c r="T161" i="1" s="1"/>
  <c r="AE161" i="1"/>
  <c r="AM193" i="1"/>
  <c r="K162" i="1"/>
  <c r="M162" i="1"/>
  <c r="N162" i="1" s="1"/>
  <c r="Y162" i="1"/>
  <c r="Z162" i="1"/>
  <c r="AB162" i="1"/>
  <c r="AC162" i="1"/>
  <c r="AD162" i="1"/>
  <c r="AE162" i="1"/>
  <c r="AM194" i="1"/>
  <c r="K163" i="1"/>
  <c r="M163" i="1"/>
  <c r="N163" i="1" s="1"/>
  <c r="Y163" i="1"/>
  <c r="Z163" i="1"/>
  <c r="AA163" i="1" s="1"/>
  <c r="AB163" i="1"/>
  <c r="AC163" i="1"/>
  <c r="AD163" i="1"/>
  <c r="AE163" i="1"/>
  <c r="AM195" i="1"/>
  <c r="K164" i="1"/>
  <c r="M164" i="1"/>
  <c r="N164" i="1" s="1"/>
  <c r="Y164" i="1"/>
  <c r="Z164" i="1"/>
  <c r="AB164" i="1"/>
  <c r="AC164" i="1"/>
  <c r="AD164" i="1"/>
  <c r="AE164" i="1"/>
  <c r="AM196" i="1"/>
  <c r="K165" i="1"/>
  <c r="M165" i="1"/>
  <c r="N165" i="1" s="1"/>
  <c r="Y165" i="1"/>
  <c r="Z165" i="1"/>
  <c r="AB165" i="1"/>
  <c r="AC165" i="1"/>
  <c r="AD165" i="1"/>
  <c r="AE165" i="1"/>
  <c r="AM197" i="1"/>
  <c r="K166" i="1"/>
  <c r="M166" i="1"/>
  <c r="N166" i="1" s="1"/>
  <c r="Y166" i="1"/>
  <c r="Z166" i="1"/>
  <c r="AB166" i="1"/>
  <c r="AC166" i="1"/>
  <c r="AD166" i="1"/>
  <c r="AE166" i="1"/>
  <c r="AM198" i="1"/>
  <c r="K167" i="1"/>
  <c r="M167" i="1"/>
  <c r="N167" i="1" s="1"/>
  <c r="Y167" i="1"/>
  <c r="Z167" i="1"/>
  <c r="AA167" i="1" s="1"/>
  <c r="AB167" i="1"/>
  <c r="AC167" i="1"/>
  <c r="AD167" i="1"/>
  <c r="T167" i="1" s="1"/>
  <c r="AE167" i="1"/>
  <c r="AM199" i="1"/>
  <c r="K168" i="1"/>
  <c r="M168" i="1"/>
  <c r="N168" i="1" s="1"/>
  <c r="Y168" i="1"/>
  <c r="Z168" i="1"/>
  <c r="AB168" i="1"/>
  <c r="AC168" i="1"/>
  <c r="AD168" i="1"/>
  <c r="AE168" i="1"/>
  <c r="AM200" i="1"/>
  <c r="K169" i="1"/>
  <c r="M169" i="1"/>
  <c r="N169" i="1" s="1"/>
  <c r="Y169" i="1"/>
  <c r="Z169" i="1"/>
  <c r="AB169" i="1"/>
  <c r="AC169" i="1"/>
  <c r="AD169" i="1"/>
  <c r="T169" i="1" s="1"/>
  <c r="AE169" i="1"/>
  <c r="AM201" i="1"/>
  <c r="K170" i="1"/>
  <c r="M170" i="1"/>
  <c r="N170" i="1" s="1"/>
  <c r="Y170" i="1"/>
  <c r="Z170" i="1"/>
  <c r="AB170" i="1"/>
  <c r="AC170" i="1"/>
  <c r="AD170" i="1"/>
  <c r="AE170" i="1"/>
  <c r="AM202" i="1"/>
  <c r="K249" i="1"/>
  <c r="M249" i="1"/>
  <c r="N249" i="1" s="1"/>
  <c r="Y249" i="1"/>
  <c r="Z249" i="1"/>
  <c r="AA249" i="1" s="1"/>
  <c r="AB249" i="1"/>
  <c r="AC249" i="1"/>
  <c r="AD249" i="1"/>
  <c r="AE249" i="1"/>
  <c r="AM203" i="1"/>
  <c r="K171" i="1"/>
  <c r="M171" i="1"/>
  <c r="N171" i="1" s="1"/>
  <c r="Y171" i="1"/>
  <c r="Z171" i="1"/>
  <c r="AB171" i="1"/>
  <c r="AC171" i="1"/>
  <c r="AD171" i="1"/>
  <c r="AE171" i="1"/>
  <c r="AM204" i="1"/>
  <c r="K172" i="1"/>
  <c r="M172" i="1"/>
  <c r="N172" i="1" s="1"/>
  <c r="Y172" i="1"/>
  <c r="Z172" i="1"/>
  <c r="AB172" i="1"/>
  <c r="AC172" i="1"/>
  <c r="AD172" i="1"/>
  <c r="AE172" i="1"/>
  <c r="AM205" i="1"/>
  <c r="K173" i="1"/>
  <c r="M173" i="1"/>
  <c r="N173" i="1" s="1"/>
  <c r="Y173" i="1"/>
  <c r="Z173" i="1"/>
  <c r="AB173" i="1"/>
  <c r="AC173" i="1"/>
  <c r="AD173" i="1"/>
  <c r="AE173" i="1"/>
  <c r="AM206" i="1"/>
  <c r="K174" i="1"/>
  <c r="M174" i="1"/>
  <c r="P174" i="1" s="1"/>
  <c r="Y174" i="1"/>
  <c r="Z174" i="1"/>
  <c r="AB174" i="1"/>
  <c r="AC174" i="1"/>
  <c r="AD174" i="1"/>
  <c r="T174" i="1" s="1"/>
  <c r="AE174" i="1"/>
  <c r="AM207" i="1"/>
  <c r="K175" i="1"/>
  <c r="M175" i="1"/>
  <c r="N175" i="1" s="1"/>
  <c r="Y175" i="1"/>
  <c r="Z175" i="1"/>
  <c r="AB175" i="1"/>
  <c r="AC175" i="1"/>
  <c r="AD175" i="1"/>
  <c r="AE175" i="1"/>
  <c r="AM208" i="1"/>
  <c r="K176" i="1"/>
  <c r="M176" i="1"/>
  <c r="N176" i="1" s="1"/>
  <c r="Y176" i="1"/>
  <c r="Z176" i="1"/>
  <c r="AB176" i="1"/>
  <c r="AC176" i="1"/>
  <c r="AD176" i="1"/>
  <c r="T176" i="1" s="1"/>
  <c r="AE176" i="1"/>
  <c r="AM209" i="1"/>
  <c r="K177" i="1"/>
  <c r="M177" i="1"/>
  <c r="N177" i="1" s="1"/>
  <c r="Y177" i="1"/>
  <c r="Z177" i="1"/>
  <c r="AB177" i="1"/>
  <c r="AC177" i="1"/>
  <c r="AD177" i="1"/>
  <c r="AE177" i="1"/>
  <c r="AM210" i="1"/>
  <c r="K178" i="1"/>
  <c r="M178" i="1"/>
  <c r="N178" i="1" s="1"/>
  <c r="Y178" i="1"/>
  <c r="Z178" i="1"/>
  <c r="AB178" i="1"/>
  <c r="AC178" i="1"/>
  <c r="AD178" i="1"/>
  <c r="AE178" i="1"/>
  <c r="AM211" i="1"/>
  <c r="K179" i="1"/>
  <c r="M179" i="1"/>
  <c r="N179" i="1" s="1"/>
  <c r="Y179" i="1"/>
  <c r="Z179" i="1"/>
  <c r="AB179" i="1"/>
  <c r="AC179" i="1"/>
  <c r="AD179" i="1"/>
  <c r="AE179" i="1"/>
  <c r="AM212" i="1"/>
  <c r="K180" i="1"/>
  <c r="M180" i="1"/>
  <c r="N180" i="1" s="1"/>
  <c r="Y180" i="1"/>
  <c r="Z180" i="1"/>
  <c r="AB180" i="1"/>
  <c r="AC180" i="1"/>
  <c r="AD180" i="1"/>
  <c r="T180" i="1" s="1"/>
  <c r="AE180" i="1"/>
  <c r="AM213" i="1"/>
  <c r="K250" i="1"/>
  <c r="M250" i="1"/>
  <c r="N250" i="1" s="1"/>
  <c r="Y250" i="1"/>
  <c r="Z250" i="1"/>
  <c r="AB250" i="1"/>
  <c r="AC250" i="1"/>
  <c r="AD250" i="1"/>
  <c r="AE250" i="1"/>
  <c r="AM214" i="1"/>
  <c r="K251" i="1"/>
  <c r="M251" i="1"/>
  <c r="N251" i="1" s="1"/>
  <c r="Y251" i="1"/>
  <c r="Z251" i="1"/>
  <c r="AA251" i="1" s="1"/>
  <c r="AB251" i="1"/>
  <c r="AC251" i="1"/>
  <c r="AD251" i="1"/>
  <c r="T251" i="1" s="1"/>
  <c r="AE251" i="1"/>
  <c r="AM215" i="1"/>
  <c r="K181" i="1"/>
  <c r="M181" i="1"/>
  <c r="P181" i="1" s="1"/>
  <c r="Y181" i="1"/>
  <c r="Z181" i="1"/>
  <c r="AB181" i="1"/>
  <c r="AC181" i="1"/>
  <c r="AD181" i="1"/>
  <c r="AE181" i="1"/>
  <c r="R35" i="3" s="1"/>
  <c r="AM216" i="1"/>
  <c r="K182" i="1"/>
  <c r="M182" i="1"/>
  <c r="Y182" i="1"/>
  <c r="Z182" i="1"/>
  <c r="AB182" i="1"/>
  <c r="AC182" i="1"/>
  <c r="AD182" i="1"/>
  <c r="T182" i="1" s="1"/>
  <c r="AE182" i="1"/>
  <c r="AM217" i="1"/>
  <c r="K183" i="1"/>
  <c r="M183" i="1"/>
  <c r="N183" i="1" s="1"/>
  <c r="Y183" i="1"/>
  <c r="Z183" i="1"/>
  <c r="AB183" i="1"/>
  <c r="AC183" i="1"/>
  <c r="AD183" i="1"/>
  <c r="AE183" i="1"/>
  <c r="AM218" i="1"/>
  <c r="K184" i="1"/>
  <c r="M184" i="1"/>
  <c r="N184" i="1" s="1"/>
  <c r="Y184" i="1"/>
  <c r="Z184" i="1"/>
  <c r="AA184" i="1" s="1"/>
  <c r="AB184" i="1"/>
  <c r="AC184" i="1"/>
  <c r="AD184" i="1"/>
  <c r="AE184" i="1"/>
  <c r="AM219" i="1"/>
  <c r="K185" i="1"/>
  <c r="M185" i="1"/>
  <c r="N185" i="1" s="1"/>
  <c r="Y185" i="1"/>
  <c r="Z185" i="1"/>
  <c r="AB185" i="1"/>
  <c r="AC185" i="1"/>
  <c r="AD185" i="1"/>
  <c r="AE185" i="1"/>
  <c r="AM220" i="1"/>
  <c r="K186" i="1"/>
  <c r="M186" i="1"/>
  <c r="N186" i="1" s="1"/>
  <c r="Y186" i="1"/>
  <c r="Z186" i="1"/>
  <c r="AB186" i="1"/>
  <c r="AC186" i="1"/>
  <c r="AD186" i="1"/>
  <c r="T186" i="1" s="1"/>
  <c r="AE186" i="1"/>
  <c r="AM221" i="1"/>
  <c r="K187" i="1"/>
  <c r="M187" i="1"/>
  <c r="N187" i="1" s="1"/>
  <c r="Y187" i="1"/>
  <c r="Z187" i="1"/>
  <c r="AB187" i="1"/>
  <c r="AC187" i="1"/>
  <c r="AD187" i="1"/>
  <c r="AE187" i="1"/>
  <c r="AM222" i="1"/>
  <c r="K188" i="1"/>
  <c r="M188" i="1"/>
  <c r="N188" i="1" s="1"/>
  <c r="Y188" i="1"/>
  <c r="Z188" i="1"/>
  <c r="AA188" i="1" s="1"/>
  <c r="AB188" i="1"/>
  <c r="AC188" i="1"/>
  <c r="AD188" i="1"/>
  <c r="T188" i="1" s="1"/>
  <c r="AE188" i="1"/>
  <c r="AM223" i="1"/>
  <c r="K189" i="1"/>
  <c r="M189" i="1"/>
  <c r="N189" i="1" s="1"/>
  <c r="Y189" i="1"/>
  <c r="Z189" i="1"/>
  <c r="AB189" i="1"/>
  <c r="AC189" i="1"/>
  <c r="AD189" i="1"/>
  <c r="AE189" i="1"/>
  <c r="AM224" i="1"/>
  <c r="K190" i="1"/>
  <c r="M190" i="1"/>
  <c r="N190" i="1" s="1"/>
  <c r="Y190" i="1"/>
  <c r="Z190" i="1"/>
  <c r="AB190" i="1"/>
  <c r="AC190" i="1"/>
  <c r="AD190" i="1"/>
  <c r="T190" i="1" s="1"/>
  <c r="AE190" i="1"/>
  <c r="AM225" i="1"/>
  <c r="K191" i="1"/>
  <c r="M191" i="1"/>
  <c r="N191" i="1" s="1"/>
  <c r="Y191" i="1"/>
  <c r="Z191" i="1"/>
  <c r="AB191" i="1"/>
  <c r="AC191" i="1"/>
  <c r="AD191" i="1"/>
  <c r="AE191" i="1"/>
  <c r="AM226" i="1"/>
  <c r="K192" i="1"/>
  <c r="M192" i="1"/>
  <c r="N192" i="1" s="1"/>
  <c r="Y192" i="1"/>
  <c r="Z192" i="1"/>
  <c r="AA192" i="1" s="1"/>
  <c r="AB192" i="1"/>
  <c r="AC192" i="1"/>
  <c r="AD192" i="1"/>
  <c r="AE192" i="1"/>
  <c r="AM227" i="1"/>
  <c r="K193" i="1"/>
  <c r="M193" i="1"/>
  <c r="N193" i="1" s="1"/>
  <c r="Y193" i="1"/>
  <c r="Z193" i="1"/>
  <c r="AB193" i="1"/>
  <c r="AC193" i="1"/>
  <c r="AD193" i="1"/>
  <c r="AE193" i="1"/>
  <c r="AM228" i="1"/>
  <c r="K194" i="1"/>
  <c r="M194" i="1"/>
  <c r="N194" i="1" s="1"/>
  <c r="Y194" i="1"/>
  <c r="Z194" i="1"/>
  <c r="AB194" i="1"/>
  <c r="AC194" i="1"/>
  <c r="AD194" i="1"/>
  <c r="T194" i="1" s="1"/>
  <c r="AE194" i="1"/>
  <c r="AM229" i="1"/>
  <c r="K195" i="1"/>
  <c r="M195" i="1"/>
  <c r="N195" i="1" s="1"/>
  <c r="Y195" i="1"/>
  <c r="Z195" i="1"/>
  <c r="AB195" i="1"/>
  <c r="AC195" i="1"/>
  <c r="AD195" i="1"/>
  <c r="AE195" i="1"/>
  <c r="AM230" i="1"/>
  <c r="K196" i="1"/>
  <c r="M196" i="1"/>
  <c r="N196" i="1" s="1"/>
  <c r="Y196" i="1"/>
  <c r="Z196" i="1"/>
  <c r="AB196" i="1"/>
  <c r="AC196" i="1"/>
  <c r="AD196" i="1"/>
  <c r="AE196" i="1"/>
  <c r="AM231" i="1"/>
  <c r="K197" i="1"/>
  <c r="M197" i="1"/>
  <c r="N197" i="1" s="1"/>
  <c r="Y197" i="1"/>
  <c r="Z197" i="1"/>
  <c r="AB197" i="1"/>
  <c r="AC197" i="1"/>
  <c r="AD197" i="1"/>
  <c r="AE197" i="1"/>
  <c r="AM232" i="1"/>
  <c r="K198" i="1"/>
  <c r="M198" i="1"/>
  <c r="N198" i="1" s="1"/>
  <c r="Y198" i="1"/>
  <c r="Z198" i="1"/>
  <c r="AB198" i="1"/>
  <c r="AC198" i="1"/>
  <c r="AD198" i="1"/>
  <c r="T198" i="1" s="1"/>
  <c r="AE198" i="1"/>
  <c r="AM233" i="1"/>
  <c r="K199" i="1"/>
  <c r="M199" i="1"/>
  <c r="N199" i="1" s="1"/>
  <c r="Y199" i="1"/>
  <c r="Z199" i="1"/>
  <c r="AB199" i="1"/>
  <c r="AC199" i="1"/>
  <c r="AD199" i="1"/>
  <c r="AE199" i="1"/>
  <c r="AM234" i="1"/>
  <c r="K200" i="1"/>
  <c r="M200" i="1"/>
  <c r="N200" i="1" s="1"/>
  <c r="Y200" i="1"/>
  <c r="Z200" i="1"/>
  <c r="AB200" i="1"/>
  <c r="AC200" i="1"/>
  <c r="AD200" i="1"/>
  <c r="T200" i="1" s="1"/>
  <c r="AE200" i="1"/>
  <c r="AM235" i="1"/>
  <c r="K201" i="1"/>
  <c r="M201" i="1"/>
  <c r="N201" i="1" s="1"/>
  <c r="Y201" i="1"/>
  <c r="Z201" i="1"/>
  <c r="AB201" i="1"/>
  <c r="AC201" i="1"/>
  <c r="AD201" i="1"/>
  <c r="AE201" i="1"/>
  <c r="AM236" i="1"/>
  <c r="K202" i="1"/>
  <c r="M202" i="1"/>
  <c r="N202" i="1" s="1"/>
  <c r="Y202" i="1"/>
  <c r="Z202" i="1"/>
  <c r="AB202" i="1"/>
  <c r="AC202" i="1"/>
  <c r="AD202" i="1"/>
  <c r="T202" i="1" s="1"/>
  <c r="AE202" i="1"/>
  <c r="AM237" i="1"/>
  <c r="K203" i="1"/>
  <c r="M203" i="1"/>
  <c r="N203" i="1" s="1"/>
  <c r="Y203" i="1"/>
  <c r="Z203" i="1"/>
  <c r="AB203" i="1"/>
  <c r="AC203" i="1"/>
  <c r="AD203" i="1"/>
  <c r="AE203" i="1"/>
  <c r="AM238" i="1"/>
  <c r="K204" i="1"/>
  <c r="M204" i="1"/>
  <c r="N204" i="1" s="1"/>
  <c r="Y204" i="1"/>
  <c r="Z204" i="1"/>
  <c r="AB204" i="1"/>
  <c r="AC204" i="1"/>
  <c r="AD204" i="1"/>
  <c r="T204" i="1" s="1"/>
  <c r="AE204" i="1"/>
  <c r="AM239" i="1"/>
  <c r="K205" i="1"/>
  <c r="M205" i="1"/>
  <c r="N205" i="1" s="1"/>
  <c r="Y205" i="1"/>
  <c r="Z205" i="1"/>
  <c r="AB205" i="1"/>
  <c r="AC205" i="1"/>
  <c r="AD205" i="1"/>
  <c r="AE205" i="1"/>
  <c r="AM240" i="1"/>
  <c r="K206" i="1"/>
  <c r="M206" i="1"/>
  <c r="N206" i="1" s="1"/>
  <c r="Y206" i="1"/>
  <c r="Z206" i="1"/>
  <c r="AB206" i="1"/>
  <c r="AC206" i="1"/>
  <c r="AD206" i="1"/>
  <c r="T206" i="1" s="1"/>
  <c r="AE206" i="1"/>
  <c r="AM241" i="1"/>
  <c r="K207" i="1"/>
  <c r="M207" i="1"/>
  <c r="N207" i="1" s="1"/>
  <c r="Y207" i="1"/>
  <c r="Z207" i="1"/>
  <c r="AB207" i="1"/>
  <c r="AC207" i="1"/>
  <c r="AD207" i="1"/>
  <c r="AE207" i="1"/>
  <c r="AM242" i="1"/>
  <c r="K208" i="1"/>
  <c r="M208" i="1"/>
  <c r="N208" i="1" s="1"/>
  <c r="Y208" i="1"/>
  <c r="Z208" i="1"/>
  <c r="AB208" i="1"/>
  <c r="AC208" i="1"/>
  <c r="AD208" i="1"/>
  <c r="T208" i="1" s="1"/>
  <c r="AE208" i="1"/>
  <c r="AM243" i="1"/>
  <c r="K209" i="1"/>
  <c r="M209" i="1"/>
  <c r="N209" i="1" s="1"/>
  <c r="Y209" i="1"/>
  <c r="Z209" i="1"/>
  <c r="AB209" i="1"/>
  <c r="AC209" i="1"/>
  <c r="AD209" i="1"/>
  <c r="AE209" i="1"/>
  <c r="AM244" i="1"/>
  <c r="K210" i="1"/>
  <c r="M210" i="1"/>
  <c r="N210" i="1" s="1"/>
  <c r="Y210" i="1"/>
  <c r="Z210" i="1"/>
  <c r="AB210" i="1"/>
  <c r="AC210" i="1"/>
  <c r="AD210" i="1"/>
  <c r="T210" i="1" s="1"/>
  <c r="AE210" i="1"/>
  <c r="AM245" i="1"/>
  <c r="K224" i="1"/>
  <c r="M224" i="1"/>
  <c r="N224" i="1" s="1"/>
  <c r="Y224" i="1"/>
  <c r="Z224" i="1"/>
  <c r="AB224" i="1"/>
  <c r="AC224" i="1"/>
  <c r="AD224" i="1"/>
  <c r="X224" i="1" s="1"/>
  <c r="AE224" i="1"/>
  <c r="AM246" i="1"/>
  <c r="K225" i="1"/>
  <c r="M225" i="1"/>
  <c r="N225" i="1" s="1"/>
  <c r="Y225" i="1"/>
  <c r="Z225" i="1"/>
  <c r="AB225" i="1"/>
  <c r="AC225" i="1"/>
  <c r="AD225" i="1"/>
  <c r="AE225" i="1"/>
  <c r="AM247" i="1"/>
  <c r="K226" i="1"/>
  <c r="M226" i="1"/>
  <c r="N226" i="1" s="1"/>
  <c r="Y226" i="1"/>
  <c r="Z226" i="1"/>
  <c r="AB226" i="1"/>
  <c r="AC226" i="1"/>
  <c r="AD226" i="1"/>
  <c r="T226" i="1" s="1"/>
  <c r="AE226" i="1"/>
  <c r="AM248" i="1"/>
  <c r="K227" i="1"/>
  <c r="M227" i="1"/>
  <c r="N227" i="1" s="1"/>
  <c r="Y227" i="1"/>
  <c r="Z227" i="1"/>
  <c r="AA227" i="1" s="1"/>
  <c r="AB227" i="1"/>
  <c r="AC227" i="1"/>
  <c r="AD227" i="1"/>
  <c r="AE227" i="1"/>
  <c r="AM249" i="1"/>
  <c r="K228" i="1"/>
  <c r="M228" i="1"/>
  <c r="N228" i="1" s="1"/>
  <c r="Y228" i="1"/>
  <c r="Z228" i="1"/>
  <c r="AB228" i="1"/>
  <c r="AC228" i="1"/>
  <c r="AD228" i="1"/>
  <c r="T228" i="1" s="1"/>
  <c r="AE228" i="1"/>
  <c r="AM250" i="1"/>
  <c r="K229" i="1"/>
  <c r="M229" i="1"/>
  <c r="N229" i="1" s="1"/>
  <c r="Y229" i="1"/>
  <c r="Z229" i="1"/>
  <c r="AB229" i="1"/>
  <c r="AC229" i="1"/>
  <c r="AD229" i="1"/>
  <c r="T229" i="1" s="1"/>
  <c r="AE229" i="1"/>
  <c r="AM251" i="1"/>
  <c r="M46" i="3"/>
  <c r="U46" i="3"/>
  <c r="X46" i="3"/>
  <c r="M49" i="3"/>
  <c r="U49" i="3"/>
  <c r="X49" i="3"/>
  <c r="M39" i="3"/>
  <c r="U39" i="3"/>
  <c r="X39" i="3"/>
  <c r="M43" i="3"/>
  <c r="U43" i="3"/>
  <c r="X43" i="3"/>
  <c r="M34" i="3"/>
  <c r="U34" i="3"/>
  <c r="X34" i="3"/>
  <c r="M40" i="3"/>
  <c r="U40" i="3"/>
  <c r="X40" i="3"/>
  <c r="M44" i="3"/>
  <c r="U44" i="3"/>
  <c r="X44" i="3"/>
  <c r="M16" i="3"/>
  <c r="U16" i="3"/>
  <c r="X16" i="3"/>
  <c r="M41" i="3"/>
  <c r="U41" i="3"/>
  <c r="X41" i="3"/>
  <c r="M42" i="3"/>
  <c r="U42" i="3"/>
  <c r="X42" i="3"/>
  <c r="M17" i="3"/>
  <c r="U17" i="3"/>
  <c r="X17" i="3"/>
  <c r="M14" i="3"/>
  <c r="R14" i="3"/>
  <c r="U14" i="3"/>
  <c r="X14" i="3"/>
  <c r="M15" i="3"/>
  <c r="R15" i="3"/>
  <c r="U15" i="3"/>
  <c r="X15" i="3"/>
  <c r="M33" i="3"/>
  <c r="U33" i="3"/>
  <c r="X33" i="3"/>
  <c r="M21" i="3"/>
  <c r="U21" i="3"/>
  <c r="X21" i="3"/>
  <c r="M38" i="3"/>
  <c r="U38" i="3"/>
  <c r="X38" i="3"/>
  <c r="M51" i="3"/>
  <c r="U51" i="3"/>
  <c r="X51" i="3"/>
  <c r="M19" i="3"/>
  <c r="U19" i="3"/>
  <c r="X19" i="3"/>
  <c r="M32" i="3"/>
  <c r="U32" i="3"/>
  <c r="X32" i="3"/>
  <c r="M22" i="3"/>
  <c r="U22" i="3"/>
  <c r="X22" i="3"/>
  <c r="M50" i="3"/>
  <c r="U50" i="3"/>
  <c r="X50" i="3"/>
  <c r="M10" i="3"/>
  <c r="U10" i="3"/>
  <c r="X10" i="3"/>
  <c r="M37" i="3"/>
  <c r="U37" i="3"/>
  <c r="X37" i="3"/>
  <c r="M35" i="3"/>
  <c r="U35" i="3"/>
  <c r="X35" i="3"/>
  <c r="M12" i="3"/>
  <c r="U12" i="3"/>
  <c r="X12" i="3"/>
  <c r="M23" i="3"/>
  <c r="U23" i="3"/>
  <c r="X23" i="3"/>
  <c r="M11" i="3"/>
  <c r="U11" i="3"/>
  <c r="X11" i="3"/>
  <c r="M8" i="3"/>
  <c r="U8" i="3"/>
  <c r="X8" i="3"/>
  <c r="M9" i="3"/>
  <c r="R9" i="3"/>
  <c r="U9" i="3"/>
  <c r="X9" i="3"/>
  <c r="M29" i="3"/>
  <c r="U29" i="3"/>
  <c r="X29" i="3"/>
  <c r="M27" i="3"/>
  <c r="U27" i="3"/>
  <c r="X27" i="3"/>
  <c r="M24" i="3"/>
  <c r="U24" i="3"/>
  <c r="X24" i="3"/>
  <c r="M25" i="3"/>
  <c r="U25" i="3"/>
  <c r="X25" i="3"/>
  <c r="M26" i="3"/>
  <c r="U26" i="3"/>
  <c r="X26" i="3"/>
  <c r="M48" i="3"/>
  <c r="U48" i="3"/>
  <c r="X48" i="3"/>
  <c r="M30" i="3"/>
  <c r="U30" i="3"/>
  <c r="X30" i="3"/>
  <c r="M36" i="3"/>
  <c r="U36" i="3"/>
  <c r="X36" i="3"/>
  <c r="M18" i="3"/>
  <c r="U18" i="3"/>
  <c r="X18" i="3"/>
  <c r="M13" i="3"/>
  <c r="U13" i="3"/>
  <c r="X13" i="3"/>
  <c r="M20" i="3"/>
  <c r="U20" i="3"/>
  <c r="X20" i="3"/>
  <c r="M7" i="3"/>
  <c r="U7" i="3"/>
  <c r="X7" i="3"/>
  <c r="M28" i="3"/>
  <c r="U28" i="3"/>
  <c r="X28" i="3"/>
  <c r="M31" i="3"/>
  <c r="U31" i="3"/>
  <c r="X31" i="3"/>
  <c r="M45" i="3"/>
  <c r="U45" i="3"/>
  <c r="X45" i="3"/>
  <c r="AG138" i="1"/>
  <c r="AG14" i="1"/>
  <c r="AG26" i="1"/>
  <c r="AG47" i="1"/>
  <c r="AG63" i="1"/>
  <c r="AG92" i="1"/>
  <c r="AG123" i="1"/>
  <c r="AG98" i="1"/>
  <c r="AG134" i="1"/>
  <c r="AG233" i="1"/>
  <c r="AG161" i="1"/>
  <c r="AG176" i="1"/>
  <c r="AG190" i="1"/>
  <c r="AG131" i="1"/>
  <c r="AG159" i="1"/>
  <c r="AG224" i="1"/>
  <c r="AG244" i="1"/>
  <c r="AG226" i="1"/>
  <c r="AG124" i="1"/>
  <c r="AG168" i="1"/>
  <c r="AG132" i="1"/>
  <c r="AG20" i="1"/>
  <c r="AG49" i="1"/>
  <c r="AG70" i="1"/>
  <c r="AG109" i="1"/>
  <c r="AG95" i="1"/>
  <c r="AG147" i="1"/>
  <c r="AG242" i="1"/>
  <c r="AG174" i="1"/>
  <c r="AG193" i="1"/>
  <c r="AG137" i="1"/>
  <c r="AG209" i="1"/>
  <c r="AG66" i="1"/>
  <c r="AG87" i="1"/>
  <c r="AG238" i="1"/>
  <c r="AG189" i="1"/>
  <c r="AG205" i="1"/>
  <c r="AG167" i="1"/>
  <c r="AG158" i="1"/>
  <c r="AG31" i="1"/>
  <c r="AG50" i="1"/>
  <c r="AG111" i="1"/>
  <c r="AG157" i="1"/>
  <c r="AG175" i="1"/>
  <c r="AG155" i="1"/>
  <c r="AG33" i="1"/>
  <c r="AG46" i="1"/>
  <c r="AG68" i="1"/>
  <c r="AG103" i="1"/>
  <c r="AG100" i="1"/>
  <c r="AG222" i="1"/>
  <c r="AG251" i="1"/>
  <c r="AG201" i="1"/>
  <c r="AG28" i="1"/>
  <c r="AG53" i="1"/>
  <c r="AG86" i="1"/>
  <c r="AG93" i="1"/>
  <c r="AG240" i="1"/>
  <c r="AG139" i="1"/>
  <c r="W33" i="3"/>
  <c r="W27" i="3"/>
  <c r="W25" i="3"/>
  <c r="W19" i="3"/>
  <c r="W48" i="3"/>
  <c r="W36" i="3"/>
  <c r="W23" i="3"/>
  <c r="W31" i="3"/>
  <c r="W38" i="3"/>
  <c r="W18" i="3"/>
  <c r="W41" i="3"/>
  <c r="AG136" i="1"/>
  <c r="AG21" i="1"/>
  <c r="AG34" i="1"/>
  <c r="AG51" i="1"/>
  <c r="AG67" i="1"/>
  <c r="AG99" i="1"/>
  <c r="AG76" i="1"/>
  <c r="AG106" i="1"/>
  <c r="AG151" i="1"/>
  <c r="AG237" i="1"/>
  <c r="AG165" i="1"/>
  <c r="AG180" i="1"/>
  <c r="AG194" i="1"/>
  <c r="AG148" i="1"/>
  <c r="AG199" i="1"/>
  <c r="AG228" i="1"/>
  <c r="AG156" i="1"/>
  <c r="AG75" i="1"/>
  <c r="AG215" i="1"/>
  <c r="AG178" i="1"/>
  <c r="AG208" i="1"/>
  <c r="AG30" i="1"/>
  <c r="AG54" i="1"/>
  <c r="AG78" i="1"/>
  <c r="AG119" i="1"/>
  <c r="AG104" i="1"/>
  <c r="AG220" i="1"/>
  <c r="AG247" i="1"/>
  <c r="AG179" i="1"/>
  <c r="AG146" i="1"/>
  <c r="AG142" i="1"/>
  <c r="AG227" i="1"/>
  <c r="AG80" i="1"/>
  <c r="AG108" i="1"/>
  <c r="AG248" i="1"/>
  <c r="AG150" i="1"/>
  <c r="AG229" i="1"/>
  <c r="AG177" i="1"/>
  <c r="AG196" i="1"/>
  <c r="AG22" i="1"/>
  <c r="AG61" i="1"/>
  <c r="AG77" i="1"/>
  <c r="AG232" i="1"/>
  <c r="AG184" i="1"/>
  <c r="AG200" i="1"/>
  <c r="AG24" i="1"/>
  <c r="AG52" i="1"/>
  <c r="AG71" i="1"/>
  <c r="AG113" i="1"/>
  <c r="AG110" i="1"/>
  <c r="AG234" i="1"/>
  <c r="AG191" i="1"/>
  <c r="AG225" i="1"/>
  <c r="AG152" i="1"/>
  <c r="AG186" i="1"/>
  <c r="AG217" i="1"/>
  <c r="AG127" i="1"/>
  <c r="AG214" i="1"/>
  <c r="AG44" i="1"/>
  <c r="AG97" i="1"/>
  <c r="AG170" i="1"/>
  <c r="AG145" i="1"/>
  <c r="AG221" i="1"/>
  <c r="AG213" i="1"/>
  <c r="AG45" i="1"/>
  <c r="AG72" i="1"/>
  <c r="AG94" i="1"/>
  <c r="AG149" i="1"/>
  <c r="AG69" i="1"/>
  <c r="AG173" i="1"/>
  <c r="W43" i="3"/>
  <c r="W32" i="3"/>
  <c r="W17" i="3"/>
  <c r="W44" i="3"/>
  <c r="AG125" i="1"/>
  <c r="AG39" i="1"/>
  <c r="AG16" i="1"/>
  <c r="AG83" i="1"/>
  <c r="AG219" i="1"/>
  <c r="AG169" i="1"/>
  <c r="AG143" i="1"/>
  <c r="AG203" i="1"/>
  <c r="AG187" i="1"/>
  <c r="AG235" i="1"/>
  <c r="AG15" i="1"/>
  <c r="AG60" i="1"/>
  <c r="AG73" i="1"/>
  <c r="AG231" i="1"/>
  <c r="AG183" i="1"/>
  <c r="AG198" i="1"/>
  <c r="AG101" i="1"/>
  <c r="AG249" i="1"/>
  <c r="AG140" i="1"/>
  <c r="AG206" i="1"/>
  <c r="AG74" i="1"/>
  <c r="AG243" i="1"/>
  <c r="AG210" i="1"/>
  <c r="AG57" i="1"/>
  <c r="AG79" i="1"/>
  <c r="AG162" i="1"/>
  <c r="AG25" i="1"/>
  <c r="AG48" i="1"/>
  <c r="AG105" i="1"/>
  <c r="AG144" i="1"/>
  <c r="AG181" i="1"/>
  <c r="W29" i="3"/>
  <c r="W46" i="3"/>
  <c r="W49" i="3"/>
  <c r="W16" i="3"/>
  <c r="W35" i="3"/>
  <c r="W11" i="3"/>
  <c r="W20" i="3"/>
  <c r="W37" i="3"/>
  <c r="W30" i="3"/>
  <c r="AG154" i="1"/>
  <c r="AG29" i="1"/>
  <c r="AG55" i="1"/>
  <c r="AG107" i="1"/>
  <c r="AG114" i="1"/>
  <c r="AG241" i="1"/>
  <c r="AG182" i="1"/>
  <c r="AG216" i="1"/>
  <c r="AG18" i="1"/>
  <c r="AG129" i="1"/>
  <c r="AG192" i="1"/>
  <c r="AG38" i="1"/>
  <c r="AG88" i="1"/>
  <c r="AG116" i="1"/>
  <c r="AG164" i="1"/>
  <c r="AG218" i="1"/>
  <c r="AG32" i="1"/>
  <c r="AG130" i="1"/>
  <c r="AG153" i="1"/>
  <c r="AG185" i="1"/>
  <c r="AG40" i="1"/>
  <c r="AG96" i="1"/>
  <c r="AG195" i="1"/>
  <c r="AG35" i="1"/>
  <c r="AG82" i="1"/>
  <c r="AG120" i="1"/>
  <c r="AG135" i="1"/>
  <c r="AG37" i="1"/>
  <c r="AG64" i="1"/>
  <c r="AG81" i="1"/>
  <c r="AG163" i="1"/>
  <c r="AG212" i="1"/>
  <c r="W21" i="3"/>
  <c r="W22" i="3"/>
  <c r="W39" i="3"/>
  <c r="W50" i="3"/>
  <c r="W28" i="3"/>
  <c r="W15" i="3"/>
  <c r="W10" i="3"/>
  <c r="W12" i="3"/>
  <c r="AG17" i="1"/>
  <c r="AG59" i="1"/>
  <c r="AG115" i="1"/>
  <c r="AG122" i="1"/>
  <c r="AG245" i="1"/>
  <c r="AG102" i="1"/>
  <c r="AG128" i="1"/>
  <c r="AG56" i="1"/>
  <c r="AG133" i="1"/>
  <c r="AG118" i="1"/>
  <c r="AG41" i="1"/>
  <c r="AG211" i="1"/>
  <c r="AG42" i="1"/>
  <c r="AG112" i="1"/>
  <c r="AG202" i="1"/>
  <c r="W45" i="3"/>
  <c r="W24" i="3"/>
  <c r="W9" i="3"/>
  <c r="W7" i="3"/>
  <c r="AG126" i="1"/>
  <c r="AG43" i="1"/>
  <c r="AG84" i="1"/>
  <c r="AG91" i="1"/>
  <c r="AG223" i="1"/>
  <c r="AG172" i="1"/>
  <c r="AG160" i="1"/>
  <c r="AG207" i="1"/>
  <c r="AG197" i="1"/>
  <c r="AG246" i="1"/>
  <c r="AG27" i="1"/>
  <c r="AG65" i="1"/>
  <c r="AG85" i="1"/>
  <c r="AG236" i="1"/>
  <c r="AG188" i="1"/>
  <c r="AG204" i="1"/>
  <c r="AG121" i="1"/>
  <c r="AG250" i="1"/>
  <c r="AG239" i="1"/>
  <c r="AG19" i="1"/>
  <c r="AG90" i="1"/>
  <c r="AG166" i="1"/>
  <c r="AG23" i="1"/>
  <c r="AG62" i="1"/>
  <c r="AG89" i="1"/>
  <c r="AG171" i="1"/>
  <c r="AG36" i="1"/>
  <c r="AG58" i="1"/>
  <c r="AG117" i="1"/>
  <c r="AG230" i="1"/>
  <c r="AG141" i="1"/>
  <c r="W14" i="3"/>
  <c r="W51" i="3"/>
  <c r="W26" i="3"/>
  <c r="W34" i="3"/>
  <c r="W42" i="3"/>
  <c r="W8" i="3"/>
  <c r="W40" i="3"/>
  <c r="W13" i="3"/>
  <c r="X141" i="1" l="1"/>
  <c r="T141" i="1"/>
  <c r="AA218" i="1"/>
  <c r="T153" i="1"/>
  <c r="X153" i="1"/>
  <c r="AA107" i="1"/>
  <c r="X96" i="1"/>
  <c r="X53" i="1"/>
  <c r="X154" i="1"/>
  <c r="T154" i="1"/>
  <c r="X77" i="1"/>
  <c r="AA70" i="1"/>
  <c r="W70" i="1" s="1"/>
  <c r="X65" i="1"/>
  <c r="AA62" i="1"/>
  <c r="AA43" i="1"/>
  <c r="X125" i="1"/>
  <c r="X138" i="1"/>
  <c r="X152" i="1"/>
  <c r="AI154" i="1"/>
  <c r="U154" i="1"/>
  <c r="S154" i="1" s="1"/>
  <c r="W154" i="1"/>
  <c r="T152" i="1"/>
  <c r="AI152" i="1"/>
  <c r="U152" i="1"/>
  <c r="S152" i="1" s="1"/>
  <c r="W152" i="1"/>
  <c r="AI138" i="1"/>
  <c r="U138" i="1"/>
  <c r="S138" i="1" s="1"/>
  <c r="W138" i="1"/>
  <c r="AI136" i="1"/>
  <c r="U136" i="1"/>
  <c r="S136" i="1" s="1"/>
  <c r="W136" i="1"/>
  <c r="X136" i="1"/>
  <c r="AA126" i="1"/>
  <c r="U126" i="1"/>
  <c r="S126" i="1" s="1"/>
  <c r="AI126" i="1"/>
  <c r="U125" i="1"/>
  <c r="S125" i="1" s="1"/>
  <c r="AI125" i="1"/>
  <c r="W126" i="1"/>
  <c r="W125" i="1"/>
  <c r="R23" i="3"/>
  <c r="AA250" i="1"/>
  <c r="AA147" i="1"/>
  <c r="W147" i="1" s="1"/>
  <c r="AA61" i="1"/>
  <c r="X205" i="1"/>
  <c r="AA231" i="1"/>
  <c r="X204" i="1"/>
  <c r="X213" i="1"/>
  <c r="X42" i="1"/>
  <c r="AA207" i="1"/>
  <c r="X248" i="1"/>
  <c r="AA245" i="1"/>
  <c r="X244" i="1"/>
  <c r="AA219" i="1"/>
  <c r="AA211" i="1"/>
  <c r="AA156" i="1"/>
  <c r="AA76" i="1"/>
  <c r="AA59" i="1"/>
  <c r="X57" i="1"/>
  <c r="AA226" i="1"/>
  <c r="AA195" i="1"/>
  <c r="AA187" i="1"/>
  <c r="AA180" i="1"/>
  <c r="AA172" i="1"/>
  <c r="W172" i="1" s="1"/>
  <c r="AA165" i="1"/>
  <c r="AA247" i="1"/>
  <c r="AA246" i="1"/>
  <c r="AA243" i="1"/>
  <c r="W243" i="1" s="1"/>
  <c r="AA235" i="1"/>
  <c r="T213" i="1"/>
  <c r="X150" i="1"/>
  <c r="AA146" i="1"/>
  <c r="W146" i="1" s="1"/>
  <c r="AA127" i="1"/>
  <c r="AA123" i="1"/>
  <c r="AA122" i="1"/>
  <c r="AA118" i="1"/>
  <c r="W118" i="1" s="1"/>
  <c r="AA114" i="1"/>
  <c r="AA106" i="1"/>
  <c r="AA102" i="1"/>
  <c r="AA98" i="1"/>
  <c r="W98" i="1" s="1"/>
  <c r="AA78" i="1"/>
  <c r="AA74" i="1"/>
  <c r="AA54" i="1"/>
  <c r="AA44" i="1"/>
  <c r="W44" i="1" s="1"/>
  <c r="AA40" i="1"/>
  <c r="AA36" i="1"/>
  <c r="X200" i="1"/>
  <c r="X170" i="1"/>
  <c r="X162" i="1"/>
  <c r="X201" i="1"/>
  <c r="X247" i="1"/>
  <c r="X240" i="1"/>
  <c r="AA157" i="1"/>
  <c r="AA75" i="1"/>
  <c r="X71" i="1"/>
  <c r="X61" i="1"/>
  <c r="X55" i="1"/>
  <c r="X45" i="1"/>
  <c r="X44" i="1"/>
  <c r="X41" i="1"/>
  <c r="AA228" i="1"/>
  <c r="AA208" i="1"/>
  <c r="AA204" i="1"/>
  <c r="W204" i="1" s="1"/>
  <c r="AA203" i="1"/>
  <c r="AA186" i="1"/>
  <c r="X185" i="1"/>
  <c r="X251" i="1"/>
  <c r="X249" i="1"/>
  <c r="AA242" i="1"/>
  <c r="AA238" i="1"/>
  <c r="AA230" i="1"/>
  <c r="W230" i="1" s="1"/>
  <c r="X215" i="1"/>
  <c r="X214" i="1"/>
  <c r="X212" i="1"/>
  <c r="AA130" i="1"/>
  <c r="W130" i="1" s="1"/>
  <c r="AA109" i="1"/>
  <c r="AA93" i="1"/>
  <c r="AA77" i="1"/>
  <c r="X62" i="1"/>
  <c r="R40" i="3"/>
  <c r="R24" i="3"/>
  <c r="R31" i="3"/>
  <c r="R33" i="3"/>
  <c r="R43" i="3"/>
  <c r="R51" i="3"/>
  <c r="R48" i="3"/>
  <c r="R42" i="3"/>
  <c r="R50" i="3"/>
  <c r="R37" i="3"/>
  <c r="R30" i="3"/>
  <c r="R20" i="3"/>
  <c r="R28" i="3"/>
  <c r="R44" i="3"/>
  <c r="R39" i="3"/>
  <c r="R46" i="3"/>
  <c r="R18" i="3"/>
  <c r="R26" i="3"/>
  <c r="R32" i="3"/>
  <c r="R7" i="3"/>
  <c r="R13" i="3"/>
  <c r="R49" i="3"/>
  <c r="R41" i="3"/>
  <c r="R34" i="3"/>
  <c r="R45" i="3"/>
  <c r="R36" i="3"/>
  <c r="R38" i="3"/>
  <c r="T225" i="1"/>
  <c r="U225" i="1" s="1"/>
  <c r="S225" i="1" s="1"/>
  <c r="X225" i="1"/>
  <c r="X179" i="1"/>
  <c r="X175" i="1"/>
  <c r="AA196" i="1"/>
  <c r="W196" i="1" s="1"/>
  <c r="X191" i="1"/>
  <c r="X145" i="1"/>
  <c r="T145" i="1"/>
  <c r="T134" i="1"/>
  <c r="U134" i="1" s="1"/>
  <c r="S134" i="1" s="1"/>
  <c r="X134" i="1"/>
  <c r="T38" i="1"/>
  <c r="X38" i="1"/>
  <c r="AA229" i="1"/>
  <c r="X174" i="1"/>
  <c r="T144" i="1"/>
  <c r="U144" i="1" s="1"/>
  <c r="S144" i="1" s="1"/>
  <c r="X144" i="1"/>
  <c r="AA224" i="1"/>
  <c r="W224" i="1" s="1"/>
  <c r="T196" i="1"/>
  <c r="X196" i="1"/>
  <c r="T155" i="1"/>
  <c r="U155" i="1" s="1"/>
  <c r="S155" i="1" s="1"/>
  <c r="X135" i="1"/>
  <c r="T135" i="1"/>
  <c r="X39" i="1"/>
  <c r="T39" i="1"/>
  <c r="X197" i="1"/>
  <c r="X183" i="1"/>
  <c r="X168" i="1"/>
  <c r="X164" i="1"/>
  <c r="X234" i="1"/>
  <c r="X218" i="1"/>
  <c r="X217" i="1"/>
  <c r="AA160" i="1"/>
  <c r="X227" i="1"/>
  <c r="X209" i="1"/>
  <c r="X208" i="1"/>
  <c r="AA200" i="1"/>
  <c r="AA199" i="1"/>
  <c r="W199" i="1" s="1"/>
  <c r="AA194" i="1"/>
  <c r="X193" i="1"/>
  <c r="X189" i="1"/>
  <c r="X188" i="1"/>
  <c r="AA178" i="1"/>
  <c r="X177" i="1"/>
  <c r="AA174" i="1"/>
  <c r="AA173" i="1"/>
  <c r="X172" i="1"/>
  <c r="AA166" i="1"/>
  <c r="W166" i="1" s="1"/>
  <c r="X165" i="1"/>
  <c r="AA239" i="1"/>
  <c r="W239" i="1" s="1"/>
  <c r="AA236" i="1"/>
  <c r="AA232" i="1"/>
  <c r="W232" i="1" s="1"/>
  <c r="X220" i="1"/>
  <c r="X219" i="1"/>
  <c r="AA215" i="1"/>
  <c r="X151" i="1"/>
  <c r="X149" i="1"/>
  <c r="AA149" i="1"/>
  <c r="X142" i="1"/>
  <c r="X140" i="1"/>
  <c r="X132" i="1"/>
  <c r="AA116" i="1"/>
  <c r="W116" i="1" s="1"/>
  <c r="AA112" i="1"/>
  <c r="AA94" i="1"/>
  <c r="W94" i="1" s="1"/>
  <c r="AA92" i="1"/>
  <c r="AA91" i="1"/>
  <c r="W91" i="1" s="1"/>
  <c r="AA87" i="1"/>
  <c r="AA83" i="1"/>
  <c r="W83" i="1" s="1"/>
  <c r="AA73" i="1"/>
  <c r="X70" i="1"/>
  <c r="X63" i="1"/>
  <c r="X52" i="1"/>
  <c r="X46" i="1"/>
  <c r="AA37" i="1"/>
  <c r="W37" i="1" s="1"/>
  <c r="X222" i="1"/>
  <c r="AA216" i="1"/>
  <c r="AA159" i="1"/>
  <c r="AA85" i="1"/>
  <c r="W85" i="1" s="1"/>
  <c r="AA81" i="1"/>
  <c r="AA69" i="1"/>
  <c r="X66" i="1"/>
  <c r="AA56" i="1"/>
  <c r="W56" i="1" s="1"/>
  <c r="AA53" i="1"/>
  <c r="W53" i="1" s="1"/>
  <c r="AA51" i="1"/>
  <c r="X50" i="1"/>
  <c r="AA46" i="1"/>
  <c r="W46" i="1" s="1"/>
  <c r="AA45" i="1"/>
  <c r="X40" i="1"/>
  <c r="AA35" i="1"/>
  <c r="AA18" i="1"/>
  <c r="X228" i="1"/>
  <c r="AA225" i="1"/>
  <c r="X210" i="1"/>
  <c r="AA206" i="1"/>
  <c r="W206" i="1" s="1"/>
  <c r="AA205" i="1"/>
  <c r="W205" i="1" s="1"/>
  <c r="X203" i="1"/>
  <c r="X202" i="1"/>
  <c r="AA198" i="1"/>
  <c r="W198" i="1" s="1"/>
  <c r="AA197" i="1"/>
  <c r="W197" i="1" s="1"/>
  <c r="X195" i="1"/>
  <c r="X192" i="1"/>
  <c r="AA183" i="1"/>
  <c r="W183" i="1" s="1"/>
  <c r="AA182" i="1"/>
  <c r="W182" i="1" s="1"/>
  <c r="X181" i="1"/>
  <c r="X178" i="1"/>
  <c r="AA170" i="1"/>
  <c r="W170" i="1" s="1"/>
  <c r="AA169" i="1"/>
  <c r="W169" i="1" s="1"/>
  <c r="X166" i="1"/>
  <c r="X163" i="1"/>
  <c r="AA241" i="1"/>
  <c r="W241" i="1" s="1"/>
  <c r="X236" i="1"/>
  <c r="X223" i="1"/>
  <c r="AA55" i="1"/>
  <c r="AA48" i="1"/>
  <c r="T45" i="1"/>
  <c r="U45" i="1" s="1"/>
  <c r="S45" i="1" s="1"/>
  <c r="X167" i="1"/>
  <c r="X242" i="1"/>
  <c r="AA237" i="1"/>
  <c r="X232" i="1"/>
  <c r="AA214" i="1"/>
  <c r="X158" i="1"/>
  <c r="X156" i="1"/>
  <c r="AA151" i="1"/>
  <c r="W151" i="1" s="1"/>
  <c r="X148" i="1"/>
  <c r="AA148" i="1"/>
  <c r="X146" i="1"/>
  <c r="AA144" i="1"/>
  <c r="W144" i="1" s="1"/>
  <c r="X143" i="1"/>
  <c r="AA143" i="1"/>
  <c r="AA140" i="1"/>
  <c r="W140" i="1" s="1"/>
  <c r="AA139" i="1"/>
  <c r="AA134" i="1"/>
  <c r="X133" i="1"/>
  <c r="AA133" i="1"/>
  <c r="W133" i="1" s="1"/>
  <c r="X131" i="1"/>
  <c r="X68" i="1"/>
  <c r="AA66" i="1"/>
  <c r="AA65" i="1"/>
  <c r="W65" i="1" s="1"/>
  <c r="T61" i="1"/>
  <c r="X60" i="1"/>
  <c r="AA58" i="1"/>
  <c r="AA57" i="1"/>
  <c r="W57" i="1" s="1"/>
  <c r="T53" i="1"/>
  <c r="AA50" i="1"/>
  <c r="AA49" i="1"/>
  <c r="X229" i="1"/>
  <c r="AA210" i="1"/>
  <c r="AA209" i="1"/>
  <c r="X207" i="1"/>
  <c r="X206" i="1"/>
  <c r="AA202" i="1"/>
  <c r="AA201" i="1"/>
  <c r="X199" i="1"/>
  <c r="X198" i="1"/>
  <c r="AA191" i="1"/>
  <c r="AA190" i="1"/>
  <c r="X187" i="1"/>
  <c r="X184" i="1"/>
  <c r="AA177" i="1"/>
  <c r="AA176" i="1"/>
  <c r="X173" i="1"/>
  <c r="X171" i="1"/>
  <c r="AA162" i="1"/>
  <c r="AA161" i="1"/>
  <c r="X246" i="1"/>
  <c r="X243" i="1"/>
  <c r="AA240" i="1"/>
  <c r="X238" i="1"/>
  <c r="AA234" i="1"/>
  <c r="AA233" i="1"/>
  <c r="W233" i="1" s="1"/>
  <c r="AA223" i="1"/>
  <c r="AA220" i="1"/>
  <c r="X157" i="1"/>
  <c r="X147" i="1"/>
  <c r="T142" i="1"/>
  <c r="T137" i="1"/>
  <c r="U137" i="1" s="1"/>
  <c r="S137" i="1" s="1"/>
  <c r="T132" i="1"/>
  <c r="U132" i="1" s="1"/>
  <c r="S132" i="1" s="1"/>
  <c r="AA128" i="1"/>
  <c r="W128" i="1" s="1"/>
  <c r="AA120" i="1"/>
  <c r="AA110" i="1"/>
  <c r="AA104" i="1"/>
  <c r="AA95" i="1"/>
  <c r="W95" i="1" s="1"/>
  <c r="AA89" i="1"/>
  <c r="W89" i="1" s="1"/>
  <c r="AA79" i="1"/>
  <c r="X69" i="1"/>
  <c r="AA14" i="1"/>
  <c r="W14" i="1" s="1"/>
  <c r="AA117" i="1"/>
  <c r="AA115" i="1"/>
  <c r="AA101" i="1"/>
  <c r="AA99" i="1"/>
  <c r="W99" i="1" s="1"/>
  <c r="AA86" i="1"/>
  <c r="AA84" i="1"/>
  <c r="AA68" i="1"/>
  <c r="AA60" i="1"/>
  <c r="W60" i="1" s="1"/>
  <c r="X54" i="1"/>
  <c r="AA52" i="1"/>
  <c r="AA47" i="1"/>
  <c r="AA42" i="1"/>
  <c r="W42" i="1" s="1"/>
  <c r="AA41" i="1"/>
  <c r="T227" i="1"/>
  <c r="U227" i="1" s="1"/>
  <c r="S227" i="1" s="1"/>
  <c r="T224" i="1"/>
  <c r="T209" i="1"/>
  <c r="T207" i="1"/>
  <c r="U207" i="1" s="1"/>
  <c r="S207" i="1" s="1"/>
  <c r="T205" i="1"/>
  <c r="U205" i="1" s="1"/>
  <c r="S205" i="1" s="1"/>
  <c r="T203" i="1"/>
  <c r="U203" i="1" s="1"/>
  <c r="S203" i="1" s="1"/>
  <c r="T201" i="1"/>
  <c r="U201" i="1" s="1"/>
  <c r="S201" i="1" s="1"/>
  <c r="T199" i="1"/>
  <c r="U199" i="1" s="1"/>
  <c r="S199" i="1" s="1"/>
  <c r="T197" i="1"/>
  <c r="U197" i="1" s="1"/>
  <c r="S197" i="1" s="1"/>
  <c r="T192" i="1"/>
  <c r="U192" i="1" s="1"/>
  <c r="S192" i="1" s="1"/>
  <c r="T184" i="1"/>
  <c r="U184" i="1" s="1"/>
  <c r="S184" i="1" s="1"/>
  <c r="T178" i="1"/>
  <c r="T249" i="1"/>
  <c r="T163" i="1"/>
  <c r="T243" i="1"/>
  <c r="U243" i="1" s="1"/>
  <c r="S243" i="1" s="1"/>
  <c r="X226" i="1"/>
  <c r="X190" i="1"/>
  <c r="AA189" i="1"/>
  <c r="X182" i="1"/>
  <c r="AA181" i="1"/>
  <c r="X250" i="1"/>
  <c r="X176" i="1"/>
  <c r="AA175" i="1"/>
  <c r="W175" i="1" s="1"/>
  <c r="T172" i="1"/>
  <c r="X169" i="1"/>
  <c r="AA168" i="1"/>
  <c r="T165" i="1"/>
  <c r="U165" i="1" s="1"/>
  <c r="S165" i="1" s="1"/>
  <c r="X161" i="1"/>
  <c r="AA248" i="1"/>
  <c r="X241" i="1"/>
  <c r="X237" i="1"/>
  <c r="X233" i="1"/>
  <c r="X221" i="1"/>
  <c r="T218" i="1"/>
  <c r="U218" i="1" s="1"/>
  <c r="S218" i="1" s="1"/>
  <c r="X216" i="1"/>
  <c r="T215" i="1"/>
  <c r="AA213" i="1"/>
  <c r="X160" i="1"/>
  <c r="X159" i="1"/>
  <c r="AA158" i="1"/>
  <c r="AA212" i="1"/>
  <c r="X211" i="1"/>
  <c r="X194" i="1"/>
  <c r="AA193" i="1"/>
  <c r="X186" i="1"/>
  <c r="AA185" i="1"/>
  <c r="X180" i="1"/>
  <c r="AA179" i="1"/>
  <c r="AA171" i="1"/>
  <c r="AA164" i="1"/>
  <c r="W164" i="1" s="1"/>
  <c r="X245" i="1"/>
  <c r="AA244" i="1"/>
  <c r="X239" i="1"/>
  <c r="X235" i="1"/>
  <c r="X231" i="1"/>
  <c r="X230" i="1"/>
  <c r="AA222" i="1"/>
  <c r="AA221" i="1"/>
  <c r="W221" i="1" s="1"/>
  <c r="AA217" i="1"/>
  <c r="W217" i="1" s="1"/>
  <c r="T158" i="1"/>
  <c r="U158" i="1" s="1"/>
  <c r="S158" i="1" s="1"/>
  <c r="T151" i="1"/>
  <c r="T149" i="1"/>
  <c r="U149" i="1" s="1"/>
  <c r="S149" i="1" s="1"/>
  <c r="T143" i="1"/>
  <c r="U143" i="1" s="1"/>
  <c r="S143" i="1" s="1"/>
  <c r="T139" i="1"/>
  <c r="U139" i="1" s="1"/>
  <c r="S139" i="1" s="1"/>
  <c r="T133" i="1"/>
  <c r="AA129" i="1"/>
  <c r="AA119" i="1"/>
  <c r="W119" i="1" s="1"/>
  <c r="AA111" i="1"/>
  <c r="AA103" i="1"/>
  <c r="AA88" i="1"/>
  <c r="AA80" i="1"/>
  <c r="W80" i="1" s="1"/>
  <c r="T71" i="1"/>
  <c r="X64" i="1"/>
  <c r="T63" i="1"/>
  <c r="X56" i="1"/>
  <c r="T55" i="1"/>
  <c r="X48" i="1"/>
  <c r="T47" i="1"/>
  <c r="AA38" i="1"/>
  <c r="W38" i="1" s="1"/>
  <c r="AA16" i="1"/>
  <c r="T148" i="1"/>
  <c r="U148" i="1" s="1"/>
  <c r="S148" i="1" s="1"/>
  <c r="T146" i="1"/>
  <c r="T66" i="1"/>
  <c r="T58" i="1"/>
  <c r="T50" i="1"/>
  <c r="U50" i="1" s="1"/>
  <c r="S50" i="1" s="1"/>
  <c r="T42" i="1"/>
  <c r="T40" i="1"/>
  <c r="AA142" i="1"/>
  <c r="AA137" i="1"/>
  <c r="W137" i="1" s="1"/>
  <c r="AA132" i="1"/>
  <c r="AA71" i="1"/>
  <c r="AA155" i="1"/>
  <c r="AA145" i="1"/>
  <c r="W145" i="1" s="1"/>
  <c r="AA141" i="1"/>
  <c r="AA135" i="1"/>
  <c r="W135" i="1" s="1"/>
  <c r="AA131" i="1"/>
  <c r="AA121" i="1"/>
  <c r="W121" i="1" s="1"/>
  <c r="AA113" i="1"/>
  <c r="AA105" i="1"/>
  <c r="W105" i="1" s="1"/>
  <c r="AA97" i="1"/>
  <c r="AA90" i="1"/>
  <c r="W90" i="1" s="1"/>
  <c r="AA82" i="1"/>
  <c r="AA72" i="1"/>
  <c r="W72" i="1" s="1"/>
  <c r="X67" i="1"/>
  <c r="T65" i="1"/>
  <c r="U65" i="1" s="1"/>
  <c r="X59" i="1"/>
  <c r="T57" i="1"/>
  <c r="X51" i="1"/>
  <c r="T49" i="1"/>
  <c r="U49" i="1" s="1"/>
  <c r="S49" i="1" s="1"/>
  <c r="X43" i="1"/>
  <c r="T41" i="1"/>
  <c r="AA39" i="1"/>
  <c r="AA20" i="1"/>
  <c r="W20" i="1" s="1"/>
  <c r="U229" i="1"/>
  <c r="S229" i="1" s="1"/>
  <c r="AI251" i="1"/>
  <c r="AI250" i="1"/>
  <c r="U228" i="1"/>
  <c r="S228" i="1" s="1"/>
  <c r="AI249" i="1"/>
  <c r="U226" i="1"/>
  <c r="S226" i="1" s="1"/>
  <c r="AI248" i="1"/>
  <c r="AI247" i="1"/>
  <c r="AI246" i="1"/>
  <c r="U224" i="1"/>
  <c r="S224" i="1" s="1"/>
  <c r="U210" i="1"/>
  <c r="S210" i="1" s="1"/>
  <c r="AI245" i="1"/>
  <c r="AI244" i="1"/>
  <c r="U209" i="1"/>
  <c r="S209" i="1" s="1"/>
  <c r="AI243" i="1"/>
  <c r="U208" i="1"/>
  <c r="S208" i="1" s="1"/>
  <c r="AI242" i="1"/>
  <c r="AI241" i="1"/>
  <c r="U206" i="1"/>
  <c r="S206" i="1" s="1"/>
  <c r="AI240" i="1"/>
  <c r="U204" i="1"/>
  <c r="S204" i="1" s="1"/>
  <c r="AI239" i="1"/>
  <c r="AI238" i="1"/>
  <c r="AI237" i="1"/>
  <c r="U202" i="1"/>
  <c r="S202" i="1" s="1"/>
  <c r="AI236" i="1"/>
  <c r="AI235" i="1"/>
  <c r="U200" i="1"/>
  <c r="S200" i="1" s="1"/>
  <c r="AI234" i="1"/>
  <c r="U198" i="1"/>
  <c r="S198" i="1" s="1"/>
  <c r="AI233" i="1"/>
  <c r="AI232" i="1"/>
  <c r="U196" i="1"/>
  <c r="S196" i="1" s="1"/>
  <c r="AI231" i="1"/>
  <c r="AI159" i="1"/>
  <c r="U159" i="1"/>
  <c r="S159" i="1" s="1"/>
  <c r="AI163" i="1"/>
  <c r="U213" i="1"/>
  <c r="S213" i="1" s="1"/>
  <c r="AI142" i="1"/>
  <c r="U142" i="1"/>
  <c r="S142" i="1" s="1"/>
  <c r="AI132" i="1"/>
  <c r="AI167" i="1"/>
  <c r="U217" i="1"/>
  <c r="S217" i="1" s="1"/>
  <c r="AI149" i="1"/>
  <c r="AI155" i="1"/>
  <c r="AI137" i="1"/>
  <c r="AI166" i="1"/>
  <c r="U216" i="1"/>
  <c r="S216" i="1" s="1"/>
  <c r="AI162" i="1"/>
  <c r="U212" i="1"/>
  <c r="S212" i="1" s="1"/>
  <c r="AI158" i="1"/>
  <c r="AI153" i="1"/>
  <c r="U153" i="1"/>
  <c r="S153" i="1" s="1"/>
  <c r="AI148" i="1"/>
  <c r="AI145" i="1"/>
  <c r="U145" i="1"/>
  <c r="S145" i="1" s="1"/>
  <c r="AI141" i="1"/>
  <c r="U141" i="1"/>
  <c r="S141" i="1" s="1"/>
  <c r="AI135" i="1"/>
  <c r="U135" i="1"/>
  <c r="S135" i="1" s="1"/>
  <c r="AI131" i="1"/>
  <c r="U131" i="1"/>
  <c r="S131" i="1" s="1"/>
  <c r="AI72" i="1"/>
  <c r="U72" i="1"/>
  <c r="S72" i="1" s="1"/>
  <c r="AI168" i="1"/>
  <c r="U214" i="1"/>
  <c r="S214" i="1" s="1"/>
  <c r="AI164" i="1"/>
  <c r="U160" i="1"/>
  <c r="S160" i="1" s="1"/>
  <c r="AI160" i="1"/>
  <c r="U156" i="1"/>
  <c r="S156" i="1" s="1"/>
  <c r="AI156" i="1"/>
  <c r="U150" i="1"/>
  <c r="S150" i="1" s="1"/>
  <c r="AI150" i="1"/>
  <c r="U146" i="1"/>
  <c r="S146" i="1" s="1"/>
  <c r="AI146" i="1"/>
  <c r="AI143" i="1"/>
  <c r="AI139" i="1"/>
  <c r="AI133" i="1"/>
  <c r="U133" i="1"/>
  <c r="S133" i="1" s="1"/>
  <c r="AI230" i="1"/>
  <c r="U194" i="1"/>
  <c r="S194" i="1" s="1"/>
  <c r="AI229" i="1"/>
  <c r="AI228" i="1"/>
  <c r="AI227" i="1"/>
  <c r="AI226" i="1"/>
  <c r="U190" i="1"/>
  <c r="S190" i="1" s="1"/>
  <c r="AI225" i="1"/>
  <c r="AI224" i="1"/>
  <c r="U188" i="1"/>
  <c r="S188" i="1" s="1"/>
  <c r="AI223" i="1"/>
  <c r="AI222" i="1"/>
  <c r="U186" i="1"/>
  <c r="S186" i="1" s="1"/>
  <c r="AI221" i="1"/>
  <c r="AI220" i="1"/>
  <c r="AI219" i="1"/>
  <c r="AI218" i="1"/>
  <c r="U182" i="1"/>
  <c r="AI217" i="1"/>
  <c r="AI216" i="1"/>
  <c r="U251" i="1"/>
  <c r="S251" i="1" s="1"/>
  <c r="AI215" i="1"/>
  <c r="AI214" i="1"/>
  <c r="U180" i="1"/>
  <c r="S180" i="1" s="1"/>
  <c r="AI213" i="1"/>
  <c r="AI212" i="1"/>
  <c r="U178" i="1"/>
  <c r="S178" i="1" s="1"/>
  <c r="AI211" i="1"/>
  <c r="AI210" i="1"/>
  <c r="U176" i="1"/>
  <c r="S176" i="1" s="1"/>
  <c r="AI209" i="1"/>
  <c r="AI208" i="1"/>
  <c r="U174" i="1"/>
  <c r="S174" i="1" s="1"/>
  <c r="AI207" i="1"/>
  <c r="AI206" i="1"/>
  <c r="U172" i="1"/>
  <c r="S172" i="1" s="1"/>
  <c r="AI205" i="1"/>
  <c r="AI204" i="1"/>
  <c r="U249" i="1"/>
  <c r="S249" i="1" s="1"/>
  <c r="AI203" i="1"/>
  <c r="AI202" i="1"/>
  <c r="U169" i="1"/>
  <c r="S169" i="1" s="1"/>
  <c r="AI201" i="1"/>
  <c r="AI200" i="1"/>
  <c r="U167" i="1"/>
  <c r="S167" i="1" s="1"/>
  <c r="AI199" i="1"/>
  <c r="AI198" i="1"/>
  <c r="AI197" i="1"/>
  <c r="AI196" i="1"/>
  <c r="U163" i="1"/>
  <c r="S163" i="1" s="1"/>
  <c r="AI195" i="1"/>
  <c r="AI194" i="1"/>
  <c r="U161" i="1"/>
  <c r="S161" i="1" s="1"/>
  <c r="AI193" i="1"/>
  <c r="AI192" i="1"/>
  <c r="U247" i="1"/>
  <c r="S247" i="1" s="1"/>
  <c r="AI191" i="1"/>
  <c r="AI190" i="1"/>
  <c r="U245" i="1"/>
  <c r="S245" i="1" s="1"/>
  <c r="AI189" i="1"/>
  <c r="AI188" i="1"/>
  <c r="AI187" i="1"/>
  <c r="AI186" i="1"/>
  <c r="U241" i="1"/>
  <c r="S241" i="1" s="1"/>
  <c r="AI185" i="1"/>
  <c r="AI184" i="1"/>
  <c r="U239" i="1"/>
  <c r="S239" i="1" s="1"/>
  <c r="AI183" i="1"/>
  <c r="AI182" i="1"/>
  <c r="U237" i="1"/>
  <c r="S237" i="1" s="1"/>
  <c r="AI181" i="1"/>
  <c r="AI180" i="1"/>
  <c r="U235" i="1"/>
  <c r="S235" i="1" s="1"/>
  <c r="AI179" i="1"/>
  <c r="AI178" i="1"/>
  <c r="U233" i="1"/>
  <c r="S233" i="1" s="1"/>
  <c r="AI177" i="1"/>
  <c r="AI176" i="1"/>
  <c r="U231" i="1"/>
  <c r="S231" i="1" s="1"/>
  <c r="AI175" i="1"/>
  <c r="AI174" i="1"/>
  <c r="U223" i="1"/>
  <c r="S223" i="1" s="1"/>
  <c r="AI173" i="1"/>
  <c r="AI172" i="1"/>
  <c r="U221" i="1"/>
  <c r="S221" i="1" s="1"/>
  <c r="AI171" i="1"/>
  <c r="AI170" i="1"/>
  <c r="U219" i="1"/>
  <c r="S219" i="1" s="1"/>
  <c r="AI169" i="1"/>
  <c r="U215" i="1"/>
  <c r="S215" i="1" s="1"/>
  <c r="AI165" i="1"/>
  <c r="U211" i="1"/>
  <c r="S211" i="1" s="1"/>
  <c r="AI161" i="1"/>
  <c r="U157" i="1"/>
  <c r="S157" i="1" s="1"/>
  <c r="AI157" i="1"/>
  <c r="U151" i="1"/>
  <c r="S151" i="1" s="1"/>
  <c r="AI151" i="1"/>
  <c r="U147" i="1"/>
  <c r="S147" i="1" s="1"/>
  <c r="AI147" i="1"/>
  <c r="AI144" i="1"/>
  <c r="AI140" i="1"/>
  <c r="U140" i="1"/>
  <c r="S140" i="1" s="1"/>
  <c r="AI134" i="1"/>
  <c r="AI130" i="1"/>
  <c r="AI128" i="1"/>
  <c r="AI124" i="1"/>
  <c r="W124" i="1"/>
  <c r="AI122" i="1"/>
  <c r="W122" i="1"/>
  <c r="AI120" i="1"/>
  <c r="W120" i="1"/>
  <c r="AI118" i="1"/>
  <c r="AI116" i="1"/>
  <c r="AI114" i="1"/>
  <c r="W114" i="1"/>
  <c r="AI112" i="1"/>
  <c r="W112" i="1"/>
  <c r="AI110" i="1"/>
  <c r="W110" i="1"/>
  <c r="AI108" i="1"/>
  <c r="W108" i="1"/>
  <c r="AI106" i="1"/>
  <c r="W106" i="1"/>
  <c r="AI104" i="1"/>
  <c r="W104" i="1"/>
  <c r="AI102" i="1"/>
  <c r="W102" i="1"/>
  <c r="AI100" i="1"/>
  <c r="W100" i="1"/>
  <c r="AI98" i="1"/>
  <c r="AI96" i="1"/>
  <c r="W96" i="1"/>
  <c r="AI95" i="1"/>
  <c r="AI93" i="1"/>
  <c r="W93" i="1"/>
  <c r="AI91" i="1"/>
  <c r="AI89" i="1"/>
  <c r="AI87" i="1"/>
  <c r="W87" i="1"/>
  <c r="AI85" i="1"/>
  <c r="AI83" i="1"/>
  <c r="AI81" i="1"/>
  <c r="W81" i="1"/>
  <c r="AI79" i="1"/>
  <c r="W79" i="1"/>
  <c r="AI77" i="1"/>
  <c r="W77" i="1"/>
  <c r="AI76" i="1"/>
  <c r="W76" i="1"/>
  <c r="U73" i="1"/>
  <c r="S73" i="1" s="1"/>
  <c r="AI73" i="1"/>
  <c r="W73" i="1"/>
  <c r="AI129" i="1"/>
  <c r="AI127" i="1"/>
  <c r="AI123" i="1"/>
  <c r="AI121" i="1"/>
  <c r="AI119" i="1"/>
  <c r="AI117" i="1"/>
  <c r="AI115" i="1"/>
  <c r="AI113" i="1"/>
  <c r="AI111" i="1"/>
  <c r="AI109" i="1"/>
  <c r="AI107" i="1"/>
  <c r="AI105" i="1"/>
  <c r="AI103" i="1"/>
  <c r="AI101" i="1"/>
  <c r="AI99" i="1"/>
  <c r="AI97" i="1"/>
  <c r="AI94" i="1"/>
  <c r="AI92" i="1"/>
  <c r="AI90" i="1"/>
  <c r="AI88" i="1"/>
  <c r="AI86" i="1"/>
  <c r="AI84" i="1"/>
  <c r="AI82" i="1"/>
  <c r="AI80" i="1"/>
  <c r="AI78" i="1"/>
  <c r="AI75" i="1"/>
  <c r="U75" i="1"/>
  <c r="S75" i="1" s="1"/>
  <c r="U71" i="1"/>
  <c r="S71" i="1" s="1"/>
  <c r="AI71" i="1"/>
  <c r="U74" i="1"/>
  <c r="S74" i="1" s="1"/>
  <c r="AI74" i="1"/>
  <c r="AI16" i="1"/>
  <c r="U16" i="1"/>
  <c r="S16" i="1" s="1"/>
  <c r="U70" i="1"/>
  <c r="S70" i="1" s="1"/>
  <c r="AI70" i="1"/>
  <c r="U69" i="1"/>
  <c r="S69" i="1" s="1"/>
  <c r="AI69" i="1"/>
  <c r="W69" i="1"/>
  <c r="U68" i="1"/>
  <c r="S68" i="1" s="1"/>
  <c r="AI68" i="1"/>
  <c r="U67" i="1"/>
  <c r="AI67" i="1"/>
  <c r="W67" i="1"/>
  <c r="U66" i="1"/>
  <c r="AI66" i="1"/>
  <c r="AI65" i="1"/>
  <c r="U64" i="1"/>
  <c r="S64" i="1" s="1"/>
  <c r="AI64" i="1"/>
  <c r="U63" i="1"/>
  <c r="S63" i="1" s="1"/>
  <c r="AI63" i="1"/>
  <c r="W63" i="1"/>
  <c r="U62" i="1"/>
  <c r="S62" i="1" s="1"/>
  <c r="AI62" i="1"/>
  <c r="U61" i="1"/>
  <c r="S61" i="1" s="1"/>
  <c r="AI61" i="1"/>
  <c r="W61" i="1"/>
  <c r="U60" i="1"/>
  <c r="S60" i="1" s="1"/>
  <c r="AI60" i="1"/>
  <c r="U59" i="1"/>
  <c r="S59" i="1" s="1"/>
  <c r="AI59" i="1"/>
  <c r="W59" i="1"/>
  <c r="U58" i="1"/>
  <c r="S58" i="1" s="1"/>
  <c r="AI58" i="1"/>
  <c r="U57" i="1"/>
  <c r="S57" i="1" s="1"/>
  <c r="AI57" i="1"/>
  <c r="U56" i="1"/>
  <c r="S56" i="1" s="1"/>
  <c r="AI56" i="1"/>
  <c r="U55" i="1"/>
  <c r="S55" i="1" s="1"/>
  <c r="AI55" i="1"/>
  <c r="W55" i="1"/>
  <c r="U54" i="1"/>
  <c r="S54" i="1" s="1"/>
  <c r="AI54" i="1"/>
  <c r="U53" i="1"/>
  <c r="S53" i="1" s="1"/>
  <c r="AI53" i="1"/>
  <c r="U52" i="1"/>
  <c r="S52" i="1" s="1"/>
  <c r="AI52" i="1"/>
  <c r="U51" i="1"/>
  <c r="S51" i="1" s="1"/>
  <c r="AI51" i="1"/>
  <c r="W51" i="1"/>
  <c r="AI50" i="1"/>
  <c r="AI49" i="1"/>
  <c r="W49" i="1"/>
  <c r="U48" i="1"/>
  <c r="S48" i="1" s="1"/>
  <c r="AI48" i="1"/>
  <c r="U47" i="1"/>
  <c r="S47" i="1" s="1"/>
  <c r="AI47" i="1"/>
  <c r="W47" i="1"/>
  <c r="U46" i="1"/>
  <c r="S46" i="1" s="1"/>
  <c r="AI46" i="1"/>
  <c r="AI45" i="1"/>
  <c r="W45" i="1"/>
  <c r="U44" i="1"/>
  <c r="S44" i="1" s="1"/>
  <c r="AI44" i="1"/>
  <c r="U43" i="1"/>
  <c r="S43" i="1" s="1"/>
  <c r="AI43" i="1"/>
  <c r="W43" i="1"/>
  <c r="U42" i="1"/>
  <c r="S42" i="1" s="1"/>
  <c r="AI42" i="1"/>
  <c r="U41" i="1"/>
  <c r="S41" i="1" s="1"/>
  <c r="AI41" i="1"/>
  <c r="W41" i="1"/>
  <c r="U40" i="1"/>
  <c r="S40" i="1" s="1"/>
  <c r="AI40" i="1"/>
  <c r="U39" i="1"/>
  <c r="S39" i="1" s="1"/>
  <c r="AI39" i="1"/>
  <c r="AI38" i="1"/>
  <c r="U38" i="1"/>
  <c r="S38" i="1" s="1"/>
  <c r="AI37" i="1"/>
  <c r="AI35" i="1"/>
  <c r="W35" i="1"/>
  <c r="AI34" i="1"/>
  <c r="AI32" i="1"/>
  <c r="AI30" i="1"/>
  <c r="AI28" i="1"/>
  <c r="AI26" i="1"/>
  <c r="AI24" i="1"/>
  <c r="AI22" i="1"/>
  <c r="AI20" i="1"/>
  <c r="AI17" i="1"/>
  <c r="U17" i="1"/>
  <c r="S17" i="1" s="1"/>
  <c r="AI36" i="1"/>
  <c r="AI33" i="1"/>
  <c r="AI31" i="1"/>
  <c r="AI29" i="1"/>
  <c r="AI27" i="1"/>
  <c r="AI25" i="1"/>
  <c r="AI23" i="1"/>
  <c r="AI21" i="1"/>
  <c r="AI19" i="1"/>
  <c r="U19" i="1"/>
  <c r="S19" i="1" s="1"/>
  <c r="AI15" i="1"/>
  <c r="U15" i="1"/>
  <c r="S15" i="1" s="1"/>
  <c r="AI18" i="1"/>
  <c r="U18" i="1"/>
  <c r="S18" i="1" s="1"/>
  <c r="AI14" i="1"/>
  <c r="U14" i="1"/>
  <c r="S14" i="1" s="1"/>
  <c r="W210" i="1"/>
  <c r="W208" i="1"/>
  <c r="W202" i="1"/>
  <c r="W200" i="1"/>
  <c r="W189" i="1"/>
  <c r="W226" i="1"/>
  <c r="W191" i="1"/>
  <c r="W190" i="1"/>
  <c r="W177" i="1"/>
  <c r="W176" i="1"/>
  <c r="W162" i="1"/>
  <c r="W161" i="1"/>
  <c r="W242" i="1"/>
  <c r="W238" i="1"/>
  <c r="W237" i="1"/>
  <c r="W234" i="1"/>
  <c r="W223" i="1"/>
  <c r="W211" i="1"/>
  <c r="W209" i="1"/>
  <c r="W207" i="1"/>
  <c r="W203" i="1"/>
  <c r="W201" i="1"/>
  <c r="W193" i="1"/>
  <c r="W192" i="1"/>
  <c r="W185" i="1"/>
  <c r="W184" i="1"/>
  <c r="W179" i="1"/>
  <c r="W178" i="1"/>
  <c r="W171" i="1"/>
  <c r="W249" i="1"/>
  <c r="W163" i="1"/>
  <c r="W244" i="1"/>
  <c r="W222" i="1"/>
  <c r="W227" i="1"/>
  <c r="W187" i="1"/>
  <c r="W186" i="1"/>
  <c r="W250" i="1"/>
  <c r="W180" i="1"/>
  <c r="W173" i="1"/>
  <c r="W165" i="1"/>
  <c r="W246" i="1"/>
  <c r="W245" i="1"/>
  <c r="W240" i="1"/>
  <c r="W236" i="1"/>
  <c r="W235" i="1"/>
  <c r="W231" i="1"/>
  <c r="W220" i="1"/>
  <c r="W219" i="1"/>
  <c r="W218" i="1"/>
  <c r="W215" i="1"/>
  <c r="W157" i="1"/>
  <c r="W228" i="1"/>
  <c r="W195" i="1"/>
  <c r="W194" i="1"/>
  <c r="W229" i="1"/>
  <c r="W225" i="1"/>
  <c r="W188" i="1"/>
  <c r="W181" i="1"/>
  <c r="W251" i="1"/>
  <c r="W174" i="1"/>
  <c r="W168" i="1"/>
  <c r="W167" i="1"/>
  <c r="W248" i="1"/>
  <c r="W247" i="1"/>
  <c r="T193" i="1"/>
  <c r="U193" i="1" s="1"/>
  <c r="S193" i="1" s="1"/>
  <c r="T181" i="1"/>
  <c r="U181" i="1" s="1"/>
  <c r="S181" i="1" s="1"/>
  <c r="W214" i="1"/>
  <c r="W213" i="1"/>
  <c r="W153" i="1"/>
  <c r="W139" i="1"/>
  <c r="W127" i="1"/>
  <c r="W109" i="1"/>
  <c r="W78" i="1"/>
  <c r="W62" i="1"/>
  <c r="W158" i="1"/>
  <c r="W150" i="1"/>
  <c r="W149" i="1"/>
  <c r="T115" i="1"/>
  <c r="U115" i="1" s="1"/>
  <c r="S115" i="1" s="1"/>
  <c r="X115" i="1"/>
  <c r="T99" i="1"/>
  <c r="U99" i="1" s="1"/>
  <c r="S99" i="1" s="1"/>
  <c r="X99" i="1"/>
  <c r="T84" i="1"/>
  <c r="U84" i="1" s="1"/>
  <c r="S84" i="1" s="1"/>
  <c r="X84" i="1"/>
  <c r="T191" i="1"/>
  <c r="U191" i="1" s="1"/>
  <c r="S191" i="1" s="1"/>
  <c r="T250" i="1"/>
  <c r="U250" i="1" s="1"/>
  <c r="S250" i="1" s="1"/>
  <c r="T179" i="1"/>
  <c r="U179" i="1" s="1"/>
  <c r="S179" i="1" s="1"/>
  <c r="T177" i="1"/>
  <c r="U177" i="1" s="1"/>
  <c r="S177" i="1" s="1"/>
  <c r="T175" i="1"/>
  <c r="U175" i="1" s="1"/>
  <c r="S175" i="1" s="1"/>
  <c r="T173" i="1"/>
  <c r="U173" i="1" s="1"/>
  <c r="S173" i="1" s="1"/>
  <c r="T171" i="1"/>
  <c r="U171" i="1" s="1"/>
  <c r="S171" i="1" s="1"/>
  <c r="T170" i="1"/>
  <c r="U170" i="1" s="1"/>
  <c r="S170" i="1" s="1"/>
  <c r="T168" i="1"/>
  <c r="U168" i="1" s="1"/>
  <c r="S168" i="1" s="1"/>
  <c r="T166" i="1"/>
  <c r="U166" i="1" s="1"/>
  <c r="S166" i="1" s="1"/>
  <c r="T164" i="1"/>
  <c r="U164" i="1" s="1"/>
  <c r="S164" i="1" s="1"/>
  <c r="T162" i="1"/>
  <c r="U162" i="1" s="1"/>
  <c r="S162" i="1" s="1"/>
  <c r="T248" i="1"/>
  <c r="U248" i="1" s="1"/>
  <c r="S248" i="1" s="1"/>
  <c r="T246" i="1"/>
  <c r="U246" i="1" s="1"/>
  <c r="S246" i="1" s="1"/>
  <c r="T244" i="1"/>
  <c r="U244" i="1" s="1"/>
  <c r="S244" i="1" s="1"/>
  <c r="T242" i="1"/>
  <c r="U242" i="1" s="1"/>
  <c r="S242" i="1" s="1"/>
  <c r="T240" i="1"/>
  <c r="U240" i="1" s="1"/>
  <c r="S240" i="1" s="1"/>
  <c r="T238" i="1"/>
  <c r="U238" i="1" s="1"/>
  <c r="S238" i="1" s="1"/>
  <c r="T236" i="1"/>
  <c r="U236" i="1" s="1"/>
  <c r="S236" i="1" s="1"/>
  <c r="T234" i="1"/>
  <c r="U234" i="1" s="1"/>
  <c r="S234" i="1" s="1"/>
  <c r="T232" i="1"/>
  <c r="U232" i="1" s="1"/>
  <c r="S232" i="1" s="1"/>
  <c r="T230" i="1"/>
  <c r="U230" i="1" s="1"/>
  <c r="S230" i="1" s="1"/>
  <c r="T222" i="1"/>
  <c r="U222" i="1" s="1"/>
  <c r="S222" i="1" s="1"/>
  <c r="T220" i="1"/>
  <c r="U220" i="1" s="1"/>
  <c r="S220" i="1" s="1"/>
  <c r="W212" i="1"/>
  <c r="W156" i="1"/>
  <c r="W155" i="1"/>
  <c r="W143" i="1"/>
  <c r="W117" i="1"/>
  <c r="W101" i="1"/>
  <c r="W86" i="1"/>
  <c r="W66" i="1"/>
  <c r="W58" i="1"/>
  <c r="W52" i="1"/>
  <c r="T195" i="1"/>
  <c r="U195" i="1" s="1"/>
  <c r="S195" i="1" s="1"/>
  <c r="T189" i="1"/>
  <c r="U189" i="1" s="1"/>
  <c r="S189" i="1" s="1"/>
  <c r="T187" i="1"/>
  <c r="U187" i="1" s="1"/>
  <c r="S187" i="1" s="1"/>
  <c r="T185" i="1"/>
  <c r="U185" i="1" s="1"/>
  <c r="S185" i="1" s="1"/>
  <c r="T183" i="1"/>
  <c r="U183" i="1" s="1"/>
  <c r="S183" i="1" s="1"/>
  <c r="W216" i="1"/>
  <c r="W160" i="1"/>
  <c r="W159" i="1"/>
  <c r="W148" i="1"/>
  <c r="T123" i="1"/>
  <c r="U123" i="1" s="1"/>
  <c r="S123" i="1" s="1"/>
  <c r="X123" i="1"/>
  <c r="T107" i="1"/>
  <c r="U107" i="1" s="1"/>
  <c r="S107" i="1" s="1"/>
  <c r="X107" i="1"/>
  <c r="T92" i="1"/>
  <c r="U92" i="1" s="1"/>
  <c r="S92" i="1" s="1"/>
  <c r="X92" i="1"/>
  <c r="W142" i="1"/>
  <c r="W132" i="1"/>
  <c r="W123" i="1"/>
  <c r="T121" i="1"/>
  <c r="U121" i="1" s="1"/>
  <c r="S121" i="1" s="1"/>
  <c r="X121" i="1"/>
  <c r="W115" i="1"/>
  <c r="T113" i="1"/>
  <c r="U113" i="1" s="1"/>
  <c r="S113" i="1" s="1"/>
  <c r="X113" i="1"/>
  <c r="W107" i="1"/>
  <c r="T105" i="1"/>
  <c r="U105" i="1" s="1"/>
  <c r="S105" i="1" s="1"/>
  <c r="X105" i="1"/>
  <c r="T97" i="1"/>
  <c r="U97" i="1" s="1"/>
  <c r="X97" i="1"/>
  <c r="W92" i="1"/>
  <c r="T90" i="1"/>
  <c r="U90" i="1" s="1"/>
  <c r="S90" i="1" s="1"/>
  <c r="X90" i="1"/>
  <c r="W84" i="1"/>
  <c r="T82" i="1"/>
  <c r="U82" i="1" s="1"/>
  <c r="S82" i="1" s="1"/>
  <c r="X82" i="1"/>
  <c r="W75" i="1"/>
  <c r="W74" i="1"/>
  <c r="W68" i="1"/>
  <c r="W64" i="1"/>
  <c r="W48" i="1"/>
  <c r="W134" i="1"/>
  <c r="W129" i="1"/>
  <c r="T127" i="1"/>
  <c r="U127" i="1" s="1"/>
  <c r="S127" i="1" s="1"/>
  <c r="T117" i="1"/>
  <c r="U117" i="1" s="1"/>
  <c r="S117" i="1" s="1"/>
  <c r="X117" i="1"/>
  <c r="W111" i="1"/>
  <c r="T109" i="1"/>
  <c r="U109" i="1" s="1"/>
  <c r="S109" i="1" s="1"/>
  <c r="X109" i="1"/>
  <c r="W103" i="1"/>
  <c r="T101" i="1"/>
  <c r="U101" i="1" s="1"/>
  <c r="X101" i="1"/>
  <c r="T94" i="1"/>
  <c r="U94" i="1" s="1"/>
  <c r="S94" i="1" s="1"/>
  <c r="X94" i="1"/>
  <c r="W88" i="1"/>
  <c r="T86" i="1"/>
  <c r="U86" i="1" s="1"/>
  <c r="S86" i="1" s="1"/>
  <c r="X86" i="1"/>
  <c r="T78" i="1"/>
  <c r="U78" i="1" s="1"/>
  <c r="S78" i="1" s="1"/>
  <c r="X78" i="1"/>
  <c r="W40" i="1"/>
  <c r="W141" i="1"/>
  <c r="W131" i="1"/>
  <c r="T129" i="1"/>
  <c r="U129" i="1" s="1"/>
  <c r="S129" i="1" s="1"/>
  <c r="X129" i="1"/>
  <c r="T119" i="1"/>
  <c r="U119" i="1" s="1"/>
  <c r="X119" i="1"/>
  <c r="W113" i="1"/>
  <c r="T111" i="1"/>
  <c r="U111" i="1" s="1"/>
  <c r="S111" i="1" s="1"/>
  <c r="X111" i="1"/>
  <c r="T103" i="1"/>
  <c r="U103" i="1" s="1"/>
  <c r="S103" i="1" s="1"/>
  <c r="X103" i="1"/>
  <c r="W97" i="1"/>
  <c r="T88" i="1"/>
  <c r="U88" i="1" s="1"/>
  <c r="S88" i="1" s="1"/>
  <c r="X88" i="1"/>
  <c r="W82" i="1"/>
  <c r="T80" i="1"/>
  <c r="U80" i="1" s="1"/>
  <c r="S80" i="1" s="1"/>
  <c r="X80" i="1"/>
  <c r="W71" i="1"/>
  <c r="T27" i="1"/>
  <c r="U27" i="1" s="1"/>
  <c r="S27" i="1" s="1"/>
  <c r="X27" i="1"/>
  <c r="T130" i="1"/>
  <c r="U130" i="1" s="1"/>
  <c r="S130" i="1" s="1"/>
  <c r="X130" i="1"/>
  <c r="T128" i="1"/>
  <c r="U128" i="1" s="1"/>
  <c r="S128" i="1" s="1"/>
  <c r="X128" i="1"/>
  <c r="T124" i="1"/>
  <c r="U124" i="1" s="1"/>
  <c r="S124" i="1" s="1"/>
  <c r="X124" i="1"/>
  <c r="T122" i="1"/>
  <c r="U122" i="1" s="1"/>
  <c r="S122" i="1" s="1"/>
  <c r="X122" i="1"/>
  <c r="T120" i="1"/>
  <c r="U120" i="1" s="1"/>
  <c r="S120" i="1" s="1"/>
  <c r="X120" i="1"/>
  <c r="T118" i="1"/>
  <c r="U118" i="1" s="1"/>
  <c r="S118" i="1" s="1"/>
  <c r="X118" i="1"/>
  <c r="T116" i="1"/>
  <c r="U116" i="1" s="1"/>
  <c r="S116" i="1" s="1"/>
  <c r="X116" i="1"/>
  <c r="T114" i="1"/>
  <c r="U114" i="1" s="1"/>
  <c r="S114" i="1" s="1"/>
  <c r="X114" i="1"/>
  <c r="T112" i="1"/>
  <c r="U112" i="1" s="1"/>
  <c r="S112" i="1" s="1"/>
  <c r="X112" i="1"/>
  <c r="T110" i="1"/>
  <c r="U110" i="1" s="1"/>
  <c r="S110" i="1" s="1"/>
  <c r="X110" i="1"/>
  <c r="T108" i="1"/>
  <c r="U108" i="1" s="1"/>
  <c r="S108" i="1" s="1"/>
  <c r="X108" i="1"/>
  <c r="T106" i="1"/>
  <c r="U106" i="1" s="1"/>
  <c r="S106" i="1" s="1"/>
  <c r="X106" i="1"/>
  <c r="T104" i="1"/>
  <c r="U104" i="1" s="1"/>
  <c r="S104" i="1" s="1"/>
  <c r="X104" i="1"/>
  <c r="T102" i="1"/>
  <c r="U102" i="1" s="1"/>
  <c r="X102" i="1"/>
  <c r="T100" i="1"/>
  <c r="U100" i="1" s="1"/>
  <c r="S100" i="1" s="1"/>
  <c r="X100" i="1"/>
  <c r="T98" i="1"/>
  <c r="U98" i="1" s="1"/>
  <c r="S98" i="1" s="1"/>
  <c r="X98" i="1"/>
  <c r="T96" i="1"/>
  <c r="U96" i="1" s="1"/>
  <c r="T95" i="1"/>
  <c r="U95" i="1" s="1"/>
  <c r="S95" i="1" s="1"/>
  <c r="X95" i="1"/>
  <c r="T93" i="1"/>
  <c r="U93" i="1" s="1"/>
  <c r="S93" i="1" s="1"/>
  <c r="X93" i="1"/>
  <c r="T91" i="1"/>
  <c r="U91" i="1" s="1"/>
  <c r="S91" i="1" s="1"/>
  <c r="X91" i="1"/>
  <c r="T89" i="1"/>
  <c r="U89" i="1" s="1"/>
  <c r="S89" i="1" s="1"/>
  <c r="X89" i="1"/>
  <c r="T87" i="1"/>
  <c r="U87" i="1" s="1"/>
  <c r="S87" i="1" s="1"/>
  <c r="X87" i="1"/>
  <c r="T85" i="1"/>
  <c r="U85" i="1" s="1"/>
  <c r="S85" i="1" s="1"/>
  <c r="X85" i="1"/>
  <c r="T83" i="1"/>
  <c r="U83" i="1" s="1"/>
  <c r="S83" i="1" s="1"/>
  <c r="X83" i="1"/>
  <c r="T81" i="1"/>
  <c r="U81" i="1" s="1"/>
  <c r="S81" i="1" s="1"/>
  <c r="X81" i="1"/>
  <c r="T79" i="1"/>
  <c r="U79" i="1" s="1"/>
  <c r="S79" i="1" s="1"/>
  <c r="X79" i="1"/>
  <c r="T77" i="1"/>
  <c r="U77" i="1" s="1"/>
  <c r="S77" i="1" s="1"/>
  <c r="T76" i="1"/>
  <c r="U76" i="1" s="1"/>
  <c r="S76" i="1" s="1"/>
  <c r="X76" i="1"/>
  <c r="W54" i="1"/>
  <c r="W50" i="1"/>
  <c r="W39" i="1"/>
  <c r="X75" i="1"/>
  <c r="X74" i="1"/>
  <c r="X73" i="1"/>
  <c r="X72" i="1"/>
  <c r="T33" i="1"/>
  <c r="U33" i="1" s="1"/>
  <c r="S33" i="1" s="1"/>
  <c r="X33" i="1"/>
  <c r="T25" i="1"/>
  <c r="U25" i="1" s="1"/>
  <c r="S25" i="1" s="1"/>
  <c r="X25" i="1"/>
  <c r="W18" i="1"/>
  <c r="W36" i="1"/>
  <c r="T29" i="1"/>
  <c r="U29" i="1" s="1"/>
  <c r="S29" i="1" s="1"/>
  <c r="X29" i="1"/>
  <c r="T21" i="1"/>
  <c r="U21" i="1" s="1"/>
  <c r="S21" i="1" s="1"/>
  <c r="X21" i="1"/>
  <c r="T36" i="1"/>
  <c r="U36" i="1" s="1"/>
  <c r="S36" i="1" s="1"/>
  <c r="X36" i="1"/>
  <c r="T31" i="1"/>
  <c r="U31" i="1" s="1"/>
  <c r="S31" i="1" s="1"/>
  <c r="X31" i="1"/>
  <c r="T23" i="1"/>
  <c r="U23" i="1" s="1"/>
  <c r="S23" i="1" s="1"/>
  <c r="X23" i="1"/>
  <c r="AA33" i="1"/>
  <c r="W33" i="1" s="1"/>
  <c r="AA31" i="1"/>
  <c r="W31" i="1" s="1"/>
  <c r="AA29" i="1"/>
  <c r="W29" i="1" s="1"/>
  <c r="AA27" i="1"/>
  <c r="W27" i="1" s="1"/>
  <c r="AA25" i="1"/>
  <c r="W25" i="1" s="1"/>
  <c r="AA23" i="1"/>
  <c r="W23" i="1" s="1"/>
  <c r="AA21" i="1"/>
  <c r="W21" i="1" s="1"/>
  <c r="AA19" i="1"/>
  <c r="W19" i="1" s="1"/>
  <c r="AA15" i="1"/>
  <c r="W15" i="1" s="1"/>
  <c r="AA34" i="1"/>
  <c r="W34" i="1" s="1"/>
  <c r="AA32" i="1"/>
  <c r="W32" i="1" s="1"/>
  <c r="AA30" i="1"/>
  <c r="W30" i="1" s="1"/>
  <c r="AA28" i="1"/>
  <c r="W28" i="1" s="1"/>
  <c r="AA26" i="1"/>
  <c r="W26" i="1" s="1"/>
  <c r="AA24" i="1"/>
  <c r="W24" i="1" s="1"/>
  <c r="AA22" i="1"/>
  <c r="W22" i="1" s="1"/>
  <c r="AA17" i="1"/>
  <c r="W17" i="1" s="1"/>
  <c r="T37" i="1"/>
  <c r="U37" i="1" s="1"/>
  <c r="S37" i="1" s="1"/>
  <c r="X37" i="1"/>
  <c r="T35" i="1"/>
  <c r="U35" i="1" s="1"/>
  <c r="S35" i="1" s="1"/>
  <c r="X35" i="1"/>
  <c r="T34" i="1"/>
  <c r="U34" i="1" s="1"/>
  <c r="S34" i="1" s="1"/>
  <c r="X34" i="1"/>
  <c r="T32" i="1"/>
  <c r="U32" i="1" s="1"/>
  <c r="S32" i="1" s="1"/>
  <c r="X32" i="1"/>
  <c r="T30" i="1"/>
  <c r="U30" i="1" s="1"/>
  <c r="S30" i="1" s="1"/>
  <c r="X30" i="1"/>
  <c r="T28" i="1"/>
  <c r="U28" i="1" s="1"/>
  <c r="S28" i="1" s="1"/>
  <c r="X28" i="1"/>
  <c r="T26" i="1"/>
  <c r="U26" i="1" s="1"/>
  <c r="S26" i="1" s="1"/>
  <c r="X26" i="1"/>
  <c r="T24" i="1"/>
  <c r="U24" i="1" s="1"/>
  <c r="S24" i="1" s="1"/>
  <c r="X24" i="1"/>
  <c r="T22" i="1"/>
  <c r="U22" i="1" s="1"/>
  <c r="S22" i="1" s="1"/>
  <c r="X22" i="1"/>
  <c r="T20" i="1"/>
  <c r="U20" i="1" s="1"/>
  <c r="S20" i="1" s="1"/>
  <c r="X20" i="1"/>
  <c r="W16" i="1"/>
  <c r="X19" i="1"/>
  <c r="X18" i="1"/>
  <c r="X17" i="1"/>
  <c r="X16" i="1"/>
  <c r="X15" i="1"/>
  <c r="Y45" i="3"/>
  <c r="Y20" i="3"/>
  <c r="Y30" i="3"/>
  <c r="Y24" i="3"/>
  <c r="Y22" i="3"/>
  <c r="Y38" i="3"/>
  <c r="Y7" i="3"/>
  <c r="Y36" i="3"/>
  <c r="Y25" i="3"/>
  <c r="Y9" i="3"/>
  <c r="Y12" i="3"/>
  <c r="Y50" i="3"/>
  <c r="Y51" i="3"/>
  <c r="Y15" i="3"/>
  <c r="Y41" i="3"/>
  <c r="Y34" i="3"/>
  <c r="Y46" i="3"/>
  <c r="Y8" i="3"/>
  <c r="Y35" i="3"/>
  <c r="Y16" i="3"/>
  <c r="Y43" i="3"/>
  <c r="Y31" i="3"/>
  <c r="Y13" i="3"/>
  <c r="Y48" i="3"/>
  <c r="Y27" i="3"/>
  <c r="Y11" i="3"/>
  <c r="Y37" i="3"/>
  <c r="Y32" i="3"/>
  <c r="Y21" i="3"/>
  <c r="Y17" i="3"/>
  <c r="Y44" i="3"/>
  <c r="Y39" i="3"/>
  <c r="Y14" i="3"/>
  <c r="Y28" i="3"/>
  <c r="Y18" i="3"/>
  <c r="Y26" i="3"/>
  <c r="Y29" i="3"/>
  <c r="Y23" i="3"/>
  <c r="Y10" i="3"/>
  <c r="Y19" i="3"/>
  <c r="Y33" i="3"/>
  <c r="Y42" i="3"/>
  <c r="Y40" i="3"/>
  <c r="Y49" i="3"/>
  <c r="M30" i="5"/>
  <c r="M29" i="5"/>
  <c r="M28" i="5"/>
  <c r="M27" i="5"/>
  <c r="M26" i="5"/>
  <c r="AH138" i="1" l="1"/>
  <c r="AH16" i="1"/>
  <c r="AH20" i="1"/>
  <c r="AH24" i="1"/>
  <c r="AH28" i="1"/>
  <c r="AH32" i="1"/>
  <c r="AH36" i="1"/>
  <c r="AH40" i="1"/>
  <c r="AH154" i="1"/>
  <c r="AH15" i="1"/>
  <c r="AH19" i="1"/>
  <c r="AH23" i="1"/>
  <c r="AH27" i="1"/>
  <c r="AH31" i="1"/>
  <c r="AH35" i="1"/>
  <c r="AH39" i="1"/>
  <c r="AH43" i="1"/>
  <c r="AH152" i="1"/>
  <c r="AH126" i="1"/>
  <c r="AH17" i="1"/>
  <c r="AH21" i="1"/>
  <c r="AH25" i="1"/>
  <c r="AH29" i="1"/>
  <c r="AH33" i="1"/>
  <c r="AH37" i="1"/>
  <c r="AH41" i="1"/>
  <c r="AH45" i="1"/>
  <c r="AH49" i="1"/>
  <c r="AH54" i="1"/>
  <c r="AH125" i="1"/>
  <c r="AH42" i="1"/>
  <c r="AH44" i="1"/>
  <c r="AH52" i="1"/>
  <c r="AH55" i="1"/>
  <c r="AH58" i="1"/>
  <c r="AH61" i="1"/>
  <c r="AH65" i="1"/>
  <c r="AH69" i="1"/>
  <c r="AH73" i="1"/>
  <c r="AH77" i="1"/>
  <c r="AH81" i="1"/>
  <c r="AH85" i="1"/>
  <c r="AH136" i="1"/>
  <c r="AH14" i="1"/>
  <c r="AH22" i="1"/>
  <c r="AH30" i="1"/>
  <c r="AH38" i="1"/>
  <c r="AH47" i="1"/>
  <c r="AH50" i="1"/>
  <c r="AH53" i="1"/>
  <c r="AH60" i="1"/>
  <c r="AH64" i="1"/>
  <c r="AH68" i="1"/>
  <c r="AH72" i="1"/>
  <c r="AH76" i="1"/>
  <c r="AH80" i="1"/>
  <c r="AH84" i="1"/>
  <c r="AH18" i="1"/>
  <c r="AH26" i="1"/>
  <c r="AH34" i="1"/>
  <c r="AH46" i="1"/>
  <c r="AH51" i="1"/>
  <c r="AH57" i="1"/>
  <c r="AH62" i="1"/>
  <c r="AH66" i="1"/>
  <c r="AH70" i="1"/>
  <c r="AH74" i="1"/>
  <c r="AH78" i="1"/>
  <c r="AH82" i="1"/>
  <c r="AH86" i="1"/>
  <c r="AH89" i="1"/>
  <c r="AH95" i="1"/>
  <c r="AH99" i="1"/>
  <c r="AH103" i="1"/>
  <c r="AH107" i="1"/>
  <c r="AH111" i="1"/>
  <c r="AH115" i="1"/>
  <c r="AH119" i="1"/>
  <c r="AH123" i="1"/>
  <c r="AH129" i="1"/>
  <c r="AH48" i="1"/>
  <c r="AH59" i="1"/>
  <c r="AH67" i="1"/>
  <c r="AH75" i="1"/>
  <c r="AH83" i="1"/>
  <c r="AH98" i="1"/>
  <c r="AH106" i="1"/>
  <c r="AH114" i="1"/>
  <c r="AH122" i="1"/>
  <c r="AH131" i="1"/>
  <c r="AH135" i="1"/>
  <c r="AH142" i="1"/>
  <c r="AH56" i="1"/>
  <c r="AH90" i="1"/>
  <c r="AH93" i="1"/>
  <c r="AH96" i="1"/>
  <c r="AH101" i="1"/>
  <c r="AH104" i="1"/>
  <c r="AH109" i="1"/>
  <c r="AH91" i="1"/>
  <c r="AH97" i="1"/>
  <c r="AH100" i="1"/>
  <c r="AH105" i="1"/>
  <c r="AH108" i="1"/>
  <c r="AH113" i="1"/>
  <c r="AH116" i="1"/>
  <c r="AH121" i="1"/>
  <c r="AH124" i="1"/>
  <c r="AH132" i="1"/>
  <c r="AH88" i="1"/>
  <c r="AH118" i="1"/>
  <c r="AH137" i="1"/>
  <c r="AH141" i="1"/>
  <c r="AH146" i="1"/>
  <c r="AH151" i="1"/>
  <c r="AH157" i="1"/>
  <c r="AH161" i="1"/>
  <c r="AH165" i="1"/>
  <c r="AH169" i="1"/>
  <c r="AH173" i="1"/>
  <c r="AH177" i="1"/>
  <c r="AH181" i="1"/>
  <c r="AH185" i="1"/>
  <c r="AH189" i="1"/>
  <c r="AH193" i="1"/>
  <c r="AH197" i="1"/>
  <c r="AH201" i="1"/>
  <c r="AH205" i="1"/>
  <c r="AH209" i="1"/>
  <c r="AH213" i="1"/>
  <c r="AH92" i="1"/>
  <c r="AH112" i="1"/>
  <c r="AH117" i="1"/>
  <c r="AH130" i="1"/>
  <c r="AH133" i="1"/>
  <c r="AH134" i="1"/>
  <c r="AH144" i="1"/>
  <c r="AH149" i="1"/>
  <c r="AH150" i="1"/>
  <c r="AH156" i="1"/>
  <c r="AH160" i="1"/>
  <c r="AH164" i="1"/>
  <c r="AH168" i="1"/>
  <c r="AH172" i="1"/>
  <c r="AH176" i="1"/>
  <c r="AH180" i="1"/>
  <c r="AH184" i="1"/>
  <c r="AH188" i="1"/>
  <c r="AH192" i="1"/>
  <c r="AH196" i="1"/>
  <c r="AH200" i="1"/>
  <c r="AH204" i="1"/>
  <c r="AH208" i="1"/>
  <c r="AH212" i="1"/>
  <c r="AH216" i="1"/>
  <c r="AH220" i="1"/>
  <c r="AH224" i="1"/>
  <c r="AH228" i="1"/>
  <c r="AH232" i="1"/>
  <c r="AH236" i="1"/>
  <c r="AH120" i="1"/>
  <c r="AH127" i="1"/>
  <c r="AH140" i="1"/>
  <c r="AH143" i="1"/>
  <c r="AH147" i="1"/>
  <c r="AH153" i="1"/>
  <c r="AH158" i="1"/>
  <c r="AH162" i="1"/>
  <c r="AH166" i="1"/>
  <c r="AH170" i="1"/>
  <c r="AH174" i="1"/>
  <c r="AH178" i="1"/>
  <c r="AH182" i="1"/>
  <c r="AH186" i="1"/>
  <c r="AH190" i="1"/>
  <c r="AH194" i="1"/>
  <c r="AH198" i="1"/>
  <c r="AH202" i="1"/>
  <c r="AH206" i="1"/>
  <c r="AH210" i="1"/>
  <c r="AH214" i="1"/>
  <c r="AH218" i="1"/>
  <c r="AH222" i="1"/>
  <c r="AH226" i="1"/>
  <c r="AH230" i="1"/>
  <c r="AH234" i="1"/>
  <c r="AH238" i="1"/>
  <c r="AH63" i="1"/>
  <c r="AH79" i="1"/>
  <c r="AH148" i="1"/>
  <c r="AH155" i="1"/>
  <c r="AH163" i="1"/>
  <c r="AH171" i="1"/>
  <c r="AH179" i="1"/>
  <c r="AH187" i="1"/>
  <c r="AH195" i="1"/>
  <c r="AH203" i="1"/>
  <c r="AH211" i="1"/>
  <c r="AH239" i="1"/>
  <c r="AH243" i="1"/>
  <c r="AH247" i="1"/>
  <c r="AH251" i="1"/>
  <c r="AH94" i="1"/>
  <c r="AH110" i="1"/>
  <c r="AH102" i="1"/>
  <c r="AH128" i="1"/>
  <c r="AH139" i="1"/>
  <c r="AH145" i="1"/>
  <c r="AH215" i="1"/>
  <c r="AH217" i="1"/>
  <c r="AH219" i="1"/>
  <c r="AH221" i="1"/>
  <c r="AH223" i="1"/>
  <c r="AH225" i="1"/>
  <c r="AH227" i="1"/>
  <c r="AH229" i="1"/>
  <c r="AH231" i="1"/>
  <c r="AH233" i="1"/>
  <c r="AH235" i="1"/>
  <c r="AH237" i="1"/>
  <c r="AH240" i="1"/>
  <c r="AH244" i="1"/>
  <c r="AH248" i="1"/>
  <c r="AH71" i="1"/>
  <c r="AH199" i="1"/>
  <c r="AH159" i="1"/>
  <c r="AH191" i="1"/>
  <c r="AH246" i="1"/>
  <c r="AH87" i="1"/>
  <c r="AH175" i="1"/>
  <c r="AH242" i="1"/>
  <c r="AH250" i="1"/>
  <c r="AH167" i="1"/>
  <c r="AH183" i="1"/>
  <c r="AH207" i="1"/>
  <c r="AH241" i="1"/>
  <c r="AH245" i="1"/>
  <c r="AH249" i="1"/>
  <c r="S101" i="1"/>
  <c r="S65" i="1"/>
  <c r="S96" i="1"/>
  <c r="R47" i="3"/>
  <c r="M47" i="3"/>
  <c r="U47" i="3"/>
  <c r="X47" i="3"/>
  <c r="B3" i="6" l="1"/>
  <c r="W47" i="3"/>
  <c r="Y47" i="3" l="1"/>
  <c r="B5" i="6"/>
  <c r="B4" i="6" l="1"/>
  <c r="H3" i="4" l="1"/>
  <c r="H4" i="4"/>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D4" i="6" s="1"/>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 i="4"/>
  <c r="G261" i="4" l="1"/>
  <c r="L159" i="1" s="1"/>
  <c r="G262" i="4"/>
  <c r="L156" i="1" s="1"/>
  <c r="G263" i="4"/>
  <c r="L223" i="1" s="1"/>
  <c r="G264" i="4"/>
  <c r="L158" i="1" s="1"/>
  <c r="G265" i="4"/>
  <c r="L217" i="1" s="1"/>
  <c r="G266" i="4"/>
  <c r="L160" i="1" s="1"/>
  <c r="G267" i="4"/>
  <c r="L219" i="1" s="1"/>
  <c r="G268" i="4"/>
  <c r="L221" i="1" s="1"/>
  <c r="G269" i="4"/>
  <c r="G270" i="4"/>
  <c r="G271" i="4"/>
  <c r="G272" i="4"/>
  <c r="G273" i="4"/>
  <c r="G250" i="4" l="1"/>
  <c r="L151" i="1" s="1"/>
  <c r="G251" i="4"/>
  <c r="L148" i="1" s="1"/>
  <c r="G252" i="4"/>
  <c r="L208" i="1" s="1"/>
  <c r="G253" i="4"/>
  <c r="L150" i="1" s="1"/>
  <c r="G254" i="4"/>
  <c r="L153" i="1" s="1"/>
  <c r="G255" i="4"/>
  <c r="L210" i="1" s="1"/>
  <c r="G256" i="4"/>
  <c r="L155" i="1" s="1"/>
  <c r="G257" i="4"/>
  <c r="L152" i="1" s="1"/>
  <c r="G258" i="4"/>
  <c r="L229" i="1" s="1"/>
  <c r="G259" i="4"/>
  <c r="L157" i="1" s="1"/>
  <c r="G260" i="4"/>
  <c r="L154" i="1" s="1"/>
  <c r="N45" i="3" l="1"/>
  <c r="G224" i="4"/>
  <c r="L137" i="1" s="1"/>
  <c r="G225" i="4"/>
  <c r="L203" i="1" s="1"/>
  <c r="G226" i="4"/>
  <c r="L213" i="1" s="1"/>
  <c r="G227" i="4"/>
  <c r="L136" i="1" s="1"/>
  <c r="G228" i="4"/>
  <c r="L202" i="1" s="1"/>
  <c r="G229" i="4"/>
  <c r="L139" i="1" s="1"/>
  <c r="G230" i="4"/>
  <c r="L215" i="1" s="1"/>
  <c r="G231" i="4"/>
  <c r="G232" i="4"/>
  <c r="G233" i="4"/>
  <c r="G234" i="4"/>
  <c r="L138" i="1" s="1"/>
  <c r="G235" i="4"/>
  <c r="G236" i="4"/>
  <c r="L141" i="1" s="1"/>
  <c r="G237" i="4"/>
  <c r="L205" i="1" s="1"/>
  <c r="G238" i="4"/>
  <c r="L143" i="1" s="1"/>
  <c r="G239" i="4"/>
  <c r="L140" i="1" s="1"/>
  <c r="G240" i="4"/>
  <c r="L204" i="1" s="1"/>
  <c r="G241" i="4"/>
  <c r="L142" i="1" s="1"/>
  <c r="G242" i="4"/>
  <c r="L145" i="1" s="1"/>
  <c r="G243" i="4"/>
  <c r="L207" i="1" s="1"/>
  <c r="G244" i="4"/>
  <c r="L147" i="1" s="1"/>
  <c r="G245" i="4"/>
  <c r="L144" i="1" s="1"/>
  <c r="G246" i="4"/>
  <c r="L206" i="1" s="1"/>
  <c r="G247" i="4"/>
  <c r="L149" i="1" s="1"/>
  <c r="G248" i="4"/>
  <c r="L146" i="1" s="1"/>
  <c r="G249" i="4"/>
  <c r="L209" i="1" s="1"/>
  <c r="N31" i="3" l="1"/>
  <c r="K13" i="1"/>
  <c r="M13" i="1"/>
  <c r="N13" i="1" s="1"/>
  <c r="Y13" i="1"/>
  <c r="Z13" i="1"/>
  <c r="AB13" i="1"/>
  <c r="AC13" i="1"/>
  <c r="AD13" i="1"/>
  <c r="X14" i="1" s="1"/>
  <c r="AE13" i="1"/>
  <c r="AM13" i="1"/>
  <c r="AG13" i="1"/>
  <c r="AI13" i="1" l="1"/>
  <c r="AA13" i="1"/>
  <c r="W13" i="1" s="1"/>
  <c r="T13" i="1"/>
  <c r="U13" i="1" s="1"/>
  <c r="S13" i="1" s="1"/>
  <c r="X13" i="1"/>
  <c r="O2" i="3" l="1"/>
  <c r="M23" i="5" l="1"/>
  <c r="AO154" i="1" l="1"/>
  <c r="V152" i="1"/>
  <c r="AN136" i="1"/>
  <c r="AN125" i="1"/>
  <c r="AN14" i="1"/>
  <c r="AO15" i="1"/>
  <c r="V16" i="1"/>
  <c r="AN18" i="1"/>
  <c r="AO19" i="1"/>
  <c r="V20" i="1"/>
  <c r="AN22" i="1"/>
  <c r="AO23" i="1"/>
  <c r="V24" i="1"/>
  <c r="AN26" i="1"/>
  <c r="AO27" i="1"/>
  <c r="V28" i="1"/>
  <c r="AN30" i="1"/>
  <c r="AO31" i="1"/>
  <c r="V32" i="1"/>
  <c r="S16" i="3" s="1"/>
  <c r="AN34" i="1"/>
  <c r="AO35" i="1"/>
  <c r="V36" i="1"/>
  <c r="AN38" i="1"/>
  <c r="AO39" i="1"/>
  <c r="V40" i="1"/>
  <c r="AN152" i="1"/>
  <c r="V138" i="1"/>
  <c r="AO136" i="1"/>
  <c r="AO125" i="1"/>
  <c r="AN126" i="1"/>
  <c r="AO14" i="1"/>
  <c r="V15" i="1"/>
  <c r="AN17" i="1"/>
  <c r="AO18" i="1"/>
  <c r="V19" i="1"/>
  <c r="AN21" i="1"/>
  <c r="AO22" i="1"/>
  <c r="V23" i="1"/>
  <c r="AN25" i="1"/>
  <c r="AO26" i="1"/>
  <c r="V27" i="1"/>
  <c r="AN29" i="1"/>
  <c r="AO30" i="1"/>
  <c r="V31" i="1"/>
  <c r="AN33" i="1"/>
  <c r="AO34" i="1"/>
  <c r="V35" i="1"/>
  <c r="AN37" i="1"/>
  <c r="AO38" i="1"/>
  <c r="V39" i="1"/>
  <c r="AN41" i="1"/>
  <c r="AO42" i="1"/>
  <c r="V43" i="1"/>
  <c r="AN154" i="1"/>
  <c r="AO138" i="1"/>
  <c r="V136" i="1"/>
  <c r="AN15" i="1"/>
  <c r="AO16" i="1"/>
  <c r="V17" i="1"/>
  <c r="AN19" i="1"/>
  <c r="AO20" i="1"/>
  <c r="V21" i="1"/>
  <c r="AN23" i="1"/>
  <c r="AO24" i="1"/>
  <c r="V25" i="1"/>
  <c r="AN27" i="1"/>
  <c r="AO28" i="1"/>
  <c r="V29" i="1"/>
  <c r="AN31" i="1"/>
  <c r="AO32" i="1"/>
  <c r="V33" i="1"/>
  <c r="AN35" i="1"/>
  <c r="AO36" i="1"/>
  <c r="V37" i="1"/>
  <c r="AN39" i="1"/>
  <c r="AO40" i="1"/>
  <c r="V41" i="1"/>
  <c r="AN43" i="1"/>
  <c r="AO44" i="1"/>
  <c r="V45" i="1"/>
  <c r="AN47" i="1"/>
  <c r="AO48" i="1"/>
  <c r="V49" i="1"/>
  <c r="AN51" i="1"/>
  <c r="AO52" i="1"/>
  <c r="AO53" i="1"/>
  <c r="V54" i="1"/>
  <c r="AN56" i="1"/>
  <c r="AO57" i="1"/>
  <c r="AO58" i="1"/>
  <c r="AO152" i="1"/>
  <c r="V126" i="1"/>
  <c r="S28" i="3" s="1"/>
  <c r="V18" i="1"/>
  <c r="AN20" i="1"/>
  <c r="V26" i="1"/>
  <c r="AN28" i="1"/>
  <c r="V34" i="1"/>
  <c r="AN36" i="1"/>
  <c r="AN48" i="1"/>
  <c r="AN49" i="1"/>
  <c r="AO50" i="1"/>
  <c r="AO54" i="1"/>
  <c r="V55" i="1"/>
  <c r="AO56" i="1"/>
  <c r="V57" i="1"/>
  <c r="AN59" i="1"/>
  <c r="AO60" i="1"/>
  <c r="V61" i="1"/>
  <c r="AN63" i="1"/>
  <c r="AO64" i="1"/>
  <c r="V65" i="1"/>
  <c r="AN67" i="1"/>
  <c r="AO68" i="1"/>
  <c r="V69" i="1"/>
  <c r="AN71" i="1"/>
  <c r="AO72" i="1"/>
  <c r="V73" i="1"/>
  <c r="AN75" i="1"/>
  <c r="AO76" i="1"/>
  <c r="V77" i="1"/>
  <c r="AN79" i="1"/>
  <c r="AO80" i="1"/>
  <c r="V81" i="1"/>
  <c r="AN83" i="1"/>
  <c r="AO84" i="1"/>
  <c r="V85" i="1"/>
  <c r="S27" i="3" s="1"/>
  <c r="AN138" i="1"/>
  <c r="AO17" i="1"/>
  <c r="AO25" i="1"/>
  <c r="AO33" i="1"/>
  <c r="AO41" i="1"/>
  <c r="V42" i="1"/>
  <c r="AO43" i="1"/>
  <c r="V44" i="1"/>
  <c r="AN46" i="1"/>
  <c r="V47" i="1"/>
  <c r="AO49" i="1"/>
  <c r="V50" i="1"/>
  <c r="S21" i="3" s="1"/>
  <c r="AO51" i="1"/>
  <c r="V52" i="1"/>
  <c r="AN57" i="1"/>
  <c r="V58" i="1"/>
  <c r="AO59" i="1"/>
  <c r="V60" i="1"/>
  <c r="AN62" i="1"/>
  <c r="AO63" i="1"/>
  <c r="V64" i="1"/>
  <c r="AN66" i="1"/>
  <c r="AO67" i="1"/>
  <c r="V68" i="1"/>
  <c r="AN70" i="1"/>
  <c r="AO71" i="1"/>
  <c r="V72" i="1"/>
  <c r="AN74" i="1"/>
  <c r="AO75" i="1"/>
  <c r="V76" i="1"/>
  <c r="S22" i="3" s="1"/>
  <c r="AN78" i="1"/>
  <c r="AO79" i="1"/>
  <c r="V80" i="1"/>
  <c r="AN82" i="1"/>
  <c r="AO83" i="1"/>
  <c r="V84" i="1"/>
  <c r="AN86" i="1"/>
  <c r="AO87" i="1"/>
  <c r="V88" i="1"/>
  <c r="V154" i="1"/>
  <c r="AO21" i="1"/>
  <c r="AO29" i="1"/>
  <c r="AO37" i="1"/>
  <c r="AO45" i="1"/>
  <c r="V46" i="1"/>
  <c r="S17" i="3" s="1"/>
  <c r="AO47" i="1"/>
  <c r="V48" i="1"/>
  <c r="AN50" i="1"/>
  <c r="V51" i="1"/>
  <c r="AN53" i="1"/>
  <c r="AN54" i="1"/>
  <c r="AO55" i="1"/>
  <c r="AN60" i="1"/>
  <c r="AO61" i="1"/>
  <c r="V62" i="1"/>
  <c r="AN64" i="1"/>
  <c r="AO65" i="1"/>
  <c r="V66" i="1"/>
  <c r="AN68" i="1"/>
  <c r="AO69" i="1"/>
  <c r="V70" i="1"/>
  <c r="AN72" i="1"/>
  <c r="AO73" i="1"/>
  <c r="V74" i="1"/>
  <c r="AN76" i="1"/>
  <c r="AO77" i="1"/>
  <c r="V78" i="1"/>
  <c r="AN80" i="1"/>
  <c r="AO81" i="1"/>
  <c r="V82" i="1"/>
  <c r="S10" i="3" s="1"/>
  <c r="AN84" i="1"/>
  <c r="AO85" i="1"/>
  <c r="V86" i="1"/>
  <c r="AN88" i="1"/>
  <c r="AN91" i="1"/>
  <c r="AN92" i="1"/>
  <c r="AN93" i="1"/>
  <c r="AO94" i="1"/>
  <c r="V95" i="1"/>
  <c r="AN97" i="1"/>
  <c r="AO98" i="1"/>
  <c r="V99" i="1"/>
  <c r="AN101" i="1"/>
  <c r="AO102" i="1"/>
  <c r="V103" i="1"/>
  <c r="S18" i="3" s="1"/>
  <c r="AN105" i="1"/>
  <c r="AO106" i="1"/>
  <c r="V107" i="1"/>
  <c r="AN109" i="1"/>
  <c r="AO110" i="1"/>
  <c r="V111" i="1"/>
  <c r="AN113" i="1"/>
  <c r="AO114" i="1"/>
  <c r="V115" i="1"/>
  <c r="AN117" i="1"/>
  <c r="AO118" i="1"/>
  <c r="V119" i="1"/>
  <c r="AN121" i="1"/>
  <c r="AO122" i="1"/>
  <c r="V123" i="1"/>
  <c r="AN127" i="1"/>
  <c r="AO128" i="1"/>
  <c r="V129" i="1"/>
  <c r="AO126" i="1"/>
  <c r="V53" i="1"/>
  <c r="AO62" i="1"/>
  <c r="AO70" i="1"/>
  <c r="AO78" i="1"/>
  <c r="AO86" i="1"/>
  <c r="AN87" i="1"/>
  <c r="AO88" i="1"/>
  <c r="V89" i="1"/>
  <c r="AN89" i="1"/>
  <c r="AO90" i="1"/>
  <c r="AO92" i="1"/>
  <c r="AN94" i="1"/>
  <c r="AN95" i="1"/>
  <c r="AO96" i="1"/>
  <c r="AN102" i="1"/>
  <c r="AN103" i="1"/>
  <c r="AO104" i="1"/>
  <c r="AN110" i="1"/>
  <c r="AN111" i="1"/>
  <c r="AO112" i="1"/>
  <c r="AN118" i="1"/>
  <c r="AN119" i="1"/>
  <c r="AO120" i="1"/>
  <c r="AN128" i="1"/>
  <c r="AN129" i="1"/>
  <c r="AO130" i="1"/>
  <c r="V131" i="1"/>
  <c r="AN133" i="1"/>
  <c r="AO134" i="1"/>
  <c r="V135" i="1"/>
  <c r="AN139" i="1"/>
  <c r="AO140" i="1"/>
  <c r="AO141" i="1"/>
  <c r="V142" i="1"/>
  <c r="AN144" i="1"/>
  <c r="AO145" i="1"/>
  <c r="AN16" i="1"/>
  <c r="V22" i="1"/>
  <c r="AN32" i="1"/>
  <c r="V38" i="1"/>
  <c r="AN44" i="1"/>
  <c r="AN52" i="1"/>
  <c r="V59" i="1"/>
  <c r="AN61" i="1"/>
  <c r="V67" i="1"/>
  <c r="AN69" i="1"/>
  <c r="V75" i="1"/>
  <c r="AN77" i="1"/>
  <c r="V83" i="1"/>
  <c r="AN85" i="1"/>
  <c r="AO89" i="1"/>
  <c r="V90" i="1"/>
  <c r="AO91" i="1"/>
  <c r="V93" i="1"/>
  <c r="AO95" i="1"/>
  <c r="V96" i="1"/>
  <c r="S24" i="3" s="1"/>
  <c r="AO97" i="1"/>
  <c r="V98" i="1"/>
  <c r="AN100" i="1"/>
  <c r="V101" i="1"/>
  <c r="AO103" i="1"/>
  <c r="V104" i="1"/>
  <c r="AO105" i="1"/>
  <c r="V106" i="1"/>
  <c r="AN108" i="1"/>
  <c r="V109" i="1"/>
  <c r="V125" i="1"/>
  <c r="V14" i="1"/>
  <c r="AN24" i="1"/>
  <c r="V30" i="1"/>
  <c r="AN40" i="1"/>
  <c r="AN45" i="1"/>
  <c r="AN55" i="1"/>
  <c r="V63" i="1"/>
  <c r="S19" i="3" s="1"/>
  <c r="AN65" i="1"/>
  <c r="V71" i="1"/>
  <c r="AN73" i="1"/>
  <c r="V79" i="1"/>
  <c r="S12" i="3" s="1"/>
  <c r="AN81" i="1"/>
  <c r="V87" i="1"/>
  <c r="AN90" i="1"/>
  <c r="V91" i="1"/>
  <c r="AO93" i="1"/>
  <c r="V94" i="1"/>
  <c r="AN96" i="1"/>
  <c r="V97" i="1"/>
  <c r="AO99" i="1"/>
  <c r="V100" i="1"/>
  <c r="AO101" i="1"/>
  <c r="V102" i="1"/>
  <c r="AN104" i="1"/>
  <c r="V105" i="1"/>
  <c r="AO107" i="1"/>
  <c r="V108" i="1"/>
  <c r="S30" i="3" s="1"/>
  <c r="AO109" i="1"/>
  <c r="V110" i="1"/>
  <c r="AN112" i="1"/>
  <c r="V113" i="1"/>
  <c r="AO115" i="1"/>
  <c r="V116" i="1"/>
  <c r="S20" i="3" s="1"/>
  <c r="AO117" i="1"/>
  <c r="V118" i="1"/>
  <c r="S13" i="3" s="1"/>
  <c r="AN120" i="1"/>
  <c r="V121" i="1"/>
  <c r="AO123" i="1"/>
  <c r="V124" i="1"/>
  <c r="AO127" i="1"/>
  <c r="V128" i="1"/>
  <c r="AN130" i="1"/>
  <c r="AO131" i="1"/>
  <c r="V132" i="1"/>
  <c r="AO46" i="1"/>
  <c r="AN58" i="1"/>
  <c r="AO66" i="1"/>
  <c r="AO74" i="1"/>
  <c r="AO82" i="1"/>
  <c r="AO100" i="1"/>
  <c r="AO108" i="1"/>
  <c r="V114" i="1"/>
  <c r="AN114" i="1"/>
  <c r="V120" i="1"/>
  <c r="AN123" i="1"/>
  <c r="AN124" i="1"/>
  <c r="V127" i="1"/>
  <c r="AO135" i="1"/>
  <c r="V137" i="1"/>
  <c r="AO139" i="1"/>
  <c r="V140" i="1"/>
  <c r="AN145" i="1"/>
  <c r="V146" i="1"/>
  <c r="AN148" i="1"/>
  <c r="AO149" i="1"/>
  <c r="V150" i="1"/>
  <c r="AO150" i="1"/>
  <c r="V151" i="1"/>
  <c r="AN155" i="1"/>
  <c r="AO156" i="1"/>
  <c r="V157" i="1"/>
  <c r="AN159" i="1"/>
  <c r="AO160" i="1"/>
  <c r="V211" i="1"/>
  <c r="AN163" i="1"/>
  <c r="AO164" i="1"/>
  <c r="V215" i="1"/>
  <c r="AN167" i="1"/>
  <c r="AO168" i="1"/>
  <c r="V219" i="1"/>
  <c r="AN171" i="1"/>
  <c r="AO172" i="1"/>
  <c r="V223" i="1"/>
  <c r="AN175" i="1"/>
  <c r="AO176" i="1"/>
  <c r="V233" i="1"/>
  <c r="AN179" i="1"/>
  <c r="AO180" i="1"/>
  <c r="V237" i="1"/>
  <c r="AN183" i="1"/>
  <c r="AO184" i="1"/>
  <c r="V241" i="1"/>
  <c r="AN187" i="1"/>
  <c r="AO188" i="1"/>
  <c r="V245" i="1"/>
  <c r="AN191" i="1"/>
  <c r="AO192" i="1"/>
  <c r="V161" i="1"/>
  <c r="S39" i="3" s="1"/>
  <c r="AN195" i="1"/>
  <c r="AO196" i="1"/>
  <c r="V165" i="1"/>
  <c r="S40" i="3" s="1"/>
  <c r="AN199" i="1"/>
  <c r="AO200" i="1"/>
  <c r="V169" i="1"/>
  <c r="AN203" i="1"/>
  <c r="AO204" i="1"/>
  <c r="V172" i="1"/>
  <c r="AN207" i="1"/>
  <c r="AO208" i="1"/>
  <c r="V176" i="1"/>
  <c r="AN211" i="1"/>
  <c r="AO212" i="1"/>
  <c r="V180" i="1"/>
  <c r="AN99" i="1"/>
  <c r="AN107" i="1"/>
  <c r="AO113" i="1"/>
  <c r="AO119" i="1"/>
  <c r="AO124" i="1"/>
  <c r="AN131" i="1"/>
  <c r="AN132" i="1"/>
  <c r="V133" i="1"/>
  <c r="AN140" i="1"/>
  <c r="V141" i="1"/>
  <c r="S31" i="3" s="1"/>
  <c r="AN143" i="1"/>
  <c r="V144" i="1"/>
  <c r="AN147" i="1"/>
  <c r="AO148" i="1"/>
  <c r="V149" i="1"/>
  <c r="AN153" i="1"/>
  <c r="AO155" i="1"/>
  <c r="V156" i="1"/>
  <c r="AN158" i="1"/>
  <c r="AO159" i="1"/>
  <c r="V160" i="1"/>
  <c r="AN162" i="1"/>
  <c r="AO163" i="1"/>
  <c r="V214" i="1"/>
  <c r="AN166" i="1"/>
  <c r="AO167" i="1"/>
  <c r="V218" i="1"/>
  <c r="S46" i="3" s="1"/>
  <c r="AN170" i="1"/>
  <c r="AO171" i="1"/>
  <c r="V222" i="1"/>
  <c r="AN174" i="1"/>
  <c r="AO175" i="1"/>
  <c r="V232" i="1"/>
  <c r="AN178" i="1"/>
  <c r="AO179" i="1"/>
  <c r="V236" i="1"/>
  <c r="AN182" i="1"/>
  <c r="AO183" i="1"/>
  <c r="V240" i="1"/>
  <c r="AN186" i="1"/>
  <c r="AO187" i="1"/>
  <c r="V244" i="1"/>
  <c r="AN190" i="1"/>
  <c r="AO191" i="1"/>
  <c r="V248" i="1"/>
  <c r="AN194" i="1"/>
  <c r="AO195" i="1"/>
  <c r="V164" i="1"/>
  <c r="AN198" i="1"/>
  <c r="AO199" i="1"/>
  <c r="V168" i="1"/>
  <c r="AN202" i="1"/>
  <c r="AO203" i="1"/>
  <c r="V171" i="1"/>
  <c r="AN206" i="1"/>
  <c r="AO207" i="1"/>
  <c r="V175" i="1"/>
  <c r="S38" i="3" s="1"/>
  <c r="AN210" i="1"/>
  <c r="AO211" i="1"/>
  <c r="V179" i="1"/>
  <c r="AN214" i="1"/>
  <c r="AO215" i="1"/>
  <c r="V181" i="1"/>
  <c r="AN218" i="1"/>
  <c r="AO219" i="1"/>
  <c r="V185" i="1"/>
  <c r="AN222" i="1"/>
  <c r="AO223" i="1"/>
  <c r="V189" i="1"/>
  <c r="AN226" i="1"/>
  <c r="AO227" i="1"/>
  <c r="V193" i="1"/>
  <c r="AN230" i="1"/>
  <c r="AO231" i="1"/>
  <c r="V197" i="1"/>
  <c r="AN234" i="1"/>
  <c r="AO235" i="1"/>
  <c r="V201" i="1"/>
  <c r="AN238" i="1"/>
  <c r="AN42" i="1"/>
  <c r="AN98" i="1"/>
  <c r="AN106" i="1"/>
  <c r="AO111" i="1"/>
  <c r="AO116" i="1"/>
  <c r="AO121" i="1"/>
  <c r="AO129" i="1"/>
  <c r="AO133" i="1"/>
  <c r="AN134" i="1"/>
  <c r="AN135" i="1"/>
  <c r="AO137" i="1"/>
  <c r="AO142" i="1"/>
  <c r="V143" i="1"/>
  <c r="AO144" i="1"/>
  <c r="V145" i="1"/>
  <c r="AO146" i="1"/>
  <c r="V147" i="1"/>
  <c r="AN149" i="1"/>
  <c r="AN150" i="1"/>
  <c r="AO151" i="1"/>
  <c r="V153" i="1"/>
  <c r="AN156" i="1"/>
  <c r="AO157" i="1"/>
  <c r="V158" i="1"/>
  <c r="AN160" i="1"/>
  <c r="AO161" i="1"/>
  <c r="V212" i="1"/>
  <c r="AN164" i="1"/>
  <c r="AO165" i="1"/>
  <c r="V216" i="1"/>
  <c r="AN168" i="1"/>
  <c r="AO169" i="1"/>
  <c r="V220" i="1"/>
  <c r="AN172" i="1"/>
  <c r="AO173" i="1"/>
  <c r="V230" i="1"/>
  <c r="S51" i="3" s="1"/>
  <c r="AN176" i="1"/>
  <c r="AO177" i="1"/>
  <c r="V234" i="1"/>
  <c r="S50" i="3" s="1"/>
  <c r="AN180" i="1"/>
  <c r="AO181" i="1"/>
  <c r="V238" i="1"/>
  <c r="AN184" i="1"/>
  <c r="AO185" i="1"/>
  <c r="V242" i="1"/>
  <c r="AN188" i="1"/>
  <c r="AO189" i="1"/>
  <c r="V246" i="1"/>
  <c r="AN192" i="1"/>
  <c r="AO193" i="1"/>
  <c r="V162" i="1"/>
  <c r="S43" i="3" s="1"/>
  <c r="AN196" i="1"/>
  <c r="AO197" i="1"/>
  <c r="V166" i="1"/>
  <c r="S44" i="3" s="1"/>
  <c r="AN200" i="1"/>
  <c r="AO201" i="1"/>
  <c r="V170" i="1"/>
  <c r="AN204" i="1"/>
  <c r="AO205" i="1"/>
  <c r="V173" i="1"/>
  <c r="AN208" i="1"/>
  <c r="AO209" i="1"/>
  <c r="V177" i="1"/>
  <c r="S32" i="3" s="1"/>
  <c r="AN212" i="1"/>
  <c r="AO213" i="1"/>
  <c r="V250" i="1"/>
  <c r="AN216" i="1"/>
  <c r="AO217" i="1"/>
  <c r="V183" i="1"/>
  <c r="AN220" i="1"/>
  <c r="AO221" i="1"/>
  <c r="V187" i="1"/>
  <c r="AN224" i="1"/>
  <c r="AO225" i="1"/>
  <c r="V191" i="1"/>
  <c r="AN228" i="1"/>
  <c r="AO229" i="1"/>
  <c r="V195" i="1"/>
  <c r="AN232" i="1"/>
  <c r="AO233" i="1"/>
  <c r="V199" i="1"/>
  <c r="AN236" i="1"/>
  <c r="AO237" i="1"/>
  <c r="V203" i="1"/>
  <c r="V122" i="1"/>
  <c r="S7" i="3" s="1"/>
  <c r="AN122" i="1"/>
  <c r="V130" i="1"/>
  <c r="V139" i="1"/>
  <c r="AN141" i="1"/>
  <c r="AO158" i="1"/>
  <c r="AO166" i="1"/>
  <c r="AO174" i="1"/>
  <c r="AO182" i="1"/>
  <c r="AO190" i="1"/>
  <c r="AO198" i="1"/>
  <c r="AO206" i="1"/>
  <c r="AO214" i="1"/>
  <c r="V251" i="1"/>
  <c r="AO216" i="1"/>
  <c r="V182" i="1"/>
  <c r="AO218" i="1"/>
  <c r="V184" i="1"/>
  <c r="AO220" i="1"/>
  <c r="V186" i="1"/>
  <c r="AO222" i="1"/>
  <c r="V188" i="1"/>
  <c r="S36" i="3" s="1"/>
  <c r="AO224" i="1"/>
  <c r="V190" i="1"/>
  <c r="AO226" i="1"/>
  <c r="V192" i="1"/>
  <c r="AO228" i="1"/>
  <c r="V194" i="1"/>
  <c r="AO230" i="1"/>
  <c r="V196" i="1"/>
  <c r="AO232" i="1"/>
  <c r="V198" i="1"/>
  <c r="AO234" i="1"/>
  <c r="V200" i="1"/>
  <c r="AO236" i="1"/>
  <c r="V202" i="1"/>
  <c r="AO238" i="1"/>
  <c r="V204" i="1"/>
  <c r="AN241" i="1"/>
  <c r="AO242" i="1"/>
  <c r="V208" i="1"/>
  <c r="AN245" i="1"/>
  <c r="AO246" i="1"/>
  <c r="V225" i="1"/>
  <c r="AN249" i="1"/>
  <c r="AO250" i="1"/>
  <c r="V229" i="1"/>
  <c r="AN115" i="1"/>
  <c r="AN137" i="1"/>
  <c r="AO143" i="1"/>
  <c r="V148" i="1"/>
  <c r="V155" i="1"/>
  <c r="AN157" i="1"/>
  <c r="V213" i="1"/>
  <c r="AN165" i="1"/>
  <c r="V221" i="1"/>
  <c r="AN173" i="1"/>
  <c r="V235" i="1"/>
  <c r="AN181" i="1"/>
  <c r="V243" i="1"/>
  <c r="AN189" i="1"/>
  <c r="V92" i="1"/>
  <c r="S29" i="3" s="1"/>
  <c r="AN116" i="1"/>
  <c r="AN146" i="1"/>
  <c r="AN151" i="1"/>
  <c r="V159" i="1"/>
  <c r="AN161" i="1"/>
  <c r="V217" i="1"/>
  <c r="AN169" i="1"/>
  <c r="V231" i="1"/>
  <c r="AN177" i="1"/>
  <c r="V239" i="1"/>
  <c r="AN185" i="1"/>
  <c r="V247" i="1"/>
  <c r="AN193" i="1"/>
  <c r="V167" i="1"/>
  <c r="AN201" i="1"/>
  <c r="V174" i="1"/>
  <c r="S33" i="3" s="1"/>
  <c r="AN209" i="1"/>
  <c r="AO239" i="1"/>
  <c r="V205" i="1"/>
  <c r="AN242" i="1"/>
  <c r="AO243" i="1"/>
  <c r="V209" i="1"/>
  <c r="AN246" i="1"/>
  <c r="AO247" i="1"/>
  <c r="V226" i="1"/>
  <c r="AN250" i="1"/>
  <c r="AO251" i="1"/>
  <c r="V14" i="3"/>
  <c r="AE14" i="3" s="1"/>
  <c r="V9" i="3"/>
  <c r="AE9" i="3" s="1"/>
  <c r="V29" i="3"/>
  <c r="AE29" i="3" s="1"/>
  <c r="V27" i="3"/>
  <c r="AE27" i="3" s="1"/>
  <c r="V24" i="3"/>
  <c r="AE24" i="3" s="1"/>
  <c r="V25" i="3"/>
  <c r="AE25" i="3" s="1"/>
  <c r="V26" i="3"/>
  <c r="AE26" i="3" s="1"/>
  <c r="V48" i="3"/>
  <c r="AE48" i="3" s="1"/>
  <c r="V30" i="3"/>
  <c r="AE30" i="3" s="1"/>
  <c r="V36" i="3"/>
  <c r="AE36" i="3" s="1"/>
  <c r="V18" i="3"/>
  <c r="AE18" i="3" s="1"/>
  <c r="V13" i="3"/>
  <c r="AE13" i="3" s="1"/>
  <c r="V20" i="3"/>
  <c r="AE20" i="3" s="1"/>
  <c r="V7" i="3"/>
  <c r="V28" i="3"/>
  <c r="AE28" i="3" s="1"/>
  <c r="V31" i="3"/>
  <c r="AE31" i="3" s="1"/>
  <c r="V45" i="3"/>
  <c r="AE45" i="3" s="1"/>
  <c r="V15" i="3"/>
  <c r="AE15" i="3" s="1"/>
  <c r="V33" i="3"/>
  <c r="AE33" i="3" s="1"/>
  <c r="V112" i="1"/>
  <c r="AO153" i="1"/>
  <c r="AO162" i="1"/>
  <c r="AO170" i="1"/>
  <c r="AO178" i="1"/>
  <c r="AO186" i="1"/>
  <c r="AO194" i="1"/>
  <c r="AO210" i="1"/>
  <c r="AN219" i="1"/>
  <c r="AN227" i="1"/>
  <c r="AO245" i="1"/>
  <c r="V117" i="1"/>
  <c r="AN142" i="1"/>
  <c r="AN231" i="1"/>
  <c r="AO147" i="1"/>
  <c r="AN197" i="1"/>
  <c r="V249" i="1"/>
  <c r="AN213" i="1"/>
  <c r="AN221" i="1"/>
  <c r="AN229" i="1"/>
  <c r="AN237" i="1"/>
  <c r="V46" i="3"/>
  <c r="AE46" i="3" s="1"/>
  <c r="V49" i="3"/>
  <c r="AE49" i="3" s="1"/>
  <c r="V39" i="3"/>
  <c r="AE39" i="3" s="1"/>
  <c r="V43" i="3"/>
  <c r="AE43" i="3" s="1"/>
  <c r="V34" i="3"/>
  <c r="AE34" i="3" s="1"/>
  <c r="V40" i="3"/>
  <c r="AE40" i="3" s="1"/>
  <c r="V44" i="3"/>
  <c r="AE44" i="3" s="1"/>
  <c r="V16" i="3"/>
  <c r="AE16" i="3" s="1"/>
  <c r="V41" i="3"/>
  <c r="AE41" i="3" s="1"/>
  <c r="V42" i="3"/>
  <c r="AE42" i="3" s="1"/>
  <c r="V17" i="3"/>
  <c r="AE17" i="3" s="1"/>
  <c r="V56" i="1"/>
  <c r="AN215" i="1"/>
  <c r="AO132" i="1"/>
  <c r="V134" i="1"/>
  <c r="V163" i="1"/>
  <c r="S34" i="3" s="1"/>
  <c r="AN205" i="1"/>
  <c r="V178" i="1"/>
  <c r="AN217" i="1"/>
  <c r="AN225" i="1"/>
  <c r="AN233" i="1"/>
  <c r="AO240" i="1"/>
  <c r="V207" i="1"/>
  <c r="AO244" i="1"/>
  <c r="V224" i="1"/>
  <c r="S49" i="3" s="1"/>
  <c r="AO248" i="1"/>
  <c r="V228" i="1"/>
  <c r="AN235" i="1"/>
  <c r="AO241" i="1"/>
  <c r="AO249" i="1"/>
  <c r="V21" i="3"/>
  <c r="AE21" i="3" s="1"/>
  <c r="V38" i="3"/>
  <c r="AE38" i="3" s="1"/>
  <c r="V51" i="3"/>
  <c r="AE51" i="3" s="1"/>
  <c r="V19" i="3"/>
  <c r="AE19" i="3" s="1"/>
  <c r="V32" i="3"/>
  <c r="AE32" i="3" s="1"/>
  <c r="V22" i="3"/>
  <c r="AE22" i="3" s="1"/>
  <c r="V50" i="3"/>
  <c r="AE50" i="3" s="1"/>
  <c r="V10" i="3"/>
  <c r="AE10" i="3" s="1"/>
  <c r="V37" i="3"/>
  <c r="AE37" i="3" s="1"/>
  <c r="V35" i="3"/>
  <c r="AE35" i="3" s="1"/>
  <c r="V12" i="3"/>
  <c r="AE12" i="3" s="1"/>
  <c r="V23" i="3"/>
  <c r="AE23" i="3" s="1"/>
  <c r="V11" i="3"/>
  <c r="AE11" i="3" s="1"/>
  <c r="V8" i="3"/>
  <c r="AE8" i="3" s="1"/>
  <c r="AO202" i="1"/>
  <c r="AN223" i="1"/>
  <c r="AN239" i="1"/>
  <c r="AN240" i="1"/>
  <c r="V206" i="1"/>
  <c r="AN243" i="1"/>
  <c r="AN244" i="1"/>
  <c r="V210" i="1"/>
  <c r="S45" i="3" s="1"/>
  <c r="AN247" i="1"/>
  <c r="AN248" i="1"/>
  <c r="V227" i="1"/>
  <c r="S48" i="3" s="1"/>
  <c r="AN251" i="1"/>
  <c r="AC27" i="3"/>
  <c r="AC17" i="3"/>
  <c r="AC11" i="3"/>
  <c r="AC24" i="3"/>
  <c r="AC22" i="3"/>
  <c r="AC21" i="3"/>
  <c r="AD44" i="3"/>
  <c r="AC46" i="3"/>
  <c r="AD12" i="3"/>
  <c r="AD43" i="3"/>
  <c r="AD41" i="3"/>
  <c r="AD49" i="3"/>
  <c r="AD17" i="3"/>
  <c r="AD31" i="3"/>
  <c r="AC9" i="3"/>
  <c r="AD45" i="3"/>
  <c r="AC26" i="3"/>
  <c r="AC49" i="3"/>
  <c r="AD14" i="3"/>
  <c r="AD21" i="3"/>
  <c r="AD28" i="3"/>
  <c r="AC13" i="3"/>
  <c r="AC20" i="3"/>
  <c r="AD51" i="3"/>
  <c r="AD16" i="3"/>
  <c r="AC31" i="3"/>
  <c r="AC16" i="3"/>
  <c r="AC43" i="3"/>
  <c r="AC45" i="3"/>
  <c r="AC32" i="3"/>
  <c r="AD32" i="3"/>
  <c r="AD39" i="3"/>
  <c r="AD29" i="3"/>
  <c r="AD20" i="3"/>
  <c r="AD36" i="3"/>
  <c r="AC8" i="3"/>
  <c r="AD9" i="3"/>
  <c r="AC39" i="3"/>
  <c r="AC37" i="3"/>
  <c r="AD37" i="3"/>
  <c r="AD27" i="3"/>
  <c r="AC48" i="3"/>
  <c r="AD40" i="3"/>
  <c r="AC30" i="3"/>
  <c r="AC38" i="3"/>
  <c r="AC51" i="3"/>
  <c r="AC25" i="3"/>
  <c r="AD48" i="3"/>
  <c r="AD35" i="3"/>
  <c r="AD25" i="3"/>
  <c r="AC14" i="3"/>
  <c r="AD33" i="3"/>
  <c r="AC7" i="3"/>
  <c r="AD24" i="3"/>
  <c r="AD15" i="3"/>
  <c r="AD23" i="3"/>
  <c r="AD8" i="3"/>
  <c r="AC18" i="3"/>
  <c r="AC10" i="3"/>
  <c r="AC40" i="3"/>
  <c r="AD42" i="3"/>
  <c r="AD26" i="3"/>
  <c r="AD10" i="3"/>
  <c r="AC36" i="3"/>
  <c r="AD13" i="3"/>
  <c r="AD11" i="3"/>
  <c r="AC19" i="3"/>
  <c r="AD46" i="3"/>
  <c r="AD30" i="3"/>
  <c r="AC34" i="3"/>
  <c r="AC15" i="3"/>
  <c r="AC29" i="3"/>
  <c r="AC33" i="3"/>
  <c r="AD50" i="3"/>
  <c r="AD34" i="3"/>
  <c r="AD18" i="3"/>
  <c r="AC44" i="3"/>
  <c r="AC12" i="3"/>
  <c r="AC35" i="3"/>
  <c r="AC41" i="3"/>
  <c r="AC50" i="3"/>
  <c r="AD19" i="3"/>
  <c r="AC28" i="3"/>
  <c r="AC23" i="3"/>
  <c r="AC42" i="3"/>
  <c r="AD38" i="3"/>
  <c r="AD22" i="3"/>
  <c r="AD47" i="3"/>
  <c r="V47" i="3"/>
  <c r="AE47" i="3" s="1"/>
  <c r="AC47" i="3"/>
  <c r="V13" i="1"/>
  <c r="AO13" i="1"/>
  <c r="AN13" i="1"/>
  <c r="AD7" i="3"/>
  <c r="S35" i="3" l="1"/>
  <c r="S37" i="3"/>
  <c r="S23" i="3"/>
  <c r="S11" i="3"/>
  <c r="S15" i="3"/>
  <c r="S14" i="3"/>
  <c r="S8" i="3"/>
  <c r="S9" i="3"/>
  <c r="S42" i="3"/>
  <c r="S41" i="3"/>
  <c r="S25" i="3"/>
  <c r="S26" i="3"/>
  <c r="S47" i="3"/>
  <c r="AE7" i="3"/>
  <c r="B93" i="9" l="1"/>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C106" i="9" l="1"/>
  <c r="C128" i="9"/>
  <c r="C120" i="9"/>
  <c r="C96" i="9"/>
  <c r="C114" i="9"/>
  <c r="C122" i="9"/>
  <c r="C118" i="9"/>
  <c r="C98" i="9"/>
  <c r="C94" i="9"/>
  <c r="C125" i="9"/>
  <c r="C102" i="9"/>
  <c r="C130" i="9"/>
  <c r="C112" i="9"/>
  <c r="C104" i="9"/>
  <c r="C109" i="9"/>
  <c r="C117" i="9"/>
  <c r="C101" i="9"/>
  <c r="C99" i="9"/>
  <c r="C100" i="9"/>
  <c r="C115" i="9"/>
  <c r="C116" i="9"/>
  <c r="C123" i="9"/>
  <c r="C124" i="9"/>
  <c r="C107" i="9"/>
  <c r="C108" i="9"/>
  <c r="C126" i="9"/>
  <c r="C110" i="9"/>
  <c r="C127" i="9"/>
  <c r="C119" i="9"/>
  <c r="C111" i="9"/>
  <c r="C103" i="9"/>
  <c r="C129" i="9"/>
  <c r="C121" i="9"/>
  <c r="C113" i="9"/>
  <c r="C105" i="9"/>
  <c r="C97" i="9"/>
  <c r="C95" i="9"/>
  <c r="B87" i="9" l="1"/>
  <c r="B88" i="9"/>
  <c r="B89" i="9"/>
  <c r="B90" i="9"/>
  <c r="B91" i="9"/>
  <c r="B92" i="9"/>
  <c r="C88" i="9" l="1"/>
  <c r="C92" i="9"/>
  <c r="C93" i="9"/>
  <c r="C90" i="9"/>
  <c r="C89" i="9"/>
  <c r="C91" i="9"/>
  <c r="B63" i="9" l="1"/>
  <c r="B64" i="9"/>
  <c r="B65" i="9"/>
  <c r="B66" i="9"/>
  <c r="B67" i="9"/>
  <c r="B68" i="9"/>
  <c r="B69" i="9"/>
  <c r="B70" i="9"/>
  <c r="B71" i="9"/>
  <c r="B72" i="9"/>
  <c r="B73" i="9"/>
  <c r="B74" i="9"/>
  <c r="B75" i="9"/>
  <c r="B76" i="9"/>
  <c r="B77" i="9"/>
  <c r="B78" i="9"/>
  <c r="B79" i="9"/>
  <c r="B80" i="9"/>
  <c r="B81" i="9"/>
  <c r="B82" i="9"/>
  <c r="B83" i="9"/>
  <c r="B84" i="9"/>
  <c r="B85" i="9"/>
  <c r="B86" i="9"/>
  <c r="C86" i="9" l="1"/>
  <c r="C87" i="9"/>
  <c r="C78" i="9"/>
  <c r="C68" i="9"/>
  <c r="C64" i="9"/>
  <c r="C77" i="9"/>
  <c r="C84" i="9"/>
  <c r="C80" i="9"/>
  <c r="C76" i="9"/>
  <c r="C67" i="9"/>
  <c r="C83" i="9"/>
  <c r="C72" i="9"/>
  <c r="C69" i="9"/>
  <c r="C85" i="9"/>
  <c r="C75" i="9"/>
  <c r="C79" i="9"/>
  <c r="C71" i="9"/>
  <c r="C82" i="9"/>
  <c r="C81" i="9"/>
  <c r="C74" i="9"/>
  <c r="C73" i="9"/>
  <c r="C66" i="9"/>
  <c r="C65" i="9"/>
  <c r="C70" i="9"/>
  <c r="B55" i="9" l="1"/>
  <c r="B56" i="9"/>
  <c r="B57" i="9"/>
  <c r="B58" i="9"/>
  <c r="B59" i="9"/>
  <c r="B60" i="9"/>
  <c r="B61" i="9"/>
  <c r="B62" i="9"/>
  <c r="C63" i="9" s="1"/>
  <c r="C61" i="9" l="1"/>
  <c r="C57" i="9"/>
  <c r="C59" i="9"/>
  <c r="C62" i="9"/>
  <c r="C60" i="9"/>
  <c r="C58" i="9"/>
  <c r="C56" i="9"/>
  <c r="B50" i="9" l="1"/>
  <c r="B51" i="9"/>
  <c r="B52" i="9"/>
  <c r="B53" i="9"/>
  <c r="B54" i="9"/>
  <c r="C52" i="9" l="1"/>
  <c r="C54" i="9"/>
  <c r="C55" i="9"/>
  <c r="C53" i="9"/>
  <c r="C51" i="9"/>
  <c r="B33" i="9" l="1"/>
  <c r="B34" i="9"/>
  <c r="B35" i="9"/>
  <c r="B36" i="9"/>
  <c r="B37" i="9"/>
  <c r="B38" i="9"/>
  <c r="B39" i="9"/>
  <c r="B40" i="9"/>
  <c r="B41" i="9"/>
  <c r="B42" i="9"/>
  <c r="B43" i="9"/>
  <c r="B44" i="9"/>
  <c r="B45" i="9"/>
  <c r="B46" i="9"/>
  <c r="B47" i="9"/>
  <c r="B48" i="9"/>
  <c r="B49" i="9"/>
  <c r="C50" i="9" s="1"/>
  <c r="C46" i="9" l="1"/>
  <c r="C38" i="9"/>
  <c r="C45" i="9"/>
  <c r="C35" i="9"/>
  <c r="C36" i="9"/>
  <c r="C43" i="9"/>
  <c r="C37" i="9"/>
  <c r="C48" i="9"/>
  <c r="C44" i="9"/>
  <c r="C40" i="9"/>
  <c r="C47" i="9"/>
  <c r="C39" i="9"/>
  <c r="C49" i="9"/>
  <c r="C42" i="9"/>
  <c r="C41" i="9"/>
  <c r="C34" i="9"/>
  <c r="B31" i="9" l="1"/>
  <c r="B32" i="9"/>
  <c r="C33" i="9" s="1"/>
  <c r="C32" i="9" l="1"/>
  <c r="G3" i="4" l="1"/>
  <c r="G4" i="4"/>
  <c r="G5" i="4"/>
  <c r="G6" i="4"/>
  <c r="G7" i="4"/>
  <c r="G8" i="4"/>
  <c r="G9" i="4"/>
  <c r="G10" i="4"/>
  <c r="G11" i="4"/>
  <c r="G12" i="4"/>
  <c r="G13" i="4"/>
  <c r="G14" i="4"/>
  <c r="L232" i="1" s="1"/>
  <c r="G15" i="4"/>
  <c r="L212" i="1" s="1"/>
  <c r="G16" i="4"/>
  <c r="L15" i="1" s="1"/>
  <c r="G17" i="4"/>
  <c r="L14" i="1" s="1"/>
  <c r="G18" i="4"/>
  <c r="L214" i="1" s="1"/>
  <c r="G19" i="4"/>
  <c r="L216" i="1" s="1"/>
  <c r="G20" i="4"/>
  <c r="L17" i="1" s="1"/>
  <c r="G21" i="4"/>
  <c r="G22" i="4"/>
  <c r="L19" i="1" s="1"/>
  <c r="G23" i="4"/>
  <c r="L16" i="1" s="1"/>
  <c r="G24" i="4"/>
  <c r="L220" i="1" s="1"/>
  <c r="G25" i="4"/>
  <c r="L21" i="1" s="1"/>
  <c r="G26" i="4"/>
  <c r="L23" i="1" s="1"/>
  <c r="G27" i="4"/>
  <c r="L25" i="1" s="1"/>
  <c r="G28" i="4"/>
  <c r="G29" i="4"/>
  <c r="L20" i="1" s="1"/>
  <c r="G30" i="4"/>
  <c r="L18" i="1" s="1"/>
  <c r="G31" i="4"/>
  <c r="L161" i="1" s="1"/>
  <c r="G32" i="4"/>
  <c r="L222" i="1" s="1"/>
  <c r="G33" i="4"/>
  <c r="L27" i="1" s="1"/>
  <c r="G34" i="4"/>
  <c r="L29" i="1" s="1"/>
  <c r="G35" i="4"/>
  <c r="L162" i="1" s="1"/>
  <c r="G36" i="4"/>
  <c r="L22" i="1" s="1"/>
  <c r="G37" i="4"/>
  <c r="L24" i="1" s="1"/>
  <c r="G38" i="4"/>
  <c r="L225" i="1" s="1"/>
  <c r="G39" i="4"/>
  <c r="L26" i="1" s="1"/>
  <c r="G40" i="4"/>
  <c r="L31" i="1" s="1"/>
  <c r="G41" i="4"/>
  <c r="L163" i="1" s="1"/>
  <c r="G42" i="4"/>
  <c r="L164" i="1" s="1"/>
  <c r="G43" i="4"/>
  <c r="L33" i="1" s="1"/>
  <c r="G44" i="4"/>
  <c r="L28" i="1" s="1"/>
  <c r="G45" i="4"/>
  <c r="L165" i="1" s="1"/>
  <c r="G46" i="4"/>
  <c r="L35" i="1" s="1"/>
  <c r="G47" i="4"/>
  <c r="L166" i="1" s="1"/>
  <c r="G48" i="4"/>
  <c r="L37" i="1" s="1"/>
  <c r="G49" i="4"/>
  <c r="L30" i="1" s="1"/>
  <c r="G50" i="4"/>
  <c r="G51" i="4"/>
  <c r="L34" i="1" s="1"/>
  <c r="G52" i="4"/>
  <c r="L39" i="1" s="1"/>
  <c r="G53" i="4"/>
  <c r="L167" i="1" s="1"/>
  <c r="G54" i="4"/>
  <c r="L168" i="1" s="1"/>
  <c r="G55" i="4"/>
  <c r="L41" i="1" s="1"/>
  <c r="G56" i="4"/>
  <c r="L36" i="1" s="1"/>
  <c r="G57" i="4"/>
  <c r="L38" i="1" s="1"/>
  <c r="G58" i="4"/>
  <c r="L169" i="1" s="1"/>
  <c r="G59" i="4"/>
  <c r="L43" i="1" s="1"/>
  <c r="G60" i="4"/>
  <c r="L170" i="1" s="1"/>
  <c r="G61" i="4"/>
  <c r="L40" i="1" s="1"/>
  <c r="G62" i="4"/>
  <c r="L45" i="1" s="1"/>
  <c r="G63" i="4"/>
  <c r="L47" i="1" s="1"/>
  <c r="G64" i="4"/>
  <c r="L171" i="1" s="1"/>
  <c r="G65" i="4"/>
  <c r="L172" i="1" s="1"/>
  <c r="G66" i="4"/>
  <c r="L42" i="1" s="1"/>
  <c r="G67" i="4"/>
  <c r="L49" i="1" s="1"/>
  <c r="G68" i="4"/>
  <c r="L44" i="1" s="1"/>
  <c r="G69" i="4"/>
  <c r="L51" i="1" s="1"/>
  <c r="G70" i="4"/>
  <c r="L173" i="1" s="1"/>
  <c r="G71" i="4"/>
  <c r="L226" i="1" s="1"/>
  <c r="G72" i="4"/>
  <c r="L46" i="1" s="1"/>
  <c r="G73" i="4"/>
  <c r="L48" i="1" s="1"/>
  <c r="G74" i="4"/>
  <c r="L53" i="1" s="1"/>
  <c r="G75" i="4"/>
  <c r="L55" i="1" s="1"/>
  <c r="G76" i="4"/>
  <c r="L174" i="1" s="1"/>
  <c r="G77" i="4"/>
  <c r="L50" i="1" s="1"/>
  <c r="G78" i="4"/>
  <c r="L57" i="1" s="1"/>
  <c r="G79" i="4"/>
  <c r="L54" i="1" s="1"/>
  <c r="G80" i="4"/>
  <c r="L59" i="1" s="1"/>
  <c r="G81" i="4"/>
  <c r="L52" i="1" s="1"/>
  <c r="G82" i="4"/>
  <c r="L175" i="1" s="1"/>
  <c r="G83" i="4"/>
  <c r="L61" i="1" s="1"/>
  <c r="G84" i="4"/>
  <c r="L56" i="1" s="1"/>
  <c r="G85" i="4"/>
  <c r="G86" i="4"/>
  <c r="L63" i="1" s="1"/>
  <c r="G87" i="4"/>
  <c r="L58" i="1" s="1"/>
  <c r="G88" i="4"/>
  <c r="L176" i="1" s="1"/>
  <c r="G89" i="4"/>
  <c r="G90" i="4"/>
  <c r="L233" i="1" s="1"/>
  <c r="G91" i="4"/>
  <c r="L60" i="1" s="1"/>
  <c r="G92" i="4"/>
  <c r="L62" i="1" s="1"/>
  <c r="G93" i="4"/>
  <c r="G94" i="4"/>
  <c r="L68" i="1" s="1"/>
  <c r="G95" i="4"/>
  <c r="G96" i="4"/>
  <c r="L70" i="1" s="1"/>
  <c r="G97" i="4"/>
  <c r="L64" i="1" s="1"/>
  <c r="G98" i="4"/>
  <c r="L72" i="1" s="1"/>
  <c r="G99" i="4"/>
  <c r="L178" i="1" s="1"/>
  <c r="G100" i="4"/>
  <c r="L67" i="1" s="1"/>
  <c r="G101" i="4"/>
  <c r="L69" i="1" s="1"/>
  <c r="G102" i="4"/>
  <c r="L74" i="1" s="1"/>
  <c r="G103" i="4"/>
  <c r="G104" i="4"/>
  <c r="L179" i="1" s="1"/>
  <c r="G105" i="4"/>
  <c r="L71" i="1" s="1"/>
  <c r="G106" i="4"/>
  <c r="L78" i="1" s="1"/>
  <c r="G107" i="4"/>
  <c r="G108" i="4"/>
  <c r="L73" i="1" s="1"/>
  <c r="G109" i="4"/>
  <c r="L80" i="1" s="1"/>
  <c r="G110" i="4"/>
  <c r="L180" i="1" s="1"/>
  <c r="G111" i="4"/>
  <c r="L82" i="1" s="1"/>
  <c r="G112" i="4"/>
  <c r="L75" i="1" s="1"/>
  <c r="G113" i="4"/>
  <c r="L77" i="1" s="1"/>
  <c r="G114" i="4"/>
  <c r="G115" i="4"/>
  <c r="L84" i="1" s="1"/>
  <c r="G116" i="4"/>
  <c r="G117" i="4"/>
  <c r="G118" i="4"/>
  <c r="G119" i="4"/>
  <c r="L79" i="1" s="1"/>
  <c r="G120" i="4"/>
  <c r="L86" i="1" s="1"/>
  <c r="G121" i="4"/>
  <c r="G122" i="4"/>
  <c r="G123" i="4"/>
  <c r="G124" i="4"/>
  <c r="L81" i="1" s="1"/>
  <c r="G125" i="4"/>
  <c r="L88" i="1" s="1"/>
  <c r="G126" i="4"/>
  <c r="L83" i="1" s="1"/>
  <c r="G127" i="4"/>
  <c r="G128" i="4"/>
  <c r="L183" i="1" s="1"/>
  <c r="G129" i="4"/>
  <c r="L90" i="1" s="1"/>
  <c r="G130" i="4"/>
  <c r="G131" i="4"/>
  <c r="L85" i="1" s="1"/>
  <c r="G132" i="4"/>
  <c r="L92" i="1" s="1"/>
  <c r="G133" i="4"/>
  <c r="L184" i="1" s="1"/>
  <c r="G134" i="4"/>
  <c r="G135" i="4"/>
  <c r="G136" i="4"/>
  <c r="G137" i="4"/>
  <c r="L87" i="1" s="1"/>
  <c r="G138" i="4"/>
  <c r="L94" i="1" s="1"/>
  <c r="G139" i="4"/>
  <c r="G140" i="4"/>
  <c r="L89" i="1" s="1"/>
  <c r="G141" i="4"/>
  <c r="G142" i="4"/>
  <c r="G143" i="4"/>
  <c r="L185" i="1" s="1"/>
  <c r="G144" i="4"/>
  <c r="L91" i="1" s="1"/>
  <c r="G145" i="4"/>
  <c r="L99" i="1" s="1"/>
  <c r="G146" i="4"/>
  <c r="G147" i="4"/>
  <c r="G148" i="4"/>
  <c r="G149" i="4"/>
  <c r="L93" i="1" s="1"/>
  <c r="G150" i="4"/>
  <c r="G151" i="4"/>
  <c r="L186" i="1" s="1"/>
  <c r="G152" i="4"/>
  <c r="G153" i="4"/>
  <c r="L95" i="1" s="1"/>
  <c r="G154" i="4"/>
  <c r="G155" i="4"/>
  <c r="L104" i="1" s="1"/>
  <c r="G156" i="4"/>
  <c r="G157" i="4"/>
  <c r="L98" i="1" s="1"/>
  <c r="G158" i="4"/>
  <c r="L106" i="1" s="1"/>
  <c r="G159" i="4"/>
  <c r="L100" i="1" s="1"/>
  <c r="G160" i="4"/>
  <c r="L187" i="1" s="1"/>
  <c r="G161" i="4"/>
  <c r="L108" i="1" s="1"/>
  <c r="G162" i="4"/>
  <c r="G163" i="4"/>
  <c r="L110" i="1" s="1"/>
  <c r="G164" i="4"/>
  <c r="L188" i="1" s="1"/>
  <c r="G165" i="4"/>
  <c r="L227" i="1" s="1"/>
  <c r="G166" i="4"/>
  <c r="L105" i="1" s="1"/>
  <c r="G167" i="4"/>
  <c r="L189" i="1" s="1"/>
  <c r="G168" i="4"/>
  <c r="L112" i="1" s="1"/>
  <c r="G169" i="4"/>
  <c r="L107" i="1" s="1"/>
  <c r="G170" i="4"/>
  <c r="L114" i="1" s="1"/>
  <c r="G171" i="4"/>
  <c r="L190" i="1" s="1"/>
  <c r="G172" i="4"/>
  <c r="L191" i="1" s="1"/>
  <c r="G173" i="4"/>
  <c r="L109" i="1" s="1"/>
  <c r="G174" i="4"/>
  <c r="G175" i="4"/>
  <c r="L111" i="1" s="1"/>
  <c r="G176" i="4"/>
  <c r="G177" i="4"/>
  <c r="L192" i="1" s="1"/>
  <c r="G178" i="4"/>
  <c r="L249" i="1" s="1"/>
  <c r="G179" i="4"/>
  <c r="L193" i="1" s="1"/>
  <c r="G180" i="4"/>
  <c r="G181" i="4"/>
  <c r="L113" i="1" s="1"/>
  <c r="G182" i="4"/>
  <c r="G183" i="4"/>
  <c r="G184" i="4"/>
  <c r="L121" i="1" s="1"/>
  <c r="G185" i="4"/>
  <c r="L115" i="1" s="1"/>
  <c r="G186" i="4"/>
  <c r="G187" i="4"/>
  <c r="G188" i="4"/>
  <c r="G189" i="4"/>
  <c r="G190" i="4"/>
  <c r="L123" i="1" s="1"/>
  <c r="G191" i="4"/>
  <c r="G192" i="4"/>
  <c r="G193" i="4"/>
  <c r="L195" i="1" s="1"/>
  <c r="G194" i="4"/>
  <c r="L125" i="1" s="1"/>
  <c r="G195" i="4"/>
  <c r="L194" i="1" s="1"/>
  <c r="G196" i="4"/>
  <c r="L117" i="1" s="1"/>
  <c r="G197" i="4"/>
  <c r="L120" i="1" s="1"/>
  <c r="G198" i="4"/>
  <c r="L196" i="1" s="1"/>
  <c r="G199" i="4"/>
  <c r="L197" i="1" s="1"/>
  <c r="G200" i="4"/>
  <c r="L127" i="1" s="1"/>
  <c r="G201" i="4"/>
  <c r="G202" i="4"/>
  <c r="L129" i="1" s="1"/>
  <c r="G203" i="4"/>
  <c r="L124" i="1" s="1"/>
  <c r="G204" i="4"/>
  <c r="G205" i="4"/>
  <c r="G206" i="4"/>
  <c r="L131" i="1" s="1"/>
  <c r="G207" i="4"/>
  <c r="G208" i="4"/>
  <c r="L199" i="1" s="1"/>
  <c r="G209" i="4"/>
  <c r="L198" i="1" s="1"/>
  <c r="G210" i="4"/>
  <c r="L133" i="1" s="1"/>
  <c r="G211" i="4"/>
  <c r="L128" i="1" s="1"/>
  <c r="G212" i="4"/>
  <c r="L200" i="1" s="1"/>
  <c r="G213" i="4"/>
  <c r="L135" i="1" s="1"/>
  <c r="G214" i="4"/>
  <c r="L201" i="1" s="1"/>
  <c r="G215" i="4"/>
  <c r="L211" i="1" s="1"/>
  <c r="G216" i="4"/>
  <c r="L130" i="1" s="1"/>
  <c r="G217" i="4"/>
  <c r="G218" i="4"/>
  <c r="L132" i="1" s="1"/>
  <c r="G219" i="4"/>
  <c r="L244" i="1" s="1"/>
  <c r="G220" i="4"/>
  <c r="G221" i="4"/>
  <c r="L228" i="1" s="1"/>
  <c r="G222" i="4"/>
  <c r="G223" i="4"/>
  <c r="L134" i="1" s="1"/>
  <c r="G2" i="4"/>
  <c r="L247" i="1" l="1"/>
  <c r="L248" i="1"/>
  <c r="N18" i="3"/>
  <c r="L103" i="1"/>
  <c r="N16" i="3"/>
  <c r="L32" i="1"/>
  <c r="N7" i="3"/>
  <c r="L122" i="1"/>
  <c r="L97" i="1"/>
  <c r="L96" i="1"/>
  <c r="N32" i="3"/>
  <c r="L177" i="1"/>
  <c r="L66" i="1"/>
  <c r="L65" i="1"/>
  <c r="N46" i="3"/>
  <c r="L218" i="1"/>
  <c r="L250" i="1"/>
  <c r="L251" i="1"/>
  <c r="L246" i="1"/>
  <c r="L245" i="1"/>
  <c r="L118" i="1"/>
  <c r="L119" i="1"/>
  <c r="L181" i="1"/>
  <c r="L182" i="1"/>
  <c r="N49" i="3"/>
  <c r="L224" i="1"/>
  <c r="L231" i="1"/>
  <c r="L230" i="1"/>
  <c r="N20" i="3"/>
  <c r="L116" i="1"/>
  <c r="L101" i="1"/>
  <c r="L102" i="1"/>
  <c r="N28" i="3"/>
  <c r="L126" i="1"/>
  <c r="N50" i="3"/>
  <c r="L235" i="1"/>
  <c r="L239" i="1"/>
  <c r="L243" i="1"/>
  <c r="L234" i="1"/>
  <c r="L238" i="1"/>
  <c r="L242" i="1"/>
  <c r="L236" i="1"/>
  <c r="L240" i="1"/>
  <c r="L237" i="1"/>
  <c r="L241" i="1"/>
  <c r="N22" i="3"/>
  <c r="L76" i="1"/>
  <c r="N24" i="3"/>
  <c r="N26" i="3"/>
  <c r="N25" i="3"/>
  <c r="N19" i="3"/>
  <c r="N38" i="3"/>
  <c r="N14" i="3"/>
  <c r="N15" i="3"/>
  <c r="N48" i="3"/>
  <c r="N30" i="3"/>
  <c r="N40" i="3"/>
  <c r="N34" i="3"/>
  <c r="N13" i="3"/>
  <c r="N36" i="3"/>
  <c r="N29" i="3"/>
  <c r="N8" i="3"/>
  <c r="N9" i="3"/>
  <c r="N35" i="3"/>
  <c r="N37" i="3"/>
  <c r="N33" i="3"/>
  <c r="N17" i="3"/>
  <c r="N51" i="3"/>
  <c r="N11" i="3"/>
  <c r="N23" i="3"/>
  <c r="N21" i="3"/>
  <c r="N41" i="3"/>
  <c r="N42" i="3"/>
  <c r="N27" i="3"/>
  <c r="N12" i="3"/>
  <c r="N10" i="3"/>
  <c r="N44" i="3"/>
  <c r="N43" i="3"/>
  <c r="N39" i="3"/>
  <c r="N47" i="3"/>
  <c r="L13" i="1"/>
  <c r="B2" i="9"/>
  <c r="B3" i="9"/>
  <c r="B4" i="9"/>
  <c r="B5" i="9"/>
  <c r="B6" i="9"/>
  <c r="B7" i="9"/>
  <c r="B8" i="9"/>
  <c r="B9" i="9"/>
  <c r="B10" i="9"/>
  <c r="B11" i="9"/>
  <c r="B12" i="9"/>
  <c r="B13" i="9"/>
  <c r="B14" i="9"/>
  <c r="B15" i="9"/>
  <c r="B16" i="9"/>
  <c r="B17" i="9"/>
  <c r="B18" i="9"/>
  <c r="B19" i="9"/>
  <c r="B20" i="9"/>
  <c r="B21" i="9"/>
  <c r="B22" i="9"/>
  <c r="B23" i="9"/>
  <c r="B24" i="9"/>
  <c r="B25" i="9"/>
  <c r="B26" i="9"/>
  <c r="B27" i="9"/>
  <c r="B28" i="9"/>
  <c r="B29" i="9"/>
  <c r="B30" i="9"/>
  <c r="C31" i="9" s="1"/>
  <c r="C26" i="9" l="1"/>
  <c r="B1" i="9"/>
  <c r="C1" i="9" s="1"/>
  <c r="C4" i="9"/>
  <c r="C7" i="9"/>
  <c r="C24" i="9"/>
  <c r="C10" i="9"/>
  <c r="C15" i="9"/>
  <c r="C30" i="9"/>
  <c r="C16" i="9"/>
  <c r="C29" i="9"/>
  <c r="C12" i="9"/>
  <c r="C13" i="9"/>
  <c r="C25" i="9" l="1"/>
  <c r="C19" i="9"/>
  <c r="C22" i="9"/>
  <c r="C17" i="9"/>
  <c r="C18" i="9"/>
  <c r="C20" i="9"/>
  <c r="C8" i="9"/>
  <c r="C9" i="9"/>
  <c r="C5" i="9"/>
  <c r="C6" i="9"/>
  <c r="C27" i="9"/>
  <c r="C14" i="9"/>
  <c r="C28" i="9"/>
  <c r="C11" i="9"/>
  <c r="C2" i="9"/>
  <c r="C3" i="9"/>
  <c r="C21" i="9"/>
  <c r="C23" i="9"/>
  <c r="AH13" i="1" l="1"/>
  <c r="J7" i="1"/>
  <c r="X6" i="1" l="1"/>
  <c r="W6" i="1"/>
  <c r="V6" i="1"/>
  <c r="S6" i="1"/>
  <c r="R2" i="1"/>
  <c r="I2" i="1"/>
  <c r="O6" i="1"/>
  <c r="N6" i="1"/>
  <c r="M6" i="1"/>
  <c r="J6" i="1"/>
  <c r="P3" i="5" l="1"/>
  <c r="M18" i="5" l="1"/>
  <c r="AF154" i="1" l="1"/>
  <c r="AF15" i="1"/>
  <c r="AF19" i="1"/>
  <c r="AF23" i="1"/>
  <c r="AF27" i="1"/>
  <c r="AF31" i="1"/>
  <c r="AF35" i="1"/>
  <c r="AF39" i="1"/>
  <c r="AF136" i="1"/>
  <c r="AF125" i="1"/>
  <c r="AF14" i="1"/>
  <c r="AF18" i="1"/>
  <c r="AF22" i="1"/>
  <c r="AF26" i="1"/>
  <c r="AF30" i="1"/>
  <c r="AF34" i="1"/>
  <c r="AF38" i="1"/>
  <c r="AF42" i="1"/>
  <c r="AF138" i="1"/>
  <c r="AF16" i="1"/>
  <c r="AF20" i="1"/>
  <c r="AF24" i="1"/>
  <c r="AF28" i="1"/>
  <c r="AF32" i="1"/>
  <c r="AF36" i="1"/>
  <c r="AF40" i="1"/>
  <c r="AF44" i="1"/>
  <c r="AF48" i="1"/>
  <c r="AF52" i="1"/>
  <c r="AF53" i="1"/>
  <c r="AF57" i="1"/>
  <c r="AF58" i="1"/>
  <c r="AF126" i="1"/>
  <c r="AF45" i="1"/>
  <c r="AF47" i="1"/>
  <c r="AF50" i="1"/>
  <c r="AF60" i="1"/>
  <c r="AF64" i="1"/>
  <c r="AF68" i="1"/>
  <c r="AF72" i="1"/>
  <c r="AF76" i="1"/>
  <c r="AF80" i="1"/>
  <c r="AF84" i="1"/>
  <c r="AF21" i="1"/>
  <c r="AF29" i="1"/>
  <c r="AF37" i="1"/>
  <c r="AF54" i="1"/>
  <c r="AF56" i="1"/>
  <c r="AF59" i="1"/>
  <c r="AF63" i="1"/>
  <c r="AF67" i="1"/>
  <c r="AF71" i="1"/>
  <c r="AF75" i="1"/>
  <c r="AF79" i="1"/>
  <c r="AF83" i="1"/>
  <c r="AF87" i="1"/>
  <c r="AF17" i="1"/>
  <c r="AF25" i="1"/>
  <c r="AF33" i="1"/>
  <c r="AF41" i="1"/>
  <c r="AF43" i="1"/>
  <c r="AF55" i="1"/>
  <c r="AF61" i="1"/>
  <c r="AF65" i="1"/>
  <c r="AF69" i="1"/>
  <c r="AF73" i="1"/>
  <c r="AF77" i="1"/>
  <c r="AF81" i="1"/>
  <c r="AF85" i="1"/>
  <c r="AF94" i="1"/>
  <c r="AF98" i="1"/>
  <c r="AF102" i="1"/>
  <c r="AF106" i="1"/>
  <c r="AF110" i="1"/>
  <c r="AF114" i="1"/>
  <c r="AF118" i="1"/>
  <c r="AF122" i="1"/>
  <c r="AF128" i="1"/>
  <c r="AF46" i="1"/>
  <c r="AF66" i="1"/>
  <c r="AF74" i="1"/>
  <c r="AF82" i="1"/>
  <c r="AF90" i="1"/>
  <c r="AF93" i="1"/>
  <c r="AF96" i="1"/>
  <c r="AF99" i="1"/>
  <c r="AF101" i="1"/>
  <c r="AF104" i="1"/>
  <c r="AF107" i="1"/>
  <c r="AF109" i="1"/>
  <c r="AF112" i="1"/>
  <c r="AF115" i="1"/>
  <c r="AF117" i="1"/>
  <c r="AF120" i="1"/>
  <c r="AF123" i="1"/>
  <c r="AF127" i="1"/>
  <c r="AF130" i="1"/>
  <c r="AF134" i="1"/>
  <c r="AF140" i="1"/>
  <c r="AF141" i="1"/>
  <c r="AF145" i="1"/>
  <c r="AF88" i="1"/>
  <c r="AF92" i="1"/>
  <c r="AF152" i="1"/>
  <c r="AF49" i="1"/>
  <c r="AF131" i="1"/>
  <c r="AF62" i="1"/>
  <c r="AF70" i="1"/>
  <c r="AF78" i="1"/>
  <c r="AF86" i="1"/>
  <c r="AF97" i="1"/>
  <c r="AF105" i="1"/>
  <c r="AF116" i="1"/>
  <c r="AF133" i="1"/>
  <c r="AF142" i="1"/>
  <c r="AF144" i="1"/>
  <c r="AF149" i="1"/>
  <c r="AF150" i="1"/>
  <c r="AF156" i="1"/>
  <c r="AF160" i="1"/>
  <c r="AF214" i="1"/>
  <c r="AF218" i="1"/>
  <c r="AF222" i="1"/>
  <c r="AF232" i="1"/>
  <c r="AF236" i="1"/>
  <c r="AF240" i="1"/>
  <c r="AF244" i="1"/>
  <c r="AF248" i="1"/>
  <c r="AF164" i="1"/>
  <c r="AF168" i="1"/>
  <c r="AF171" i="1"/>
  <c r="AF175" i="1"/>
  <c r="AF179" i="1"/>
  <c r="AF51" i="1"/>
  <c r="AF91" i="1"/>
  <c r="AF95" i="1"/>
  <c r="AF103" i="1"/>
  <c r="AF111" i="1"/>
  <c r="AF121" i="1"/>
  <c r="AF129" i="1"/>
  <c r="AF135" i="1"/>
  <c r="AF139" i="1"/>
  <c r="AF148" i="1"/>
  <c r="AF155" i="1"/>
  <c r="AF159" i="1"/>
  <c r="AF213" i="1"/>
  <c r="AF217" i="1"/>
  <c r="AF221" i="1"/>
  <c r="AF231" i="1"/>
  <c r="AF235" i="1"/>
  <c r="AF239" i="1"/>
  <c r="AF243" i="1"/>
  <c r="AF247" i="1"/>
  <c r="AF163" i="1"/>
  <c r="AF167" i="1"/>
  <c r="AF249" i="1"/>
  <c r="AF174" i="1"/>
  <c r="AF178" i="1"/>
  <c r="AF251" i="1"/>
  <c r="AF184" i="1"/>
  <c r="AF188" i="1"/>
  <c r="AF192" i="1"/>
  <c r="AF196" i="1"/>
  <c r="AF200" i="1"/>
  <c r="AF113" i="1"/>
  <c r="AF119" i="1"/>
  <c r="AF132" i="1"/>
  <c r="AF137" i="1"/>
  <c r="AF146" i="1"/>
  <c r="AF151" i="1"/>
  <c r="AF157" i="1"/>
  <c r="AF211" i="1"/>
  <c r="AF215" i="1"/>
  <c r="AF219" i="1"/>
  <c r="AF223" i="1"/>
  <c r="AF233" i="1"/>
  <c r="AF237" i="1"/>
  <c r="AF241" i="1"/>
  <c r="AF245" i="1"/>
  <c r="AF161" i="1"/>
  <c r="AF165" i="1"/>
  <c r="AF169" i="1"/>
  <c r="AF172" i="1"/>
  <c r="AF176" i="1"/>
  <c r="AF180" i="1"/>
  <c r="AF182" i="1"/>
  <c r="AF186" i="1"/>
  <c r="AF190" i="1"/>
  <c r="AF194" i="1"/>
  <c r="AF198" i="1"/>
  <c r="AF202" i="1"/>
  <c r="AF89" i="1"/>
  <c r="AF100" i="1"/>
  <c r="AF147" i="1"/>
  <c r="AF153" i="1"/>
  <c r="AF212" i="1"/>
  <c r="AF220" i="1"/>
  <c r="AF234" i="1"/>
  <c r="AF242" i="1"/>
  <c r="AF162" i="1"/>
  <c r="AF170" i="1"/>
  <c r="AF177" i="1"/>
  <c r="AF207" i="1"/>
  <c r="AF224" i="1"/>
  <c r="AF228" i="1"/>
  <c r="AF124" i="1"/>
  <c r="AF143" i="1"/>
  <c r="AF204" i="1"/>
  <c r="AF208" i="1"/>
  <c r="AF225" i="1"/>
  <c r="AF229" i="1"/>
  <c r="AF158" i="1"/>
  <c r="AF216" i="1"/>
  <c r="AF230" i="1"/>
  <c r="AF238" i="1"/>
  <c r="AF246" i="1"/>
  <c r="AF173" i="1"/>
  <c r="AF183" i="1"/>
  <c r="AF191" i="1"/>
  <c r="AF209" i="1"/>
  <c r="AF195" i="1"/>
  <c r="AF108" i="1"/>
  <c r="AF185" i="1"/>
  <c r="AF193" i="1"/>
  <c r="AF201" i="1"/>
  <c r="AF206" i="1"/>
  <c r="AF210" i="1"/>
  <c r="AF227" i="1"/>
  <c r="AF250" i="1"/>
  <c r="AF181" i="1"/>
  <c r="AF189" i="1"/>
  <c r="AF197" i="1"/>
  <c r="AF199" i="1"/>
  <c r="AF205" i="1"/>
  <c r="AF226" i="1"/>
  <c r="AF166" i="1"/>
  <c r="AF187" i="1"/>
  <c r="AF203" i="1"/>
  <c r="T34" i="3"/>
  <c r="T51" i="3"/>
  <c r="T22" i="3"/>
  <c r="T14" i="3"/>
  <c r="T17" i="3"/>
  <c r="T8" i="3"/>
  <c r="T7" i="3"/>
  <c r="T36" i="3"/>
  <c r="T30" i="3"/>
  <c r="T12" i="3"/>
  <c r="T41" i="3"/>
  <c r="T39" i="3"/>
  <c r="T43" i="3"/>
  <c r="T25" i="3"/>
  <c r="T15" i="3"/>
  <c r="T45" i="3"/>
  <c r="T9" i="3"/>
  <c r="T46" i="3"/>
  <c r="T50" i="3"/>
  <c r="T20" i="3"/>
  <c r="T24" i="3"/>
  <c r="T13" i="3"/>
  <c r="T27" i="3"/>
  <c r="T37" i="3"/>
  <c r="T21" i="3"/>
  <c r="T44" i="3"/>
  <c r="T28" i="3"/>
  <c r="T23" i="3"/>
  <c r="T42" i="3"/>
  <c r="T16" i="3"/>
  <c r="T38" i="3"/>
  <c r="T29" i="3"/>
  <c r="T33" i="3"/>
  <c r="T35" i="3"/>
  <c r="T31" i="3"/>
  <c r="T48" i="3"/>
  <c r="T11" i="3"/>
  <c r="T32" i="3"/>
  <c r="T26" i="3"/>
  <c r="T19" i="3"/>
  <c r="T49" i="3"/>
  <c r="T18" i="3"/>
  <c r="T10" i="3"/>
  <c r="T40" i="3"/>
  <c r="T47" i="3"/>
  <c r="AF13" i="1"/>
  <c r="V5" i="1"/>
  <c r="V8" i="1" s="1"/>
  <c r="M14" i="5" l="1"/>
  <c r="M13" i="5"/>
  <c r="M12" i="5"/>
  <c r="M11" i="5"/>
  <c r="M10" i="5"/>
  <c r="M9" i="5"/>
  <c r="M8" i="5"/>
  <c r="M7" i="5"/>
  <c r="M6" i="5"/>
  <c r="M5" i="5"/>
  <c r="M4" i="5"/>
  <c r="M3" i="5"/>
  <c r="O3" i="3" l="1"/>
  <c r="S7" i="1" l="1"/>
  <c r="S5" i="1"/>
  <c r="J5" i="1"/>
  <c r="M5" i="1"/>
  <c r="M8" i="1" s="1"/>
  <c r="W5" i="1" a="1"/>
  <c r="W5" i="1" s="1"/>
  <c r="W8" i="1" s="1"/>
  <c r="N5" i="1" a="1"/>
  <c r="N5" i="1" s="1"/>
  <c r="N8" i="1" s="1"/>
  <c r="X5" i="1" a="1"/>
  <c r="X5" i="1" s="1"/>
  <c r="X8" i="1" s="1"/>
  <c r="O5" i="1" a="1"/>
  <c r="O5" i="1" s="1"/>
  <c r="O8" i="1" s="1"/>
  <c r="F4" i="6" l="1"/>
  <c r="G4" i="6"/>
  <c r="I4" i="6"/>
  <c r="H4" i="6"/>
  <c r="J4" i="6"/>
  <c r="J8" i="1"/>
  <c r="J4" i="1"/>
  <c r="S8" i="1"/>
  <c r="S4" i="1"/>
  <c r="S9" i="1" l="1"/>
  <c r="J9" i="1"/>
  <c r="S11" i="1" l="1"/>
  <c r="A11" i="1"/>
  <c r="B1" i="6" l="1"/>
  <c r="A5" i="3"/>
  <c r="D5" i="6" l="1"/>
  <c r="D3" i="6" l="1"/>
  <c r="I5" i="6"/>
  <c r="G5" i="6"/>
  <c r="F5" i="6"/>
  <c r="H5" i="6"/>
  <c r="J5" i="6"/>
  <c r="G3" i="6" l="1"/>
  <c r="F3" i="6"/>
  <c r="H3" i="6"/>
  <c r="I3" i="6"/>
  <c r="J3" i="6"/>
  <c r="B6" i="6"/>
  <c r="D6" i="6" s="1"/>
  <c r="H6" i="6" l="1"/>
  <c r="J6" i="6"/>
  <c r="F6" i="6"/>
  <c r="G6" i="6"/>
  <c r="I6" i="6"/>
  <c r="B7" i="6"/>
  <c r="D7" i="6" s="1"/>
  <c r="B8" i="6" l="1"/>
  <c r="D8" i="6" s="1"/>
  <c r="F7" i="6"/>
  <c r="G7" i="6"/>
  <c r="I7" i="6"/>
  <c r="H7" i="6"/>
  <c r="J7" i="6"/>
  <c r="F8" i="6" l="1"/>
  <c r="G8" i="6"/>
  <c r="J8" i="6"/>
  <c r="H8" i="6"/>
  <c r="I8" i="6"/>
  <c r="B9" i="6"/>
  <c r="D9" i="6" s="1"/>
  <c r="G9" i="6" l="1"/>
  <c r="J9" i="6"/>
  <c r="F9" i="6"/>
  <c r="H9" i="6"/>
  <c r="I9" i="6"/>
  <c r="B10" i="6"/>
  <c r="D10" i="6" s="1"/>
  <c r="B11" i="6" l="1"/>
  <c r="D11" i="6" s="1"/>
  <c r="F10" i="6"/>
  <c r="G10" i="6"/>
  <c r="H10" i="6"/>
  <c r="I10" i="6"/>
  <c r="J10" i="6"/>
  <c r="B12" i="6" l="1"/>
  <c r="D12" i="6" s="1"/>
  <c r="J11" i="6"/>
  <c r="F11" i="6"/>
  <c r="I11" i="6"/>
  <c r="G11" i="6"/>
  <c r="H11" i="6"/>
  <c r="B13" i="6" l="1"/>
  <c r="D13" i="6" s="1"/>
  <c r="G12" i="6"/>
  <c r="H12" i="6"/>
  <c r="F12" i="6"/>
  <c r="I12" i="6"/>
  <c r="J12" i="6"/>
  <c r="G13" i="6" l="1"/>
  <c r="I13" i="6"/>
  <c r="J13" i="6"/>
  <c r="F13" i="6"/>
  <c r="H13" i="6"/>
  <c r="B14" i="6"/>
  <c r="D14" i="6" s="1"/>
  <c r="B15" i="6" l="1"/>
  <c r="D15" i="6" s="1"/>
  <c r="J14" i="6"/>
  <c r="F14" i="6"/>
  <c r="H14" i="6"/>
  <c r="G14" i="6"/>
  <c r="I14" i="6"/>
  <c r="B16" i="6" l="1"/>
  <c r="D16" i="6" s="1"/>
  <c r="H15" i="6"/>
  <c r="F15" i="6"/>
  <c r="I15" i="6"/>
  <c r="J15" i="6"/>
  <c r="G15" i="6"/>
  <c r="B18" i="6" l="1"/>
  <c r="D18" i="6" s="1"/>
  <c r="B17" i="6"/>
  <c r="D17" i="6" s="1"/>
  <c r="G16" i="6"/>
  <c r="H16" i="6"/>
  <c r="F16" i="6"/>
  <c r="I16" i="6"/>
  <c r="J16" i="6"/>
  <c r="G17" i="6" l="1"/>
  <c r="H17" i="6"/>
  <c r="I17" i="6"/>
  <c r="J17" i="6"/>
  <c r="F17" i="6"/>
  <c r="H18" i="6"/>
  <c r="J18" i="6"/>
  <c r="G18" i="6"/>
  <c r="I18" i="6"/>
  <c r="F18" i="6"/>
</calcChain>
</file>

<file path=xl/connections.xml><?xml version="1.0" encoding="utf-8"?>
<connections xmlns="http://schemas.openxmlformats.org/spreadsheetml/2006/main">
  <connection id="1" name="Denver Train Runs 04122016" type="6" refreshedVersion="5" deleted="1" background="1" saveData="1">
    <textPr codePage="437" sourceFile="C:\Users\rwhitlock\Desktop\Denver Train Runs 04122016.txt">
      <textFields count="10">
        <textField/>
        <textField/>
        <textField/>
        <textField/>
        <textField/>
        <textField/>
        <textField/>
        <textField/>
        <textField/>
        <textField/>
      </textFields>
    </textPr>
  </connection>
</connections>
</file>

<file path=xl/sharedStrings.xml><?xml version="1.0" encoding="utf-8"?>
<sst xmlns="http://schemas.openxmlformats.org/spreadsheetml/2006/main" count="2874" uniqueCount="1014">
  <si>
    <t>Train ID</t>
  </si>
  <si>
    <t>Departure/Init Location</t>
  </si>
  <si>
    <t>Initialization Date/Time (US/Mountain)</t>
  </si>
  <si>
    <t>Departure Date/Time (US/Mountain)</t>
  </si>
  <si>
    <t>Delay (minutes)</t>
  </si>
  <si>
    <t>Arrival Location</t>
  </si>
  <si>
    <t>Arrival Date/Time (US/Mountain)</t>
  </si>
  <si>
    <t>2083 Enforcements (count)</t>
  </si>
  <si>
    <t>Trip Length</t>
  </si>
  <si>
    <t>Cut out runs</t>
  </si>
  <si>
    <t>PTC Runs</t>
  </si>
  <si>
    <t>Average</t>
  </si>
  <si>
    <t>Min</t>
  </si>
  <si>
    <t>Max</t>
  </si>
  <si>
    <t>Total</t>
  </si>
  <si>
    <t>NA</t>
  </si>
  <si>
    <t>Total Completed PTC runs</t>
  </si>
  <si>
    <t>Single Init runs</t>
  </si>
  <si>
    <t>Cut out</t>
  </si>
  <si>
    <t>Total Completed PTC runs (%)</t>
  </si>
  <si>
    <t>Trip Start MP</t>
  </si>
  <si>
    <t>Trip End MP</t>
  </si>
  <si>
    <t>Trip Distance</t>
  </si>
  <si>
    <t>Concerning?</t>
  </si>
  <si>
    <t>Comments</t>
  </si>
  <si>
    <t>Operating Date</t>
  </si>
  <si>
    <t>Onboard Software Version</t>
  </si>
  <si>
    <t>System Enforcement Y/N</t>
  </si>
  <si>
    <t xml:space="preserve">Data.Enforcement Direction of Travel </t>
  </si>
  <si>
    <t xml:space="preserve">Data.Target Start Milepost </t>
  </si>
  <si>
    <t xml:space="preserve">Data.Target Type </t>
  </si>
  <si>
    <t xml:space="preserve">Data.Enforcement Start Milepost </t>
  </si>
  <si>
    <t xml:space="preserve">Data.Enforcement Train Speed </t>
  </si>
  <si>
    <t xml:space="preserve">Data.Target Speed </t>
  </si>
  <si>
    <t xml:space="preserve">Data.Target Description </t>
  </si>
  <si>
    <t xml:space="preserve">Data.Warning/Enforcement Type </t>
  </si>
  <si>
    <t xml:space="preserve">Data.Train ID </t>
  </si>
  <si>
    <t xml:space="preserve">Source </t>
  </si>
  <si>
    <t xml:space="preserve">Time </t>
  </si>
  <si>
    <t>Enforcement MP</t>
  </si>
  <si>
    <t>Enforcement Desc</t>
  </si>
  <si>
    <t>w/o multiple inits</t>
  </si>
  <si>
    <t>w/ multiple inits</t>
  </si>
  <si>
    <t>Multi Init runs</t>
  </si>
  <si>
    <t>Loco ID</t>
  </si>
  <si>
    <t>Kibana Link</t>
  </si>
  <si>
    <t>Status</t>
  </si>
  <si>
    <t>Operator Name</t>
  </si>
  <si>
    <t>Difference between last trip</t>
  </si>
  <si>
    <t>Predictive Enforcement (2)</t>
  </si>
  <si>
    <t>Increasing Mileposts (1)</t>
  </si>
  <si>
    <t>Decreasing Mileposts (2)</t>
  </si>
  <si>
    <t>sunday - thu - 144/day</t>
  </si>
  <si>
    <t>fri-sat - 146/day</t>
  </si>
  <si>
    <t>Married Pair</t>
  </si>
  <si>
    <t>Kibana URL</t>
  </si>
  <si>
    <t>Possible Explanation</t>
  </si>
  <si>
    <t>Recorded Operator</t>
  </si>
  <si>
    <t>Trip ID</t>
  </si>
  <si>
    <t># Of Times Offered</t>
  </si>
  <si>
    <t>Loco</t>
  </si>
  <si>
    <t>Recorded Loco</t>
  </si>
  <si>
    <t>Recorded time</t>
  </si>
  <si>
    <t>Xing Completion Percentage</t>
  </si>
  <si>
    <t>IsEven</t>
  </si>
  <si>
    <t>Xing#</t>
  </si>
  <si>
    <t>BEGINMILEPOST</t>
  </si>
  <si>
    <t>ENDMILEPOST</t>
  </si>
  <si>
    <t>York and Josephine Street</t>
  </si>
  <si>
    <t>CLAYTON ST</t>
  </si>
  <si>
    <t>STEELE ST</t>
  </si>
  <si>
    <t>Dahlia Street</t>
  </si>
  <si>
    <t>Holly Street</t>
  </si>
  <si>
    <t>Monaco Parkway</t>
  </si>
  <si>
    <t>SB Quebec Parkway</t>
  </si>
  <si>
    <t>NB Quebec Parkway</t>
  </si>
  <si>
    <t>Ulster Street</t>
  </si>
  <si>
    <t>Havana Street</t>
  </si>
  <si>
    <t>Sable Boulevard</t>
  </si>
  <si>
    <t>Chambers Road</t>
  </si>
  <si>
    <t>Possible System Enforcement</t>
  </si>
  <si>
    <t>Training enforcement</t>
  </si>
  <si>
    <t>Trip Number Sortable</t>
  </si>
  <si>
    <t>LocoID</t>
  </si>
  <si>
    <t>UTC Time</t>
  </si>
  <si>
    <t>AstroGrep Path</t>
  </si>
  <si>
    <t>Search Path</t>
  </si>
  <si>
    <t>Search RegExp</t>
  </si>
  <si>
    <t>AstroGrepCall</t>
  </si>
  <si>
    <t>AWS CP</t>
  </si>
  <si>
    <t>S3 Bucket</t>
  </si>
  <si>
    <t>s3://rtdc.mdm.uploadarchive</t>
  </si>
  <si>
    <t>WalkAndUnGZ</t>
  </si>
  <si>
    <t>AstroGrep</t>
  </si>
  <si>
    <t>UTC Offset</t>
  </si>
  <si>
    <t>Reactive Enforcement (3)</t>
  </si>
  <si>
    <t>EC Threshold for Pink Highlight (Slow Run) (mins)</t>
  </si>
  <si>
    <t>NWGL Threshold for Pink Highlight (Slow run) (mins)</t>
  </si>
  <si>
    <t>EC Crossings</t>
  </si>
  <si>
    <t>NW Crossings</t>
  </si>
  <si>
    <t>BNSF FUEL YARD</t>
  </si>
  <si>
    <t>Kibana link</t>
  </si>
  <si>
    <t>EC</t>
  </si>
  <si>
    <t>NW</t>
  </si>
  <si>
    <t>EC/NW/GL</t>
  </si>
  <si>
    <t>RefineRTDCRunTimes</t>
  </si>
  <si>
    <t>RefineTime</t>
  </si>
  <si>
    <t>"%USERPROFILE%\Documents\GitHub\eaglep3\Utilities\RefineRTDCRunTimes.py"</t>
  </si>
  <si>
    <t>%USERPROFILE%\Documents\GitHub\mrs-test-scripts\Headless Mode &amp; Sideloading\WalkAndUnGZ.bat</t>
  </si>
  <si>
    <t>"%USERPROFILE%\AppData\Local\Temp\OnboardLogs"</t>
  </si>
  <si>
    <t xml:space="preserve">baselines for EC: </t>
  </si>
  <si>
    <t>baselines for NWES:</t>
  </si>
  <si>
    <t>Redmine API Key</t>
  </si>
  <si>
    <t>Redmine URL</t>
  </si>
  <si>
    <t>https://secure.xorail.net/redmine/issues.json</t>
  </si>
  <si>
    <t>Impact</t>
  </si>
  <si>
    <t>Operational Impact</t>
  </si>
  <si>
    <t>Denver Segment Assigned</t>
  </si>
  <si>
    <t>Enforcement</t>
  </si>
  <si>
    <t>Yes</t>
  </si>
  <si>
    <t>General</t>
  </si>
  <si>
    <t>Failed State</t>
  </si>
  <si>
    <t>No</t>
  </si>
  <si>
    <t>Signal</t>
  </si>
  <si>
    <t>Unexpected Cut-Out or Disengaged</t>
  </si>
  <si>
    <t>Crossings</t>
  </si>
  <si>
    <t>Initialization Problem</t>
  </si>
  <si>
    <t>STMS</t>
  </si>
  <si>
    <t>Immediate Train Stop</t>
  </si>
  <si>
    <t>Comms</t>
  </si>
  <si>
    <t>Others</t>
  </si>
  <si>
    <t>Wi-MAX</t>
  </si>
  <si>
    <t>Loco - Comms</t>
  </si>
  <si>
    <t>Subdiv</t>
  </si>
  <si>
    <t>RTDC Issue</t>
  </si>
  <si>
    <t>TBD</t>
  </si>
  <si>
    <t>Training</t>
  </si>
  <si>
    <t>Redmine Status</t>
  </si>
  <si>
    <t>Redmine Priority</t>
  </si>
  <si>
    <t>Redmine Assignee</t>
  </si>
  <si>
    <t>Redmine Operational Impact</t>
  </si>
  <si>
    <t>Redmine cURL</t>
  </si>
  <si>
    <t>Redmine add'l desc</t>
  </si>
  <si>
    <t>Seg't</t>
  </si>
  <si>
    <t>Output Refined Run Times to File?</t>
  </si>
  <si>
    <t>RefinedRTDCRunTimesOutputFile</t>
  </si>
  <si>
    <t>Trip Number</t>
  </si>
  <si>
    <t>Data.Current Information Milepost</t>
  </si>
  <si>
    <t>Stopped Distance Short of Target (ft)</t>
  </si>
  <si>
    <t>ozone</t>
  </si>
  <si>
    <t>temperature</t>
  </si>
  <si>
    <t>icon</t>
  </si>
  <si>
    <t>dewPoint</t>
  </si>
  <si>
    <t>humidity</t>
  </si>
  <si>
    <t>visibility</t>
  </si>
  <si>
    <t>summary</t>
  </si>
  <si>
    <t>apparentTemperature</t>
  </si>
  <si>
    <t>pressure</t>
  </si>
  <si>
    <t>windSpeed</t>
  </si>
  <si>
    <t>cloudCover</t>
  </si>
  <si>
    <t>time</t>
  </si>
  <si>
    <t>windBearing</t>
  </si>
  <si>
    <t>precipIntensity</t>
  </si>
  <si>
    <t>precipProbability</t>
  </si>
  <si>
    <t>human_readable_time</t>
  </si>
  <si>
    <t>Loco - PTC</t>
  </si>
  <si>
    <t>Power</t>
  </si>
  <si>
    <t>CLI Grep</t>
  </si>
  <si>
    <t>Time (US/Mountain)</t>
  </si>
  <si>
    <t>Source</t>
  </si>
  <si>
    <t>Employee Identifier</t>
  </si>
  <si>
    <t>Employee Last Name</t>
  </si>
  <si>
    <t>s3://rtdc.mdm.uploadarchive.raw</t>
  </si>
  <si>
    <t>Powered by darksky [darksky.net]</t>
  </si>
  <si>
    <t>Enforcements Text</t>
  </si>
  <si>
    <t>Runs-Refined Text</t>
  </si>
  <si>
    <t>Trips Text</t>
  </si>
  <si>
    <t>Weather Text</t>
  </si>
  <si>
    <t>N</t>
  </si>
  <si>
    <t>TRACK WARRANT AUTHORITY</t>
  </si>
  <si>
    <t>Form based authority (4)</t>
  </si>
  <si>
    <t>Summary for DUS 2016-10-12: Partly cloudy until night.</t>
  </si>
  <si>
    <t>AWS CP Commands</t>
  </si>
  <si>
    <t>Human Factors</t>
  </si>
  <si>
    <t>CLI Grep2 (for slice disagreement)</t>
  </si>
  <si>
    <t>GRADE CROSSING</t>
  </si>
  <si>
    <t>Bulletin (2)</t>
  </si>
  <si>
    <t>Last + First</t>
  </si>
  <si>
    <t>Employee First Name</t>
  </si>
  <si>
    <t>AWS CP Parallel</t>
  </si>
  <si>
    <t>DownloadS3Logs</t>
  </si>
  <si>
    <t>%USERPROFILE%\Documents\GitHub\eaglep3\Utilities\DownloadLogsFromS3.py</t>
  </si>
  <si>
    <t>PERMANENT SPEED RESTRICTION</t>
  </si>
  <si>
    <t>Speed (6)</t>
  </si>
  <si>
    <t>DE.1.0.9.0</t>
  </si>
  <si>
    <t>SYS :2017/03/01 11:03:17.741:ENFORCEMENT:Predictive Enforcement Action:  Target Number: 00001003  Target Speed:   0.0  Current Speed:   5.7</t>
  </si>
  <si>
    <t>SYS :2017/03/01 11:03:17.810:ENFORCEMENT:Predictive Enforcement Action:  Target Number: 00001003  Target Speed:   0.0  Current Speed:   5.7</t>
  </si>
  <si>
    <t>SYS :2017/03/01 11:03:18.030:ENFORCEMENT:Predictive Enforcement Action:  Target Number: 00001003  Target Speed:   0.0  Current Speed:   5.7</t>
  </si>
  <si>
    <t>SYS :2017/03/01 11:24:06.574:ENFORCEMENT:Predictive Enforcement Action:  Target Number: 00001002  Target Speed:   0.0  Current Speed:   3.8</t>
  </si>
  <si>
    <t>SYS :2017/03/01 12:17:19.475:ENFORCEMENT:Predictive Enforcement Action:  Target Number: 0001002E  Target Speed:  30.0  Current Speed:  41.6</t>
  </si>
  <si>
    <t>SYS :2017/03/01 12:17:19.924:ENFORCEMENT:Predictive Enforcement Action:  Target Number: 0001002E  Target Speed:  30.0  Current Speed:  41.6</t>
  </si>
  <si>
    <t>SYS :2017/03/01 12:17:20.397:ENFORCEMENT:Predictive Enforcement Action:  Target Number: 0001002E  Target Speed:  30.0  Current Speed:  41.6</t>
  </si>
  <si>
    <t>SYS :2017/03/01 12:32:44.588:ENFORCEMENT:Reactive Enforcement Action:  Target Number: 0001002B  Target Speed:  20.0  Current Speed:  25.1</t>
  </si>
  <si>
    <t>SYS :2017/03/01 12:32:44.912:ENFORCEMENT:Reactive Enforcement Action:  Target Number: 0001002B  Target Speed:  20.0  Current Speed:  25.1</t>
  </si>
  <si>
    <t>SYS :2017/03/01 12:32:45.103:ENFORCEMENT:Reactive Enforcement Action:  Target Number: 0001002C  Target Speed:  20.0  Current Speed:  25.1</t>
  </si>
  <si>
    <t>SYS :2017/03/01 12:52:12.025:ENFORCEMENT:Predictive Enforcement Action:  Target Number: 00001005  Target Speed:   0.0  Current Speed:   4.0</t>
  </si>
  <si>
    <t>SYS :2017/03/01 12:52:12.733:ENFORCEMENT:Predictive Enforcement Action:  Target Number: 00001005  Target Speed:   0.0  Current Speed:   3.9</t>
  </si>
  <si>
    <t>SYS :2017/03/01 12:52:12.806:ENFORCEMENT:Predictive Enforcement Action:  Target Number: 00001005  Target Speed:   0.0  Current Speed:   3.9</t>
  </si>
  <si>
    <t>SYS :2017/03/01 13:10:35.575:ENFORCEMENT:Predictive Enforcement Action:  Target Number: 00001004  Target Speed:   0.0  Current Speed:   7.4</t>
  </si>
  <si>
    <t>SYS :2017/03/01 13:10:35.884:ENFORCEMENT:Predictive Enforcement Action:  Target Number: 00001004  Target Speed:   0.0  Current Speed:   7.4</t>
  </si>
  <si>
    <t>SYS :2017/03/01 13:10:36.086:ENFORCEMENT:Predictive Enforcement Action:  Target Number: 00001004  Target Speed:   0.0  Current Speed:   7.3</t>
  </si>
  <si>
    <t>SYS :2017/03/01 13:20:52.810:ENFORCEMENT:Predictive Enforcement Action:  Target Number: 000060A5  Target Speed:   0.0  Current Speed:  33.7</t>
  </si>
  <si>
    <t>SYS :2017/03/01 13:20:52.980:ENFORCEMENT:Predictive Enforcement Action:  Target Number: 0000609D  Target Speed:   0.0  Current Speed:  34.4</t>
  </si>
  <si>
    <t>SYS :2017/03/01 13:58:52.710:ENFORCEMENT:Predictive Enforcement Action:  Target Number: 00017264  Target Speed:   0.0  Current Speed:  13.5</t>
  </si>
  <si>
    <t>SYS :2017/03/01 13:58:53.276:ENFORCEMENT:Reactive Enforcement Action:  Target Number: 00017264  Target Speed:   0.0  Current Speed:  12.9</t>
  </si>
  <si>
    <t>SYS :2017/03/01 13:58:53.627:ENFORCEMENT:Reactive Enforcement Action:  Target Number: 00017264  Target Speed:   0.0  Current Speed:  12.9</t>
  </si>
  <si>
    <t>SYS :2017/03/01 14:00:31.007:ENFORCEMENT:Predictive Enforcement Action:  Target Number: 0001701A  Target Speed:   0.0  Current Speed:  17.2</t>
  </si>
  <si>
    <t>SYS :2017/03/01 14:00:31.373:ENFORCEMENT:Predictive Enforcement Action:  Target Number: 0001701A  Target Speed:   0.0  Current Speed:  17.2</t>
  </si>
  <si>
    <t>SYS :2017/03/01 14:00:31.869:ENFORCEMENT:Predictive Enforcement Action:  Target Number: 0001701A  Target Speed:   0.0  Current Speed:  17.1</t>
  </si>
  <si>
    <t>SYS :2017/03/01 14:08:42.962:ENFORCEMENT:Reactive Enforcement Action:  Target Number: 0001700B  Target Speed:   0.0  Current Speed:  12.1</t>
  </si>
  <si>
    <t>SYS :2017/03/01 14:08:43.936:ENFORCEMENT:Reactive Enforcement Action:  Target Number: 0001700B  Target Speed:   0.0  Current Speed:  11.1</t>
  </si>
  <si>
    <t>SYS :2017/03/01 14:08:44.822:ENFORCEMENT:Reactive Enforcement Action:  Target Number: 0001700B  Target Speed:   0.0  Current Speed:  10.9</t>
  </si>
  <si>
    <t>SYS :2017/03/01 14:40:19.043:ENFORCEMENT:Predictive Enforcement Action:  Target Number: 0001702D  Target Speed:  15.0  Current Speed:  23.5</t>
  </si>
  <si>
    <t>SYS :2017/03/01 14:40:20.484:ENFORCEMENT:Predictive Enforcement Action:  Target Number: 0001702D  Target Speed:  15.0  Current Speed:  22.9</t>
  </si>
  <si>
    <t>SYS :2017/03/01 14:42:29.040:ENFORCEMENT:Predictive Enforcement Action:  Target Number: 0001022B  Target Speed:  15.0  Current Speed:  21.3</t>
  </si>
  <si>
    <t>SYS :2017/03/01 14:42:30.164:ENFORCEMENT:Predictive Enforcement Action:  Target Number: 0001022B  Target Speed:  15.0  Current Speed:  21.7</t>
  </si>
  <si>
    <t>SYS :2017/03/01 14:42:30.410:ENFORCEMENT:Predictive Enforcement Action:  Target Number: 0001022B  Target Speed:  15.0  Current Speed:  21.7</t>
  </si>
  <si>
    <t>SYS :2017/03/01 15:16:01.045:ENFORCEMENT:Reactive Enforcement Action:  Target Number: 0001715B  Target Speed:  19.0  Current Speed:  24.3</t>
  </si>
  <si>
    <t>SYS :2017/03/01 15:16:01.400:ENFORCEMENT:Reactive Enforcement Action:  Target Number: 0001715C  Target Speed:  19.0  Current Speed:  24.3</t>
  </si>
  <si>
    <t>SYS :2017/03/01 15:17:18.045:ENFORCEMENT:Predictive Enforcement Action:  Target Number: 0001023A  Target Speed:  30.0  Current Speed:  37.2</t>
  </si>
  <si>
    <t>SYS :2017/03/01 15:17:18.415:ENFORCEMENT:Predictive Enforcement Action:  Target Number: 0001023A  Target Speed:  30.0  Current Speed:  37.2</t>
  </si>
  <si>
    <t>SYS :2017/03/01 15:17:19.155:ENFORCEMENT:Predictive Enforcement Action:  Target Number: 0001023A  Target Speed:  30.0  Current Speed:  37.2</t>
  </si>
  <si>
    <t>SYS :2017/03/01 16:13:17.582:ENFORCEMENT:Predictive Enforcement Action:  Target Number: 00017057  Target Speed:   0.0  Current Speed:  31.1</t>
  </si>
  <si>
    <t>SYS :2017/03/01 16:13:17.910:ENFORCEMENT:Predictive Enforcement Action:  Target Number: 00017057  Target Speed:   0.0  Current Speed:  31.1</t>
  </si>
  <si>
    <t>SYS :2017/03/01 16:33:53.680:ENFORCEMENT:Predictive Enforcement Action:  Target Number: 0000100C  Target Speed:   0.0  Current Speed:   3.5</t>
  </si>
  <si>
    <t>SYS :2017/03/01 16:33:53.828:ENFORCEMENT:Predictive Enforcement Action:  Target Number: 0000100C  Target Speed:   0.0  Current Speed:   3.5</t>
  </si>
  <si>
    <t>SYS :2017/03/01 16:33:53.912:ENFORCEMENT:Predictive Enforcement Action:  Target Number: 0000100C  Target Speed:   0.0  Current Speed:   3.5</t>
  </si>
  <si>
    <t>SYS :2017/03/01 17:25:14.718:ENFORCEMENT:Predictive Enforcement Action:  Target Number: 000100F3  Target Speed:  30.0  Current Speed:  47.7</t>
  </si>
  <si>
    <t>SYS :2017/03/01 17:25:14.865:ENFORCEMENT:Predictive Enforcement Action:  Target Number: 000100FB  Target Speed:  30.0  Current Speed:  48.6</t>
  </si>
  <si>
    <t>SYS :2017/03/01 17:25:14.945:ENFORCEMENT:Predictive Enforcement Action:  Target Number: 000100F3  Target Speed:  30.0  Current Speed:  48.6</t>
  </si>
  <si>
    <t>SYS :2017/03/01 17:51:17.905:ENFORCEMENT:Predictive Enforcement Action:  Target Number: 00017062  Target Speed:   0.0  Current Speed:  18.7</t>
  </si>
  <si>
    <t>SYS :2017/03/01 17:51:18.582:ENFORCEMENT:Predictive Enforcement Action:  Target Number: 00017062  Target Speed:   0.0  Current Speed:  17.9</t>
  </si>
  <si>
    <t>SYS :2017/03/01 17:53:38.687:ENFORCEMENT:Predictive Enforcement Action:  Target Number: 00017064  Target Speed:  28.0  Current Speed:  33.4</t>
  </si>
  <si>
    <t>SYS :2017/03/01 17:53:38.949:ENFORCEMENT:Predictive Enforcement Action:  Target Number: 00017064  Target Speed:  28.0  Current Speed:  33.4</t>
  </si>
  <si>
    <t>SYS :2017/03/01 17:54:21.586:ENFORCEMENT:Predictive Enforcement Action:  Target Number: 00017064  Target Speed:   7.0  Current Speed:  13.1</t>
  </si>
  <si>
    <t>SYS :2017/03/01 17:54:21.919:ENFORCEMENT:Predictive Enforcement Action:  Target Number: 00017064  Target Speed:   7.0  Current Speed:  13.1</t>
  </si>
  <si>
    <t>SYS :2017/03/01 17:55:16.336:ENFORCEMENT:Predictive Enforcement Action:  Target Number: 00001012  Target Speed:   0.0  Current Speed:   4.1</t>
  </si>
  <si>
    <t>SYS :2017/03/01 17:55:16.384:ENFORCEMENT:Predictive Enforcement Action:  Target Number: 00001012  Target Speed:   0.0  Current Speed:   4.1</t>
  </si>
  <si>
    <t>SYS :2017/03/01 17:55:16.839:ENFORCEMENT:Predictive Enforcement Action:  Target Number: 00001012  Target Speed:   0.0  Current Speed:   4.0</t>
  </si>
  <si>
    <t>SYS :2017/03/01 18:13:47.810:ENFORCEMENT:Predictive Enforcement Action:  Target Number: 000170DB  Target Speed:  39.0  Current Speed:  45.0</t>
  </si>
  <si>
    <t>SYS :2017/03/01 18:13:48.426:ENFORCEMENT:Predictive Enforcement Action:  Target Number: 000170DB  Target Speed:  39.0  Current Speed:  44.9</t>
  </si>
  <si>
    <t>SYS :2017/03/01 18:34:18.681:ENFORCEMENT:Predictive Enforcement Action:  Target Number: 00001012  Target Speed:   0.0  Current Speed:   5.4</t>
  </si>
  <si>
    <t>SYS :2017/03/01 18:34:18.834:ENFORCEMENT:Predictive Enforcement Action:  Target Number: 00001012  Target Speed:   0.0  Current Speed:   5.4</t>
  </si>
  <si>
    <t>SYS :2017/03/01 18:34:18.908:ENFORCEMENT:Predictive Enforcement Action:  Target Number: 00001012  Target Speed:   0.0  Current Speed:   5.4</t>
  </si>
  <si>
    <t>SYS :2017/03/01 20:06:08.810:ENFORCEMENT:Predictive Enforcement Action:  Target Number: 000170FA  Target Speed:  42.0  Current Speed:  47.0</t>
  </si>
  <si>
    <t>SYS :2017/03/01 20:06:09.082:ENFORCEMENT:Predictive Enforcement Action:  Target Number: 000170F6  Target Speed:  42.0  Current Speed:  47.0</t>
  </si>
  <si>
    <t>SYS :2017/03/01 20:06:09.424:ENFORCEMENT:Predictive Enforcement Action:  Target Number: 000170FA  Target Speed:  42.0  Current Speed:  47.0</t>
  </si>
  <si>
    <t>SYS :2017/03/01 20:29:46.035:ENFORCEMENT:Predictive Enforcement Action:  Target Number: 000171A3  Target Speed:   0.0  Current Speed:  16.3</t>
  </si>
  <si>
    <t>SYS :2017/03/01 20:29:46.150:ENFORCEMENT:Predictive Enforcement Action:  Target Number: 000171A4  Target Speed:   0.0  Current Speed:  16.3</t>
  </si>
  <si>
    <t>SYS :2017/03/01 20:29:46.410:ENFORCEMENT:Predictive Enforcement Action:  Target Number: 000171A4  Target Speed:   0.0  Current Speed:  16.3</t>
  </si>
  <si>
    <t>SYS :2017/03/01 20:32:47.271:ENFORCEMENT:Predictive Enforcement Action:  Target Number: 0001001E  Target Speed:  60.0  Current Speed:  67.7</t>
  </si>
  <si>
    <t>SYS :2017/03/01 20:32:47.465:ENFORCEMENT:Predictive Enforcement Action:  Target Number: 0001001D  Target Speed:  60.0  Current Speed:  67.7</t>
  </si>
  <si>
    <t>SYS :2017/03/01 20:32:47.590:ENFORCEMENT:Predictive Enforcement Action:  Target Number: 0001001E  Target Speed:  60.0  Current Speed:  67.9</t>
  </si>
  <si>
    <t>SYS :2017/03/01 21:35:07.687:ENFORCEMENT:Predictive Enforcement Action:  Target Number: 0000101A  Target Speed:   0.0  Current Speed:   4.8</t>
  </si>
  <si>
    <t>SYS :2017/03/01 22:09:49.455:ENFORCEMENT:Reactive Enforcement Action:  Target Number: 00017088  Target Speed:  36.0  Current Speed:  41.3</t>
  </si>
  <si>
    <t>SYS :2017/03/01 22:09:49.531:ENFORCEMENT:Reactive Enforcement Action:  Target Number: 0001708C  Target Speed:  36.0  Current Speed:  41.3</t>
  </si>
  <si>
    <t>SYS :2017/03/01 22:09:49.600:ENFORCEMENT:Reactive Enforcement Action:  Target Number: 0001708C  Target Speed:  36.0  Current Speed:  41.3</t>
  </si>
  <si>
    <t>SYS :2017/03/01 22:19:03.040:ENFORCEMENT:Predictive Enforcement Action:  Target Number: 00017092  Target Speed:   0.0  Current Speed:  41.5</t>
  </si>
  <si>
    <t>SYS :2017/03/01 22:19:03.803:ENFORCEMENT:Predictive Enforcement Action:  Target Number: 00017028  Target Speed:   0.0  Current Speed:  39.4</t>
  </si>
  <si>
    <t>SYS :2017/03/01 22:19:04.887:ENFORCEMENT:Predictive Enforcement Action:  Target Number: 00017092  Target Speed:   0.0  Current Speed:  36.8</t>
  </si>
  <si>
    <t>SYS :2017/03/01 22:37:58.313:ENFORCEMENT:Predictive Enforcement Action:  Target Number: 0000101D  Target Speed:   0.0  Current Speed:   2.5</t>
  </si>
  <si>
    <t>SYS :2017/03/01 22:37:58.800:ENFORCEMENT:Predictive Enforcement Action:  Target Number: 0000101D  Target Speed:   0.0  Current Speed:   2.4</t>
  </si>
  <si>
    <t>SYS :2017/03/01 22:37:58.968:ENFORCEMENT:Predictive Enforcement Action:  Target Number: 0000101D  Target Speed:   0.0  Current Speed:   2.5</t>
  </si>
  <si>
    <t>SYS :2017/03/01 22:51:54.858:ENFORCEMENT:Predictive Enforcement Action:  Target Number: 0000100E  Target Speed:   0.0  Current Speed:   5.7</t>
  </si>
  <si>
    <t>SYS :2017/03/01 22:53:19.418:ENFORCEMENT:Predictive Enforcement Action:  Target Number: 00017092  Target Speed:   0.0  Current Speed:  20.6</t>
  </si>
  <si>
    <t>SYS :2017/03/01 22:53:19.708:ENFORCEMENT:Predictive Enforcement Action:  Target Number: 0001709E  Target Speed:   0.0  Current Speed:  20.0</t>
  </si>
  <si>
    <t>SYS :2017/03/01 23:26:03.802:ENFORCEMENT:Predictive Enforcement Action:  Target Number: 0000101F  Target Speed:   0.0  Current Speed:   3.5</t>
  </si>
  <si>
    <t>SYS :2017/03/01 23:26:03.967:ENFORCEMENT:Predictive Enforcement Action:  Target Number: 0000101F  Target Speed:   0.0  Current Speed:   3.5</t>
  </si>
  <si>
    <t>SYS :2017/03/01 23:26:04.314:ENFORCEMENT:Predictive Enforcement Action:  Target Number: 0000101F  Target Speed:   0.0  Current Speed:   3.4</t>
  </si>
  <si>
    <t>SYS :2017/03/01 23:34:24.829:ENFORCEMENT:Predictive Enforcement Action:  Target Number: 0000101F  Target Speed:   0.0  Current Speed:   5.8</t>
  </si>
  <si>
    <t>SYS :2017/03/01 23:34:24.908:ENFORCEMENT:Predictive Enforcement Action:  Target Number: 0000101F  Target Speed:   0.0  Current Speed:   5.8</t>
  </si>
  <si>
    <t>SYS :2017/03/01 23:52:09.789:ENFORCEMENT:Predictive Enforcement Action:  Target Number: 00001029  Target Speed:   0.0  Current Speed:   5.5</t>
  </si>
  <si>
    <t>SYS :2017/03/01 23:52:10.049:ENFORCEMENT:Predictive Enforcement Action:  Target Number: 00001026  Target Speed:   0.0  Current Speed:   5.5</t>
  </si>
  <si>
    <t>SYS :2017/03/02 00:26:52.318:ENFORCEMENT:Predictive Enforcement Action:  Target Number: 00001021  Target Speed:   0.0  Current Speed:   2.4</t>
  </si>
  <si>
    <t>SYS :2017/03/02 00:26:52.805:ENFORCEMENT:Predictive Enforcement Action:  Target Number: 00001021  Target Speed:   0.0  Current Speed:   2.4</t>
  </si>
  <si>
    <t>SYS :2017/03/02 00:26:52.971:ENFORCEMENT:Predictive Enforcement Action:  Target Number: 00001021  Target Speed:   0.0  Current Speed:   2.4</t>
  </si>
  <si>
    <t>SYS :2017/03/02 00:52:34.904:ENFORCEMENT:Predictive Enforcement Action:  Target Number: 00001012  Target Speed:   0.0  Current Speed:   4.3</t>
  </si>
  <si>
    <t>SYS :2017/03/02 00:52:36.808:ENFORCEMENT:Predictive Enforcement Action:  Target Number: 00001012  Target Speed:   0.0  Current Speed:   4.8</t>
  </si>
  <si>
    <t>SYS :2017/03/02 00:52:36.956:ENFORCEMENT:Predictive Enforcement Action:  Target Number: 00001012  Target Speed:   0.0  Current Speed:   4.8</t>
  </si>
  <si>
    <t>SYS :2017/03/02 01:13:02.814:ENFORCEMENT:Reactive Enforcement Action:  Target Number: 00006138  Target Speed:   0.0  Current Speed:  16.3</t>
  </si>
  <si>
    <t>SYS :2017/03/02 01:13:03.323:ENFORCEMENT:Reactive Enforcement Action:  Target Number: 00006157  Target Speed:   0.0  Current Speed:  16.3</t>
  </si>
  <si>
    <t>SYS :2017/03/02 01:13:03.347:ENFORCEMENT:Reactive Enforcement Action:  Target Number: 000040C6  Target Speed:   0.0  Current Speed:  16.3</t>
  </si>
  <si>
    <t>SYS :2017/03/02 01:13:03.980:ENFORCEMENT:Reactive Enforcement Action:  Target Number: 00006133  Target Speed:   0.0  Current Speed:  16.3</t>
  </si>
  <si>
    <t>SYS :2017/03/02 01:13:37.804:ENFORCEMENT:Reactive Enforcement Action:  Target Number: 00006138  Target Speed:   0.0  Current Speed:   0.2</t>
  </si>
  <si>
    <t>SYS :2017/03/02 01:13:38.315:ENFORCEMENT:Reactive Enforcement Action:  Target Number: 00006157  Target Speed:   0.0  Current Speed:   0.2</t>
  </si>
  <si>
    <t>SYS :2017/03/02 01:13:38.969:ENFORCEMENT:Reactive Enforcement Action:  Target Number: 00006133  Target Speed:   0.0  Current Speed:   0.2</t>
  </si>
  <si>
    <t>SYS :2017/03/02 01:14:07.802:ENFORCEMENT:Reactive Enforcement Action:  Target Number: 00006138  Target Speed:   0.0  Current Speed:   0.5</t>
  </si>
  <si>
    <t>SYS :2017/03/02 01:14:08.317:ENFORCEMENT:Reactive Enforcement Action:  Target Number: 00006157  Target Speed:   0.0  Current Speed:   0.5</t>
  </si>
  <si>
    <t>SYS :2017/03/02 01:14:08.969:ENFORCEMENT:Reactive Enforcement Action:  Target Number: 00006133  Target Speed:   0.0  Current Speed:   0.5</t>
  </si>
  <si>
    <t>SYS :2017/03/02 01:31:00.809:ENFORCEMENT:Predictive Enforcement Action:  Target Number: 00001025  Target Speed:   0.0  Current Speed:   2.7</t>
  </si>
  <si>
    <t>SYS :2017/03/02 01:31:01.318:ENFORCEMENT:Predictive Enforcement Action:  Target Number: 00001024  Target Speed:   0.0  Current Speed:   2.7</t>
  </si>
  <si>
    <t>SYS :2017/03/02 01:31:01.972:ENFORCEMENT:Predictive Enforcement Action:  Target Number: 00001025  Target Speed:   0.0  Current Speed:   2.7</t>
  </si>
  <si>
    <t>SYS :2017/03/02 01:39:27.534:ENFORCEMENT:Predictive Enforcement Action:  Target Number: 000170BA  Target Speed:   0.0  Current Speed:  18.6</t>
  </si>
  <si>
    <t>SYS :2017/03/02 01:39:27.595:ENFORCEMENT:Predictive Enforcement Action:  Target Number: 000170BA  Target Speed:   0.0  Current Speed:  19.5</t>
  </si>
  <si>
    <t>SYS :2017/03/02 01:39:28.452:ENFORCEMENT:Predictive Enforcement Action:  Target Number: 000170B6  Target Speed:   0.0  Current Speed:  18.6</t>
  </si>
  <si>
    <t>SYS :2017/03/02 02:43:47.743:ENFORCEMENT:Predictive Enforcement Action:  Target Number: 000100C2  Target Speed:  30.0  Current Speed:  40.0</t>
  </si>
  <si>
    <t>SYS :2017/03/02 02:43:47.814:ENFORCEMENT:Predictive Enforcement Action:  Target Number: 000100C2  Target Speed:  30.0  Current Speed:  40.0</t>
  </si>
  <si>
    <t>SYS :2017/03/02 02:43:48.041:ENFORCEMENT:Predictive Enforcement Action:  Target Number: 000100C2  Target Speed:  30.0  Current Speed:  40.0</t>
  </si>
  <si>
    <t>SYS :2017/03/02 02:52:28.590:ENFORCEMENT:Predictive Enforcement Action:  Target Number: 000170D5  Target Speed:   0.0  Current Speed:  58.4</t>
  </si>
  <si>
    <t>SYS :2017/03/02 02:52:28.905:ENFORCEMENT:Predictive Enforcement Action:  Target Number: 000170D5  Target Speed:   0.0  Current Speed:  58.4</t>
  </si>
  <si>
    <t>SYS :2017/03/02 03:40:42.468:ENFORCEMENT:Reactive Enforcement Action:  Target Number: 000170CC  Target Speed:  35.0  Current Speed:  40.2</t>
  </si>
  <si>
    <t>SYS :2017/03/02 03:40:42.542:ENFORCEMENT:Reactive Enforcement Action:  Target Number: 000170D0  Target Speed:  35.0  Current Speed:  40.2</t>
  </si>
  <si>
    <t>SYS :2017/03/02 03:45:24.882:ENFORCEMENT:Predictive Enforcement Action:  Target Number: 000170C9  Target Speed:   0.0  Current Speed:  45.4</t>
  </si>
  <si>
    <t>SYS :2017/03/02 03:45:25.384:ENFORCEMENT:Predictive Enforcement Action:  Target Number: 000170C9  Target Speed:   0.0  Current Speed:  45.4</t>
  </si>
  <si>
    <t>SYS :2017/03/02 04:14:22.074:ENFORCEMENT:Predictive Enforcement Action:  Target Number: 0001707A  Target Speed:  41.0  Current Speed:  46.5</t>
  </si>
  <si>
    <t>SYS :2017/03/02 04:14:22.756:ENFORCEMENT:Predictive Enforcement Action:  Target Number: 0001707A  Target Speed:  41.0  Current Speed:  46.5</t>
  </si>
  <si>
    <t>SYS :2017/03/02 04:14:22.850:ENFORCEMENT:Predictive Enforcement Action:  Target Number: 0001707A  Target Speed:  41.0  Current Speed:  46.5</t>
  </si>
  <si>
    <t>SYS :2017/03/02 04:30:58.031:ENFORCEMENT:Predictive Enforcement Action:  Target Number: 000100EA  Target Speed:  30.0  Current Speed:  42.7</t>
  </si>
  <si>
    <t>SYS :2017/03/02 04:35:10.680:ENFORCEMENT:Predictive Enforcement Action:  Target Number: 00001029  Target Speed:   0.0  Current Speed:   5.3</t>
  </si>
  <si>
    <t>SYS :2017/03/02 05:25:05.864:ENFORCEMENT:Predictive Enforcement Action:  Target Number: 00006304  Target Speed:   0.0  Current Speed:  54.4</t>
  </si>
  <si>
    <t>SYS :2017/03/02 05:25:06.247:ENFORCEMENT:Predictive Enforcement Action:  Target Number: 00006305  Target Speed:   0.0  Current Speed:  54.4</t>
  </si>
  <si>
    <t>SYS :2017/03/02 05:25:08.927:ENFORCEMENT:Predictive Enforcement Action:  Target Number: 000062FD  Target Speed:   0.0  Current Speed:  53.3</t>
  </si>
  <si>
    <t>SYS :2017/03/02 06:06:40.258:ENFORCEMENT:Predictive Enforcement Action:  Target Number: 00017014  Target Speed:   0.0  Current Speed:  18.5</t>
  </si>
  <si>
    <t>SYS :2017/03/02 06:06:40.298:ENFORCEMENT:Predictive Enforcement Action:  Target Number: 00017316  Target Speed:   0.0  Current Speed:  18.5</t>
  </si>
  <si>
    <t>SYS :2017/03/02 06:06:40.629:ENFORCEMENT:Predictive Enforcement Action:  Target Number: 00017316  Target Speed:   0.0  Current Speed:  18.5</t>
  </si>
  <si>
    <t>:.+((SYSTEM_STATE.+slice.+state.+changed )|(ment ac)|(multiple cpu faults)|(system.+state.+changed )|(\[timeout)|(PRM\|1\|D)|(kpr)|(kdp)|(\|lc)|(penalty))</t>
  </si>
  <si>
    <t>XING ID Vlookups</t>
  </si>
  <si>
    <t>EC0270XH YORK AND JOSEPHINE STREET</t>
  </si>
  <si>
    <t>EC0477XH HOLLY STREET</t>
  </si>
  <si>
    <t>EC0426XH DAHLIA STREET</t>
  </si>
  <si>
    <t>EC1035XH SABLE BOULEVARD</t>
  </si>
  <si>
    <t>WCR Redmine cURL</t>
  </si>
  <si>
    <t>27f4683f8c668ceb395ce0223286e38dfe180cf8</t>
  </si>
  <si>
    <t>https://ptcsupport.wabtec.com/issues.json</t>
  </si>
  <si>
    <t>204:446</t>
  </si>
  <si>
    <t>204:150</t>
  </si>
  <si>
    <t>204:149</t>
  </si>
  <si>
    <t>204:143</t>
  </si>
  <si>
    <t>204:453</t>
  </si>
  <si>
    <t>204:141</t>
  </si>
  <si>
    <t>204:147</t>
  </si>
  <si>
    <t>:.+((SYSTEM_STATE.+slice.+state.+changed )|(ment ac)|(multiple cpu faults)|(system.+state.+changed )|(\[timeout)|(PRM\|1\|D)|(kpr)|(kdp)|(train st.+moving)|(\|lc)|(penalty))</t>
  </si>
  <si>
    <t>DAVIS</t>
  </si>
  <si>
    <t>M - F = 49 trips</t>
  </si>
  <si>
    <t>uvIndex</t>
  </si>
  <si>
    <t>windGust</t>
  </si>
  <si>
    <t>204:455</t>
  </si>
  <si>
    <t>Sortable Run Number</t>
  </si>
  <si>
    <t>Thresholds for Concerning Run-lengths</t>
  </si>
  <si>
    <t>GL</t>
  </si>
  <si>
    <t>Shuttle/Test</t>
  </si>
  <si>
    <t>Trip Number Lower Threshold</t>
  </si>
  <si>
    <t>Trip Number Upper Threshold</t>
  </si>
  <si>
    <t>Other</t>
  </si>
  <si>
    <t>EC or NWGL</t>
  </si>
  <si>
    <t>204:458</t>
  </si>
  <si>
    <t>204:152</t>
  </si>
  <si>
    <t>SIGNAL</t>
  </si>
  <si>
    <t>Signal based authority (5)</t>
  </si>
  <si>
    <t>204:145</t>
  </si>
  <si>
    <t>Early Arrival</t>
  </si>
  <si>
    <t>204:156</t>
  </si>
  <si>
    <t>LOZA</t>
  </si>
  <si>
    <t>FIDEL</t>
  </si>
  <si>
    <t>204:161</t>
  </si>
  <si>
    <t>JAMES</t>
  </si>
  <si>
    <t>204:460</t>
  </si>
  <si>
    <t>204:158</t>
  </si>
  <si>
    <t>DUNCAN</t>
  </si>
  <si>
    <t>SHEILA</t>
  </si>
  <si>
    <t>HART</t>
  </si>
  <si>
    <t>KEVIN</t>
  </si>
  <si>
    <t>204:139</t>
  </si>
  <si>
    <t>NICHOLSON</t>
  </si>
  <si>
    <t>WESLEY</t>
  </si>
  <si>
    <t>204:451</t>
  </si>
  <si>
    <t>204:233312</t>
  </si>
  <si>
    <t>rtdc.l.rtdc.4058:itc</t>
  </si>
  <si>
    <t>204:154</t>
  </si>
  <si>
    <t>204:232981</t>
  </si>
  <si>
    <t>204:466</t>
  </si>
  <si>
    <t>204:447</t>
  </si>
  <si>
    <t>204:233293</t>
  </si>
  <si>
    <t>YORK</t>
  </si>
  <si>
    <t>EDGAR</t>
  </si>
  <si>
    <t>rtdc.l.rtdc.4057:itc</t>
  </si>
  <si>
    <t>Y</t>
  </si>
  <si>
    <t>204:232982</t>
  </si>
  <si>
    <t>204:457</t>
  </si>
  <si>
    <t>Sat - Sun = 36 Trips</t>
  </si>
  <si>
    <t>"Summary View"</t>
  </si>
  <si>
    <t>rtdc.l.rtdc.4010:itc</t>
  </si>
  <si>
    <t>rtdc.l.rtdc.4040:itc</t>
  </si>
  <si>
    <t>rtdc.l.rtdc.4063:itc</t>
  </si>
  <si>
    <t>rtdc.l.rtdc.4042:itc</t>
  </si>
  <si>
    <t>rtdc.l.rtdc.4064:itc</t>
  </si>
  <si>
    <t>ROCHA</t>
  </si>
  <si>
    <t>YAOTL</t>
  </si>
  <si>
    <t>204:233000</t>
  </si>
  <si>
    <t>precipType</t>
  </si>
  <si>
    <t>rain</t>
  </si>
  <si>
    <t>partly-cloudy-night</t>
  </si>
  <si>
    <t>Mostly Cloudy</t>
  </si>
  <si>
    <t>partly-cloudy-day</t>
  </si>
  <si>
    <t>204:477</t>
  </si>
  <si>
    <t>204:444</t>
  </si>
  <si>
    <t>204:233291</t>
  </si>
  <si>
    <t>ROBINSON</t>
  </si>
  <si>
    <t>KADDIBA</t>
  </si>
  <si>
    <t>Partly Cloudy</t>
  </si>
  <si>
    <t>204:233297</t>
  </si>
  <si>
    <t>204:438</t>
  </si>
  <si>
    <t>204:233311</t>
  </si>
  <si>
    <t>204:467</t>
  </si>
  <si>
    <t>204:232994</t>
  </si>
  <si>
    <t>204:473</t>
  </si>
  <si>
    <t>204:233300</t>
  </si>
  <si>
    <t>204:233334</t>
  </si>
  <si>
    <t>204:449</t>
  </si>
  <si>
    <t>rtdc.l.rtdc.4061:itc</t>
  </si>
  <si>
    <t>rtdc.l.rtdc.4055:itc</t>
  </si>
  <si>
    <t>rtdc.l.rtdc.4056:itc</t>
  </si>
  <si>
    <t>DAVID</t>
  </si>
  <si>
    <t>204:233009</t>
  </si>
  <si>
    <t>204:233278</t>
  </si>
  <si>
    <t>204:233002</t>
  </si>
  <si>
    <t>204:469</t>
  </si>
  <si>
    <t>204:232979</t>
  </si>
  <si>
    <t>204:233019</t>
  </si>
  <si>
    <t>204:232992</t>
  </si>
  <si>
    <t>Wi-MAX data drop</t>
  </si>
  <si>
    <t>MICHAEL</t>
  </si>
  <si>
    <t>rtdc.l.rtdc.4008:itc</t>
  </si>
  <si>
    <t>204:475</t>
  </si>
  <si>
    <t>204:165</t>
  </si>
  <si>
    <t>204:233289</t>
  </si>
  <si>
    <t>204:232989</t>
  </si>
  <si>
    <t>204:232984</t>
  </si>
  <si>
    <t>204:233308</t>
  </si>
  <si>
    <t>204:974</t>
  </si>
  <si>
    <t>204:160</t>
  </si>
  <si>
    <t>SPECTOR</t>
  </si>
  <si>
    <t>BONDS</t>
  </si>
  <si>
    <t>REYNALDO</t>
  </si>
  <si>
    <t>YANG</t>
  </si>
  <si>
    <t>JAN</t>
  </si>
  <si>
    <t>rtdc.l.rtdc.4002:itc</t>
  </si>
  <si>
    <t>YANAI</t>
  </si>
  <si>
    <t>IAN</t>
  </si>
  <si>
    <t>DAVIDSON</t>
  </si>
  <si>
    <t>LEVERE</t>
  </si>
  <si>
    <t>CRAIG</t>
  </si>
  <si>
    <t>LEVIN</t>
  </si>
  <si>
    <t>SCOTT</t>
  </si>
  <si>
    <t>204:232978</t>
  </si>
  <si>
    <t>204:233325</t>
  </si>
  <si>
    <t>204:233276</t>
  </si>
  <si>
    <t>204:233282</t>
  </si>
  <si>
    <t>204:437</t>
  </si>
  <si>
    <t>204:233303</t>
  </si>
  <si>
    <t>204:232980</t>
  </si>
  <si>
    <t>204:233310</t>
  </si>
  <si>
    <t>204:233008</t>
  </si>
  <si>
    <t>204:232985</t>
  </si>
  <si>
    <t>204:233331</t>
  </si>
  <si>
    <t>204:986</t>
  </si>
  <si>
    <t>204:983</t>
  </si>
  <si>
    <t>300:58619</t>
  </si>
  <si>
    <t>300:58929</t>
  </si>
  <si>
    <t>300:58933</t>
  </si>
  <si>
    <t>rtdc.l.rtdc.4007:itc</t>
  </si>
  <si>
    <t>FORTUNATO</t>
  </si>
  <si>
    <t>FRANK</t>
  </si>
  <si>
    <t>MOSES</t>
  </si>
  <si>
    <t>BRADLEY</t>
  </si>
  <si>
    <t>BRUDER</t>
  </si>
  <si>
    <t>RICHARD</t>
  </si>
  <si>
    <t>NEWELL</t>
  </si>
  <si>
    <t>BIRKHOLZ</t>
  </si>
  <si>
    <t>NADINE</t>
  </si>
  <si>
    <t>ZEWDU</t>
  </si>
  <si>
    <t>DEREJE</t>
  </si>
  <si>
    <t>clear-night</t>
  </si>
  <si>
    <t>Clear</t>
  </si>
  <si>
    <t>204:233357</t>
  </si>
  <si>
    <t>204:233318</t>
  </si>
  <si>
    <t>204:232983</t>
  </si>
  <si>
    <t>204:233021</t>
  </si>
  <si>
    <t>204:233006</t>
  </si>
  <si>
    <t>204:232986</t>
  </si>
  <si>
    <t>204:233288</t>
  </si>
  <si>
    <t>204:232969</t>
  </si>
  <si>
    <t>204:435</t>
  </si>
  <si>
    <t>300:23346</t>
  </si>
  <si>
    <t>300:23299</t>
  </si>
  <si>
    <t>300:58967</t>
  </si>
  <si>
    <t>204:990</t>
  </si>
  <si>
    <t>204:965</t>
  </si>
  <si>
    <t>204:978</t>
  </si>
  <si>
    <t>204:957</t>
  </si>
  <si>
    <t>Onboard en route failure</t>
  </si>
  <si>
    <t>rtdc.l.rtdc.4066:itc</t>
  </si>
  <si>
    <t>rtdc.l.rtdc.4027:itc</t>
  </si>
  <si>
    <t>rtdc.l.rtdc.4028:itc</t>
  </si>
  <si>
    <t>rtdc.l.rtdc.4018:itc</t>
  </si>
  <si>
    <t>rtdc.l.rtdc.4017:itc</t>
  </si>
  <si>
    <t>SWITCH UNKNOWN</t>
  </si>
  <si>
    <t>Track device (7)</t>
  </si>
  <si>
    <t>rtdc.l.rtdc.4065:itc</t>
  </si>
  <si>
    <t>309-04</t>
  </si>
  <si>
    <t>WENDY</t>
  </si>
  <si>
    <t>rtdc.l.rtdc.4009:itc</t>
  </si>
  <si>
    <t>GEBRETEKLE</t>
  </si>
  <si>
    <t>DAGNEW</t>
  </si>
  <si>
    <t>PAGE</t>
  </si>
  <si>
    <t>MARCUS</t>
  </si>
  <si>
    <t>BERLING</t>
  </si>
  <si>
    <t>GARY</t>
  </si>
  <si>
    <t>DELGADO</t>
  </si>
  <si>
    <t>DIANAH</t>
  </si>
  <si>
    <t>HOLCOMB</t>
  </si>
  <si>
    <t>KAMDEN</t>
  </si>
  <si>
    <t>MCREYNOLDS</t>
  </si>
  <si>
    <t>KYLE</t>
  </si>
  <si>
    <t>242-04</t>
  </si>
  <si>
    <t>307-04</t>
  </si>
  <si>
    <t>244-04</t>
  </si>
  <si>
    <t>311-04</t>
  </si>
  <si>
    <t>50-05</t>
  </si>
  <si>
    <t>300-05</t>
  </si>
  <si>
    <t>clear-day</t>
  </si>
  <si>
    <t>204:426</t>
  </si>
  <si>
    <t>204:233306</t>
  </si>
  <si>
    <t>204:233332</t>
  </si>
  <si>
    <t>204:233281</t>
  </si>
  <si>
    <t>204:233280</t>
  </si>
  <si>
    <t>204:232975</t>
  </si>
  <si>
    <t>204:462</t>
  </si>
  <si>
    <t>204:233284</t>
  </si>
  <si>
    <t>204:233314</t>
  </si>
  <si>
    <t>204:422</t>
  </si>
  <si>
    <t>204:233305</t>
  </si>
  <si>
    <t>204:233349</t>
  </si>
  <si>
    <t>204:232988</t>
  </si>
  <si>
    <t>204:138</t>
  </si>
  <si>
    <t>204:233268</t>
  </si>
  <si>
    <t>204:232968</t>
  </si>
  <si>
    <t>204:233011</t>
  </si>
  <si>
    <t>204:233328</t>
  </si>
  <si>
    <t>204:233005</t>
  </si>
  <si>
    <t>300:23310</t>
  </si>
  <si>
    <t>204:146</t>
  </si>
  <si>
    <t>204:1179</t>
  </si>
  <si>
    <t>300:58649</t>
  </si>
  <si>
    <t>204:710</t>
  </si>
  <si>
    <t>204:962</t>
  </si>
  <si>
    <t>204:936</t>
  </si>
  <si>
    <t>300:58643</t>
  </si>
  <si>
    <t>300:58952</t>
  </si>
  <si>
    <t>204:719</t>
  </si>
  <si>
    <t>204:979</t>
  </si>
  <si>
    <t>204:729</t>
  </si>
  <si>
    <t>300:58963</t>
  </si>
  <si>
    <t>300:58965</t>
  </si>
  <si>
    <t>300:58647</t>
  </si>
  <si>
    <t>204:701</t>
  </si>
  <si>
    <t>204:691</t>
  </si>
  <si>
    <t>300:58617</t>
  </si>
  <si>
    <t>204:1002</t>
  </si>
  <si>
    <t>204:997</t>
  </si>
  <si>
    <t>204:689</t>
  </si>
  <si>
    <t>Operator selected wrong track</t>
  </si>
  <si>
    <t>%REDMINEAPIKEY%</t>
  </si>
  <si>
    <t>rtdc.l.rtdc.4041:itc</t>
  </si>
  <si>
    <t>308-05</t>
  </si>
  <si>
    <t>901-05</t>
  </si>
  <si>
    <t>rtdc.l.rtdc.4001:itc</t>
  </si>
  <si>
    <t>800-05</t>
  </si>
  <si>
    <t>801-05</t>
  </si>
  <si>
    <t>802-05</t>
  </si>
  <si>
    <t>804-05</t>
  </si>
  <si>
    <t>805-05</t>
  </si>
  <si>
    <t>120-05</t>
  </si>
  <si>
    <t>806-05</t>
  </si>
  <si>
    <t>134-05</t>
  </si>
  <si>
    <t>rtdc.l.rtdc.4012:itc</t>
  </si>
  <si>
    <t>141-05</t>
  </si>
  <si>
    <t>813-05</t>
  </si>
  <si>
    <t>138-05</t>
  </si>
  <si>
    <t>814-05</t>
  </si>
  <si>
    <t>51-05</t>
  </si>
  <si>
    <t>151-05</t>
  </si>
  <si>
    <t>816-05</t>
  </si>
  <si>
    <t>163-05</t>
  </si>
  <si>
    <t>rtdc.l.rtdc.4019:itc</t>
  </si>
  <si>
    <t>54-05</t>
  </si>
  <si>
    <t>169-05</t>
  </si>
  <si>
    <t>820-05</t>
  </si>
  <si>
    <t>166-05</t>
  </si>
  <si>
    <t>175-05</t>
  </si>
  <si>
    <t>rtdc.l.rtdc.4043:itc</t>
  </si>
  <si>
    <t>168-05</t>
  </si>
  <si>
    <t>179-05</t>
  </si>
  <si>
    <t>172-05</t>
  </si>
  <si>
    <t>183-05</t>
  </si>
  <si>
    <t>rtdc.l.rtdc.4016:itc</t>
  </si>
  <si>
    <t>187-05</t>
  </si>
  <si>
    <t>904-05</t>
  </si>
  <si>
    <t>193-05</t>
  </si>
  <si>
    <t>826-05</t>
  </si>
  <si>
    <t>rtdc.l.rtdc.4015:itc</t>
  </si>
  <si>
    <t>188-05</t>
  </si>
  <si>
    <t>203-05</t>
  </si>
  <si>
    <t>201-05</t>
  </si>
  <si>
    <t>206-05</t>
  </si>
  <si>
    <t>210-05</t>
  </si>
  <si>
    <t>225-05</t>
  </si>
  <si>
    <t>849-05</t>
  </si>
  <si>
    <t>rtdc.l.rtdc.4062:itc</t>
  </si>
  <si>
    <t>rtdc.l.rtdc.4044:itc</t>
  </si>
  <si>
    <t>101-05</t>
  </si>
  <si>
    <t>52-05</t>
  </si>
  <si>
    <t>302-05</t>
  </si>
  <si>
    <t>MAELZER</t>
  </si>
  <si>
    <t>KURT</t>
  </si>
  <si>
    <t>103-05</t>
  </si>
  <si>
    <t>102-05</t>
  </si>
  <si>
    <t>304-05</t>
  </si>
  <si>
    <t>306-05</t>
  </si>
  <si>
    <t>105-05</t>
  </si>
  <si>
    <t>WILLIAMS</t>
  </si>
  <si>
    <t>DONTE</t>
  </si>
  <si>
    <t>107-05</t>
  </si>
  <si>
    <t>104-05</t>
  </si>
  <si>
    <t>rtdc.l.rtdc.4011:itc</t>
  </si>
  <si>
    <t>310-05</t>
  </si>
  <si>
    <t>109-05</t>
  </si>
  <si>
    <t>111-05</t>
  </si>
  <si>
    <t>113-05</t>
  </si>
  <si>
    <t>108-05</t>
  </si>
  <si>
    <t>106-05</t>
  </si>
  <si>
    <t>312-05</t>
  </si>
  <si>
    <t>115-05</t>
  </si>
  <si>
    <t>117-05</t>
  </si>
  <si>
    <t>110-05</t>
  </si>
  <si>
    <t>112-05</t>
  </si>
  <si>
    <t>902-05</t>
  </si>
  <si>
    <t>114-05</t>
  </si>
  <si>
    <t>119-05</t>
  </si>
  <si>
    <t>803-05</t>
  </si>
  <si>
    <t>121-05</t>
  </si>
  <si>
    <t>116-05</t>
  </si>
  <si>
    <t>123-05</t>
  </si>
  <si>
    <t>125-05</t>
  </si>
  <si>
    <t>118-05</t>
  </si>
  <si>
    <t>122-05</t>
  </si>
  <si>
    <t>127-05</t>
  </si>
  <si>
    <t>807-05</t>
  </si>
  <si>
    <t>129-05</t>
  </si>
  <si>
    <t>124-05</t>
  </si>
  <si>
    <t>126-05</t>
  </si>
  <si>
    <t>808-05</t>
  </si>
  <si>
    <t>131-05</t>
  </si>
  <si>
    <t>809-05</t>
  </si>
  <si>
    <t>128-05</t>
  </si>
  <si>
    <t>133-05</t>
  </si>
  <si>
    <t>135-05</t>
  </si>
  <si>
    <t>810-05</t>
  </si>
  <si>
    <t>811-05</t>
  </si>
  <si>
    <t>130-05</t>
  </si>
  <si>
    <t>137-05</t>
  </si>
  <si>
    <t>132-05</t>
  </si>
  <si>
    <t>139-05</t>
  </si>
  <si>
    <t>812-05</t>
  </si>
  <si>
    <t>903-05</t>
  </si>
  <si>
    <t>136-05</t>
  </si>
  <si>
    <t>143-05</t>
  </si>
  <si>
    <t>145-05</t>
  </si>
  <si>
    <t>142-05</t>
  </si>
  <si>
    <t>147-05</t>
  </si>
  <si>
    <t>140-05</t>
  </si>
  <si>
    <t>149-05</t>
  </si>
  <si>
    <t>144-05</t>
  </si>
  <si>
    <t>146-05</t>
  </si>
  <si>
    <t>815-05</t>
  </si>
  <si>
    <t>153-05</t>
  </si>
  <si>
    <t>53-05</t>
  </si>
  <si>
    <t>148-05</t>
  </si>
  <si>
    <t>150-05</t>
  </si>
  <si>
    <t>155-05</t>
  </si>
  <si>
    <t>157-05</t>
  </si>
  <si>
    <t>BADERTSCHER</t>
  </si>
  <si>
    <t>DIANE</t>
  </si>
  <si>
    <t>152-05</t>
  </si>
  <si>
    <t>159-05</t>
  </si>
  <si>
    <t>817-05</t>
  </si>
  <si>
    <t>154-05</t>
  </si>
  <si>
    <t>156-05</t>
  </si>
  <si>
    <t>161-05</t>
  </si>
  <si>
    <t>818-05</t>
  </si>
  <si>
    <t>158-05</t>
  </si>
  <si>
    <t>165-05</t>
  </si>
  <si>
    <t>160-05</t>
  </si>
  <si>
    <t>167-05</t>
  </si>
  <si>
    <t>819-05</t>
  </si>
  <si>
    <t>162-05</t>
  </si>
  <si>
    <t>164-05</t>
  </si>
  <si>
    <t>171-05</t>
  </si>
  <si>
    <t>rtdc.l.rtdc.4020:itc</t>
  </si>
  <si>
    <t>173-05</t>
  </si>
  <si>
    <t>170-05</t>
  </si>
  <si>
    <t>821-05</t>
  </si>
  <si>
    <t>177-05</t>
  </si>
  <si>
    <t>STEWART</t>
  </si>
  <si>
    <t>822-05</t>
  </si>
  <si>
    <t>174-05</t>
  </si>
  <si>
    <t>181-05</t>
  </si>
  <si>
    <t>176-05</t>
  </si>
  <si>
    <t>NATION</t>
  </si>
  <si>
    <t>TRACI</t>
  </si>
  <si>
    <t>823-05</t>
  </si>
  <si>
    <t>178-05</t>
  </si>
  <si>
    <t>185-05</t>
  </si>
  <si>
    <t>180-05</t>
  </si>
  <si>
    <t>824-05</t>
  </si>
  <si>
    <t>182-05</t>
  </si>
  <si>
    <t>189-05</t>
  </si>
  <si>
    <t>184-05</t>
  </si>
  <si>
    <t>191-05</t>
  </si>
  <si>
    <t>186-05</t>
  </si>
  <si>
    <t>825-05</t>
  </si>
  <si>
    <t>195-05</t>
  </si>
  <si>
    <t>190-05</t>
  </si>
  <si>
    <t>827-05</t>
  </si>
  <si>
    <t>197-05</t>
  </si>
  <si>
    <t>192-05</t>
  </si>
  <si>
    <t>199-05</t>
  </si>
  <si>
    <t>828-05</t>
  </si>
  <si>
    <t>829-05</t>
  </si>
  <si>
    <t>194-05</t>
  </si>
  <si>
    <t>196-05</t>
  </si>
  <si>
    <t>830-05</t>
  </si>
  <si>
    <t>81-05</t>
  </si>
  <si>
    <t>831-05</t>
  </si>
  <si>
    <t>198-05</t>
  </si>
  <si>
    <t>205-05</t>
  </si>
  <si>
    <t>200-05</t>
  </si>
  <si>
    <t>80-05</t>
  </si>
  <si>
    <t>207-05</t>
  </si>
  <si>
    <t>833-05</t>
  </si>
  <si>
    <t>209-05</t>
  </si>
  <si>
    <t>832-05</t>
  </si>
  <si>
    <t>202-05</t>
  </si>
  <si>
    <t>204-05</t>
  </si>
  <si>
    <t>834-05</t>
  </si>
  <si>
    <t>835-05</t>
  </si>
  <si>
    <t>211-05</t>
  </si>
  <si>
    <t>213-05</t>
  </si>
  <si>
    <t>208-05</t>
  </si>
  <si>
    <t>76-05</t>
  </si>
  <si>
    <t>WEST</t>
  </si>
  <si>
    <t>BRYAN</t>
  </si>
  <si>
    <t>215-05</t>
  </si>
  <si>
    <t>837-05</t>
  </si>
  <si>
    <t>836-05</t>
  </si>
  <si>
    <t>217-05</t>
  </si>
  <si>
    <t>212-05</t>
  </si>
  <si>
    <t>838-05</t>
  </si>
  <si>
    <t>219-05</t>
  </si>
  <si>
    <t>839-05</t>
  </si>
  <si>
    <t>301-05</t>
  </si>
  <si>
    <t>214-05</t>
  </si>
  <si>
    <t>82-05</t>
  </si>
  <si>
    <t>216-05</t>
  </si>
  <si>
    <t>75-05</t>
  </si>
  <si>
    <t>906-05</t>
  </si>
  <si>
    <t>218-05</t>
  </si>
  <si>
    <t>221-05</t>
  </si>
  <si>
    <t>841-05</t>
  </si>
  <si>
    <t>303-05</t>
  </si>
  <si>
    <t>220-05</t>
  </si>
  <si>
    <t>840-05</t>
  </si>
  <si>
    <t>223-05</t>
  </si>
  <si>
    <t>305-05</t>
  </si>
  <si>
    <t>222-05</t>
  </si>
  <si>
    <t>843-05</t>
  </si>
  <si>
    <t>227-05</t>
  </si>
  <si>
    <t>224-05</t>
  </si>
  <si>
    <t>842-05</t>
  </si>
  <si>
    <t>226-05</t>
  </si>
  <si>
    <t>229-05</t>
  </si>
  <si>
    <t>845-05</t>
  </si>
  <si>
    <t>231-05</t>
  </si>
  <si>
    <t>228-05</t>
  </si>
  <si>
    <t>844-05</t>
  </si>
  <si>
    <t>233-05</t>
  </si>
  <si>
    <t>230-05</t>
  </si>
  <si>
    <t>847-05</t>
  </si>
  <si>
    <t>235-05</t>
  </si>
  <si>
    <t>232-05</t>
  </si>
  <si>
    <t>846-05</t>
  </si>
  <si>
    <t>234-05</t>
  </si>
  <si>
    <t>237-05</t>
  </si>
  <si>
    <t>239-05</t>
  </si>
  <si>
    <t>236-05</t>
  </si>
  <si>
    <t>908-05</t>
  </si>
  <si>
    <t>241-05</t>
  </si>
  <si>
    <t>238-05</t>
  </si>
  <si>
    <t>243-05</t>
  </si>
  <si>
    <t>240-05</t>
  </si>
  <si>
    <t>313-05</t>
  </si>
  <si>
    <t>242-05</t>
  </si>
  <si>
    <t>307-05</t>
  </si>
  <si>
    <t>244-05</t>
  </si>
  <si>
    <t>309-05</t>
  </si>
  <si>
    <t>311-05</t>
  </si>
  <si>
    <t>300-06</t>
  </si>
  <si>
    <t>fog</t>
  </si>
  <si>
    <t>Foggy</t>
  </si>
  <si>
    <t>cloudy</t>
  </si>
  <si>
    <t>Overcast</t>
  </si>
  <si>
    <t>204:777</t>
  </si>
  <si>
    <t>204:233368</t>
  </si>
  <si>
    <t>204:233053</t>
  </si>
  <si>
    <t>204:442</t>
  </si>
  <si>
    <t>204:233319</t>
  </si>
  <si>
    <t>204:232973</t>
  </si>
  <si>
    <t>204:233264</t>
  </si>
  <si>
    <t>204:232972</t>
  </si>
  <si>
    <t>204:17917</t>
  </si>
  <si>
    <t>204:232965</t>
  </si>
  <si>
    <t>204:232991</t>
  </si>
  <si>
    <t>204:233295</t>
  </si>
  <si>
    <t>204:440</t>
  </si>
  <si>
    <t>204:233304</t>
  </si>
  <si>
    <t>204:233339</t>
  </si>
  <si>
    <t>204:233025</t>
  </si>
  <si>
    <t>204:136</t>
  </si>
  <si>
    <t>204:233321</t>
  </si>
  <si>
    <t>204:233309</t>
  </si>
  <si>
    <t>204:233301</t>
  </si>
  <si>
    <t>204:233372</t>
  </si>
  <si>
    <t>204:233249</t>
  </si>
  <si>
    <t>204:232925</t>
  </si>
  <si>
    <t>204:232977</t>
  </si>
  <si>
    <t>204:60964</t>
  </si>
  <si>
    <t>204:64681</t>
  </si>
  <si>
    <t>204:129</t>
  </si>
  <si>
    <t>204:233287</t>
  </si>
  <si>
    <t>204:233007</t>
  </si>
  <si>
    <t>204:232976</t>
  </si>
  <si>
    <t>204:480</t>
  </si>
  <si>
    <t>204:163</t>
  </si>
  <si>
    <t>204:61016</t>
  </si>
  <si>
    <t>204:233263</t>
  </si>
  <si>
    <t>204:232952</t>
  </si>
  <si>
    <t>204:233286</t>
  </si>
  <si>
    <t>204:59392</t>
  </si>
  <si>
    <t>204:64694</t>
  </si>
  <si>
    <t>204:233176</t>
  </si>
  <si>
    <t>204:232874</t>
  </si>
  <si>
    <t>204:55551</t>
  </si>
  <si>
    <t>204:64696</t>
  </si>
  <si>
    <t>204:298</t>
  </si>
  <si>
    <t>204:231233</t>
  </si>
  <si>
    <t>204:233337</t>
  </si>
  <si>
    <t>204:233013</t>
  </si>
  <si>
    <t>204:19132</t>
  </si>
  <si>
    <t>204:1340</t>
  </si>
  <si>
    <t>204:232963</t>
  </si>
  <si>
    <t>204:232949</t>
  </si>
  <si>
    <t>204:118</t>
  </si>
  <si>
    <t>204:233338</t>
  </si>
  <si>
    <t>204:233383</t>
  </si>
  <si>
    <t>204:233399</t>
  </si>
  <si>
    <t>204:233049</t>
  </si>
  <si>
    <t>204:233408</t>
  </si>
  <si>
    <t>204:233023</t>
  </si>
  <si>
    <t>204:233251</t>
  </si>
  <si>
    <t>300:19870</t>
  </si>
  <si>
    <t>204:132</t>
  </si>
  <si>
    <t>300:23291</t>
  </si>
  <si>
    <t>300:23370</t>
  </si>
  <si>
    <t>300:23565</t>
  </si>
  <si>
    <t>300:23306</t>
  </si>
  <si>
    <t>300:23591</t>
  </si>
  <si>
    <t>204:4528</t>
  </si>
  <si>
    <t>300:23716</t>
  </si>
  <si>
    <t>300:23601</t>
  </si>
  <si>
    <t>300:23314</t>
  </si>
  <si>
    <t>204:3556</t>
  </si>
  <si>
    <t>300:23461</t>
  </si>
  <si>
    <t>204:661</t>
  </si>
  <si>
    <t>204:3233</t>
  </si>
  <si>
    <t>204:459</t>
  </si>
  <si>
    <t>300:24216</t>
  </si>
  <si>
    <t>300:22109</t>
  </si>
  <si>
    <t>204:4426</t>
  </si>
  <si>
    <t>204:464</t>
  </si>
  <si>
    <t>300:31513</t>
  </si>
  <si>
    <t>300:31190</t>
  </si>
  <si>
    <t>300:31080</t>
  </si>
  <si>
    <t>204:140</t>
  </si>
  <si>
    <t>300:31396</t>
  </si>
  <si>
    <t>300:31072</t>
  </si>
  <si>
    <t>204:439</t>
  </si>
  <si>
    <t>300:31402</t>
  </si>
  <si>
    <t>300:31538</t>
  </si>
  <si>
    <t>300:31214</t>
  </si>
  <si>
    <t>204:468</t>
  </si>
  <si>
    <t>300:24220</t>
  </si>
  <si>
    <t>204:417</t>
  </si>
  <si>
    <t>300:23277</t>
  </si>
  <si>
    <t>204:1973</t>
  </si>
  <si>
    <t>204:1142</t>
  </si>
  <si>
    <t>300:5386</t>
  </si>
  <si>
    <t>204:1148</t>
  </si>
  <si>
    <t>204:3318</t>
  </si>
  <si>
    <t>204:3004</t>
  </si>
  <si>
    <t>300:58702</t>
  </si>
  <si>
    <t>204:636</t>
  </si>
  <si>
    <t>300:59016</t>
  </si>
  <si>
    <t>204:4509</t>
  </si>
  <si>
    <t>300:58982</t>
  </si>
  <si>
    <t>300:58664</t>
  </si>
  <si>
    <t>204:920</t>
  </si>
  <si>
    <t>300:59014</t>
  </si>
  <si>
    <t>300:58707</t>
  </si>
  <si>
    <t>300:58990</t>
  </si>
  <si>
    <t>300:58670</t>
  </si>
  <si>
    <t>204:1490</t>
  </si>
  <si>
    <t>204:164</t>
  </si>
  <si>
    <t>204:964</t>
  </si>
  <si>
    <t>300:59001</t>
  </si>
  <si>
    <t>300:58679</t>
  </si>
  <si>
    <t>204:1492</t>
  </si>
  <si>
    <t>204:1988</t>
  </si>
  <si>
    <t>300:58690</t>
  </si>
  <si>
    <t>204:169</t>
  </si>
  <si>
    <t>204:717</t>
  </si>
  <si>
    <t>204:988</t>
  </si>
  <si>
    <t>204:724</t>
  </si>
  <si>
    <t>204:1014</t>
  </si>
  <si>
    <t>300:59007</t>
  </si>
  <si>
    <t>204:1167</t>
  </si>
  <si>
    <t>204:3280</t>
  </si>
  <si>
    <t>204:2949</t>
  </si>
  <si>
    <t>300:58683</t>
  </si>
  <si>
    <t>300:58463</t>
  </si>
  <si>
    <t>300:57333</t>
  </si>
  <si>
    <t>300:58615</t>
  </si>
  <si>
    <t>204:696</t>
  </si>
  <si>
    <t>204:971</t>
  </si>
  <si>
    <t>300:58613</t>
  </si>
  <si>
    <t>300:58924</t>
  </si>
  <si>
    <t>300:58608</t>
  </si>
  <si>
    <t>204:4492</t>
  </si>
  <si>
    <t>300:58997</t>
  </si>
  <si>
    <t>300:58676</t>
  </si>
  <si>
    <t>300:58609</t>
  </si>
  <si>
    <t>204:999</t>
  </si>
  <si>
    <t>300:58994</t>
  </si>
  <si>
    <t>300:58681</t>
  </si>
  <si>
    <t>300:58927</t>
  </si>
  <si>
    <t>300:58592</t>
  </si>
  <si>
    <t>300:58674</t>
  </si>
  <si>
    <t>204:705</t>
  </si>
  <si>
    <t>204:698</t>
  </si>
  <si>
    <t>204:981</t>
  </si>
  <si>
    <t>204:720</t>
  </si>
  <si>
    <t>204:1013</t>
  </si>
  <si>
    <t>300:58971</t>
  </si>
  <si>
    <t>300:58986</t>
  </si>
  <si>
    <t>300:30320</t>
  </si>
  <si>
    <t>300:24233</t>
  </si>
  <si>
    <t>300:23230</t>
  </si>
  <si>
    <t>300:22687</t>
  </si>
  <si>
    <t>300:58628</t>
  </si>
  <si>
    <t>300:28742</t>
  </si>
  <si>
    <t>300:58668</t>
  </si>
  <si>
    <t>300:28795</t>
  </si>
  <si>
    <t>start /low /b %USERPROFILE%\Documents\GitHub\eaglep3\Utilities\DownloadLogsFromS3.py --loco 4007 --day 2017-10-05</t>
  </si>
  <si>
    <t>start /low /b %USERPROFILE%\Documents\GitHub\eaglep3\Utilities\DownloadLogsFromS3.py --loco 4044 --day 2017-10-05</t>
  </si>
  <si>
    <t>start /low /b %USERPROFILE%\Documents\GitHub\eaglep3\Utilities\DownloadLogsFromS3.py --loco 4027 --day 2017-10-05</t>
  </si>
  <si>
    <t>start /low /b %USERPROFILE%\Documents\GitHub\eaglep3\Utilities\DownloadLogsFromS3.py --loco 4009 --day 2017-10-05</t>
  </si>
  <si>
    <t>start /low /b %USERPROFILE%\Documents\GitHub\eaglep3\Utilities\DownloadLogsFromS3.py --loco 4043 --day 2017-10-05</t>
  </si>
  <si>
    <t>start /low /b %USERPROFILE%\Documents\GitHub\eaglep3\Utilities\DownloadLogsFromS3.py --loco 4012 --day 2017-10-05</t>
  </si>
  <si>
    <t>start /low /b %USERPROFILE%\Documents\GitHub\eaglep3\Utilities\DownloadLogsFromS3.py --loco 4016 --day 2017-10-05</t>
  </si>
  <si>
    <t>start /low /b %USERPROFILE%\Documents\GitHub\eaglep3\Utilities\DownloadLogsFromS3.py --loco 4010 --day 2017-10-05</t>
  </si>
  <si>
    <t>start /low /b %USERPROFILE%\Documents\GitHub\eaglep3\Utilities\DownloadLogsFromS3.py --loco 4001 --day 2017-10-05</t>
  </si>
  <si>
    <t>start /low /b %USERPROFILE%\Documents\GitHub\eaglep3\Utilities\DownloadLogsFromS3.py --loco 4018 --day 2017-10-05</t>
  </si>
  <si>
    <t>start /low /b %USERPROFILE%\Documents\GitHub\eaglep3\Utilities\DownloadLogsFromS3.py --loco 4027 --day 2017-10-06</t>
  </si>
  <si>
    <t>start /low /b %USERPROFILE%\Documents\GitHub\eaglep3\Utilities\DownloadLogsFromS3.py --loco 4041 --day 2017-10-05</t>
  </si>
  <si>
    <t>start /low /b %USERPROFILE%\Documents\GitHub\eaglep3\Utilities\DownloadLogsFromS3.py --loco 4015 --day 2017-10-05</t>
  </si>
  <si>
    <t>start /low /b %USERPROFILE%\Documents\GitHub\eaglep3\Utilities\DownloadLogsFromS3.py --loco 4042 --day 2017-10-05</t>
  </si>
  <si>
    <t>start /low /b %USERPROFILE%\Documents\GitHub\eaglep3\Utilities\DownloadLogsFromS3.py --loco 4028 --day 2017-10-05</t>
  </si>
  <si>
    <t>start /low /b %USERPROFILE%\Documents\GitHub\eaglep3\Utilities\DownloadLogsFromS3.py --loco 4055 --day 2017-10-06</t>
  </si>
  <si>
    <t>start /low /b %USERPROFILE%\Documents\GitHub\eaglep3\Utilities\DownloadLogsFromS3.py --loco 4010 --day 2017-10-06</t>
  </si>
  <si>
    <t>start /low /b %USERPROFILE%\Documents\GitHub\eaglep3\Utilities\DownloadLogsFromS3.py --loco 4017 --day 2017-10-05</t>
  </si>
  <si>
    <t>start /low /b %USERPROFILE%\Documents\GitHub\eaglep3\Utilities\DownloadLogsFromS3.py --loco 4002 --day 2017-10-05</t>
  </si>
  <si>
    <t>start /low /b %USERPROFILE%\Documents\GitHub\eaglep3\Utilities\DownloadLogsFromS3.py --loco 4002 --day 2017-10-06</t>
  </si>
  <si>
    <t>Signal issue at CP Bright 4S</t>
  </si>
  <si>
    <t>Efficiency test at CP Sand Creek, cut-out, proceeded to Central Park, then re-initialized</t>
  </si>
  <si>
    <t>Onboard en route failure, system recovered, able to proceed</t>
  </si>
  <si>
    <t>Poor GPS at DUS</t>
  </si>
  <si>
    <t>Went active too close to Westminster 2S</t>
  </si>
  <si>
    <t>Poor GPS at Wewatta St. overpass</t>
  </si>
  <si>
    <t>Form C Enforcement</t>
  </si>
  <si>
    <t>Minor onboard en route failure, no enforcement</t>
  </si>
  <si>
    <t>Early Arrival, received 30 seconds warning prior</t>
  </si>
  <si>
    <t>Banner without braking</t>
  </si>
  <si>
    <t>Went active too close to signal</t>
  </si>
  <si>
    <t>Wi-MAX data drop, GPS antenna needed servicing @ Monaco Tower</t>
  </si>
  <si>
    <t>From 07:02:53 ~ 07:09:11, a few attempts to clear Bright 4S, but in those cases the indication never came back clear. Curious to know if there was anything else in the wayside logic going on that prevented the clear. Any other  tracks occupied, or any other dependencies maybe?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</si>
</sst>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h:mm:ss;@"/>
    <numFmt numFmtId="165" formatCode="0.0%"/>
    <numFmt numFmtId="166" formatCode="yyyy\-mm\-dd"/>
    <numFmt numFmtId="167" formatCode="yyyy\-mm\-dd\ hh:mm:ss"/>
    <numFmt numFmtId="168" formatCode="m/d/yy\ h:mm;@"/>
    <numFmt numFmtId="169" formatCode="[$-F400]h:mm:ss\ AM/PM"/>
    <numFmt numFmtId="170" formatCode="0.000"/>
  </numFmts>
  <fonts count="20"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b/>
      <sz val="10"/>
      <color theme="1"/>
      <name val="Calibri"/>
      <family val="2"/>
      <scheme val="minor"/>
    </font>
    <font>
      <sz val="11"/>
      <color theme="0" tint="-0.14999847407452621"/>
      <name val="Calibri"/>
      <family val="2"/>
      <scheme val="minor"/>
    </font>
    <font>
      <sz val="11"/>
      <color theme="0" tint="-0.34998626667073579"/>
      <name val="Calibri"/>
      <family val="2"/>
      <scheme val="minor"/>
    </font>
    <font>
      <sz val="10"/>
      <color indexed="8"/>
      <name val="Arial"/>
      <family val="2"/>
    </font>
    <font>
      <sz val="11"/>
      <color indexed="8"/>
      <name val="Calibri"/>
      <family val="2"/>
    </font>
    <font>
      <sz val="11"/>
      <color theme="0" tint="-0.499984740745262"/>
      <name val="Calibri"/>
      <family val="2"/>
      <scheme val="minor"/>
    </font>
    <font>
      <sz val="11"/>
      <color theme="1"/>
      <name val="Calibri"/>
      <family val="2"/>
      <scheme val="minor"/>
    </font>
    <font>
      <sz val="11"/>
      <color rgb="FF000000"/>
      <name val="Calibri"/>
      <family val="2"/>
    </font>
    <font>
      <sz val="11"/>
      <color theme="1"/>
      <name val="Consolas"/>
      <family val="3"/>
    </font>
    <font>
      <b/>
      <sz val="9"/>
      <color theme="1"/>
      <name val="Calibri"/>
      <family val="2"/>
      <scheme val="minor"/>
    </font>
    <font>
      <sz val="9"/>
      <color theme="1"/>
      <name val="Calibri"/>
      <family val="2"/>
      <scheme val="minor"/>
    </font>
    <font>
      <b/>
      <sz val="9"/>
      <color theme="0" tint="-0.499984740745262"/>
      <name val="Calibri"/>
      <family val="2"/>
      <scheme val="minor"/>
    </font>
    <font>
      <sz val="9"/>
      <color theme="0" tint="-0.499984740745262"/>
      <name val="Calibri"/>
      <family val="2"/>
      <scheme val="minor"/>
    </font>
    <font>
      <sz val="11"/>
      <color rgb="FF00B050"/>
      <name val="Calibri"/>
      <family val="2"/>
      <scheme val="minor"/>
    </font>
    <font>
      <sz val="11"/>
      <color rgb="FFFF0000"/>
      <name val="Calibri"/>
      <family val="2"/>
      <scheme val="minor"/>
    </font>
    <font>
      <sz val="9"/>
      <name val="Calibri"/>
      <family val="2"/>
      <scheme val="minor"/>
    </font>
  </fonts>
  <fills count="10">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rgb="FFE4C9FF"/>
        <bgColor indexed="64"/>
      </patternFill>
    </fill>
    <fill>
      <patternFill patternType="solid">
        <fgColor theme="5" tint="0.79998168889431442"/>
        <bgColor indexed="64"/>
      </patternFill>
    </fill>
  </fills>
  <borders count="18">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style="medium">
        <color rgb="FFECF0F1"/>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s>
  <cellStyleXfs count="4">
    <xf numFmtId="169" fontId="0" fillId="0" borderId="0"/>
    <xf numFmtId="169" fontId="7" fillId="0" borderId="0"/>
    <xf numFmtId="9" fontId="10" fillId="0" borderId="0" applyFont="0" applyFill="0" applyBorder="0" applyAlignment="0" applyProtection="0"/>
    <xf numFmtId="169" fontId="10" fillId="0" borderId="0"/>
  </cellStyleXfs>
  <cellXfs count="227">
    <xf numFmtId="169" fontId="0" fillId="0" borderId="0" xfId="0"/>
    <xf numFmtId="169" fontId="0" fillId="0" borderId="0" xfId="0" applyFill="1"/>
    <xf numFmtId="1" fontId="0" fillId="0" borderId="0" xfId="0" applyNumberFormat="1"/>
    <xf numFmtId="1" fontId="0" fillId="0" borderId="2" xfId="0" applyNumberFormat="1" applyBorder="1" applyAlignment="1">
      <alignment horizontal="center" vertical="center"/>
    </xf>
    <xf numFmtId="169" fontId="0" fillId="0" borderId="0" xfId="0" applyBorder="1" applyAlignment="1">
      <alignment horizontal="center" vertical="center" wrapText="1"/>
    </xf>
    <xf numFmtId="169" fontId="0" fillId="0" borderId="4" xfId="0" applyBorder="1" applyAlignment="1">
      <alignment horizontal="center" vertical="center" wrapText="1"/>
    </xf>
    <xf numFmtId="164" fontId="0" fillId="0" borderId="5" xfId="0" applyNumberFormat="1" applyFill="1" applyBorder="1" applyAlignment="1">
      <alignment horizontal="left"/>
    </xf>
    <xf numFmtId="1" fontId="0" fillId="0" borderId="5" xfId="0" applyNumberFormat="1" applyFill="1" applyBorder="1" applyAlignment="1">
      <alignment horizontal="left"/>
    </xf>
    <xf numFmtId="167" fontId="0" fillId="0" borderId="0" xfId="0" applyNumberFormat="1"/>
    <xf numFmtId="169" fontId="0" fillId="0" borderId="5" xfId="0" applyFill="1" applyBorder="1" applyAlignment="1"/>
    <xf numFmtId="169" fontId="0" fillId="0" borderId="0" xfId="0" applyAlignment="1">
      <alignment horizontal="center" vertical="center"/>
    </xf>
    <xf numFmtId="169" fontId="3" fillId="0" borderId="6" xfId="0" applyFont="1" applyBorder="1" applyAlignment="1">
      <alignment horizontal="center" wrapText="1"/>
    </xf>
    <xf numFmtId="166" fontId="4" fillId="0" borderId="7" xfId="0" applyNumberFormat="1" applyFont="1" applyBorder="1" applyAlignment="1">
      <alignment horizontal="center" vertical="center" wrapText="1"/>
    </xf>
    <xf numFmtId="167" fontId="0" fillId="0" borderId="5" xfId="0" applyNumberFormat="1" applyFill="1" applyBorder="1" applyAlignment="1">
      <alignment horizontal="left"/>
    </xf>
    <xf numFmtId="169" fontId="1" fillId="0" borderId="5" xfId="0" applyFont="1" applyFill="1" applyBorder="1" applyAlignment="1">
      <alignment horizontal="left" vertical="center" wrapText="1"/>
    </xf>
    <xf numFmtId="169" fontId="1" fillId="0" borderId="5" xfId="0" applyFont="1" applyBorder="1" applyAlignment="1">
      <alignment horizontal="left" vertical="center" wrapText="1"/>
    </xf>
    <xf numFmtId="167" fontId="1" fillId="0" borderId="5" xfId="0" applyNumberFormat="1" applyFont="1" applyBorder="1" applyAlignment="1">
      <alignment horizontal="left" vertical="center" wrapText="1"/>
    </xf>
    <xf numFmtId="20" fontId="1" fillId="0" borderId="5" xfId="0" applyNumberFormat="1" applyFont="1" applyFill="1" applyBorder="1" applyAlignment="1">
      <alignment horizontal="left" vertical="center" wrapText="1"/>
    </xf>
    <xf numFmtId="1" fontId="1" fillId="0" borderId="5" xfId="0" applyNumberFormat="1" applyFont="1" applyBorder="1" applyAlignment="1">
      <alignment horizontal="left" vertical="center" wrapText="1"/>
    </xf>
    <xf numFmtId="169" fontId="1" fillId="0" borderId="5" xfId="0" applyFont="1" applyBorder="1" applyAlignment="1">
      <alignment horizontal="center" vertical="center" wrapText="1"/>
    </xf>
    <xf numFmtId="169" fontId="0" fillId="0" borderId="0" xfId="0"/>
    <xf numFmtId="169" fontId="0" fillId="0" borderId="5" xfId="0" applyFill="1" applyBorder="1" applyAlignment="1">
      <alignment horizontal="left"/>
    </xf>
    <xf numFmtId="1" fontId="0" fillId="0" borderId="5" xfId="0" applyNumberFormat="1" applyFill="1" applyBorder="1"/>
    <xf numFmtId="169" fontId="0" fillId="0" borderId="0" xfId="0" applyBorder="1"/>
    <xf numFmtId="167" fontId="0" fillId="0" borderId="8" xfId="0" applyNumberFormat="1" applyBorder="1"/>
    <xf numFmtId="17" fontId="0" fillId="0" borderId="0" xfId="0" applyNumberFormat="1"/>
    <xf numFmtId="167" fontId="0" fillId="0" borderId="0" xfId="0" applyNumberFormat="1" applyBorder="1"/>
    <xf numFmtId="169" fontId="0" fillId="0" borderId="0" xfId="0" applyAlignment="1">
      <alignment horizontal="left"/>
    </xf>
    <xf numFmtId="169" fontId="0" fillId="0" borderId="0" xfId="0" applyFill="1" applyBorder="1"/>
    <xf numFmtId="168" fontId="0" fillId="0" borderId="5" xfId="0" applyNumberFormat="1" applyFill="1" applyBorder="1" applyAlignment="1">
      <alignment horizontal="left"/>
    </xf>
    <xf numFmtId="169" fontId="0" fillId="0" borderId="5" xfId="0" applyBorder="1"/>
    <xf numFmtId="167" fontId="0" fillId="0" borderId="5" xfId="0" applyNumberFormat="1" applyBorder="1"/>
    <xf numFmtId="22" fontId="0" fillId="0" borderId="5" xfId="0" applyNumberFormat="1" applyFill="1" applyBorder="1" applyAlignment="1">
      <alignment horizontal="left"/>
    </xf>
    <xf numFmtId="167" fontId="0" fillId="0" borderId="0" xfId="0" applyNumberFormat="1" applyAlignment="1">
      <alignment horizontal="left"/>
    </xf>
    <xf numFmtId="169" fontId="0" fillId="0" borderId="0" xfId="0" applyFill="1" applyAlignment="1">
      <alignment horizontal="left"/>
    </xf>
    <xf numFmtId="20" fontId="0" fillId="0" borderId="0" xfId="0" applyNumberFormat="1" applyFill="1" applyAlignment="1">
      <alignment horizontal="left" wrapText="1"/>
    </xf>
    <xf numFmtId="1" fontId="0" fillId="0" borderId="0" xfId="0" applyNumberFormat="1" applyAlignment="1">
      <alignment horizontal="left"/>
    </xf>
    <xf numFmtId="169" fontId="0" fillId="0" borderId="3" xfId="0" applyFill="1" applyBorder="1" applyAlignment="1">
      <alignment horizontal="left" vertical="center"/>
    </xf>
    <xf numFmtId="1" fontId="0" fillId="0" borderId="3" xfId="0" applyNumberFormat="1" applyBorder="1" applyAlignment="1">
      <alignment horizontal="left" vertical="center"/>
    </xf>
    <xf numFmtId="169" fontId="0" fillId="0" borderId="4" xfId="0" applyBorder="1" applyAlignment="1">
      <alignment horizontal="left" vertical="center"/>
    </xf>
    <xf numFmtId="1" fontId="0" fillId="0" borderId="3" xfId="0" applyNumberFormat="1" applyFill="1" applyBorder="1" applyAlignment="1">
      <alignment horizontal="left" vertical="center"/>
    </xf>
    <xf numFmtId="165" fontId="0" fillId="0" borderId="0" xfId="0" applyNumberFormat="1" applyAlignment="1">
      <alignment horizontal="left"/>
    </xf>
    <xf numFmtId="1" fontId="0" fillId="0" borderId="5" xfId="0" applyNumberFormat="1" applyBorder="1"/>
    <xf numFmtId="169" fontId="0" fillId="0" borderId="0" xfId="0" applyNumberFormat="1"/>
    <xf numFmtId="169" fontId="0" fillId="0" borderId="0" xfId="0" applyNumberFormat="1" applyAlignment="1">
      <alignment horizontal="center" vertical="center"/>
    </xf>
    <xf numFmtId="169" fontId="0" fillId="0" borderId="5" xfId="0" applyFill="1" applyBorder="1"/>
    <xf numFmtId="169" fontId="9" fillId="0" borderId="0" xfId="0" applyFont="1" applyBorder="1" applyAlignment="1">
      <alignment horizontal="center" vertical="center" wrapText="1"/>
    </xf>
    <xf numFmtId="169" fontId="9" fillId="0" borderId="0" xfId="0" applyFont="1" applyFill="1"/>
    <xf numFmtId="1" fontId="0" fillId="0" borderId="4" xfId="0" applyNumberFormat="1" applyBorder="1" applyAlignment="1">
      <alignment horizontal="left" vertical="center"/>
    </xf>
    <xf numFmtId="170" fontId="5" fillId="0" borderId="0" xfId="0" applyNumberFormat="1" applyFont="1" applyAlignment="1">
      <alignment horizontal="left"/>
    </xf>
    <xf numFmtId="170" fontId="9" fillId="0" borderId="0" xfId="0" applyNumberFormat="1" applyFont="1" applyBorder="1" applyAlignment="1">
      <alignment horizontal="left" vertical="center" wrapText="1"/>
    </xf>
    <xf numFmtId="170" fontId="9" fillId="0" borderId="0" xfId="0" applyNumberFormat="1" applyFont="1" applyFill="1" applyBorder="1" applyAlignment="1">
      <alignment horizontal="left"/>
    </xf>
    <xf numFmtId="1" fontId="5" fillId="0" borderId="0" xfId="0" applyNumberFormat="1" applyFont="1" applyAlignment="1">
      <alignment horizontal="left"/>
    </xf>
    <xf numFmtId="1" fontId="9" fillId="0" borderId="0" xfId="0" applyNumberFormat="1" applyFont="1" applyBorder="1" applyAlignment="1">
      <alignment horizontal="left" vertical="center" wrapText="1"/>
    </xf>
    <xf numFmtId="1" fontId="9" fillId="0" borderId="0" xfId="0" applyNumberFormat="1" applyFont="1" applyFill="1" applyBorder="1" applyAlignment="1">
      <alignment horizontal="left"/>
    </xf>
    <xf numFmtId="169" fontId="0" fillId="0" borderId="0" xfId="0" applyNumberFormat="1"/>
    <xf numFmtId="2" fontId="0" fillId="0" borderId="0" xfId="0" applyNumberFormat="1"/>
    <xf numFmtId="166" fontId="0" fillId="0" borderId="1" xfId="0" applyNumberFormat="1" applyBorder="1" applyAlignment="1"/>
    <xf numFmtId="166" fontId="0" fillId="0" borderId="2" xfId="0" applyNumberFormat="1" applyBorder="1" applyAlignment="1"/>
    <xf numFmtId="166" fontId="0" fillId="0" borderId="4" xfId="0" applyNumberFormat="1" applyBorder="1" applyAlignment="1">
      <alignment horizontal="left"/>
    </xf>
    <xf numFmtId="169" fontId="1" fillId="0" borderId="1" xfId="0" applyFont="1" applyBorder="1" applyAlignment="1"/>
    <xf numFmtId="169" fontId="1" fillId="0" borderId="4" xfId="0" applyFont="1" applyBorder="1" applyAlignment="1"/>
    <xf numFmtId="169" fontId="1" fillId="0" borderId="2" xfId="0" applyFont="1" applyBorder="1" applyAlignment="1"/>
    <xf numFmtId="20" fontId="0" fillId="0" borderId="1" xfId="0" applyNumberFormat="1" applyBorder="1" applyAlignment="1">
      <alignment vertical="center"/>
    </xf>
    <xf numFmtId="20" fontId="0" fillId="0" borderId="2" xfId="0" applyNumberFormat="1" applyBorder="1" applyAlignment="1">
      <alignment vertical="center"/>
    </xf>
    <xf numFmtId="20" fontId="0" fillId="0" borderId="2" xfId="0" applyNumberFormat="1" applyBorder="1" applyAlignment="1">
      <alignment horizontal="left" vertical="center"/>
    </xf>
    <xf numFmtId="167" fontId="0" fillId="0" borderId="3" xfId="0" applyNumberFormat="1" applyBorder="1" applyAlignment="1">
      <alignment horizontal="left" vertical="center"/>
    </xf>
    <xf numFmtId="167" fontId="0" fillId="2" borderId="3" xfId="0" applyNumberFormat="1" applyFill="1" applyBorder="1" applyAlignment="1">
      <alignment horizontal="left" vertical="center"/>
    </xf>
    <xf numFmtId="167" fontId="0" fillId="3" borderId="3" xfId="0" applyNumberFormat="1" applyFill="1" applyBorder="1" applyAlignment="1">
      <alignment horizontal="left" vertical="center"/>
    </xf>
    <xf numFmtId="20" fontId="0" fillId="0" borderId="0" xfId="0" applyNumberFormat="1" applyFill="1" applyAlignment="1">
      <alignment horizontal="left"/>
    </xf>
    <xf numFmtId="1" fontId="0" fillId="0" borderId="0" xfId="0" applyNumberFormat="1" applyAlignment="1"/>
    <xf numFmtId="169" fontId="1" fillId="0" borderId="17" xfId="0" applyFont="1" applyBorder="1" applyAlignment="1">
      <alignment horizontal="left" vertical="center" wrapText="1"/>
    </xf>
    <xf numFmtId="169" fontId="0" fillId="5" borderId="0" xfId="0" applyFill="1"/>
    <xf numFmtId="169" fontId="9" fillId="5" borderId="0" xfId="0" applyFont="1" applyFill="1" applyBorder="1" applyAlignment="1">
      <alignment horizontal="center" vertical="center" wrapText="1"/>
    </xf>
    <xf numFmtId="169" fontId="9" fillId="5" borderId="0" xfId="0" applyFont="1" applyFill="1"/>
    <xf numFmtId="169" fontId="0" fillId="6" borderId="0" xfId="0" applyFill="1"/>
    <xf numFmtId="169" fontId="9" fillId="6" borderId="0" xfId="0" applyFont="1" applyFill="1" applyBorder="1" applyAlignment="1">
      <alignment horizontal="center" vertical="center" wrapText="1"/>
    </xf>
    <xf numFmtId="169" fontId="9" fillId="6" borderId="0" xfId="0" applyFont="1" applyFill="1"/>
    <xf numFmtId="169" fontId="9" fillId="7" borderId="0" xfId="0" applyFont="1" applyFill="1"/>
    <xf numFmtId="169" fontId="9" fillId="7" borderId="0" xfId="0" applyFont="1" applyFill="1" applyBorder="1" applyAlignment="1">
      <alignment horizontal="center" vertical="center" wrapText="1"/>
    </xf>
    <xf numFmtId="169" fontId="0" fillId="6" borderId="0" xfId="0" applyFill="1" applyAlignment="1">
      <alignment horizontal="center" vertical="center"/>
    </xf>
    <xf numFmtId="169" fontId="9" fillId="6" borderId="5" xfId="0" applyFont="1" applyFill="1" applyBorder="1"/>
    <xf numFmtId="169" fontId="6" fillId="8" borderId="0" xfId="0" applyFont="1" applyFill="1"/>
    <xf numFmtId="169" fontId="6" fillId="8" borderId="0" xfId="0" applyFont="1" applyFill="1" applyAlignment="1">
      <alignment horizontal="center" vertical="center"/>
    </xf>
    <xf numFmtId="169" fontId="9" fillId="8" borderId="5" xfId="0" applyFont="1" applyFill="1" applyBorder="1" applyAlignment="1"/>
    <xf numFmtId="169" fontId="0" fillId="5" borderId="0" xfId="0" applyFill="1" applyAlignment="1">
      <alignment horizontal="center" vertical="center"/>
    </xf>
    <xf numFmtId="169" fontId="9" fillId="5" borderId="5" xfId="0" applyFont="1" applyFill="1" applyBorder="1"/>
    <xf numFmtId="169" fontId="1" fillId="0" borderId="0" xfId="0" applyNumberFormat="1" applyFont="1" applyBorder="1" applyAlignment="1">
      <alignment horizontal="center" wrapText="1"/>
    </xf>
    <xf numFmtId="169" fontId="0" fillId="0" borderId="0" xfId="0" applyNumberFormat="1" applyAlignment="1">
      <alignment horizontal="center"/>
    </xf>
    <xf numFmtId="169" fontId="0" fillId="0" borderId="17" xfId="0" applyFill="1" applyBorder="1" applyAlignment="1">
      <alignment horizontal="left"/>
    </xf>
    <xf numFmtId="1" fontId="1" fillId="0" borderId="0" xfId="0" applyNumberFormat="1" applyFont="1" applyBorder="1"/>
    <xf numFmtId="169" fontId="0" fillId="9" borderId="0" xfId="0" applyFill="1"/>
    <xf numFmtId="169" fontId="1" fillId="0" borderId="0" xfId="3" applyFont="1"/>
    <xf numFmtId="169" fontId="10" fillId="0" borderId="0" xfId="3"/>
    <xf numFmtId="169" fontId="0" fillId="0" borderId="0" xfId="3" applyFont="1"/>
    <xf numFmtId="169" fontId="9" fillId="9" borderId="0" xfId="0" applyFont="1" applyFill="1" applyBorder="1" applyAlignment="1">
      <alignment horizontal="center" vertical="center" wrapText="1"/>
    </xf>
    <xf numFmtId="169" fontId="9" fillId="9" borderId="0" xfId="0" applyFont="1" applyFill="1"/>
    <xf numFmtId="167" fontId="13" fillId="0" borderId="5" xfId="0" applyNumberFormat="1" applyFont="1" applyFill="1" applyBorder="1" applyAlignment="1">
      <alignment horizontal="center" vertical="center" wrapText="1"/>
    </xf>
    <xf numFmtId="169" fontId="13" fillId="0" borderId="5" xfId="0" applyFont="1" applyFill="1" applyBorder="1" applyAlignment="1">
      <alignment horizontal="center" vertical="center" wrapText="1"/>
    </xf>
    <xf numFmtId="1" fontId="13" fillId="0" borderId="5" xfId="0" applyNumberFormat="1" applyFont="1" applyFill="1" applyBorder="1" applyAlignment="1">
      <alignment horizontal="center" vertical="center" wrapText="1"/>
    </xf>
    <xf numFmtId="169" fontId="14" fillId="0" borderId="5" xfId="0" applyFont="1" applyFill="1" applyBorder="1"/>
    <xf numFmtId="169" fontId="15" fillId="6" borderId="5" xfId="0" applyFont="1" applyFill="1" applyBorder="1" applyAlignment="1">
      <alignment horizontal="center" vertical="center" wrapText="1"/>
    </xf>
    <xf numFmtId="169" fontId="15" fillId="8" borderId="5" xfId="0" applyFont="1" applyFill="1" applyBorder="1" applyAlignment="1">
      <alignment horizontal="center" vertical="center" wrapText="1"/>
    </xf>
    <xf numFmtId="169" fontId="15" fillId="5" borderId="5" xfId="0" applyFont="1" applyFill="1" applyBorder="1"/>
    <xf numFmtId="169" fontId="13" fillId="0" borderId="5" xfId="0" applyNumberFormat="1" applyFont="1" applyFill="1" applyBorder="1" applyAlignment="1">
      <alignment horizontal="center" vertical="center" wrapText="1"/>
    </xf>
    <xf numFmtId="169" fontId="16" fillId="9" borderId="0" xfId="0" applyFont="1" applyFill="1" applyBorder="1" applyAlignment="1">
      <alignment horizontal="center" vertical="center" wrapText="1"/>
    </xf>
    <xf numFmtId="169" fontId="16" fillId="0" borderId="0" xfId="0" applyFont="1" applyBorder="1" applyAlignment="1">
      <alignment horizontal="center" vertical="center" wrapText="1"/>
    </xf>
    <xf numFmtId="169" fontId="14" fillId="0" borderId="0" xfId="0" applyFont="1" applyFill="1"/>
    <xf numFmtId="1" fontId="0" fillId="2" borderId="12" xfId="0" applyNumberFormat="1" applyFill="1" applyBorder="1" applyAlignment="1">
      <alignment vertical="center"/>
    </xf>
    <xf numFmtId="1" fontId="0" fillId="0" borderId="15" xfId="0" applyNumberFormat="1" applyBorder="1" applyAlignment="1">
      <alignment vertical="center"/>
    </xf>
    <xf numFmtId="169" fontId="0" fillId="0" borderId="0" xfId="0" applyNumberFormat="1" applyAlignment="1"/>
    <xf numFmtId="169" fontId="1" fillId="0" borderId="0" xfId="0" applyNumberFormat="1" applyFont="1" applyAlignment="1"/>
    <xf numFmtId="169" fontId="0" fillId="0" borderId="0" xfId="0" applyNumberFormat="1" applyAlignment="1">
      <alignment horizontal="left"/>
    </xf>
    <xf numFmtId="169" fontId="0" fillId="0" borderId="0" xfId="0" applyNumberFormat="1"/>
    <xf numFmtId="169" fontId="13" fillId="0" borderId="5" xfId="0" applyNumberFormat="1" applyFont="1" applyFill="1" applyBorder="1" applyAlignment="1">
      <alignment horizontal="center" vertical="center" wrapText="1"/>
    </xf>
    <xf numFmtId="169" fontId="17" fillId="6" borderId="0" xfId="0" applyFont="1" applyFill="1"/>
    <xf numFmtId="169" fontId="18" fillId="0" borderId="0" xfId="0" applyFont="1" applyFill="1"/>
    <xf numFmtId="169" fontId="18" fillId="0" borderId="0" xfId="0" applyFont="1" applyFill="1" applyAlignment="1">
      <alignment horizontal="center" vertical="center"/>
    </xf>
    <xf numFmtId="169" fontId="19" fillId="0" borderId="0" xfId="0" applyFont="1" applyFill="1"/>
    <xf numFmtId="2" fontId="1" fillId="0" borderId="5" xfId="0" applyNumberFormat="1" applyFont="1" applyFill="1" applyBorder="1" applyAlignment="1">
      <alignment horizontal="center" wrapText="1"/>
    </xf>
    <xf numFmtId="2" fontId="1" fillId="0" borderId="5" xfId="0" applyNumberFormat="1" applyFont="1" applyBorder="1" applyAlignment="1">
      <alignment horizontal="center" vertical="center" wrapText="1"/>
    </xf>
    <xf numFmtId="2" fontId="1" fillId="0" borderId="5" xfId="0" applyNumberFormat="1" applyFont="1" applyFill="1" applyBorder="1" applyAlignment="1">
      <alignment horizontal="center" vertical="center"/>
    </xf>
    <xf numFmtId="2" fontId="1" fillId="0" borderId="5" xfId="0" applyNumberFormat="1" applyFont="1" applyBorder="1"/>
    <xf numFmtId="9" fontId="0" fillId="0" borderId="0" xfId="2" applyNumberFormat="1" applyFont="1" applyAlignment="1">
      <alignment horizontal="left"/>
    </xf>
    <xf numFmtId="169" fontId="0" fillId="2" borderId="11" xfId="0" applyNumberFormat="1" applyFill="1" applyBorder="1" applyAlignment="1">
      <alignment vertical="center"/>
    </xf>
    <xf numFmtId="169" fontId="0" fillId="2" borderId="12" xfId="0" applyNumberFormat="1" applyFill="1" applyBorder="1" applyAlignment="1">
      <alignment horizontal="left" vertical="center"/>
    </xf>
    <xf numFmtId="169" fontId="0" fillId="0" borderId="14" xfId="0" applyNumberFormat="1" applyBorder="1" applyAlignment="1">
      <alignment vertical="center"/>
    </xf>
    <xf numFmtId="169" fontId="0" fillId="0" borderId="15" xfId="0" applyNumberFormat="1" applyBorder="1" applyAlignment="1">
      <alignment horizontal="left" vertical="center"/>
    </xf>
    <xf numFmtId="169" fontId="0" fillId="0" borderId="0" xfId="0" applyNumberFormat="1" applyAlignment="1">
      <alignment horizontal="center" vertical="center"/>
    </xf>
    <xf numFmtId="169" fontId="13" fillId="0" borderId="5" xfId="0" applyNumberFormat="1" applyFont="1" applyFill="1" applyBorder="1" applyAlignment="1">
      <alignment horizontal="left" vertical="center" wrapText="1"/>
    </xf>
    <xf numFmtId="167" fontId="0" fillId="0" borderId="0" xfId="0" applyNumberFormat="1" applyAlignment="1"/>
    <xf numFmtId="2" fontId="0" fillId="0" borderId="5" xfId="0" applyNumberFormat="1" applyBorder="1"/>
    <xf numFmtId="1" fontId="0" fillId="0" borderId="17" xfId="0" applyNumberFormat="1" applyBorder="1"/>
    <xf numFmtId="169" fontId="0" fillId="0" borderId="17" xfId="0" applyFill="1" applyBorder="1" applyAlignment="1">
      <alignment horizontal="left" vertical="center"/>
    </xf>
    <xf numFmtId="169" fontId="0" fillId="0" borderId="5" xfId="0" applyFill="1" applyBorder="1" applyAlignment="1">
      <alignment vertical="center"/>
    </xf>
    <xf numFmtId="169" fontId="0" fillId="0" borderId="5" xfId="0" applyNumberFormat="1" applyBorder="1" applyAlignment="1">
      <alignment horizontal="center"/>
    </xf>
    <xf numFmtId="167" fontId="1" fillId="0" borderId="0" xfId="0" applyNumberFormat="1" applyFont="1"/>
    <xf numFmtId="2" fontId="1" fillId="0" borderId="0" xfId="0" applyNumberFormat="1" applyFont="1"/>
    <xf numFmtId="169" fontId="0" fillId="0" borderId="0" xfId="0" applyNumberFormat="1"/>
    <xf numFmtId="169" fontId="0" fillId="0" borderId="0" xfId="0" applyNumberFormat="1" applyAlignment="1">
      <alignment horizontal="left"/>
    </xf>
    <xf numFmtId="169" fontId="0" fillId="0" borderId="0" xfId="0" applyNumberFormat="1"/>
    <xf numFmtId="169" fontId="0" fillId="0" borderId="0" xfId="0" applyNumberFormat="1" applyAlignment="1"/>
    <xf numFmtId="169" fontId="6" fillId="0" borderId="0" xfId="0" applyFont="1"/>
    <xf numFmtId="169" fontId="6" fillId="0" borderId="0" xfId="0" applyFont="1" applyBorder="1" applyAlignment="1">
      <alignment horizontal="center" vertical="center" wrapText="1"/>
    </xf>
    <xf numFmtId="169" fontId="6" fillId="0" borderId="0" xfId="0" applyFont="1" applyAlignment="1">
      <alignment horizontal="center" vertical="center"/>
    </xf>
    <xf numFmtId="169" fontId="6" fillId="0" borderId="0" xfId="0" applyFont="1" applyFill="1"/>
    <xf numFmtId="169" fontId="8" fillId="4" borderId="9" xfId="1" applyNumberFormat="1" applyFont="1" applyFill="1" applyBorder="1" applyAlignment="1">
      <alignment horizontal="center"/>
    </xf>
    <xf numFmtId="169" fontId="8" fillId="4" borderId="0" xfId="1" applyNumberFormat="1" applyFont="1" applyFill="1" applyBorder="1" applyAlignment="1">
      <alignment horizontal="center"/>
    </xf>
    <xf numFmtId="169" fontId="8" fillId="0" borderId="10" xfId="1" applyNumberFormat="1" applyFont="1" applyFill="1" applyBorder="1" applyAlignment="1">
      <alignment wrapText="1"/>
    </xf>
    <xf numFmtId="169" fontId="8" fillId="0" borderId="10" xfId="1" applyNumberFormat="1" applyFont="1" applyFill="1" applyBorder="1" applyAlignment="1">
      <alignment horizontal="right" wrapText="1"/>
    </xf>
    <xf numFmtId="169" fontId="0" fillId="0" borderId="0" xfId="0" applyNumberFormat="1" applyFill="1" applyBorder="1"/>
    <xf numFmtId="169" fontId="9" fillId="0" borderId="0" xfId="0" applyFont="1"/>
    <xf numFmtId="169" fontId="1" fillId="0" borderId="0" xfId="0" applyNumberFormat="1" applyFont="1" applyBorder="1" applyAlignment="1">
      <alignment horizontal="left" wrapText="1"/>
    </xf>
    <xf numFmtId="169" fontId="0" fillId="0" borderId="5" xfId="0" applyNumberFormat="1" applyBorder="1" applyAlignment="1">
      <alignment horizontal="left"/>
    </xf>
    <xf numFmtId="169" fontId="0" fillId="0" borderId="0" xfId="0" applyNumberFormat="1"/>
    <xf numFmtId="169" fontId="0" fillId="0" borderId="5" xfId="0" applyNumberFormat="1" applyBorder="1"/>
    <xf numFmtId="169" fontId="1" fillId="0" borderId="5" xfId="0" applyNumberFormat="1" applyFont="1" applyBorder="1"/>
    <xf numFmtId="169" fontId="0" fillId="0" borderId="0" xfId="0" applyAlignment="1"/>
    <xf numFmtId="169" fontId="16" fillId="0" borderId="0" xfId="0" applyFont="1" applyBorder="1" applyAlignment="1">
      <alignment horizontal="center" vertical="center"/>
    </xf>
    <xf numFmtId="169" fontId="9" fillId="0" borderId="0" xfId="0" applyFont="1" applyFill="1" applyAlignment="1"/>
    <xf numFmtId="169" fontId="0" fillId="0" borderId="0" xfId="0" applyNumberFormat="1" applyAlignment="1">
      <alignment horizontal="left"/>
    </xf>
    <xf numFmtId="169" fontId="0" fillId="0" borderId="0" xfId="0" applyNumberFormat="1"/>
    <xf numFmtId="169" fontId="0" fillId="0" borderId="1" xfId="0" applyNumberFormat="1" applyBorder="1" applyAlignment="1">
      <alignment vertical="center"/>
    </xf>
    <xf numFmtId="169" fontId="0" fillId="0" borderId="3" xfId="0" applyNumberFormat="1" applyBorder="1" applyAlignment="1">
      <alignment horizontal="left" vertical="center"/>
    </xf>
    <xf numFmtId="169" fontId="0" fillId="2" borderId="3" xfId="0" applyNumberFormat="1" applyFill="1" applyBorder="1" applyAlignment="1">
      <alignment horizontal="left" vertical="center"/>
    </xf>
    <xf numFmtId="169" fontId="0" fillId="3" borderId="3" xfId="0" applyNumberFormat="1" applyFill="1" applyBorder="1" applyAlignment="1">
      <alignment horizontal="left" vertical="center"/>
    </xf>
    <xf numFmtId="169" fontId="1" fillId="0" borderId="5" xfId="0" applyNumberFormat="1" applyFont="1" applyBorder="1" applyAlignment="1">
      <alignment horizontal="center" vertical="center" wrapText="1"/>
    </xf>
    <xf numFmtId="169" fontId="0" fillId="0" borderId="5" xfId="0" applyNumberFormat="1" applyFill="1" applyBorder="1"/>
    <xf numFmtId="169" fontId="0" fillId="0" borderId="0" xfId="0" applyNumberFormat="1"/>
    <xf numFmtId="169" fontId="0" fillId="0" borderId="0" xfId="0" applyNumberFormat="1" applyAlignment="1">
      <alignment horizontal="left"/>
    </xf>
    <xf numFmtId="169" fontId="0" fillId="0" borderId="4" xfId="0" applyNumberFormat="1" applyBorder="1" applyAlignment="1">
      <alignment horizontal="left"/>
    </xf>
    <xf numFmtId="169" fontId="0" fillId="0" borderId="2" xfId="0" applyNumberFormat="1" applyBorder="1" applyAlignment="1">
      <alignment horizontal="left" vertical="center"/>
    </xf>
    <xf numFmtId="169" fontId="0" fillId="0" borderId="4" xfId="0" applyNumberFormat="1" applyBorder="1" applyAlignment="1">
      <alignment horizontal="left" vertical="center"/>
    </xf>
    <xf numFmtId="169" fontId="0" fillId="0" borderId="5" xfId="0" applyNumberFormat="1" applyBorder="1" applyAlignment="1">
      <alignment horizontal="center" vertical="center" wrapText="1"/>
    </xf>
    <xf numFmtId="169" fontId="0" fillId="0" borderId="5" xfId="0" applyNumberFormat="1" applyFill="1" applyBorder="1"/>
    <xf numFmtId="169" fontId="13" fillId="0" borderId="5" xfId="0" applyNumberFormat="1" applyFont="1" applyFill="1" applyBorder="1" applyAlignment="1">
      <alignment horizontal="center" vertical="center" wrapText="1"/>
    </xf>
    <xf numFmtId="169" fontId="0" fillId="0" borderId="5" xfId="0" applyNumberFormat="1" applyFill="1" applyBorder="1" applyAlignment="1"/>
    <xf numFmtId="169" fontId="0" fillId="0" borderId="0" xfId="0" applyNumberFormat="1" applyBorder="1" applyAlignment="1">
      <alignment horizontal="center" vertical="center" wrapText="1"/>
    </xf>
    <xf numFmtId="1" fontId="9" fillId="0" borderId="0" xfId="0" applyNumberFormat="1" applyFont="1" applyBorder="1" applyAlignment="1">
      <alignment horizontal="center" vertical="center" wrapText="1"/>
    </xf>
    <xf numFmtId="1" fontId="9" fillId="0" borderId="0" xfId="0" applyNumberFormat="1" applyFont="1" applyFill="1"/>
    <xf numFmtId="1" fontId="0" fillId="0" borderId="0" xfId="0" applyNumberFormat="1" applyAlignment="1">
      <alignment horizontal="center" vertical="center"/>
    </xf>
    <xf numFmtId="1" fontId="14" fillId="0" borderId="5" xfId="0" applyNumberFormat="1" applyFont="1" applyFill="1" applyBorder="1"/>
    <xf numFmtId="169" fontId="0" fillId="0" borderId="0" xfId="0" applyNumberFormat="1" applyFill="1"/>
    <xf numFmtId="2" fontId="0" fillId="0" borderId="5" xfId="0" applyNumberFormat="1" applyFill="1" applyBorder="1"/>
    <xf numFmtId="169" fontId="1" fillId="0" borderId="5" xfId="0" applyNumberFormat="1" applyFont="1" applyBorder="1" applyAlignment="1">
      <alignment horizontal="left" vertical="center" wrapText="1"/>
    </xf>
    <xf numFmtId="169" fontId="0" fillId="0" borderId="5" xfId="0" applyNumberFormat="1" applyFill="1" applyBorder="1" applyAlignment="1">
      <alignment horizontal="left"/>
    </xf>
    <xf numFmtId="169" fontId="12" fillId="0" borderId="0" xfId="0" applyNumberFormat="1" applyFont="1"/>
    <xf numFmtId="169" fontId="0" fillId="0" borderId="0" xfId="3" applyNumberFormat="1" applyFont="1"/>
    <xf numFmtId="169" fontId="10" fillId="0" borderId="0" xfId="3" applyNumberFormat="1"/>
    <xf numFmtId="169" fontId="0" fillId="2" borderId="0" xfId="0" applyFill="1"/>
    <xf numFmtId="169" fontId="0" fillId="2" borderId="0" xfId="0" applyFill="1" applyBorder="1"/>
    <xf numFmtId="169" fontId="0" fillId="2" borderId="5" xfId="0" applyFill="1" applyBorder="1"/>
    <xf numFmtId="0" fontId="0" fillId="0" borderId="0" xfId="0" applyNumberFormat="1" applyAlignment="1">
      <alignment horizontal="left"/>
    </xf>
    <xf numFmtId="0" fontId="0" fillId="0" borderId="4" xfId="0" applyNumberFormat="1" applyBorder="1" applyAlignment="1">
      <alignment horizontal="left"/>
    </xf>
    <xf numFmtId="0" fontId="0" fillId="0" borderId="2" xfId="0" applyNumberFormat="1" applyBorder="1" applyAlignment="1">
      <alignment horizontal="left" vertical="center"/>
    </xf>
    <xf numFmtId="0" fontId="0" fillId="0" borderId="4" xfId="0" applyNumberFormat="1" applyBorder="1" applyAlignment="1">
      <alignment horizontal="left" vertical="center"/>
    </xf>
    <xf numFmtId="0" fontId="0" fillId="0" borderId="0" xfId="0" applyNumberFormat="1"/>
    <xf numFmtId="0" fontId="0" fillId="0" borderId="5" xfId="0" applyNumberFormat="1" applyBorder="1" applyAlignment="1">
      <alignment horizontal="center" vertical="center" wrapText="1"/>
    </xf>
    <xf numFmtId="0" fontId="0" fillId="0" borderId="5" xfId="0" applyNumberFormat="1" applyFill="1" applyBorder="1"/>
    <xf numFmtId="0" fontId="1" fillId="0" borderId="2" xfId="0" applyNumberFormat="1" applyFont="1" applyBorder="1" applyAlignment="1"/>
    <xf numFmtId="0" fontId="0" fillId="0" borderId="2" xfId="0" applyNumberFormat="1" applyBorder="1" applyAlignment="1">
      <alignment horizontal="center" vertical="center"/>
    </xf>
    <xf numFmtId="0" fontId="0" fillId="0" borderId="0" xfId="0" applyNumberFormat="1" applyAlignment="1"/>
    <xf numFmtId="0" fontId="5" fillId="0" borderId="0" xfId="0" applyNumberFormat="1" applyFont="1"/>
    <xf numFmtId="0" fontId="9" fillId="0" borderId="0" xfId="0" applyNumberFormat="1" applyFont="1" applyBorder="1" applyAlignment="1">
      <alignment horizontal="center" vertical="center" wrapText="1"/>
    </xf>
    <xf numFmtId="0" fontId="9" fillId="0" borderId="0" xfId="0" applyNumberFormat="1" applyFont="1" applyFill="1" applyBorder="1"/>
    <xf numFmtId="0" fontId="0" fillId="0" borderId="2" xfId="2" applyNumberFormat="1" applyFont="1" applyBorder="1" applyAlignment="1"/>
    <xf numFmtId="0" fontId="0" fillId="0" borderId="2" xfId="2" applyNumberFormat="1" applyFont="1" applyBorder="1" applyAlignment="1">
      <alignment vertical="center"/>
    </xf>
    <xf numFmtId="0" fontId="0" fillId="0" borderId="4" xfId="2" applyNumberFormat="1" applyFont="1" applyBorder="1" applyAlignment="1">
      <alignment horizontal="left" vertical="center"/>
    </xf>
    <xf numFmtId="0" fontId="0" fillId="0" borderId="0" xfId="0" applyNumberFormat="1" applyFill="1" applyAlignment="1">
      <alignment horizontal="left" wrapText="1"/>
    </xf>
    <xf numFmtId="0" fontId="1" fillId="0" borderId="1" xfId="0" applyNumberFormat="1" applyFont="1" applyFill="1" applyBorder="1" applyAlignment="1"/>
    <xf numFmtId="0" fontId="1" fillId="0" borderId="4" xfId="0" applyNumberFormat="1" applyFont="1" applyBorder="1" applyAlignment="1"/>
    <xf numFmtId="0" fontId="0" fillId="0" borderId="3" xfId="0" applyNumberFormat="1" applyFill="1" applyBorder="1" applyAlignment="1">
      <alignment horizontal="left" vertical="center"/>
    </xf>
    <xf numFmtId="0" fontId="0" fillId="0" borderId="3" xfId="0" applyNumberFormat="1" applyBorder="1" applyAlignment="1">
      <alignment horizontal="left" vertical="center"/>
    </xf>
    <xf numFmtId="0" fontId="0" fillId="0" borderId="0" xfId="0" applyNumberFormat="1" applyFill="1" applyAlignment="1">
      <alignment horizontal="left"/>
    </xf>
    <xf numFmtId="0" fontId="5" fillId="0" borderId="0" xfId="0" applyNumberFormat="1" applyFont="1" applyFill="1"/>
    <xf numFmtId="0" fontId="9" fillId="8" borderId="0" xfId="0" applyNumberFormat="1" applyFont="1" applyFill="1" applyBorder="1" applyAlignment="1">
      <alignment horizontal="center" vertical="center" wrapText="1"/>
    </xf>
    <xf numFmtId="0" fontId="9" fillId="8" borderId="0" xfId="0" applyNumberFormat="1" applyFont="1" applyFill="1" applyBorder="1"/>
    <xf numFmtId="0" fontId="5" fillId="8" borderId="0" xfId="0" applyNumberFormat="1" applyFont="1" applyFill="1"/>
    <xf numFmtId="0" fontId="1" fillId="0" borderId="0" xfId="0" applyNumberFormat="1" applyFont="1"/>
    <xf numFmtId="9" fontId="0" fillId="0" borderId="0" xfId="2" applyNumberFormat="1" applyFont="1"/>
    <xf numFmtId="9" fontId="1" fillId="0" borderId="5" xfId="2" applyNumberFormat="1" applyFont="1" applyBorder="1" applyAlignment="1">
      <alignment horizontal="center" vertical="center" wrapText="1"/>
    </xf>
    <xf numFmtId="9" fontId="0" fillId="0" borderId="5" xfId="2" applyNumberFormat="1" applyFont="1" applyFill="1" applyBorder="1"/>
    <xf numFmtId="0" fontId="0" fillId="2" borderId="13" xfId="0" applyNumberFormat="1" applyFill="1" applyBorder="1" applyAlignment="1"/>
    <xf numFmtId="0" fontId="0" fillId="0" borderId="16" xfId="0" applyNumberFormat="1" applyBorder="1" applyAlignment="1"/>
    <xf numFmtId="0" fontId="0" fillId="0" borderId="0" xfId="0" applyNumberFormat="1" applyBorder="1"/>
    <xf numFmtId="169" fontId="2" fillId="0" borderId="0" xfId="0" applyFont="1" applyBorder="1" applyAlignment="1">
      <alignment horizontal="center" vertical="center"/>
    </xf>
    <xf numFmtId="169" fontId="1" fillId="0" borderId="0" xfId="0" applyFont="1" applyBorder="1" applyAlignment="1">
      <alignment horizontal="center"/>
    </xf>
  </cellXfs>
  <cellStyles count="4">
    <cellStyle name="Normal" xfId="0" builtinId="0"/>
    <cellStyle name="Normal 2" xfId="3"/>
    <cellStyle name="Normal_XINGS" xfId="1"/>
    <cellStyle name="Percent" xfId="2" builtinId="5"/>
  </cellStyles>
  <dxfs count="11">
    <dxf>
      <font>
        <color rgb="FF9C0006"/>
      </font>
      <fill>
        <patternFill>
          <bgColor rgb="FFFFC7CE"/>
        </patternFill>
      </fill>
    </dxf>
    <dxf>
      <fill>
        <patternFill>
          <bgColor rgb="FFFFFF00"/>
        </patternFill>
      </fill>
    </dxf>
    <dxf>
      <font>
        <color rgb="FF9C6500"/>
      </font>
      <fill>
        <patternFill>
          <bgColor rgb="FFFFEB9C"/>
        </patternFill>
      </fill>
    </dxf>
    <dxf>
      <font>
        <color rgb="FF9C6500"/>
      </font>
      <fill>
        <patternFill>
          <bgColor rgb="FFFFEB9C"/>
        </patternFill>
      </fill>
    </dxf>
    <dxf>
      <fill>
        <patternFill>
          <bgColor theme="5" tint="0.79998168889431442"/>
        </patternFill>
      </fill>
    </dxf>
    <dxf>
      <fill>
        <patternFill>
          <bgColor theme="5" tint="0.79998168889431442"/>
        </patternFill>
      </fill>
    </dxf>
    <dxf>
      <fill>
        <patternFill>
          <bgColor rgb="FFFFFF00"/>
        </patternFill>
      </fill>
    </dxf>
    <dxf>
      <font>
        <color theme="0"/>
      </font>
      <fill>
        <patternFill>
          <bgColor rgb="FFFF0000"/>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4C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552450</xdr:colOff>
          <xdr:row>2</xdr:row>
          <xdr:rowOff>38100</xdr:rowOff>
        </xdr:from>
        <xdr:to>
          <xdr:col>26</xdr:col>
          <xdr:colOff>466725</xdr:colOff>
          <xdr:row>4</xdr:row>
          <xdr:rowOff>190500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Apply Formatting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352425</xdr:colOff>
          <xdr:row>1</xdr:row>
          <xdr:rowOff>28575</xdr:rowOff>
        </xdr:from>
        <xdr:to>
          <xdr:col>15</xdr:col>
          <xdr:colOff>1152525</xdr:colOff>
          <xdr:row>3</xdr:row>
          <xdr:rowOff>66675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Apply Formatting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295275</xdr:colOff>
          <xdr:row>5</xdr:row>
          <xdr:rowOff>47625</xdr:rowOff>
        </xdr:from>
        <xdr:to>
          <xdr:col>0</xdr:col>
          <xdr:colOff>1628775</xdr:colOff>
          <xdr:row>8</xdr:row>
          <xdr:rowOff>66675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Email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9</xdr:row>
          <xdr:rowOff>85725</xdr:rowOff>
        </xdr:from>
        <xdr:to>
          <xdr:col>0</xdr:col>
          <xdr:colOff>1552575</xdr:colOff>
          <xdr:row>12</xdr:row>
          <xdr:rowOff>38100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Raw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12</xdr:row>
          <xdr:rowOff>142875</xdr:rowOff>
        </xdr:from>
        <xdr:to>
          <xdr:col>0</xdr:col>
          <xdr:colOff>1543050</xdr:colOff>
          <xdr:row>15</xdr:row>
          <xdr:rowOff>95250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DailyMorningStuff_Enforcements"/>
      <definedName name="DailyMorningStuff_Runs"/>
      <definedName name="ImportRawText"/>
      <definedName name="Mail_workbook_Outlook"/>
      <definedName name="SetTodaysDate"/>
    </definedNames>
    <sheetDataSet>
      <sheetData sheetId="0"/>
    </sheetDataSet>
  </externalBook>
</externalLink>
</file>

<file path=xl/queryTables/queryTable1.xml><?xml version="1.0" encoding="utf-8"?>
<queryTable xmlns="http://schemas.openxmlformats.org/spreadsheetml/2006/main" name="Denver Train Runs 04122016"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queryTable" Target="../queryTables/query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CM356"/>
  <sheetViews>
    <sheetView tabSelected="1" topLeftCell="A18" zoomScaleNormal="100" workbookViewId="0">
      <selection activeCell="AJ28" sqref="AJ28"/>
    </sheetView>
  </sheetViews>
  <sheetFormatPr defaultRowHeight="15" x14ac:dyDescent="0.25"/>
  <cols>
    <col min="1" max="1" width="8" style="34" customWidth="1"/>
    <col min="2" max="2" width="6.140625" style="36" customWidth="1"/>
    <col min="3" max="3" width="13.5703125" style="27" hidden="1" customWidth="1"/>
    <col min="4" max="4" width="16.140625" style="27" hidden="1" customWidth="1"/>
    <col min="5" max="5" width="19.5703125" style="33" hidden="1" customWidth="1"/>
    <col min="6" max="6" width="18.28515625" style="33" customWidth="1"/>
    <col min="7" max="7" width="4.85546875" style="36" hidden="1" customWidth="1"/>
    <col min="8" max="8" width="22.140625" style="33" hidden="1" customWidth="1"/>
    <col min="9" max="9" width="18.5703125" style="33" customWidth="1"/>
    <col min="10" max="10" width="7.28515625" style="36" customWidth="1"/>
    <col min="11" max="11" width="10.42578125" style="27" customWidth="1"/>
    <col min="12" max="12" width="16.28515625" style="169" customWidth="1"/>
    <col min="13" max="13" width="7.42578125" style="35" customWidth="1"/>
    <col min="14" max="14" width="3" style="36" customWidth="1"/>
    <col min="15" max="15" width="3" style="2" customWidth="1"/>
    <col min="16" max="16" width="2.85546875" style="2" customWidth="1"/>
    <col min="17" max="17" width="3.7109375" hidden="1" customWidth="1"/>
    <col min="18" max="18" width="28.42578125" style="161" customWidth="1"/>
    <col min="19" max="19" width="6" style="219" customWidth="1"/>
    <col min="20" max="20" width="3.85546875" style="168" customWidth="1"/>
    <col min="21" max="21" width="5" style="196" customWidth="1"/>
    <col min="22" max="22" width="5.7109375" style="217" customWidth="1"/>
    <col min="23" max="23" width="3.85546875" style="202" customWidth="1"/>
    <col min="24" max="24" width="6.5703125" style="202" customWidth="1"/>
    <col min="25" max="25" width="8.85546875" style="202" customWidth="1"/>
    <col min="26" max="26" width="7.28515625" style="202" customWidth="1"/>
    <col min="27" max="27" width="9.140625" style="202"/>
    <col min="28" max="28" width="10.7109375" style="52" hidden="1" customWidth="1"/>
    <col min="29" max="29" width="9.42578125" style="49" hidden="1" customWidth="1"/>
    <col min="30" max="30" width="7.85546875" style="2" customWidth="1"/>
    <col min="31" max="31" width="4.5703125" style="75" customWidth="1"/>
    <col min="32" max="32" width="6.28515625" style="72" customWidth="1"/>
    <col min="33" max="33" width="3.7109375" style="168" customWidth="1"/>
    <col min="34" max="34" width="5" style="78" customWidth="1"/>
    <col min="35" max="35" width="5.7109375" style="91" customWidth="1"/>
    <col min="36" max="36" width="9.85546875" customWidth="1"/>
    <col min="37" max="37" width="5" customWidth="1"/>
    <col min="38" max="38" width="4.140625" customWidth="1"/>
    <col min="39" max="39" width="9.140625" style="142"/>
    <col min="41" max="41" width="3.7109375" style="168" customWidth="1"/>
  </cols>
  <sheetData>
    <row r="1" spans="1:91" s="20" customFormat="1" ht="15.75" thickBot="1" x14ac:dyDescent="0.3">
      <c r="A1" s="34"/>
      <c r="B1" s="36"/>
      <c r="C1" s="27"/>
      <c r="D1" s="27"/>
      <c r="E1" s="33"/>
      <c r="F1" s="33"/>
      <c r="G1" s="36"/>
      <c r="H1" s="33"/>
      <c r="I1" s="33" t="s">
        <v>102</v>
      </c>
      <c r="J1" s="36"/>
      <c r="K1" s="27"/>
      <c r="L1" s="169"/>
      <c r="M1" s="35"/>
      <c r="N1" s="36"/>
      <c r="O1" s="2"/>
      <c r="P1" s="2"/>
      <c r="R1" s="160" t="s">
        <v>103</v>
      </c>
      <c r="S1" s="123"/>
      <c r="T1" s="169"/>
      <c r="U1" s="192"/>
      <c r="V1" s="208"/>
      <c r="W1" s="192"/>
      <c r="X1" s="196"/>
      <c r="Y1" s="202"/>
      <c r="Z1" s="202"/>
      <c r="AA1" s="202"/>
      <c r="AB1" s="52"/>
      <c r="AC1" s="49"/>
      <c r="AD1" s="2"/>
      <c r="AE1" s="1"/>
      <c r="AF1" s="1"/>
      <c r="AG1" s="182"/>
      <c r="AH1" s="47"/>
      <c r="AI1" s="1"/>
      <c r="AM1" s="142"/>
      <c r="AO1" s="168"/>
    </row>
    <row r="2" spans="1:91" s="20" customFormat="1" ht="15.75" thickBot="1" x14ac:dyDescent="0.3">
      <c r="A2" s="34"/>
      <c r="B2" s="36"/>
      <c r="C2" s="27"/>
      <c r="D2" s="27"/>
      <c r="E2" s="33"/>
      <c r="F2" s="33"/>
      <c r="G2" s="36"/>
      <c r="H2" s="33"/>
      <c r="I2" s="57">
        <f>Variables!$A$2</f>
        <v>43013</v>
      </c>
      <c r="J2" s="58"/>
      <c r="K2" s="59"/>
      <c r="L2" s="170"/>
      <c r="M2" s="60" t="s">
        <v>8</v>
      </c>
      <c r="N2" s="61"/>
      <c r="O2" s="62"/>
      <c r="P2" s="2"/>
      <c r="R2" s="57">
        <f>Variables!$A$2</f>
        <v>43013</v>
      </c>
      <c r="S2" s="205"/>
      <c r="T2" s="170"/>
      <c r="U2" s="193"/>
      <c r="V2" s="209" t="s">
        <v>8</v>
      </c>
      <c r="W2" s="210"/>
      <c r="X2" s="199"/>
      <c r="Y2" s="202"/>
      <c r="Z2" s="202"/>
      <c r="AA2" s="202"/>
      <c r="AB2" s="52"/>
      <c r="AC2" s="49"/>
      <c r="AD2" s="2"/>
      <c r="AE2" s="1"/>
      <c r="AF2" s="1"/>
      <c r="AG2" s="182"/>
      <c r="AH2" s="47"/>
      <c r="AI2" s="1"/>
      <c r="AM2" s="142"/>
      <c r="AO2" s="168"/>
    </row>
    <row r="3" spans="1:91" s="20" customFormat="1" ht="15.75" thickBot="1" x14ac:dyDescent="0.3">
      <c r="A3" s="34"/>
      <c r="B3" s="36"/>
      <c r="C3" s="27"/>
      <c r="D3" s="27"/>
      <c r="E3" s="33"/>
      <c r="F3" s="33"/>
      <c r="G3" s="36"/>
      <c r="H3" s="33"/>
      <c r="I3" s="63" t="s">
        <v>10</v>
      </c>
      <c r="J3" s="64"/>
      <c r="K3" s="65"/>
      <c r="L3" s="171"/>
      <c r="M3" s="37" t="s">
        <v>11</v>
      </c>
      <c r="N3" s="38" t="s">
        <v>12</v>
      </c>
      <c r="O3" s="3" t="s">
        <v>13</v>
      </c>
      <c r="P3" s="2"/>
      <c r="R3" s="162" t="s">
        <v>10</v>
      </c>
      <c r="S3" s="206"/>
      <c r="T3" s="171"/>
      <c r="U3" s="194"/>
      <c r="V3" s="211" t="s">
        <v>11</v>
      </c>
      <c r="W3" s="212" t="s">
        <v>12</v>
      </c>
      <c r="X3" s="200" t="s">
        <v>13</v>
      </c>
      <c r="Y3" s="202"/>
      <c r="Z3" s="202"/>
      <c r="AA3" s="202"/>
      <c r="AB3" s="52"/>
      <c r="AC3" s="49"/>
      <c r="AD3" s="2"/>
      <c r="AE3" s="1"/>
      <c r="AF3" s="1"/>
      <c r="AG3" s="182"/>
      <c r="AH3" s="47"/>
      <c r="AI3" s="1"/>
      <c r="AM3" s="142"/>
      <c r="AO3" s="168"/>
    </row>
    <row r="4" spans="1:91" s="20" customFormat="1" ht="15.75" thickBot="1" x14ac:dyDescent="0.3">
      <c r="A4" s="34"/>
      <c r="B4" s="36"/>
      <c r="C4" s="27"/>
      <c r="D4" s="27"/>
      <c r="E4" s="33"/>
      <c r="F4" s="160"/>
      <c r="G4" s="36"/>
      <c r="H4" s="33"/>
      <c r="I4" s="66" t="s">
        <v>14</v>
      </c>
      <c r="J4" s="48">
        <f>SUM(J5:J7)</f>
        <v>144</v>
      </c>
      <c r="K4" s="39"/>
      <c r="L4" s="172"/>
      <c r="M4" s="40" t="s">
        <v>15</v>
      </c>
      <c r="N4" s="38" t="s">
        <v>15</v>
      </c>
      <c r="O4" s="3" t="s">
        <v>15</v>
      </c>
      <c r="P4" s="2"/>
      <c r="R4" s="163" t="s">
        <v>14</v>
      </c>
      <c r="S4" s="207">
        <f>SUM(S5:S7)</f>
        <v>49</v>
      </c>
      <c r="T4" s="172"/>
      <c r="U4" s="195"/>
      <c r="V4" s="211" t="s">
        <v>15</v>
      </c>
      <c r="W4" s="212" t="s">
        <v>15</v>
      </c>
      <c r="X4" s="200" t="s">
        <v>15</v>
      </c>
      <c r="Y4" s="202"/>
      <c r="Z4" s="202"/>
      <c r="AA4" s="202"/>
      <c r="AB4" s="52"/>
      <c r="AC4" s="49"/>
      <c r="AD4" s="2"/>
      <c r="AE4" s="1"/>
      <c r="AF4" s="1"/>
      <c r="AG4" s="182"/>
      <c r="AH4" s="47"/>
      <c r="AI4" s="1"/>
      <c r="AM4" s="142"/>
      <c r="AO4" s="168"/>
    </row>
    <row r="5" spans="1:91" s="20" customFormat="1" ht="15.75" thickBot="1" x14ac:dyDescent="0.3">
      <c r="A5" s="34"/>
      <c r="B5" s="36"/>
      <c r="C5" s="27"/>
      <c r="D5" s="27"/>
      <c r="E5" s="33"/>
      <c r="F5" s="33"/>
      <c r="G5" s="36"/>
      <c r="H5" s="33"/>
      <c r="I5" s="66" t="s">
        <v>17</v>
      </c>
      <c r="J5" s="48">
        <f>COUNTIFS($N$13:$N$9399,"&gt;0",$AG$13:$AG$9399,I1)</f>
        <v>138</v>
      </c>
      <c r="K5" s="39"/>
      <c r="L5" s="172"/>
      <c r="M5" s="40">
        <f>AVERAGEIFS($N$13:$N$9399,$AG$13:$AG$9399,I1)</f>
        <v>38.135990338860609</v>
      </c>
      <c r="N5" s="38">
        <f t="array" ref="N5">MIN(IF($AG$13:$AG$9399=I1,IF(ISNUMBER($N$13:$N$9399),IF($N$13:$N$9399&gt;0,$N$13:$N$9399))))</f>
        <v>34.183333340333775</v>
      </c>
      <c r="O5" s="3">
        <f t="array" ref="O5">MAX(IF($AG$13:$AG$9399=I1,IF(ISNUMBER($N$13:$N$9399),IF($N$13:$N$9399&gt;0,$N$13:$N$9399))))</f>
        <v>47.033333337167278</v>
      </c>
      <c r="P5" s="2"/>
      <c r="R5" s="163" t="s">
        <v>17</v>
      </c>
      <c r="S5" s="207">
        <f>COUNTIFS($N$13:$N$9399,"&gt;0",$AG$13:$AG$9399,R1)</f>
        <v>47</v>
      </c>
      <c r="T5" s="172"/>
      <c r="U5" s="195"/>
      <c r="V5" s="211">
        <f>AVERAGEIFS($N$13:$N$9399,$AG$13:$AG$9399,R1)</f>
        <v>14.811702126741132</v>
      </c>
      <c r="W5" s="212">
        <f t="array" ref="W5">MIN(IF($AG$13:$AG$9399=R1,IF(ISNUMBER($N$13:$N$9399),IF($N$13:$N$9399&gt;0,$N$13:$N$9399))))</f>
        <v>9.733333335025236</v>
      </c>
      <c r="X5" s="200">
        <f t="array" ref="X5">MAX(IF($AG$13:$AG$9399=R1,IF(ISNUMBER($N$13:$N$9399),IF($N$13:$N$9399&gt;0,$N$13:$N$9399))))</f>
        <v>24.883333335164934</v>
      </c>
      <c r="Y5" s="202"/>
      <c r="Z5" s="202"/>
      <c r="AA5" s="202"/>
      <c r="AB5" s="52"/>
      <c r="AC5" s="49"/>
      <c r="AD5" s="2"/>
      <c r="AE5" s="1"/>
      <c r="AF5" s="1"/>
      <c r="AG5" s="182"/>
      <c r="AH5" s="47"/>
      <c r="AI5" s="1"/>
      <c r="AM5" s="142"/>
      <c r="AO5" s="168"/>
    </row>
    <row r="6" spans="1:91" s="20" customFormat="1" ht="15.75" thickBot="1" x14ac:dyDescent="0.3">
      <c r="A6" s="34"/>
      <c r="B6" s="36"/>
      <c r="C6" s="27"/>
      <c r="D6" s="27"/>
      <c r="E6" s="33"/>
      <c r="F6" s="33"/>
      <c r="G6" s="36"/>
      <c r="H6" s="33"/>
      <c r="I6" s="67" t="s">
        <v>43</v>
      </c>
      <c r="J6" s="48">
        <f>COUNT($O$13:$O$170)</f>
        <v>0</v>
      </c>
      <c r="K6" s="39"/>
      <c r="L6" s="172"/>
      <c r="M6" s="40">
        <f>IFERROR(AVERAGE($O$13:$O$170),0)</f>
        <v>0</v>
      </c>
      <c r="N6" s="38">
        <f>MIN($O$13:$O$170)</f>
        <v>0</v>
      </c>
      <c r="O6" s="3">
        <f>MAX($O$13:$O$170)</f>
        <v>0</v>
      </c>
      <c r="P6" s="2"/>
      <c r="R6" s="164" t="s">
        <v>43</v>
      </c>
      <c r="S6" s="207">
        <f>COUNT($O$13:$O$170)</f>
        <v>0</v>
      </c>
      <c r="T6" s="172"/>
      <c r="U6" s="195"/>
      <c r="V6" s="211">
        <f>IFERROR(AVERAGE($O$13:$O$170),0)</f>
        <v>0</v>
      </c>
      <c r="W6" s="212">
        <f>MIN($O$13:$O$170)</f>
        <v>0</v>
      </c>
      <c r="X6" s="200">
        <f>MAX($O$13:$O$170)</f>
        <v>0</v>
      </c>
      <c r="Y6" s="202"/>
      <c r="Z6" s="202"/>
      <c r="AA6" s="202"/>
      <c r="AB6" s="52"/>
      <c r="AC6" s="49"/>
      <c r="AD6" s="2"/>
      <c r="AE6" s="1"/>
      <c r="AF6" s="1"/>
      <c r="AG6" s="182"/>
      <c r="AH6" s="47"/>
      <c r="AI6" s="1"/>
      <c r="AM6" s="142"/>
      <c r="AO6" s="168"/>
    </row>
    <row r="7" spans="1:91" s="20" customFormat="1" ht="15.75" thickBot="1" x14ac:dyDescent="0.3">
      <c r="A7" s="34"/>
      <c r="B7" s="36"/>
      <c r="C7" s="27"/>
      <c r="D7" s="27"/>
      <c r="E7" s="33"/>
      <c r="F7" s="33"/>
      <c r="G7" s="36"/>
      <c r="H7" s="33"/>
      <c r="I7" s="68" t="s">
        <v>9</v>
      </c>
      <c r="J7" s="48">
        <f>COUNTIFS($P$13:$P$9399,"&gt;0",$AG$13:$AG$9399,I1)</f>
        <v>6</v>
      </c>
      <c r="K7" s="39"/>
      <c r="L7" s="172"/>
      <c r="M7" s="38" t="s">
        <v>15</v>
      </c>
      <c r="N7" s="38" t="s">
        <v>15</v>
      </c>
      <c r="O7" s="3" t="s">
        <v>15</v>
      </c>
      <c r="P7" s="2"/>
      <c r="R7" s="165" t="s">
        <v>9</v>
      </c>
      <c r="S7" s="207">
        <f>COUNTIFS($P$13:$P$9399,"&gt;0",$AG$13:$AG$9399,R1)</f>
        <v>2</v>
      </c>
      <c r="T7" s="172"/>
      <c r="U7" s="195"/>
      <c r="V7" s="211" t="s">
        <v>15</v>
      </c>
      <c r="W7" s="212" t="s">
        <v>15</v>
      </c>
      <c r="X7" s="200" t="s">
        <v>15</v>
      </c>
      <c r="Y7" s="202"/>
      <c r="Z7" s="202"/>
      <c r="AA7" s="202"/>
      <c r="AB7" s="52"/>
      <c r="AC7" s="49"/>
      <c r="AD7" s="2"/>
      <c r="AE7" s="1"/>
      <c r="AF7" s="1"/>
      <c r="AG7" s="182"/>
      <c r="AH7" s="47"/>
      <c r="AI7" s="1"/>
      <c r="AM7" s="142"/>
      <c r="AO7" s="168"/>
    </row>
    <row r="8" spans="1:91" s="20" customFormat="1" ht="15.75" thickBot="1" x14ac:dyDescent="0.3">
      <c r="A8" s="34"/>
      <c r="B8" s="36"/>
      <c r="C8" s="27"/>
      <c r="D8" s="27"/>
      <c r="E8" s="33"/>
      <c r="F8" s="33"/>
      <c r="G8" s="36"/>
      <c r="H8" s="33"/>
      <c r="I8" s="66" t="s">
        <v>16</v>
      </c>
      <c r="J8" s="48">
        <f>J5</f>
        <v>138</v>
      </c>
      <c r="K8" s="39"/>
      <c r="L8" s="172"/>
      <c r="M8" s="40">
        <f>M5</f>
        <v>38.135990338860609</v>
      </c>
      <c r="N8" s="38">
        <f>N5</f>
        <v>34.183333340333775</v>
      </c>
      <c r="O8" s="3">
        <f>O5</f>
        <v>47.033333337167278</v>
      </c>
      <c r="P8" s="2"/>
      <c r="R8" s="163" t="s">
        <v>16</v>
      </c>
      <c r="S8" s="207">
        <f>S5</f>
        <v>47</v>
      </c>
      <c r="T8" s="172"/>
      <c r="U8" s="195"/>
      <c r="V8" s="211">
        <f>V5</f>
        <v>14.811702126741132</v>
      </c>
      <c r="W8" s="212">
        <f>W5</f>
        <v>9.733333335025236</v>
      </c>
      <c r="X8" s="200">
        <f>X5</f>
        <v>24.883333335164934</v>
      </c>
      <c r="Y8" s="202"/>
      <c r="Z8" s="202"/>
      <c r="AA8" s="202"/>
      <c r="AB8" s="52"/>
      <c r="AC8" s="49"/>
      <c r="AD8" s="2"/>
      <c r="AE8" s="1"/>
      <c r="AF8" s="1"/>
      <c r="AG8" s="182"/>
      <c r="AH8" s="47"/>
      <c r="AI8" s="1"/>
      <c r="AM8" s="142"/>
      <c r="AO8" s="168"/>
    </row>
    <row r="9" spans="1:91" s="20" customFormat="1" ht="15.75" thickBot="1" x14ac:dyDescent="0.3">
      <c r="A9" s="34"/>
      <c r="B9" s="36"/>
      <c r="C9" s="27"/>
      <c r="D9" s="27"/>
      <c r="E9" s="33"/>
      <c r="F9" s="33"/>
      <c r="G9" s="36"/>
      <c r="H9" s="33"/>
      <c r="I9" s="66" t="s">
        <v>19</v>
      </c>
      <c r="J9" s="123">
        <f>J8/J4</f>
        <v>0.95833333333333337</v>
      </c>
      <c r="K9" s="41"/>
      <c r="L9" s="169"/>
      <c r="M9" s="69"/>
      <c r="N9" s="36"/>
      <c r="O9" s="70"/>
      <c r="P9" s="2"/>
      <c r="R9" s="163" t="s">
        <v>19</v>
      </c>
      <c r="S9" s="123">
        <f>S8/S4</f>
        <v>0.95918367346938771</v>
      </c>
      <c r="T9" s="169"/>
      <c r="U9" s="192"/>
      <c r="V9" s="213"/>
      <c r="W9" s="192"/>
      <c r="X9" s="201"/>
      <c r="Y9" s="202"/>
      <c r="Z9" s="202"/>
      <c r="AA9" s="202"/>
      <c r="AB9" s="52"/>
      <c r="AC9" s="49"/>
      <c r="AD9" s="2"/>
      <c r="AE9" s="1"/>
      <c r="AF9" s="1"/>
      <c r="AG9" s="182"/>
      <c r="AH9" s="47"/>
      <c r="AI9" s="1"/>
      <c r="AM9" s="142"/>
      <c r="AO9" s="168"/>
    </row>
    <row r="10" spans="1:91" s="20" customFormat="1" x14ac:dyDescent="0.25">
      <c r="A10" s="34"/>
      <c r="B10" s="36"/>
      <c r="C10" s="27"/>
      <c r="D10" s="27"/>
      <c r="E10" s="33"/>
      <c r="F10" s="33"/>
      <c r="G10" s="36"/>
      <c r="H10" s="33"/>
      <c r="I10" s="33"/>
      <c r="J10" s="36"/>
      <c r="K10" s="27"/>
      <c r="L10" s="169"/>
      <c r="M10" s="35"/>
      <c r="N10" s="36"/>
      <c r="O10" s="2"/>
      <c r="P10" s="2"/>
      <c r="R10" s="161"/>
      <c r="S10" s="219"/>
      <c r="T10" s="168"/>
      <c r="U10" s="196"/>
      <c r="V10" s="214"/>
      <c r="W10" s="202"/>
      <c r="X10" s="202"/>
      <c r="Y10" s="202"/>
      <c r="Z10" s="202"/>
      <c r="AA10" s="202"/>
      <c r="AB10" s="52"/>
      <c r="AC10" s="49"/>
      <c r="AD10" s="2"/>
      <c r="AE10" s="1"/>
      <c r="AF10" s="1"/>
      <c r="AG10" s="182"/>
      <c r="AH10" s="47"/>
      <c r="AI10" s="1"/>
      <c r="AM10" s="142"/>
      <c r="AO10" s="168"/>
    </row>
    <row r="11" spans="1:91" ht="16.5" thickBot="1" x14ac:dyDescent="0.3">
      <c r="A11" s="225" t="str">
        <f>"Eagle P3 System Performance - "&amp;TEXT(Variables!A2,"yyyy-mm-dd")</f>
        <v>Eagle P3 System Performance - 2017-10-05</v>
      </c>
      <c r="B11" s="225"/>
      <c r="C11" s="225"/>
      <c r="D11" s="225"/>
      <c r="E11" s="225"/>
      <c r="F11" s="225"/>
      <c r="G11" s="225"/>
      <c r="H11" s="225"/>
      <c r="I11" s="225"/>
      <c r="J11" s="225"/>
      <c r="K11" s="225"/>
      <c r="L11" s="225"/>
      <c r="M11" s="225"/>
      <c r="N11" s="225"/>
      <c r="O11" s="225"/>
      <c r="P11" s="225"/>
      <c r="S11" s="219">
        <f>AVERAGE(S13:S111)</f>
        <v>0.98508771929824557</v>
      </c>
      <c r="V11" s="214"/>
      <c r="AE11" s="1"/>
      <c r="AF11" s="1"/>
      <c r="AG11" s="182"/>
      <c r="AH11" s="47"/>
      <c r="AI11" s="1"/>
    </row>
    <row r="12" spans="1:91" s="5" customFormat="1" ht="69" customHeight="1" thickBot="1" x14ac:dyDescent="0.3">
      <c r="A12" s="14" t="s">
        <v>0</v>
      </c>
      <c r="B12" s="18" t="s">
        <v>44</v>
      </c>
      <c r="C12" s="15" t="s">
        <v>26</v>
      </c>
      <c r="D12" s="15" t="s">
        <v>1</v>
      </c>
      <c r="E12" s="16" t="s">
        <v>2</v>
      </c>
      <c r="F12" s="16" t="s">
        <v>3</v>
      </c>
      <c r="G12" s="18" t="s">
        <v>4</v>
      </c>
      <c r="H12" s="16" t="s">
        <v>5</v>
      </c>
      <c r="I12" s="16" t="s">
        <v>6</v>
      </c>
      <c r="J12" s="18" t="s">
        <v>7</v>
      </c>
      <c r="K12" s="71" t="s">
        <v>54</v>
      </c>
      <c r="L12" s="184" t="s">
        <v>47</v>
      </c>
      <c r="M12" s="17" t="s">
        <v>8</v>
      </c>
      <c r="N12" s="15" t="s">
        <v>41</v>
      </c>
      <c r="O12" s="18" t="s">
        <v>42</v>
      </c>
      <c r="P12" s="18" t="s">
        <v>18</v>
      </c>
      <c r="Q12" s="19" t="s">
        <v>46</v>
      </c>
      <c r="R12" s="166" t="s">
        <v>24</v>
      </c>
      <c r="S12" s="220" t="s">
        <v>63</v>
      </c>
      <c r="T12" s="173" t="s">
        <v>64</v>
      </c>
      <c r="U12" s="197" t="s">
        <v>65</v>
      </c>
      <c r="V12" s="215" t="s">
        <v>45</v>
      </c>
      <c r="W12" s="203" t="s">
        <v>23</v>
      </c>
      <c r="X12" s="203" t="s">
        <v>48</v>
      </c>
      <c r="Y12" s="203" t="s">
        <v>20</v>
      </c>
      <c r="Z12" s="203" t="s">
        <v>21</v>
      </c>
      <c r="AA12" s="203" t="s">
        <v>22</v>
      </c>
      <c r="AB12" s="53" t="s">
        <v>39</v>
      </c>
      <c r="AC12" s="50" t="s">
        <v>40</v>
      </c>
      <c r="AD12" s="178" t="s">
        <v>82</v>
      </c>
      <c r="AE12" s="76" t="s">
        <v>89</v>
      </c>
      <c r="AF12" s="73" t="s">
        <v>93</v>
      </c>
      <c r="AG12" s="177" t="s">
        <v>104</v>
      </c>
      <c r="AH12" s="79" t="s">
        <v>106</v>
      </c>
      <c r="AI12" s="95" t="s">
        <v>141</v>
      </c>
      <c r="AJ12" s="46" t="s">
        <v>142</v>
      </c>
      <c r="AK12" s="46" t="s">
        <v>115</v>
      </c>
      <c r="AL12" s="46" t="s">
        <v>143</v>
      </c>
      <c r="AM12" s="143" t="s">
        <v>189</v>
      </c>
      <c r="AN12" s="46" t="s">
        <v>331</v>
      </c>
      <c r="AO12" s="177" t="s">
        <v>390</v>
      </c>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row>
    <row r="13" spans="1:91" s="1" customFormat="1" x14ac:dyDescent="0.25">
      <c r="A13" s="32" t="s">
        <v>620</v>
      </c>
      <c r="B13" s="7">
        <v>4044</v>
      </c>
      <c r="C13" s="21" t="s">
        <v>194</v>
      </c>
      <c r="D13" s="21" t="s">
        <v>821</v>
      </c>
      <c r="E13" s="13">
        <v>43013.126932870371</v>
      </c>
      <c r="F13" s="13">
        <v>43013.135578703703</v>
      </c>
      <c r="G13" s="7">
        <v>54</v>
      </c>
      <c r="H13" s="21" t="s">
        <v>534</v>
      </c>
      <c r="I13" s="13">
        <v>43013.159837962965</v>
      </c>
      <c r="J13" s="7">
        <v>0</v>
      </c>
      <c r="K13" s="89" t="str">
        <f t="shared" ref="K13:K44" si="0">IF(ISEVEN(B13),(B13-1)&amp;"/"&amp;B13,B13&amp;"/"&amp;(B13+1))</f>
        <v>4043/4044</v>
      </c>
      <c r="L13" s="185" t="str">
        <f>VLOOKUP(A13,'Trips&amp;Operators'!$C$1:$G$99911,5,FALSE)</f>
        <v>YORK EDGAR</v>
      </c>
      <c r="M13" s="6">
        <f t="shared" ref="M13:M44" si="1">I13-F13</f>
        <v>2.4259259262180422E-2</v>
      </c>
      <c r="N13" s="7">
        <f t="shared" ref="N13:N27" si="2">24*60*SUM($M13:$M13)</f>
        <v>34.933333337539807</v>
      </c>
      <c r="O13" s="7"/>
      <c r="P13" s="7"/>
      <c r="Q13" s="22"/>
      <c r="R13" s="167"/>
      <c r="S13" s="221">
        <f t="shared" ref="S13:S44" si="3">1/IF(AG13="EC",12,1)*SUM(U13:U13)</f>
        <v>1</v>
      </c>
      <c r="T13" s="174" t="str">
        <f t="shared" ref="T13:T44" si="4">IF(ISEVEN(LEFT(AD13,4)),"Southbound","NorthBound")</f>
        <v>NorthBound</v>
      </c>
      <c r="U13" s="198">
        <f>IF(AG13="EC",COUNTIFS(Variables!$M$2:$M$19,IF(T13="NorthBound","&gt;=","&lt;=")&amp;Y13,Variables!$M$2:$M$19,IF(T13="NorthBound","&lt;=","&gt;=")&amp;Z13),COUNTIFS(Variables!$P$2:$P$19,IF(T13="NorthBound","&gt;=","&lt;=")&amp;Y13,Variables!$P$2:$P$19,IF(T13="NorthBound","&lt;=","&gt;=")&amp;Z13))</f>
        <v>12</v>
      </c>
      <c r="V13" s="216" t="str">
        <f t="shared" ref="V13:V76" si="5">"https://d0f6bd738d7f1b3e5a7ca70fe4ff75f0.us-east-1.aws.found.io/app/kibana#/discover/Steve-Slow-Train-Analysis-(2080s-and-2083s)?_g="&amp;"(refreshInterval:(display:Off,pause:!f,section:0,value:0),time:(from:'"&amp;TEXT(E13-1/24,"yyyy-MM-DDThh:mm:ss")&amp;utc_offset&amp;"00"&amp;"',mode:absolute,to:'"&amp;TEXT(I13+1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13&amp;"%22')),sort:!(Time.ISO8601,asc))"</f>
        <v>https://d0f6bd738d7f1b3e5a7ca70fe4ff75f0.us-east-1.aws.found.io/app/kibana#/discover/Steve-Slow-Train-Analysis-(2080s-and-2083s)?_g=(refreshInterval:(display:Off,pause:!f,section:0,value:0),time:(from:'2017-10-05T02:02:47-0600',mode:absolute,to:'2017-10-05T04:50:10-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4044%22')),sort:!(Time.ISO8601,asc))</v>
      </c>
      <c r="W13" s="204" t="str">
        <f>IF(AA13&lt;VLOOKUP(AG13,Variables!$AC$3:$AD$8,2,FALSE),"Y","N")</f>
        <v>N</v>
      </c>
      <c r="X13" s="204" t="e">
        <f t="shared" ref="X13:X44" si="6">VALUE(LEFT(AD13,4))-VALUE(LEFT(AD12,4))</f>
        <v>#VALUE!</v>
      </c>
      <c r="Y13" s="204">
        <f t="shared" ref="Y13:Y44" si="7">RIGHT(D13,LEN(D13)-4)/10000</f>
        <v>7.7700000000000005E-2</v>
      </c>
      <c r="Z13" s="204">
        <f t="shared" ref="Z13:Z44" si="8">RIGHT(H13,LEN(H13)-4)/10000</f>
        <v>23.328099999999999</v>
      </c>
      <c r="AA13" s="204">
        <f t="shared" ref="AA13:AA44" si="9">ABS(Z13-Y13)</f>
        <v>23.250399999999999</v>
      </c>
      <c r="AB13" s="54" t="e">
        <f>VLOOKUP(A13,Enforcements!$C$7:$K$11,8,0)</f>
        <v>#N/A</v>
      </c>
      <c r="AC13" s="51" t="e">
        <f>VLOOKUP(A13,Enforcements!$C$7:$E$11,3,0)</f>
        <v>#N/A</v>
      </c>
      <c r="AD13" s="179">
        <f t="shared" ref="AD13:AD44" si="10">VALUE(LEFT(A13,LEN(A13)-3))</f>
        <v>101</v>
      </c>
      <c r="AE13" s="77" t="str">
        <f t="shared" ref="AE13:AE76" si="11">"aws s3 cp "&amp;s3_bucket&amp;"/RTDC"&amp;B13&amp;"/ "&amp;search_path&amp;"\RTDC"&amp;B13&amp;"\"&amp;TEXT(F13,"YYYY-MM-DD")&amp;" --exclude ""*"" --recursive --include ""*"&amp;TEXT(F13,"YYYYMMDD")&amp;"*"" &amp; """&amp;walkandungz&amp;""" "&amp;search_path&amp;"\RTDC"&amp;B13&amp;"\"&amp;TEXT(F13,"YYYY-MM-DD")
&amp;" &amp; "&amp;"aws s3 cp "&amp;s3_bucket&amp;"/RTDC"&amp;B13&amp;"/ "&amp;search_path&amp;"\RTDC"&amp;B13&amp;"\"&amp;TEXT(F13+1,"YYYY-MM-DD")&amp;" --exclude ""*"" --recursive --include ""*"&amp;TEXT(F13+1,"YYYYMMDD")&amp;"*"" &amp; """&amp;walkandungz&amp;""" "&amp;search_path&amp;"\RTDC"&amp;B13&amp;"\"&amp;TEXT(F13+1,"YYYY-MM-DD")</f>
        <v>aws s3 cp s3://rtdc.mdm.uploadarchive.raw/RTDC4044/ "%USERPROFILE%\AppData\Local\Temp\OnboardLogs"\RTDC4044\2017-10-05 --exclude "*" --recursive --include "*20171005*" &amp; "%USERPROFILE%\Documents\GitHub\mrs-test-scripts\Headless Mode &amp; Sideloading\WalkAndUnGZ.bat" "%USERPROFILE%\AppData\Local\Temp\OnboardLogs"\RTDC4044\2017-10-05 &amp; aws s3 cp s3://rtdc.mdm.uploadarchive.raw/RTDC4044/ "%USERPROFILE%\AppData\Local\Temp\OnboardLogs"\RTDC4044\2017-10-06 --exclude "*" --recursive --include "*20171006*" &amp; "%USERPROFILE%\Documents\GitHub\mrs-test-scripts\Headless Mode &amp; Sideloading\WalkAndUnGZ.bat" "%USERPROFILE%\AppData\Local\Temp\OnboardLogs"\RTDC4044\2017-10-06</v>
      </c>
      <c r="AF13" s="74" t="str">
        <f t="shared" ref="AF13:AF76" si="12">astrogrep_path&amp;" /e /r /s /spath="&amp;search_path&amp;" /stypes=""app*"&amp;B13&amp;"*"&amp;TEXT(I13-utc_offset/24,"YYYYMMDD")&amp;"*"" /stext="" "&amp;TEXT(I13-utc_offset/24,"HH")&amp;search_regexp&amp;""""</f>
        <v>"C:\Program Files (x86)\AstroGrep\AstroGrep.exe" /e /r /s /spath="%USERPROFILE%\AppData\Local\Temp\OnboardLogs" /stypes="app*4044*20171005*" /stext=" 09:.+((SYSTEM_STATE.+slice.+state.+changed )|(ment ac)|(multiple cpu faults)|(system.+state.+changed )|(\[timeout)|(PRM\|1\|D)|(kpr)|(kdp)|(train st.+moving)|(\|lc)|(penalty))"</v>
      </c>
      <c r="AG13" s="182" t="str">
        <f t="shared" ref="AG13:AG44" si="13">DetSubdiv(A13)</f>
        <v>EC</v>
      </c>
      <c r="AH13" s="78" t="str">
        <f t="shared" ref="AH13" si="14">refinertdcruntimes&amp;" --tripid "&amp;A13&amp;" --locoid "&amp;B13&amp;" --swversion "&amp;C13&amp;" --startMP "&amp;D13&amp;" --initTime "&amp;TEXT(E13,"yyyy-mm-ddTHH:MM:SS")&amp;" --startdatetime "&amp;TEXT(F13,"yyyy-mm-ddTHH:MM:SS")&amp;" --delay "&amp;G13&amp;" --endMP "&amp;H13&amp;" --enddatetime "&amp;TEXT(I13,"yyyy-mm-ddTHH:MM:SS")&amp;" --enforcementcount "&amp;J13&amp;IF(outputrefinedruntimes," &gt;&gt;"&amp;RefinedRTDCRunTimesOutputFile,"")</f>
        <v>"%USERPROFILE%\Documents\GitHub\eaglep3\Utilities\RefineRTDCRunTimes.py" --tripid 101-05 --locoid 4044 --swversion DE.1.0.9.0 --startMP 204:777 --initTime 2017-10-05T03:02:47 --startdatetime 2017-10-05T03:15:14 --delay 54 --endMP 204:233281 --enddatetime 2017-10-05T03:50:10 --enforcementcount 0 &gt;&gt;%USERPROFILE%\Documents\GitHub\eaglep3-reporting\EC\2017-10-05-refined-times.txt</v>
      </c>
      <c r="AI13" s="96" t="str">
        <f t="shared" ref="AI13" si="15">"echo {""issue"":{""subject"":"""&amp;R13&amp;""",""project_id"":79,""tracker_id"":40,""status_id"":"&amp;redmine_status&amp;",""priority_id"":"&amp;redmine_priority&amp;",""assigned_to_id"":"&amp;redmine_assignee&amp;",""start_date"":"""&amp;TEXT(I13,"YYYY-mm-dd")&amp;""",""description"":"""&amp;AJ13&amp;""",""custom_fields"":[{""id"":1,""name"":""Subdivision"",""value"":"""&amp;AG13&amp;"""},{""id"":4,""name"":""Milepost"",""value"":"""&amp;Z13&amp;"""},{""id"":17,""name"":""Train ID"",""value"":"""&amp;A13&amp;"""},{""id"":16,""name"":""Locomotive ID"",""value"":"""&amp;B13&amp;"""},{""id"":130,""name"":""Impact"",""value"":"""&amp;AK13&amp;"""},{""id"":150,""name"":""Time of Event (Mountain Time)"",""value"":"""&amp;TEXT(I13,"hh:mm:ss")&amp;"""},{""id"":151,""name"":""Denver Issue ID"",""value"":"""&amp;"""},{""id"":178,""name"":""Operational Impact"",""value"":"""&amp;redmine_op_impact&amp;"""},{""id"":179,""name"":""Denver Segment Assigned"",""value"":"""&amp;AL13&amp;"""}]}}"&amp;" | curl --insecure -X POST -H ""Content-Type: application/json"" -H ""X-Redmine-API-Key: "&amp;redm_api_key&amp;""" "&amp;redm_url&amp;" --data @-"</f>
        <v>echo {"issue":{"subject":"","project_id":79,"tracker_id":40,"status_id":1,"priority_id":2,"assigned_to_id":338,"start_date":"2017-10-05","description":"","custom_fields":[{"id":1,"name":"Subdivision","value":"EC"},{"id":4,"name":"Milepost","value":"23.3281"},{"id":17,"name":"Train ID","value":"101-05"},{"id":16,"name":"Locomotive ID","value":"4044"},{"id":130,"name":"Impact","value":""},{"id":150,"name":"Time of Event (Mountain Time)","value":"03:50:10"},{"id":151,"name":"Denver Issue ID","value":""},{"id":178,"name":"Operational Impact","value":"Yes"},{"id":179,"name":"Denver Segment Assigned","value":""}]}} | curl --insecure -X POST -H "Content-Type: application/json" -H "X-Redmine-API-Key: %REDMINEAPIKEY%" https://secure.xorail.net/redmine/issues.json --data @-</v>
      </c>
      <c r="AJ13" s="20"/>
      <c r="AK13" s="47"/>
      <c r="AL13" s="47"/>
      <c r="AM13" s="142" t="str">
        <f t="shared" ref="AM13" si="16">"start /low /b "&amp;dls3logs&amp;" --loco "&amp;B13&amp;" --day "&amp;TEXT(F13,"YYYY-MM-DD")</f>
        <v>start /low /b %USERPROFILE%\Documents\GitHub\eaglep3\Utilities\DownloadLogsFromS3.py --loco 4044 --day 2017-10-05</v>
      </c>
      <c r="AN13" s="151" t="str">
        <f t="shared" ref="AN13" si="17">"echo {""issue"":{""subject"":"""&amp;R13&amp;""",""project_id"":30,""tracker_id"":4,""status_id"":"&amp;redmine_status_wcr&amp;",""priority_id"":"&amp;redmine_priority_wcr&amp;",""assigned_to_id"":"&amp;redmine_assignee_wcr&amp;",""start_date"":"""&amp;TEXT(I13-utc_offset/24,"YYYY-mm-dd")&amp;""",""description"":"""&amp;AJ13&amp;""",""custom_fields"":[{""id"":30,""name"":""Category"",""value"":""Issue""},{""id"":3,""name"":""Functional Component"",""value"":""Onboard""},{""id"":31,""name"":""Version"",""value"":""N/A""},{""id"":8,""name"":""Reporting RR"",""value"":""WABTEC""},{""id"":27,""name"":""Locomotive ID"",""value"":"""&amp;B13&amp;"""},{""id"":20,""name"":""RR Requested Build"",""value"":""""},{""id"":1,""name"":""Build Request Notes"",""value"":"""&amp;"""},{""id"":9,""name"":""RR Assessed Issue Severity"",""value"":""4-Minor""},{""id"":10,""name"":""RR Severity Justification"",""value"":""test RR Severity Justification""}"&amp;",{""id"":11,""name"":""Wabtec Assessed Severity"",""value"":""""}"&amp;",{""id"":12,""name"":""Wabtec Severity Justification"",""value"":""""}"&amp;",{""id"":18,""name"":""RR Assessed Safety Criticality"",""value"":""Not Safety Related""}"&amp;",{""id"":19,""name"":""RR Criticality Justification"",""value"":""test RR Criticality Justification""}"&amp;",{""id"":22,""name"":""WRE Assessed Safety Critical"",""value"":""""}"&amp;",{""id"":23,""name"":""WRE Criticality Justification"",""value"":""""}"&amp;",{""id"":24,""name"":""Customer's Tracking Number"",""value"":""""}"&amp;",{""id"":28,""name"":""Date \u0026 Time of event UTC"",""value"":"""&amp;TEXT(I13-utc_offset/24,"YYYY-MM-DD hh:mm:ss")&amp;"""}"&amp;",{""id"":29,""name"":""Sharepoint Issue ID"",""value"":""""}"&amp;",{""id"":25,""name"":""Customer's Email Address"",""value"":""stu@wabtec.com""}"&amp;",{""id"":33,""name"":""Customer Call Back Number"",""value"":""904-316-8563""}"&amp;",{""id"":34,""name"":""Customer Name"",""value"":""Steve Tu""}"&amp;",{""id"":55,""name"":""WRE CR#"",""value"":""""}"&amp;",{""id"":57,""name"":""Reclassify Severity"",""value"":""""}"&amp;",{""id"":58,""name"":""Reclassify Safety"",""value"":""""}"&amp;",{""id"":59,""name"":""Environment "",""value"":""Production""}"&amp;"]}}"&amp;" | curl --insecure -X POST -H ""Content-Type: application/json"" -H ""X-Redmine-API-Key: "&amp;redmine_api_wcr&amp;""" "&amp;redmine_url_wcr&amp;" --data @-"</f>
        <v>echo {"issue":{"subject":"","project_id":30,"tracker_id":4,"status_id":1,"priority_id":1,"assigned_to_id":10,"start_date":"2017-10-05","description":"","custom_fields":[{"id":30,"name":"Category","value":"Issue"},{"id":3,"name":"Functional Component","value":"Onboard"},{"id":31,"name":"Version","value":"N/A"},{"id":8,"name":"Reporting RR","value":"WABTEC"},{"id":27,"name":"Locomotive ID","value":"4044"},{"id":20,"name":"RR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09:50:10"},{"id":29,"name":"Sharepoint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3" s="168" t="str">
        <f t="shared" ref="AO13" si="18">"https://d0f6bd738d7f1b3e5a7ca70fe4ff75f0.us-east-1.aws.found.io/app/kibana#/discover/Steve-Slow-Train-Analysis-(2080s-and-2083s)?_g="&amp;"(refreshInterval:(display:Off,pause:!f,section:0,value:0),time:(from:'"&amp;TEXT(E13-1/24,"yyyy-MM-DDThh:mm:ss")&amp;utc_offset&amp;"00"&amp;"',mode:absolute,to:'"&amp;TEXT(I13+1/24,"yyyy-MM-DDThh:mm:ss")&amp;utc_offset&amp;"00"&amp;"'))&amp;_a=(columns:!('Message%20ID',Summary),filters:!(),index:'emp_*',interval:auto,query:"&amp;"(query_string:(analyze_wildcard:!t,query:'%22rtdc.l.rtdc."&amp;B13&amp;"%22')),sort:!(Time.ISO8601,asc))"</f>
        <v>https://d0f6bd738d7f1b3e5a7ca70fe4ff75f0.us-east-1.aws.found.io/app/kibana#/discover/Steve-Slow-Train-Analysis-(2080s-and-2083s)?_g=(refreshInterval:(display:Off,pause:!f,section:0,value:0),time:(from:'2017-10-05T02:02:47-0600',mode:absolute,to:'2017-10-05T04:50:10-0600'))&amp;_a=(columns:!('Message%20ID',Summary),filters:!(),index:'emp_*',interval:auto,query:(query_string:(analyze_wildcard:!t,query:'%22rtdc.l.rtdc.4044%22')),sort:!(Time.ISO8601,asc))</v>
      </c>
      <c r="AP13" s="20"/>
      <c r="AQ13" s="20"/>
      <c r="AR13" s="20"/>
      <c r="AS13" s="20"/>
      <c r="AT13" s="20"/>
      <c r="AU13" s="20"/>
      <c r="AV13" s="20"/>
      <c r="AW13" s="20"/>
      <c r="AX13" s="20"/>
      <c r="AY13" s="20"/>
      <c r="AZ13" s="20"/>
      <c r="BA13" s="20"/>
      <c r="BB13" s="20"/>
      <c r="BC13" s="20"/>
      <c r="BD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c r="CK13" s="20"/>
      <c r="CL13" s="20"/>
      <c r="CM13" s="20"/>
    </row>
    <row r="14" spans="1:91" s="1" customFormat="1" x14ac:dyDescent="0.25">
      <c r="A14" s="32" t="s">
        <v>626</v>
      </c>
      <c r="B14" s="7">
        <v>4043</v>
      </c>
      <c r="C14" s="21" t="s">
        <v>194</v>
      </c>
      <c r="D14" s="21" t="s">
        <v>427</v>
      </c>
      <c r="E14" s="13">
        <v>43013.160821759258</v>
      </c>
      <c r="F14" s="13">
        <v>43013.175208333334</v>
      </c>
      <c r="G14" s="7">
        <v>53</v>
      </c>
      <c r="H14" s="21" t="s">
        <v>361</v>
      </c>
      <c r="I14" s="13">
        <v>43013.200787037036</v>
      </c>
      <c r="J14" s="7">
        <v>0</v>
      </c>
      <c r="K14" s="89" t="str">
        <f t="shared" si="0"/>
        <v>4043/4044</v>
      </c>
      <c r="L14" s="185" t="str">
        <f>VLOOKUP(A14,'Trips&amp;Operators'!$C$1:$G$99911,5,FALSE)</f>
        <v>YORK EDGAR</v>
      </c>
      <c r="M14" s="6">
        <f t="shared" si="1"/>
        <v>2.5578703702194616E-2</v>
      </c>
      <c r="N14" s="7">
        <f t="shared" si="2"/>
        <v>36.833333331160247</v>
      </c>
      <c r="O14" s="7"/>
      <c r="P14" s="7"/>
      <c r="Q14" s="22"/>
      <c r="R14" s="174"/>
      <c r="S14" s="221">
        <f t="shared" si="3"/>
        <v>1</v>
      </c>
      <c r="T14" s="174" t="str">
        <f t="shared" si="4"/>
        <v>Southbound</v>
      </c>
      <c r="U14" s="198">
        <f>IF(AG14="EC",COUNTIFS(Variables!$M$2:$M$19,IF(T14="NorthBound","&gt;=","&lt;=")&amp;Y14,Variables!$M$2:$M$19,IF(T14="NorthBound","&lt;=","&gt;=")&amp;Z14),COUNTIFS(Variables!$P$2:$P$19,IF(T14="NorthBound","&gt;=","&lt;=")&amp;Y14,Variables!$P$2:$P$19,IF(T14="NorthBound","&lt;=","&gt;=")&amp;Z14))</f>
        <v>12</v>
      </c>
      <c r="V14" s="216" t="str">
        <f t="shared" si="5"/>
        <v>https://d0f6bd738d7f1b3e5a7ca70fe4ff75f0.us-east-1.aws.found.io/app/kibana#/discover/Steve-Slow-Train-Analysis-(2080s-and-2083s)?_g=(refreshInterval:(display:Off,pause:!f,section:0,value:0),time:(from:'2017-10-05T02:51:35-0600',mode:absolute,to:'2017-10-05T05:49:08-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4043%22')),sort:!(Time.ISO8601,asc))</v>
      </c>
      <c r="W14" s="204" t="str">
        <f>IF(AA14&lt;VLOOKUP(AG14,Variables!$AC$3:$AD$8,2,FALSE),"Y","N")</f>
        <v>N</v>
      </c>
      <c r="X14" s="204">
        <f t="shared" si="6"/>
        <v>1</v>
      </c>
      <c r="Y14" s="204">
        <f t="shared" si="7"/>
        <v>23.297899999999998</v>
      </c>
      <c r="Z14" s="204">
        <f t="shared" si="8"/>
        <v>1.5599999999999999E-2</v>
      </c>
      <c r="AA14" s="204">
        <f t="shared" si="9"/>
        <v>23.282299999999999</v>
      </c>
      <c r="AB14" s="54" t="e">
        <f>VLOOKUP(A14,Enforcements!$C$7:$K$11,8,0)</f>
        <v>#N/A</v>
      </c>
      <c r="AC14" s="51" t="e">
        <f>VLOOKUP(A14,Enforcements!$C$7:$E$11,3,0)</f>
        <v>#N/A</v>
      </c>
      <c r="AD14" s="179">
        <f t="shared" si="10"/>
        <v>102</v>
      </c>
      <c r="AE14" s="77" t="str">
        <f t="shared" si="11"/>
        <v>aws s3 cp s3://rtdc.mdm.uploadarchive.raw/RTDC4043/ "%USERPROFILE%\AppData\Local\Temp\OnboardLogs"\RTDC4043\2017-10-05 --exclude "*" --recursive --include "*20171005*" &amp; "%USERPROFILE%\Documents\GitHub\mrs-test-scripts\Headless Mode &amp; Sideloading\WalkAndUnGZ.bat" "%USERPROFILE%\AppData\Local\Temp\OnboardLogs"\RTDC4043\2017-10-05 &amp; aws s3 cp s3://rtdc.mdm.uploadarchive.raw/RTDC4043/ "%USERPROFILE%\AppData\Local\Temp\OnboardLogs"\RTDC4043\2017-10-06 --exclude "*" --recursive --include "*20171006*" &amp; "%USERPROFILE%\Documents\GitHub\mrs-test-scripts\Headless Mode &amp; Sideloading\WalkAndUnGZ.bat" "%USERPROFILE%\AppData\Local\Temp\OnboardLogs"\RTDC4043\2017-10-06</v>
      </c>
      <c r="AF14" s="74" t="str">
        <f t="shared" si="12"/>
        <v>"C:\Program Files (x86)\AstroGrep\AstroGrep.exe" /e /r /s /spath="%USERPROFILE%\AppData\Local\Temp\OnboardLogs" /stypes="app*4043*20171005*" /stext=" 10:.+((SYSTEM_STATE.+slice.+state.+changed )|(ment ac)|(multiple cpu faults)|(system.+state.+changed )|(\[timeout)|(PRM\|1\|D)|(kpr)|(kdp)|(train st.+moving)|(\|lc)|(penalty))"</v>
      </c>
      <c r="AG14" s="182" t="str">
        <f t="shared" si="13"/>
        <v>EC</v>
      </c>
      <c r="AH14" s="78" t="str">
        <f t="shared" ref="AH14:AH76" si="19">refinertdcruntimes&amp;" --tripid "&amp;A14&amp;" --locoid "&amp;B14&amp;" --swversion "&amp;C14&amp;" --startMP "&amp;D14&amp;" --initTime "&amp;TEXT(E14,"yyyy-mm-ddTHH:MM:SS")&amp;" --startdatetime "&amp;TEXT(F14,"yyyy-mm-ddTHH:MM:SS")&amp;" --delay "&amp;G14&amp;" --endMP "&amp;H14&amp;" --enddatetime "&amp;TEXT(I14,"yyyy-mm-ddTHH:MM:SS")&amp;" --enforcementcount "&amp;J14&amp;IF(outputrefinedruntimes," &gt;&gt;"&amp;RefinedRTDCRunTimesOutputFile,"")</f>
        <v>"%USERPROFILE%\Documents\GitHub\eaglep3\Utilities\RefineRTDCRunTimes.py" --tripid 102-05 --locoid 4043 --swversion DE.1.0.9.0 --startMP 204:232979 --initTime 2017-10-05T03:51:35 --startdatetime 2017-10-05T04:12:18 --delay 53 --endMP 204:156 --enddatetime 2017-10-05T04:49:08 --enforcementcount 0 &gt;&gt;%USERPROFILE%\Documents\GitHub\eaglep3-reporting\EC\2017-10-05-refined-times.txt</v>
      </c>
      <c r="AI14" s="96" t="str">
        <f t="shared" ref="AI14:AI76" si="20">"echo {""issue"":{""subject"":"""&amp;R14&amp;""",""project_id"":79,""tracker_id"":40,""status_id"":"&amp;redmine_status&amp;",""priority_id"":"&amp;redmine_priority&amp;",""assigned_to_id"":"&amp;redmine_assignee&amp;",""start_date"":"""&amp;TEXT(I14,"YYYY-mm-dd")&amp;""",""description"":"""&amp;AJ14&amp;""",""custom_fields"":[{""id"":1,""name"":""Subdivision"",""value"":"""&amp;AG14&amp;"""},{""id"":4,""name"":""Milepost"",""value"":"""&amp;Z14&amp;"""},{""id"":17,""name"":""Train ID"",""value"":"""&amp;A14&amp;"""},{""id"":16,""name"":""Locomotive ID"",""value"":"""&amp;B14&amp;"""},{""id"":130,""name"":""Impact"",""value"":"""&amp;AK14&amp;"""},{""id"":150,""name"":""Time of Event (Mountain Time)"",""value"":"""&amp;TEXT(I14,"hh:mm:ss")&amp;"""},{""id"":151,""name"":""Denver Issue ID"",""value"":"""&amp;"""},{""id"":178,""name"":""Operational Impact"",""value"":"""&amp;redmine_op_impact&amp;"""},{""id"":179,""name"":""Denver Segment Assigned"",""value"":"""&amp;AL14&amp;"""}]}}"&amp;" | curl --insecure -X POST -H ""Content-Type: application/json"" -H ""X-Redmine-API-Key: "&amp;redm_api_key&amp;""" "&amp;redm_url&amp;" --data @-"</f>
        <v>echo {"issue":{"subject":"","project_id":79,"tracker_id":40,"status_id":1,"priority_id":2,"assigned_to_id":338,"start_date":"2017-10-05","description":"","custom_fields":[{"id":1,"name":"Subdivision","value":"EC"},{"id":4,"name":"Milepost","value":"0.0156"},{"id":17,"name":"Train ID","value":"102-05"},{"id":16,"name":"Locomotive ID","value":"4043"},{"id":130,"name":"Impact","value":""},{"id":150,"name":"Time of Event (Mountain Time)","value":"04:49:08"},{"id":151,"name":"Denver Issue ID","value":""},{"id":178,"name":"Operational Impact","value":"Yes"},{"id":179,"name":"Denver Segment Assigned","value":""}]}} | curl --insecure -X POST -H "Content-Type: application/json" -H "X-Redmine-API-Key: %REDMINEAPIKEY%" https://secure.xorail.net/redmine/issues.json --data @-</v>
      </c>
      <c r="AJ14" s="20"/>
      <c r="AK14" s="47"/>
      <c r="AL14" s="47"/>
      <c r="AM14" s="142" t="str">
        <f t="shared" ref="AM14:AM76" si="21">"start /low /b "&amp;dls3logs&amp;" --loco "&amp;B14&amp;" --day "&amp;TEXT(F14,"YYYY-MM-DD")</f>
        <v>start /low /b %USERPROFILE%\Documents\GitHub\eaglep3\Utilities\DownloadLogsFromS3.py --loco 4043 --day 2017-10-05</v>
      </c>
      <c r="AN14" s="151" t="str">
        <f t="shared" ref="AN14:AN76" si="22">"echo {""issue"":{""subject"":"""&amp;R14&amp;""",""project_id"":30,""tracker_id"":4,""status_id"":"&amp;redmine_status_wcr&amp;",""priority_id"":"&amp;redmine_priority_wcr&amp;",""assigned_to_id"":"&amp;redmine_assignee_wcr&amp;",""start_date"":"""&amp;TEXT(I14-utc_offset/24,"YYYY-mm-dd")&amp;""",""description"":"""&amp;AJ14&amp;""",""custom_fields"":[{""id"":30,""name"":""Category"",""value"":""Issue""},{""id"":3,""name"":""Functional Component"",""value"":""Onboard""},{""id"":31,""name"":""Version"",""value"":""N/A""},{""id"":8,""name"":""Reporting RR"",""value"":""WABTEC""},{""id"":27,""name"":""Locomotive ID"",""value"":"""&amp;B14&amp;"""},{""id"":20,""name"":""RR Requested Build"",""value"":""""},{""id"":1,""name"":""Build Request Notes"",""value"":"""&amp;"""},{""id"":9,""name"":""RR Assessed Issue Severity"",""value"":""4-Minor""},{""id"":10,""name"":""RR Severity Justification"",""value"":""test RR Severity Justification""}"&amp;",{""id"":11,""name"":""Wabtec Assessed Severity"",""value"":""""}"&amp;",{""id"":12,""name"":""Wabtec Severity Justification"",""value"":""""}"&amp;",{""id"":18,""name"":""RR Assessed Safety Criticality"",""value"":""Not Safety Related""}"&amp;",{""id"":19,""name"":""RR Criticality Justification"",""value"":""test RR Criticality Justification""}"&amp;",{""id"":22,""name"":""WRE Assessed Safety Critical"",""value"":""""}"&amp;",{""id"":23,""name"":""WRE Criticality Justification"",""value"":""""}"&amp;",{""id"":24,""name"":""Customer's Tracking Number"",""value"":""""}"&amp;",{""id"":28,""name"":""Date \u0026 Time of event UTC"",""value"":"""&amp;TEXT(I14-utc_offset/24,"YYYY-MM-DD hh:mm:ss")&amp;"""}"&amp;",{""id"":29,""name"":""Sharepoint Issue ID"",""value"":""""}"&amp;",{""id"":25,""name"":""Customer's Email Address"",""value"":""stu@wabtec.com""}"&amp;",{""id"":33,""name"":""Customer Call Back Number"",""value"":""904-316-8563""}"&amp;",{""id"":34,""name"":""Customer Name"",""value"":""Steve Tu""}"&amp;",{""id"":55,""name"":""WRE CR#"",""value"":""""}"&amp;",{""id"":57,""name"":""Reclassify Severity"",""value"":""""}"&amp;",{""id"":58,""name"":""Reclassify Safety"",""value"":""""}"&amp;",{""id"":59,""name"":""Environment "",""value"":""Production""}"&amp;"]}}"&amp;" | curl --insecure -X POST -H ""Content-Type: application/json"" -H ""X-Redmine-API-Key: "&amp;redmine_api_wcr&amp;""" "&amp;redmine_url_wcr&amp;" --data @-"</f>
        <v>echo {"issue":{"subject":"","project_id":30,"tracker_id":4,"status_id":1,"priority_id":1,"assigned_to_id":10,"start_date":"2017-10-05","description":"","custom_fields":[{"id":30,"name":"Category","value":"Issue"},{"id":3,"name":"Functional Component","value":"Onboard"},{"id":31,"name":"Version","value":"N/A"},{"id":8,"name":"Reporting RR","value":"WABTEC"},{"id":27,"name":"Locomotive ID","value":"4043"},{"id":20,"name":"RR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10:49:08"},{"id":29,"name":"Sharepoint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4" s="168" t="str">
        <f t="shared" ref="AO14:AO76" si="23">"https://d0f6bd738d7f1b3e5a7ca70fe4ff75f0.us-east-1.aws.found.io/app/kibana#/discover/Steve-Slow-Train-Analysis-(2080s-and-2083s)?_g="&amp;"(refreshInterval:(display:Off,pause:!f,section:0,value:0),time:(from:'"&amp;TEXT(E14-1/24,"yyyy-MM-DDThh:mm:ss")&amp;utc_offset&amp;"00"&amp;"',mode:absolute,to:'"&amp;TEXT(I14+1/24,"yyyy-MM-DDThh:mm:ss")&amp;utc_offset&amp;"00"&amp;"'))&amp;_a=(columns:!('Message%20ID',Summary),filters:!(),index:'emp_*',interval:auto,query:"&amp;"(query_string:(analyze_wildcard:!t,query:'%22rtdc.l.rtdc."&amp;B14&amp;"%22')),sort:!(Time.ISO8601,asc))"</f>
        <v>https://d0f6bd738d7f1b3e5a7ca70fe4ff75f0.us-east-1.aws.found.io/app/kibana#/discover/Steve-Slow-Train-Analysis-(2080s-and-2083s)?_g=(refreshInterval:(display:Off,pause:!f,section:0,value:0),time:(from:'2017-10-05T02:51:35-0600',mode:absolute,to:'2017-10-05T05:49:08-0600'))&amp;_a=(columns:!('Message%20ID',Summary),filters:!(),index:'emp_*',interval:auto,query:(query_string:(analyze_wildcard:!t,query:'%22rtdc.l.rtdc.4043%22')),sort:!(Time.ISO8601,asc))</v>
      </c>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row>
    <row r="15" spans="1:91" s="1" customFormat="1" x14ac:dyDescent="0.25">
      <c r="A15" s="32" t="s">
        <v>625</v>
      </c>
      <c r="B15" s="7">
        <v>4008</v>
      </c>
      <c r="C15" s="21" t="s">
        <v>194</v>
      </c>
      <c r="D15" s="21" t="s">
        <v>388</v>
      </c>
      <c r="E15" s="13">
        <v>43013.15289351852</v>
      </c>
      <c r="F15" s="13">
        <v>43013.156458333331</v>
      </c>
      <c r="G15" s="7">
        <v>59</v>
      </c>
      <c r="H15" s="21" t="s">
        <v>822</v>
      </c>
      <c r="I15" s="13">
        <v>43013.181504629632</v>
      </c>
      <c r="J15" s="7">
        <v>0</v>
      </c>
      <c r="K15" s="89" t="str">
        <f t="shared" si="0"/>
        <v>4007/4008</v>
      </c>
      <c r="L15" s="185" t="str">
        <f>VLOOKUP(A15,'Trips&amp;Operators'!$C$1:$G$99911,5,FALSE)</f>
        <v>MAELZER KURT</v>
      </c>
      <c r="M15" s="6">
        <f t="shared" si="1"/>
        <v>2.5046296301297843E-2</v>
      </c>
      <c r="N15" s="7">
        <f t="shared" si="2"/>
        <v>36.066666673868895</v>
      </c>
      <c r="O15" s="7"/>
      <c r="P15" s="7"/>
      <c r="Q15" s="22"/>
      <c r="R15" s="174"/>
      <c r="S15" s="221">
        <f t="shared" si="3"/>
        <v>1</v>
      </c>
      <c r="T15" s="174" t="str">
        <f t="shared" si="4"/>
        <v>NorthBound</v>
      </c>
      <c r="U15" s="198">
        <f>IF(AG15="EC",COUNTIFS(Variables!$M$2:$M$19,IF(T15="NorthBound","&gt;=","&lt;=")&amp;Y15,Variables!$M$2:$M$19,IF(T15="NorthBound","&lt;=","&gt;=")&amp;Z15),COUNTIFS(Variables!$P$2:$P$19,IF(T15="NorthBound","&gt;=","&lt;=")&amp;Y15,Variables!$P$2:$P$19,IF(T15="NorthBound","&lt;=","&gt;=")&amp;Z15))</f>
        <v>12</v>
      </c>
      <c r="V15" s="216" t="str">
        <f t="shared" si="5"/>
        <v>https://d0f6bd738d7f1b3e5a7ca70fe4ff75f0.us-east-1.aws.found.io/app/kibana#/discover/Steve-Slow-Train-Analysis-(2080s-and-2083s)?_g=(refreshInterval:(display:Off,pause:!f,section:0,value:0),time:(from:'2017-10-05T02:40:10-0600',mode:absolute,to:'2017-10-05T05:21:22-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4008%22')),sort:!(Time.ISO8601,asc))</v>
      </c>
      <c r="W15" s="204" t="str">
        <f>IF(AA15&lt;VLOOKUP(AG15,Variables!$AC$3:$AD$8,2,FALSE),"Y","N")</f>
        <v>N</v>
      </c>
      <c r="X15" s="204">
        <f t="shared" si="6"/>
        <v>1</v>
      </c>
      <c r="Y15" s="204">
        <f t="shared" si="7"/>
        <v>4.5699999999999998E-2</v>
      </c>
      <c r="Z15" s="204">
        <f t="shared" si="8"/>
        <v>23.3368</v>
      </c>
      <c r="AA15" s="204">
        <f t="shared" si="9"/>
        <v>23.2911</v>
      </c>
      <c r="AB15" s="54" t="e">
        <f>VLOOKUP(A15,Enforcements!$C$7:$K$11,8,0)</f>
        <v>#N/A</v>
      </c>
      <c r="AC15" s="51" t="e">
        <f>VLOOKUP(A15,Enforcements!$C$7:$E$11,3,0)</f>
        <v>#N/A</v>
      </c>
      <c r="AD15" s="179">
        <f t="shared" si="10"/>
        <v>103</v>
      </c>
      <c r="AE15" s="77" t="str">
        <f t="shared" si="11"/>
        <v>aws s3 cp s3://rtdc.mdm.uploadarchive.raw/RTDC4008/ "%USERPROFILE%\AppData\Local\Temp\OnboardLogs"\RTDC4008\2017-10-05 --exclude "*" --recursive --include "*20171005*" &amp; "%USERPROFILE%\Documents\GitHub\mrs-test-scripts\Headless Mode &amp; Sideloading\WalkAndUnGZ.bat" "%USERPROFILE%\AppData\Local\Temp\OnboardLogs"\RTDC4008\2017-10-05 &amp; aws s3 cp s3://rtdc.mdm.uploadarchive.raw/RTDC4008/ "%USERPROFILE%\AppData\Local\Temp\OnboardLogs"\RTDC4008\2017-10-06 --exclude "*" --recursive --include "*20171006*" &amp; "%USERPROFILE%\Documents\GitHub\mrs-test-scripts\Headless Mode &amp; Sideloading\WalkAndUnGZ.bat" "%USERPROFILE%\AppData\Local\Temp\OnboardLogs"\RTDC4008\2017-10-06</v>
      </c>
      <c r="AF15" s="74" t="str">
        <f t="shared" si="12"/>
        <v>"C:\Program Files (x86)\AstroGrep\AstroGrep.exe" /e /r /s /spath="%USERPROFILE%\AppData\Local\Temp\OnboardLogs" /stypes="app*4008*20171005*" /stext=" 10:.+((SYSTEM_STATE.+slice.+state.+changed )|(ment ac)|(multiple cpu faults)|(system.+state.+changed )|(\[timeout)|(PRM\|1\|D)|(kpr)|(kdp)|(train st.+moving)|(\|lc)|(penalty))"</v>
      </c>
      <c r="AG15" s="182" t="str">
        <f t="shared" si="13"/>
        <v>EC</v>
      </c>
      <c r="AH15" s="78" t="str">
        <f t="shared" si="19"/>
        <v>"%USERPROFILE%\Documents\GitHub\eaglep3\Utilities\RefineRTDCRunTimes.py" --tripid 103-05 --locoid 4008 --swversion DE.1.0.9.0 --startMP 204:457 --initTime 2017-10-05T03:40:10 --startdatetime 2017-10-05T03:45:18 --delay 59 --endMP 204:233368 --enddatetime 2017-10-05T04:21:22 --enforcementcount 0 &gt;&gt;%USERPROFILE%\Documents\GitHub\eaglep3-reporting\EC\2017-10-05-refined-times.txt</v>
      </c>
      <c r="AI15" s="96" t="str">
        <f t="shared" si="20"/>
        <v>echo {"issue":{"subject":"","project_id":79,"tracker_id":40,"status_id":1,"priority_id":2,"assigned_to_id":338,"start_date":"2017-10-05","description":"","custom_fields":[{"id":1,"name":"Subdivision","value":"EC"},{"id":4,"name":"Milepost","value":"23.3368"},{"id":17,"name":"Train ID","value":"103-05"},{"id":16,"name":"Locomotive ID","value":"4008"},{"id":130,"name":"Impact","value":""},{"id":150,"name":"Time of Event (Mountain Time)","value":"04:21:22"},{"id":151,"name":"Denver Issue ID","value":""},{"id":178,"name":"Operational Impact","value":"Yes"},{"id":179,"name":"Denver Segment Assigned","value":""}]}} | curl --insecure -X POST -H "Content-Type: application/json" -H "X-Redmine-API-Key: %REDMINEAPIKEY%" https://secure.xorail.net/redmine/issues.json --data @-</v>
      </c>
      <c r="AJ15" s="20"/>
      <c r="AK15" s="47"/>
      <c r="AL15" s="47"/>
      <c r="AM15" s="142" t="str">
        <f t="shared" si="21"/>
        <v>start /low /b %USERPROFILE%\Documents\GitHub\eaglep3\Utilities\DownloadLogsFromS3.py --loco 4008 --day 2017-10-05</v>
      </c>
      <c r="AN15"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ID","value":"4008"},{"id":20,"name":"RR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10:21:22"},{"id":29,"name":"Sharepoint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5" s="168" t="str">
        <f t="shared" si="23"/>
        <v>https://d0f6bd738d7f1b3e5a7ca70fe4ff75f0.us-east-1.aws.found.io/app/kibana#/discover/Steve-Slow-Train-Analysis-(2080s-and-2083s)?_g=(refreshInterval:(display:Off,pause:!f,section:0,value:0),time:(from:'2017-10-05T02:40:10-0600',mode:absolute,to:'2017-10-05T05:21:22-0600'))&amp;_a=(columns:!('Message%20ID',Summary),filters:!(),index:'emp_*',interval:auto,query:(query_string:(analyze_wildcard:!t,query:'%22rtdc.l.rtdc.4008%22')),sort:!(Time.ISO8601,asc))</v>
      </c>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row>
    <row r="16" spans="1:91" s="1" customFormat="1" x14ac:dyDescent="0.25">
      <c r="A16" s="32" t="s">
        <v>633</v>
      </c>
      <c r="B16" s="7">
        <v>4007</v>
      </c>
      <c r="C16" s="21" t="s">
        <v>194</v>
      </c>
      <c r="D16" s="21" t="s">
        <v>823</v>
      </c>
      <c r="E16" s="13">
        <v>43013.186469907407</v>
      </c>
      <c r="F16" s="13">
        <v>43013.196053240739</v>
      </c>
      <c r="G16" s="7">
        <v>52</v>
      </c>
      <c r="H16" s="21" t="s">
        <v>337</v>
      </c>
      <c r="I16" s="13">
        <v>43013.222395833334</v>
      </c>
      <c r="J16" s="7">
        <v>0</v>
      </c>
      <c r="K16" s="89" t="str">
        <f t="shared" si="0"/>
        <v>4007/4008</v>
      </c>
      <c r="L16" s="185" t="str">
        <f>VLOOKUP(A16,'Trips&amp;Operators'!$C$1:$G$99911,5,FALSE)</f>
        <v>MAELZER KURT</v>
      </c>
      <c r="M16" s="6">
        <f t="shared" si="1"/>
        <v>2.6342592595028691E-2</v>
      </c>
      <c r="N16" s="7">
        <f t="shared" si="2"/>
        <v>37.933333336841315</v>
      </c>
      <c r="O16" s="7"/>
      <c r="P16" s="7"/>
      <c r="Q16" s="22"/>
      <c r="R16" s="174"/>
      <c r="S16" s="221">
        <f t="shared" si="3"/>
        <v>1</v>
      </c>
      <c r="T16" s="174" t="str">
        <f t="shared" si="4"/>
        <v>Southbound</v>
      </c>
      <c r="U16" s="198">
        <f>IF(AG16="EC",COUNTIFS(Variables!$M$2:$M$19,IF(T16="NorthBound","&gt;=","&lt;=")&amp;Y16,Variables!$M$2:$M$19,IF(T16="NorthBound","&lt;=","&gt;=")&amp;Z16),COUNTIFS(Variables!$P$2:$P$19,IF(T16="NorthBound","&gt;=","&lt;=")&amp;Y16,Variables!$P$2:$P$19,IF(T16="NorthBound","&lt;=","&gt;=")&amp;Z16))</f>
        <v>12</v>
      </c>
      <c r="V16" s="216" t="str">
        <f t="shared" si="5"/>
        <v>https://d0f6bd738d7f1b3e5a7ca70fe4ff75f0.us-east-1.aws.found.io/app/kibana#/discover/Steve-Slow-Train-Analysis-(2080s-and-2083s)?_g=(refreshInterval:(display:Off,pause:!f,section:0,value:0),time:(from:'2017-10-05T03:28:31-0600',mode:absolute,to:'2017-10-05T06:20:15-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4007%22')),sort:!(Time.ISO8601,asc))</v>
      </c>
      <c r="W16" s="204" t="str">
        <f>IF(AA16&lt;VLOOKUP(AG16,Variables!$AC$3:$AD$8,2,FALSE),"Y","N")</f>
        <v>N</v>
      </c>
      <c r="X16" s="204">
        <f t="shared" si="6"/>
        <v>1</v>
      </c>
      <c r="Y16" s="204">
        <f t="shared" si="7"/>
        <v>23.305299999999999</v>
      </c>
      <c r="Z16" s="204">
        <f t="shared" si="8"/>
        <v>1.43E-2</v>
      </c>
      <c r="AA16" s="204">
        <f t="shared" si="9"/>
        <v>23.291</v>
      </c>
      <c r="AB16" s="54" t="e">
        <f>VLOOKUP(A16,Enforcements!$C$7:$K$11,8,0)</f>
        <v>#N/A</v>
      </c>
      <c r="AC16" s="51" t="e">
        <f>VLOOKUP(A16,Enforcements!$C$7:$E$11,3,0)</f>
        <v>#N/A</v>
      </c>
      <c r="AD16" s="179">
        <f t="shared" si="10"/>
        <v>104</v>
      </c>
      <c r="AE16" s="77" t="str">
        <f t="shared" si="11"/>
        <v>aws s3 cp s3://rtdc.mdm.uploadarchive.raw/RTDC4007/ "%USERPROFILE%\AppData\Local\Temp\OnboardLogs"\RTDC4007\2017-10-05 --exclude "*" --recursive --include "*20171005*" &amp; "%USERPROFILE%\Documents\GitHub\mrs-test-scripts\Headless Mode &amp; Sideloading\WalkAndUnGZ.bat" "%USERPROFILE%\AppData\Local\Temp\OnboardLogs"\RTDC4007\2017-10-05 &amp; aws s3 cp s3://rtdc.mdm.uploadarchive.raw/RTDC4007/ "%USERPROFILE%\AppData\Local\Temp\OnboardLogs"\RTDC4007\2017-10-06 --exclude "*" --recursive --include "*20171006*" &amp; "%USERPROFILE%\Documents\GitHub\mrs-test-scripts\Headless Mode &amp; Sideloading\WalkAndUnGZ.bat" "%USERPROFILE%\AppData\Local\Temp\OnboardLogs"\RTDC4007\2017-10-06</v>
      </c>
      <c r="AF16" s="74" t="str">
        <f t="shared" si="12"/>
        <v>"C:\Program Files (x86)\AstroGrep\AstroGrep.exe" /e /r /s /spath="%USERPROFILE%\AppData\Local\Temp\OnboardLogs" /stypes="app*4007*20171005*" /stext=" 11:.+((SYSTEM_STATE.+slice.+state.+changed )|(ment ac)|(multiple cpu faults)|(system.+state.+changed )|(\[timeout)|(PRM\|1\|D)|(kpr)|(kdp)|(train st.+moving)|(\|lc)|(penalty))"</v>
      </c>
      <c r="AG16" s="182" t="str">
        <f t="shared" si="13"/>
        <v>EC</v>
      </c>
      <c r="AH16" s="78" t="str">
        <f t="shared" si="19"/>
        <v>"%USERPROFILE%\Documents\GitHub\eaglep3\Utilities\RefineRTDCRunTimes.py" --tripid 104-05 --locoid 4007 --swversion DE.1.0.9.0 --startMP 204:233053 --initTime 2017-10-05T04:28:31 --startdatetime 2017-10-05T04:42:19 --delay 52 --endMP 204:143 --enddatetime 2017-10-05T05:20:15 --enforcementcount 0 &gt;&gt;%USERPROFILE%\Documents\GitHub\eaglep3-reporting\EC\2017-10-05-refined-times.txt</v>
      </c>
      <c r="AI16" s="96" t="str">
        <f t="shared" si="20"/>
        <v>echo {"issue":{"subject":"","project_id":79,"tracker_id":40,"status_id":1,"priority_id":2,"assigned_to_id":338,"start_date":"2017-10-05","description":"","custom_fields":[{"id":1,"name":"Subdivision","value":"EC"},{"id":4,"name":"Milepost","value":"0.0143"},{"id":17,"name":"Train ID","value":"104-05"},{"id":16,"name":"Locomotive ID","value":"4007"},{"id":130,"name":"Impact","value":""},{"id":150,"name":"Time of Event (Mountain Time)","value":"05:20:15"},{"id":151,"name":"Denver Issue ID","value":""},{"id":178,"name":"Operational Impact","value":"Yes"},{"id":179,"name":"Denver Segment Assigned","value":""}]}} | curl --insecure -X POST -H "Content-Type: application/json" -H "X-Redmine-API-Key: %REDMINEAPIKEY%" https://secure.xorail.net/redmine/issues.json --data @-</v>
      </c>
      <c r="AJ16" s="20"/>
      <c r="AK16" s="47"/>
      <c r="AL16" s="47"/>
      <c r="AM16" s="142" t="str">
        <f t="shared" si="21"/>
        <v>start /low /b %USERPROFILE%\Documents\GitHub\eaglep3\Utilities\DownloadLogsFromS3.py --loco 4007 --day 2017-10-05</v>
      </c>
      <c r="AN16"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ID","value":"4007"},{"id":20,"name":"RR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11:20:15"},{"id":29,"name":"Sharepoint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6" s="168" t="str">
        <f t="shared" si="23"/>
        <v>https://d0f6bd738d7f1b3e5a7ca70fe4ff75f0.us-east-1.aws.found.io/app/kibana#/discover/Steve-Slow-Train-Analysis-(2080s-and-2083s)?_g=(refreshInterval:(display:Off,pause:!f,section:0,value:0),time:(from:'2017-10-05T03:28:31-0600',mode:absolute,to:'2017-10-05T06:20:15-0600'))&amp;_a=(columns:!('Message%20ID',Summary),filters:!(),index:'emp_*',interval:auto,query:(query_string:(analyze_wildcard:!t,query:'%22rtdc.l.rtdc.4007%22')),sort:!(Time.ISO8601,asc))</v>
      </c>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row>
    <row r="17" spans="1:91" s="1" customFormat="1" x14ac:dyDescent="0.25">
      <c r="A17" s="32" t="s">
        <v>629</v>
      </c>
      <c r="B17" s="7">
        <v>4010</v>
      </c>
      <c r="C17" s="21" t="s">
        <v>194</v>
      </c>
      <c r="D17" s="21" t="s">
        <v>824</v>
      </c>
      <c r="E17" s="13">
        <v>43013.171631944446</v>
      </c>
      <c r="F17" s="13">
        <v>43013.177256944444</v>
      </c>
      <c r="G17" s="7">
        <v>66</v>
      </c>
      <c r="H17" s="21" t="s">
        <v>435</v>
      </c>
      <c r="I17" s="13">
        <v>43013.202974537038</v>
      </c>
      <c r="J17" s="7">
        <v>0</v>
      </c>
      <c r="K17" s="89" t="str">
        <f t="shared" si="0"/>
        <v>4009/4010</v>
      </c>
      <c r="L17" s="185" t="str">
        <f>VLOOKUP(A17,'Trips&amp;Operators'!$C$1:$G$99911,5,FALSE)</f>
        <v>BONDS REYNALDO</v>
      </c>
      <c r="M17" s="6">
        <f t="shared" si="1"/>
        <v>2.5717592594446614E-2</v>
      </c>
      <c r="N17" s="7">
        <f t="shared" si="2"/>
        <v>37.033333336003125</v>
      </c>
      <c r="O17" s="7"/>
      <c r="P17" s="7"/>
      <c r="Q17" s="22"/>
      <c r="R17" s="174"/>
      <c r="S17" s="221">
        <f t="shared" si="3"/>
        <v>1</v>
      </c>
      <c r="T17" s="174" t="str">
        <f t="shared" si="4"/>
        <v>NorthBound</v>
      </c>
      <c r="U17" s="198">
        <f>IF(AG17="EC",COUNTIFS(Variables!$M$2:$M$19,IF(T17="NorthBound","&gt;=","&lt;=")&amp;Y17,Variables!$M$2:$M$19,IF(T17="NorthBound","&lt;=","&gt;=")&amp;Z17),COUNTIFS(Variables!$P$2:$P$19,IF(T17="NorthBound","&gt;=","&lt;=")&amp;Y17,Variables!$P$2:$P$19,IF(T17="NorthBound","&lt;=","&gt;=")&amp;Z17))</f>
        <v>12</v>
      </c>
      <c r="V17" s="216" t="str">
        <f t="shared" si="5"/>
        <v>https://d0f6bd738d7f1b3e5a7ca70fe4ff75f0.us-east-1.aws.found.io/app/kibana#/discover/Steve-Slow-Train-Analysis-(2080s-and-2083s)?_g=(refreshInterval:(display:Off,pause:!f,section:0,value:0),time:(from:'2017-10-05T03:07:09-0600',mode:absolute,to:'2017-10-05T05:52:17-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17" s="204" t="str">
        <f>IF(AA17&lt;VLOOKUP(AG17,Variables!$AC$3:$AD$8,2,FALSE),"Y","N")</f>
        <v>N</v>
      </c>
      <c r="X17" s="204">
        <f t="shared" si="6"/>
        <v>1</v>
      </c>
      <c r="Y17" s="204">
        <f t="shared" si="7"/>
        <v>4.4200000000000003E-2</v>
      </c>
      <c r="Z17" s="204">
        <f t="shared" si="8"/>
        <v>23.328900000000001</v>
      </c>
      <c r="AA17" s="204">
        <f t="shared" si="9"/>
        <v>23.284700000000001</v>
      </c>
      <c r="AB17" s="54" t="e">
        <f>VLOOKUP(A17,Enforcements!$C$7:$K$11,8,0)</f>
        <v>#N/A</v>
      </c>
      <c r="AC17" s="51" t="e">
        <f>VLOOKUP(A17,Enforcements!$C$7:$E$11,3,0)</f>
        <v>#N/A</v>
      </c>
      <c r="AD17" s="179">
        <f t="shared" si="10"/>
        <v>105</v>
      </c>
      <c r="AE17" s="77" t="str">
        <f t="shared" si="11"/>
        <v>aws s3 cp s3://rtdc.mdm.uploadarchive.raw/RTDC4010/ "%USERPROFILE%\AppData\Local\Temp\OnboardLogs"\RTDC4010\2017-10-05 --exclude "*" --recursive --include "*20171005*" &amp; "%USERPROFILE%\Documents\GitHub\mrs-test-scripts\Headless Mode &amp; Sideloading\WalkAndUnGZ.bat" "%USERPROFILE%\AppData\Local\Temp\OnboardLogs"\RTDC4010\2017-10-05 &amp; aws s3 cp s3://rtdc.mdm.uploadarchive.raw/RTDC4010/ "%USERPROFILE%\AppData\Local\Temp\OnboardLogs"\RTDC4010\2017-10-06 --exclude "*" --recursive --include "*20171006*" &amp; "%USERPROFILE%\Documents\GitHub\mrs-test-scripts\Headless Mode &amp; Sideloading\WalkAndUnGZ.bat" "%USERPROFILE%\AppData\Local\Temp\OnboardLogs"\RTDC4010\2017-10-06</v>
      </c>
      <c r="AF17" s="74" t="str">
        <f t="shared" si="12"/>
        <v>"C:\Program Files (x86)\AstroGrep\AstroGrep.exe" /e /r /s /spath="%USERPROFILE%\AppData\Local\Temp\OnboardLogs" /stypes="app*4010*20171005*" /stext=" 10:.+((SYSTEM_STATE.+slice.+state.+changed )|(ment ac)|(multiple cpu faults)|(system.+state.+changed )|(\[timeout)|(PRM\|1\|D)|(kpr)|(kdp)|(train st.+moving)|(\|lc)|(penalty))"</v>
      </c>
      <c r="AG17" s="182" t="str">
        <f t="shared" si="13"/>
        <v>EC</v>
      </c>
      <c r="AH17" s="78" t="str">
        <f t="shared" si="19"/>
        <v>"%USERPROFILE%\Documents\GitHub\eaglep3\Utilities\RefineRTDCRunTimes.py" --tripid 105-05 --locoid 4010 --swversion DE.1.0.9.0 --startMP 204:442 --initTime 2017-10-05T04:07:09 --startdatetime 2017-10-05T04:15:15 --delay 66 --endMP 204:233289 --enddatetime 2017-10-05T04:52:17 --enforcementcount 0 &gt;&gt;%USERPROFILE%\Documents\GitHub\eaglep3-reporting\EC\2017-10-05-refined-times.txt</v>
      </c>
      <c r="AI17" s="96" t="str">
        <f t="shared" si="20"/>
        <v>echo {"issue":{"subject":"","project_id":79,"tracker_id":40,"status_id":1,"priority_id":2,"assigned_to_id":338,"start_date":"2017-10-05","description":"","custom_fields":[{"id":1,"name":"Subdivision","value":"EC"},{"id":4,"name":"Milepost","value":"23.3289"},{"id":17,"name":"Train ID","value":"105-05"},{"id":16,"name":"Locomotive ID","value":"4010"},{"id":130,"name":"Impact","value":""},{"id":150,"name":"Time of Event (Mountain Time)","value":"04:52:17"},{"id":151,"name":"Denver Issue ID","value":""},{"id":178,"name":"Operational Impact","value":"Yes"},{"id":179,"name":"Denver Segment Assigned","value":""}]}} | curl --insecure -X POST -H "Content-Type: application/json" -H "X-Redmine-API-Key: %REDMINEAPIKEY%" https://secure.xorail.net/redmine/issues.json --data @-</v>
      </c>
      <c r="AJ17" s="20"/>
      <c r="AK17" s="47"/>
      <c r="AL17" s="47"/>
      <c r="AM17" s="142" t="str">
        <f t="shared" si="21"/>
        <v>start /low /b %USERPROFILE%\Documents\GitHub\eaglep3\Utilities\DownloadLogsFromS3.py --loco 4010 --day 2017-10-05</v>
      </c>
      <c r="AN17"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ID","value":"4010"},{"id":20,"name":"RR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10:52:17"},{"id":29,"name":"Sharepoint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7" s="168" t="str">
        <f t="shared" si="23"/>
        <v>https://d0f6bd738d7f1b3e5a7ca70fe4ff75f0.us-east-1.aws.found.io/app/kibana#/discover/Steve-Slow-Train-Analysis-(2080s-and-2083s)?_g=(refreshInterval:(display:Off,pause:!f,section:0,value:0),time:(from:'2017-10-05T03:07:09-0600',mode:absolute,to:'2017-10-05T05:52:17-0600'))&amp;_a=(columns:!('Message%20ID',Summary),filters:!(),index:'emp_*',interval:auto,query:(query_string:(analyze_wildcard:!t,query:'%22rtdc.l.rtdc.4010%22')),sort:!(Time.ISO8601,asc))</v>
      </c>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row>
    <row r="18" spans="1:91" s="1" customFormat="1" x14ac:dyDescent="0.25">
      <c r="A18" s="32" t="s">
        <v>640</v>
      </c>
      <c r="B18" s="7">
        <v>4009</v>
      </c>
      <c r="C18" s="21" t="s">
        <v>194</v>
      </c>
      <c r="D18" s="21" t="s">
        <v>437</v>
      </c>
      <c r="E18" s="13">
        <v>43013.213865740741</v>
      </c>
      <c r="F18" s="13">
        <v>43013.216851851852</v>
      </c>
      <c r="G18" s="7">
        <v>60</v>
      </c>
      <c r="H18" s="21" t="s">
        <v>337</v>
      </c>
      <c r="I18" s="13">
        <v>43013.243819444448</v>
      </c>
      <c r="J18" s="7">
        <v>0</v>
      </c>
      <c r="K18" s="89" t="str">
        <f t="shared" si="0"/>
        <v>4009/4010</v>
      </c>
      <c r="L18" s="185" t="str">
        <f>VLOOKUP(A18,'Trips&amp;Operators'!$C$1:$G$99911,5,FALSE)</f>
        <v>BONDS REYNALDO</v>
      </c>
      <c r="M18" s="6">
        <f t="shared" si="1"/>
        <v>2.6967592595610768E-2</v>
      </c>
      <c r="N18" s="7">
        <f t="shared" si="2"/>
        <v>38.833333337679505</v>
      </c>
      <c r="O18" s="7"/>
      <c r="P18" s="7"/>
      <c r="Q18" s="22"/>
      <c r="R18" s="174"/>
      <c r="S18" s="221">
        <f t="shared" si="3"/>
        <v>1</v>
      </c>
      <c r="T18" s="174" t="str">
        <f t="shared" si="4"/>
        <v>Southbound</v>
      </c>
      <c r="U18" s="198">
        <f>IF(AG18="EC",COUNTIFS(Variables!$M$2:$M$19,IF(T18="NorthBound","&gt;=","&lt;=")&amp;Y18,Variables!$M$2:$M$19,IF(T18="NorthBound","&lt;=","&gt;=")&amp;Z18),COUNTIFS(Variables!$P$2:$P$19,IF(T18="NorthBound","&gt;=","&lt;=")&amp;Y18,Variables!$P$2:$P$19,IF(T18="NorthBound","&lt;=","&gt;=")&amp;Z18))</f>
        <v>12</v>
      </c>
      <c r="V18" s="216" t="str">
        <f t="shared" si="5"/>
        <v>https://d0f6bd738d7f1b3e5a7ca70fe4ff75f0.us-east-1.aws.found.io/app/kibana#/discover/Steve-Slow-Train-Analysis-(2080s-and-2083s)?_g=(refreshInterval:(display:Off,pause:!f,section:0,value:0),time:(from:'2017-10-05T04:07:58-0600',mode:absolute,to:'2017-10-05T06:51:06-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18" s="204" t="str">
        <f>IF(AA18&lt;VLOOKUP(AG18,Variables!$AC$3:$AD$8,2,FALSE),"Y","N")</f>
        <v>N</v>
      </c>
      <c r="X18" s="204">
        <f t="shared" si="6"/>
        <v>1</v>
      </c>
      <c r="Y18" s="204">
        <f t="shared" si="7"/>
        <v>23.298400000000001</v>
      </c>
      <c r="Z18" s="204">
        <f t="shared" si="8"/>
        <v>1.43E-2</v>
      </c>
      <c r="AA18" s="204">
        <f t="shared" si="9"/>
        <v>23.284100000000002</v>
      </c>
      <c r="AB18" s="54" t="e">
        <f>VLOOKUP(A18,Enforcements!$C$7:$K$11,8,0)</f>
        <v>#N/A</v>
      </c>
      <c r="AC18" s="51" t="e">
        <f>VLOOKUP(A18,Enforcements!$C$7:$E$11,3,0)</f>
        <v>#N/A</v>
      </c>
      <c r="AD18" s="179">
        <f t="shared" si="10"/>
        <v>106</v>
      </c>
      <c r="AE18" s="77" t="str">
        <f t="shared" si="11"/>
        <v>aws s3 cp s3://rtdc.mdm.uploadarchive.raw/RTDC4009/ "%USERPROFILE%\AppData\Local\Temp\OnboardLogs"\RTDC4009\2017-10-05 --exclude "*" --recursive --include "*20171005*" &amp; "%USERPROFILE%\Documents\GitHub\mrs-test-scripts\Headless Mode &amp; Sideloading\WalkAndUnGZ.bat" "%USERPROFILE%\AppData\Local\Temp\OnboardLogs"\RTDC4009\2017-10-05 &amp; aws s3 cp s3://rtdc.mdm.uploadarchive.raw/RTDC4009/ "%USERPROFILE%\AppData\Local\Temp\OnboardLogs"\RTDC4009\2017-10-06 --exclude "*" --recursive --include "*20171006*" &amp; "%USERPROFILE%\Documents\GitHub\mrs-test-scripts\Headless Mode &amp; Sideloading\WalkAndUnGZ.bat" "%USERPROFILE%\AppData\Local\Temp\OnboardLogs"\RTDC4009\2017-10-06</v>
      </c>
      <c r="AF18" s="74" t="str">
        <f t="shared" si="12"/>
        <v>"C:\Program Files (x86)\AstroGrep\AstroGrep.exe" /e /r /s /spath="%USERPROFILE%\AppData\Local\Temp\OnboardLogs" /stypes="app*4009*20171005*" /stext=" 11:.+((SYSTEM_STATE.+slice.+state.+changed )|(ment ac)|(multiple cpu faults)|(system.+state.+changed )|(\[timeout)|(PRM\|1\|D)|(kpr)|(kdp)|(train st.+moving)|(\|lc)|(penalty))"</v>
      </c>
      <c r="AG18" s="182" t="str">
        <f t="shared" si="13"/>
        <v>EC</v>
      </c>
      <c r="AH18" s="78" t="str">
        <f t="shared" si="19"/>
        <v>"%USERPROFILE%\Documents\GitHub\eaglep3\Utilities\RefineRTDCRunTimes.py" --tripid 106-05 --locoid 4009 --swversion DE.1.0.9.0 --startMP 204:232984 --initTime 2017-10-05T05:07:58 --startdatetime 2017-10-05T05:12:16 --delay 60 --endMP 204:143 --enddatetime 2017-10-05T05:51:06 --enforcementcount 0 &gt;&gt;%USERPROFILE%\Documents\GitHub\eaglep3-reporting\EC\2017-10-05-refined-times.txt</v>
      </c>
      <c r="AI18" s="96" t="str">
        <f t="shared" si="20"/>
        <v>echo {"issue":{"subject":"","project_id":79,"tracker_id":40,"status_id":1,"priority_id":2,"assigned_to_id":338,"start_date":"2017-10-05","description":"","custom_fields":[{"id":1,"name":"Subdivision","value":"EC"},{"id":4,"name":"Milepost","value":"0.0143"},{"id":17,"name":"Train ID","value":"106-05"},{"id":16,"name":"Locomotive ID","value":"4009"},{"id":130,"name":"Impact","value":""},{"id":150,"name":"Time of Event (Mountain Time)","value":"05:51:06"},{"id":151,"name":"Denver Issue ID","value":""},{"id":178,"name":"Operational Impact","value":"Yes"},{"id":179,"name":"Denver Segment Assigned","value":""}]}} | curl --insecure -X POST -H "Content-Type: application/json" -H "X-Redmine-API-Key: %REDMINEAPIKEY%" https://secure.xorail.net/redmine/issues.json --data @-</v>
      </c>
      <c r="AJ18" s="20"/>
      <c r="AK18" s="47"/>
      <c r="AL18" s="47"/>
      <c r="AM18" s="142" t="str">
        <f t="shared" si="21"/>
        <v>start /low /b %USERPROFILE%\Documents\GitHub\eaglep3\Utilities\DownloadLogsFromS3.py --loco 4009 --day 2017-10-05</v>
      </c>
      <c r="AN18"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ID","value":"4009"},{"id":20,"name":"RR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11:51:06"},{"id":29,"name":"Sharepoint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8" s="168" t="str">
        <f t="shared" si="23"/>
        <v>https://d0f6bd738d7f1b3e5a7ca70fe4ff75f0.us-east-1.aws.found.io/app/kibana#/discover/Steve-Slow-Train-Analysis-(2080s-and-2083s)?_g=(refreshInterval:(display:Off,pause:!f,section:0,value:0),time:(from:'2017-10-05T04:07:58-0600',mode:absolute,to:'2017-10-05T06:51:06-0600'))&amp;_a=(columns:!('Message%20ID',Summary),filters:!(),index:'emp_*',interval:auto,query:(query_string:(analyze_wildcard:!t,query:'%22rtdc.l.rtdc.4009%22')),sort:!(Time.ISO8601,asc))</v>
      </c>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row>
    <row r="19" spans="1:91" s="1" customFormat="1" x14ac:dyDescent="0.25">
      <c r="A19" s="32" t="s">
        <v>632</v>
      </c>
      <c r="B19" s="7">
        <v>4028</v>
      </c>
      <c r="C19" s="21" t="s">
        <v>194</v>
      </c>
      <c r="D19" s="21" t="s">
        <v>355</v>
      </c>
      <c r="E19" s="13">
        <v>43013.182615740741</v>
      </c>
      <c r="F19" s="13">
        <v>43013.187673611108</v>
      </c>
      <c r="G19" s="7">
        <v>91</v>
      </c>
      <c r="H19" s="21" t="s">
        <v>825</v>
      </c>
      <c r="I19" s="13">
        <v>43013.212152777778</v>
      </c>
      <c r="J19" s="7">
        <v>0</v>
      </c>
      <c r="K19" s="89" t="str">
        <f t="shared" si="0"/>
        <v>4027/4028</v>
      </c>
      <c r="L19" s="185" t="str">
        <f>VLOOKUP(A19,'Trips&amp;Operators'!$C$1:$G$99911,5,FALSE)</f>
        <v>GEBRETEKLE DAGNEW</v>
      </c>
      <c r="M19" s="6">
        <f t="shared" si="1"/>
        <v>2.4479166670062114E-2</v>
      </c>
      <c r="N19" s="7">
        <f t="shared" si="2"/>
        <v>35.250000004889444</v>
      </c>
      <c r="O19" s="7"/>
      <c r="P19" s="7"/>
      <c r="Q19" s="22"/>
      <c r="R19" s="174"/>
      <c r="S19" s="221">
        <f t="shared" si="3"/>
        <v>1</v>
      </c>
      <c r="T19" s="174" t="str">
        <f t="shared" si="4"/>
        <v>NorthBound</v>
      </c>
      <c r="U19" s="198">
        <f>IF(AG19="EC",COUNTIFS(Variables!$M$2:$M$19,IF(T19="NorthBound","&gt;=","&lt;=")&amp;Y19,Variables!$M$2:$M$19,IF(T19="NorthBound","&lt;=","&gt;=")&amp;Z19),COUNTIFS(Variables!$P$2:$P$19,IF(T19="NorthBound","&gt;=","&lt;=")&amp;Y19,Variables!$P$2:$P$19,IF(T19="NorthBound","&lt;=","&gt;=")&amp;Z19))</f>
        <v>12</v>
      </c>
      <c r="V19" s="216" t="str">
        <f t="shared" si="5"/>
        <v>https://d0f6bd738d7f1b3e5a7ca70fe4ff75f0.us-east-1.aws.found.io/app/kibana#/discover/Steve-Slow-Train-Analysis-(2080s-and-2083s)?_g=(refreshInterval:(display:Off,pause:!f,section:0,value:0),time:(from:'2017-10-05T03:22:58-0600',mode:absolute,to:'2017-10-05T06:05:30-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19" s="204" t="str">
        <f>IF(AA19&lt;VLOOKUP(AG19,Variables!$AC$3:$AD$8,2,FALSE),"Y","N")</f>
        <v>N</v>
      </c>
      <c r="X19" s="204">
        <f t="shared" si="6"/>
        <v>1</v>
      </c>
      <c r="Y19" s="204">
        <f t="shared" si="7"/>
        <v>4.58E-2</v>
      </c>
      <c r="Z19" s="204">
        <f t="shared" si="8"/>
        <v>23.331900000000001</v>
      </c>
      <c r="AA19" s="204">
        <f t="shared" si="9"/>
        <v>23.286100000000001</v>
      </c>
      <c r="AB19" s="54" t="e">
        <f>VLOOKUP(A19,Enforcements!$C$7:$K$11,8,0)</f>
        <v>#N/A</v>
      </c>
      <c r="AC19" s="51" t="e">
        <f>VLOOKUP(A19,Enforcements!$C$7:$E$11,3,0)</f>
        <v>#N/A</v>
      </c>
      <c r="AD19" s="179">
        <f t="shared" si="10"/>
        <v>107</v>
      </c>
      <c r="AE19" s="77" t="str">
        <f t="shared" si="11"/>
        <v>aws s3 cp s3://rtdc.mdm.uploadarchive.raw/RTDC4028/ "%USERPROFILE%\AppData\Local\Temp\OnboardLogs"\RTDC4028\2017-10-05 --exclude "*" --recursive --include "*20171005*" &amp; "%USERPROFILE%\Documents\GitHub\mrs-test-scripts\Headless Mode &amp; Sideloading\WalkAndUnGZ.bat" "%USERPROFILE%\AppData\Local\Temp\OnboardLogs"\RTDC4028\2017-10-05 &amp; aws s3 cp s3://rtdc.mdm.uploadarchive.raw/RTDC4028/ "%USERPROFILE%\AppData\Local\Temp\OnboardLogs"\RTDC4028\2017-10-06 --exclude "*" --recursive --include "*20171006*" &amp; "%USERPROFILE%\Documents\GitHub\mrs-test-scripts\Headless Mode &amp; Sideloading\WalkAndUnGZ.bat" "%USERPROFILE%\AppData\Local\Temp\OnboardLogs"\RTDC4028\2017-10-06</v>
      </c>
      <c r="AF19" s="74" t="str">
        <f t="shared" si="12"/>
        <v>"C:\Program Files (x86)\AstroGrep\AstroGrep.exe" /e /r /s /spath="%USERPROFILE%\AppData\Local\Temp\OnboardLogs" /stypes="app*4028*20171005*" /stext=" 11:.+((SYSTEM_STATE.+slice.+state.+changed )|(ment ac)|(multiple cpu faults)|(system.+state.+changed )|(\[timeout)|(PRM\|1\|D)|(kpr)|(kdp)|(train st.+moving)|(\|lc)|(penalty))"</v>
      </c>
      <c r="AG19" s="182" t="str">
        <f t="shared" si="13"/>
        <v>EC</v>
      </c>
      <c r="AH19" s="78" t="str">
        <f t="shared" si="19"/>
        <v>"%USERPROFILE%\Documents\GitHub\eaglep3\Utilities\RefineRTDCRunTimes.py" --tripid 107-05 --locoid 4028 --swversion DE.1.0.9.0 --startMP 204:458 --initTime 2017-10-05T04:22:58 --startdatetime 2017-10-05T04:30:15 --delay 91 --endMP 204:233319 --enddatetime 2017-10-05T05:05:30 --enforcementcount 0 &gt;&gt;%USERPROFILE%\Documents\GitHub\eaglep3-reporting\EC\2017-10-05-refined-times.txt</v>
      </c>
      <c r="AI19" s="96" t="str">
        <f t="shared" si="20"/>
        <v>echo {"issue":{"subject":"","project_id":79,"tracker_id":40,"status_id":1,"priority_id":2,"assigned_to_id":338,"start_date":"2017-10-05","description":"","custom_fields":[{"id":1,"name":"Subdivision","value":"EC"},{"id":4,"name":"Milepost","value":"23.3319"},{"id":17,"name":"Train ID","value":"107-05"},{"id":16,"name":"Locomotive ID","value":"4028"},{"id":130,"name":"Impact","value":""},{"id":150,"name":"Time of Event (Mountain Time)","value":"05:05:30"},{"id":151,"name":"Denver Issue ID","value":""},{"id":178,"name":"Operational Impact","value":"Yes"},{"id":179,"name":"Denver Segment Assigned","value":""}]}} | curl --insecure -X POST -H "Content-Type: application/json" -H "X-Redmine-API-Key: %REDMINEAPIKEY%" https://secure.xorail.net/redmine/issues.json --data @-</v>
      </c>
      <c r="AJ19" s="20"/>
      <c r="AK19" s="47"/>
      <c r="AL19" s="47"/>
      <c r="AM19" s="142" t="str">
        <f t="shared" si="21"/>
        <v>start /low /b %USERPROFILE%\Documents\GitHub\eaglep3\Utilities\DownloadLogsFromS3.py --loco 4028 --day 2017-10-05</v>
      </c>
      <c r="AN19"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11:05:30"},{"id":29,"name":"Sharepoint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9" s="168" t="str">
        <f t="shared" si="23"/>
        <v>https://d0f6bd738d7f1b3e5a7ca70fe4ff75f0.us-east-1.aws.found.io/app/kibana#/discover/Steve-Slow-Train-Analysis-(2080s-and-2083s)?_g=(refreshInterval:(display:Off,pause:!f,section:0,value:0),time:(from:'2017-10-05T03:22:58-0600',mode:absolute,to:'2017-10-05T06:05:30-0600'))&amp;_a=(columns:!('Message%20ID',Summary),filters:!(),index:'emp_*',interval:auto,query:(query_string:(analyze_wildcard:!t,query:'%22rtdc.l.rtdc.4028%22')),sort:!(Time.ISO8601,asc))</v>
      </c>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row>
    <row r="20" spans="1:91" s="1" customFormat="1" x14ac:dyDescent="0.25">
      <c r="A20" s="32" t="s">
        <v>639</v>
      </c>
      <c r="B20" s="7">
        <v>4027</v>
      </c>
      <c r="C20" s="21" t="s">
        <v>194</v>
      </c>
      <c r="D20" s="21" t="s">
        <v>414</v>
      </c>
      <c r="E20" s="13">
        <v>43013.213310185187</v>
      </c>
      <c r="F20" s="13">
        <v>43013.227314814816</v>
      </c>
      <c r="G20" s="7">
        <v>53</v>
      </c>
      <c r="H20" s="21" t="s">
        <v>364</v>
      </c>
      <c r="I20" s="13">
        <v>43013.253055555557</v>
      </c>
      <c r="J20" s="7">
        <v>0</v>
      </c>
      <c r="K20" s="89" t="str">
        <f t="shared" si="0"/>
        <v>4027/4028</v>
      </c>
      <c r="L20" s="185" t="str">
        <f>VLOOKUP(A20,'Trips&amp;Operators'!$C$1:$G$99911,5,FALSE)</f>
        <v>GEBRETEKLE DAGNEW</v>
      </c>
      <c r="M20" s="6">
        <f t="shared" si="1"/>
        <v>2.5740740740729962E-2</v>
      </c>
      <c r="N20" s="7">
        <f t="shared" si="2"/>
        <v>37.066666666651145</v>
      </c>
      <c r="O20" s="7"/>
      <c r="P20" s="7"/>
      <c r="Q20" s="22"/>
      <c r="R20" s="174"/>
      <c r="S20" s="221">
        <f t="shared" si="3"/>
        <v>1</v>
      </c>
      <c r="T20" s="174" t="str">
        <f t="shared" si="4"/>
        <v>Southbound</v>
      </c>
      <c r="U20" s="198">
        <f>IF(AG20="EC",COUNTIFS(Variables!$M$2:$M$19,IF(T20="NorthBound","&gt;=","&lt;=")&amp;Y20,Variables!$M$2:$M$19,IF(T20="NorthBound","&lt;=","&gt;=")&amp;Z20),COUNTIFS(Variables!$P$2:$P$19,IF(T20="NorthBound","&gt;=","&lt;=")&amp;Y20,Variables!$P$2:$P$19,IF(T20="NorthBound","&lt;=","&gt;=")&amp;Z20))</f>
        <v>12</v>
      </c>
      <c r="V20" s="216" t="str">
        <f t="shared" si="5"/>
        <v>https://d0f6bd738d7f1b3e5a7ca70fe4ff75f0.us-east-1.aws.found.io/app/kibana#/discover/Steve-Slow-Train-Analysis-(2080s-and-2083s)?_g=(refreshInterval:(display:Off,pause:!f,section:0,value:0),time:(from:'2017-10-05T04:07:10-0600',mode:absolute,to:'2017-10-05T07:04:24-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20" s="204" t="str">
        <f>IF(AA20&lt;VLOOKUP(AG20,Variables!$AC$3:$AD$8,2,FALSE),"Y","N")</f>
        <v>N</v>
      </c>
      <c r="X20" s="204">
        <f t="shared" si="6"/>
        <v>1</v>
      </c>
      <c r="Y20" s="204">
        <f t="shared" si="7"/>
        <v>23.299399999999999</v>
      </c>
      <c r="Z20" s="204">
        <f t="shared" si="8"/>
        <v>1.61E-2</v>
      </c>
      <c r="AA20" s="204">
        <f t="shared" si="9"/>
        <v>23.283299999999997</v>
      </c>
      <c r="AB20" s="54" t="e">
        <f>VLOOKUP(A20,Enforcements!$C$7:$K$11,8,0)</f>
        <v>#N/A</v>
      </c>
      <c r="AC20" s="51" t="e">
        <f>VLOOKUP(A20,Enforcements!$C$7:$E$11,3,0)</f>
        <v>#N/A</v>
      </c>
      <c r="AD20" s="179">
        <f t="shared" si="10"/>
        <v>108</v>
      </c>
      <c r="AE20" s="77" t="str">
        <f t="shared" si="11"/>
        <v>aws s3 cp s3://rtdc.mdm.uploadarchive.raw/RTDC4027/ "%USERPROFILE%\AppData\Local\Temp\OnboardLogs"\RTDC4027\2017-10-05 --exclude "*" --recursive --include "*20171005*" &amp; "%USERPROFILE%\Documents\GitHub\mrs-test-scripts\Headless Mode &amp; Sideloading\WalkAndUnGZ.bat" "%USERPROFILE%\AppData\Local\Temp\OnboardLogs"\RTDC4027\2017-10-05 &amp; aws s3 cp s3://rtdc.mdm.uploadarchive.raw/RTDC4027/ "%USERPROFILE%\AppData\Local\Temp\OnboardLogs"\RTDC4027\2017-10-06 --exclude "*" --recursive --include "*20171006*" &amp; "%USERPROFILE%\Documents\GitHub\mrs-test-scripts\Headless Mode &amp; Sideloading\WalkAndUnGZ.bat" "%USERPROFILE%\AppData\Local\Temp\OnboardLogs"\RTDC4027\2017-10-06</v>
      </c>
      <c r="AF20" s="74" t="str">
        <f t="shared" si="12"/>
        <v>"C:\Program Files (x86)\AstroGrep\AstroGrep.exe" /e /r /s /spath="%USERPROFILE%\AppData\Local\Temp\OnboardLogs" /stypes="app*4027*20171005*" /stext=" 12:.+((SYSTEM_STATE.+slice.+state.+changed )|(ment ac)|(multiple cpu faults)|(system.+state.+changed )|(\[timeout)|(PRM\|1\|D)|(kpr)|(kdp)|(train st.+moving)|(\|lc)|(penalty))"</v>
      </c>
      <c r="AG20" s="182" t="str">
        <f t="shared" si="13"/>
        <v>EC</v>
      </c>
      <c r="AH20" s="78" t="str">
        <f t="shared" si="19"/>
        <v>"%USERPROFILE%\Documents\GitHub\eaglep3\Utilities\RefineRTDCRunTimes.py" --tripid 108-05 --locoid 4027 --swversion DE.1.0.9.0 --startMP 204:232994 --initTime 2017-10-05T05:07:10 --startdatetime 2017-10-05T05:27:20 --delay 53 --endMP 204:161 --enddatetime 2017-10-05T06:04:24 --enforcementcount 0 &gt;&gt;%USERPROFILE%\Documents\GitHub\eaglep3-reporting\EC\2017-10-05-refined-times.txt</v>
      </c>
      <c r="AI20" s="96" t="str">
        <f t="shared" si="20"/>
        <v>echo {"issue":{"subject":"","project_id":79,"tracker_id":40,"status_id":1,"priority_id":2,"assigned_to_id":338,"start_date":"2017-10-05","description":"","custom_fields":[{"id":1,"name":"Subdivision","value":"EC"},{"id":4,"name":"Milepost","value":"0.0161"},{"id":17,"name":"Train ID","value":"108-05"},{"id":16,"name":"Locomotive ID","value":"4027"},{"id":130,"name":"Impact","value":""},{"id":150,"name":"Time of Event (Mountain Time)","value":"06:04:24"},{"id":151,"name":"Denver Issue ID","value":""},{"id":178,"name":"Operational Impact","value":"Yes"},{"id":179,"name":"Denver Segment Assigned","value":""}]}} | curl --insecure -X POST -H "Content-Type: application/json" -H "X-Redmine-API-Key: %REDMINEAPIKEY%" https://secure.xorail.net/redmine/issues.json --data @-</v>
      </c>
      <c r="AJ20" s="20"/>
      <c r="AK20" s="47"/>
      <c r="AL20" s="47"/>
      <c r="AM20" s="142" t="str">
        <f t="shared" si="21"/>
        <v>start /low /b %USERPROFILE%\Documents\GitHub\eaglep3\Utilities\DownloadLogsFromS3.py --loco 4027 --day 2017-10-05</v>
      </c>
      <c r="AN20"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12:04:24"},{"id":29,"name":"Sharepoint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0" s="168" t="str">
        <f t="shared" si="23"/>
        <v>https://d0f6bd738d7f1b3e5a7ca70fe4ff75f0.us-east-1.aws.found.io/app/kibana#/discover/Steve-Slow-Train-Analysis-(2080s-and-2083s)?_g=(refreshInterval:(display:Off,pause:!f,section:0,value:0),time:(from:'2017-10-05T04:07:10-0600',mode:absolute,to:'2017-10-05T07:04:24-0600'))&amp;_a=(columns:!('Message%20ID',Summary),filters:!(),index:'emp_*',interval:auto,query:(query_string:(analyze_wildcard:!t,query:'%22rtdc.l.rtdc.4027%22')),sort:!(Time.ISO8601,asc))</v>
      </c>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row>
    <row r="21" spans="1:91" s="1" customFormat="1" x14ac:dyDescent="0.25">
      <c r="A21" s="32" t="s">
        <v>636</v>
      </c>
      <c r="B21" s="7">
        <v>4042</v>
      </c>
      <c r="C21" s="21" t="s">
        <v>194</v>
      </c>
      <c r="D21" s="21" t="s">
        <v>380</v>
      </c>
      <c r="E21" s="13">
        <v>43013.193993055553</v>
      </c>
      <c r="F21" s="13">
        <v>43013.198125000003</v>
      </c>
      <c r="G21" s="7">
        <v>99</v>
      </c>
      <c r="H21" s="21" t="s">
        <v>457</v>
      </c>
      <c r="I21" s="13">
        <v>43013.224699074075</v>
      </c>
      <c r="J21" s="7">
        <v>0</v>
      </c>
      <c r="K21" s="89" t="str">
        <f t="shared" si="0"/>
        <v>4041/4042</v>
      </c>
      <c r="L21" s="185" t="str">
        <f>VLOOKUP(A21,'Trips&amp;Operators'!$C$1:$G$99911,5,FALSE)</f>
        <v>WILLIAMS DONTE</v>
      </c>
      <c r="M21" s="6">
        <f t="shared" si="1"/>
        <v>2.6574074072414078E-2</v>
      </c>
      <c r="N21" s="7">
        <f t="shared" si="2"/>
        <v>38.266666664276272</v>
      </c>
      <c r="O21" s="7"/>
      <c r="P21" s="7"/>
      <c r="Q21" s="22"/>
      <c r="R21" s="174"/>
      <c r="S21" s="221">
        <f t="shared" si="3"/>
        <v>1</v>
      </c>
      <c r="T21" s="174" t="str">
        <f t="shared" si="4"/>
        <v>NorthBound</v>
      </c>
      <c r="U21" s="198">
        <f>IF(AG21="EC",COUNTIFS(Variables!$M$2:$M$19,IF(T21="NorthBound","&gt;=","&lt;=")&amp;Y21,Variables!$M$2:$M$19,IF(T21="NorthBound","&lt;=","&gt;=")&amp;Z21),COUNTIFS(Variables!$P$2:$P$19,IF(T21="NorthBound","&gt;=","&lt;=")&amp;Y21,Variables!$P$2:$P$19,IF(T21="NorthBound","&lt;=","&gt;=")&amp;Z21))</f>
        <v>12</v>
      </c>
      <c r="V21" s="216" t="str">
        <f t="shared" si="5"/>
        <v>https://d0f6bd738d7f1b3e5a7ca70fe4ff75f0.us-east-1.aws.found.io/app/kibana#/discover/Steve-Slow-Train-Analysis-(2080s-and-2083s)?_g=(refreshInterval:(display:Off,pause:!f,section:0,value:0),time:(from:'2017-10-05T03:39:21-0600',mode:absolute,to:'2017-10-05T06:23:34-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4042%22')),sort:!(Time.ISO8601,asc))</v>
      </c>
      <c r="W21" s="204" t="str">
        <f>IF(AA21&lt;VLOOKUP(AG21,Variables!$AC$3:$AD$8,2,FALSE),"Y","N")</f>
        <v>N</v>
      </c>
      <c r="X21" s="204">
        <f t="shared" si="6"/>
        <v>1</v>
      </c>
      <c r="Y21" s="204">
        <f t="shared" si="7"/>
        <v>4.6600000000000003E-2</v>
      </c>
      <c r="Z21" s="204">
        <f t="shared" si="8"/>
        <v>23.328199999999999</v>
      </c>
      <c r="AA21" s="204">
        <f t="shared" si="9"/>
        <v>23.281599999999997</v>
      </c>
      <c r="AB21" s="54" t="e">
        <f>VLOOKUP(A21,Enforcements!$C$7:$K$11,8,0)</f>
        <v>#N/A</v>
      </c>
      <c r="AC21" s="51" t="e">
        <f>VLOOKUP(A21,Enforcements!$C$7:$E$11,3,0)</f>
        <v>#N/A</v>
      </c>
      <c r="AD21" s="179">
        <f t="shared" si="10"/>
        <v>109</v>
      </c>
      <c r="AE21" s="77" t="str">
        <f t="shared" si="11"/>
        <v>aws s3 cp s3://rtdc.mdm.uploadarchive.raw/RTDC4042/ "%USERPROFILE%\AppData\Local\Temp\OnboardLogs"\RTDC4042\2017-10-05 --exclude "*" --recursive --include "*20171005*" &amp; "%USERPROFILE%\Documents\GitHub\mrs-test-scripts\Headless Mode &amp; Sideloading\WalkAndUnGZ.bat" "%USERPROFILE%\AppData\Local\Temp\OnboardLogs"\RTDC4042\2017-10-05 &amp; aws s3 cp s3://rtdc.mdm.uploadarchive.raw/RTDC4042/ "%USERPROFILE%\AppData\Local\Temp\OnboardLogs"\RTDC4042\2017-10-06 --exclude "*" --recursive --include "*20171006*" &amp; "%USERPROFILE%\Documents\GitHub\mrs-test-scripts\Headless Mode &amp; Sideloading\WalkAndUnGZ.bat" "%USERPROFILE%\AppData\Local\Temp\OnboardLogs"\RTDC4042\2017-10-06</v>
      </c>
      <c r="AF21" s="74" t="str">
        <f t="shared" si="12"/>
        <v>"C:\Program Files (x86)\AstroGrep\AstroGrep.exe" /e /r /s /spath="%USERPROFILE%\AppData\Local\Temp\OnboardLogs" /stypes="app*4042*20171005*" /stext=" 11:.+((SYSTEM_STATE.+slice.+state.+changed )|(ment ac)|(multiple cpu faults)|(system.+state.+changed )|(\[timeout)|(PRM\|1\|D)|(kpr)|(kdp)|(train st.+moving)|(\|lc)|(penalty))"</v>
      </c>
      <c r="AG21" s="182" t="str">
        <f t="shared" si="13"/>
        <v>EC</v>
      </c>
      <c r="AH21" s="78" t="str">
        <f t="shared" si="19"/>
        <v>"%USERPROFILE%\Documents\GitHub\eaglep3\Utilities\RefineRTDCRunTimes.py" --tripid 109-05 --locoid 4042 --swversion DE.1.0.9.0 --startMP 204:466 --initTime 2017-10-05T04:39:21 --startdatetime 2017-10-05T04:45:18 --delay 99 --endMP 204:233282 --enddatetime 2017-10-05T05:23:34 --enforcementcount 0 &gt;&gt;%USERPROFILE%\Documents\GitHub\eaglep3-reporting\EC\2017-10-05-refined-times.txt</v>
      </c>
      <c r="AI21" s="96" t="str">
        <f t="shared" si="20"/>
        <v>echo {"issue":{"subject":"","project_id":79,"tracker_id":40,"status_id":1,"priority_id":2,"assigned_to_id":338,"start_date":"2017-10-05","description":"","custom_fields":[{"id":1,"name":"Subdivision","value":"EC"},{"id":4,"name":"Milepost","value":"23.3282"},{"id":17,"name":"Train ID","value":"109-05"},{"id":16,"name":"Locomotive ID","value":"4042"},{"id":130,"name":"Impact","value":""},{"id":150,"name":"Time of Event (Mountain Time)","value":"05:23:34"},{"id":151,"name":"Denver Issue ID","value":""},{"id":178,"name":"Operational Impact","value":"Yes"},{"id":179,"name":"Denver Segment Assigned","value":""}]}} | curl --insecure -X POST -H "Content-Type: application/json" -H "X-Redmine-API-Key: %REDMINEAPIKEY%" https://secure.xorail.net/redmine/issues.json --data @-</v>
      </c>
      <c r="AJ21" s="20"/>
      <c r="AK21" s="47"/>
      <c r="AL21" s="47"/>
      <c r="AM21" s="142" t="str">
        <f t="shared" si="21"/>
        <v>start /low /b %USERPROFILE%\Documents\GitHub\eaglep3\Utilities\DownloadLogsFromS3.py --loco 4042 --day 2017-10-05</v>
      </c>
      <c r="AN21"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ID","value":"4042"},{"id":20,"name":"RR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11:23:34"},{"id":29,"name":"Sharepoint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1" s="168" t="str">
        <f t="shared" si="23"/>
        <v>https://d0f6bd738d7f1b3e5a7ca70fe4ff75f0.us-east-1.aws.found.io/app/kibana#/discover/Steve-Slow-Train-Analysis-(2080s-and-2083s)?_g=(refreshInterval:(display:Off,pause:!f,section:0,value:0),time:(from:'2017-10-05T03:39:21-0600',mode:absolute,to:'2017-10-05T06:23:34-0600'))&amp;_a=(columns:!('Message%20ID',Summary),filters:!(),index:'emp_*',interval:auto,query:(query_string:(analyze_wildcard:!t,query:'%22rtdc.l.rtdc.4042%22')),sort:!(Time.ISO8601,asc))</v>
      </c>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row>
    <row r="22" spans="1:91" s="1" customFormat="1" x14ac:dyDescent="0.25">
      <c r="A22" s="32" t="s">
        <v>644</v>
      </c>
      <c r="B22" s="7">
        <v>4041</v>
      </c>
      <c r="C22" s="21" t="s">
        <v>194</v>
      </c>
      <c r="D22" s="21" t="s">
        <v>826</v>
      </c>
      <c r="E22" s="13">
        <v>43013.231956018521</v>
      </c>
      <c r="F22" s="13">
        <v>43013.237685185188</v>
      </c>
      <c r="G22" s="7">
        <v>72</v>
      </c>
      <c r="H22" s="21" t="s">
        <v>367</v>
      </c>
      <c r="I22" s="13">
        <v>43013.266203703701</v>
      </c>
      <c r="J22" s="7">
        <v>0</v>
      </c>
      <c r="K22" s="89" t="str">
        <f t="shared" si="0"/>
        <v>4041/4042</v>
      </c>
      <c r="L22" s="185" t="str">
        <f>VLOOKUP(A22,'Trips&amp;Operators'!$C$1:$G$99911,5,FALSE)</f>
        <v>WILLIAMS DONTE</v>
      </c>
      <c r="M22" s="6">
        <f t="shared" si="1"/>
        <v>2.8518518513010349E-2</v>
      </c>
      <c r="N22" s="7">
        <f t="shared" si="2"/>
        <v>41.066666658734903</v>
      </c>
      <c r="O22" s="7"/>
      <c r="P22" s="7"/>
      <c r="Q22" s="22"/>
      <c r="R22" s="174"/>
      <c r="S22" s="221">
        <f t="shared" si="3"/>
        <v>1</v>
      </c>
      <c r="T22" s="174" t="str">
        <f t="shared" si="4"/>
        <v>Southbound</v>
      </c>
      <c r="U22" s="198">
        <f>IF(AG22="EC",COUNTIFS(Variables!$M$2:$M$19,IF(T22="NorthBound","&gt;=","&lt;=")&amp;Y22,Variables!$M$2:$M$19,IF(T22="NorthBound","&lt;=","&gt;=")&amp;Z22),COUNTIFS(Variables!$P$2:$P$19,IF(T22="NorthBound","&gt;=","&lt;=")&amp;Y22,Variables!$P$2:$P$19,IF(T22="NorthBound","&lt;=","&gt;=")&amp;Z22))</f>
        <v>12</v>
      </c>
      <c r="V22" s="216" t="str">
        <f t="shared" si="5"/>
        <v>https://d0f6bd738d7f1b3e5a7ca70fe4ff75f0.us-east-1.aws.found.io/app/kibana#/discover/Steve-Slow-Train-Analysis-(2080s-and-2083s)?_g=(refreshInterval:(display:Off,pause:!f,section:0,value:0),time:(from:'2017-10-05T04:34:01-0600',mode:absolute,to:'2017-10-05T07:23:20-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4041%22')),sort:!(Time.ISO8601,asc))</v>
      </c>
      <c r="W22" s="204" t="str">
        <f>IF(AA22&lt;VLOOKUP(AG22,Variables!$AC$3:$AD$8,2,FALSE),"Y","N")</f>
        <v>N</v>
      </c>
      <c r="X22" s="204">
        <f t="shared" si="6"/>
        <v>1</v>
      </c>
      <c r="Y22" s="204">
        <f t="shared" si="7"/>
        <v>23.2973</v>
      </c>
      <c r="Z22" s="204">
        <f t="shared" si="8"/>
        <v>1.5800000000000002E-2</v>
      </c>
      <c r="AA22" s="204">
        <f t="shared" si="9"/>
        <v>23.281500000000001</v>
      </c>
      <c r="AB22" s="54" t="e">
        <f>VLOOKUP(A22,Enforcements!$C$7:$K$11,8,0)</f>
        <v>#N/A</v>
      </c>
      <c r="AC22" s="51" t="e">
        <f>VLOOKUP(A22,Enforcements!$C$7:$E$11,3,0)</f>
        <v>#N/A</v>
      </c>
      <c r="AD22" s="179">
        <f t="shared" si="10"/>
        <v>110</v>
      </c>
      <c r="AE22" s="77" t="str">
        <f t="shared" si="11"/>
        <v>aws s3 cp s3://rtdc.mdm.uploadarchive.raw/RTDC4041/ "%USERPROFILE%\AppData\Local\Temp\OnboardLogs"\RTDC4041\2017-10-05 --exclude "*" --recursive --include "*20171005*" &amp; "%USERPROFILE%\Documents\GitHub\mrs-test-scripts\Headless Mode &amp; Sideloading\WalkAndUnGZ.bat" "%USERPROFILE%\AppData\Local\Temp\OnboardLogs"\RTDC4041\2017-10-05 &amp; aws s3 cp s3://rtdc.mdm.uploadarchive.raw/RTDC4041/ "%USERPROFILE%\AppData\Local\Temp\OnboardLogs"\RTDC4041\2017-10-06 --exclude "*" --recursive --include "*20171006*" &amp; "%USERPROFILE%\Documents\GitHub\mrs-test-scripts\Headless Mode &amp; Sideloading\WalkAndUnGZ.bat" "%USERPROFILE%\AppData\Local\Temp\OnboardLogs"\RTDC4041\2017-10-06</v>
      </c>
      <c r="AF22" s="74" t="str">
        <f t="shared" si="12"/>
        <v>"C:\Program Files (x86)\AstroGrep\AstroGrep.exe" /e /r /s /spath="%USERPROFILE%\AppData\Local\Temp\OnboardLogs" /stypes="app*4041*20171005*" /stext=" 12:.+((SYSTEM_STATE.+slice.+state.+changed )|(ment ac)|(multiple cpu faults)|(system.+state.+changed )|(\[timeout)|(PRM\|1\|D)|(kpr)|(kdp)|(train st.+moving)|(\|lc)|(penalty))"</v>
      </c>
      <c r="AG22" s="182" t="str">
        <f t="shared" si="13"/>
        <v>EC</v>
      </c>
      <c r="AH22" s="78" t="str">
        <f t="shared" si="19"/>
        <v>"%USERPROFILE%\Documents\GitHub\eaglep3\Utilities\RefineRTDCRunTimes.py" --tripid 110-05 --locoid 4041 --swversion DE.1.0.9.0 --startMP 204:232973 --initTime 2017-10-05T05:34:01 --startdatetime 2017-10-05T05:42:16 --delay 72 --endMP 204:158 --enddatetime 2017-10-05T06:23:20 --enforcementcount 0 &gt;&gt;%USERPROFILE%\Documents\GitHub\eaglep3-reporting\EC\2017-10-05-refined-times.txt</v>
      </c>
      <c r="AI22" s="96" t="str">
        <f t="shared" si="20"/>
        <v>echo {"issue":{"subject":"","project_id":79,"tracker_id":40,"status_id":1,"priority_id":2,"assigned_to_id":338,"start_date":"2017-10-05","description":"","custom_fields":[{"id":1,"name":"Subdivision","value":"EC"},{"id":4,"name":"Milepost","value":"0.0158"},{"id":17,"name":"Train ID","value":"110-05"},{"id":16,"name":"Locomotive ID","value":"4041"},{"id":130,"name":"Impact","value":""},{"id":150,"name":"Time of Event (Mountain Time)","value":"06:23:20"},{"id":151,"name":"Denver Issue ID","value":""},{"id":178,"name":"Operational Impact","value":"Yes"},{"id":179,"name":"Denver Segment Assigned","value":""}]}} | curl --insecure -X POST -H "Content-Type: application/json" -H "X-Redmine-API-Key: %REDMINEAPIKEY%" https://secure.xorail.net/redmine/issues.json --data @-</v>
      </c>
      <c r="AJ22" s="20"/>
      <c r="AK22" s="47"/>
      <c r="AL22" s="47"/>
      <c r="AM22" s="142" t="str">
        <f t="shared" si="21"/>
        <v>start /low /b %USERPROFILE%\Documents\GitHub\eaglep3\Utilities\DownloadLogsFromS3.py --loco 4041 --day 2017-10-05</v>
      </c>
      <c r="AN22"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ID","value":"4041"},{"id":20,"name":"RR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12:23:20"},{"id":29,"name":"Sharepoint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2" s="168" t="str">
        <f t="shared" si="23"/>
        <v>https://d0f6bd738d7f1b3e5a7ca70fe4ff75f0.us-east-1.aws.found.io/app/kibana#/discover/Steve-Slow-Train-Analysis-(2080s-and-2083s)?_g=(refreshInterval:(display:Off,pause:!f,section:0,value:0),time:(from:'2017-10-05T04:34:01-0600',mode:absolute,to:'2017-10-05T07:23:20-0600'))&amp;_a=(columns:!('Message%20ID',Summary),filters:!(),index:'emp_*',interval:auto,query:(query_string:(analyze_wildcard:!t,query:'%22rtdc.l.rtdc.4041%22')),sort:!(Time.ISO8601,asc))</v>
      </c>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row>
    <row r="23" spans="1:91" s="1" customFormat="1" x14ac:dyDescent="0.25">
      <c r="A23" s="32" t="s">
        <v>637</v>
      </c>
      <c r="B23" s="7">
        <v>4044</v>
      </c>
      <c r="C23" s="21" t="s">
        <v>194</v>
      </c>
      <c r="D23" s="21" t="s">
        <v>366</v>
      </c>
      <c r="E23" s="13">
        <v>43013.203344907408</v>
      </c>
      <c r="F23" s="13">
        <v>43013.208553240744</v>
      </c>
      <c r="G23" s="7">
        <v>45</v>
      </c>
      <c r="H23" s="21" t="s">
        <v>827</v>
      </c>
      <c r="I23" s="13">
        <v>43013.233715277776</v>
      </c>
      <c r="J23" s="7">
        <v>0</v>
      </c>
      <c r="K23" s="89" t="str">
        <f t="shared" si="0"/>
        <v>4043/4044</v>
      </c>
      <c r="L23" s="185" t="str">
        <f>VLOOKUP(A23,'Trips&amp;Operators'!$C$1:$G$99911,5,FALSE)</f>
        <v>YORK EDGAR</v>
      </c>
      <c r="M23" s="6">
        <f t="shared" si="1"/>
        <v>2.5162037032714579E-2</v>
      </c>
      <c r="N23" s="7">
        <f t="shared" si="2"/>
        <v>36.233333327108994</v>
      </c>
      <c r="O23" s="7"/>
      <c r="P23" s="7"/>
      <c r="Q23" s="22"/>
      <c r="R23" s="174"/>
      <c r="S23" s="221">
        <f t="shared" si="3"/>
        <v>1</v>
      </c>
      <c r="T23" s="174" t="str">
        <f t="shared" si="4"/>
        <v>NorthBound</v>
      </c>
      <c r="U23" s="198">
        <f>IF(AG23="EC",COUNTIFS(Variables!$M$2:$M$19,IF(T23="NorthBound","&gt;=","&lt;=")&amp;Y23,Variables!$M$2:$M$19,IF(T23="NorthBound","&lt;=","&gt;=")&amp;Z23),COUNTIFS(Variables!$P$2:$P$19,IF(T23="NorthBound","&gt;=","&lt;=")&amp;Y23,Variables!$P$2:$P$19,IF(T23="NorthBound","&lt;=","&gt;=")&amp;Z23))</f>
        <v>12</v>
      </c>
      <c r="V23" s="216" t="str">
        <f t="shared" si="5"/>
        <v>https://d0f6bd738d7f1b3e5a7ca70fe4ff75f0.us-east-1.aws.found.io/app/kibana#/discover/Steve-Slow-Train-Analysis-(2080s-and-2083s)?_g=(refreshInterval:(display:Off,pause:!f,section:0,value:0),time:(from:'2017-10-05T03:52:49-0600',mode:absolute,to:'2017-10-05T06:36:33-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4044%22')),sort:!(Time.ISO8601,asc))</v>
      </c>
      <c r="W23" s="204" t="str">
        <f>IF(AA23&lt;VLOOKUP(AG23,Variables!$AC$3:$AD$8,2,FALSE),"Y","N")</f>
        <v>N</v>
      </c>
      <c r="X23" s="204">
        <f t="shared" si="6"/>
        <v>1</v>
      </c>
      <c r="Y23" s="204">
        <f t="shared" si="7"/>
        <v>4.5999999999999999E-2</v>
      </c>
      <c r="Z23" s="204">
        <f t="shared" si="8"/>
        <v>23.3264</v>
      </c>
      <c r="AA23" s="204">
        <f t="shared" si="9"/>
        <v>23.2804</v>
      </c>
      <c r="AB23" s="54" t="e">
        <f>VLOOKUP(A23,Enforcements!$C$7:$K$11,8,0)</f>
        <v>#N/A</v>
      </c>
      <c r="AC23" s="51" t="e">
        <f>VLOOKUP(A23,Enforcements!$C$7:$E$11,3,0)</f>
        <v>#N/A</v>
      </c>
      <c r="AD23" s="179">
        <f t="shared" si="10"/>
        <v>111</v>
      </c>
      <c r="AE23" s="77" t="str">
        <f t="shared" si="11"/>
        <v>aws s3 cp s3://rtdc.mdm.uploadarchive.raw/RTDC4044/ "%USERPROFILE%\AppData\Local\Temp\OnboardLogs"\RTDC4044\2017-10-05 --exclude "*" --recursive --include "*20171005*" &amp; "%USERPROFILE%\Documents\GitHub\mrs-test-scripts\Headless Mode &amp; Sideloading\WalkAndUnGZ.bat" "%USERPROFILE%\AppData\Local\Temp\OnboardLogs"\RTDC4044\2017-10-05 &amp; aws s3 cp s3://rtdc.mdm.uploadarchive.raw/RTDC4044/ "%USERPROFILE%\AppData\Local\Temp\OnboardLogs"\RTDC4044\2017-10-06 --exclude "*" --recursive --include "*20171006*" &amp; "%USERPROFILE%\Documents\GitHub\mrs-test-scripts\Headless Mode &amp; Sideloading\WalkAndUnGZ.bat" "%USERPROFILE%\AppData\Local\Temp\OnboardLogs"\RTDC4044\2017-10-06</v>
      </c>
      <c r="AF23" s="74" t="str">
        <f t="shared" si="12"/>
        <v>"C:\Program Files (x86)\AstroGrep\AstroGrep.exe" /e /r /s /spath="%USERPROFILE%\AppData\Local\Temp\OnboardLogs" /stypes="app*4044*20171005*" /stext=" 11:.+((SYSTEM_STATE.+slice.+state.+changed )|(ment ac)|(multiple cpu faults)|(system.+state.+changed )|(\[timeout)|(PRM\|1\|D)|(kpr)|(kdp)|(train st.+moving)|(\|lc)|(penalty))"</v>
      </c>
      <c r="AG23" s="182" t="str">
        <f t="shared" si="13"/>
        <v>EC</v>
      </c>
      <c r="AH23" s="78" t="str">
        <f t="shared" si="19"/>
        <v>"%USERPROFILE%\Documents\GitHub\eaglep3\Utilities\RefineRTDCRunTimes.py" --tripid 111-05 --locoid 4044 --swversion DE.1.0.9.0 --startMP 204:460 --initTime 2017-10-05T04:52:49 --startdatetime 2017-10-05T05:00:19 --delay 45 --endMP 204:233264 --enddatetime 2017-10-05T05:36:33 --enforcementcount 0 &gt;&gt;%USERPROFILE%\Documents\GitHub\eaglep3-reporting\EC\2017-10-05-refined-times.txt</v>
      </c>
      <c r="AI23" s="96" t="str">
        <f t="shared" si="20"/>
        <v>echo {"issue":{"subject":"","project_id":79,"tracker_id":40,"status_id":1,"priority_id":2,"assigned_to_id":338,"start_date":"2017-10-05","description":"","custom_fields":[{"id":1,"name":"Subdivision","value":"EC"},{"id":4,"name":"Milepost","value":"23.3264"},{"id":17,"name":"Train ID","value":"111-05"},{"id":16,"name":"Locomotive ID","value":"4044"},{"id":130,"name":"Impact","value":""},{"id":150,"name":"Time of Event (Mountain Time)","value":"05:36:33"},{"id":151,"name":"Denver Issue ID","value":""},{"id":178,"name":"Operational Impact","value":"Yes"},{"id":179,"name":"Denver Segment Assigned","value":""}]}} | curl --insecure -X POST -H "Content-Type: application/json" -H "X-Redmine-API-Key: %REDMINEAPIKEY%" https://secure.xorail.net/redmine/issues.json --data @-</v>
      </c>
      <c r="AJ23" s="20"/>
      <c r="AK23" s="47"/>
      <c r="AL23" s="47"/>
      <c r="AM23" s="142" t="str">
        <f t="shared" si="21"/>
        <v>start /low /b %USERPROFILE%\Documents\GitHub\eaglep3\Utilities\DownloadLogsFromS3.py --loco 4044 --day 2017-10-05</v>
      </c>
      <c r="AN23"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ID","value":"4044"},{"id":20,"name":"RR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11:36:33"},{"id":29,"name":"Sharepoint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3" s="168" t="str">
        <f t="shared" si="23"/>
        <v>https://d0f6bd738d7f1b3e5a7ca70fe4ff75f0.us-east-1.aws.found.io/app/kibana#/discover/Steve-Slow-Train-Analysis-(2080s-and-2083s)?_g=(refreshInterval:(display:Off,pause:!f,section:0,value:0),time:(from:'2017-10-05T03:52:49-0600',mode:absolute,to:'2017-10-05T06:36:33-0600'))&amp;_a=(columns:!('Message%20ID',Summary),filters:!(),index:'emp_*',interval:auto,query:(query_string:(analyze_wildcard:!t,query:'%22rtdc.l.rtdc.4044%22')),sort:!(Time.ISO8601,asc))</v>
      </c>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row>
    <row r="24" spans="1:91" s="1" customFormat="1" x14ac:dyDescent="0.25">
      <c r="A24" s="32" t="s">
        <v>645</v>
      </c>
      <c r="B24" s="7">
        <v>4043</v>
      </c>
      <c r="C24" s="21" t="s">
        <v>194</v>
      </c>
      <c r="D24" s="21" t="s">
        <v>828</v>
      </c>
      <c r="E24" s="13">
        <v>43013.234768518516</v>
      </c>
      <c r="F24" s="13">
        <v>43013.24827546296</v>
      </c>
      <c r="G24" s="7">
        <v>63</v>
      </c>
      <c r="H24" s="21" t="s">
        <v>378</v>
      </c>
      <c r="I24" s="13">
        <v>43013.27375</v>
      </c>
      <c r="J24" s="7">
        <v>0</v>
      </c>
      <c r="K24" s="89" t="str">
        <f t="shared" si="0"/>
        <v>4043/4044</v>
      </c>
      <c r="L24" s="185" t="str">
        <f>VLOOKUP(A24,'Trips&amp;Operators'!$C$1:$G$99911,5,FALSE)</f>
        <v>YORK EDGAR</v>
      </c>
      <c r="M24" s="6">
        <f t="shared" si="1"/>
        <v>2.5474537040281575E-2</v>
      </c>
      <c r="N24" s="7">
        <f t="shared" si="2"/>
        <v>36.683333338005468</v>
      </c>
      <c r="O24" s="7"/>
      <c r="P24" s="7"/>
      <c r="Q24" s="22"/>
      <c r="R24" s="174"/>
      <c r="S24" s="221">
        <f t="shared" si="3"/>
        <v>1</v>
      </c>
      <c r="T24" s="174" t="str">
        <f t="shared" si="4"/>
        <v>Southbound</v>
      </c>
      <c r="U24" s="198">
        <f>IF(AG24="EC",COUNTIFS(Variables!$M$2:$M$19,IF(T24="NorthBound","&gt;=","&lt;=")&amp;Y24,Variables!$M$2:$M$19,IF(T24="NorthBound","&lt;=","&gt;=")&amp;Z24),COUNTIFS(Variables!$P$2:$P$19,IF(T24="NorthBound","&gt;=","&lt;=")&amp;Y24,Variables!$P$2:$P$19,IF(T24="NorthBound","&lt;=","&gt;=")&amp;Z24))</f>
        <v>12</v>
      </c>
      <c r="V24" s="216" t="str">
        <f t="shared" si="5"/>
        <v>https://d0f6bd738d7f1b3e5a7ca70fe4ff75f0.us-east-1.aws.found.io/app/kibana#/discover/Steve-Slow-Train-Analysis-(2080s-and-2083s)?_g=(refreshInterval:(display:Off,pause:!f,section:0,value:0),time:(from:'2017-10-05T04:38:04-0600',mode:absolute,to:'2017-10-05T07:34:12-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4043%22')),sort:!(Time.ISO8601,asc))</v>
      </c>
      <c r="W24" s="204" t="str">
        <f>IF(AA24&lt;VLOOKUP(AG24,Variables!$AC$3:$AD$8,2,FALSE),"Y","N")</f>
        <v>N</v>
      </c>
      <c r="X24" s="204">
        <f t="shared" si="6"/>
        <v>1</v>
      </c>
      <c r="Y24" s="204">
        <f t="shared" si="7"/>
        <v>23.2972</v>
      </c>
      <c r="Z24" s="204">
        <f t="shared" si="8"/>
        <v>1.54E-2</v>
      </c>
      <c r="AA24" s="204">
        <f t="shared" si="9"/>
        <v>23.2818</v>
      </c>
      <c r="AB24" s="54" t="e">
        <f>VLOOKUP(A24,Enforcements!$C$7:$K$11,8,0)</f>
        <v>#N/A</v>
      </c>
      <c r="AC24" s="51" t="e">
        <f>VLOOKUP(A24,Enforcements!$C$7:$E$11,3,0)</f>
        <v>#N/A</v>
      </c>
      <c r="AD24" s="179">
        <f t="shared" si="10"/>
        <v>112</v>
      </c>
      <c r="AE24" s="77" t="str">
        <f t="shared" si="11"/>
        <v>aws s3 cp s3://rtdc.mdm.uploadarchive.raw/RTDC4043/ "%USERPROFILE%\AppData\Local\Temp\OnboardLogs"\RTDC4043\2017-10-05 --exclude "*" --recursive --include "*20171005*" &amp; "%USERPROFILE%\Documents\GitHub\mrs-test-scripts\Headless Mode &amp; Sideloading\WalkAndUnGZ.bat" "%USERPROFILE%\AppData\Local\Temp\OnboardLogs"\RTDC4043\2017-10-05 &amp; aws s3 cp s3://rtdc.mdm.uploadarchive.raw/RTDC4043/ "%USERPROFILE%\AppData\Local\Temp\OnboardLogs"\RTDC4043\2017-10-06 --exclude "*" --recursive --include "*20171006*" &amp; "%USERPROFILE%\Documents\GitHub\mrs-test-scripts\Headless Mode &amp; Sideloading\WalkAndUnGZ.bat" "%USERPROFILE%\AppData\Local\Temp\OnboardLogs"\RTDC4043\2017-10-06</v>
      </c>
      <c r="AF24" s="74" t="str">
        <f t="shared" si="12"/>
        <v>"C:\Program Files (x86)\AstroGrep\AstroGrep.exe" /e /r /s /spath="%USERPROFILE%\AppData\Local\Temp\OnboardLogs" /stypes="app*4043*20171005*" /stext=" 12:.+((SYSTEM_STATE.+slice.+state.+changed )|(ment ac)|(multiple cpu faults)|(system.+state.+changed )|(\[timeout)|(PRM\|1\|D)|(kpr)|(kdp)|(train st.+moving)|(\|lc)|(penalty))"</v>
      </c>
      <c r="AG24" s="182" t="str">
        <f t="shared" si="13"/>
        <v>EC</v>
      </c>
      <c r="AH24" s="78" t="str">
        <f t="shared" si="19"/>
        <v>"%USERPROFILE%\Documents\GitHub\eaglep3\Utilities\RefineRTDCRunTimes.py" --tripid 112-05 --locoid 4043 --swversion DE.1.0.9.0 --startMP 204:232972 --initTime 2017-10-05T05:38:04 --startdatetime 2017-10-05T05:57:31 --delay 63 --endMP 204:154 --enddatetime 2017-10-05T06:34:12 --enforcementcount 0 &gt;&gt;%USERPROFILE%\Documents\GitHub\eaglep3-reporting\EC\2017-10-05-refined-times.txt</v>
      </c>
      <c r="AI24" s="96" t="str">
        <f t="shared" si="20"/>
        <v>echo {"issue":{"subject":"","project_id":79,"tracker_id":40,"status_id":1,"priority_id":2,"assigned_to_id":338,"start_date":"2017-10-05","description":"","custom_fields":[{"id":1,"name":"Subdivision","value":"EC"},{"id":4,"name":"Milepost","value":"0.0154"},{"id":17,"name":"Train ID","value":"112-05"},{"id":16,"name":"Locomotive ID","value":"4043"},{"id":130,"name":"Impact","value":""},{"id":150,"name":"Time of Event (Mountain Time)","value":"06:34:12"},{"id":151,"name":"Denver Issue ID","value":""},{"id":178,"name":"Operational Impact","value":"Yes"},{"id":179,"name":"Denver Segment Assigned","value":""}]}} | curl --insecure -X POST -H "Content-Type: application/json" -H "X-Redmine-API-Key: %REDMINEAPIKEY%" https://secure.xorail.net/redmine/issues.json --data @-</v>
      </c>
      <c r="AJ24" s="20"/>
      <c r="AK24" s="47"/>
      <c r="AL24" s="47"/>
      <c r="AM24" s="142" t="str">
        <f t="shared" si="21"/>
        <v>start /low /b %USERPROFILE%\Documents\GitHub\eaglep3\Utilities\DownloadLogsFromS3.py --loco 4043 --day 2017-10-05</v>
      </c>
      <c r="AN24"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ID","value":"4043"},{"id":20,"name":"RR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12:34:12"},{"id":29,"name":"Sharepoint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4" s="168" t="str">
        <f t="shared" si="23"/>
        <v>https://d0f6bd738d7f1b3e5a7ca70fe4ff75f0.us-east-1.aws.found.io/app/kibana#/discover/Steve-Slow-Train-Analysis-(2080s-and-2083s)?_g=(refreshInterval:(display:Off,pause:!f,section:0,value:0),time:(from:'2017-10-05T04:38:04-0600',mode:absolute,to:'2017-10-05T07:34:12-0600'))&amp;_a=(columns:!('Message%20ID',Summary),filters:!(),index:'emp_*',interval:auto,query:(query_string:(analyze_wildcard:!t,query:'%22rtdc.l.rtdc.4043%22')),sort:!(Time.ISO8601,asc))</v>
      </c>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row>
    <row r="25" spans="1:91" s="1" customFormat="1" x14ac:dyDescent="0.25">
      <c r="A25" s="32" t="s">
        <v>638</v>
      </c>
      <c r="B25" s="7">
        <v>4012</v>
      </c>
      <c r="C25" s="21" t="s">
        <v>194</v>
      </c>
      <c r="D25" s="21" t="s">
        <v>426</v>
      </c>
      <c r="E25" s="13">
        <v>43013.203738425924</v>
      </c>
      <c r="F25" s="13">
        <v>43013.218935185185</v>
      </c>
      <c r="G25" s="7">
        <v>93</v>
      </c>
      <c r="H25" s="21" t="s">
        <v>410</v>
      </c>
      <c r="I25" s="13">
        <v>43013.243807870371</v>
      </c>
      <c r="J25" s="7">
        <v>0</v>
      </c>
      <c r="K25" s="89" t="str">
        <f t="shared" si="0"/>
        <v>4011/4012</v>
      </c>
      <c r="L25" s="185" t="str">
        <f>VLOOKUP(A25,'Trips&amp;Operators'!$C$1:$G$99911,5,FALSE)</f>
        <v>YANAI IAN</v>
      </c>
      <c r="M25" s="6">
        <f t="shared" si="1"/>
        <v>2.4872685185982846E-2</v>
      </c>
      <c r="N25" s="7">
        <f t="shared" si="2"/>
        <v>35.816666667815298</v>
      </c>
      <c r="O25" s="7"/>
      <c r="P25" s="7"/>
      <c r="Q25" s="22"/>
      <c r="R25" s="174"/>
      <c r="S25" s="221">
        <f t="shared" si="3"/>
        <v>1</v>
      </c>
      <c r="T25" s="174" t="str">
        <f t="shared" si="4"/>
        <v>NorthBound</v>
      </c>
      <c r="U25" s="198">
        <f>IF(AG25="EC",COUNTIFS(Variables!$M$2:$M$19,IF(T25="NorthBound","&gt;=","&lt;=")&amp;Y25,Variables!$M$2:$M$19,IF(T25="NorthBound","&lt;=","&gt;=")&amp;Z25),COUNTIFS(Variables!$P$2:$P$19,IF(T25="NorthBound","&gt;=","&lt;=")&amp;Y25,Variables!$P$2:$P$19,IF(T25="NorthBound","&lt;=","&gt;=")&amp;Z25))</f>
        <v>12</v>
      </c>
      <c r="V25" s="216" t="str">
        <f t="shared" si="5"/>
        <v>https://d0f6bd738d7f1b3e5a7ca70fe4ff75f0.us-east-1.aws.found.io/app/kibana#/discover/Steve-Slow-Train-Analysis-(2080s-and-2083s)?_g=(refreshInterval:(display:Off,pause:!f,section:0,value:0),time:(from:'2017-10-05T03:53:23-0600',mode:absolute,to:'2017-10-05T06:51:05-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4012%22')),sort:!(Time.ISO8601,asc))</v>
      </c>
      <c r="W25" s="204" t="str">
        <f>IF(AA25&lt;VLOOKUP(AG25,Variables!$AC$3:$AD$8,2,FALSE),"Y","N")</f>
        <v>N</v>
      </c>
      <c r="X25" s="204">
        <f t="shared" si="6"/>
        <v>1</v>
      </c>
      <c r="Y25" s="204">
        <f t="shared" si="7"/>
        <v>4.6899999999999997E-2</v>
      </c>
      <c r="Z25" s="204">
        <f t="shared" si="8"/>
        <v>23.329699999999999</v>
      </c>
      <c r="AA25" s="204">
        <f t="shared" si="9"/>
        <v>23.282799999999998</v>
      </c>
      <c r="AB25" s="54" t="e">
        <f>VLOOKUP(A25,Enforcements!$C$7:$K$11,8,0)</f>
        <v>#N/A</v>
      </c>
      <c r="AC25" s="51" t="e">
        <f>VLOOKUP(A25,Enforcements!$C$7:$E$11,3,0)</f>
        <v>#N/A</v>
      </c>
      <c r="AD25" s="179">
        <f t="shared" si="10"/>
        <v>113</v>
      </c>
      <c r="AE25" s="77" t="str">
        <f t="shared" si="11"/>
        <v>aws s3 cp s3://rtdc.mdm.uploadarchive.raw/RTDC4012/ "%USERPROFILE%\AppData\Local\Temp\OnboardLogs"\RTDC4012\2017-10-05 --exclude "*" --recursive --include "*20171005*" &amp; "%USERPROFILE%\Documents\GitHub\mrs-test-scripts\Headless Mode &amp; Sideloading\WalkAndUnGZ.bat" "%USERPROFILE%\AppData\Local\Temp\OnboardLogs"\RTDC4012\2017-10-05 &amp; aws s3 cp s3://rtdc.mdm.uploadarchive.raw/RTDC4012/ "%USERPROFILE%\AppData\Local\Temp\OnboardLogs"\RTDC4012\2017-10-06 --exclude "*" --recursive --include "*20171006*" &amp; "%USERPROFILE%\Documents\GitHub\mrs-test-scripts\Headless Mode &amp; Sideloading\WalkAndUnGZ.bat" "%USERPROFILE%\AppData\Local\Temp\OnboardLogs"\RTDC4012\2017-10-06</v>
      </c>
      <c r="AF25" s="74" t="str">
        <f t="shared" si="12"/>
        <v>"C:\Program Files (x86)\AstroGrep\AstroGrep.exe" /e /r /s /spath="%USERPROFILE%\AppData\Local\Temp\OnboardLogs" /stypes="app*4012*20171005*" /stext=" 11:.+((SYSTEM_STATE.+slice.+state.+changed )|(ment ac)|(multiple cpu faults)|(system.+state.+changed )|(\[timeout)|(PRM\|1\|D)|(kpr)|(kdp)|(train st.+moving)|(\|lc)|(penalty))"</v>
      </c>
      <c r="AG25" s="182" t="str">
        <f t="shared" si="13"/>
        <v>EC</v>
      </c>
      <c r="AH25" s="78" t="str">
        <f t="shared" si="19"/>
        <v>"%USERPROFILE%\Documents\GitHub\eaglep3\Utilities\RefineRTDCRunTimes.py" --tripid 113-05 --locoid 4012 --swversion DE.1.0.9.0 --startMP 204:469 --initTime 2017-10-05T04:53:23 --startdatetime 2017-10-05T05:15:16 --delay 93 --endMP 204:233297 --enddatetime 2017-10-05T05:51:05 --enforcementcount 0 &gt;&gt;%USERPROFILE%\Documents\GitHub\eaglep3-reporting\EC\2017-10-05-refined-times.txt</v>
      </c>
      <c r="AI25" s="96" t="str">
        <f t="shared" si="20"/>
        <v>echo {"issue":{"subject":"","project_id":79,"tracker_id":40,"status_id":1,"priority_id":2,"assigned_to_id":338,"start_date":"2017-10-05","description":"","custom_fields":[{"id":1,"name":"Subdivision","value":"EC"},{"id":4,"name":"Milepost","value":"23.3297"},{"id":17,"name":"Train ID","value":"113-05"},{"id":16,"name":"Locomotive ID","value":"4012"},{"id":130,"name":"Impact","value":""},{"id":150,"name":"Time of Event (Mountain Time)","value":"05:51:05"},{"id":151,"name":"Denver Issue ID","value":""},{"id":178,"name":"Operational Impact","value":"Yes"},{"id":179,"name":"Denver Segment Assigned","value":""}]}} | curl --insecure -X POST -H "Content-Type: application/json" -H "X-Redmine-API-Key: %REDMINEAPIKEY%" https://secure.xorail.net/redmine/issues.json --data @-</v>
      </c>
      <c r="AJ25" s="20"/>
      <c r="AK25" s="47"/>
      <c r="AL25" s="47"/>
      <c r="AM25" s="142" t="str">
        <f t="shared" si="21"/>
        <v>start /low /b %USERPROFILE%\Documents\GitHub\eaglep3\Utilities\DownloadLogsFromS3.py --loco 4012 --day 2017-10-05</v>
      </c>
      <c r="AN25"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ID","value":"4012"},{"id":20,"name":"RR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11:51:05"},{"id":29,"name":"Sharepoint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5" s="168" t="str">
        <f t="shared" si="23"/>
        <v>https://d0f6bd738d7f1b3e5a7ca70fe4ff75f0.us-east-1.aws.found.io/app/kibana#/discover/Steve-Slow-Train-Analysis-(2080s-and-2083s)?_g=(refreshInterval:(display:Off,pause:!f,section:0,value:0),time:(from:'2017-10-05T03:53:23-0600',mode:absolute,to:'2017-10-05T06:51:05-0600'))&amp;_a=(columns:!('Message%20ID',Summary),filters:!(),index:'emp_*',interval:auto,query:(query_string:(analyze_wildcard:!t,query:'%22rtdc.l.rtdc.4012%22')),sort:!(Time.ISO8601,asc))</v>
      </c>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row>
    <row r="26" spans="1:91" s="1" customFormat="1" x14ac:dyDescent="0.25">
      <c r="A26" s="32" t="s">
        <v>647</v>
      </c>
      <c r="B26" s="7">
        <v>4011</v>
      </c>
      <c r="C26" s="21" t="s">
        <v>194</v>
      </c>
      <c r="D26" s="21" t="s">
        <v>454</v>
      </c>
      <c r="E26" s="13">
        <v>43013.245358796295</v>
      </c>
      <c r="F26" s="13">
        <v>43013.25849537037</v>
      </c>
      <c r="G26" s="7">
        <v>51</v>
      </c>
      <c r="H26" s="21" t="s">
        <v>434</v>
      </c>
      <c r="I26" s="13">
        <v>43013.285231481481</v>
      </c>
      <c r="J26" s="7">
        <v>0</v>
      </c>
      <c r="K26" s="89" t="str">
        <f t="shared" si="0"/>
        <v>4011/4012</v>
      </c>
      <c r="L26" s="185" t="str">
        <f>VLOOKUP(A26,'Trips&amp;Operators'!$C$1:$G$99911,5,FALSE)</f>
        <v>YANAI IAN</v>
      </c>
      <c r="M26" s="6">
        <f t="shared" si="1"/>
        <v>2.6736111110949423E-2</v>
      </c>
      <c r="N26" s="7">
        <f t="shared" si="2"/>
        <v>38.499999999767169</v>
      </c>
      <c r="O26" s="7"/>
      <c r="P26" s="7"/>
      <c r="Q26" s="22"/>
      <c r="R26" s="174"/>
      <c r="S26" s="221">
        <f t="shared" si="3"/>
        <v>1</v>
      </c>
      <c r="T26" s="174" t="str">
        <f t="shared" si="4"/>
        <v>Southbound</v>
      </c>
      <c r="U26" s="198">
        <f>IF(AG26="EC",COUNTIFS(Variables!$M$2:$M$19,IF(T26="NorthBound","&gt;=","&lt;=")&amp;Y26,Variables!$M$2:$M$19,IF(T26="NorthBound","&lt;=","&gt;=")&amp;Z26),COUNTIFS(Variables!$P$2:$P$19,IF(T26="NorthBound","&gt;=","&lt;=")&amp;Y26,Variables!$P$2:$P$19,IF(T26="NorthBound","&lt;=","&gt;=")&amp;Z26))</f>
        <v>12</v>
      </c>
      <c r="V26" s="216" t="str">
        <f t="shared" si="5"/>
        <v>https://d0f6bd738d7f1b3e5a7ca70fe4ff75f0.us-east-1.aws.found.io/app/kibana#/discover/Steve-Slow-Train-Analysis-(2080s-and-2083s)?_g=(refreshInterval:(display:Off,pause:!f,section:0,value:0),time:(from:'2017-10-05T04:53:19-0600',mode:absolute,to:'2017-10-05T07:50:44-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4011%22')),sort:!(Time.ISO8601,asc))</v>
      </c>
      <c r="W26" s="204" t="str">
        <f>IF(AA26&lt;VLOOKUP(AG26,Variables!$AC$3:$AD$8,2,FALSE),"Y","N")</f>
        <v>N</v>
      </c>
      <c r="X26" s="204">
        <f t="shared" si="6"/>
        <v>1</v>
      </c>
      <c r="Y26" s="204">
        <f t="shared" si="7"/>
        <v>23.297799999999999</v>
      </c>
      <c r="Z26" s="204">
        <f t="shared" si="8"/>
        <v>1.6500000000000001E-2</v>
      </c>
      <c r="AA26" s="204">
        <f t="shared" si="9"/>
        <v>23.281299999999998</v>
      </c>
      <c r="AB26" s="54" t="e">
        <f>VLOOKUP(A26,Enforcements!$C$7:$K$11,8,0)</f>
        <v>#N/A</v>
      </c>
      <c r="AC26" s="51" t="e">
        <f>VLOOKUP(A26,Enforcements!$C$7:$E$11,3,0)</f>
        <v>#N/A</v>
      </c>
      <c r="AD26" s="179">
        <f t="shared" si="10"/>
        <v>114</v>
      </c>
      <c r="AE26" s="77" t="str">
        <f t="shared" si="11"/>
        <v>aws s3 cp s3://rtdc.mdm.uploadarchive.raw/RTDC4011/ "%USERPROFILE%\AppData\Local\Temp\OnboardLogs"\RTDC4011\2017-10-05 --exclude "*" --recursive --include "*20171005*" &amp; "%USERPROFILE%\Documents\GitHub\mrs-test-scripts\Headless Mode &amp; Sideloading\WalkAndUnGZ.bat" "%USERPROFILE%\AppData\Local\Temp\OnboardLogs"\RTDC4011\2017-10-05 &amp; aws s3 cp s3://rtdc.mdm.uploadarchive.raw/RTDC4011/ "%USERPROFILE%\AppData\Local\Temp\OnboardLogs"\RTDC4011\2017-10-06 --exclude "*" --recursive --include "*20171006*" &amp; "%USERPROFILE%\Documents\GitHub\mrs-test-scripts\Headless Mode &amp; Sideloading\WalkAndUnGZ.bat" "%USERPROFILE%\AppData\Local\Temp\OnboardLogs"\RTDC4011\2017-10-06</v>
      </c>
      <c r="AF26" s="74" t="str">
        <f t="shared" si="12"/>
        <v>"C:\Program Files (x86)\AstroGrep\AstroGrep.exe" /e /r /s /spath="%USERPROFILE%\AppData\Local\Temp\OnboardLogs" /stypes="app*4011*20171005*" /stext=" 12:.+((SYSTEM_STATE.+slice.+state.+changed )|(ment ac)|(multiple cpu faults)|(system.+state.+changed )|(\[timeout)|(PRM\|1\|D)|(kpr)|(kdp)|(train st.+moving)|(\|lc)|(penalty))"</v>
      </c>
      <c r="AG26" s="182" t="str">
        <f t="shared" si="13"/>
        <v>EC</v>
      </c>
      <c r="AH26" s="78" t="str">
        <f t="shared" si="19"/>
        <v>"%USERPROFILE%\Documents\GitHub\eaglep3\Utilities\RefineRTDCRunTimes.py" --tripid 114-05 --locoid 4011 --swversion DE.1.0.9.0 --startMP 204:232978 --initTime 2017-10-05T05:53:19 --startdatetime 2017-10-05T06:12:14 --delay 51 --endMP 204:165 --enddatetime 2017-10-05T06:50:44 --enforcementcount 0 &gt;&gt;%USERPROFILE%\Documents\GitHub\eaglep3-reporting\EC\2017-10-05-refined-times.txt</v>
      </c>
      <c r="AI26" s="96" t="str">
        <f t="shared" si="20"/>
        <v>echo {"issue":{"subject":"","project_id":79,"tracker_id":40,"status_id":1,"priority_id":2,"assigned_to_id":338,"start_date":"2017-10-05","description":"","custom_fields":[{"id":1,"name":"Subdivision","value":"EC"},{"id":4,"name":"Milepost","value":"0.0165"},{"id":17,"name":"Train ID","value":"114-05"},{"id":16,"name":"Locomotive ID","value":"4011"},{"id":130,"name":"Impact","value":""},{"id":150,"name":"Time of Event (Mountain Time)","value":"06:50:44"},{"id":151,"name":"Denver Issue ID","value":""},{"id":178,"name":"Operational Impact","value":"Yes"},{"id":179,"name":"Denver Segment Assigned","value":""}]}} | curl --insecure -X POST -H "Content-Type: application/json" -H "X-Redmine-API-Key: %REDMINEAPIKEY%" https://secure.xorail.net/redmine/issues.json --data @-</v>
      </c>
      <c r="AJ26" s="20"/>
      <c r="AK26" s="47"/>
      <c r="AL26" s="47"/>
      <c r="AM26" s="142" t="str">
        <f t="shared" si="21"/>
        <v>start /low /b %USERPROFILE%\Documents\GitHub\eaglep3\Utilities\DownloadLogsFromS3.py --loco 4011 --day 2017-10-05</v>
      </c>
      <c r="AN26"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ID","value":"4011"},{"id":20,"name":"RR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12:50:44"},{"id":29,"name":"Sharepoint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6" s="168" t="str">
        <f t="shared" si="23"/>
        <v>https://d0f6bd738d7f1b3e5a7ca70fe4ff75f0.us-east-1.aws.found.io/app/kibana#/discover/Steve-Slow-Train-Analysis-(2080s-and-2083s)?_g=(refreshInterval:(display:Off,pause:!f,section:0,value:0),time:(from:'2017-10-05T04:53:19-0600',mode:absolute,to:'2017-10-05T07:50:44-0600'))&amp;_a=(columns:!('Message%20ID',Summary),filters:!(),index:'emp_*',interval:auto,query:(query_string:(analyze_wildcard:!t,query:'%22rtdc.l.rtdc.4011%22')),sort:!(Time.ISO8601,asc))</v>
      </c>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row>
    <row r="27" spans="1:91" s="1" customFormat="1" x14ac:dyDescent="0.25">
      <c r="A27" s="32" t="s">
        <v>642</v>
      </c>
      <c r="B27" s="7">
        <v>4008</v>
      </c>
      <c r="C27" s="21" t="s">
        <v>194</v>
      </c>
      <c r="D27" s="21" t="s">
        <v>366</v>
      </c>
      <c r="E27" s="13">
        <v>43013.226261574076</v>
      </c>
      <c r="F27" s="13">
        <v>43013.229444444441</v>
      </c>
      <c r="G27" s="7">
        <v>46</v>
      </c>
      <c r="H27" s="21" t="s">
        <v>438</v>
      </c>
      <c r="I27" s="13">
        <v>43013.254652777781</v>
      </c>
      <c r="J27" s="7">
        <v>0</v>
      </c>
      <c r="K27" s="89" t="str">
        <f t="shared" si="0"/>
        <v>4007/4008</v>
      </c>
      <c r="L27" s="185" t="str">
        <f>VLOOKUP(A27,'Trips&amp;Operators'!$C$1:$G$99911,5,FALSE)</f>
        <v>MAELZER KURT</v>
      </c>
      <c r="M27" s="6">
        <f t="shared" si="1"/>
        <v>2.5208333339833189E-2</v>
      </c>
      <c r="N27" s="7">
        <f t="shared" si="2"/>
        <v>36.300000009359792</v>
      </c>
      <c r="O27" s="7"/>
      <c r="P27" s="7"/>
      <c r="Q27" s="22"/>
      <c r="R27" s="174"/>
      <c r="S27" s="221">
        <f t="shared" si="3"/>
        <v>1</v>
      </c>
      <c r="T27" s="174" t="str">
        <f t="shared" si="4"/>
        <v>NorthBound</v>
      </c>
      <c r="U27" s="198">
        <f>IF(AG27="EC",COUNTIFS(Variables!$M$2:$M$19,IF(T27="NorthBound","&gt;=","&lt;=")&amp;Y27,Variables!$M$2:$M$19,IF(T27="NorthBound","&lt;=","&gt;=")&amp;Z27),COUNTIFS(Variables!$P$2:$P$19,IF(T27="NorthBound","&gt;=","&lt;=")&amp;Y27,Variables!$P$2:$P$19,IF(T27="NorthBound","&lt;=","&gt;=")&amp;Z27))</f>
        <v>12</v>
      </c>
      <c r="V27" s="216" t="str">
        <f t="shared" si="5"/>
        <v>https://d0f6bd738d7f1b3e5a7ca70fe4ff75f0.us-east-1.aws.found.io/app/kibana#/discover/Steve-Slow-Train-Analysis-(2080s-and-2083s)?_g=(refreshInterval:(display:Off,pause:!f,section:0,value:0),time:(from:'2017-10-05T04:25:49-0600',mode:absolute,to:'2017-10-05T07:06:42-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4008%22')),sort:!(Time.ISO8601,asc))</v>
      </c>
      <c r="W27" s="204" t="str">
        <f>IF(AA27&lt;VLOOKUP(AG27,Variables!$AC$3:$AD$8,2,FALSE),"Y","N")</f>
        <v>N</v>
      </c>
      <c r="X27" s="204">
        <f t="shared" si="6"/>
        <v>1</v>
      </c>
      <c r="Y27" s="204">
        <f t="shared" si="7"/>
        <v>4.5999999999999999E-2</v>
      </c>
      <c r="Z27" s="204">
        <f t="shared" si="8"/>
        <v>23.3308</v>
      </c>
      <c r="AA27" s="204">
        <f t="shared" si="9"/>
        <v>23.284800000000001</v>
      </c>
      <c r="AB27" s="54" t="e">
        <f>VLOOKUP(A27,Enforcements!$C$7:$K$11,8,0)</f>
        <v>#N/A</v>
      </c>
      <c r="AC27" s="51" t="e">
        <f>VLOOKUP(A27,Enforcements!$C$7:$E$11,3,0)</f>
        <v>#N/A</v>
      </c>
      <c r="AD27" s="179">
        <f t="shared" si="10"/>
        <v>115</v>
      </c>
      <c r="AE27" s="77" t="str">
        <f t="shared" si="11"/>
        <v>aws s3 cp s3://rtdc.mdm.uploadarchive.raw/RTDC4008/ "%USERPROFILE%\AppData\Local\Temp\OnboardLogs"\RTDC4008\2017-10-05 --exclude "*" --recursive --include "*20171005*" &amp; "%USERPROFILE%\Documents\GitHub\mrs-test-scripts\Headless Mode &amp; Sideloading\WalkAndUnGZ.bat" "%USERPROFILE%\AppData\Local\Temp\OnboardLogs"\RTDC4008\2017-10-05 &amp; aws s3 cp s3://rtdc.mdm.uploadarchive.raw/RTDC4008/ "%USERPROFILE%\AppData\Local\Temp\OnboardLogs"\RTDC4008\2017-10-06 --exclude "*" --recursive --include "*20171006*" &amp; "%USERPROFILE%\Documents\GitHub\mrs-test-scripts\Headless Mode &amp; Sideloading\WalkAndUnGZ.bat" "%USERPROFILE%\AppData\Local\Temp\OnboardLogs"\RTDC4008\2017-10-06</v>
      </c>
      <c r="AF27" s="74" t="str">
        <f t="shared" si="12"/>
        <v>"C:\Program Files (x86)\AstroGrep\AstroGrep.exe" /e /r /s /spath="%USERPROFILE%\AppData\Local\Temp\OnboardLogs" /stypes="app*4008*20171005*" /stext=" 12:.+((SYSTEM_STATE.+slice.+state.+changed )|(ment ac)|(multiple cpu faults)|(system.+state.+changed )|(\[timeout)|(PRM\|1\|D)|(kpr)|(kdp)|(train st.+moving)|(\|lc)|(penalty))"</v>
      </c>
      <c r="AG27" s="182" t="str">
        <f t="shared" si="13"/>
        <v>EC</v>
      </c>
      <c r="AH27" s="78" t="str">
        <f t="shared" si="19"/>
        <v>"%USERPROFILE%\Documents\GitHub\eaglep3\Utilities\RefineRTDCRunTimes.py" --tripid 115-05 --locoid 4008 --swversion DE.1.0.9.0 --startMP 204:460 --initTime 2017-10-05T05:25:49 --startdatetime 2017-10-05T05:30:24 --delay 46 --endMP 204:233308 --enddatetime 2017-10-05T06:06:42 --enforcementcount 0 &gt;&gt;%USERPROFILE%\Documents\GitHub\eaglep3-reporting\EC\2017-10-05-refined-times.txt</v>
      </c>
      <c r="AI27" s="96" t="str">
        <f t="shared" si="20"/>
        <v>echo {"issue":{"subject":"","project_id":79,"tracker_id":40,"status_id":1,"priority_id":2,"assigned_to_id":338,"start_date":"2017-10-05","description":"","custom_fields":[{"id":1,"name":"Subdivision","value":"EC"},{"id":4,"name":"Milepost","value":"23.3308"},{"id":17,"name":"Train ID","value":"115-05"},{"id":16,"name":"Locomotive ID","value":"4008"},{"id":130,"name":"Impact","value":""},{"id":150,"name":"Time of Event (Mountain Time)","value":"06:06:42"},{"id":151,"name":"Denver Issue ID","value":""},{"id":178,"name":"Operational Impact","value":"Yes"},{"id":179,"name":"Denver Segment Assigned","value":""}]}} | curl --insecure -X POST -H "Content-Type: application/json" -H "X-Redmine-API-Key: %REDMINEAPIKEY%" https://secure.xorail.net/redmine/issues.json --data @-</v>
      </c>
      <c r="AJ27" s="20"/>
      <c r="AK27" s="47"/>
      <c r="AL27" s="47"/>
      <c r="AM27" s="142" t="str">
        <f t="shared" si="21"/>
        <v>start /low /b %USERPROFILE%\Documents\GitHub\eaglep3\Utilities\DownloadLogsFromS3.py --loco 4008 --day 2017-10-05</v>
      </c>
      <c r="AN27"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ID","value":"4008"},{"id":20,"name":"RR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12:06:42"},{"id":29,"name":"Sharepoint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7" s="168" t="str">
        <f t="shared" si="23"/>
        <v>https://d0f6bd738d7f1b3e5a7ca70fe4ff75f0.us-east-1.aws.found.io/app/kibana#/discover/Steve-Slow-Train-Analysis-(2080s-and-2083s)?_g=(refreshInterval:(display:Off,pause:!f,section:0,value:0),time:(from:'2017-10-05T04:25:49-0600',mode:absolute,to:'2017-10-05T07:06:42-0600'))&amp;_a=(columns:!('Message%20ID',Summary),filters:!(),index:'emp_*',interval:auto,query:(query_string:(analyze_wildcard:!t,query:'%22rtdc.l.rtdc.4008%22')),sort:!(Time.ISO8601,asc))</v>
      </c>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row>
    <row r="28" spans="1:91" s="1" customFormat="1" x14ac:dyDescent="0.25">
      <c r="A28" s="32" t="s">
        <v>651</v>
      </c>
      <c r="B28" s="7">
        <v>4007</v>
      </c>
      <c r="C28" s="21" t="s">
        <v>194</v>
      </c>
      <c r="D28" s="21" t="s">
        <v>414</v>
      </c>
      <c r="E28" s="13">
        <v>43013.263842592591</v>
      </c>
      <c r="F28" s="13">
        <v>43013.269143518519</v>
      </c>
      <c r="G28" s="7">
        <v>52</v>
      </c>
      <c r="H28" s="21" t="s">
        <v>829</v>
      </c>
      <c r="I28" s="13">
        <v>43013.294016203705</v>
      </c>
      <c r="J28" s="7">
        <v>0</v>
      </c>
      <c r="K28" s="89" t="str">
        <f t="shared" si="0"/>
        <v>4007/4008</v>
      </c>
      <c r="L28" s="185" t="str">
        <f>VLOOKUP(A28,'Trips&amp;Operators'!$C$1:$G$99911,5,FALSE)</f>
        <v>MAELZER KURT</v>
      </c>
      <c r="M28" s="6">
        <f t="shared" si="1"/>
        <v>2.4872685185982846E-2</v>
      </c>
      <c r="N28" s="7"/>
      <c r="O28" s="7"/>
      <c r="P28" s="7">
        <f>24*60*SUM($M28:$M28)</f>
        <v>35.816666667815298</v>
      </c>
      <c r="Q28" s="22"/>
      <c r="R28" s="174" t="s">
        <v>1001</v>
      </c>
      <c r="S28" s="221">
        <f t="shared" si="3"/>
        <v>1</v>
      </c>
      <c r="T28" s="174" t="str">
        <f t="shared" si="4"/>
        <v>Southbound</v>
      </c>
      <c r="U28" s="198">
        <f>IF(AG28="EC",COUNTIFS(Variables!$M$2:$M$19,IF(T28="NorthBound","&gt;=","&lt;=")&amp;Y28,Variables!$M$2:$M$19,IF(T28="NorthBound","&lt;=","&gt;=")&amp;Z28),COUNTIFS(Variables!$P$2:$P$19,IF(T28="NorthBound","&gt;=","&lt;=")&amp;Y28,Variables!$P$2:$P$19,IF(T28="NorthBound","&lt;=","&gt;=")&amp;Z28))</f>
        <v>12</v>
      </c>
      <c r="V28" s="216" t="str">
        <f t="shared" si="5"/>
        <v>https://d0f6bd738d7f1b3e5a7ca70fe4ff75f0.us-east-1.aws.found.io/app/kibana#/discover/Steve-Slow-Train-Analysis-(2080s-and-2083s)?_g=(refreshInterval:(display:Off,pause:!f,section:0,value:0),time:(from:'2017-10-05T05:19:56-0600',mode:absolute,to:'2017-10-05T08:03:23-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4007%22')),sort:!(Time.ISO8601,asc))</v>
      </c>
      <c r="W28" s="204" t="str">
        <f>IF(AA28&lt;VLOOKUP(AG28,Variables!$AC$3:$AD$8,2,FALSE),"Y","N")</f>
        <v>Y</v>
      </c>
      <c r="X28" s="204">
        <f t="shared" si="6"/>
        <v>1</v>
      </c>
      <c r="Y28" s="204">
        <f t="shared" si="7"/>
        <v>23.299399999999999</v>
      </c>
      <c r="Z28" s="204">
        <f t="shared" si="8"/>
        <v>1.7917000000000001</v>
      </c>
      <c r="AA28" s="204">
        <f t="shared" si="9"/>
        <v>21.5077</v>
      </c>
      <c r="AB28" s="54" t="e">
        <f>VLOOKUP(A28,Enforcements!$C$7:$K$11,8,0)</f>
        <v>#N/A</v>
      </c>
      <c r="AC28" s="51" t="e">
        <f>VLOOKUP(A28,Enforcements!$C$7:$E$11,3,0)</f>
        <v>#N/A</v>
      </c>
      <c r="AD28" s="179">
        <f t="shared" si="10"/>
        <v>116</v>
      </c>
      <c r="AE28" s="77" t="str">
        <f t="shared" si="11"/>
        <v>aws s3 cp s3://rtdc.mdm.uploadarchive.raw/RTDC4007/ "%USERPROFILE%\AppData\Local\Temp\OnboardLogs"\RTDC4007\2017-10-05 --exclude "*" --recursive --include "*20171005*" &amp; "%USERPROFILE%\Documents\GitHub\mrs-test-scripts\Headless Mode &amp; Sideloading\WalkAndUnGZ.bat" "%USERPROFILE%\AppData\Local\Temp\OnboardLogs"\RTDC4007\2017-10-05 &amp; aws s3 cp s3://rtdc.mdm.uploadarchive.raw/RTDC4007/ "%USERPROFILE%\AppData\Local\Temp\OnboardLogs"\RTDC4007\2017-10-06 --exclude "*" --recursive --include "*20171006*" &amp; "%USERPROFILE%\Documents\GitHub\mrs-test-scripts\Headless Mode &amp; Sideloading\WalkAndUnGZ.bat" "%USERPROFILE%\AppData\Local\Temp\OnboardLogs"\RTDC4007\2017-10-06</v>
      </c>
      <c r="AF28" s="74" t="str">
        <f t="shared" si="12"/>
        <v>"C:\Program Files (x86)\AstroGrep\AstroGrep.exe" /e /r /s /spath="%USERPROFILE%\AppData\Local\Temp\OnboardLogs" /stypes="app*4007*20171005*" /stext=" 13:.+((SYSTEM_STATE.+slice.+state.+changed )|(ment ac)|(multiple cpu faults)|(system.+state.+changed )|(\[timeout)|(PRM\|1\|D)|(kpr)|(kdp)|(train st.+moving)|(\|lc)|(penalty))"</v>
      </c>
      <c r="AG28" s="182" t="str">
        <f t="shared" si="13"/>
        <v>EC</v>
      </c>
      <c r="AH28" s="78" t="str">
        <f t="shared" si="19"/>
        <v>"%USERPROFILE%\Documents\GitHub\eaglep3\Utilities\RefineRTDCRunTimes.py" --tripid 116-05 --locoid 4007 --swversion DE.1.0.9.0 --startMP 204:232994 --initTime 2017-10-05T06:19:56 --startdatetime 2017-10-05T06:27:34 --delay 52 --endMP 204:17917 --enddatetime 2017-10-05T07:03:23 --enforcementcount 0 &gt;&gt;%USERPROFILE%\Documents\GitHub\eaglep3-reporting\EC\2017-10-05-refined-times.txt</v>
      </c>
      <c r="AI28" s="96" t="str">
        <f t="shared" si="20"/>
        <v>echo {"issue":{"subject":"Signal issue at CP Bright 4S","project_id":79,"tracker_id":40,"status_id":1,"priority_id":2,"assigned_to_id":338,"start_date":"2017-10-05","description":"From 07:02:53 ~ 07:09:11, a few attempts to clear Bright 4S, but in those cases the indication never came back clear. Curious to know if there was anything else in the wayside logic going on that prevented the clear. Any other  tracks occupied, or any other dependencies maybe?","custom_fields":[{"id":1,"name":"Subdivision","value":"EC"},{"id":4,"name":"Milepost","value":"1.7917"},{"id":17,"name":"Train ID","value":"116-05"},{"id":16,"name":"Locomotive ID","value":"4007"},{"id":130,"name":"Impact","value":"Unexpected Cut-Out or Disengaged"},{"id":150,"name":"Time of Event (Mountain Time)","value":"07:03:23"},{"id":151,"name":"Denver Issue ID","value":""},{"id":178,"name":"Operational Impact","value":"Yes"},{"id":179,"name":"Denver Segment Assigned","value":"Signal"}]}} | curl --insecure -X POST -H "Content-Type: application/json" -H "X-Redmine-API-Key: %REDMINEAPIKEY%" https://secure.xorail.net/redmine/issues.json --data @-</v>
      </c>
      <c r="AJ28" s="157" t="s">
        <v>1013</v>
      </c>
      <c r="AK28" s="47" t="s">
        <v>124</v>
      </c>
      <c r="AL28" s="47" t="s">
        <v>123</v>
      </c>
      <c r="AM28" s="142" t="str">
        <f t="shared" si="21"/>
        <v>start /low /b %USERPROFILE%\Documents\GitHub\eaglep3\Utilities\DownloadLogsFromS3.py --loco 4007 --day 2017-10-05</v>
      </c>
      <c r="AN28" s="151" t="str">
        <f t="shared" si="22"/>
        <v>echo {"issue":{"subject":"Signal issue at CP Bright 4S","project_id":30,"tracker_id":4,"status_id":1,"priority_id":1,"assigned_to_id":10,"start_date":"2017-10-05","description":"From 07:02:53 ~ 07:09:11, a few attempts to clear Bright 4S, but in those cases the indication never came back clear. Curious to know if there was anything else in the wayside logic going on that prevented the clear. Any other  tracks occupied, or any other dependencies maybe?","custom_fields":[{"id":30,"name":"Category","value":"Issue"},{"id":3,"name":"Functional Component","value":"Onboard"},{"id":31,"name":"Version","value":"N/A"},{"id":8,"name":"Reporting RR","value":"WABTEC"},{"id":27,"name":"Locomotive ID","value":"4007"},{"id":20,"name":"RR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13:03:23"},{"id":29,"name":"Sharepoint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8" s="168" t="str">
        <f t="shared" si="23"/>
        <v>https://d0f6bd738d7f1b3e5a7ca70fe4ff75f0.us-east-1.aws.found.io/app/kibana#/discover/Steve-Slow-Train-Analysis-(2080s-and-2083s)?_g=(refreshInterval:(display:Off,pause:!f,section:0,value:0),time:(from:'2017-10-05T05:19:56-0600',mode:absolute,to:'2017-10-05T08:03:23-0600'))&amp;_a=(columns:!('Message%20ID',Summary),filters:!(),index:'emp_*',interval:auto,query:(query_string:(analyze_wildcard:!t,query:'%22rtdc.l.rtdc.4007%22')),sort:!(Time.ISO8601,asc))</v>
      </c>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row>
    <row r="29" spans="1:91" s="1" customFormat="1" x14ac:dyDescent="0.25">
      <c r="A29" s="32" t="s">
        <v>643</v>
      </c>
      <c r="B29" s="7">
        <v>4016</v>
      </c>
      <c r="C29" s="21" t="s">
        <v>194</v>
      </c>
      <c r="D29" s="21" t="s">
        <v>418</v>
      </c>
      <c r="E29" s="13">
        <v>43013.230636574073</v>
      </c>
      <c r="F29" s="13">
        <v>43013.239803240744</v>
      </c>
      <c r="G29" s="7">
        <v>93</v>
      </c>
      <c r="H29" s="21" t="s">
        <v>457</v>
      </c>
      <c r="I29" s="13">
        <v>43013.264756944445</v>
      </c>
      <c r="J29" s="7">
        <v>0</v>
      </c>
      <c r="K29" s="89" t="str">
        <f t="shared" si="0"/>
        <v>4015/4016</v>
      </c>
      <c r="L29" s="185" t="str">
        <f>VLOOKUP(A29,'Trips&amp;Operators'!$C$1:$G$99911,5,FALSE)</f>
        <v>YANG JAN</v>
      </c>
      <c r="M29" s="6">
        <f t="shared" si="1"/>
        <v>2.495370370161254E-2</v>
      </c>
      <c r="N29" s="7">
        <f t="shared" ref="N29:N64" si="24">24*60*SUM($M29:$M29)</f>
        <v>35.933333330322057</v>
      </c>
      <c r="O29" s="7"/>
      <c r="P29" s="7"/>
      <c r="Q29" s="22"/>
      <c r="R29" s="174"/>
      <c r="S29" s="221">
        <f t="shared" si="3"/>
        <v>1</v>
      </c>
      <c r="T29" s="174" t="str">
        <f t="shared" si="4"/>
        <v>NorthBound</v>
      </c>
      <c r="U29" s="198">
        <f>IF(AG29="EC",COUNTIFS(Variables!$M$2:$M$19,IF(T29="NorthBound","&gt;=","&lt;=")&amp;Y29,Variables!$M$2:$M$19,IF(T29="NorthBound","&lt;=","&gt;=")&amp;Z29),COUNTIFS(Variables!$P$2:$P$19,IF(T29="NorthBound","&gt;=","&lt;=")&amp;Y29,Variables!$P$2:$P$19,IF(T29="NorthBound","&lt;=","&gt;=")&amp;Z29))</f>
        <v>12</v>
      </c>
      <c r="V29" s="216" t="str">
        <f t="shared" si="5"/>
        <v>https://d0f6bd738d7f1b3e5a7ca70fe4ff75f0.us-east-1.aws.found.io/app/kibana#/discover/Steve-Slow-Train-Analysis-(2080s-and-2083s)?_g=(refreshInterval:(display:Off,pause:!f,section:0,value:0),time:(from:'2017-10-05T04:32:07-0600',mode:absolute,to:'2017-10-05T07:21:15-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W29" s="204" t="str">
        <f>IF(AA29&lt;VLOOKUP(AG29,Variables!$AC$3:$AD$8,2,FALSE),"Y","N")</f>
        <v>N</v>
      </c>
      <c r="X29" s="204">
        <f t="shared" si="6"/>
        <v>1</v>
      </c>
      <c r="Y29" s="204">
        <f t="shared" si="7"/>
        <v>4.4900000000000002E-2</v>
      </c>
      <c r="Z29" s="204">
        <f t="shared" si="8"/>
        <v>23.328199999999999</v>
      </c>
      <c r="AA29" s="204">
        <f t="shared" si="9"/>
        <v>23.283300000000001</v>
      </c>
      <c r="AB29" s="54" t="e">
        <f>VLOOKUP(A29,Enforcements!$C$7:$K$11,8,0)</f>
        <v>#N/A</v>
      </c>
      <c r="AC29" s="51" t="e">
        <f>VLOOKUP(A29,Enforcements!$C$7:$E$11,3,0)</f>
        <v>#N/A</v>
      </c>
      <c r="AD29" s="179">
        <f t="shared" si="10"/>
        <v>117</v>
      </c>
      <c r="AE29" s="77" t="str">
        <f t="shared" si="11"/>
        <v>aws s3 cp s3://rtdc.mdm.uploadarchive.raw/RTDC4016/ "%USERPROFILE%\AppData\Local\Temp\OnboardLogs"\RTDC4016\2017-10-05 --exclude "*" --recursive --include "*20171005*" &amp; "%USERPROFILE%\Documents\GitHub\mrs-test-scripts\Headless Mode &amp; Sideloading\WalkAndUnGZ.bat" "%USERPROFILE%\AppData\Local\Temp\OnboardLogs"\RTDC4016\2017-10-05 &amp; aws s3 cp s3://rtdc.mdm.uploadarchive.raw/RTDC4016/ "%USERPROFILE%\AppData\Local\Temp\OnboardLogs"\RTDC4016\2017-10-06 --exclude "*" --recursive --include "*20171006*" &amp; "%USERPROFILE%\Documents\GitHub\mrs-test-scripts\Headless Mode &amp; Sideloading\WalkAndUnGZ.bat" "%USERPROFILE%\AppData\Local\Temp\OnboardLogs"\RTDC4016\2017-10-06</v>
      </c>
      <c r="AF29" s="74" t="str">
        <f t="shared" si="12"/>
        <v>"C:\Program Files (x86)\AstroGrep\AstroGrep.exe" /e /r /s /spath="%USERPROFILE%\AppData\Local\Temp\OnboardLogs" /stypes="app*4016*20171005*" /stext=" 12:.+((SYSTEM_STATE.+slice.+state.+changed )|(ment ac)|(multiple cpu faults)|(system.+state.+changed )|(\[timeout)|(PRM\|1\|D)|(kpr)|(kdp)|(train st.+moving)|(\|lc)|(penalty))"</v>
      </c>
      <c r="AG29" s="182" t="str">
        <f t="shared" si="13"/>
        <v>EC</v>
      </c>
      <c r="AH29" s="78" t="str">
        <f t="shared" si="19"/>
        <v>"%USERPROFILE%\Documents\GitHub\eaglep3\Utilities\RefineRTDCRunTimes.py" --tripid 117-05 --locoid 4016 --swversion DE.1.0.9.0 --startMP 204:449 --initTime 2017-10-05T05:32:07 --startdatetime 2017-10-05T05:45:19 --delay 93 --endMP 204:233282 --enddatetime 2017-10-05T06:21:15 --enforcementcount 0 &gt;&gt;%USERPROFILE%\Documents\GitHub\eaglep3-reporting\EC\2017-10-05-refined-times.txt</v>
      </c>
      <c r="AI29" s="96" t="str">
        <f t="shared" si="20"/>
        <v>echo {"issue":{"subject":"","project_id":79,"tracker_id":40,"status_id":1,"priority_id":2,"assigned_to_id":338,"start_date":"2017-10-05","description":"","custom_fields":[{"id":1,"name":"Subdivision","value":"EC"},{"id":4,"name":"Milepost","value":"23.3282"},{"id":17,"name":"Train ID","value":"117-05"},{"id":16,"name":"Locomotive ID","value":"4016"},{"id":130,"name":"Impact","value":""},{"id":150,"name":"Time of Event (Mountain Time)","value":"06:21:15"},{"id":151,"name":"Denver Issue ID","value":""},{"id":178,"name":"Operational Impact","value":"Yes"},{"id":179,"name":"Denver Segment Assigned","value":""}]}} | curl --insecure -X POST -H "Content-Type: application/json" -H "X-Redmine-API-Key: %REDMINEAPIKEY%" https://secure.xorail.net/redmine/issues.json --data @-</v>
      </c>
      <c r="AJ29" s="20"/>
      <c r="AK29" s="47"/>
      <c r="AL29" s="47"/>
      <c r="AM29" s="142" t="str">
        <f t="shared" si="21"/>
        <v>start /low /b %USERPROFILE%\Documents\GitHub\eaglep3\Utilities\DownloadLogsFromS3.py --loco 4016 --day 2017-10-05</v>
      </c>
      <c r="AN29"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ID","value":"4016"},{"id":20,"name":"RR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12:21:15"},{"id":29,"name":"Sharepoint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9" s="168" t="str">
        <f t="shared" si="23"/>
        <v>https://d0f6bd738d7f1b3e5a7ca70fe4ff75f0.us-east-1.aws.found.io/app/kibana#/discover/Steve-Slow-Train-Analysis-(2080s-and-2083s)?_g=(refreshInterval:(display:Off,pause:!f,section:0,value:0),time:(from:'2017-10-05T04:32:07-0600',mode:absolute,to:'2017-10-05T07:21:15-0600'))&amp;_a=(columns:!('Message%20ID',Summary),filters:!(),index:'emp_*',interval:auto,query:(query_string:(analyze_wildcard:!t,query:'%22rtdc.l.rtdc.4016%22')),sort:!(Time.ISO8601,asc))</v>
      </c>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row>
    <row r="30" spans="1:91" s="1" customFormat="1" x14ac:dyDescent="0.25">
      <c r="A30" s="32" t="s">
        <v>654</v>
      </c>
      <c r="B30" s="7">
        <v>4015</v>
      </c>
      <c r="C30" s="21" t="s">
        <v>194</v>
      </c>
      <c r="D30" s="21" t="s">
        <v>460</v>
      </c>
      <c r="E30" s="13">
        <v>43013.276504629626</v>
      </c>
      <c r="F30" s="13">
        <v>43013.279340277775</v>
      </c>
      <c r="G30" s="7">
        <v>60</v>
      </c>
      <c r="H30" s="21" t="s">
        <v>335</v>
      </c>
      <c r="I30" s="13">
        <v>43013.308946759258</v>
      </c>
      <c r="J30" s="7">
        <v>0</v>
      </c>
      <c r="K30" s="89" t="str">
        <f t="shared" si="0"/>
        <v>4015/4016</v>
      </c>
      <c r="L30" s="185" t="str">
        <f>VLOOKUP(A30,'Trips&amp;Operators'!$C$1:$G$99911,5,FALSE)</f>
        <v>YANG JAN</v>
      </c>
      <c r="M30" s="6">
        <f t="shared" si="1"/>
        <v>2.9606481482915115E-2</v>
      </c>
      <c r="N30" s="7">
        <f t="shared" si="24"/>
        <v>42.633333335397765</v>
      </c>
      <c r="O30" s="7"/>
      <c r="P30" s="7"/>
      <c r="Q30" s="22"/>
      <c r="R30" s="174"/>
      <c r="S30" s="221">
        <f t="shared" si="3"/>
        <v>1</v>
      </c>
      <c r="T30" s="174" t="str">
        <f t="shared" si="4"/>
        <v>Southbound</v>
      </c>
      <c r="U30" s="198">
        <f>IF(AG30="EC",COUNTIFS(Variables!$M$2:$M$19,IF(T30="NorthBound","&gt;=","&lt;=")&amp;Y30,Variables!$M$2:$M$19,IF(T30="NorthBound","&lt;=","&gt;=")&amp;Z30),COUNTIFS(Variables!$P$2:$P$19,IF(T30="NorthBound","&gt;=","&lt;=")&amp;Y30,Variables!$P$2:$P$19,IF(T30="NorthBound","&lt;=","&gt;=")&amp;Z30))</f>
        <v>12</v>
      </c>
      <c r="V30" s="216" t="str">
        <f t="shared" si="5"/>
        <v>https://d0f6bd738d7f1b3e5a7ca70fe4ff75f0.us-east-1.aws.found.io/app/kibana#/discover/Steve-Slow-Train-Analysis-(2080s-and-2083s)?_g=(refreshInterval:(display:Off,pause:!f,section:0,value:0),time:(from:'2017-10-05T05:38:10-0600',mode:absolute,to:'2017-10-05T08:24:53-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4015%22')),sort:!(Time.ISO8601,asc))</v>
      </c>
      <c r="W30" s="204" t="str">
        <f>IF(AA30&lt;VLOOKUP(AG30,Variables!$AC$3:$AD$8,2,FALSE),"Y","N")</f>
        <v>N</v>
      </c>
      <c r="X30" s="204">
        <f t="shared" si="6"/>
        <v>1</v>
      </c>
      <c r="Y30" s="204">
        <f t="shared" si="7"/>
        <v>23.297999999999998</v>
      </c>
      <c r="Z30" s="204">
        <f t="shared" si="8"/>
        <v>1.4999999999999999E-2</v>
      </c>
      <c r="AA30" s="204">
        <f t="shared" si="9"/>
        <v>23.282999999999998</v>
      </c>
      <c r="AB30" s="54" t="e">
        <f>VLOOKUP(A30,Enforcements!$C$7:$K$11,8,0)</f>
        <v>#N/A</v>
      </c>
      <c r="AC30" s="51" t="e">
        <f>VLOOKUP(A30,Enforcements!$C$7:$E$11,3,0)</f>
        <v>#N/A</v>
      </c>
      <c r="AD30" s="179">
        <f t="shared" si="10"/>
        <v>118</v>
      </c>
      <c r="AE30" s="77" t="str">
        <f t="shared" si="11"/>
        <v>aws s3 cp s3://rtdc.mdm.uploadarchive.raw/RTDC4015/ "%USERPROFILE%\AppData\Local\Temp\OnboardLogs"\RTDC4015\2017-10-05 --exclude "*" --recursive --include "*20171005*" &amp; "%USERPROFILE%\Documents\GitHub\mrs-test-scripts\Headless Mode &amp; Sideloading\WalkAndUnGZ.bat" "%USERPROFILE%\AppData\Local\Temp\OnboardLogs"\RTDC4015\2017-10-05 &amp; aws s3 cp s3://rtdc.mdm.uploadarchive.raw/RTDC4015/ "%USERPROFILE%\AppData\Local\Temp\OnboardLogs"\RTDC4015\2017-10-06 --exclude "*" --recursive --include "*20171006*" &amp; "%USERPROFILE%\Documents\GitHub\mrs-test-scripts\Headless Mode &amp; Sideloading\WalkAndUnGZ.bat" "%USERPROFILE%\AppData\Local\Temp\OnboardLogs"\RTDC4015\2017-10-06</v>
      </c>
      <c r="AF30" s="74" t="str">
        <f t="shared" si="12"/>
        <v>"C:\Program Files (x86)\AstroGrep\AstroGrep.exe" /e /r /s /spath="%USERPROFILE%\AppData\Local\Temp\OnboardLogs" /stypes="app*4015*20171005*" /stext=" 13:.+((SYSTEM_STATE.+slice.+state.+changed )|(ment ac)|(multiple cpu faults)|(system.+state.+changed )|(\[timeout)|(PRM\|1\|D)|(kpr)|(kdp)|(train st.+moving)|(\|lc)|(penalty))"</v>
      </c>
      <c r="AG30" s="182" t="str">
        <f t="shared" si="13"/>
        <v>EC</v>
      </c>
      <c r="AH30" s="78" t="str">
        <f t="shared" si="19"/>
        <v>"%USERPROFILE%\Documents\GitHub\eaglep3\Utilities\RefineRTDCRunTimes.py" --tripid 118-05 --locoid 4015 --swversion DE.1.0.9.0 --startMP 204:232980 --initTime 2017-10-05T06:38:10 --startdatetime 2017-10-05T06:42:15 --delay 60 --endMP 204:150 --enddatetime 2017-10-05T07:24:53 --enforcementcount 0 &gt;&gt;%USERPROFILE%\Documents\GitHub\eaglep3-reporting\EC\2017-10-05-refined-times.txt</v>
      </c>
      <c r="AI30" s="96" t="str">
        <f t="shared" si="20"/>
        <v>echo {"issue":{"subject":"","project_id":79,"tracker_id":40,"status_id":1,"priority_id":2,"assigned_to_id":338,"start_date":"2017-10-05","description":"","custom_fields":[{"id":1,"name":"Subdivision","value":"EC"},{"id":4,"name":"Milepost","value":"0.015"},{"id":17,"name":"Train ID","value":"118-05"},{"id":16,"name":"Locomotive ID","value":"4015"},{"id":130,"name":"Impact","value":""},{"id":150,"name":"Time of Event (Mountain Time)","value":"07:24:53"},{"id":151,"name":"Denver Issue ID","value":""},{"id":178,"name":"Operational Impact","value":"Yes"},{"id":179,"name":"Denver Segment Assigned","value":""}]}} | curl --insecure -X POST -H "Content-Type: application/json" -H "X-Redmine-API-Key: %REDMINEAPIKEY%" https://secure.xorail.net/redmine/issues.json --data @-</v>
      </c>
      <c r="AJ30" s="20"/>
      <c r="AK30" s="47"/>
      <c r="AL30" s="47"/>
      <c r="AM30" s="142" t="str">
        <f t="shared" si="21"/>
        <v>start /low /b %USERPROFILE%\Documents\GitHub\eaglep3\Utilities\DownloadLogsFromS3.py --loco 4015 --day 2017-10-05</v>
      </c>
      <c r="AN30"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ID","value":"4015"},{"id":20,"name":"RR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13:24:53"},{"id":29,"name":"Sharepoint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30" s="168" t="str">
        <f t="shared" si="23"/>
        <v>https://d0f6bd738d7f1b3e5a7ca70fe4ff75f0.us-east-1.aws.found.io/app/kibana#/discover/Steve-Slow-Train-Analysis-(2080s-and-2083s)?_g=(refreshInterval:(display:Off,pause:!f,section:0,value:0),time:(from:'2017-10-05T05:38:10-0600',mode:absolute,to:'2017-10-05T08:24:53-0600'))&amp;_a=(columns:!('Message%20ID',Summary),filters:!(),index:'emp_*',interval:auto,query:(query_string:(analyze_wildcard:!t,query:'%22rtdc.l.rtdc.4015%22')),sort:!(Time.ISO8601,asc))</v>
      </c>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row>
    <row r="31" spans="1:91" s="1" customFormat="1" x14ac:dyDescent="0.25">
      <c r="A31" s="32" t="s">
        <v>648</v>
      </c>
      <c r="B31" s="7">
        <v>4010</v>
      </c>
      <c r="C31" s="21" t="s">
        <v>194</v>
      </c>
      <c r="D31" s="21" t="s">
        <v>375</v>
      </c>
      <c r="E31" s="13">
        <v>43013.247118055559</v>
      </c>
      <c r="F31" s="13">
        <v>43013.250173611108</v>
      </c>
      <c r="G31" s="7">
        <v>55</v>
      </c>
      <c r="H31" s="21" t="s">
        <v>435</v>
      </c>
      <c r="I31" s="13">
        <v>43013.275914351849</v>
      </c>
      <c r="J31" s="7">
        <v>0</v>
      </c>
      <c r="K31" s="89" t="str">
        <f t="shared" si="0"/>
        <v>4009/4010</v>
      </c>
      <c r="L31" s="185" t="str">
        <f>VLOOKUP(A31,'Trips&amp;Operators'!$C$1:$G$99911,5,FALSE)</f>
        <v>BONDS REYNALDO</v>
      </c>
      <c r="M31" s="6">
        <f t="shared" si="1"/>
        <v>2.5740740740729962E-2</v>
      </c>
      <c r="N31" s="7">
        <f t="shared" si="24"/>
        <v>37.066666666651145</v>
      </c>
      <c r="O31" s="7"/>
      <c r="P31" s="7"/>
      <c r="Q31" s="22"/>
      <c r="R31" s="174"/>
      <c r="S31" s="221">
        <f t="shared" si="3"/>
        <v>1</v>
      </c>
      <c r="T31" s="174" t="str">
        <f t="shared" si="4"/>
        <v>NorthBound</v>
      </c>
      <c r="U31" s="198">
        <f>IF(AG31="EC",COUNTIFS(Variables!$M$2:$M$19,IF(T31="NorthBound","&gt;=","&lt;=")&amp;Y31,Variables!$M$2:$M$19,IF(T31="NorthBound","&lt;=","&gt;=")&amp;Z31),COUNTIFS(Variables!$P$2:$P$19,IF(T31="NorthBound","&gt;=","&lt;=")&amp;Y31,Variables!$P$2:$P$19,IF(T31="NorthBound","&lt;=","&gt;=")&amp;Z31))</f>
        <v>12</v>
      </c>
      <c r="V31" s="216" t="str">
        <f t="shared" si="5"/>
        <v>https://d0f6bd738d7f1b3e5a7ca70fe4ff75f0.us-east-1.aws.found.io/app/kibana#/discover/Steve-Slow-Train-Analysis-(2080s-and-2083s)?_g=(refreshInterval:(display:Off,pause:!f,section:0,value:0),time:(from:'2017-10-05T04:55:51-0600',mode:absolute,to:'2017-10-05T07:37:19-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31" s="204" t="str">
        <f>IF(AA31&lt;VLOOKUP(AG31,Variables!$AC$3:$AD$8,2,FALSE),"Y","N")</f>
        <v>N</v>
      </c>
      <c r="X31" s="204">
        <f t="shared" si="6"/>
        <v>1</v>
      </c>
      <c r="Y31" s="204">
        <f t="shared" si="7"/>
        <v>4.5100000000000001E-2</v>
      </c>
      <c r="Z31" s="204">
        <f t="shared" si="8"/>
        <v>23.328900000000001</v>
      </c>
      <c r="AA31" s="204">
        <f t="shared" si="9"/>
        <v>23.283799999999999</v>
      </c>
      <c r="AB31" s="54" t="e">
        <f>VLOOKUP(A31,Enforcements!$C$7:$K$11,8,0)</f>
        <v>#N/A</v>
      </c>
      <c r="AC31" s="51" t="e">
        <f>VLOOKUP(A31,Enforcements!$C$7:$E$11,3,0)</f>
        <v>#N/A</v>
      </c>
      <c r="AD31" s="179">
        <f t="shared" si="10"/>
        <v>119</v>
      </c>
      <c r="AE31" s="77" t="str">
        <f t="shared" si="11"/>
        <v>aws s3 cp s3://rtdc.mdm.uploadarchive.raw/RTDC4010/ "%USERPROFILE%\AppData\Local\Temp\OnboardLogs"\RTDC4010\2017-10-05 --exclude "*" --recursive --include "*20171005*" &amp; "%USERPROFILE%\Documents\GitHub\mrs-test-scripts\Headless Mode &amp; Sideloading\WalkAndUnGZ.bat" "%USERPROFILE%\AppData\Local\Temp\OnboardLogs"\RTDC4010\2017-10-05 &amp; aws s3 cp s3://rtdc.mdm.uploadarchive.raw/RTDC4010/ "%USERPROFILE%\AppData\Local\Temp\OnboardLogs"\RTDC4010\2017-10-06 --exclude "*" --recursive --include "*20171006*" &amp; "%USERPROFILE%\Documents\GitHub\mrs-test-scripts\Headless Mode &amp; Sideloading\WalkAndUnGZ.bat" "%USERPROFILE%\AppData\Local\Temp\OnboardLogs"\RTDC4010\2017-10-06</v>
      </c>
      <c r="AF31" s="74" t="str">
        <f t="shared" si="12"/>
        <v>"C:\Program Files (x86)\AstroGrep\AstroGrep.exe" /e /r /s /spath="%USERPROFILE%\AppData\Local\Temp\OnboardLogs" /stypes="app*4010*20171005*" /stext=" 12:.+((SYSTEM_STATE.+slice.+state.+changed )|(ment ac)|(multiple cpu faults)|(system.+state.+changed )|(\[timeout)|(PRM\|1\|D)|(kpr)|(kdp)|(train st.+moving)|(\|lc)|(penalty))"</v>
      </c>
      <c r="AG31" s="182" t="str">
        <f t="shared" si="13"/>
        <v>EC</v>
      </c>
      <c r="AH31" s="78" t="str">
        <f t="shared" si="19"/>
        <v>"%USERPROFILE%\Documents\GitHub\eaglep3\Utilities\RefineRTDCRunTimes.py" --tripid 119-05 --locoid 4010 --swversion DE.1.0.9.0 --startMP 204:451 --initTime 2017-10-05T05:55:51 --startdatetime 2017-10-05T06:00:15 --delay 55 --endMP 204:233289 --enddatetime 2017-10-05T06:37:19 --enforcementcount 0 &gt;&gt;%USERPROFILE%\Documents\GitHub\eaglep3-reporting\EC\2017-10-05-refined-times.txt</v>
      </c>
      <c r="AI31" s="96" t="str">
        <f t="shared" si="20"/>
        <v>echo {"issue":{"subject":"","project_id":79,"tracker_id":40,"status_id":1,"priority_id":2,"assigned_to_id":338,"start_date":"2017-10-05","description":"","custom_fields":[{"id":1,"name":"Subdivision","value":"EC"},{"id":4,"name":"Milepost","value":"23.3289"},{"id":17,"name":"Train ID","value":"119-05"},{"id":16,"name":"Locomotive ID","value":"4010"},{"id":130,"name":"Impact","value":""},{"id":150,"name":"Time of Event (Mountain Time)","value":"06:37:19"},{"id":151,"name":"Denver Issue ID","value":""},{"id":178,"name":"Operational Impact","value":"Yes"},{"id":179,"name":"Denver Segment Assigned","value":""}]}} | curl --insecure -X POST -H "Content-Type: application/json" -H "X-Redmine-API-Key: %REDMINEAPIKEY%" https://secure.xorail.net/redmine/issues.json --data @-</v>
      </c>
      <c r="AJ31" s="20"/>
      <c r="AK31" s="47"/>
      <c r="AL31" s="47"/>
      <c r="AM31" s="142" t="str">
        <f t="shared" si="21"/>
        <v>start /low /b %USERPROFILE%\Documents\GitHub\eaglep3\Utilities\DownloadLogsFromS3.py --loco 4010 --day 2017-10-05</v>
      </c>
      <c r="AN31"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ID","value":"4010"},{"id":20,"name":"RR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12:37:19"},{"id":29,"name":"Sharepoint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31" s="168" t="str">
        <f t="shared" si="23"/>
        <v>https://d0f6bd738d7f1b3e5a7ca70fe4ff75f0.us-east-1.aws.found.io/app/kibana#/discover/Steve-Slow-Train-Analysis-(2080s-and-2083s)?_g=(refreshInterval:(display:Off,pause:!f,section:0,value:0),time:(from:'2017-10-05T04:55:51-0600',mode:absolute,to:'2017-10-05T07:37:19-0600'))&amp;_a=(columns:!('Message%20ID',Summary),filters:!(),index:'emp_*',interval:auto,query:(query_string:(analyze_wildcard:!t,query:'%22rtdc.l.rtdc.4010%22')),sort:!(Time.ISO8601,asc))</v>
      </c>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row>
    <row r="32" spans="1:91" s="1" customFormat="1" x14ac:dyDescent="0.25">
      <c r="A32" s="32" t="s">
        <v>582</v>
      </c>
      <c r="B32" s="7">
        <v>4009</v>
      </c>
      <c r="C32" s="21" t="s">
        <v>194</v>
      </c>
      <c r="D32" s="21" t="s">
        <v>462</v>
      </c>
      <c r="E32" s="13">
        <v>43013.28398148148</v>
      </c>
      <c r="F32" s="13">
        <v>43013.28979166667</v>
      </c>
      <c r="G32" s="7">
        <v>53</v>
      </c>
      <c r="H32" s="21" t="s">
        <v>340</v>
      </c>
      <c r="I32" s="13">
        <v>43013.317662037036</v>
      </c>
      <c r="J32" s="7">
        <v>0</v>
      </c>
      <c r="K32" s="89" t="str">
        <f t="shared" si="0"/>
        <v>4009/4010</v>
      </c>
      <c r="L32" s="185" t="str">
        <f>VLOOKUP(A32,'Trips&amp;Operators'!$C$1:$G$99911,5,FALSE)</f>
        <v>BONDS REYNALDO</v>
      </c>
      <c r="M32" s="6">
        <f t="shared" si="1"/>
        <v>2.7870370366144925E-2</v>
      </c>
      <c r="N32" s="7">
        <f t="shared" si="24"/>
        <v>40.133333327248693</v>
      </c>
      <c r="O32" s="7"/>
      <c r="P32" s="7"/>
      <c r="Q32" s="22"/>
      <c r="R32" s="174"/>
      <c r="S32" s="221">
        <f t="shared" si="3"/>
        <v>1</v>
      </c>
      <c r="T32" s="174" t="str">
        <f t="shared" si="4"/>
        <v>Southbound</v>
      </c>
      <c r="U32" s="198">
        <f>IF(AG32="EC",COUNTIFS(Variables!$M$2:$M$19,IF(T32="NorthBound","&gt;=","&lt;=")&amp;Y32,Variables!$M$2:$M$19,IF(T32="NorthBound","&lt;=","&gt;=")&amp;Z32),COUNTIFS(Variables!$P$2:$P$19,IF(T32="NorthBound","&gt;=","&lt;=")&amp;Y32,Variables!$P$2:$P$19,IF(T32="NorthBound","&lt;=","&gt;=")&amp;Z32))</f>
        <v>12</v>
      </c>
      <c r="V32" s="216" t="str">
        <f t="shared" si="5"/>
        <v>https://d0f6bd738d7f1b3e5a7ca70fe4ff75f0.us-east-1.aws.found.io/app/kibana#/discover/Steve-Slow-Train-Analysis-(2080s-and-2083s)?_g=(refreshInterval:(display:Off,pause:!f,section:0,value:0),time:(from:'2017-10-05T05:48:56-0600',mode:absolute,to:'2017-10-05T08:37:26-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32" s="204" t="str">
        <f>IF(AA32&lt;VLOOKUP(AG32,Variables!$AC$3:$AD$8,2,FALSE),"Y","N")</f>
        <v>N</v>
      </c>
      <c r="X32" s="204">
        <f t="shared" si="6"/>
        <v>1</v>
      </c>
      <c r="Y32" s="204">
        <f t="shared" si="7"/>
        <v>23.300799999999999</v>
      </c>
      <c r="Z32" s="204">
        <f t="shared" si="8"/>
        <v>1.47E-2</v>
      </c>
      <c r="AA32" s="204">
        <f t="shared" si="9"/>
        <v>23.286099999999998</v>
      </c>
      <c r="AB32" s="54" t="e">
        <f>VLOOKUP(A32,Enforcements!$C$7:$K$11,8,0)</f>
        <v>#N/A</v>
      </c>
      <c r="AC32" s="51" t="e">
        <f>VLOOKUP(A32,Enforcements!$C$7:$E$11,3,0)</f>
        <v>#N/A</v>
      </c>
      <c r="AD32" s="179">
        <f t="shared" si="10"/>
        <v>120</v>
      </c>
      <c r="AE32" s="77" t="str">
        <f t="shared" si="11"/>
        <v>aws s3 cp s3://rtdc.mdm.uploadarchive.raw/RTDC4009/ "%USERPROFILE%\AppData\Local\Temp\OnboardLogs"\RTDC4009\2017-10-05 --exclude "*" --recursive --include "*20171005*" &amp; "%USERPROFILE%\Documents\GitHub\mrs-test-scripts\Headless Mode &amp; Sideloading\WalkAndUnGZ.bat" "%USERPROFILE%\AppData\Local\Temp\OnboardLogs"\RTDC4009\2017-10-05 &amp; aws s3 cp s3://rtdc.mdm.uploadarchive.raw/RTDC4009/ "%USERPROFILE%\AppData\Local\Temp\OnboardLogs"\RTDC4009\2017-10-06 --exclude "*" --recursive --include "*20171006*" &amp; "%USERPROFILE%\Documents\GitHub\mrs-test-scripts\Headless Mode &amp; Sideloading\WalkAndUnGZ.bat" "%USERPROFILE%\AppData\Local\Temp\OnboardLogs"\RTDC4009\2017-10-06</v>
      </c>
      <c r="AF32" s="74" t="str">
        <f t="shared" si="12"/>
        <v>"C:\Program Files (x86)\AstroGrep\AstroGrep.exe" /e /r /s /spath="%USERPROFILE%\AppData\Local\Temp\OnboardLogs" /stypes="app*4009*20171005*" /stext=" 13:.+((SYSTEM_STATE.+slice.+state.+changed )|(ment ac)|(multiple cpu faults)|(system.+state.+changed )|(\[timeout)|(PRM\|1\|D)|(kpr)|(kdp)|(train st.+moving)|(\|lc)|(penalty))"</v>
      </c>
      <c r="AG32" s="182" t="str">
        <f t="shared" si="13"/>
        <v>EC</v>
      </c>
      <c r="AH32" s="78" t="str">
        <f t="shared" si="19"/>
        <v>"%USERPROFILE%\Documents\GitHub\eaglep3\Utilities\RefineRTDCRunTimes.py" --tripid 120-05 --locoid 4009 --swversion DE.1.0.9.0 --startMP 204:233008 --initTime 2017-10-05T06:48:56 --startdatetime 2017-10-05T06:57:18 --delay 53 --endMP 204:147 --enddatetime 2017-10-05T07:37:26 --enforcementcount 0 &gt;&gt;%USERPROFILE%\Documents\GitHub\eaglep3-reporting\EC\2017-10-05-refined-times.txt</v>
      </c>
      <c r="AI32" s="96" t="str">
        <f t="shared" si="20"/>
        <v>echo {"issue":{"subject":"","project_id":79,"tracker_id":40,"status_id":1,"priority_id":2,"assigned_to_id":338,"start_date":"2017-10-05","description":"","custom_fields":[{"id":1,"name":"Subdivision","value":"EC"},{"id":4,"name":"Milepost","value":"0.0147"},{"id":17,"name":"Train ID","value":"120-05"},{"id":16,"name":"Locomotive ID","value":"4009"},{"id":130,"name":"Impact","value":""},{"id":150,"name":"Time of Event (Mountain Time)","value":"07:37:26"},{"id":151,"name":"Denver Issue ID","value":""},{"id":178,"name":"Operational Impact","value":"Yes"},{"id":179,"name":"Denver Segment Assigned","value":""}]}} | curl --insecure -X POST -H "Content-Type: application/json" -H "X-Redmine-API-Key: %REDMINEAPIKEY%" https://secure.xorail.net/redmine/issues.json --data @-</v>
      </c>
      <c r="AJ32" s="20"/>
      <c r="AK32" s="47"/>
      <c r="AL32" s="47"/>
      <c r="AM32" s="142" t="str">
        <f t="shared" si="21"/>
        <v>start /low /b %USERPROFILE%\Documents\GitHub\eaglep3\Utilities\DownloadLogsFromS3.py --loco 4009 --day 2017-10-05</v>
      </c>
      <c r="AN32"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ID","value":"4009"},{"id":20,"name":"RR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13:37:26"},{"id":29,"name":"Sharepoint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32" s="168" t="str">
        <f t="shared" si="23"/>
        <v>https://d0f6bd738d7f1b3e5a7ca70fe4ff75f0.us-east-1.aws.found.io/app/kibana#/discover/Steve-Slow-Train-Analysis-(2080s-and-2083s)?_g=(refreshInterval:(display:Off,pause:!f,section:0,value:0),time:(from:'2017-10-05T05:48:56-0600',mode:absolute,to:'2017-10-05T08:37:26-0600'))&amp;_a=(columns:!('Message%20ID',Summary),filters:!(),index:'emp_*',interval:auto,query:(query_string:(analyze_wildcard:!t,query:'%22rtdc.l.rtdc.4009%22')),sort:!(Time.ISO8601,asc))</v>
      </c>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row>
    <row r="33" spans="1:91" s="1" customFormat="1" x14ac:dyDescent="0.25">
      <c r="A33" s="32" t="s">
        <v>650</v>
      </c>
      <c r="B33" s="7">
        <v>4028</v>
      </c>
      <c r="C33" s="21" t="s">
        <v>194</v>
      </c>
      <c r="D33" s="21" t="s">
        <v>388</v>
      </c>
      <c r="E33" s="13">
        <v>43013.255740740744</v>
      </c>
      <c r="F33" s="13">
        <v>43013.260995370372</v>
      </c>
      <c r="G33" s="7">
        <v>57</v>
      </c>
      <c r="H33" s="21" t="s">
        <v>456</v>
      </c>
      <c r="I33" s="13">
        <v>43013.28496527778</v>
      </c>
      <c r="J33" s="7">
        <v>0</v>
      </c>
      <c r="K33" s="89" t="str">
        <f t="shared" si="0"/>
        <v>4027/4028</v>
      </c>
      <c r="L33" s="185" t="str">
        <f>VLOOKUP(A33,'Trips&amp;Operators'!$C$1:$G$99911,5,FALSE)</f>
        <v>GEBRETEKLE DAGNEW</v>
      </c>
      <c r="M33" s="6">
        <f t="shared" si="1"/>
        <v>2.396990740817273E-2</v>
      </c>
      <c r="N33" s="7">
        <f t="shared" si="24"/>
        <v>34.516666667768732</v>
      </c>
      <c r="O33" s="7"/>
      <c r="P33" s="7"/>
      <c r="Q33" s="22"/>
      <c r="R33" s="174" t="s">
        <v>571</v>
      </c>
      <c r="S33" s="221">
        <f t="shared" si="3"/>
        <v>1</v>
      </c>
      <c r="T33" s="174" t="str">
        <f t="shared" si="4"/>
        <v>NorthBound</v>
      </c>
      <c r="U33" s="198">
        <f>IF(AG33="EC",COUNTIFS(Variables!$M$2:$M$19,IF(T33="NorthBound","&gt;=","&lt;=")&amp;Y33,Variables!$M$2:$M$19,IF(T33="NorthBound","&lt;=","&gt;=")&amp;Z33),COUNTIFS(Variables!$P$2:$P$19,IF(T33="NorthBound","&gt;=","&lt;=")&amp;Y33,Variables!$P$2:$P$19,IF(T33="NorthBound","&lt;=","&gt;=")&amp;Z33))</f>
        <v>12</v>
      </c>
      <c r="V33" s="216" t="str">
        <f t="shared" si="5"/>
        <v>https://d0f6bd738d7f1b3e5a7ca70fe4ff75f0.us-east-1.aws.found.io/app/kibana#/discover/Steve-Slow-Train-Analysis-(2080s-and-2083s)?_g=(refreshInterval:(display:Off,pause:!f,section:0,value:0),time:(from:'2017-10-05T05:08:16-0600',mode:absolute,to:'2017-10-05T07:50:21-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33" s="204" t="str">
        <f>IF(AA33&lt;VLOOKUP(AG33,Variables!$AC$3:$AD$8,2,FALSE),"Y","N")</f>
        <v>N</v>
      </c>
      <c r="X33" s="204">
        <f t="shared" si="6"/>
        <v>1</v>
      </c>
      <c r="Y33" s="204">
        <f t="shared" si="7"/>
        <v>4.5699999999999998E-2</v>
      </c>
      <c r="Z33" s="204">
        <f t="shared" si="8"/>
        <v>23.3276</v>
      </c>
      <c r="AA33" s="204">
        <f t="shared" si="9"/>
        <v>23.2819</v>
      </c>
      <c r="AB33" s="54" t="e">
        <f>VLOOKUP(A33,Enforcements!$C$7:$K$11,8,0)</f>
        <v>#N/A</v>
      </c>
      <c r="AC33" s="51" t="e">
        <f>VLOOKUP(A33,Enforcements!$C$7:$E$11,3,0)</f>
        <v>#N/A</v>
      </c>
      <c r="AD33" s="179">
        <f t="shared" si="10"/>
        <v>121</v>
      </c>
      <c r="AE33" s="77" t="str">
        <f t="shared" si="11"/>
        <v>aws s3 cp s3://rtdc.mdm.uploadarchive.raw/RTDC4028/ "%USERPROFILE%\AppData\Local\Temp\OnboardLogs"\RTDC4028\2017-10-05 --exclude "*" --recursive --include "*20171005*" &amp; "%USERPROFILE%\Documents\GitHub\mrs-test-scripts\Headless Mode &amp; Sideloading\WalkAndUnGZ.bat" "%USERPROFILE%\AppData\Local\Temp\OnboardLogs"\RTDC4028\2017-10-05 &amp; aws s3 cp s3://rtdc.mdm.uploadarchive.raw/RTDC4028/ "%USERPROFILE%\AppData\Local\Temp\OnboardLogs"\RTDC4028\2017-10-06 --exclude "*" --recursive --include "*20171006*" &amp; "%USERPROFILE%\Documents\GitHub\mrs-test-scripts\Headless Mode &amp; Sideloading\WalkAndUnGZ.bat" "%USERPROFILE%\AppData\Local\Temp\OnboardLogs"\RTDC4028\2017-10-06</v>
      </c>
      <c r="AF33" s="74" t="str">
        <f t="shared" si="12"/>
        <v>"C:\Program Files (x86)\AstroGrep\AstroGrep.exe" /e /r /s /spath="%USERPROFILE%\AppData\Local\Temp\OnboardLogs" /stypes="app*4028*20171005*" /stext=" 12:.+((SYSTEM_STATE.+slice.+state.+changed )|(ment ac)|(multiple cpu faults)|(system.+state.+changed )|(\[timeout)|(PRM\|1\|D)|(kpr)|(kdp)|(train st.+moving)|(\|lc)|(penalty))"</v>
      </c>
      <c r="AG33" s="182" t="str">
        <f t="shared" si="13"/>
        <v>EC</v>
      </c>
      <c r="AH33" s="78" t="str">
        <f t="shared" si="19"/>
        <v>"%USERPROFILE%\Documents\GitHub\eaglep3\Utilities\RefineRTDCRunTimes.py" --tripid 121-05 --locoid 4028 --swversion DE.1.0.9.0 --startMP 204:457 --initTime 2017-10-05T06:08:16 --startdatetime 2017-10-05T06:15:50 --delay 57 --endMP 204:233276 --enddatetime 2017-10-05T06:50:21 --enforcementcount 0 &gt;&gt;%USERPROFILE%\Documents\GitHub\eaglep3-reporting\EC\2017-10-05-refined-times.txt</v>
      </c>
      <c r="AI33" s="96" t="str">
        <f t="shared" si="20"/>
        <v>echo {"issue":{"subject":"Operator selected wrong track","project_id":79,"tracker_id":40,"status_id":1,"priority_id":2,"assigned_to_id":338,"start_date":"2017-10-05","description":"","custom_fields":[{"id":1,"name":"Subdivision","value":"EC"},{"id":4,"name":"Milepost","value":"23.3276"},{"id":17,"name":"Train ID","value":"121-05"},{"id":16,"name":"Locomotive ID","value":"4028"},{"id":130,"name":"Impact","value":""},{"id":150,"name":"Time of Event (Mountain Time)","value":"06:50:21"},{"id":151,"name":"Denver Issue ID","value":""},{"id":178,"name":"Operational Impact","value":"Yes"},{"id":179,"name":"Denver Segment Assigned","value":""}]}} | curl --insecure -X POST -H "Content-Type: application/json" -H "X-Redmine-API-Key: %REDMINEAPIKEY%" https://secure.xorail.net/redmine/issues.json --data @-</v>
      </c>
      <c r="AJ33" s="20"/>
      <c r="AK33" s="47"/>
      <c r="AL33" s="47"/>
      <c r="AM33" s="142" t="str">
        <f t="shared" si="21"/>
        <v>start /low /b %USERPROFILE%\Documents\GitHub\eaglep3\Utilities\DownloadLogsFromS3.py --loco 4028 --day 2017-10-05</v>
      </c>
      <c r="AN33" s="151" t="str">
        <f t="shared" si="22"/>
        <v>echo {"issue":{"subject":"Operator selected wrong track","project_id":30,"tracker_id":4,"status_id":1,"priority_id":1,"assigned_to_id":10,"start_date":"2017-10-05","description":"","custom_fields":[{"id":30,"name":"Category","value":"Issue"},{"id":3,"name":"Functional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12:50:21"},{"id":29,"name":"Sharepoint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33" s="168" t="str">
        <f t="shared" si="23"/>
        <v>https://d0f6bd738d7f1b3e5a7ca70fe4ff75f0.us-east-1.aws.found.io/app/kibana#/discover/Steve-Slow-Train-Analysis-(2080s-and-2083s)?_g=(refreshInterval:(display:Off,pause:!f,section:0,value:0),time:(from:'2017-10-05T05:08:16-0600',mode:absolute,to:'2017-10-05T07:50:21-0600'))&amp;_a=(columns:!('Message%20ID',Summary),filters:!(),index:'emp_*',interval:auto,query:(query_string:(analyze_wildcard:!t,query:'%22rtdc.l.rtdc.4028%22')),sort:!(Time.ISO8601,asc))</v>
      </c>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row>
    <row r="34" spans="1:91" s="1" customFormat="1" x14ac:dyDescent="0.25">
      <c r="A34" s="32" t="s">
        <v>655</v>
      </c>
      <c r="B34" s="7">
        <v>4027</v>
      </c>
      <c r="C34" s="21" t="s">
        <v>194</v>
      </c>
      <c r="D34" s="21" t="s">
        <v>830</v>
      </c>
      <c r="E34" s="13">
        <v>43013.286099537036</v>
      </c>
      <c r="F34" s="13">
        <v>43013.298101851855</v>
      </c>
      <c r="G34" s="7">
        <v>48</v>
      </c>
      <c r="H34" s="21" t="s">
        <v>378</v>
      </c>
      <c r="I34" s="13">
        <v>43013.328460648147</v>
      </c>
      <c r="J34" s="7">
        <v>0</v>
      </c>
      <c r="K34" s="89" t="str">
        <f t="shared" si="0"/>
        <v>4027/4028</v>
      </c>
      <c r="L34" s="185" t="str">
        <f>VLOOKUP(A34,'Trips&amp;Operators'!$C$1:$G$99911,5,FALSE)</f>
        <v>GEBRETEKLE DAGNEW</v>
      </c>
      <c r="M34" s="6">
        <f t="shared" si="1"/>
        <v>3.0358796291693579E-2</v>
      </c>
      <c r="N34" s="7">
        <f t="shared" si="24"/>
        <v>43.716666660038754</v>
      </c>
      <c r="O34" s="7"/>
      <c r="P34" s="7"/>
      <c r="Q34" s="22"/>
      <c r="R34" s="174"/>
      <c r="S34" s="221">
        <f t="shared" si="3"/>
        <v>1</v>
      </c>
      <c r="T34" s="174" t="str">
        <f t="shared" si="4"/>
        <v>Southbound</v>
      </c>
      <c r="U34" s="198">
        <f>IF(AG34="EC",COUNTIFS(Variables!$M$2:$M$19,IF(T34="NorthBound","&gt;=","&lt;=")&amp;Y34,Variables!$M$2:$M$19,IF(T34="NorthBound","&lt;=","&gt;=")&amp;Z34),COUNTIFS(Variables!$P$2:$P$19,IF(T34="NorthBound","&gt;=","&lt;=")&amp;Y34,Variables!$P$2:$P$19,IF(T34="NorthBound","&lt;=","&gt;=")&amp;Z34))</f>
        <v>12</v>
      </c>
      <c r="V34" s="216" t="str">
        <f t="shared" si="5"/>
        <v>https://d0f6bd738d7f1b3e5a7ca70fe4ff75f0.us-east-1.aws.found.io/app/kibana#/discover/Steve-Slow-Train-Analysis-(2080s-and-2083s)?_g=(refreshInterval:(display:Off,pause:!f,section:0,value:0),time:(from:'2017-10-05T05:51:59-0600',mode:absolute,to:'2017-10-05T08:52:59-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34" s="204" t="str">
        <f>IF(AA34&lt;VLOOKUP(AG34,Variables!$AC$3:$AD$8,2,FALSE),"Y","N")</f>
        <v>N</v>
      </c>
      <c r="X34" s="204">
        <f t="shared" si="6"/>
        <v>1</v>
      </c>
      <c r="Y34" s="204">
        <f t="shared" si="7"/>
        <v>23.296500000000002</v>
      </c>
      <c r="Z34" s="204">
        <f t="shared" si="8"/>
        <v>1.54E-2</v>
      </c>
      <c r="AA34" s="204">
        <f t="shared" si="9"/>
        <v>23.281100000000002</v>
      </c>
      <c r="AB34" s="54" t="e">
        <f>VLOOKUP(A34,Enforcements!$C$7:$K$11,8,0)</f>
        <v>#N/A</v>
      </c>
      <c r="AC34" s="51" t="e">
        <f>VLOOKUP(A34,Enforcements!$C$7:$E$11,3,0)</f>
        <v>#N/A</v>
      </c>
      <c r="AD34" s="179">
        <f t="shared" si="10"/>
        <v>122</v>
      </c>
      <c r="AE34" s="77" t="str">
        <f t="shared" si="11"/>
        <v>aws s3 cp s3://rtdc.mdm.uploadarchive.raw/RTDC4027/ "%USERPROFILE%\AppData\Local\Temp\OnboardLogs"\RTDC4027\2017-10-05 --exclude "*" --recursive --include "*20171005*" &amp; "%USERPROFILE%\Documents\GitHub\mrs-test-scripts\Headless Mode &amp; Sideloading\WalkAndUnGZ.bat" "%USERPROFILE%\AppData\Local\Temp\OnboardLogs"\RTDC4027\2017-10-05 &amp; aws s3 cp s3://rtdc.mdm.uploadarchive.raw/RTDC4027/ "%USERPROFILE%\AppData\Local\Temp\OnboardLogs"\RTDC4027\2017-10-06 --exclude "*" --recursive --include "*20171006*" &amp; "%USERPROFILE%\Documents\GitHub\mrs-test-scripts\Headless Mode &amp; Sideloading\WalkAndUnGZ.bat" "%USERPROFILE%\AppData\Local\Temp\OnboardLogs"\RTDC4027\2017-10-06</v>
      </c>
      <c r="AF34" s="74" t="str">
        <f t="shared" si="12"/>
        <v>"C:\Program Files (x86)\AstroGrep\AstroGrep.exe" /e /r /s /spath="%USERPROFILE%\AppData\Local\Temp\OnboardLogs" /stypes="app*4027*20171005*" /stext=" 13:.+((SYSTEM_STATE.+slice.+state.+changed )|(ment ac)|(multiple cpu faults)|(system.+state.+changed )|(\[timeout)|(PRM\|1\|D)|(kpr)|(kdp)|(train st.+moving)|(\|lc)|(penalty))"</v>
      </c>
      <c r="AG34" s="182" t="str">
        <f t="shared" si="13"/>
        <v>EC</v>
      </c>
      <c r="AH34" s="78" t="str">
        <f t="shared" si="19"/>
        <v>"%USERPROFILE%\Documents\GitHub\eaglep3\Utilities\RefineRTDCRunTimes.py" --tripid 122-05 --locoid 4027 --swversion DE.1.0.9.0 --startMP 204:232965 --initTime 2017-10-05T06:51:59 --startdatetime 2017-10-05T07:09:16 --delay 48 --endMP 204:154 --enddatetime 2017-10-05T07:52:59 --enforcementcount 0 &gt;&gt;%USERPROFILE%\Documents\GitHub\eaglep3-reporting\EC\2017-10-05-refined-times.txt</v>
      </c>
      <c r="AI34" s="96" t="str">
        <f t="shared" si="20"/>
        <v>echo {"issue":{"subject":"","project_id":79,"tracker_id":40,"status_id":1,"priority_id":2,"assigned_to_id":338,"start_date":"2017-10-05","description":"","custom_fields":[{"id":1,"name":"Subdivision","value":"EC"},{"id":4,"name":"Milepost","value":"0.0154"},{"id":17,"name":"Train ID","value":"122-05"},{"id":16,"name":"Locomotive ID","value":"4027"},{"id":130,"name":"Impact","value":""},{"id":150,"name":"Time of Event (Mountain Time)","value":"07:52:59"},{"id":151,"name":"Denver Issue ID","value":""},{"id":178,"name":"Operational Impact","value":"Yes"},{"id":179,"name":"Denver Segment Assigned","value":""}]}} | curl --insecure -X POST -H "Content-Type: application/json" -H "X-Redmine-API-Key: %REDMINEAPIKEY%" https://secure.xorail.net/redmine/issues.json --data @-</v>
      </c>
      <c r="AJ34" s="20"/>
      <c r="AK34" s="47"/>
      <c r="AL34" s="47"/>
      <c r="AM34" s="142" t="str">
        <f t="shared" si="21"/>
        <v>start /low /b %USERPROFILE%\Documents\GitHub\eaglep3\Utilities\DownloadLogsFromS3.py --loco 4027 --day 2017-10-05</v>
      </c>
      <c r="AN34"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13:52:59"},{"id":29,"name":"Sharepoint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34" s="168" t="str">
        <f t="shared" si="23"/>
        <v>https://d0f6bd738d7f1b3e5a7ca70fe4ff75f0.us-east-1.aws.found.io/app/kibana#/discover/Steve-Slow-Train-Analysis-(2080s-and-2083s)?_g=(refreshInterval:(display:Off,pause:!f,section:0,value:0),time:(from:'2017-10-05T05:51:59-0600',mode:absolute,to:'2017-10-05T08:52:59-0600'))&amp;_a=(columns:!('Message%20ID',Summary),filters:!(),index:'emp_*',interval:auto,query:(query_string:(analyze_wildcard:!t,query:'%22rtdc.l.rtdc.4027%22')),sort:!(Time.ISO8601,asc))</v>
      </c>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row>
    <row r="35" spans="1:91" s="1" customFormat="1" x14ac:dyDescent="0.25">
      <c r="A35" s="32" t="s">
        <v>652</v>
      </c>
      <c r="B35" s="7">
        <v>4042</v>
      </c>
      <c r="C35" s="21" t="s">
        <v>194</v>
      </c>
      <c r="D35" s="21" t="s">
        <v>388</v>
      </c>
      <c r="E35" s="13">
        <v>43013.267847222225</v>
      </c>
      <c r="F35" s="13">
        <v>43013.271157407406</v>
      </c>
      <c r="G35" s="7">
        <v>92</v>
      </c>
      <c r="H35" s="21" t="s">
        <v>539</v>
      </c>
      <c r="I35" s="13">
        <v>43013.297430555554</v>
      </c>
      <c r="J35" s="7">
        <v>0</v>
      </c>
      <c r="K35" s="89" t="str">
        <f t="shared" si="0"/>
        <v>4041/4042</v>
      </c>
      <c r="L35" s="185" t="str">
        <f>VLOOKUP(A35,'Trips&amp;Operators'!$C$1:$G$99911,5,FALSE)</f>
        <v>WILLIAMS DONTE</v>
      </c>
      <c r="M35" s="6">
        <f t="shared" si="1"/>
        <v>2.6273148148902692E-2</v>
      </c>
      <c r="N35" s="7">
        <f t="shared" si="24"/>
        <v>37.833333334419876</v>
      </c>
      <c r="O35" s="7"/>
      <c r="P35" s="7"/>
      <c r="Q35" s="22"/>
      <c r="R35" s="174"/>
      <c r="S35" s="221">
        <f t="shared" si="3"/>
        <v>1</v>
      </c>
      <c r="T35" s="174" t="str">
        <f t="shared" si="4"/>
        <v>NorthBound</v>
      </c>
      <c r="U35" s="198">
        <f>IF(AG35="EC",COUNTIFS(Variables!$M$2:$M$19,IF(T35="NorthBound","&gt;=","&lt;=")&amp;Y35,Variables!$M$2:$M$19,IF(T35="NorthBound","&lt;=","&gt;=")&amp;Z35),COUNTIFS(Variables!$P$2:$P$19,IF(T35="NorthBound","&gt;=","&lt;=")&amp;Y35,Variables!$P$2:$P$19,IF(T35="NorthBound","&lt;=","&gt;=")&amp;Z35))</f>
        <v>12</v>
      </c>
      <c r="V35" s="216" t="str">
        <f t="shared" si="5"/>
        <v>https://d0f6bd738d7f1b3e5a7ca70fe4ff75f0.us-east-1.aws.found.io/app/kibana#/discover/Steve-Slow-Train-Analysis-(2080s-and-2083s)?_g=(refreshInterval:(display:Off,pause:!f,section:0,value:0),time:(from:'2017-10-05T05:25:42-0600',mode:absolute,to:'2017-10-05T08:08:18-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4042%22')),sort:!(Time.ISO8601,asc))</v>
      </c>
      <c r="W35" s="204" t="str">
        <f>IF(AA35&lt;VLOOKUP(AG35,Variables!$AC$3:$AD$8,2,FALSE),"Y","N")</f>
        <v>N</v>
      </c>
      <c r="X35" s="204">
        <f t="shared" si="6"/>
        <v>1</v>
      </c>
      <c r="Y35" s="204">
        <f t="shared" si="7"/>
        <v>4.5699999999999998E-2</v>
      </c>
      <c r="Z35" s="204">
        <f t="shared" si="8"/>
        <v>23.331399999999999</v>
      </c>
      <c r="AA35" s="204">
        <f t="shared" si="9"/>
        <v>23.285699999999999</v>
      </c>
      <c r="AB35" s="54" t="e">
        <f>VLOOKUP(A35,Enforcements!$C$7:$K$11,8,0)</f>
        <v>#N/A</v>
      </c>
      <c r="AC35" s="51" t="e">
        <f>VLOOKUP(A35,Enforcements!$C$7:$E$11,3,0)</f>
        <v>#N/A</v>
      </c>
      <c r="AD35" s="179">
        <f t="shared" si="10"/>
        <v>123</v>
      </c>
      <c r="AE35" s="77" t="str">
        <f t="shared" si="11"/>
        <v>aws s3 cp s3://rtdc.mdm.uploadarchive.raw/RTDC4042/ "%USERPROFILE%\AppData\Local\Temp\OnboardLogs"\RTDC4042\2017-10-05 --exclude "*" --recursive --include "*20171005*" &amp; "%USERPROFILE%\Documents\GitHub\mrs-test-scripts\Headless Mode &amp; Sideloading\WalkAndUnGZ.bat" "%USERPROFILE%\AppData\Local\Temp\OnboardLogs"\RTDC4042\2017-10-05 &amp; aws s3 cp s3://rtdc.mdm.uploadarchive.raw/RTDC4042/ "%USERPROFILE%\AppData\Local\Temp\OnboardLogs"\RTDC4042\2017-10-06 --exclude "*" --recursive --include "*20171006*" &amp; "%USERPROFILE%\Documents\GitHub\mrs-test-scripts\Headless Mode &amp; Sideloading\WalkAndUnGZ.bat" "%USERPROFILE%\AppData\Local\Temp\OnboardLogs"\RTDC4042\2017-10-06</v>
      </c>
      <c r="AF35" s="74" t="str">
        <f t="shared" si="12"/>
        <v>"C:\Program Files (x86)\AstroGrep\AstroGrep.exe" /e /r /s /spath="%USERPROFILE%\AppData\Local\Temp\OnboardLogs" /stypes="app*4042*20171005*" /stext=" 13:.+((SYSTEM_STATE.+slice.+state.+changed )|(ment ac)|(multiple cpu faults)|(system.+state.+changed )|(\[timeout)|(PRM\|1\|D)|(kpr)|(kdp)|(train st.+moving)|(\|lc)|(penalty))"</v>
      </c>
      <c r="AG35" s="182" t="str">
        <f t="shared" si="13"/>
        <v>EC</v>
      </c>
      <c r="AH35" s="78" t="str">
        <f t="shared" si="19"/>
        <v>"%USERPROFILE%\Documents\GitHub\eaglep3\Utilities\RefineRTDCRunTimes.py" --tripid 123-05 --locoid 4042 --swversion DE.1.0.9.0 --startMP 204:457 --initTime 2017-10-05T06:25:42 --startdatetime 2017-10-05T06:30:28 --delay 92 --endMP 204:233314 --enddatetime 2017-10-05T07:08:18 --enforcementcount 0 &gt;&gt;%USERPROFILE%\Documents\GitHub\eaglep3-reporting\EC\2017-10-05-refined-times.txt</v>
      </c>
      <c r="AI35" s="96" t="str">
        <f t="shared" si="20"/>
        <v>echo {"issue":{"subject":"","project_id":79,"tracker_id":40,"status_id":1,"priority_id":2,"assigned_to_id":338,"start_date":"2017-10-05","description":"","custom_fields":[{"id":1,"name":"Subdivision","value":"EC"},{"id":4,"name":"Milepost","value":"23.3314"},{"id":17,"name":"Train ID","value":"123-05"},{"id":16,"name":"Locomotive ID","value":"4042"},{"id":130,"name":"Impact","value":""},{"id":150,"name":"Time of Event (Mountain Time)","value":"07:08:18"},{"id":151,"name":"Denver Issue ID","value":""},{"id":178,"name":"Operational Impact","value":"Yes"},{"id":179,"name":"Denver Segment Assigned","value":""}]}} | curl --insecure -X POST -H "Content-Type: application/json" -H "X-Redmine-API-Key: %REDMINEAPIKEY%" https://secure.xorail.net/redmine/issues.json --data @-</v>
      </c>
      <c r="AJ35" s="20"/>
      <c r="AK35" s="47"/>
      <c r="AL35" s="47"/>
      <c r="AM35" s="142" t="str">
        <f t="shared" si="21"/>
        <v>start /low /b %USERPROFILE%\Documents\GitHub\eaglep3\Utilities\DownloadLogsFromS3.py --loco 4042 --day 2017-10-05</v>
      </c>
      <c r="AN35"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ID","value":"4042"},{"id":20,"name":"RR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13:08:18"},{"id":29,"name":"Sharepoint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35" s="168" t="str">
        <f t="shared" si="23"/>
        <v>https://d0f6bd738d7f1b3e5a7ca70fe4ff75f0.us-east-1.aws.found.io/app/kibana#/discover/Steve-Slow-Train-Analysis-(2080s-and-2083s)?_g=(refreshInterval:(display:Off,pause:!f,section:0,value:0),time:(from:'2017-10-05T05:25:42-0600',mode:absolute,to:'2017-10-05T08:08:18-0600'))&amp;_a=(columns:!('Message%20ID',Summary),filters:!(),index:'emp_*',interval:auto,query:(query_string:(analyze_wildcard:!t,query:'%22rtdc.l.rtdc.4042%22')),sort:!(Time.ISO8601,asc))</v>
      </c>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row>
    <row r="36" spans="1:91" s="1" customFormat="1" x14ac:dyDescent="0.25">
      <c r="A36" s="32" t="s">
        <v>659</v>
      </c>
      <c r="B36" s="7">
        <v>4041</v>
      </c>
      <c r="C36" s="21" t="s">
        <v>194</v>
      </c>
      <c r="D36" s="21" t="s">
        <v>831</v>
      </c>
      <c r="E36" s="13">
        <v>43013.306875000002</v>
      </c>
      <c r="F36" s="13">
        <v>43013.310694444444</v>
      </c>
      <c r="G36" s="7">
        <v>96</v>
      </c>
      <c r="H36" s="21" t="s">
        <v>340</v>
      </c>
      <c r="I36" s="13">
        <v>43013.340231481481</v>
      </c>
      <c r="J36" s="7">
        <v>0</v>
      </c>
      <c r="K36" s="89" t="str">
        <f t="shared" si="0"/>
        <v>4041/4042</v>
      </c>
      <c r="L36" s="185" t="str">
        <f>VLOOKUP(A36,'Trips&amp;Operators'!$C$1:$G$99911,5,FALSE)</f>
        <v>WILLIAMS DONTE</v>
      </c>
      <c r="M36" s="6">
        <f t="shared" si="1"/>
        <v>2.9537037036789116E-2</v>
      </c>
      <c r="N36" s="7">
        <f t="shared" si="24"/>
        <v>42.533333332976326</v>
      </c>
      <c r="O36" s="7"/>
      <c r="P36" s="7"/>
      <c r="Q36" s="22"/>
      <c r="R36" s="174"/>
      <c r="S36" s="221">
        <f t="shared" si="3"/>
        <v>1</v>
      </c>
      <c r="T36" s="174" t="str">
        <f t="shared" si="4"/>
        <v>Southbound</v>
      </c>
      <c r="U36" s="198">
        <f>IF(AG36="EC",COUNTIFS(Variables!$M$2:$M$19,IF(T36="NorthBound","&gt;=","&lt;=")&amp;Y36,Variables!$M$2:$M$19,IF(T36="NorthBound","&lt;=","&gt;=")&amp;Z36),COUNTIFS(Variables!$P$2:$P$19,IF(T36="NorthBound","&gt;=","&lt;=")&amp;Y36,Variables!$P$2:$P$19,IF(T36="NorthBound","&lt;=","&gt;=")&amp;Z36))</f>
        <v>12</v>
      </c>
      <c r="V36" s="216" t="str">
        <f t="shared" si="5"/>
        <v>https://d0f6bd738d7f1b3e5a7ca70fe4ff75f0.us-east-1.aws.found.io/app/kibana#/discover/Steve-Slow-Train-Analysis-(2080s-and-2083s)?_g=(refreshInterval:(display:Off,pause:!f,section:0,value:0),time:(from:'2017-10-05T06:21:54-0600',mode:absolute,to:'2017-10-05T09:09:56-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4041%22')),sort:!(Time.ISO8601,asc))</v>
      </c>
      <c r="W36" s="204" t="str">
        <f>IF(AA36&lt;VLOOKUP(AG36,Variables!$AC$3:$AD$8,2,FALSE),"Y","N")</f>
        <v>N</v>
      </c>
      <c r="X36" s="204">
        <f t="shared" si="6"/>
        <v>1</v>
      </c>
      <c r="Y36" s="204">
        <f t="shared" si="7"/>
        <v>23.299099999999999</v>
      </c>
      <c r="Z36" s="204">
        <f t="shared" si="8"/>
        <v>1.47E-2</v>
      </c>
      <c r="AA36" s="204">
        <f t="shared" si="9"/>
        <v>23.284399999999998</v>
      </c>
      <c r="AB36" s="54" t="e">
        <f>VLOOKUP(A36,Enforcements!$C$7:$K$11,8,0)</f>
        <v>#N/A</v>
      </c>
      <c r="AC36" s="51" t="e">
        <f>VLOOKUP(A36,Enforcements!$C$7:$E$11,3,0)</f>
        <v>#N/A</v>
      </c>
      <c r="AD36" s="179">
        <f t="shared" si="10"/>
        <v>124</v>
      </c>
      <c r="AE36" s="77" t="str">
        <f t="shared" si="11"/>
        <v>aws s3 cp s3://rtdc.mdm.uploadarchive.raw/RTDC4041/ "%USERPROFILE%\AppData\Local\Temp\OnboardLogs"\RTDC4041\2017-10-05 --exclude "*" --recursive --include "*20171005*" &amp; "%USERPROFILE%\Documents\GitHub\mrs-test-scripts\Headless Mode &amp; Sideloading\WalkAndUnGZ.bat" "%USERPROFILE%\AppData\Local\Temp\OnboardLogs"\RTDC4041\2017-10-05 &amp; aws s3 cp s3://rtdc.mdm.uploadarchive.raw/RTDC4041/ "%USERPROFILE%\AppData\Local\Temp\OnboardLogs"\RTDC4041\2017-10-06 --exclude "*" --recursive --include "*20171006*" &amp; "%USERPROFILE%\Documents\GitHub\mrs-test-scripts\Headless Mode &amp; Sideloading\WalkAndUnGZ.bat" "%USERPROFILE%\AppData\Local\Temp\OnboardLogs"\RTDC4041\2017-10-06</v>
      </c>
      <c r="AF36" s="74" t="str">
        <f t="shared" si="12"/>
        <v>"C:\Program Files (x86)\AstroGrep\AstroGrep.exe" /e /r /s /spath="%USERPROFILE%\AppData\Local\Temp\OnboardLogs" /stypes="app*4041*20171005*" /stext=" 14:.+((SYSTEM_STATE.+slice.+state.+changed )|(ment ac)|(multiple cpu faults)|(system.+state.+changed )|(\[timeout)|(PRM\|1\|D)|(kpr)|(kdp)|(train st.+moving)|(\|lc)|(penalty))"</v>
      </c>
      <c r="AG36" s="182" t="str">
        <f t="shared" si="13"/>
        <v>EC</v>
      </c>
      <c r="AH36" s="78" t="str">
        <f t="shared" si="19"/>
        <v>"%USERPROFILE%\Documents\GitHub\eaglep3\Utilities\RefineRTDCRunTimes.py" --tripid 124-05 --locoid 4041 --swversion DE.1.0.9.0 --startMP 204:232991 --initTime 2017-10-05T07:21:54 --startdatetime 2017-10-05T07:27:24 --delay 96 --endMP 204:147 --enddatetime 2017-10-05T08:09:56 --enforcementcount 0 &gt;&gt;%USERPROFILE%\Documents\GitHub\eaglep3-reporting\EC\2017-10-05-refined-times.txt</v>
      </c>
      <c r="AI36" s="96" t="str">
        <f t="shared" si="20"/>
        <v>echo {"issue":{"subject":"","project_id":79,"tracker_id":40,"status_id":1,"priority_id":2,"assigned_to_id":338,"start_date":"2017-10-05","description":"","custom_fields":[{"id":1,"name":"Subdivision","value":"EC"},{"id":4,"name":"Milepost","value":"0.0147"},{"id":17,"name":"Train ID","value":"124-05"},{"id":16,"name":"Locomotive ID","value":"4041"},{"id":130,"name":"Impact","value":""},{"id":150,"name":"Time of Event (Mountain Time)","value":"08:09:56"},{"id":151,"name":"Denver Issue ID","value":""},{"id":178,"name":"Operational Impact","value":"Yes"},{"id":179,"name":"Denver Segment Assigned","value":""}]}} | curl --insecure -X POST -H "Content-Type: application/json" -H "X-Redmine-API-Key: %REDMINEAPIKEY%" https://secure.xorail.net/redmine/issues.json --data @-</v>
      </c>
      <c r="AJ36" s="20"/>
      <c r="AK36" s="47"/>
      <c r="AL36" s="47"/>
      <c r="AM36" s="142" t="str">
        <f t="shared" si="21"/>
        <v>start /low /b %USERPROFILE%\Documents\GitHub\eaglep3\Utilities\DownloadLogsFromS3.py --loco 4041 --day 2017-10-05</v>
      </c>
      <c r="AN36"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ID","value":"4041"},{"id":20,"name":"RR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14:09:56"},{"id":29,"name":"Sharepoint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36" s="168" t="str">
        <f t="shared" si="23"/>
        <v>https://d0f6bd738d7f1b3e5a7ca70fe4ff75f0.us-east-1.aws.found.io/app/kibana#/discover/Steve-Slow-Train-Analysis-(2080s-and-2083s)?_g=(refreshInterval:(display:Off,pause:!f,section:0,value:0),time:(from:'2017-10-05T06:21:54-0600',mode:absolute,to:'2017-10-05T09:09:56-0600'))&amp;_a=(columns:!('Message%20ID',Summary),filters:!(),index:'emp_*',interval:auto,query:(query_string:(analyze_wildcard:!t,query:'%22rtdc.l.rtdc.4041%22')),sort:!(Time.ISO8601,asc))</v>
      </c>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row>
    <row r="37" spans="1:91" s="1" customFormat="1" x14ac:dyDescent="0.25">
      <c r="A37" s="32" t="s">
        <v>653</v>
      </c>
      <c r="B37" s="7">
        <v>4044</v>
      </c>
      <c r="C37" s="21" t="s">
        <v>194</v>
      </c>
      <c r="D37" s="21" t="s">
        <v>405</v>
      </c>
      <c r="E37" s="13">
        <v>43013.274826388886</v>
      </c>
      <c r="F37" s="13">
        <v>43013.281458333331</v>
      </c>
      <c r="G37" s="7">
        <v>43</v>
      </c>
      <c r="H37" s="21" t="s">
        <v>832</v>
      </c>
      <c r="I37" s="13">
        <v>43013.307222222225</v>
      </c>
      <c r="J37" s="7">
        <v>0</v>
      </c>
      <c r="K37" s="89" t="str">
        <f t="shared" si="0"/>
        <v>4043/4044</v>
      </c>
      <c r="L37" s="185" t="str">
        <f>VLOOKUP(A37,'Trips&amp;Operators'!$C$1:$G$99911,5,FALSE)</f>
        <v>YORK EDGAR</v>
      </c>
      <c r="M37" s="6">
        <f t="shared" si="1"/>
        <v>2.5763888894289266E-2</v>
      </c>
      <c r="N37" s="7">
        <f t="shared" si="24"/>
        <v>37.100000007776543</v>
      </c>
      <c r="O37" s="7"/>
      <c r="P37" s="7"/>
      <c r="Q37" s="22"/>
      <c r="R37" s="174"/>
      <c r="S37" s="221">
        <f t="shared" si="3"/>
        <v>1</v>
      </c>
      <c r="T37" s="174" t="str">
        <f t="shared" si="4"/>
        <v>NorthBound</v>
      </c>
      <c r="U37" s="198">
        <f>IF(AG37="EC",COUNTIFS(Variables!$M$2:$M$19,IF(T37="NorthBound","&gt;=","&lt;=")&amp;Y37,Variables!$M$2:$M$19,IF(T37="NorthBound","&lt;=","&gt;=")&amp;Z37),COUNTIFS(Variables!$P$2:$P$19,IF(T37="NorthBound","&gt;=","&lt;=")&amp;Y37,Variables!$P$2:$P$19,IF(T37="NorthBound","&lt;=","&gt;=")&amp;Z37))</f>
        <v>12</v>
      </c>
      <c r="V37" s="216" t="str">
        <f t="shared" si="5"/>
        <v>https://d0f6bd738d7f1b3e5a7ca70fe4ff75f0.us-east-1.aws.found.io/app/kibana#/discover/Steve-Slow-Train-Analysis-(2080s-and-2083s)?_g=(refreshInterval:(display:Off,pause:!f,section:0,value:0),time:(from:'2017-10-05T05:35:45-0600',mode:absolute,to:'2017-10-05T08:22:24-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4044%22')),sort:!(Time.ISO8601,asc))</v>
      </c>
      <c r="W37" s="204" t="str">
        <f>IF(AA37&lt;VLOOKUP(AG37,Variables!$AC$3:$AD$8,2,FALSE),"Y","N")</f>
        <v>N</v>
      </c>
      <c r="X37" s="204">
        <f t="shared" si="6"/>
        <v>1</v>
      </c>
      <c r="Y37" s="204">
        <f t="shared" si="7"/>
        <v>4.4400000000000002E-2</v>
      </c>
      <c r="Z37" s="204">
        <f t="shared" si="8"/>
        <v>23.329499999999999</v>
      </c>
      <c r="AA37" s="204">
        <f t="shared" si="9"/>
        <v>23.2851</v>
      </c>
      <c r="AB37" s="54" t="e">
        <f>VLOOKUP(A37,Enforcements!$C$7:$K$11,8,0)</f>
        <v>#N/A</v>
      </c>
      <c r="AC37" s="51" t="e">
        <f>VLOOKUP(A37,Enforcements!$C$7:$E$11,3,0)</f>
        <v>#N/A</v>
      </c>
      <c r="AD37" s="179">
        <f t="shared" si="10"/>
        <v>125</v>
      </c>
      <c r="AE37" s="77" t="str">
        <f t="shared" si="11"/>
        <v>aws s3 cp s3://rtdc.mdm.uploadarchive.raw/RTDC4044/ "%USERPROFILE%\AppData\Local\Temp\OnboardLogs"\RTDC4044\2017-10-05 --exclude "*" --recursive --include "*20171005*" &amp; "%USERPROFILE%\Documents\GitHub\mrs-test-scripts\Headless Mode &amp; Sideloading\WalkAndUnGZ.bat" "%USERPROFILE%\AppData\Local\Temp\OnboardLogs"\RTDC4044\2017-10-05 &amp; aws s3 cp s3://rtdc.mdm.uploadarchive.raw/RTDC4044/ "%USERPROFILE%\AppData\Local\Temp\OnboardLogs"\RTDC4044\2017-10-06 --exclude "*" --recursive --include "*20171006*" &amp; "%USERPROFILE%\Documents\GitHub\mrs-test-scripts\Headless Mode &amp; Sideloading\WalkAndUnGZ.bat" "%USERPROFILE%\AppData\Local\Temp\OnboardLogs"\RTDC4044\2017-10-06</v>
      </c>
      <c r="AF37" s="74" t="str">
        <f t="shared" si="12"/>
        <v>"C:\Program Files (x86)\AstroGrep\AstroGrep.exe" /e /r /s /spath="%USERPROFILE%\AppData\Local\Temp\OnboardLogs" /stypes="app*4044*20171005*" /stext=" 13:.+((SYSTEM_STATE.+slice.+state.+changed )|(ment ac)|(multiple cpu faults)|(system.+state.+changed )|(\[timeout)|(PRM\|1\|D)|(kpr)|(kdp)|(train st.+moving)|(\|lc)|(penalty))"</v>
      </c>
      <c r="AG37" s="182" t="str">
        <f t="shared" si="13"/>
        <v>EC</v>
      </c>
      <c r="AH37" s="78" t="str">
        <f t="shared" si="19"/>
        <v>"%USERPROFILE%\Documents\GitHub\eaglep3\Utilities\RefineRTDCRunTimes.py" --tripid 125-05 --locoid 4044 --swversion DE.1.0.9.0 --startMP 204:444 --initTime 2017-10-05T06:35:45 --startdatetime 2017-10-05T06:45:18 --delay 43 --endMP 204:233295 --enddatetime 2017-10-05T07:22:24 --enforcementcount 0 &gt;&gt;%USERPROFILE%\Documents\GitHub\eaglep3-reporting\EC\2017-10-05-refined-times.txt</v>
      </c>
      <c r="AI37" s="96" t="str">
        <f t="shared" si="20"/>
        <v>echo {"issue":{"subject":"","project_id":79,"tracker_id":40,"status_id":1,"priority_id":2,"assigned_to_id":338,"start_date":"2017-10-05","description":"","custom_fields":[{"id":1,"name":"Subdivision","value":"EC"},{"id":4,"name":"Milepost","value":"23.3295"},{"id":17,"name":"Train ID","value":"125-05"},{"id":16,"name":"Locomotive ID","value":"4044"},{"id":130,"name":"Impact","value":""},{"id":150,"name":"Time of Event (Mountain Time)","value":"07:22:24"},{"id":151,"name":"Denver Issue ID","value":""},{"id":178,"name":"Operational Impact","value":"Yes"},{"id":179,"name":"Denver Segment Assigned","value":""}]}} | curl --insecure -X POST -H "Content-Type: application/json" -H "X-Redmine-API-Key: %REDMINEAPIKEY%" https://secure.xorail.net/redmine/issues.json --data @-</v>
      </c>
      <c r="AJ37" s="20"/>
      <c r="AK37" s="47"/>
      <c r="AL37" s="47"/>
      <c r="AM37" s="142" t="str">
        <f t="shared" si="21"/>
        <v>start /low /b %USERPROFILE%\Documents\GitHub\eaglep3\Utilities\DownloadLogsFromS3.py --loco 4044 --day 2017-10-05</v>
      </c>
      <c r="AN37"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ID","value":"4044"},{"id":20,"name":"RR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13:22:24"},{"id":29,"name":"Sharepoint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37" s="168" t="str">
        <f t="shared" si="23"/>
        <v>https://d0f6bd738d7f1b3e5a7ca70fe4ff75f0.us-east-1.aws.found.io/app/kibana#/discover/Steve-Slow-Train-Analysis-(2080s-and-2083s)?_g=(refreshInterval:(display:Off,pause:!f,section:0,value:0),time:(from:'2017-10-05T05:35:45-0600',mode:absolute,to:'2017-10-05T08:22:24-0600'))&amp;_a=(columns:!('Message%20ID',Summary),filters:!(),index:'emp_*',interval:auto,query:(query_string:(analyze_wildcard:!t,query:'%22rtdc.l.rtdc.4044%22')),sort:!(Time.ISO8601,asc))</v>
      </c>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row>
    <row r="38" spans="1:91" s="1" customFormat="1" x14ac:dyDescent="0.25">
      <c r="A38" s="32" t="s">
        <v>660</v>
      </c>
      <c r="B38" s="7">
        <v>4043</v>
      </c>
      <c r="C38" s="21" t="s">
        <v>194</v>
      </c>
      <c r="D38" s="21" t="s">
        <v>826</v>
      </c>
      <c r="E38" s="13">
        <v>43013.308206018519</v>
      </c>
      <c r="F38" s="13">
        <v>43013.321111111109</v>
      </c>
      <c r="G38" s="7">
        <v>50</v>
      </c>
      <c r="H38" s="21" t="s">
        <v>340</v>
      </c>
      <c r="I38" s="13">
        <v>43013.348541666666</v>
      </c>
      <c r="J38" s="7">
        <v>0</v>
      </c>
      <c r="K38" s="89" t="str">
        <f t="shared" si="0"/>
        <v>4043/4044</v>
      </c>
      <c r="L38" s="185" t="str">
        <f>VLOOKUP(A38,'Trips&amp;Operators'!$C$1:$G$99911,5,FALSE)</f>
        <v>YORK EDGAR</v>
      </c>
      <c r="M38" s="6">
        <f t="shared" si="1"/>
        <v>2.7430555557657499E-2</v>
      </c>
      <c r="N38" s="7">
        <f t="shared" si="24"/>
        <v>39.500000003026798</v>
      </c>
      <c r="O38" s="7"/>
      <c r="P38" s="7"/>
      <c r="Q38" s="22"/>
      <c r="R38" s="174"/>
      <c r="S38" s="221">
        <f t="shared" si="3"/>
        <v>1</v>
      </c>
      <c r="T38" s="174" t="str">
        <f t="shared" si="4"/>
        <v>Southbound</v>
      </c>
      <c r="U38" s="198">
        <f>IF(AG38="EC",COUNTIFS(Variables!$M$2:$M$19,IF(T38="NorthBound","&gt;=","&lt;=")&amp;Y38,Variables!$M$2:$M$19,IF(T38="NorthBound","&lt;=","&gt;=")&amp;Z38),COUNTIFS(Variables!$P$2:$P$19,IF(T38="NorthBound","&gt;=","&lt;=")&amp;Y38,Variables!$P$2:$P$19,IF(T38="NorthBound","&lt;=","&gt;=")&amp;Z38))</f>
        <v>12</v>
      </c>
      <c r="V38" s="216" t="str">
        <f t="shared" si="5"/>
        <v>https://d0f6bd738d7f1b3e5a7ca70fe4ff75f0.us-east-1.aws.found.io/app/kibana#/discover/Steve-Slow-Train-Analysis-(2080s-and-2083s)?_g=(refreshInterval:(display:Off,pause:!f,section:0,value:0),time:(from:'2017-10-05T06:23:49-0600',mode:absolute,to:'2017-10-05T09:21:54-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4043%22')),sort:!(Time.ISO8601,asc))</v>
      </c>
      <c r="W38" s="204" t="str">
        <f>IF(AA38&lt;VLOOKUP(AG38,Variables!$AC$3:$AD$8,2,FALSE),"Y","N")</f>
        <v>N</v>
      </c>
      <c r="X38" s="204">
        <f t="shared" si="6"/>
        <v>1</v>
      </c>
      <c r="Y38" s="204">
        <f t="shared" si="7"/>
        <v>23.2973</v>
      </c>
      <c r="Z38" s="204">
        <f t="shared" si="8"/>
        <v>1.47E-2</v>
      </c>
      <c r="AA38" s="204">
        <f t="shared" si="9"/>
        <v>23.282599999999999</v>
      </c>
      <c r="AB38" s="54" t="e">
        <f>VLOOKUP(A38,Enforcements!$C$7:$K$11,8,0)</f>
        <v>#N/A</v>
      </c>
      <c r="AC38" s="51" t="e">
        <f>VLOOKUP(A38,Enforcements!$C$7:$E$11,3,0)</f>
        <v>#N/A</v>
      </c>
      <c r="AD38" s="179">
        <f t="shared" si="10"/>
        <v>126</v>
      </c>
      <c r="AE38" s="77" t="str">
        <f t="shared" si="11"/>
        <v>aws s3 cp s3://rtdc.mdm.uploadarchive.raw/RTDC4043/ "%USERPROFILE%\AppData\Local\Temp\OnboardLogs"\RTDC4043\2017-10-05 --exclude "*" --recursive --include "*20171005*" &amp; "%USERPROFILE%\Documents\GitHub\mrs-test-scripts\Headless Mode &amp; Sideloading\WalkAndUnGZ.bat" "%USERPROFILE%\AppData\Local\Temp\OnboardLogs"\RTDC4043\2017-10-05 &amp; aws s3 cp s3://rtdc.mdm.uploadarchive.raw/RTDC4043/ "%USERPROFILE%\AppData\Local\Temp\OnboardLogs"\RTDC4043\2017-10-06 --exclude "*" --recursive --include "*20171006*" &amp; "%USERPROFILE%\Documents\GitHub\mrs-test-scripts\Headless Mode &amp; Sideloading\WalkAndUnGZ.bat" "%USERPROFILE%\AppData\Local\Temp\OnboardLogs"\RTDC4043\2017-10-06</v>
      </c>
      <c r="AF38" s="74" t="str">
        <f t="shared" si="12"/>
        <v>"C:\Program Files (x86)\AstroGrep\AstroGrep.exe" /e /r /s /spath="%USERPROFILE%\AppData\Local\Temp\OnboardLogs" /stypes="app*4043*20171005*" /stext=" 14:.+((SYSTEM_STATE.+slice.+state.+changed )|(ment ac)|(multiple cpu faults)|(system.+state.+changed )|(\[timeout)|(PRM\|1\|D)|(kpr)|(kdp)|(train st.+moving)|(\|lc)|(penalty))"</v>
      </c>
      <c r="AG38" s="182" t="str">
        <f t="shared" si="13"/>
        <v>EC</v>
      </c>
      <c r="AH38" s="78" t="str">
        <f t="shared" si="19"/>
        <v>"%USERPROFILE%\Documents\GitHub\eaglep3\Utilities\RefineRTDCRunTimes.py" --tripid 126-05 --locoid 4043 --swversion DE.1.0.9.0 --startMP 204:232973 --initTime 2017-10-05T07:23:49 --startdatetime 2017-10-05T07:42:24 --delay 50 --endMP 204:147 --enddatetime 2017-10-05T08:21:54 --enforcementcount 0 &gt;&gt;%USERPROFILE%\Documents\GitHub\eaglep3-reporting\EC\2017-10-05-refined-times.txt</v>
      </c>
      <c r="AI38" s="96" t="str">
        <f t="shared" si="20"/>
        <v>echo {"issue":{"subject":"","project_id":79,"tracker_id":40,"status_id":1,"priority_id":2,"assigned_to_id":338,"start_date":"2017-10-05","description":"","custom_fields":[{"id":1,"name":"Subdivision","value":"EC"},{"id":4,"name":"Milepost","value":"0.0147"},{"id":17,"name":"Train ID","value":"126-05"},{"id":16,"name":"Locomotive ID","value":"4043"},{"id":130,"name":"Impact","value":""},{"id":150,"name":"Time of Event (Mountain Time)","value":"08:21:54"},{"id":151,"name":"Denver Issue ID","value":""},{"id":178,"name":"Operational Impact","value":"Yes"},{"id":179,"name":"Denver Segment Assigned","value":""}]}} | curl --insecure -X POST -H "Content-Type: application/json" -H "X-Redmine-API-Key: %REDMINEAPIKEY%" https://secure.xorail.net/redmine/issues.json --data @-</v>
      </c>
      <c r="AJ38" s="20"/>
      <c r="AK38" s="47"/>
      <c r="AL38" s="47"/>
      <c r="AM38" s="142" t="str">
        <f t="shared" si="21"/>
        <v>start /low /b %USERPROFILE%\Documents\GitHub\eaglep3\Utilities\DownloadLogsFromS3.py --loco 4043 --day 2017-10-05</v>
      </c>
      <c r="AN38"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ID","value":"4043"},{"id":20,"name":"RR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14:21:54"},{"id":29,"name":"Sharepoint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38" s="168" t="str">
        <f t="shared" si="23"/>
        <v>https://d0f6bd738d7f1b3e5a7ca70fe4ff75f0.us-east-1.aws.found.io/app/kibana#/discover/Steve-Slow-Train-Analysis-(2080s-and-2083s)?_g=(refreshInterval:(display:Off,pause:!f,section:0,value:0),time:(from:'2017-10-05T06:23:49-0600',mode:absolute,to:'2017-10-05T09:21:54-0600'))&amp;_a=(columns:!('Message%20ID',Summary),filters:!(),index:'emp_*',interval:auto,query:(query_string:(analyze_wildcard:!t,query:'%22rtdc.l.rtdc.4043%22')),sort:!(Time.ISO8601,asc))</v>
      </c>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row>
    <row r="39" spans="1:91" s="1" customFormat="1" x14ac:dyDescent="0.25">
      <c r="A39" s="32" t="s">
        <v>656</v>
      </c>
      <c r="B39" s="7">
        <v>4012</v>
      </c>
      <c r="C39" s="21" t="s">
        <v>194</v>
      </c>
      <c r="D39" s="21" t="s">
        <v>833</v>
      </c>
      <c r="E39" s="13">
        <v>43013.287465277775</v>
      </c>
      <c r="F39" s="13">
        <v>43013.291817129626</v>
      </c>
      <c r="G39" s="7">
        <v>50</v>
      </c>
      <c r="H39" s="21" t="s">
        <v>834</v>
      </c>
      <c r="I39" s="13">
        <v>43013.318240740744</v>
      </c>
      <c r="J39" s="7">
        <v>0</v>
      </c>
      <c r="K39" s="89" t="str">
        <f t="shared" si="0"/>
        <v>4011/4012</v>
      </c>
      <c r="L39" s="185" t="str">
        <f>VLOOKUP(A39,'Trips&amp;Operators'!$C$1:$G$99911,5,FALSE)</f>
        <v>YANAI IAN</v>
      </c>
      <c r="M39" s="6">
        <f t="shared" si="1"/>
        <v>2.6423611117934342E-2</v>
      </c>
      <c r="N39" s="7">
        <f t="shared" si="24"/>
        <v>38.050000009825453</v>
      </c>
      <c r="O39" s="7"/>
      <c r="P39" s="7"/>
      <c r="Q39" s="22"/>
      <c r="R39" s="174"/>
      <c r="S39" s="221">
        <f t="shared" si="3"/>
        <v>1</v>
      </c>
      <c r="T39" s="174" t="str">
        <f t="shared" si="4"/>
        <v>NorthBound</v>
      </c>
      <c r="U39" s="198">
        <f>IF(AG39="EC",COUNTIFS(Variables!$M$2:$M$19,IF(T39="NorthBound","&gt;=","&lt;=")&amp;Y39,Variables!$M$2:$M$19,IF(T39="NorthBound","&lt;=","&gt;=")&amp;Z39),COUNTIFS(Variables!$P$2:$P$19,IF(T39="NorthBound","&gt;=","&lt;=")&amp;Y39,Variables!$P$2:$P$19,IF(T39="NorthBound","&lt;=","&gt;=")&amp;Z39))</f>
        <v>12</v>
      </c>
      <c r="V39" s="216" t="str">
        <f t="shared" si="5"/>
        <v>https://d0f6bd738d7f1b3e5a7ca70fe4ff75f0.us-east-1.aws.found.io/app/kibana#/discover/Steve-Slow-Train-Analysis-(2080s-and-2083s)?_g=(refreshInterval:(display:Off,pause:!f,section:0,value:0),time:(from:'2017-10-05T05:53:57-0600',mode:absolute,to:'2017-10-05T08:38:16-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4012%22')),sort:!(Time.ISO8601,asc))</v>
      </c>
      <c r="W39" s="204" t="str">
        <f>IF(AA39&lt;VLOOKUP(AG39,Variables!$AC$3:$AD$8,2,FALSE),"Y","N")</f>
        <v>N</v>
      </c>
      <c r="X39" s="204">
        <f t="shared" si="6"/>
        <v>1</v>
      </c>
      <c r="Y39" s="204">
        <f t="shared" si="7"/>
        <v>4.3999999999999997E-2</v>
      </c>
      <c r="Z39" s="204">
        <f t="shared" si="8"/>
        <v>23.330400000000001</v>
      </c>
      <c r="AA39" s="204">
        <f t="shared" si="9"/>
        <v>23.2864</v>
      </c>
      <c r="AB39" s="54" t="e">
        <f>VLOOKUP(A39,Enforcements!$C$7:$K$11,8,0)</f>
        <v>#N/A</v>
      </c>
      <c r="AC39" s="51" t="e">
        <f>VLOOKUP(A39,Enforcements!$C$7:$E$11,3,0)</f>
        <v>#N/A</v>
      </c>
      <c r="AD39" s="179">
        <f t="shared" si="10"/>
        <v>127</v>
      </c>
      <c r="AE39" s="77" t="str">
        <f t="shared" si="11"/>
        <v>aws s3 cp s3://rtdc.mdm.uploadarchive.raw/RTDC4012/ "%USERPROFILE%\AppData\Local\Temp\OnboardLogs"\RTDC4012\2017-10-05 --exclude "*" --recursive --include "*20171005*" &amp; "%USERPROFILE%\Documents\GitHub\mrs-test-scripts\Headless Mode &amp; Sideloading\WalkAndUnGZ.bat" "%USERPROFILE%\AppData\Local\Temp\OnboardLogs"\RTDC4012\2017-10-05 &amp; aws s3 cp s3://rtdc.mdm.uploadarchive.raw/RTDC4012/ "%USERPROFILE%\AppData\Local\Temp\OnboardLogs"\RTDC4012\2017-10-06 --exclude "*" --recursive --include "*20171006*" &amp; "%USERPROFILE%\Documents\GitHub\mrs-test-scripts\Headless Mode &amp; Sideloading\WalkAndUnGZ.bat" "%USERPROFILE%\AppData\Local\Temp\OnboardLogs"\RTDC4012\2017-10-06</v>
      </c>
      <c r="AF39" s="74" t="str">
        <f t="shared" si="12"/>
        <v>"C:\Program Files (x86)\AstroGrep\AstroGrep.exe" /e /r /s /spath="%USERPROFILE%\AppData\Local\Temp\OnboardLogs" /stypes="app*4012*20171005*" /stext=" 13:.+((SYSTEM_STATE.+slice.+state.+changed )|(ment ac)|(multiple cpu faults)|(system.+state.+changed )|(\[timeout)|(PRM\|1\|D)|(kpr)|(kdp)|(train st.+moving)|(\|lc)|(penalty))"</v>
      </c>
      <c r="AG39" s="182" t="str">
        <f t="shared" si="13"/>
        <v>EC</v>
      </c>
      <c r="AH39" s="78" t="str">
        <f t="shared" si="19"/>
        <v>"%USERPROFILE%\Documents\GitHub\eaglep3\Utilities\RefineRTDCRunTimes.py" --tripid 127-05 --locoid 4012 --swversion DE.1.0.9.0 --startMP 204:440 --initTime 2017-10-05T06:53:57 --startdatetime 2017-10-05T07:00:13 --delay 50 --endMP 204:233304 --enddatetime 2017-10-05T07:38:16 --enforcementcount 0 &gt;&gt;%USERPROFILE%\Documents\GitHub\eaglep3-reporting\EC\2017-10-05-refined-times.txt</v>
      </c>
      <c r="AI39" s="96" t="str">
        <f t="shared" si="20"/>
        <v>echo {"issue":{"subject":"","project_id":79,"tracker_id":40,"status_id":1,"priority_id":2,"assigned_to_id":338,"start_date":"2017-10-05","description":"","custom_fields":[{"id":1,"name":"Subdivision","value":"EC"},{"id":4,"name":"Milepost","value":"23.3304"},{"id":17,"name":"Train ID","value":"127-05"},{"id":16,"name":"Locomotive ID","value":"4012"},{"id":130,"name":"Impact","value":""},{"id":150,"name":"Time of Event (Mountain Time)","value":"07:38:16"},{"id":151,"name":"Denver Issue ID","value":""},{"id":178,"name":"Operational Impact","value":"Yes"},{"id":179,"name":"Denver Segment Assigned","value":""}]}} | curl --insecure -X POST -H "Content-Type: application/json" -H "X-Redmine-API-Key: %REDMINEAPIKEY%" https://secure.xorail.net/redmine/issues.json --data @-</v>
      </c>
      <c r="AJ39" s="20"/>
      <c r="AK39" s="47"/>
      <c r="AL39" s="47"/>
      <c r="AM39" s="142" t="str">
        <f t="shared" si="21"/>
        <v>start /low /b %USERPROFILE%\Documents\GitHub\eaglep3\Utilities\DownloadLogsFromS3.py --loco 4012 --day 2017-10-05</v>
      </c>
      <c r="AN39"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ID","value":"4012"},{"id":20,"name":"RR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13:38:16"},{"id":29,"name":"Sharepoint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39" s="168" t="str">
        <f t="shared" si="23"/>
        <v>https://d0f6bd738d7f1b3e5a7ca70fe4ff75f0.us-east-1.aws.found.io/app/kibana#/discover/Steve-Slow-Train-Analysis-(2080s-and-2083s)?_g=(refreshInterval:(display:Off,pause:!f,section:0,value:0),time:(from:'2017-10-05T05:53:57-0600',mode:absolute,to:'2017-10-05T08:38:16-0600'))&amp;_a=(columns:!('Message%20ID',Summary),filters:!(),index:'emp_*',interval:auto,query:(query_string:(analyze_wildcard:!t,query:'%22rtdc.l.rtdc.4012%22')),sort:!(Time.ISO8601,asc))</v>
      </c>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row>
    <row r="40" spans="1:91" s="1" customFormat="1" x14ac:dyDescent="0.25">
      <c r="A40" s="32" t="s">
        <v>664</v>
      </c>
      <c r="B40" s="7">
        <v>4011</v>
      </c>
      <c r="C40" s="21" t="s">
        <v>194</v>
      </c>
      <c r="D40" s="21" t="s">
        <v>414</v>
      </c>
      <c r="E40" s="13">
        <v>43013.319351851853</v>
      </c>
      <c r="F40" s="13">
        <v>43013.331446759257</v>
      </c>
      <c r="G40" s="7">
        <v>63</v>
      </c>
      <c r="H40" s="21" t="s">
        <v>339</v>
      </c>
      <c r="I40" s="13">
        <v>43013.359849537039</v>
      </c>
      <c r="J40" s="7">
        <v>0</v>
      </c>
      <c r="K40" s="89" t="str">
        <f t="shared" si="0"/>
        <v>4011/4012</v>
      </c>
      <c r="L40" s="185" t="str">
        <f>VLOOKUP(A40,'Trips&amp;Operators'!$C$1:$G$99911,5,FALSE)</f>
        <v>YANAI IAN</v>
      </c>
      <c r="M40" s="6">
        <f t="shared" si="1"/>
        <v>2.8402777781593613E-2</v>
      </c>
      <c r="N40" s="7">
        <f t="shared" si="24"/>
        <v>40.900000005494803</v>
      </c>
      <c r="O40" s="7"/>
      <c r="P40" s="7"/>
      <c r="Q40" s="22"/>
      <c r="R40" s="174"/>
      <c r="S40" s="221">
        <f t="shared" si="3"/>
        <v>1</v>
      </c>
      <c r="T40" s="174" t="str">
        <f t="shared" si="4"/>
        <v>Southbound</v>
      </c>
      <c r="U40" s="198">
        <f>IF(AG40="EC",COUNTIFS(Variables!$M$2:$M$19,IF(T40="NorthBound","&gt;=","&lt;=")&amp;Y40,Variables!$M$2:$M$19,IF(T40="NorthBound","&lt;=","&gt;=")&amp;Z40),COUNTIFS(Variables!$P$2:$P$19,IF(T40="NorthBound","&gt;=","&lt;=")&amp;Y40,Variables!$P$2:$P$19,IF(T40="NorthBound","&lt;=","&gt;=")&amp;Z40))</f>
        <v>12</v>
      </c>
      <c r="V40" s="216" t="str">
        <f t="shared" si="5"/>
        <v>https://d0f6bd738d7f1b3e5a7ca70fe4ff75f0.us-east-1.aws.found.io/app/kibana#/discover/Steve-Slow-Train-Analysis-(2080s-and-2083s)?_g=(refreshInterval:(display:Off,pause:!f,section:0,value:0),time:(from:'2017-10-05T06:39:52-0600',mode:absolute,to:'2017-10-05T09:38:11-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4011%22')),sort:!(Time.ISO8601,asc))</v>
      </c>
      <c r="W40" s="204" t="str">
        <f>IF(AA40&lt;VLOOKUP(AG40,Variables!$AC$3:$AD$8,2,FALSE),"Y","N")</f>
        <v>N</v>
      </c>
      <c r="X40" s="204">
        <f t="shared" si="6"/>
        <v>1</v>
      </c>
      <c r="Y40" s="204">
        <f t="shared" si="7"/>
        <v>23.299399999999999</v>
      </c>
      <c r="Z40" s="204">
        <f t="shared" si="8"/>
        <v>1.41E-2</v>
      </c>
      <c r="AA40" s="204">
        <f t="shared" si="9"/>
        <v>23.285299999999999</v>
      </c>
      <c r="AB40" s="54" t="e">
        <f>VLOOKUP(A40,Enforcements!$C$7:$K$11,8,0)</f>
        <v>#N/A</v>
      </c>
      <c r="AC40" s="51" t="e">
        <f>VLOOKUP(A40,Enforcements!$C$7:$E$11,3,0)</f>
        <v>#N/A</v>
      </c>
      <c r="AD40" s="179">
        <f t="shared" si="10"/>
        <v>128</v>
      </c>
      <c r="AE40" s="77" t="str">
        <f t="shared" si="11"/>
        <v>aws s3 cp s3://rtdc.mdm.uploadarchive.raw/RTDC4011/ "%USERPROFILE%\AppData\Local\Temp\OnboardLogs"\RTDC4011\2017-10-05 --exclude "*" --recursive --include "*20171005*" &amp; "%USERPROFILE%\Documents\GitHub\mrs-test-scripts\Headless Mode &amp; Sideloading\WalkAndUnGZ.bat" "%USERPROFILE%\AppData\Local\Temp\OnboardLogs"\RTDC4011\2017-10-05 &amp; aws s3 cp s3://rtdc.mdm.uploadarchive.raw/RTDC4011/ "%USERPROFILE%\AppData\Local\Temp\OnboardLogs"\RTDC4011\2017-10-06 --exclude "*" --recursive --include "*20171006*" &amp; "%USERPROFILE%\Documents\GitHub\mrs-test-scripts\Headless Mode &amp; Sideloading\WalkAndUnGZ.bat" "%USERPROFILE%\AppData\Local\Temp\OnboardLogs"\RTDC4011\2017-10-06</v>
      </c>
      <c r="AF40" s="74" t="str">
        <f t="shared" si="12"/>
        <v>"C:\Program Files (x86)\AstroGrep\AstroGrep.exe" /e /r /s /spath="%USERPROFILE%\AppData\Local\Temp\OnboardLogs" /stypes="app*4011*20171005*" /stext=" 14:.+((SYSTEM_STATE.+slice.+state.+changed )|(ment ac)|(multiple cpu faults)|(system.+state.+changed )|(\[timeout)|(PRM\|1\|D)|(kpr)|(kdp)|(train st.+moving)|(\|lc)|(penalty))"</v>
      </c>
      <c r="AG40" s="182" t="str">
        <f t="shared" si="13"/>
        <v>EC</v>
      </c>
      <c r="AH40" s="78" t="str">
        <f t="shared" si="19"/>
        <v>"%USERPROFILE%\Documents\GitHub\eaglep3\Utilities\RefineRTDCRunTimes.py" --tripid 128-05 --locoid 4011 --swversion DE.1.0.9.0 --startMP 204:232994 --initTime 2017-10-05T07:39:52 --startdatetime 2017-10-05T07:57:17 --delay 63 --endMP 204:141 --enddatetime 2017-10-05T08:38:11 --enforcementcount 0 &gt;&gt;%USERPROFILE%\Documents\GitHub\eaglep3-reporting\EC\2017-10-05-refined-times.txt</v>
      </c>
      <c r="AI40" s="96" t="str">
        <f t="shared" si="20"/>
        <v>echo {"issue":{"subject":"","project_id":79,"tracker_id":40,"status_id":1,"priority_id":2,"assigned_to_id":338,"start_date":"2017-10-05","description":"","custom_fields":[{"id":1,"name":"Subdivision","value":"EC"},{"id":4,"name":"Milepost","value":"0.0141"},{"id":17,"name":"Train ID","value":"128-05"},{"id":16,"name":"Locomotive ID","value":"4011"},{"id":130,"name":"Impact","value":""},{"id":150,"name":"Time of Event (Mountain Time)","value":"08:38:11"},{"id":151,"name":"Denver Issue ID","value":""},{"id":178,"name":"Operational Impact","value":"Yes"},{"id":179,"name":"Denver Segment Assigned","value":""}]}} | curl --insecure -X POST -H "Content-Type: application/json" -H "X-Redmine-API-Key: %REDMINEAPIKEY%" https://secure.xorail.net/redmine/issues.json --data @-</v>
      </c>
      <c r="AJ40" s="20"/>
      <c r="AK40" s="47"/>
      <c r="AL40" s="47"/>
      <c r="AM40" s="142" t="str">
        <f t="shared" si="21"/>
        <v>start /low /b %USERPROFILE%\Documents\GitHub\eaglep3\Utilities\DownloadLogsFromS3.py --loco 4011 --day 2017-10-05</v>
      </c>
      <c r="AN40"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ID","value":"4011"},{"id":20,"name":"RR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14:38:11"},{"id":29,"name":"Sharepoint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40" s="168" t="str">
        <f t="shared" si="23"/>
        <v>https://d0f6bd738d7f1b3e5a7ca70fe4ff75f0.us-east-1.aws.found.io/app/kibana#/discover/Steve-Slow-Train-Analysis-(2080s-and-2083s)?_g=(refreshInterval:(display:Off,pause:!f,section:0,value:0),time:(from:'2017-10-05T06:39:52-0600',mode:absolute,to:'2017-10-05T09:38:11-0600'))&amp;_a=(columns:!('Message%20ID',Summary),filters:!(),index:'emp_*',interval:auto,query:(query_string:(analyze_wildcard:!t,query:'%22rtdc.l.rtdc.4011%22')),sort:!(Time.ISO8601,asc))</v>
      </c>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row>
    <row r="41" spans="1:91" s="1" customFormat="1" x14ac:dyDescent="0.25">
      <c r="A41" s="32" t="s">
        <v>658</v>
      </c>
      <c r="B41" s="7">
        <v>4008</v>
      </c>
      <c r="C41" s="21" t="s">
        <v>194</v>
      </c>
      <c r="D41" s="21" t="s">
        <v>381</v>
      </c>
      <c r="E41" s="13">
        <v>43013.306030092594</v>
      </c>
      <c r="F41" s="13">
        <v>43013.307453703703</v>
      </c>
      <c r="G41" s="7">
        <v>44</v>
      </c>
      <c r="H41" s="21" t="s">
        <v>835</v>
      </c>
      <c r="I41" s="13">
        <v>43013.337048611109</v>
      </c>
      <c r="J41" s="7">
        <v>0</v>
      </c>
      <c r="K41" s="89" t="str">
        <f t="shared" si="0"/>
        <v>4007/4008</v>
      </c>
      <c r="L41" s="185" t="str">
        <f>VLOOKUP(A41,'Trips&amp;Operators'!$C$1:$G$99911,5,FALSE)</f>
        <v>MAELZER KURT</v>
      </c>
      <c r="M41" s="6">
        <f t="shared" si="1"/>
        <v>2.9594907406135462E-2</v>
      </c>
      <c r="N41" s="7">
        <f t="shared" si="24"/>
        <v>42.616666664835066</v>
      </c>
      <c r="O41" s="7"/>
      <c r="P41" s="7"/>
      <c r="Q41" s="22"/>
      <c r="R41" s="174"/>
      <c r="S41" s="221">
        <f t="shared" si="3"/>
        <v>1</v>
      </c>
      <c r="T41" s="174" t="str">
        <f t="shared" si="4"/>
        <v>NorthBound</v>
      </c>
      <c r="U41" s="198">
        <f>IF(AG41="EC",COUNTIFS(Variables!$M$2:$M$19,IF(T41="NorthBound","&gt;=","&lt;=")&amp;Y41,Variables!$M$2:$M$19,IF(T41="NorthBound","&lt;=","&gt;=")&amp;Z41),COUNTIFS(Variables!$P$2:$P$19,IF(T41="NorthBound","&gt;=","&lt;=")&amp;Y41,Variables!$P$2:$P$19,IF(T41="NorthBound","&lt;=","&gt;=")&amp;Z41))</f>
        <v>12</v>
      </c>
      <c r="V41" s="216" t="str">
        <f t="shared" si="5"/>
        <v>https://d0f6bd738d7f1b3e5a7ca70fe4ff75f0.us-east-1.aws.found.io/app/kibana#/discover/Steve-Slow-Train-Analysis-(2080s-and-2083s)?_g=(refreshInterval:(display:Off,pause:!f,section:0,value:0),time:(from:'2017-10-05T06:20:41-0600',mode:absolute,to:'2017-10-05T09:05:21-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4008%22')),sort:!(Time.ISO8601,asc))</v>
      </c>
      <c r="W41" s="204" t="str">
        <f>IF(AA41&lt;VLOOKUP(AG41,Variables!$AC$3:$AD$8,2,FALSE),"Y","N")</f>
        <v>N</v>
      </c>
      <c r="X41" s="204">
        <f t="shared" si="6"/>
        <v>1</v>
      </c>
      <c r="Y41" s="204">
        <f t="shared" si="7"/>
        <v>4.4699999999999997E-2</v>
      </c>
      <c r="Z41" s="204">
        <f t="shared" si="8"/>
        <v>23.3339</v>
      </c>
      <c r="AA41" s="204">
        <f t="shared" si="9"/>
        <v>23.289200000000001</v>
      </c>
      <c r="AB41" s="54" t="e">
        <f>VLOOKUP(A41,Enforcements!$C$7:$K$11,8,0)</f>
        <v>#N/A</v>
      </c>
      <c r="AC41" s="51" t="e">
        <f>VLOOKUP(A41,Enforcements!$C$7:$E$11,3,0)</f>
        <v>#N/A</v>
      </c>
      <c r="AD41" s="179">
        <f t="shared" si="10"/>
        <v>129</v>
      </c>
      <c r="AE41" s="77" t="str">
        <f t="shared" si="11"/>
        <v>aws s3 cp s3://rtdc.mdm.uploadarchive.raw/RTDC4008/ "%USERPROFILE%\AppData\Local\Temp\OnboardLogs"\RTDC4008\2017-10-05 --exclude "*" --recursive --include "*20171005*" &amp; "%USERPROFILE%\Documents\GitHub\mrs-test-scripts\Headless Mode &amp; Sideloading\WalkAndUnGZ.bat" "%USERPROFILE%\AppData\Local\Temp\OnboardLogs"\RTDC4008\2017-10-05 &amp; aws s3 cp s3://rtdc.mdm.uploadarchive.raw/RTDC4008/ "%USERPROFILE%\AppData\Local\Temp\OnboardLogs"\RTDC4008\2017-10-06 --exclude "*" --recursive --include "*20171006*" &amp; "%USERPROFILE%\Documents\GitHub\mrs-test-scripts\Headless Mode &amp; Sideloading\WalkAndUnGZ.bat" "%USERPROFILE%\AppData\Local\Temp\OnboardLogs"\RTDC4008\2017-10-06</v>
      </c>
      <c r="AF41" s="74" t="str">
        <f t="shared" si="12"/>
        <v>"C:\Program Files (x86)\AstroGrep\AstroGrep.exe" /e /r /s /spath="%USERPROFILE%\AppData\Local\Temp\OnboardLogs" /stypes="app*4008*20171005*" /stext=" 14:.+((SYSTEM_STATE.+slice.+state.+changed )|(ment ac)|(multiple cpu faults)|(system.+state.+changed )|(\[timeout)|(PRM\|1\|D)|(kpr)|(kdp)|(train st.+moving)|(\|lc)|(penalty))"</v>
      </c>
      <c r="AG41" s="182" t="str">
        <f t="shared" si="13"/>
        <v>EC</v>
      </c>
      <c r="AH41" s="78" t="str">
        <f t="shared" si="19"/>
        <v>"%USERPROFILE%\Documents\GitHub\eaglep3\Utilities\RefineRTDCRunTimes.py" --tripid 129-05 --locoid 4008 --swversion DE.1.0.9.0 --startMP 204:447 --initTime 2017-10-05T07:20:41 --startdatetime 2017-10-05T07:22:44 --delay 44 --endMP 204:233339 --enddatetime 2017-10-05T08:05:21 --enforcementcount 0 &gt;&gt;%USERPROFILE%\Documents\GitHub\eaglep3-reporting\EC\2017-10-05-refined-times.txt</v>
      </c>
      <c r="AI41" s="96" t="str">
        <f t="shared" si="20"/>
        <v>echo {"issue":{"subject":"","project_id":79,"tracker_id":40,"status_id":1,"priority_id":2,"assigned_to_id":338,"start_date":"2017-10-05","description":"","custom_fields":[{"id":1,"name":"Subdivision","value":"EC"},{"id":4,"name":"Milepost","value":"23.3339"},{"id":17,"name":"Train ID","value":"129-05"},{"id":16,"name":"Locomotive ID","value":"4008"},{"id":130,"name":"Impact","value":""},{"id":150,"name":"Time of Event (Mountain Time)","value":"08:05:21"},{"id":151,"name":"Denver Issue ID","value":""},{"id":178,"name":"Operational Impact","value":"Yes"},{"id":179,"name":"Denver Segment Assigned","value":""}]}} | curl --insecure -X POST -H "Content-Type: application/json" -H "X-Redmine-API-Key: %REDMINEAPIKEY%" https://secure.xorail.net/redmine/issues.json --data @-</v>
      </c>
      <c r="AJ41" s="20"/>
      <c r="AK41" s="47"/>
      <c r="AL41" s="47"/>
      <c r="AM41" s="142" t="str">
        <f t="shared" si="21"/>
        <v>start /low /b %USERPROFILE%\Documents\GitHub\eaglep3\Utilities\DownloadLogsFromS3.py --loco 4008 --day 2017-10-05</v>
      </c>
      <c r="AN41"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ID","value":"4008"},{"id":20,"name":"RR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14:05:21"},{"id":29,"name":"Sharepoint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41" s="168" t="str">
        <f t="shared" si="23"/>
        <v>https://d0f6bd738d7f1b3e5a7ca70fe4ff75f0.us-east-1.aws.found.io/app/kibana#/discover/Steve-Slow-Train-Analysis-(2080s-and-2083s)?_g=(refreshInterval:(display:Off,pause:!f,section:0,value:0),time:(from:'2017-10-05T06:20:41-0600',mode:absolute,to:'2017-10-05T09:05:21-0600'))&amp;_a=(columns:!('Message%20ID',Summary),filters:!(),index:'emp_*',interval:auto,query:(query_string:(analyze_wildcard:!t,query:'%22rtdc.l.rtdc.4008%22')),sort:!(Time.ISO8601,asc))</v>
      </c>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row>
    <row r="42" spans="1:91" s="1" customFormat="1" x14ac:dyDescent="0.25">
      <c r="A42" s="32" t="s">
        <v>669</v>
      </c>
      <c r="B42" s="7">
        <v>4007</v>
      </c>
      <c r="C42" s="21" t="s">
        <v>194</v>
      </c>
      <c r="D42" s="21" t="s">
        <v>836</v>
      </c>
      <c r="E42" s="13">
        <v>43013.339687500003</v>
      </c>
      <c r="F42" s="13">
        <v>43013.341886574075</v>
      </c>
      <c r="G42" s="7">
        <v>54</v>
      </c>
      <c r="H42" s="21" t="s">
        <v>359</v>
      </c>
      <c r="I42" s="13">
        <v>43013.369363425925</v>
      </c>
      <c r="J42" s="7">
        <v>0</v>
      </c>
      <c r="K42" s="89" t="str">
        <f t="shared" si="0"/>
        <v>4007/4008</v>
      </c>
      <c r="L42" s="185" t="str">
        <f>VLOOKUP(A42,'Trips&amp;Operators'!$C$1:$G$99911,5,FALSE)</f>
        <v>MAELZER KURT</v>
      </c>
      <c r="M42" s="6">
        <f t="shared" si="1"/>
        <v>2.7476851850224193E-2</v>
      </c>
      <c r="N42" s="7">
        <f t="shared" si="24"/>
        <v>39.566666664322838</v>
      </c>
      <c r="O42" s="7"/>
      <c r="P42" s="7"/>
      <c r="Q42" s="22"/>
      <c r="R42" s="174"/>
      <c r="S42" s="221">
        <f t="shared" si="3"/>
        <v>1</v>
      </c>
      <c r="T42" s="174" t="str">
        <f t="shared" si="4"/>
        <v>Southbound</v>
      </c>
      <c r="U42" s="198">
        <f>IF(AG42="EC",COUNTIFS(Variables!$M$2:$M$19,IF(T42="NorthBound","&gt;=","&lt;=")&amp;Y42,Variables!$M$2:$M$19,IF(T42="NorthBound","&lt;=","&gt;=")&amp;Z42),COUNTIFS(Variables!$P$2:$P$19,IF(T42="NorthBound","&gt;=","&lt;=")&amp;Y42,Variables!$P$2:$P$19,IF(T42="NorthBound","&lt;=","&gt;=")&amp;Z42))</f>
        <v>12</v>
      </c>
      <c r="V42" s="216" t="str">
        <f t="shared" si="5"/>
        <v>https://d0f6bd738d7f1b3e5a7ca70fe4ff75f0.us-east-1.aws.found.io/app/kibana#/discover/Steve-Slow-Train-Analysis-(2080s-and-2083s)?_g=(refreshInterval:(display:Off,pause:!f,section:0,value:0),time:(from:'2017-10-05T07:09:09-0600',mode:absolute,to:'2017-10-05T09:51:53-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4007%22')),sort:!(Time.ISO8601,asc))</v>
      </c>
      <c r="W42" s="204" t="str">
        <f>IF(AA42&lt;VLOOKUP(AG42,Variables!$AC$3:$AD$8,2,FALSE),"Y","N")</f>
        <v>N</v>
      </c>
      <c r="X42" s="204">
        <f t="shared" si="6"/>
        <v>1</v>
      </c>
      <c r="Y42" s="204">
        <f t="shared" si="7"/>
        <v>23.302499999999998</v>
      </c>
      <c r="Z42" s="204">
        <f t="shared" si="8"/>
        <v>1.4500000000000001E-2</v>
      </c>
      <c r="AA42" s="204">
        <f t="shared" si="9"/>
        <v>23.287999999999997</v>
      </c>
      <c r="AB42" s="54" t="e">
        <f>VLOOKUP(A42,Enforcements!$C$7:$K$11,8,0)</f>
        <v>#N/A</v>
      </c>
      <c r="AC42" s="51" t="e">
        <f>VLOOKUP(A42,Enforcements!$C$7:$E$11,3,0)</f>
        <v>#N/A</v>
      </c>
      <c r="AD42" s="179">
        <f t="shared" si="10"/>
        <v>130</v>
      </c>
      <c r="AE42" s="77" t="str">
        <f t="shared" si="11"/>
        <v>aws s3 cp s3://rtdc.mdm.uploadarchive.raw/RTDC4007/ "%USERPROFILE%\AppData\Local\Temp\OnboardLogs"\RTDC4007\2017-10-05 --exclude "*" --recursive --include "*20171005*" &amp; "%USERPROFILE%\Documents\GitHub\mrs-test-scripts\Headless Mode &amp; Sideloading\WalkAndUnGZ.bat" "%USERPROFILE%\AppData\Local\Temp\OnboardLogs"\RTDC4007\2017-10-05 &amp; aws s3 cp s3://rtdc.mdm.uploadarchive.raw/RTDC4007/ "%USERPROFILE%\AppData\Local\Temp\OnboardLogs"\RTDC4007\2017-10-06 --exclude "*" --recursive --include "*20171006*" &amp; "%USERPROFILE%\Documents\GitHub\mrs-test-scripts\Headless Mode &amp; Sideloading\WalkAndUnGZ.bat" "%USERPROFILE%\AppData\Local\Temp\OnboardLogs"\RTDC4007\2017-10-06</v>
      </c>
      <c r="AF42" s="74" t="str">
        <f t="shared" si="12"/>
        <v>"C:\Program Files (x86)\AstroGrep\AstroGrep.exe" /e /r /s /spath="%USERPROFILE%\AppData\Local\Temp\OnboardLogs" /stypes="app*4007*20171005*" /stext=" 14:.+((SYSTEM_STATE.+slice.+state.+changed )|(ment ac)|(multiple cpu faults)|(system.+state.+changed )|(\[timeout)|(PRM\|1\|D)|(kpr)|(kdp)|(train st.+moving)|(\|lc)|(penalty))"</v>
      </c>
      <c r="AG42" s="182" t="str">
        <f t="shared" si="13"/>
        <v>EC</v>
      </c>
      <c r="AH42" s="78" t="str">
        <f t="shared" si="19"/>
        <v>"%USERPROFILE%\Documents\GitHub\eaglep3\Utilities\RefineRTDCRunTimes.py" --tripid 130-05 --locoid 4007 --swversion DE.1.0.9.0 --startMP 204:233025 --initTime 2017-10-05T08:09:09 --startdatetime 2017-10-05T08:12:19 --delay 54 --endMP 204:145 --enddatetime 2017-10-05T08:51:53 --enforcementcount 0 &gt;&gt;%USERPROFILE%\Documents\GitHub\eaglep3-reporting\EC\2017-10-05-refined-times.txt</v>
      </c>
      <c r="AI42" s="96" t="str">
        <f t="shared" si="20"/>
        <v>echo {"issue":{"subject":"","project_id":79,"tracker_id":40,"status_id":1,"priority_id":2,"assigned_to_id":338,"start_date":"2017-10-05","description":"","custom_fields":[{"id":1,"name":"Subdivision","value":"EC"},{"id":4,"name":"Milepost","value":"0.0145"},{"id":17,"name":"Train ID","value":"130-05"},{"id":16,"name":"Locomotive ID","value":"4007"},{"id":130,"name":"Impact","value":""},{"id":150,"name":"Time of Event (Mountain Time)","value":"08:51:53"},{"id":151,"name":"Denver Issue ID","value":""},{"id":178,"name":"Operational Impact","value":"Yes"},{"id":179,"name":"Denver Segment Assigned","value":""}]}} | curl --insecure -X POST -H "Content-Type: application/json" -H "X-Redmine-API-Key: %REDMINEAPIKEY%" https://secure.xorail.net/redmine/issues.json --data @-</v>
      </c>
      <c r="AJ42" s="20"/>
      <c r="AK42" s="47"/>
      <c r="AL42" s="47"/>
      <c r="AM42" s="142" t="str">
        <f t="shared" si="21"/>
        <v>start /low /b %USERPROFILE%\Documents\GitHub\eaglep3\Utilities\DownloadLogsFromS3.py --loco 4007 --day 2017-10-05</v>
      </c>
      <c r="AN42"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ID","value":"4007"},{"id":20,"name":"RR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14:51:53"},{"id":29,"name":"Sharepoint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42" s="168" t="str">
        <f t="shared" si="23"/>
        <v>https://d0f6bd738d7f1b3e5a7ca70fe4ff75f0.us-east-1.aws.found.io/app/kibana#/discover/Steve-Slow-Train-Analysis-(2080s-and-2083s)?_g=(refreshInterval:(display:Off,pause:!f,section:0,value:0),time:(from:'2017-10-05T07:09:09-0600',mode:absolute,to:'2017-10-05T09:51:53-0600'))&amp;_a=(columns:!('Message%20ID',Summary),filters:!(),index:'emp_*',interval:auto,query:(query_string:(analyze_wildcard:!t,query:'%22rtdc.l.rtdc.4007%22')),sort:!(Time.ISO8601,asc))</v>
      </c>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row>
    <row r="43" spans="1:91" s="1" customFormat="1" x14ac:dyDescent="0.25">
      <c r="A43" s="32" t="s">
        <v>662</v>
      </c>
      <c r="B43" s="7">
        <v>4016</v>
      </c>
      <c r="C43" s="21" t="s">
        <v>194</v>
      </c>
      <c r="D43" s="21" t="s">
        <v>346</v>
      </c>
      <c r="E43" s="13">
        <v>43013.310486111113</v>
      </c>
      <c r="F43" s="13">
        <v>43013.312696759262</v>
      </c>
      <c r="G43" s="7">
        <v>68</v>
      </c>
      <c r="H43" s="21" t="s">
        <v>825</v>
      </c>
      <c r="I43" s="13">
        <v>43013.340798611112</v>
      </c>
      <c r="J43" s="7">
        <v>0</v>
      </c>
      <c r="K43" s="89" t="str">
        <f t="shared" si="0"/>
        <v>4015/4016</v>
      </c>
      <c r="L43" s="185" t="str">
        <f>VLOOKUP(A43,'Trips&amp;Operators'!$C$1:$G$99911,5,FALSE)</f>
        <v>YANG JAN</v>
      </c>
      <c r="M43" s="6">
        <f t="shared" si="1"/>
        <v>2.810185185080627E-2</v>
      </c>
      <c r="N43" s="7">
        <f t="shared" si="24"/>
        <v>40.466666665161029</v>
      </c>
      <c r="O43" s="7"/>
      <c r="P43" s="7"/>
      <c r="Q43" s="22"/>
      <c r="R43" s="174"/>
      <c r="S43" s="221">
        <f t="shared" si="3"/>
        <v>1</v>
      </c>
      <c r="T43" s="174" t="str">
        <f t="shared" si="4"/>
        <v>NorthBound</v>
      </c>
      <c r="U43" s="198">
        <f>IF(AG43="EC",COUNTIFS(Variables!$M$2:$M$19,IF(T43="NorthBound","&gt;=","&lt;=")&amp;Y43,Variables!$M$2:$M$19,IF(T43="NorthBound","&lt;=","&gt;=")&amp;Z43),COUNTIFS(Variables!$P$2:$P$19,IF(T43="NorthBound","&gt;=","&lt;=")&amp;Y43,Variables!$P$2:$P$19,IF(T43="NorthBound","&lt;=","&gt;=")&amp;Z43))</f>
        <v>12</v>
      </c>
      <c r="V43" s="216" t="str">
        <f t="shared" si="5"/>
        <v>https://d0f6bd738d7f1b3e5a7ca70fe4ff75f0.us-east-1.aws.found.io/app/kibana#/discover/Steve-Slow-Train-Analysis-(2080s-and-2083s)?_g=(refreshInterval:(display:Off,pause:!f,section:0,value:0),time:(from:'2017-10-05T06:27:06-0600',mode:absolute,to:'2017-10-05T09:10:45-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W43" s="204" t="str">
        <f>IF(AA43&lt;VLOOKUP(AG43,Variables!$AC$3:$AD$8,2,FALSE),"Y","N")</f>
        <v>N</v>
      </c>
      <c r="X43" s="204">
        <f t="shared" si="6"/>
        <v>1</v>
      </c>
      <c r="Y43" s="204">
        <f t="shared" si="7"/>
        <v>4.5499999999999999E-2</v>
      </c>
      <c r="Z43" s="204">
        <f t="shared" si="8"/>
        <v>23.331900000000001</v>
      </c>
      <c r="AA43" s="204">
        <f t="shared" si="9"/>
        <v>23.2864</v>
      </c>
      <c r="AB43" s="54" t="e">
        <f>VLOOKUP(A43,Enforcements!$C$7:$K$11,8,0)</f>
        <v>#N/A</v>
      </c>
      <c r="AC43" s="51" t="e">
        <f>VLOOKUP(A43,Enforcements!$C$7:$E$11,3,0)</f>
        <v>#N/A</v>
      </c>
      <c r="AD43" s="179">
        <f t="shared" si="10"/>
        <v>131</v>
      </c>
      <c r="AE43" s="77" t="str">
        <f t="shared" si="11"/>
        <v>aws s3 cp s3://rtdc.mdm.uploadarchive.raw/RTDC4016/ "%USERPROFILE%\AppData\Local\Temp\OnboardLogs"\RTDC4016\2017-10-05 --exclude "*" --recursive --include "*20171005*" &amp; "%USERPROFILE%\Documents\GitHub\mrs-test-scripts\Headless Mode &amp; Sideloading\WalkAndUnGZ.bat" "%USERPROFILE%\AppData\Local\Temp\OnboardLogs"\RTDC4016\2017-10-05 &amp; aws s3 cp s3://rtdc.mdm.uploadarchive.raw/RTDC4016/ "%USERPROFILE%\AppData\Local\Temp\OnboardLogs"\RTDC4016\2017-10-06 --exclude "*" --recursive --include "*20171006*" &amp; "%USERPROFILE%\Documents\GitHub\mrs-test-scripts\Headless Mode &amp; Sideloading\WalkAndUnGZ.bat" "%USERPROFILE%\AppData\Local\Temp\OnboardLogs"\RTDC4016\2017-10-06</v>
      </c>
      <c r="AF43" s="74" t="str">
        <f t="shared" si="12"/>
        <v>"C:\Program Files (x86)\AstroGrep\AstroGrep.exe" /e /r /s /spath="%USERPROFILE%\AppData\Local\Temp\OnboardLogs" /stypes="app*4016*20171005*" /stext=" 14:.+((SYSTEM_STATE.+slice.+state.+changed )|(ment ac)|(multiple cpu faults)|(system.+state.+changed )|(\[timeout)|(PRM\|1\|D)|(kpr)|(kdp)|(train st.+moving)|(\|lc)|(penalty))"</v>
      </c>
      <c r="AG43" s="182" t="str">
        <f t="shared" si="13"/>
        <v>EC</v>
      </c>
      <c r="AH43" s="78" t="str">
        <f t="shared" si="19"/>
        <v>"%USERPROFILE%\Documents\GitHub\eaglep3\Utilities\RefineRTDCRunTimes.py" --tripid 131-05 --locoid 4016 --swversion DE.1.0.9.0 --startMP 204:455 --initTime 2017-10-05T07:27:06 --startdatetime 2017-10-05T07:30:17 --delay 68 --endMP 204:233319 --enddatetime 2017-10-05T08:10:45 --enforcementcount 0 &gt;&gt;%USERPROFILE%\Documents\GitHub\eaglep3-reporting\EC\2017-10-05-refined-times.txt</v>
      </c>
      <c r="AI43" s="96" t="str">
        <f t="shared" si="20"/>
        <v>echo {"issue":{"subject":"","project_id":79,"tracker_id":40,"status_id":1,"priority_id":2,"assigned_to_id":338,"start_date":"2017-10-05","description":"","custom_fields":[{"id":1,"name":"Subdivision","value":"EC"},{"id":4,"name":"Milepost","value":"23.3319"},{"id":17,"name":"Train ID","value":"131-05"},{"id":16,"name":"Locomotive ID","value":"4016"},{"id":130,"name":"Impact","value":""},{"id":150,"name":"Time of Event (Mountain Time)","value":"08:10:45"},{"id":151,"name":"Denver Issue ID","value":""},{"id":178,"name":"Operational Impact","value":"Yes"},{"id":179,"name":"Denver Segment Assigned","value":""}]}} | curl --insecure -X POST -H "Content-Type: application/json" -H "X-Redmine-API-Key: %REDMINEAPIKEY%" https://secure.xorail.net/redmine/issues.json --data @-</v>
      </c>
      <c r="AJ43" s="20"/>
      <c r="AK43" s="47"/>
      <c r="AL43" s="47"/>
      <c r="AM43" s="142" t="str">
        <f t="shared" si="21"/>
        <v>start /low /b %USERPROFILE%\Documents\GitHub\eaglep3\Utilities\DownloadLogsFromS3.py --loco 4016 --day 2017-10-05</v>
      </c>
      <c r="AN43"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ID","value":"4016"},{"id":20,"name":"RR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14:10:45"},{"id":29,"name":"Sharepoint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43" s="168" t="str">
        <f t="shared" si="23"/>
        <v>https://d0f6bd738d7f1b3e5a7ca70fe4ff75f0.us-east-1.aws.found.io/app/kibana#/discover/Steve-Slow-Train-Analysis-(2080s-and-2083s)?_g=(refreshInterval:(display:Off,pause:!f,section:0,value:0),time:(from:'2017-10-05T06:27:06-0600',mode:absolute,to:'2017-10-05T09:10:45-0600'))&amp;_a=(columns:!('Message%20ID',Summary),filters:!(),index:'emp_*',interval:auto,query:(query_string:(analyze_wildcard:!t,query:'%22rtdc.l.rtdc.4016%22')),sort:!(Time.ISO8601,asc))</v>
      </c>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row>
    <row r="44" spans="1:91" s="1" customFormat="1" x14ac:dyDescent="0.25">
      <c r="A44" s="32" t="s">
        <v>671</v>
      </c>
      <c r="B44" s="7">
        <v>4015</v>
      </c>
      <c r="C44" s="21" t="s">
        <v>194</v>
      </c>
      <c r="D44" s="21" t="s">
        <v>425</v>
      </c>
      <c r="E44" s="13">
        <v>43013.346990740742</v>
      </c>
      <c r="F44" s="13">
        <v>43013.352256944447</v>
      </c>
      <c r="G44" s="7">
        <v>59</v>
      </c>
      <c r="H44" s="21" t="s">
        <v>340</v>
      </c>
      <c r="I44" s="13">
        <v>43013.379236111112</v>
      </c>
      <c r="J44" s="7">
        <v>0</v>
      </c>
      <c r="K44" s="89" t="str">
        <f t="shared" si="0"/>
        <v>4015/4016</v>
      </c>
      <c r="L44" s="185" t="str">
        <f>VLOOKUP(A44,'Trips&amp;Operators'!$C$1:$G$99911,5,FALSE)</f>
        <v>YANG JAN</v>
      </c>
      <c r="M44" s="6">
        <f t="shared" si="1"/>
        <v>2.6979166665114462E-2</v>
      </c>
      <c r="N44" s="7">
        <f t="shared" si="24"/>
        <v>38.849999997764826</v>
      </c>
      <c r="O44" s="7"/>
      <c r="P44" s="7"/>
      <c r="Q44" s="22"/>
      <c r="R44" s="174"/>
      <c r="S44" s="221">
        <f t="shared" si="3"/>
        <v>1</v>
      </c>
      <c r="T44" s="174" t="str">
        <f t="shared" si="4"/>
        <v>Southbound</v>
      </c>
      <c r="U44" s="198">
        <f>IF(AG44="EC",COUNTIFS(Variables!$M$2:$M$19,IF(T44="NorthBound","&gt;=","&lt;=")&amp;Y44,Variables!$M$2:$M$19,IF(T44="NorthBound","&lt;=","&gt;=")&amp;Z44),COUNTIFS(Variables!$P$2:$P$19,IF(T44="NorthBound","&gt;=","&lt;=")&amp;Y44,Variables!$P$2:$P$19,IF(T44="NorthBound","&lt;=","&gt;=")&amp;Z44))</f>
        <v>12</v>
      </c>
      <c r="V44" s="216" t="str">
        <f t="shared" si="5"/>
        <v>https://d0f6bd738d7f1b3e5a7ca70fe4ff75f0.us-east-1.aws.found.io/app/kibana#/discover/Steve-Slow-Train-Analysis-(2080s-and-2083s)?_g=(refreshInterval:(display:Off,pause:!f,section:0,value:0),time:(from:'2017-10-05T07:19:40-0600',mode:absolute,to:'2017-10-05T10:06:06-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4015%22')),sort:!(Time.ISO8601,asc))</v>
      </c>
      <c r="W44" s="204" t="str">
        <f>IF(AA44&lt;VLOOKUP(AG44,Variables!$AC$3:$AD$8,2,FALSE),"Y","N")</f>
        <v>N</v>
      </c>
      <c r="X44" s="204">
        <f t="shared" si="6"/>
        <v>1</v>
      </c>
      <c r="Y44" s="204">
        <f t="shared" si="7"/>
        <v>23.3002</v>
      </c>
      <c r="Z44" s="204">
        <f t="shared" si="8"/>
        <v>1.47E-2</v>
      </c>
      <c r="AA44" s="204">
        <f t="shared" si="9"/>
        <v>23.285499999999999</v>
      </c>
      <c r="AB44" s="54" t="e">
        <f>VLOOKUP(A44,Enforcements!$C$7:$K$11,8,0)</f>
        <v>#N/A</v>
      </c>
      <c r="AC44" s="51" t="e">
        <f>VLOOKUP(A44,Enforcements!$C$7:$E$11,3,0)</f>
        <v>#N/A</v>
      </c>
      <c r="AD44" s="179">
        <f t="shared" si="10"/>
        <v>132</v>
      </c>
      <c r="AE44" s="77" t="str">
        <f t="shared" si="11"/>
        <v>aws s3 cp s3://rtdc.mdm.uploadarchive.raw/RTDC4015/ "%USERPROFILE%\AppData\Local\Temp\OnboardLogs"\RTDC4015\2017-10-05 --exclude "*" --recursive --include "*20171005*" &amp; "%USERPROFILE%\Documents\GitHub\mrs-test-scripts\Headless Mode &amp; Sideloading\WalkAndUnGZ.bat" "%USERPROFILE%\AppData\Local\Temp\OnboardLogs"\RTDC4015\2017-10-05 &amp; aws s3 cp s3://rtdc.mdm.uploadarchive.raw/RTDC4015/ "%USERPROFILE%\AppData\Local\Temp\OnboardLogs"\RTDC4015\2017-10-06 --exclude "*" --recursive --include "*20171006*" &amp; "%USERPROFILE%\Documents\GitHub\mrs-test-scripts\Headless Mode &amp; Sideloading\WalkAndUnGZ.bat" "%USERPROFILE%\AppData\Local\Temp\OnboardLogs"\RTDC4015\2017-10-06</v>
      </c>
      <c r="AF44" s="74" t="str">
        <f t="shared" si="12"/>
        <v>"C:\Program Files (x86)\AstroGrep\AstroGrep.exe" /e /r /s /spath="%USERPROFILE%\AppData\Local\Temp\OnboardLogs" /stypes="app*4015*20171005*" /stext=" 15:.+((SYSTEM_STATE.+slice.+state.+changed )|(ment ac)|(multiple cpu faults)|(system.+state.+changed )|(\[timeout)|(PRM\|1\|D)|(kpr)|(kdp)|(train st.+moving)|(\|lc)|(penalty))"</v>
      </c>
      <c r="AG44" s="182" t="str">
        <f t="shared" si="13"/>
        <v>EC</v>
      </c>
      <c r="AH44" s="78" t="str">
        <f t="shared" si="19"/>
        <v>"%USERPROFILE%\Documents\GitHub\eaglep3\Utilities\RefineRTDCRunTimes.py" --tripid 132-05 --locoid 4015 --swversion DE.1.0.9.0 --startMP 204:233002 --initTime 2017-10-05T08:19:40 --startdatetime 2017-10-05T08:27:15 --delay 59 --endMP 204:147 --enddatetime 2017-10-05T09:06:06 --enforcementcount 0 &gt;&gt;%USERPROFILE%\Documents\GitHub\eaglep3-reporting\EC\2017-10-05-refined-times.txt</v>
      </c>
      <c r="AI44" s="96" t="str">
        <f t="shared" si="20"/>
        <v>echo {"issue":{"subject":"","project_id":79,"tracker_id":40,"status_id":1,"priority_id":2,"assigned_to_id":338,"start_date":"2017-10-05","description":"","custom_fields":[{"id":1,"name":"Subdivision","value":"EC"},{"id":4,"name":"Milepost","value":"0.0147"},{"id":17,"name":"Train ID","value":"132-05"},{"id":16,"name":"Locomotive ID","value":"4015"},{"id":130,"name":"Impact","value":""},{"id":150,"name":"Time of Event (Mountain Time)","value":"09:06:06"},{"id":151,"name":"Denver Issue ID","value":""},{"id":178,"name":"Operational Impact","value":"Yes"},{"id":179,"name":"Denver Segment Assigned","value":""}]}} | curl --insecure -X POST -H "Content-Type: application/json" -H "X-Redmine-API-Key: %REDMINEAPIKEY%" https://secure.xorail.net/redmine/issues.json --data @-</v>
      </c>
      <c r="AJ44" s="20"/>
      <c r="AK44" s="47"/>
      <c r="AL44" s="47"/>
      <c r="AM44" s="142" t="str">
        <f t="shared" si="21"/>
        <v>start /low /b %USERPROFILE%\Documents\GitHub\eaglep3\Utilities\DownloadLogsFromS3.py --loco 4015 --day 2017-10-05</v>
      </c>
      <c r="AN44"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ID","value":"4015"},{"id":20,"name":"RR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15:06:06"},{"id":29,"name":"Sharepoint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44" s="168" t="str">
        <f t="shared" si="23"/>
        <v>https://d0f6bd738d7f1b3e5a7ca70fe4ff75f0.us-east-1.aws.found.io/app/kibana#/discover/Steve-Slow-Train-Analysis-(2080s-and-2083s)?_g=(refreshInterval:(display:Off,pause:!f,section:0,value:0),time:(from:'2017-10-05T07:19:40-0600',mode:absolute,to:'2017-10-05T10:06:06-0600'))&amp;_a=(columns:!('Message%20ID',Summary),filters:!(),index:'emp_*',interval:auto,query:(query_string:(analyze_wildcard:!t,query:'%22rtdc.l.rtdc.4015%22')),sort:!(Time.ISO8601,asc))</v>
      </c>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row>
    <row r="45" spans="1:91" s="1" customFormat="1" x14ac:dyDescent="0.25">
      <c r="A45" s="32" t="s">
        <v>665</v>
      </c>
      <c r="B45" s="7">
        <v>4010</v>
      </c>
      <c r="C45" s="21" t="s">
        <v>194</v>
      </c>
      <c r="D45" s="21" t="s">
        <v>338</v>
      </c>
      <c r="E45" s="13">
        <v>43013.319444444445</v>
      </c>
      <c r="F45" s="13">
        <v>43013.323078703703</v>
      </c>
      <c r="G45" s="7">
        <v>65</v>
      </c>
      <c r="H45" s="21" t="s">
        <v>533</v>
      </c>
      <c r="I45" s="13">
        <v>43013.348819444444</v>
      </c>
      <c r="J45" s="7">
        <v>0</v>
      </c>
      <c r="K45" s="89" t="str">
        <f t="shared" ref="K45:K76" si="25">IF(ISEVEN(B45),(B45-1)&amp;"/"&amp;B45,B45&amp;"/"&amp;(B45+1))</f>
        <v>4009/4010</v>
      </c>
      <c r="L45" s="185" t="str">
        <f>VLOOKUP(A45,'Trips&amp;Operators'!$C$1:$G$99911,5,FALSE)</f>
        <v>BONDS REYNALDO</v>
      </c>
      <c r="M45" s="6">
        <f t="shared" ref="M45:M76" si="26">I45-F45</f>
        <v>2.5740740740729962E-2</v>
      </c>
      <c r="N45" s="7">
        <f t="shared" si="24"/>
        <v>37.066666666651145</v>
      </c>
      <c r="O45" s="7"/>
      <c r="P45" s="7"/>
      <c r="Q45" s="22"/>
      <c r="R45" s="174"/>
      <c r="S45" s="221">
        <f t="shared" ref="S45:S64" si="27">1/IF(AG45="EC",12,1)*SUM(U45:U45)</f>
        <v>1</v>
      </c>
      <c r="T45" s="174" t="str">
        <f t="shared" ref="T45:T76" si="28">IF(ISEVEN(LEFT(AD45,4)),"Southbound","NorthBound")</f>
        <v>NorthBound</v>
      </c>
      <c r="U45" s="198">
        <f>IF(AG45="EC",COUNTIFS(Variables!$M$2:$M$19,IF(T45="NorthBound","&gt;=","&lt;=")&amp;Y45,Variables!$M$2:$M$19,IF(T45="NorthBound","&lt;=","&gt;=")&amp;Z45),COUNTIFS(Variables!$P$2:$P$19,IF(T45="NorthBound","&gt;=","&lt;=")&amp;Y45,Variables!$P$2:$P$19,IF(T45="NorthBound","&lt;=","&gt;=")&amp;Z45))</f>
        <v>12</v>
      </c>
      <c r="V45" s="216" t="str">
        <f t="shared" si="5"/>
        <v>https://d0f6bd738d7f1b3e5a7ca70fe4ff75f0.us-east-1.aws.found.io/app/kibana#/discover/Steve-Slow-Train-Analysis-(2080s-and-2083s)?_g=(refreshInterval:(display:Off,pause:!f,section:0,value:0),time:(from:'2017-10-05T06:40:00-0600',mode:absolute,to:'2017-10-05T09:22:18-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45" s="204" t="str">
        <f>IF(AA45&lt;VLOOKUP(AG45,Variables!$AC$3:$AD$8,2,FALSE),"Y","N")</f>
        <v>N</v>
      </c>
      <c r="X45" s="204">
        <f t="shared" ref="X45:X76" si="29">VALUE(LEFT(AD45,4))-VALUE(LEFT(AD44,4))</f>
        <v>1</v>
      </c>
      <c r="Y45" s="204">
        <f t="shared" ref="Y45:Y76" si="30">RIGHT(D45,LEN(D45)-4)/10000</f>
        <v>4.53E-2</v>
      </c>
      <c r="Z45" s="204">
        <f t="shared" ref="Z45:Z76" si="31">RIGHT(H45,LEN(H45)-4)/10000</f>
        <v>23.333200000000001</v>
      </c>
      <c r="AA45" s="204">
        <f t="shared" ref="AA45:AA76" si="32">ABS(Z45-Y45)</f>
        <v>23.2879</v>
      </c>
      <c r="AB45" s="54" t="e">
        <f>VLOOKUP(A45,Enforcements!$C$7:$K$11,8,0)</f>
        <v>#N/A</v>
      </c>
      <c r="AC45" s="51" t="e">
        <f>VLOOKUP(A45,Enforcements!$C$7:$E$11,3,0)</f>
        <v>#N/A</v>
      </c>
      <c r="AD45" s="179">
        <f t="shared" ref="AD45:AD76" si="33">VALUE(LEFT(A45,LEN(A45)-3))</f>
        <v>133</v>
      </c>
      <c r="AE45" s="77" t="str">
        <f t="shared" si="11"/>
        <v>aws s3 cp s3://rtdc.mdm.uploadarchive.raw/RTDC4010/ "%USERPROFILE%\AppData\Local\Temp\OnboardLogs"\RTDC4010\2017-10-05 --exclude "*" --recursive --include "*20171005*" &amp; "%USERPROFILE%\Documents\GitHub\mrs-test-scripts\Headless Mode &amp; Sideloading\WalkAndUnGZ.bat" "%USERPROFILE%\AppData\Local\Temp\OnboardLogs"\RTDC4010\2017-10-05 &amp; aws s3 cp s3://rtdc.mdm.uploadarchive.raw/RTDC4010/ "%USERPROFILE%\AppData\Local\Temp\OnboardLogs"\RTDC4010\2017-10-06 --exclude "*" --recursive --include "*20171006*" &amp; "%USERPROFILE%\Documents\GitHub\mrs-test-scripts\Headless Mode &amp; Sideloading\WalkAndUnGZ.bat" "%USERPROFILE%\AppData\Local\Temp\OnboardLogs"\RTDC4010\2017-10-06</v>
      </c>
      <c r="AF45" s="74" t="str">
        <f t="shared" si="12"/>
        <v>"C:\Program Files (x86)\AstroGrep\AstroGrep.exe" /e /r /s /spath="%USERPROFILE%\AppData\Local\Temp\OnboardLogs" /stypes="app*4010*20171005*" /stext=" 14:.+((SYSTEM_STATE.+slice.+state.+changed )|(ment ac)|(multiple cpu faults)|(system.+state.+changed )|(\[timeout)|(PRM\|1\|D)|(kpr)|(kdp)|(train st.+moving)|(\|lc)|(penalty))"</v>
      </c>
      <c r="AG45" s="182" t="str">
        <f t="shared" ref="AG45:AG76" si="34">DetSubdiv(A45)</f>
        <v>EC</v>
      </c>
      <c r="AH45" s="78" t="str">
        <f t="shared" si="19"/>
        <v>"%USERPROFILE%\Documents\GitHub\eaglep3\Utilities\RefineRTDCRunTimes.py" --tripid 133-05 --locoid 4010 --swversion DE.1.0.9.0 --startMP 204:453 --initTime 2017-10-05T07:40:00 --startdatetime 2017-10-05T07:45:14 --delay 65 --endMP 204:233332 --enddatetime 2017-10-05T08:22:18 --enforcementcount 0 &gt;&gt;%USERPROFILE%\Documents\GitHub\eaglep3-reporting\EC\2017-10-05-refined-times.txt</v>
      </c>
      <c r="AI45" s="96" t="str">
        <f t="shared" si="20"/>
        <v>echo {"issue":{"subject":"","project_id":79,"tracker_id":40,"status_id":1,"priority_id":2,"assigned_to_id":338,"start_date":"2017-10-05","description":"","custom_fields":[{"id":1,"name":"Subdivision","value":"EC"},{"id":4,"name":"Milepost","value":"23.3332"},{"id":17,"name":"Train ID","value":"133-05"},{"id":16,"name":"Locomotive ID","value":"4010"},{"id":130,"name":"Impact","value":""},{"id":150,"name":"Time of Event (Mountain Time)","value":"08:22:18"},{"id":151,"name":"Denver Issue ID","value":""},{"id":178,"name":"Operational Impact","value":"Yes"},{"id":179,"name":"Denver Segment Assigned","value":""}]}} | curl --insecure -X POST -H "Content-Type: application/json" -H "X-Redmine-API-Key: %REDMINEAPIKEY%" https://secure.xorail.net/redmine/issues.json --data @-</v>
      </c>
      <c r="AJ45" s="20"/>
      <c r="AK45" s="47"/>
      <c r="AL45" s="47"/>
      <c r="AM45" s="142" t="str">
        <f t="shared" si="21"/>
        <v>start /low /b %USERPROFILE%\Documents\GitHub\eaglep3\Utilities\DownloadLogsFromS3.py --loco 4010 --day 2017-10-05</v>
      </c>
      <c r="AN45"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ID","value":"4010"},{"id":20,"name":"RR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14:22:18"},{"id":29,"name":"Sharepoint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45" s="168" t="str">
        <f t="shared" si="23"/>
        <v>https://d0f6bd738d7f1b3e5a7ca70fe4ff75f0.us-east-1.aws.found.io/app/kibana#/discover/Steve-Slow-Train-Analysis-(2080s-and-2083s)?_g=(refreshInterval:(display:Off,pause:!f,section:0,value:0),time:(from:'2017-10-05T06:40:00-0600',mode:absolute,to:'2017-10-05T09:22:18-0600'))&amp;_a=(columns:!('Message%20ID',Summary),filters:!(),index:'emp_*',interval:auto,query:(query_string:(analyze_wildcard:!t,query:'%22rtdc.l.rtdc.4010%22')),sort:!(Time.ISO8601,asc))</v>
      </c>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row>
    <row r="46" spans="1:91" s="1" customFormat="1" x14ac:dyDescent="0.25">
      <c r="A46" s="32" t="s">
        <v>584</v>
      </c>
      <c r="B46" s="7">
        <v>4009</v>
      </c>
      <c r="C46" s="21" t="s">
        <v>194</v>
      </c>
      <c r="D46" s="21" t="s">
        <v>549</v>
      </c>
      <c r="E46" s="13">
        <v>43013.359571759262</v>
      </c>
      <c r="F46" s="13">
        <v>43013.362673611111</v>
      </c>
      <c r="G46" s="7">
        <v>51</v>
      </c>
      <c r="H46" s="21" t="s">
        <v>837</v>
      </c>
      <c r="I46" s="13">
        <v>43013.389826388891</v>
      </c>
      <c r="J46" s="7">
        <v>0</v>
      </c>
      <c r="K46" s="89" t="str">
        <f t="shared" si="25"/>
        <v>4009/4010</v>
      </c>
      <c r="L46" s="185" t="str">
        <f>VLOOKUP(A46,'Trips&amp;Operators'!$C$1:$G$99911,5,FALSE)</f>
        <v>BONDS REYNALDO</v>
      </c>
      <c r="M46" s="6">
        <f t="shared" si="26"/>
        <v>2.715277778042946E-2</v>
      </c>
      <c r="N46" s="7">
        <f t="shared" si="24"/>
        <v>39.100000003818423</v>
      </c>
      <c r="O46" s="7"/>
      <c r="P46" s="7"/>
      <c r="Q46" s="22"/>
      <c r="R46" s="174"/>
      <c r="S46" s="221">
        <f t="shared" si="27"/>
        <v>1</v>
      </c>
      <c r="T46" s="174" t="str">
        <f t="shared" si="28"/>
        <v>Southbound</v>
      </c>
      <c r="U46" s="198">
        <f>IF(AG46="EC",COUNTIFS(Variables!$M$2:$M$19,IF(T46="NorthBound","&gt;=","&lt;=")&amp;Y46,Variables!$M$2:$M$19,IF(T46="NorthBound","&lt;=","&gt;=")&amp;Z46),COUNTIFS(Variables!$P$2:$P$19,IF(T46="NorthBound","&gt;=","&lt;=")&amp;Y46,Variables!$P$2:$P$19,IF(T46="NorthBound","&lt;=","&gt;=")&amp;Z46))</f>
        <v>12</v>
      </c>
      <c r="V46" s="216" t="str">
        <f t="shared" si="5"/>
        <v>https://d0f6bd738d7f1b3e5a7ca70fe4ff75f0.us-east-1.aws.found.io/app/kibana#/discover/Steve-Slow-Train-Analysis-(2080s-and-2083s)?_g=(refreshInterval:(display:Off,pause:!f,section:0,value:0),time:(from:'2017-10-05T07:37:47-0600',mode:absolute,to:'2017-10-05T10:21:21-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46" s="204" t="str">
        <f>IF(AA46&lt;VLOOKUP(AG46,Variables!$AC$3:$AD$8,2,FALSE),"Y","N")</f>
        <v>N</v>
      </c>
      <c r="X46" s="204">
        <f t="shared" si="29"/>
        <v>1</v>
      </c>
      <c r="Y46" s="204">
        <f t="shared" si="30"/>
        <v>23.3005</v>
      </c>
      <c r="Z46" s="204">
        <f t="shared" si="31"/>
        <v>1.3599999999999999E-2</v>
      </c>
      <c r="AA46" s="204">
        <f t="shared" si="32"/>
        <v>23.286899999999999</v>
      </c>
      <c r="AB46" s="54" t="e">
        <f>VLOOKUP(A46,Enforcements!$C$7:$K$11,8,0)</f>
        <v>#N/A</v>
      </c>
      <c r="AC46" s="51" t="e">
        <f>VLOOKUP(A46,Enforcements!$C$7:$E$11,3,0)</f>
        <v>#N/A</v>
      </c>
      <c r="AD46" s="179">
        <f t="shared" si="33"/>
        <v>134</v>
      </c>
      <c r="AE46" s="77" t="str">
        <f t="shared" si="11"/>
        <v>aws s3 cp s3://rtdc.mdm.uploadarchive.raw/RTDC4009/ "%USERPROFILE%\AppData\Local\Temp\OnboardLogs"\RTDC4009\2017-10-05 --exclude "*" --recursive --include "*20171005*" &amp; "%USERPROFILE%\Documents\GitHub\mrs-test-scripts\Headless Mode &amp; Sideloading\WalkAndUnGZ.bat" "%USERPROFILE%\AppData\Local\Temp\OnboardLogs"\RTDC4009\2017-10-05 &amp; aws s3 cp s3://rtdc.mdm.uploadarchive.raw/RTDC4009/ "%USERPROFILE%\AppData\Local\Temp\OnboardLogs"\RTDC4009\2017-10-06 --exclude "*" --recursive --include "*20171006*" &amp; "%USERPROFILE%\Documents\GitHub\mrs-test-scripts\Headless Mode &amp; Sideloading\WalkAndUnGZ.bat" "%USERPROFILE%\AppData\Local\Temp\OnboardLogs"\RTDC4009\2017-10-06</v>
      </c>
      <c r="AF46" s="74" t="str">
        <f t="shared" si="12"/>
        <v>"C:\Program Files (x86)\AstroGrep\AstroGrep.exe" /e /r /s /spath="%USERPROFILE%\AppData\Local\Temp\OnboardLogs" /stypes="app*4009*20171005*" /stext=" 15:.+((SYSTEM_STATE.+slice.+state.+changed )|(ment ac)|(multiple cpu faults)|(system.+state.+changed )|(\[timeout)|(PRM\|1\|D)|(kpr)|(kdp)|(train st.+moving)|(\|lc)|(penalty))"</v>
      </c>
      <c r="AG46" s="182" t="str">
        <f t="shared" si="34"/>
        <v>EC</v>
      </c>
      <c r="AH46" s="78" t="str">
        <f t="shared" si="19"/>
        <v>"%USERPROFILE%\Documents\GitHub\eaglep3\Utilities\RefineRTDCRunTimes.py" --tripid 134-05 --locoid 4009 --swversion DE.1.0.9.0 --startMP 204:233005 --initTime 2017-10-05T08:37:47 --startdatetime 2017-10-05T08:42:15 --delay 51 --endMP 204:136 --enddatetime 2017-10-05T09:21:21 --enforcementcount 0 &gt;&gt;%USERPROFILE%\Documents\GitHub\eaglep3-reporting\EC\2017-10-05-refined-times.txt</v>
      </c>
      <c r="AI46" s="96" t="str">
        <f t="shared" si="20"/>
        <v>echo {"issue":{"subject":"","project_id":79,"tracker_id":40,"status_id":1,"priority_id":2,"assigned_to_id":338,"start_date":"2017-10-05","description":"","custom_fields":[{"id":1,"name":"Subdivision","value":"EC"},{"id":4,"name":"Milepost","value":"0.0136"},{"id":17,"name":"Train ID","value":"134-05"},{"id":16,"name":"Locomotive ID","value":"4009"},{"id":130,"name":"Impact","value":""},{"id":150,"name":"Time of Event (Mountain Time)","value":"09:21:21"},{"id":151,"name":"Denver Issue ID","value":""},{"id":178,"name":"Operational Impact","value":"Yes"},{"id":179,"name":"Denver Segment Assigned","value":""}]}} | curl --insecure -X POST -H "Content-Type: application/json" -H "X-Redmine-API-Key: %REDMINEAPIKEY%" https://secure.xorail.net/redmine/issues.json --data @-</v>
      </c>
      <c r="AJ46" s="20"/>
      <c r="AK46" s="47"/>
      <c r="AL46" s="47"/>
      <c r="AM46" s="142" t="str">
        <f t="shared" si="21"/>
        <v>start /low /b %USERPROFILE%\Documents\GitHub\eaglep3\Utilities\DownloadLogsFromS3.py --loco 4009 --day 2017-10-05</v>
      </c>
      <c r="AN46"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ID","value":"4009"},{"id":20,"name":"RR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15:21:21"},{"id":29,"name":"Sharepoint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46" s="168" t="str">
        <f t="shared" si="23"/>
        <v>https://d0f6bd738d7f1b3e5a7ca70fe4ff75f0.us-east-1.aws.found.io/app/kibana#/discover/Steve-Slow-Train-Analysis-(2080s-and-2083s)?_g=(refreshInterval:(display:Off,pause:!f,section:0,value:0),time:(from:'2017-10-05T07:37:47-0600',mode:absolute,to:'2017-10-05T10:21:21-0600'))&amp;_a=(columns:!('Message%20ID',Summary),filters:!(),index:'emp_*',interval:auto,query:(query_string:(analyze_wildcard:!t,query:'%22rtdc.l.rtdc.4009%22')),sort:!(Time.ISO8601,asc))</v>
      </c>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row>
    <row r="47" spans="1:91" s="1" customFormat="1" x14ac:dyDescent="0.25">
      <c r="A47" s="32" t="s">
        <v>666</v>
      </c>
      <c r="B47" s="7">
        <v>4028</v>
      </c>
      <c r="C47" s="21" t="s">
        <v>194</v>
      </c>
      <c r="D47" s="21" t="s">
        <v>346</v>
      </c>
      <c r="E47" s="13">
        <v>43013.330578703702</v>
      </c>
      <c r="F47" s="13">
        <v>43013.333541666667</v>
      </c>
      <c r="G47" s="7">
        <v>53</v>
      </c>
      <c r="H47" s="21" t="s">
        <v>838</v>
      </c>
      <c r="I47" s="13">
        <v>43013.359131944446</v>
      </c>
      <c r="J47" s="7">
        <v>0</v>
      </c>
      <c r="K47" s="89" t="str">
        <f t="shared" si="25"/>
        <v>4027/4028</v>
      </c>
      <c r="L47" s="185" t="str">
        <f>VLOOKUP(A47,'Trips&amp;Operators'!$C$1:$G$99911,5,FALSE)</f>
        <v>GEBRETEKLE DAGNEW</v>
      </c>
      <c r="M47" s="6">
        <f t="shared" si="26"/>
        <v>2.5590277778974269E-2</v>
      </c>
      <c r="N47" s="7">
        <f t="shared" si="24"/>
        <v>36.850000001722947</v>
      </c>
      <c r="O47" s="7"/>
      <c r="P47" s="7"/>
      <c r="Q47" s="22"/>
      <c r="R47" s="174"/>
      <c r="S47" s="221">
        <f t="shared" si="27"/>
        <v>1</v>
      </c>
      <c r="T47" s="174" t="str">
        <f t="shared" si="28"/>
        <v>NorthBound</v>
      </c>
      <c r="U47" s="198">
        <f>IF(AG47="EC",COUNTIFS(Variables!$M$2:$M$19,IF(T47="NorthBound","&gt;=","&lt;=")&amp;Y47,Variables!$M$2:$M$19,IF(T47="NorthBound","&lt;=","&gt;=")&amp;Z47),COUNTIFS(Variables!$P$2:$P$19,IF(T47="NorthBound","&gt;=","&lt;=")&amp;Y47,Variables!$P$2:$P$19,IF(T47="NorthBound","&lt;=","&gt;=")&amp;Z47))</f>
        <v>12</v>
      </c>
      <c r="V47" s="216" t="str">
        <f t="shared" si="5"/>
        <v>https://d0f6bd738d7f1b3e5a7ca70fe4ff75f0.us-east-1.aws.found.io/app/kibana#/discover/Steve-Slow-Train-Analysis-(2080s-and-2083s)?_g=(refreshInterval:(display:Off,pause:!f,section:0,value:0),time:(from:'2017-10-05T06:56:02-0600',mode:absolute,to:'2017-10-05T09:37:09-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47" s="204" t="str">
        <f>IF(AA47&lt;VLOOKUP(AG47,Variables!$AC$3:$AD$8,2,FALSE),"Y","N")</f>
        <v>N</v>
      </c>
      <c r="X47" s="204">
        <f t="shared" si="29"/>
        <v>1</v>
      </c>
      <c r="Y47" s="204">
        <f t="shared" si="30"/>
        <v>4.5499999999999999E-2</v>
      </c>
      <c r="Z47" s="204">
        <f t="shared" si="31"/>
        <v>23.332100000000001</v>
      </c>
      <c r="AA47" s="204">
        <f t="shared" si="32"/>
        <v>23.2866</v>
      </c>
      <c r="AB47" s="54" t="e">
        <f>VLOOKUP(A47,Enforcements!$C$7:$K$11,8,0)</f>
        <v>#N/A</v>
      </c>
      <c r="AC47" s="51" t="e">
        <f>VLOOKUP(A47,Enforcements!$C$7:$E$11,3,0)</f>
        <v>#N/A</v>
      </c>
      <c r="AD47" s="179">
        <f t="shared" si="33"/>
        <v>135</v>
      </c>
      <c r="AE47" s="77" t="str">
        <f t="shared" si="11"/>
        <v>aws s3 cp s3://rtdc.mdm.uploadarchive.raw/RTDC4028/ "%USERPROFILE%\AppData\Local\Temp\OnboardLogs"\RTDC4028\2017-10-05 --exclude "*" --recursive --include "*20171005*" &amp; "%USERPROFILE%\Documents\GitHub\mrs-test-scripts\Headless Mode &amp; Sideloading\WalkAndUnGZ.bat" "%USERPROFILE%\AppData\Local\Temp\OnboardLogs"\RTDC4028\2017-10-05 &amp; aws s3 cp s3://rtdc.mdm.uploadarchive.raw/RTDC4028/ "%USERPROFILE%\AppData\Local\Temp\OnboardLogs"\RTDC4028\2017-10-06 --exclude "*" --recursive --include "*20171006*" &amp; "%USERPROFILE%\Documents\GitHub\mrs-test-scripts\Headless Mode &amp; Sideloading\WalkAndUnGZ.bat" "%USERPROFILE%\AppData\Local\Temp\OnboardLogs"\RTDC4028\2017-10-06</v>
      </c>
      <c r="AF47" s="74" t="str">
        <f t="shared" si="12"/>
        <v>"C:\Program Files (x86)\AstroGrep\AstroGrep.exe" /e /r /s /spath="%USERPROFILE%\AppData\Local\Temp\OnboardLogs" /stypes="app*4028*20171005*" /stext=" 14:.+((SYSTEM_STATE.+slice.+state.+changed )|(ment ac)|(multiple cpu faults)|(system.+state.+changed )|(\[timeout)|(PRM\|1\|D)|(kpr)|(kdp)|(train st.+moving)|(\|lc)|(penalty))"</v>
      </c>
      <c r="AG47" s="182" t="str">
        <f t="shared" si="34"/>
        <v>EC</v>
      </c>
      <c r="AH47" s="78" t="str">
        <f t="shared" si="19"/>
        <v>"%USERPROFILE%\Documents\GitHub\eaglep3\Utilities\RefineRTDCRunTimes.py" --tripid 135-05 --locoid 4028 --swversion DE.1.0.9.0 --startMP 204:455 --initTime 2017-10-05T07:56:02 --startdatetime 2017-10-05T08:00:18 --delay 53 --endMP 204:233321 --enddatetime 2017-10-05T08:37:09 --enforcementcount 0 &gt;&gt;%USERPROFILE%\Documents\GitHub\eaglep3-reporting\EC\2017-10-05-refined-times.txt</v>
      </c>
      <c r="AI47" s="96" t="str">
        <f t="shared" si="20"/>
        <v>echo {"issue":{"subject":"","project_id":79,"tracker_id":40,"status_id":1,"priority_id":2,"assigned_to_id":338,"start_date":"2017-10-05","description":"","custom_fields":[{"id":1,"name":"Subdivision","value":"EC"},{"id":4,"name":"Milepost","value":"23.3321"},{"id":17,"name":"Train ID","value":"135-05"},{"id":16,"name":"Locomotive ID","value":"4028"},{"id":130,"name":"Impact","value":""},{"id":150,"name":"Time of Event (Mountain Time)","value":"08:37:09"},{"id":151,"name":"Denver Issue ID","value":""},{"id":178,"name":"Operational Impact","value":"Yes"},{"id":179,"name":"Denver Segment Assigned","value":""}]}} | curl --insecure -X POST -H "Content-Type: application/json" -H "X-Redmine-API-Key: %REDMINEAPIKEY%" https://secure.xorail.net/redmine/issues.json --data @-</v>
      </c>
      <c r="AJ47" s="20"/>
      <c r="AK47" s="47"/>
      <c r="AL47" s="47"/>
      <c r="AM47" s="142" t="str">
        <f t="shared" si="21"/>
        <v>start /low /b %USERPROFILE%\Documents\GitHub\eaglep3\Utilities\DownloadLogsFromS3.py --loco 4028 --day 2017-10-05</v>
      </c>
      <c r="AN47"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14:37:09"},{"id":29,"name":"Sharepoint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47" s="168" t="str">
        <f t="shared" si="23"/>
        <v>https://d0f6bd738d7f1b3e5a7ca70fe4ff75f0.us-east-1.aws.found.io/app/kibana#/discover/Steve-Slow-Train-Analysis-(2080s-and-2083s)?_g=(refreshInterval:(display:Off,pause:!f,section:0,value:0),time:(from:'2017-10-05T06:56:02-0600',mode:absolute,to:'2017-10-05T09:37:09-0600'))&amp;_a=(columns:!('Message%20ID',Summary),filters:!(),index:'emp_*',interval:auto,query:(query_string:(analyze_wildcard:!t,query:'%22rtdc.l.rtdc.4028%22')),sort:!(Time.ISO8601,asc))</v>
      </c>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row>
    <row r="48" spans="1:91" s="1" customFormat="1" x14ac:dyDescent="0.25">
      <c r="A48" s="32" t="s">
        <v>675</v>
      </c>
      <c r="B48" s="7">
        <v>4027</v>
      </c>
      <c r="C48" s="21" t="s">
        <v>194</v>
      </c>
      <c r="D48" s="21" t="s">
        <v>425</v>
      </c>
      <c r="E48" s="13">
        <v>43013.360405092593</v>
      </c>
      <c r="F48" s="13">
        <v>43013.373090277775</v>
      </c>
      <c r="G48" s="7">
        <v>55</v>
      </c>
      <c r="H48" s="21" t="s">
        <v>361</v>
      </c>
      <c r="I48" s="13">
        <v>43013.400104166663</v>
      </c>
      <c r="J48" s="7">
        <v>0</v>
      </c>
      <c r="K48" s="89" t="str">
        <f t="shared" si="25"/>
        <v>4027/4028</v>
      </c>
      <c r="L48" s="185" t="str">
        <f>VLOOKUP(A48,'Trips&amp;Operators'!$C$1:$G$99911,5,FALSE)</f>
        <v>GEBRETEKLE DAGNEW</v>
      </c>
      <c r="M48" s="6">
        <f t="shared" si="26"/>
        <v>2.7013888888177462E-2</v>
      </c>
      <c r="N48" s="7">
        <f t="shared" si="24"/>
        <v>38.899999998975545</v>
      </c>
      <c r="O48" s="7"/>
      <c r="P48" s="7"/>
      <c r="Q48" s="22"/>
      <c r="R48" s="174"/>
      <c r="S48" s="221">
        <f t="shared" si="27"/>
        <v>1</v>
      </c>
      <c r="T48" s="174" t="str">
        <f t="shared" si="28"/>
        <v>Southbound</v>
      </c>
      <c r="U48" s="198">
        <f>IF(AG48="EC",COUNTIFS(Variables!$M$2:$M$19,IF(T48="NorthBound","&gt;=","&lt;=")&amp;Y48,Variables!$M$2:$M$19,IF(T48="NorthBound","&lt;=","&gt;=")&amp;Z48),COUNTIFS(Variables!$P$2:$P$19,IF(T48="NorthBound","&gt;=","&lt;=")&amp;Y48,Variables!$P$2:$P$19,IF(T48="NorthBound","&lt;=","&gt;=")&amp;Z48))</f>
        <v>12</v>
      </c>
      <c r="V48" s="216" t="str">
        <f t="shared" si="5"/>
        <v>https://d0f6bd738d7f1b3e5a7ca70fe4ff75f0.us-east-1.aws.found.io/app/kibana#/discover/Steve-Slow-Train-Analysis-(2080s-and-2083s)?_g=(refreshInterval:(display:Off,pause:!f,section:0,value:0),time:(from:'2017-10-05T07:38:59-0600',mode:absolute,to:'2017-10-05T10:36:09-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48" s="204" t="str">
        <f>IF(AA48&lt;VLOOKUP(AG48,Variables!$AC$3:$AD$8,2,FALSE),"Y","N")</f>
        <v>N</v>
      </c>
      <c r="X48" s="204">
        <f t="shared" si="29"/>
        <v>1</v>
      </c>
      <c r="Y48" s="204">
        <f t="shared" si="30"/>
        <v>23.3002</v>
      </c>
      <c r="Z48" s="204">
        <f t="shared" si="31"/>
        <v>1.5599999999999999E-2</v>
      </c>
      <c r="AA48" s="204">
        <f t="shared" si="32"/>
        <v>23.284600000000001</v>
      </c>
      <c r="AB48" s="54" t="e">
        <f>VLOOKUP(A48,Enforcements!$C$7:$K$11,8,0)</f>
        <v>#N/A</v>
      </c>
      <c r="AC48" s="51" t="e">
        <f>VLOOKUP(A48,Enforcements!$C$7:$E$11,3,0)</f>
        <v>#N/A</v>
      </c>
      <c r="AD48" s="179">
        <f t="shared" si="33"/>
        <v>136</v>
      </c>
      <c r="AE48" s="77" t="str">
        <f t="shared" si="11"/>
        <v>aws s3 cp s3://rtdc.mdm.uploadarchive.raw/RTDC4027/ "%USERPROFILE%\AppData\Local\Temp\OnboardLogs"\RTDC4027\2017-10-05 --exclude "*" --recursive --include "*20171005*" &amp; "%USERPROFILE%\Documents\GitHub\mrs-test-scripts\Headless Mode &amp; Sideloading\WalkAndUnGZ.bat" "%USERPROFILE%\AppData\Local\Temp\OnboardLogs"\RTDC4027\2017-10-05 &amp; aws s3 cp s3://rtdc.mdm.uploadarchive.raw/RTDC4027/ "%USERPROFILE%\AppData\Local\Temp\OnboardLogs"\RTDC4027\2017-10-06 --exclude "*" --recursive --include "*20171006*" &amp; "%USERPROFILE%\Documents\GitHub\mrs-test-scripts\Headless Mode &amp; Sideloading\WalkAndUnGZ.bat" "%USERPROFILE%\AppData\Local\Temp\OnboardLogs"\RTDC4027\2017-10-06</v>
      </c>
      <c r="AF48" s="74" t="str">
        <f t="shared" si="12"/>
        <v>"C:\Program Files (x86)\AstroGrep\AstroGrep.exe" /e /r /s /spath="%USERPROFILE%\AppData\Local\Temp\OnboardLogs" /stypes="app*4027*20171005*" /stext=" 15:.+((SYSTEM_STATE.+slice.+state.+changed )|(ment ac)|(multiple cpu faults)|(system.+state.+changed )|(\[timeout)|(PRM\|1\|D)|(kpr)|(kdp)|(train st.+moving)|(\|lc)|(penalty))"</v>
      </c>
      <c r="AG48" s="182" t="str">
        <f t="shared" si="34"/>
        <v>EC</v>
      </c>
      <c r="AH48" s="78" t="str">
        <f t="shared" si="19"/>
        <v>"%USERPROFILE%\Documents\GitHub\eaglep3\Utilities\RefineRTDCRunTimes.py" --tripid 136-05 --locoid 4027 --swversion DE.1.0.9.0 --startMP 204:233002 --initTime 2017-10-05T08:38:59 --startdatetime 2017-10-05T08:57:15 --delay 55 --endMP 204:156 --enddatetime 2017-10-05T09:36:09 --enforcementcount 0 &gt;&gt;%USERPROFILE%\Documents\GitHub\eaglep3-reporting\EC\2017-10-05-refined-times.txt</v>
      </c>
      <c r="AI48" s="96" t="str">
        <f t="shared" si="20"/>
        <v>echo {"issue":{"subject":"","project_id":79,"tracker_id":40,"status_id":1,"priority_id":2,"assigned_to_id":338,"start_date":"2017-10-05","description":"","custom_fields":[{"id":1,"name":"Subdivision","value":"EC"},{"id":4,"name":"Milepost","value":"0.0156"},{"id":17,"name":"Train ID","value":"136-05"},{"id":16,"name":"Locomotive ID","value":"4027"},{"id":130,"name":"Impact","value":""},{"id":150,"name":"Time of Event (Mountain Time)","value":"09:36:09"},{"id":151,"name":"Denver Issue ID","value":""},{"id":178,"name":"Operational Impact","value":"Yes"},{"id":179,"name":"Denver Segment Assigned","value":""}]}} | curl --insecure -X POST -H "Content-Type: application/json" -H "X-Redmine-API-Key: %REDMINEAPIKEY%" https://secure.xorail.net/redmine/issues.json --data @-</v>
      </c>
      <c r="AJ48" s="20"/>
      <c r="AK48" s="47"/>
      <c r="AL48" s="47"/>
      <c r="AM48" s="142" t="str">
        <f t="shared" si="21"/>
        <v>start /low /b %USERPROFILE%\Documents\GitHub\eaglep3\Utilities\DownloadLogsFromS3.py --loco 4027 --day 2017-10-05</v>
      </c>
      <c r="AN48"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15:36:09"},{"id":29,"name":"Sharepoint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48" s="168" t="str">
        <f t="shared" si="23"/>
        <v>https://d0f6bd738d7f1b3e5a7ca70fe4ff75f0.us-east-1.aws.found.io/app/kibana#/discover/Steve-Slow-Train-Analysis-(2080s-and-2083s)?_g=(refreshInterval:(display:Off,pause:!f,section:0,value:0),time:(from:'2017-10-05T07:38:59-0600',mode:absolute,to:'2017-10-05T10:36:09-0600'))&amp;_a=(columns:!('Message%20ID',Summary),filters:!(),index:'emp_*',interval:auto,query:(query_string:(analyze_wildcard:!t,query:'%22rtdc.l.rtdc.4027%22')),sort:!(Time.ISO8601,asc))</v>
      </c>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row>
    <row r="49" spans="1:91" s="1" customFormat="1" x14ac:dyDescent="0.25">
      <c r="A49" s="32" t="s">
        <v>670</v>
      </c>
      <c r="B49" s="7">
        <v>4042</v>
      </c>
      <c r="C49" s="21" t="s">
        <v>194</v>
      </c>
      <c r="D49" s="21" t="s">
        <v>537</v>
      </c>
      <c r="E49" s="13">
        <v>43013.341574074075</v>
      </c>
      <c r="F49" s="13">
        <v>43013.344317129631</v>
      </c>
      <c r="G49" s="7">
        <v>60</v>
      </c>
      <c r="H49" s="21" t="s">
        <v>406</v>
      </c>
      <c r="I49" s="13">
        <v>43013.36986111111</v>
      </c>
      <c r="J49" s="7">
        <v>0</v>
      </c>
      <c r="K49" s="89" t="str">
        <f t="shared" si="25"/>
        <v>4041/4042</v>
      </c>
      <c r="L49" s="185" t="str">
        <f>VLOOKUP(A49,'Trips&amp;Operators'!$C$1:$G$99911,5,FALSE)</f>
        <v>PAGE MARCUS</v>
      </c>
      <c r="M49" s="6">
        <f t="shared" si="26"/>
        <v>2.5543981479131617E-2</v>
      </c>
      <c r="N49" s="7">
        <f t="shared" si="24"/>
        <v>36.783333329949528</v>
      </c>
      <c r="O49" s="7"/>
      <c r="P49" s="7"/>
      <c r="Q49" s="22"/>
      <c r="R49" s="174"/>
      <c r="S49" s="221">
        <f t="shared" si="27"/>
        <v>1</v>
      </c>
      <c r="T49" s="174" t="str">
        <f t="shared" si="28"/>
        <v>NorthBound</v>
      </c>
      <c r="U49" s="198">
        <f>IF(AG49="EC",COUNTIFS(Variables!$M$2:$M$19,IF(T49="NorthBound","&gt;=","&lt;=")&amp;Y49,Variables!$M$2:$M$19,IF(T49="NorthBound","&lt;=","&gt;=")&amp;Z49),COUNTIFS(Variables!$P$2:$P$19,IF(T49="NorthBound","&gt;=","&lt;=")&amp;Y49,Variables!$P$2:$P$19,IF(T49="NorthBound","&lt;=","&gt;=")&amp;Z49))</f>
        <v>12</v>
      </c>
      <c r="V49" s="216" t="str">
        <f t="shared" si="5"/>
        <v>https://d0f6bd738d7f1b3e5a7ca70fe4ff75f0.us-east-1.aws.found.io/app/kibana#/discover/Steve-Slow-Train-Analysis-(2080s-and-2083s)?_g=(refreshInterval:(display:Off,pause:!f,section:0,value:0),time:(from:'2017-10-05T07:11:52-0600',mode:absolute,to:'2017-10-05T09:52:36-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4042%22')),sort:!(Time.ISO8601,asc))</v>
      </c>
      <c r="W49" s="204" t="str">
        <f>IF(AA49&lt;VLOOKUP(AG49,Variables!$AC$3:$AD$8,2,FALSE),"Y","N")</f>
        <v>N</v>
      </c>
      <c r="X49" s="204">
        <f t="shared" si="29"/>
        <v>1</v>
      </c>
      <c r="Y49" s="204">
        <f t="shared" si="30"/>
        <v>4.6199999999999998E-2</v>
      </c>
      <c r="Z49" s="204">
        <f t="shared" si="31"/>
        <v>23.3291</v>
      </c>
      <c r="AA49" s="204">
        <f t="shared" si="32"/>
        <v>23.282900000000001</v>
      </c>
      <c r="AB49" s="54" t="e">
        <f>VLOOKUP(A49,Enforcements!$C$7:$K$11,8,0)</f>
        <v>#N/A</v>
      </c>
      <c r="AC49" s="51" t="e">
        <f>VLOOKUP(A49,Enforcements!$C$7:$E$11,3,0)</f>
        <v>#N/A</v>
      </c>
      <c r="AD49" s="179">
        <f t="shared" si="33"/>
        <v>137</v>
      </c>
      <c r="AE49" s="77" t="str">
        <f t="shared" si="11"/>
        <v>aws s3 cp s3://rtdc.mdm.uploadarchive.raw/RTDC4042/ "%USERPROFILE%\AppData\Local\Temp\OnboardLogs"\RTDC4042\2017-10-05 --exclude "*" --recursive --include "*20171005*" &amp; "%USERPROFILE%\Documents\GitHub\mrs-test-scripts\Headless Mode &amp; Sideloading\WalkAndUnGZ.bat" "%USERPROFILE%\AppData\Local\Temp\OnboardLogs"\RTDC4042\2017-10-05 &amp; aws s3 cp s3://rtdc.mdm.uploadarchive.raw/RTDC4042/ "%USERPROFILE%\AppData\Local\Temp\OnboardLogs"\RTDC4042\2017-10-06 --exclude "*" --recursive --include "*20171006*" &amp; "%USERPROFILE%\Documents\GitHub\mrs-test-scripts\Headless Mode &amp; Sideloading\WalkAndUnGZ.bat" "%USERPROFILE%\AppData\Local\Temp\OnboardLogs"\RTDC4042\2017-10-06</v>
      </c>
      <c r="AF49" s="74" t="str">
        <f t="shared" si="12"/>
        <v>"C:\Program Files (x86)\AstroGrep\AstroGrep.exe" /e /r /s /spath="%USERPROFILE%\AppData\Local\Temp\OnboardLogs" /stypes="app*4042*20171005*" /stext=" 14:.+((SYSTEM_STATE.+slice.+state.+changed )|(ment ac)|(multiple cpu faults)|(system.+state.+changed )|(\[timeout)|(PRM\|1\|D)|(kpr)|(kdp)|(train st.+moving)|(\|lc)|(penalty))"</v>
      </c>
      <c r="AG49" s="182" t="str">
        <f t="shared" si="34"/>
        <v>EC</v>
      </c>
      <c r="AH49" s="78" t="str">
        <f t="shared" si="19"/>
        <v>"%USERPROFILE%\Documents\GitHub\eaglep3\Utilities\RefineRTDCRunTimes.py" --tripid 137-05 --locoid 4042 --swversion DE.1.0.9.0 --startMP 204:462 --initTime 2017-10-05T08:11:52 --startdatetime 2017-10-05T08:15:49 --delay 60 --endMP 204:233291 --enddatetime 2017-10-05T08:52:36 --enforcementcount 0 &gt;&gt;%USERPROFILE%\Documents\GitHub\eaglep3-reporting\EC\2017-10-05-refined-times.txt</v>
      </c>
      <c r="AI49" s="96" t="str">
        <f t="shared" si="20"/>
        <v>echo {"issue":{"subject":"","project_id":79,"tracker_id":40,"status_id":1,"priority_id":2,"assigned_to_id":338,"start_date":"2017-10-05","description":"","custom_fields":[{"id":1,"name":"Subdivision","value":"EC"},{"id":4,"name":"Milepost","value":"23.3291"},{"id":17,"name":"Train ID","value":"137-05"},{"id":16,"name":"Locomotive ID","value":"4042"},{"id":130,"name":"Impact","value":""},{"id":150,"name":"Time of Event (Mountain Time)","value":"08:52:36"},{"id":151,"name":"Denver Issue ID","value":""},{"id":178,"name":"Operational Impact","value":"Yes"},{"id":179,"name":"Denver Segment Assigned","value":""}]}} | curl --insecure -X POST -H "Content-Type: application/json" -H "X-Redmine-API-Key: %REDMINEAPIKEY%" https://secure.xorail.net/redmine/issues.json --data @-</v>
      </c>
      <c r="AJ49" s="20"/>
      <c r="AK49" s="47"/>
      <c r="AL49" s="47"/>
      <c r="AM49" s="142" t="str">
        <f t="shared" si="21"/>
        <v>start /low /b %USERPROFILE%\Documents\GitHub\eaglep3\Utilities\DownloadLogsFromS3.py --loco 4042 --day 2017-10-05</v>
      </c>
      <c r="AN49"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ID","value":"4042"},{"id":20,"name":"RR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14:52:36"},{"id":29,"name":"Sharepoint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49" s="168" t="str">
        <f t="shared" si="23"/>
        <v>https://d0f6bd738d7f1b3e5a7ca70fe4ff75f0.us-east-1.aws.found.io/app/kibana#/discover/Steve-Slow-Train-Analysis-(2080s-and-2083s)?_g=(refreshInterval:(display:Off,pause:!f,section:0,value:0),time:(from:'2017-10-05T07:11:52-0600',mode:absolute,to:'2017-10-05T09:52:36-0600'))&amp;_a=(columns:!('Message%20ID',Summary),filters:!(),index:'emp_*',interval:auto,query:(query_string:(analyze_wildcard:!t,query:'%22rtdc.l.rtdc.4042%22')),sort:!(Time.ISO8601,asc))</v>
      </c>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row>
    <row r="50" spans="1:91" s="1" customFormat="1" x14ac:dyDescent="0.25">
      <c r="A50" s="32" t="s">
        <v>588</v>
      </c>
      <c r="B50" s="7">
        <v>4041</v>
      </c>
      <c r="C50" s="21" t="s">
        <v>194</v>
      </c>
      <c r="D50" s="21" t="s">
        <v>429</v>
      </c>
      <c r="E50" s="13">
        <v>43013.377326388887</v>
      </c>
      <c r="F50" s="13">
        <v>43013.38354166667</v>
      </c>
      <c r="G50" s="7">
        <v>83</v>
      </c>
      <c r="H50" s="21" t="s">
        <v>337</v>
      </c>
      <c r="I50" s="13">
        <v>43013.411423611113</v>
      </c>
      <c r="J50" s="7">
        <v>0</v>
      </c>
      <c r="K50" s="89" t="str">
        <f t="shared" si="25"/>
        <v>4041/4042</v>
      </c>
      <c r="L50" s="185" t="str">
        <f>VLOOKUP(A50,'Trips&amp;Operators'!$C$1:$G$99911,5,FALSE)</f>
        <v>PAGE MARCUS</v>
      </c>
      <c r="M50" s="6">
        <f t="shared" si="26"/>
        <v>2.7881944442924578E-2</v>
      </c>
      <c r="N50" s="7">
        <f t="shared" si="24"/>
        <v>40.149999997811392</v>
      </c>
      <c r="O50" s="7"/>
      <c r="P50" s="7"/>
      <c r="Q50" s="22"/>
      <c r="R50" s="174"/>
      <c r="S50" s="221">
        <f t="shared" si="27"/>
        <v>1</v>
      </c>
      <c r="T50" s="174" t="str">
        <f t="shared" si="28"/>
        <v>Southbound</v>
      </c>
      <c r="U50" s="198">
        <f>IF(AG50="EC",COUNTIFS(Variables!$M$2:$M$19,IF(T50="NorthBound","&gt;=","&lt;=")&amp;Y50,Variables!$M$2:$M$19,IF(T50="NorthBound","&lt;=","&gt;=")&amp;Z50),COUNTIFS(Variables!$P$2:$P$19,IF(T50="NorthBound","&gt;=","&lt;=")&amp;Y50,Variables!$P$2:$P$19,IF(T50="NorthBound","&lt;=","&gt;=")&amp;Z50))</f>
        <v>12</v>
      </c>
      <c r="V50" s="216" t="str">
        <f t="shared" si="5"/>
        <v>https://d0f6bd738d7f1b3e5a7ca70fe4ff75f0.us-east-1.aws.found.io/app/kibana#/discover/Steve-Slow-Train-Analysis-(2080s-and-2083s)?_g=(refreshInterval:(display:Off,pause:!f,section:0,value:0),time:(from:'2017-10-05T08:03:21-0600',mode:absolute,to:'2017-10-05T10:52:27-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4041%22')),sort:!(Time.ISO8601,asc))</v>
      </c>
      <c r="W50" s="204" t="str">
        <f>IF(AA50&lt;VLOOKUP(AG50,Variables!$AC$3:$AD$8,2,FALSE),"Y","N")</f>
        <v>N</v>
      </c>
      <c r="X50" s="204">
        <f t="shared" si="29"/>
        <v>1</v>
      </c>
      <c r="Y50" s="204">
        <f t="shared" si="30"/>
        <v>23.299199999999999</v>
      </c>
      <c r="Z50" s="204">
        <f t="shared" si="31"/>
        <v>1.43E-2</v>
      </c>
      <c r="AA50" s="204">
        <f t="shared" si="32"/>
        <v>23.2849</v>
      </c>
      <c r="AB50" s="54" t="e">
        <f>VLOOKUP(A50,Enforcements!$C$7:$K$11,8,0)</f>
        <v>#N/A</v>
      </c>
      <c r="AC50" s="51" t="e">
        <f>VLOOKUP(A50,Enforcements!$C$7:$E$11,3,0)</f>
        <v>#N/A</v>
      </c>
      <c r="AD50" s="179">
        <f t="shared" si="33"/>
        <v>138</v>
      </c>
      <c r="AE50" s="77" t="str">
        <f t="shared" si="11"/>
        <v>aws s3 cp s3://rtdc.mdm.uploadarchive.raw/RTDC4041/ "%USERPROFILE%\AppData\Local\Temp\OnboardLogs"\RTDC4041\2017-10-05 --exclude "*" --recursive --include "*20171005*" &amp; "%USERPROFILE%\Documents\GitHub\mrs-test-scripts\Headless Mode &amp; Sideloading\WalkAndUnGZ.bat" "%USERPROFILE%\AppData\Local\Temp\OnboardLogs"\RTDC4041\2017-10-05 &amp; aws s3 cp s3://rtdc.mdm.uploadarchive.raw/RTDC4041/ "%USERPROFILE%\AppData\Local\Temp\OnboardLogs"\RTDC4041\2017-10-06 --exclude "*" --recursive --include "*20171006*" &amp; "%USERPROFILE%\Documents\GitHub\mrs-test-scripts\Headless Mode &amp; Sideloading\WalkAndUnGZ.bat" "%USERPROFILE%\AppData\Local\Temp\OnboardLogs"\RTDC4041\2017-10-06</v>
      </c>
      <c r="AF50" s="74" t="str">
        <f t="shared" si="12"/>
        <v>"C:\Program Files (x86)\AstroGrep\AstroGrep.exe" /e /r /s /spath="%USERPROFILE%\AppData\Local\Temp\OnboardLogs" /stypes="app*4041*20171005*" /stext=" 15:.+((SYSTEM_STATE.+slice.+state.+changed )|(ment ac)|(multiple cpu faults)|(system.+state.+changed )|(\[timeout)|(PRM\|1\|D)|(kpr)|(kdp)|(train st.+moving)|(\|lc)|(penalty))"</v>
      </c>
      <c r="AG50" s="182" t="str">
        <f t="shared" si="34"/>
        <v>EC</v>
      </c>
      <c r="AH50" s="78" t="str">
        <f t="shared" si="19"/>
        <v>"%USERPROFILE%\Documents\GitHub\eaglep3\Utilities\RefineRTDCRunTimes.py" --tripid 138-05 --locoid 4041 --swversion DE.1.0.9.0 --startMP 204:232992 --initTime 2017-10-05T09:03:21 --startdatetime 2017-10-05T09:12:18 --delay 83 --endMP 204:143 --enddatetime 2017-10-05T09:52:27 --enforcementcount 0 &gt;&gt;%USERPROFILE%\Documents\GitHub\eaglep3-reporting\EC\2017-10-05-refined-times.txt</v>
      </c>
      <c r="AI50" s="96" t="str">
        <f t="shared" si="20"/>
        <v>echo {"issue":{"subject":"","project_id":79,"tracker_id":40,"status_id":1,"priority_id":2,"assigned_to_id":338,"start_date":"2017-10-05","description":"","custom_fields":[{"id":1,"name":"Subdivision","value":"EC"},{"id":4,"name":"Milepost","value":"0.0143"},{"id":17,"name":"Train ID","value":"138-05"},{"id":16,"name":"Locomotive ID","value":"4041"},{"id":130,"name":"Impact","value":""},{"id":150,"name":"Time of Event (Mountain Time)","value":"09:52:27"},{"id":151,"name":"Denver Issue ID","value":""},{"id":178,"name":"Operational Impact","value":"Yes"},{"id":179,"name":"Denver Segment Assigned","value":""}]}} | curl --insecure -X POST -H "Content-Type: application/json" -H "X-Redmine-API-Key: %REDMINEAPIKEY%" https://secure.xorail.net/redmine/issues.json --data @-</v>
      </c>
      <c r="AJ50" s="20"/>
      <c r="AK50" s="47"/>
      <c r="AL50" s="47"/>
      <c r="AM50" s="142" t="str">
        <f t="shared" si="21"/>
        <v>start /low /b %USERPROFILE%\Documents\GitHub\eaglep3\Utilities\DownloadLogsFromS3.py --loco 4041 --day 2017-10-05</v>
      </c>
      <c r="AN50"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ID","value":"4041"},{"id":20,"name":"RR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15:52:27"},{"id":29,"name":"Sharepoint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50" s="168" t="str">
        <f t="shared" si="23"/>
        <v>https://d0f6bd738d7f1b3e5a7ca70fe4ff75f0.us-east-1.aws.found.io/app/kibana#/discover/Steve-Slow-Train-Analysis-(2080s-and-2083s)?_g=(refreshInterval:(display:Off,pause:!f,section:0,value:0),time:(from:'2017-10-05T08:03:21-0600',mode:absolute,to:'2017-10-05T10:52:27-0600'))&amp;_a=(columns:!('Message%20ID',Summary),filters:!(),index:'emp_*',interval:auto,query:(query_string:(analyze_wildcard:!t,query:'%22rtdc.l.rtdc.4041%22')),sort:!(Time.ISO8601,asc))</v>
      </c>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row>
    <row r="51" spans="1:91" s="1" customFormat="1" x14ac:dyDescent="0.25">
      <c r="A51" s="32" t="s">
        <v>672</v>
      </c>
      <c r="B51" s="7">
        <v>4044</v>
      </c>
      <c r="C51" s="21" t="s">
        <v>194</v>
      </c>
      <c r="D51" s="21" t="s">
        <v>366</v>
      </c>
      <c r="E51" s="13">
        <v>43013.349490740744</v>
      </c>
      <c r="F51" s="13">
        <v>43013.354618055557</v>
      </c>
      <c r="G51" s="7">
        <v>46</v>
      </c>
      <c r="H51" s="21" t="s">
        <v>416</v>
      </c>
      <c r="I51" s="13">
        <v>43013.37939814815</v>
      </c>
      <c r="J51" s="7">
        <v>0</v>
      </c>
      <c r="K51" s="89" t="str">
        <f t="shared" si="25"/>
        <v>4043/4044</v>
      </c>
      <c r="L51" s="185" t="str">
        <f>VLOOKUP(A51,'Trips&amp;Operators'!$C$1:$G$99911,5,FALSE)</f>
        <v>YORK EDGAR</v>
      </c>
      <c r="M51" s="6">
        <f t="shared" si="26"/>
        <v>2.4780092593573499E-2</v>
      </c>
      <c r="N51" s="7">
        <f t="shared" si="24"/>
        <v>35.683333334745839</v>
      </c>
      <c r="O51" s="7"/>
      <c r="P51" s="7"/>
      <c r="Q51" s="22"/>
      <c r="R51" s="174"/>
      <c r="S51" s="221">
        <f t="shared" si="27"/>
        <v>1</v>
      </c>
      <c r="T51" s="174" t="str">
        <f t="shared" si="28"/>
        <v>NorthBound</v>
      </c>
      <c r="U51" s="198">
        <f>IF(AG51="EC",COUNTIFS(Variables!$M$2:$M$19,IF(T51="NorthBound","&gt;=","&lt;=")&amp;Y51,Variables!$M$2:$M$19,IF(T51="NorthBound","&lt;=","&gt;=")&amp;Z51),COUNTIFS(Variables!$P$2:$P$19,IF(T51="NorthBound","&gt;=","&lt;=")&amp;Y51,Variables!$P$2:$P$19,IF(T51="NorthBound","&lt;=","&gt;=")&amp;Z51))</f>
        <v>12</v>
      </c>
      <c r="V51" s="216" t="str">
        <f t="shared" si="5"/>
        <v>https://d0f6bd738d7f1b3e5a7ca70fe4ff75f0.us-east-1.aws.found.io/app/kibana#/discover/Steve-Slow-Train-Analysis-(2080s-and-2083s)?_g=(refreshInterval:(display:Off,pause:!f,section:0,value:0),time:(from:'2017-10-05T07:23:16-0600',mode:absolute,to:'2017-10-05T10:06:20-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4044%22')),sort:!(Time.ISO8601,asc))</v>
      </c>
      <c r="W51" s="204" t="str">
        <f>IF(AA51&lt;VLOOKUP(AG51,Variables!$AC$3:$AD$8,2,FALSE),"Y","N")</f>
        <v>N</v>
      </c>
      <c r="X51" s="204">
        <f t="shared" si="29"/>
        <v>1</v>
      </c>
      <c r="Y51" s="204">
        <f t="shared" si="30"/>
        <v>4.5999999999999999E-2</v>
      </c>
      <c r="Z51" s="204">
        <f t="shared" si="31"/>
        <v>23.33</v>
      </c>
      <c r="AA51" s="204">
        <f t="shared" si="32"/>
        <v>23.283999999999999</v>
      </c>
      <c r="AB51" s="54" t="e">
        <f>VLOOKUP(A51,Enforcements!$C$7:$K$11,8,0)</f>
        <v>#N/A</v>
      </c>
      <c r="AC51" s="51" t="e">
        <f>VLOOKUP(A51,Enforcements!$C$7:$E$11,3,0)</f>
        <v>#N/A</v>
      </c>
      <c r="AD51" s="179">
        <f t="shared" si="33"/>
        <v>139</v>
      </c>
      <c r="AE51" s="77" t="str">
        <f t="shared" si="11"/>
        <v>aws s3 cp s3://rtdc.mdm.uploadarchive.raw/RTDC4044/ "%USERPROFILE%\AppData\Local\Temp\OnboardLogs"\RTDC4044\2017-10-05 --exclude "*" --recursive --include "*20171005*" &amp; "%USERPROFILE%\Documents\GitHub\mrs-test-scripts\Headless Mode &amp; Sideloading\WalkAndUnGZ.bat" "%USERPROFILE%\AppData\Local\Temp\OnboardLogs"\RTDC4044\2017-10-05 &amp; aws s3 cp s3://rtdc.mdm.uploadarchive.raw/RTDC4044/ "%USERPROFILE%\AppData\Local\Temp\OnboardLogs"\RTDC4044\2017-10-06 --exclude "*" --recursive --include "*20171006*" &amp; "%USERPROFILE%\Documents\GitHub\mrs-test-scripts\Headless Mode &amp; Sideloading\WalkAndUnGZ.bat" "%USERPROFILE%\AppData\Local\Temp\OnboardLogs"\RTDC4044\2017-10-06</v>
      </c>
      <c r="AF51" s="74" t="str">
        <f t="shared" si="12"/>
        <v>"C:\Program Files (x86)\AstroGrep\AstroGrep.exe" /e /r /s /spath="%USERPROFILE%\AppData\Local\Temp\OnboardLogs" /stypes="app*4044*20171005*" /stext=" 15:.+((SYSTEM_STATE.+slice.+state.+changed )|(ment ac)|(multiple cpu faults)|(system.+state.+changed )|(\[timeout)|(PRM\|1\|D)|(kpr)|(kdp)|(train st.+moving)|(\|lc)|(penalty))"</v>
      </c>
      <c r="AG51" s="182" t="str">
        <f t="shared" si="34"/>
        <v>EC</v>
      </c>
      <c r="AH51" s="78" t="str">
        <f t="shared" si="19"/>
        <v>"%USERPROFILE%\Documents\GitHub\eaglep3\Utilities\RefineRTDCRunTimes.py" --tripid 139-05 --locoid 4044 --swversion DE.1.0.9.0 --startMP 204:460 --initTime 2017-10-05T08:23:16 --startdatetime 2017-10-05T08:30:39 --delay 46 --endMP 204:233300 --enddatetime 2017-10-05T09:06:20 --enforcementcount 0 &gt;&gt;%USERPROFILE%\Documents\GitHub\eaglep3-reporting\EC\2017-10-05-refined-times.txt</v>
      </c>
      <c r="AI51" s="96" t="str">
        <f t="shared" si="20"/>
        <v>echo {"issue":{"subject":"","project_id":79,"tracker_id":40,"status_id":1,"priority_id":2,"assigned_to_id":338,"start_date":"2017-10-05","description":"","custom_fields":[{"id":1,"name":"Subdivision","value":"EC"},{"id":4,"name":"Milepost","value":"23.33"},{"id":17,"name":"Train ID","value":"139-05"},{"id":16,"name":"Locomotive ID","value":"4044"},{"id":130,"name":"Impact","value":""},{"id":150,"name":"Time of Event (Mountain Time)","value":"09:06:20"},{"id":151,"name":"Denver Issue ID","value":""},{"id":178,"name":"Operational Impact","value":"Yes"},{"id":179,"name":"Denver Segment Assigned","value":""}]}} | curl --insecure -X POST -H "Content-Type: application/json" -H "X-Redmine-API-Key: %REDMINEAPIKEY%" https://secure.xorail.net/redmine/issues.json --data @-</v>
      </c>
      <c r="AJ51" s="20"/>
      <c r="AK51" s="47"/>
      <c r="AL51" s="47"/>
      <c r="AM51" s="142" t="str">
        <f t="shared" si="21"/>
        <v>start /low /b %USERPROFILE%\Documents\GitHub\eaglep3\Utilities\DownloadLogsFromS3.py --loco 4044 --day 2017-10-05</v>
      </c>
      <c r="AN51"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ID","value":"4044"},{"id":20,"name":"RR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15:06:20"},{"id":29,"name":"Sharepoint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51" s="168" t="str">
        <f t="shared" si="23"/>
        <v>https://d0f6bd738d7f1b3e5a7ca70fe4ff75f0.us-east-1.aws.found.io/app/kibana#/discover/Steve-Slow-Train-Analysis-(2080s-and-2083s)?_g=(refreshInterval:(display:Off,pause:!f,section:0,value:0),time:(from:'2017-10-05T07:23:16-0600',mode:absolute,to:'2017-10-05T10:06:20-0600'))&amp;_a=(columns:!('Message%20ID',Summary),filters:!(),index:'emp_*',interval:auto,query:(query_string:(analyze_wildcard:!t,query:'%22rtdc.l.rtdc.4044%22')),sort:!(Time.ISO8601,asc))</v>
      </c>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row>
    <row r="52" spans="1:91" s="1" customFormat="1" x14ac:dyDescent="0.25">
      <c r="A52" s="32" t="s">
        <v>680</v>
      </c>
      <c r="B52" s="7">
        <v>4043</v>
      </c>
      <c r="C52" s="21" t="s">
        <v>194</v>
      </c>
      <c r="D52" s="21" t="s">
        <v>427</v>
      </c>
      <c r="E52" s="13">
        <v>43013.392083333332</v>
      </c>
      <c r="F52" s="13">
        <v>43013.394004629627</v>
      </c>
      <c r="G52" s="7">
        <v>45</v>
      </c>
      <c r="H52" s="21" t="s">
        <v>359</v>
      </c>
      <c r="I52" s="13">
        <v>43013.419675925928</v>
      </c>
      <c r="J52" s="7">
        <v>0</v>
      </c>
      <c r="K52" s="89" t="str">
        <f t="shared" si="25"/>
        <v>4043/4044</v>
      </c>
      <c r="L52" s="185" t="str">
        <f>VLOOKUP(A52,'Trips&amp;Operators'!$C$1:$G$99911,5,FALSE)</f>
        <v>YORK EDGAR</v>
      </c>
      <c r="M52" s="6">
        <f t="shared" si="26"/>
        <v>2.567129630187992E-2</v>
      </c>
      <c r="N52" s="7">
        <f t="shared" si="24"/>
        <v>36.966666674707085</v>
      </c>
      <c r="O52" s="7"/>
      <c r="P52" s="7"/>
      <c r="Q52" s="22"/>
      <c r="R52" s="174"/>
      <c r="S52" s="221">
        <f t="shared" si="27"/>
        <v>1</v>
      </c>
      <c r="T52" s="174" t="str">
        <f t="shared" si="28"/>
        <v>Southbound</v>
      </c>
      <c r="U52" s="198">
        <f>IF(AG52="EC",COUNTIFS(Variables!$M$2:$M$19,IF(T52="NorthBound","&gt;=","&lt;=")&amp;Y52,Variables!$M$2:$M$19,IF(T52="NorthBound","&lt;=","&gt;=")&amp;Z52),COUNTIFS(Variables!$P$2:$P$19,IF(T52="NorthBound","&gt;=","&lt;=")&amp;Y52,Variables!$P$2:$P$19,IF(T52="NorthBound","&lt;=","&gt;=")&amp;Z52))</f>
        <v>12</v>
      </c>
      <c r="V52" s="216" t="str">
        <f t="shared" si="5"/>
        <v>https://d0f6bd738d7f1b3e5a7ca70fe4ff75f0.us-east-1.aws.found.io/app/kibana#/discover/Steve-Slow-Train-Analysis-(2080s-and-2083s)?_g=(refreshInterval:(display:Off,pause:!f,section:0,value:0),time:(from:'2017-10-05T08:24:36-0600',mode:absolute,to:'2017-10-05T11:04:20-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4043%22')),sort:!(Time.ISO8601,asc))</v>
      </c>
      <c r="W52" s="204" t="str">
        <f>IF(AA52&lt;VLOOKUP(AG52,Variables!$AC$3:$AD$8,2,FALSE),"Y","N")</f>
        <v>N</v>
      </c>
      <c r="X52" s="204">
        <f t="shared" si="29"/>
        <v>1</v>
      </c>
      <c r="Y52" s="204">
        <f t="shared" si="30"/>
        <v>23.297899999999998</v>
      </c>
      <c r="Z52" s="204">
        <f t="shared" si="31"/>
        <v>1.4500000000000001E-2</v>
      </c>
      <c r="AA52" s="204">
        <f t="shared" si="32"/>
        <v>23.283399999999997</v>
      </c>
      <c r="AB52" s="54" t="e">
        <f>VLOOKUP(A52,Enforcements!$C$7:$K$11,8,0)</f>
        <v>#N/A</v>
      </c>
      <c r="AC52" s="51" t="e">
        <f>VLOOKUP(A52,Enforcements!$C$7:$E$11,3,0)</f>
        <v>#N/A</v>
      </c>
      <c r="AD52" s="179">
        <f t="shared" si="33"/>
        <v>140</v>
      </c>
      <c r="AE52" s="77" t="str">
        <f t="shared" si="11"/>
        <v>aws s3 cp s3://rtdc.mdm.uploadarchive.raw/RTDC4043/ "%USERPROFILE%\AppData\Local\Temp\OnboardLogs"\RTDC4043\2017-10-05 --exclude "*" --recursive --include "*20171005*" &amp; "%USERPROFILE%\Documents\GitHub\mrs-test-scripts\Headless Mode &amp; Sideloading\WalkAndUnGZ.bat" "%USERPROFILE%\AppData\Local\Temp\OnboardLogs"\RTDC4043\2017-10-05 &amp; aws s3 cp s3://rtdc.mdm.uploadarchive.raw/RTDC4043/ "%USERPROFILE%\AppData\Local\Temp\OnboardLogs"\RTDC4043\2017-10-06 --exclude "*" --recursive --include "*20171006*" &amp; "%USERPROFILE%\Documents\GitHub\mrs-test-scripts\Headless Mode &amp; Sideloading\WalkAndUnGZ.bat" "%USERPROFILE%\AppData\Local\Temp\OnboardLogs"\RTDC4043\2017-10-06</v>
      </c>
      <c r="AF52" s="74" t="str">
        <f t="shared" si="12"/>
        <v>"C:\Program Files (x86)\AstroGrep\AstroGrep.exe" /e /r /s /spath="%USERPROFILE%\AppData\Local\Temp\OnboardLogs" /stypes="app*4043*20171005*" /stext=" 16:.+((SYSTEM_STATE.+slice.+state.+changed )|(ment ac)|(multiple cpu faults)|(system.+state.+changed )|(\[timeout)|(PRM\|1\|D)|(kpr)|(kdp)|(train st.+moving)|(\|lc)|(penalty))"</v>
      </c>
      <c r="AG52" s="182" t="str">
        <f t="shared" si="34"/>
        <v>EC</v>
      </c>
      <c r="AH52" s="78" t="str">
        <f t="shared" si="19"/>
        <v>"%USERPROFILE%\Documents\GitHub\eaglep3\Utilities\RefineRTDCRunTimes.py" --tripid 140-05 --locoid 4043 --swversion DE.1.0.9.0 --startMP 204:232979 --initTime 2017-10-05T09:24:36 --startdatetime 2017-10-05T09:27:22 --delay 45 --endMP 204:145 --enddatetime 2017-10-05T10:04:20 --enforcementcount 0 &gt;&gt;%USERPROFILE%\Documents\GitHub\eaglep3-reporting\EC\2017-10-05-refined-times.txt</v>
      </c>
      <c r="AI52" s="96" t="str">
        <f t="shared" si="20"/>
        <v>echo {"issue":{"subject":"","project_id":79,"tracker_id":40,"status_id":1,"priority_id":2,"assigned_to_id":338,"start_date":"2017-10-05","description":"","custom_fields":[{"id":1,"name":"Subdivision","value":"EC"},{"id":4,"name":"Milepost","value":"0.0145"},{"id":17,"name":"Train ID","value":"140-05"},{"id":16,"name":"Locomotive ID","value":"4043"},{"id":130,"name":"Impact","value":""},{"id":150,"name":"Time of Event (Mountain Time)","value":"10:04:20"},{"id":151,"name":"Denver Issue ID","value":""},{"id":178,"name":"Operational Impact","value":"Yes"},{"id":179,"name":"Denver Segment Assigned","value":""}]}} | curl --insecure -X POST -H "Content-Type: application/json" -H "X-Redmine-API-Key: %REDMINEAPIKEY%" https://secure.xorail.net/redmine/issues.json --data @-</v>
      </c>
      <c r="AJ52" s="20"/>
      <c r="AK52" s="47"/>
      <c r="AL52" s="47"/>
      <c r="AM52" s="142" t="str">
        <f t="shared" si="21"/>
        <v>start /low /b %USERPROFILE%\Documents\GitHub\eaglep3\Utilities\DownloadLogsFromS3.py --loco 4043 --day 2017-10-05</v>
      </c>
      <c r="AN52"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ID","value":"4043"},{"id":20,"name":"RR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16:04:20"},{"id":29,"name":"Sharepoint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52" s="168" t="str">
        <f t="shared" si="23"/>
        <v>https://d0f6bd738d7f1b3e5a7ca70fe4ff75f0.us-east-1.aws.found.io/app/kibana#/discover/Steve-Slow-Train-Analysis-(2080s-and-2083s)?_g=(refreshInterval:(display:Off,pause:!f,section:0,value:0),time:(from:'2017-10-05T08:24:36-0600',mode:absolute,to:'2017-10-05T11:04:20-0600'))&amp;_a=(columns:!('Message%20ID',Summary),filters:!(),index:'emp_*',interval:auto,query:(query_string:(analyze_wildcard:!t,query:'%22rtdc.l.rtdc.4043%22')),sort:!(Time.ISO8601,asc))</v>
      </c>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row>
    <row r="53" spans="1:91" s="1" customFormat="1" x14ac:dyDescent="0.25">
      <c r="A53" s="32" t="s">
        <v>586</v>
      </c>
      <c r="B53" s="7">
        <v>4012</v>
      </c>
      <c r="C53" s="21" t="s">
        <v>194</v>
      </c>
      <c r="D53" s="21" t="s">
        <v>380</v>
      </c>
      <c r="E53" s="13">
        <v>43013.361527777779</v>
      </c>
      <c r="F53" s="13">
        <v>43013.364733796298</v>
      </c>
      <c r="G53" s="7">
        <v>62</v>
      </c>
      <c r="H53" s="21" t="s">
        <v>839</v>
      </c>
      <c r="I53" s="13">
        <v>43013.390277777777</v>
      </c>
      <c r="J53" s="7">
        <v>0</v>
      </c>
      <c r="K53" s="89" t="str">
        <f t="shared" si="25"/>
        <v>4011/4012</v>
      </c>
      <c r="L53" s="185" t="str">
        <f>VLOOKUP(A53,'Trips&amp;Operators'!$C$1:$G$99911,5,FALSE)</f>
        <v>YANAI IAN</v>
      </c>
      <c r="M53" s="6">
        <f t="shared" si="26"/>
        <v>2.5543981479131617E-2</v>
      </c>
      <c r="N53" s="7">
        <f t="shared" si="24"/>
        <v>36.783333329949528</v>
      </c>
      <c r="O53" s="7"/>
      <c r="P53" s="7"/>
      <c r="Q53" s="22"/>
      <c r="R53" s="174"/>
      <c r="S53" s="221">
        <f t="shared" si="27"/>
        <v>1</v>
      </c>
      <c r="T53" s="174" t="str">
        <f t="shared" si="28"/>
        <v>NorthBound</v>
      </c>
      <c r="U53" s="198">
        <f>IF(AG53="EC",COUNTIFS(Variables!$M$2:$M$19,IF(T53="NorthBound","&gt;=","&lt;=")&amp;Y53,Variables!$M$2:$M$19,IF(T53="NorthBound","&lt;=","&gt;=")&amp;Z53),COUNTIFS(Variables!$P$2:$P$19,IF(T53="NorthBound","&gt;=","&lt;=")&amp;Y53,Variables!$P$2:$P$19,IF(T53="NorthBound","&lt;=","&gt;=")&amp;Z53))</f>
        <v>12</v>
      </c>
      <c r="V53" s="216" t="str">
        <f t="shared" si="5"/>
        <v>https://d0f6bd738d7f1b3e5a7ca70fe4ff75f0.us-east-1.aws.found.io/app/kibana#/discover/Steve-Slow-Train-Analysis-(2080s-and-2083s)?_g=(refreshInterval:(display:Off,pause:!f,section:0,value:0),time:(from:'2017-10-05T07:40:36-0600',mode:absolute,to:'2017-10-05T10:22:00-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4012%22')),sort:!(Time.ISO8601,asc))</v>
      </c>
      <c r="W53" s="204" t="str">
        <f>IF(AA53&lt;VLOOKUP(AG53,Variables!$AC$3:$AD$8,2,FALSE),"Y","N")</f>
        <v>N</v>
      </c>
      <c r="X53" s="204">
        <f t="shared" si="29"/>
        <v>1</v>
      </c>
      <c r="Y53" s="204">
        <f t="shared" si="30"/>
        <v>4.6600000000000003E-2</v>
      </c>
      <c r="Z53" s="204">
        <f t="shared" si="31"/>
        <v>23.3309</v>
      </c>
      <c r="AA53" s="204">
        <f t="shared" si="32"/>
        <v>23.284299999999998</v>
      </c>
      <c r="AB53" s="54" t="e">
        <f>VLOOKUP(A53,Enforcements!$C$7:$K$11,8,0)</f>
        <v>#N/A</v>
      </c>
      <c r="AC53" s="51" t="e">
        <f>VLOOKUP(A53,Enforcements!$C$7:$E$11,3,0)</f>
        <v>#N/A</v>
      </c>
      <c r="AD53" s="179">
        <f t="shared" si="33"/>
        <v>141</v>
      </c>
      <c r="AE53" s="77" t="str">
        <f t="shared" si="11"/>
        <v>aws s3 cp s3://rtdc.mdm.uploadarchive.raw/RTDC4012/ "%USERPROFILE%\AppData\Local\Temp\OnboardLogs"\RTDC4012\2017-10-05 --exclude "*" --recursive --include "*20171005*" &amp; "%USERPROFILE%\Documents\GitHub\mrs-test-scripts\Headless Mode &amp; Sideloading\WalkAndUnGZ.bat" "%USERPROFILE%\AppData\Local\Temp\OnboardLogs"\RTDC4012\2017-10-05 &amp; aws s3 cp s3://rtdc.mdm.uploadarchive.raw/RTDC4012/ "%USERPROFILE%\AppData\Local\Temp\OnboardLogs"\RTDC4012\2017-10-06 --exclude "*" --recursive --include "*20171006*" &amp; "%USERPROFILE%\Documents\GitHub\mrs-test-scripts\Headless Mode &amp; Sideloading\WalkAndUnGZ.bat" "%USERPROFILE%\AppData\Local\Temp\OnboardLogs"\RTDC4012\2017-10-06</v>
      </c>
      <c r="AF53" s="74" t="str">
        <f t="shared" si="12"/>
        <v>"C:\Program Files (x86)\AstroGrep\AstroGrep.exe" /e /r /s /spath="%USERPROFILE%\AppData\Local\Temp\OnboardLogs" /stypes="app*4012*20171005*" /stext=" 15:.+((SYSTEM_STATE.+slice.+state.+changed )|(ment ac)|(multiple cpu faults)|(system.+state.+changed )|(\[timeout)|(PRM\|1\|D)|(kpr)|(kdp)|(train st.+moving)|(\|lc)|(penalty))"</v>
      </c>
      <c r="AG53" s="182" t="str">
        <f t="shared" si="34"/>
        <v>EC</v>
      </c>
      <c r="AH53" s="78" t="str">
        <f t="shared" si="19"/>
        <v>"%USERPROFILE%\Documents\GitHub\eaglep3\Utilities\RefineRTDCRunTimes.py" --tripid 141-05 --locoid 4012 --swversion DE.1.0.9.0 --startMP 204:466 --initTime 2017-10-05T08:40:36 --startdatetime 2017-10-05T08:45:13 --delay 62 --endMP 204:233309 --enddatetime 2017-10-05T09:22:00 --enforcementcount 0 &gt;&gt;%USERPROFILE%\Documents\GitHub\eaglep3-reporting\EC\2017-10-05-refined-times.txt</v>
      </c>
      <c r="AI53" s="96" t="str">
        <f t="shared" si="20"/>
        <v>echo {"issue":{"subject":"","project_id":79,"tracker_id":40,"status_id":1,"priority_id":2,"assigned_to_id":338,"start_date":"2017-10-05","description":"","custom_fields":[{"id":1,"name":"Subdivision","value":"EC"},{"id":4,"name":"Milepost","value":"23.3309"},{"id":17,"name":"Train ID","value":"141-05"},{"id":16,"name":"Locomotive ID","value":"4012"},{"id":130,"name":"Impact","value":""},{"id":150,"name":"Time of Event (Mountain Time)","value":"09:22:00"},{"id":151,"name":"Denver Issue ID","value":""},{"id":178,"name":"Operational Impact","value":"Yes"},{"id":179,"name":"Denver Segment Assigned","value":""}]}} | curl --insecure -X POST -H "Content-Type: application/json" -H "X-Redmine-API-Key: %REDMINEAPIKEY%" https://secure.xorail.net/redmine/issues.json --data @-</v>
      </c>
      <c r="AJ53" s="20"/>
      <c r="AK53" s="47"/>
      <c r="AL53" s="47"/>
      <c r="AM53" s="142" t="str">
        <f t="shared" si="21"/>
        <v>start /low /b %USERPROFILE%\Documents\GitHub\eaglep3\Utilities\DownloadLogsFromS3.py --loco 4012 --day 2017-10-05</v>
      </c>
      <c r="AN53"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ID","value":"4012"},{"id":20,"name":"RR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15:22:00"},{"id":29,"name":"Sharepoint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53" s="168" t="str">
        <f t="shared" si="23"/>
        <v>https://d0f6bd738d7f1b3e5a7ca70fe4ff75f0.us-east-1.aws.found.io/app/kibana#/discover/Steve-Slow-Train-Analysis-(2080s-and-2083s)?_g=(refreshInterval:(display:Off,pause:!f,section:0,value:0),time:(from:'2017-10-05T07:40:36-0600',mode:absolute,to:'2017-10-05T10:22:00-0600'))&amp;_a=(columns:!('Message%20ID',Summary),filters:!(),index:'emp_*',interval:auto,query:(query_string:(analyze_wildcard:!t,query:'%22rtdc.l.rtdc.4012%22')),sort:!(Time.ISO8601,asc))</v>
      </c>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row>
    <row r="54" spans="1:91" s="1" customFormat="1" x14ac:dyDescent="0.25">
      <c r="A54" s="32" t="s">
        <v>678</v>
      </c>
      <c r="B54" s="7">
        <v>4011</v>
      </c>
      <c r="C54" s="21" t="s">
        <v>194</v>
      </c>
      <c r="D54" s="21" t="s">
        <v>489</v>
      </c>
      <c r="E54" s="13">
        <v>43013.391250000001</v>
      </c>
      <c r="F54" s="13">
        <v>43013.404340277775</v>
      </c>
      <c r="G54" s="7">
        <v>47</v>
      </c>
      <c r="H54" s="21" t="s">
        <v>356</v>
      </c>
      <c r="I54" s="13">
        <v>43013.430775462963</v>
      </c>
      <c r="J54" s="7">
        <v>0</v>
      </c>
      <c r="K54" s="89" t="str">
        <f t="shared" si="25"/>
        <v>4011/4012</v>
      </c>
      <c r="L54" s="185" t="str">
        <f>VLOOKUP(A54,'Trips&amp;Operators'!$C$1:$G$99911,5,FALSE)</f>
        <v>YANAI IAN</v>
      </c>
      <c r="M54" s="6">
        <f t="shared" si="26"/>
        <v>2.6435185187438037E-2</v>
      </c>
      <c r="N54" s="7">
        <f t="shared" si="24"/>
        <v>38.066666669910774</v>
      </c>
      <c r="O54" s="7"/>
      <c r="P54" s="7"/>
      <c r="Q54" s="22"/>
      <c r="R54" s="174"/>
      <c r="S54" s="221">
        <f t="shared" si="27"/>
        <v>1</v>
      </c>
      <c r="T54" s="174" t="str">
        <f t="shared" si="28"/>
        <v>Southbound</v>
      </c>
      <c r="U54" s="198">
        <f>IF(AG54="EC",COUNTIFS(Variables!$M$2:$M$19,IF(T54="NorthBound","&gt;=","&lt;=")&amp;Y54,Variables!$M$2:$M$19,IF(T54="NorthBound","&lt;=","&gt;=")&amp;Z54),COUNTIFS(Variables!$P$2:$P$19,IF(T54="NorthBound","&gt;=","&lt;=")&amp;Y54,Variables!$P$2:$P$19,IF(T54="NorthBound","&lt;=","&gt;=")&amp;Z54))</f>
        <v>12</v>
      </c>
      <c r="V54" s="216" t="str">
        <f t="shared" si="5"/>
        <v>https://d0f6bd738d7f1b3e5a7ca70fe4ff75f0.us-east-1.aws.found.io/app/kibana#/discover/Steve-Slow-Train-Analysis-(2080s-and-2083s)?_g=(refreshInterval:(display:Off,pause:!f,section:0,value:0),time:(from:'2017-10-05T08:23:24-0600',mode:absolute,to:'2017-10-05T11:20:19-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4011%22')),sort:!(Time.ISO8601,asc))</v>
      </c>
      <c r="W54" s="204" t="str">
        <f>IF(AA54&lt;VLOOKUP(AG54,Variables!$AC$3:$AD$8,2,FALSE),"Y","N")</f>
        <v>N</v>
      </c>
      <c r="X54" s="204">
        <f t="shared" si="29"/>
        <v>1</v>
      </c>
      <c r="Y54" s="204">
        <f t="shared" si="30"/>
        <v>23.2986</v>
      </c>
      <c r="Z54" s="204">
        <f t="shared" si="31"/>
        <v>1.52E-2</v>
      </c>
      <c r="AA54" s="204">
        <f t="shared" si="32"/>
        <v>23.2834</v>
      </c>
      <c r="AB54" s="54" t="e">
        <f>VLOOKUP(A54,Enforcements!$C$7:$K$11,8,0)</f>
        <v>#N/A</v>
      </c>
      <c r="AC54" s="51" t="e">
        <f>VLOOKUP(A54,Enforcements!$C$7:$E$11,3,0)</f>
        <v>#N/A</v>
      </c>
      <c r="AD54" s="179">
        <f t="shared" si="33"/>
        <v>142</v>
      </c>
      <c r="AE54" s="77" t="str">
        <f t="shared" si="11"/>
        <v>aws s3 cp s3://rtdc.mdm.uploadarchive.raw/RTDC4011/ "%USERPROFILE%\AppData\Local\Temp\OnboardLogs"\RTDC4011\2017-10-05 --exclude "*" --recursive --include "*20171005*" &amp; "%USERPROFILE%\Documents\GitHub\mrs-test-scripts\Headless Mode &amp; Sideloading\WalkAndUnGZ.bat" "%USERPROFILE%\AppData\Local\Temp\OnboardLogs"\RTDC4011\2017-10-05 &amp; aws s3 cp s3://rtdc.mdm.uploadarchive.raw/RTDC4011/ "%USERPROFILE%\AppData\Local\Temp\OnboardLogs"\RTDC4011\2017-10-06 --exclude "*" --recursive --include "*20171006*" &amp; "%USERPROFILE%\Documents\GitHub\mrs-test-scripts\Headless Mode &amp; Sideloading\WalkAndUnGZ.bat" "%USERPROFILE%\AppData\Local\Temp\OnboardLogs"\RTDC4011\2017-10-06</v>
      </c>
      <c r="AF54" s="74" t="str">
        <f t="shared" si="12"/>
        <v>"C:\Program Files (x86)\AstroGrep\AstroGrep.exe" /e /r /s /spath="%USERPROFILE%\AppData\Local\Temp\OnboardLogs" /stypes="app*4011*20171005*" /stext=" 16:.+((SYSTEM_STATE.+slice.+state.+changed )|(ment ac)|(multiple cpu faults)|(system.+state.+changed )|(\[timeout)|(PRM\|1\|D)|(kpr)|(kdp)|(train st.+moving)|(\|lc)|(penalty))"</v>
      </c>
      <c r="AG54" s="182" t="str">
        <f t="shared" si="34"/>
        <v>EC</v>
      </c>
      <c r="AH54" s="78" t="str">
        <f t="shared" si="19"/>
        <v>"%USERPROFILE%\Documents\GitHub\eaglep3\Utilities\RefineRTDCRunTimes.py" --tripid 142-05 --locoid 4011 --swversion DE.1.0.9.0 --startMP 204:232986 --initTime 2017-10-05T09:23:24 --startdatetime 2017-10-05T09:42:15 --delay 47 --endMP 204:152 --enddatetime 2017-10-05T10:20:19 --enforcementcount 0 &gt;&gt;%USERPROFILE%\Documents\GitHub\eaglep3-reporting\EC\2017-10-05-refined-times.txt</v>
      </c>
      <c r="AI54" s="96" t="str">
        <f t="shared" si="20"/>
        <v>echo {"issue":{"subject":"","project_id":79,"tracker_id":40,"status_id":1,"priority_id":2,"assigned_to_id":338,"start_date":"2017-10-05","description":"","custom_fields":[{"id":1,"name":"Subdivision","value":"EC"},{"id":4,"name":"Milepost","value":"0.0152"},{"id":17,"name":"Train ID","value":"142-05"},{"id":16,"name":"Locomotive ID","value":"4011"},{"id":130,"name":"Impact","value":""},{"id":150,"name":"Time of Event (Mountain Time)","value":"10:20:19"},{"id":151,"name":"Denver Issue ID","value":""},{"id":178,"name":"Operational Impact","value":"Yes"},{"id":179,"name":"Denver Segment Assigned","value":""}]}} | curl --insecure -X POST -H "Content-Type: application/json" -H "X-Redmine-API-Key: %REDMINEAPIKEY%" https://secure.xorail.net/redmine/issues.json --data @-</v>
      </c>
      <c r="AJ54" s="20"/>
      <c r="AK54" s="47"/>
      <c r="AL54" s="47"/>
      <c r="AM54" s="142" t="str">
        <f t="shared" si="21"/>
        <v>start /low /b %USERPROFILE%\Documents\GitHub\eaglep3\Utilities\DownloadLogsFromS3.py --loco 4011 --day 2017-10-05</v>
      </c>
      <c r="AN54"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ID","value":"4011"},{"id":20,"name":"RR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16:20:19"},{"id":29,"name":"Sharepoint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54" s="168" t="str">
        <f t="shared" si="23"/>
        <v>https://d0f6bd738d7f1b3e5a7ca70fe4ff75f0.us-east-1.aws.found.io/app/kibana#/discover/Steve-Slow-Train-Analysis-(2080s-and-2083s)?_g=(refreshInterval:(display:Off,pause:!f,section:0,value:0),time:(from:'2017-10-05T08:23:24-0600',mode:absolute,to:'2017-10-05T11:20:19-0600'))&amp;_a=(columns:!('Message%20ID',Summary),filters:!(),index:'emp_*',interval:auto,query:(query_string:(analyze_wildcard:!t,query:'%22rtdc.l.rtdc.4011%22')),sort:!(Time.ISO8601,asc))</v>
      </c>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row>
    <row r="55" spans="1:91" s="1" customFormat="1" x14ac:dyDescent="0.25">
      <c r="A55" s="32" t="s">
        <v>676</v>
      </c>
      <c r="B55" s="7">
        <v>4008</v>
      </c>
      <c r="C55" s="21" t="s">
        <v>194</v>
      </c>
      <c r="D55" s="21" t="s">
        <v>381</v>
      </c>
      <c r="E55" s="13">
        <v>43013.371377314812</v>
      </c>
      <c r="F55" s="13">
        <v>43013.375185185185</v>
      </c>
      <c r="G55" s="7">
        <v>57</v>
      </c>
      <c r="H55" s="21" t="s">
        <v>539</v>
      </c>
      <c r="I55" s="13">
        <v>43013.401180555556</v>
      </c>
      <c r="J55" s="7">
        <v>0</v>
      </c>
      <c r="K55" s="89" t="str">
        <f t="shared" si="25"/>
        <v>4007/4008</v>
      </c>
      <c r="L55" s="185" t="str">
        <f>VLOOKUP(A55,'Trips&amp;Operators'!$C$1:$G$99911,5,FALSE)</f>
        <v>MAELZER KURT</v>
      </c>
      <c r="M55" s="6">
        <f t="shared" si="26"/>
        <v>2.5995370371674653E-2</v>
      </c>
      <c r="N55" s="7">
        <f t="shared" si="24"/>
        <v>37.433333335211501</v>
      </c>
      <c r="O55" s="7"/>
      <c r="P55" s="7"/>
      <c r="Q55" s="22"/>
      <c r="R55" s="174"/>
      <c r="S55" s="221">
        <f t="shared" si="27"/>
        <v>1</v>
      </c>
      <c r="T55" s="174" t="str">
        <f t="shared" si="28"/>
        <v>NorthBound</v>
      </c>
      <c r="U55" s="198">
        <f>IF(AG55="EC",COUNTIFS(Variables!$M$2:$M$19,IF(T55="NorthBound","&gt;=","&lt;=")&amp;Y55,Variables!$M$2:$M$19,IF(T55="NorthBound","&lt;=","&gt;=")&amp;Z55),COUNTIFS(Variables!$P$2:$P$19,IF(T55="NorthBound","&gt;=","&lt;=")&amp;Y55,Variables!$P$2:$P$19,IF(T55="NorthBound","&lt;=","&gt;=")&amp;Z55))</f>
        <v>12</v>
      </c>
      <c r="V55" s="216" t="str">
        <f t="shared" si="5"/>
        <v>https://d0f6bd738d7f1b3e5a7ca70fe4ff75f0.us-east-1.aws.found.io/app/kibana#/discover/Steve-Slow-Train-Analysis-(2080s-and-2083s)?_g=(refreshInterval:(display:Off,pause:!f,section:0,value:0),time:(from:'2017-10-05T07:54:47-0600',mode:absolute,to:'2017-10-05T10:37:42-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4008%22')),sort:!(Time.ISO8601,asc))</v>
      </c>
      <c r="W55" s="204" t="str">
        <f>IF(AA55&lt;VLOOKUP(AG55,Variables!$AC$3:$AD$8,2,FALSE),"Y","N")</f>
        <v>N</v>
      </c>
      <c r="X55" s="204">
        <f t="shared" si="29"/>
        <v>1</v>
      </c>
      <c r="Y55" s="204">
        <f t="shared" si="30"/>
        <v>4.4699999999999997E-2</v>
      </c>
      <c r="Z55" s="204">
        <f t="shared" si="31"/>
        <v>23.331399999999999</v>
      </c>
      <c r="AA55" s="204">
        <f t="shared" si="32"/>
        <v>23.2867</v>
      </c>
      <c r="AB55" s="54" t="e">
        <f>VLOOKUP(A55,Enforcements!$C$7:$K$11,8,0)</f>
        <v>#N/A</v>
      </c>
      <c r="AC55" s="51" t="e">
        <f>VLOOKUP(A55,Enforcements!$C$7:$E$11,3,0)</f>
        <v>#N/A</v>
      </c>
      <c r="AD55" s="179">
        <f t="shared" si="33"/>
        <v>143</v>
      </c>
      <c r="AE55" s="77" t="str">
        <f t="shared" si="11"/>
        <v>aws s3 cp s3://rtdc.mdm.uploadarchive.raw/RTDC4008/ "%USERPROFILE%\AppData\Local\Temp\OnboardLogs"\RTDC4008\2017-10-05 --exclude "*" --recursive --include "*20171005*" &amp; "%USERPROFILE%\Documents\GitHub\mrs-test-scripts\Headless Mode &amp; Sideloading\WalkAndUnGZ.bat" "%USERPROFILE%\AppData\Local\Temp\OnboardLogs"\RTDC4008\2017-10-05 &amp; aws s3 cp s3://rtdc.mdm.uploadarchive.raw/RTDC4008/ "%USERPROFILE%\AppData\Local\Temp\OnboardLogs"\RTDC4008\2017-10-06 --exclude "*" --recursive --include "*20171006*" &amp; "%USERPROFILE%\Documents\GitHub\mrs-test-scripts\Headless Mode &amp; Sideloading\WalkAndUnGZ.bat" "%USERPROFILE%\AppData\Local\Temp\OnboardLogs"\RTDC4008\2017-10-06</v>
      </c>
      <c r="AF55" s="74" t="str">
        <f t="shared" si="12"/>
        <v>"C:\Program Files (x86)\AstroGrep\AstroGrep.exe" /e /r /s /spath="%USERPROFILE%\AppData\Local\Temp\OnboardLogs" /stypes="app*4008*20171005*" /stext=" 15:.+((SYSTEM_STATE.+slice.+state.+changed )|(ment ac)|(multiple cpu faults)|(system.+state.+changed )|(\[timeout)|(PRM\|1\|D)|(kpr)|(kdp)|(train st.+moving)|(\|lc)|(penalty))"</v>
      </c>
      <c r="AG55" s="182" t="str">
        <f t="shared" si="34"/>
        <v>EC</v>
      </c>
      <c r="AH55" s="78" t="str">
        <f t="shared" si="19"/>
        <v>"%USERPROFILE%\Documents\GitHub\eaglep3\Utilities\RefineRTDCRunTimes.py" --tripid 143-05 --locoid 4008 --swversion DE.1.0.9.0 --startMP 204:447 --initTime 2017-10-05T08:54:47 --startdatetime 2017-10-05T09:00:16 --delay 57 --endMP 204:233314 --enddatetime 2017-10-05T09:37:42 --enforcementcount 0 &gt;&gt;%USERPROFILE%\Documents\GitHub\eaglep3-reporting\EC\2017-10-05-refined-times.txt</v>
      </c>
      <c r="AI55" s="96" t="str">
        <f t="shared" si="20"/>
        <v>echo {"issue":{"subject":"","project_id":79,"tracker_id":40,"status_id":1,"priority_id":2,"assigned_to_id":338,"start_date":"2017-10-05","description":"","custom_fields":[{"id":1,"name":"Subdivision","value":"EC"},{"id":4,"name":"Milepost","value":"23.3314"},{"id":17,"name":"Train ID","value":"143-05"},{"id":16,"name":"Locomotive ID","value":"4008"},{"id":130,"name":"Impact","value":""},{"id":150,"name":"Time of Event (Mountain Time)","value":"09:37:42"},{"id":151,"name":"Denver Issue ID","value":""},{"id":178,"name":"Operational Impact","value":"Yes"},{"id":179,"name":"Denver Segment Assigned","value":""}]}} | curl --insecure -X POST -H "Content-Type: application/json" -H "X-Redmine-API-Key: %REDMINEAPIKEY%" https://secure.xorail.net/redmine/issues.json --data @-</v>
      </c>
      <c r="AJ55" s="20"/>
      <c r="AK55" s="47"/>
      <c r="AL55" s="47"/>
      <c r="AM55" s="142" t="str">
        <f t="shared" si="21"/>
        <v>start /low /b %USERPROFILE%\Documents\GitHub\eaglep3\Utilities\DownloadLogsFromS3.py --loco 4008 --day 2017-10-05</v>
      </c>
      <c r="AN55"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ID","value":"4008"},{"id":20,"name":"RR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15:37:42"},{"id":29,"name":"Sharepoint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55" s="168" t="str">
        <f t="shared" si="23"/>
        <v>https://d0f6bd738d7f1b3e5a7ca70fe4ff75f0.us-east-1.aws.found.io/app/kibana#/discover/Steve-Slow-Train-Analysis-(2080s-and-2083s)?_g=(refreshInterval:(display:Off,pause:!f,section:0,value:0),time:(from:'2017-10-05T07:54:47-0600',mode:absolute,to:'2017-10-05T10:37:42-0600'))&amp;_a=(columns:!('Message%20ID',Summary),filters:!(),index:'emp_*',interval:auto,query:(query_string:(analyze_wildcard:!t,query:'%22rtdc.l.rtdc.4008%22')),sort:!(Time.ISO8601,asc))</v>
      </c>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row>
    <row r="56" spans="1:91" s="1" customFormat="1" x14ac:dyDescent="0.25">
      <c r="A56" s="32" t="s">
        <v>682</v>
      </c>
      <c r="B56" s="7">
        <v>4007</v>
      </c>
      <c r="C56" s="21" t="s">
        <v>194</v>
      </c>
      <c r="D56" s="21" t="s">
        <v>488</v>
      </c>
      <c r="E56" s="13">
        <v>43013.405949074076</v>
      </c>
      <c r="F56" s="13">
        <v>43013.414803240739</v>
      </c>
      <c r="G56" s="7">
        <v>52</v>
      </c>
      <c r="H56" s="21" t="s">
        <v>372</v>
      </c>
      <c r="I56" s="13">
        <v>43013.440706018519</v>
      </c>
      <c r="J56" s="7">
        <v>0</v>
      </c>
      <c r="K56" s="89" t="str">
        <f t="shared" si="25"/>
        <v>4007/4008</v>
      </c>
      <c r="L56" s="185" t="str">
        <f>VLOOKUP(A56,'Trips&amp;Operators'!$C$1:$G$99911,5,FALSE)</f>
        <v>MAELZER KURT</v>
      </c>
      <c r="M56" s="6">
        <f t="shared" si="26"/>
        <v>2.5902777779265307E-2</v>
      </c>
      <c r="N56" s="7">
        <f t="shared" si="24"/>
        <v>37.300000002142042</v>
      </c>
      <c r="O56" s="7"/>
      <c r="P56" s="7"/>
      <c r="Q56" s="22"/>
      <c r="R56" s="174"/>
      <c r="S56" s="221">
        <f t="shared" si="27"/>
        <v>1</v>
      </c>
      <c r="T56" s="174" t="str">
        <f t="shared" si="28"/>
        <v>Southbound</v>
      </c>
      <c r="U56" s="198">
        <f>IF(AG56="EC",COUNTIFS(Variables!$M$2:$M$19,IF(T56="NorthBound","&gt;=","&lt;=")&amp;Y56,Variables!$M$2:$M$19,IF(T56="NorthBound","&lt;=","&gt;=")&amp;Z56),COUNTIFS(Variables!$P$2:$P$19,IF(T56="NorthBound","&gt;=","&lt;=")&amp;Y56,Variables!$P$2:$P$19,IF(T56="NorthBound","&lt;=","&gt;=")&amp;Z56))</f>
        <v>12</v>
      </c>
      <c r="V56" s="216" t="str">
        <f t="shared" si="5"/>
        <v>https://d0f6bd738d7f1b3e5a7ca70fe4ff75f0.us-east-1.aws.found.io/app/kibana#/discover/Steve-Slow-Train-Analysis-(2080s-and-2083s)?_g=(refreshInterval:(display:Off,pause:!f,section:0,value:0),time:(from:'2017-10-05T08:44:34-0600',mode:absolute,to:'2017-10-05T11:34:37-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4007%22')),sort:!(Time.ISO8601,asc))</v>
      </c>
      <c r="W56" s="204" t="str">
        <f>IF(AA56&lt;VLOOKUP(AG56,Variables!$AC$3:$AD$8,2,FALSE),"Y","N")</f>
        <v>N</v>
      </c>
      <c r="X56" s="204">
        <f t="shared" si="29"/>
        <v>1</v>
      </c>
      <c r="Y56" s="204">
        <f t="shared" si="30"/>
        <v>23.300599999999999</v>
      </c>
      <c r="Z56" s="204">
        <f t="shared" si="31"/>
        <v>1.3899999999999999E-2</v>
      </c>
      <c r="AA56" s="204">
        <f t="shared" si="32"/>
        <v>23.2867</v>
      </c>
      <c r="AB56" s="54" t="e">
        <f>VLOOKUP(A56,Enforcements!$C$7:$K$11,8,0)</f>
        <v>#N/A</v>
      </c>
      <c r="AC56" s="51" t="e">
        <f>VLOOKUP(A56,Enforcements!$C$7:$E$11,3,0)</f>
        <v>#N/A</v>
      </c>
      <c r="AD56" s="179">
        <f t="shared" si="33"/>
        <v>144</v>
      </c>
      <c r="AE56" s="77" t="str">
        <f t="shared" si="11"/>
        <v>aws s3 cp s3://rtdc.mdm.uploadarchive.raw/RTDC4007/ "%USERPROFILE%\AppData\Local\Temp\OnboardLogs"\RTDC4007\2017-10-05 --exclude "*" --recursive --include "*20171005*" &amp; "%USERPROFILE%\Documents\GitHub\mrs-test-scripts\Headless Mode &amp; Sideloading\WalkAndUnGZ.bat" "%USERPROFILE%\AppData\Local\Temp\OnboardLogs"\RTDC4007\2017-10-05 &amp; aws s3 cp s3://rtdc.mdm.uploadarchive.raw/RTDC4007/ "%USERPROFILE%\AppData\Local\Temp\OnboardLogs"\RTDC4007\2017-10-06 --exclude "*" --recursive --include "*20171006*" &amp; "%USERPROFILE%\Documents\GitHub\mrs-test-scripts\Headless Mode &amp; Sideloading\WalkAndUnGZ.bat" "%USERPROFILE%\AppData\Local\Temp\OnboardLogs"\RTDC4007\2017-10-06</v>
      </c>
      <c r="AF56" s="74" t="str">
        <f t="shared" si="12"/>
        <v>"C:\Program Files (x86)\AstroGrep\AstroGrep.exe" /e /r /s /spath="%USERPROFILE%\AppData\Local\Temp\OnboardLogs" /stypes="app*4007*20171005*" /stext=" 16:.+((SYSTEM_STATE.+slice.+state.+changed )|(ment ac)|(multiple cpu faults)|(system.+state.+changed )|(\[timeout)|(PRM\|1\|D)|(kpr)|(kdp)|(train st.+moving)|(\|lc)|(penalty))"</v>
      </c>
      <c r="AG56" s="182" t="str">
        <f t="shared" si="34"/>
        <v>EC</v>
      </c>
      <c r="AH56" s="78" t="str">
        <f t="shared" si="19"/>
        <v>"%USERPROFILE%\Documents\GitHub\eaglep3\Utilities\RefineRTDCRunTimes.py" --tripid 144-05 --locoid 4007 --swversion DE.1.0.9.0 --startMP 204:233006 --initTime 2017-10-05T09:44:34 --startdatetime 2017-10-05T09:57:19 --delay 52 --endMP 204:139 --enddatetime 2017-10-05T10:34:37 --enforcementcount 0 &gt;&gt;%USERPROFILE%\Documents\GitHub\eaglep3-reporting\EC\2017-10-05-refined-times.txt</v>
      </c>
      <c r="AI56" s="96" t="str">
        <f t="shared" si="20"/>
        <v>echo {"issue":{"subject":"","project_id":79,"tracker_id":40,"status_id":1,"priority_id":2,"assigned_to_id":338,"start_date":"2017-10-05","description":"","custom_fields":[{"id":1,"name":"Subdivision","value":"EC"},{"id":4,"name":"Milepost","value":"0.0139"},{"id":17,"name":"Train ID","value":"144-05"},{"id":16,"name":"Locomotive ID","value":"4007"},{"id":130,"name":"Impact","value":""},{"id":150,"name":"Time of Event (Mountain Time)","value":"10:34:37"},{"id":151,"name":"Denver Issue ID","value":""},{"id":178,"name":"Operational Impact","value":"Yes"},{"id":179,"name":"Denver Segment Assigned","value":""}]}} | curl --insecure -X POST -H "Content-Type: application/json" -H "X-Redmine-API-Key: %REDMINEAPIKEY%" https://secure.xorail.net/redmine/issues.json --data @-</v>
      </c>
      <c r="AJ56" s="20"/>
      <c r="AK56" s="47"/>
      <c r="AL56" s="47"/>
      <c r="AM56" s="142" t="str">
        <f t="shared" si="21"/>
        <v>start /low /b %USERPROFILE%\Documents\GitHub\eaglep3\Utilities\DownloadLogsFromS3.py --loco 4007 --day 2017-10-05</v>
      </c>
      <c r="AN56"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ID","value":"4007"},{"id":20,"name":"RR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16:34:37"},{"id":29,"name":"Sharepoint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56" s="168" t="str">
        <f t="shared" si="23"/>
        <v>https://d0f6bd738d7f1b3e5a7ca70fe4ff75f0.us-east-1.aws.found.io/app/kibana#/discover/Steve-Slow-Train-Analysis-(2080s-and-2083s)?_g=(refreshInterval:(display:Off,pause:!f,section:0,value:0),time:(from:'2017-10-05T08:44:34-0600',mode:absolute,to:'2017-10-05T11:34:37-0600'))&amp;_a=(columns:!('Message%20ID',Summary),filters:!(),index:'emp_*',interval:auto,query:(query_string:(analyze_wildcard:!t,query:'%22rtdc.l.rtdc.4007%22')),sort:!(Time.ISO8601,asc))</v>
      </c>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row>
    <row r="57" spans="1:91" s="1" customFormat="1" x14ac:dyDescent="0.25">
      <c r="A57" s="32" t="s">
        <v>677</v>
      </c>
      <c r="B57" s="7">
        <v>4016</v>
      </c>
      <c r="C57" s="21" t="s">
        <v>194</v>
      </c>
      <c r="D57" s="21" t="s">
        <v>366</v>
      </c>
      <c r="E57" s="13">
        <v>43013.381458333337</v>
      </c>
      <c r="F57" s="13">
        <v>43013.385613425926</v>
      </c>
      <c r="G57" s="7">
        <v>101</v>
      </c>
      <c r="H57" s="21" t="s">
        <v>840</v>
      </c>
      <c r="I57" s="13">
        <v>43013.411527777775</v>
      </c>
      <c r="J57" s="7">
        <v>0</v>
      </c>
      <c r="K57" s="89" t="str">
        <f t="shared" si="25"/>
        <v>4015/4016</v>
      </c>
      <c r="L57" s="185" t="str">
        <f>VLOOKUP(A57,'Trips&amp;Operators'!$C$1:$G$99911,5,FALSE)</f>
        <v>YANG JAN</v>
      </c>
      <c r="M57" s="6">
        <f t="shared" si="26"/>
        <v>2.5914351848769002E-2</v>
      </c>
      <c r="N57" s="7">
        <f t="shared" si="24"/>
        <v>37.316666662227362</v>
      </c>
      <c r="O57" s="7"/>
      <c r="P57" s="7"/>
      <c r="Q57" s="22"/>
      <c r="R57" s="174"/>
      <c r="S57" s="221">
        <f t="shared" si="27"/>
        <v>1</v>
      </c>
      <c r="T57" s="174" t="str">
        <f t="shared" si="28"/>
        <v>NorthBound</v>
      </c>
      <c r="U57" s="198">
        <f>IF(AG57="EC",COUNTIFS(Variables!$M$2:$M$19,IF(T57="NorthBound","&gt;=","&lt;=")&amp;Y57,Variables!$M$2:$M$19,IF(T57="NorthBound","&lt;=","&gt;=")&amp;Z57),COUNTIFS(Variables!$P$2:$P$19,IF(T57="NorthBound","&gt;=","&lt;=")&amp;Y57,Variables!$P$2:$P$19,IF(T57="NorthBound","&lt;=","&gt;=")&amp;Z57))</f>
        <v>12</v>
      </c>
      <c r="V57" s="216" t="str">
        <f t="shared" si="5"/>
        <v>https://d0f6bd738d7f1b3e5a7ca70fe4ff75f0.us-east-1.aws.found.io/app/kibana#/discover/Steve-Slow-Train-Analysis-(2080s-and-2083s)?_g=(refreshInterval:(display:Off,pause:!f,section:0,value:0),time:(from:'2017-10-05T08:09:18-0600',mode:absolute,to:'2017-10-05T10:52:36-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W57" s="204" t="str">
        <f>IF(AA57&lt;VLOOKUP(AG57,Variables!$AC$3:$AD$8,2,FALSE),"Y","N")</f>
        <v>N</v>
      </c>
      <c r="X57" s="204">
        <f t="shared" si="29"/>
        <v>1</v>
      </c>
      <c r="Y57" s="204">
        <f t="shared" si="30"/>
        <v>4.5999999999999999E-2</v>
      </c>
      <c r="Z57" s="204">
        <f t="shared" si="31"/>
        <v>23.330100000000002</v>
      </c>
      <c r="AA57" s="204">
        <f t="shared" si="32"/>
        <v>23.284100000000002</v>
      </c>
      <c r="AB57" s="54" t="e">
        <f>VLOOKUP(A57,Enforcements!$C$7:$K$11,8,0)</f>
        <v>#N/A</v>
      </c>
      <c r="AC57" s="51" t="e">
        <f>VLOOKUP(A57,Enforcements!$C$7:$E$11,3,0)</f>
        <v>#N/A</v>
      </c>
      <c r="AD57" s="179">
        <f t="shared" si="33"/>
        <v>145</v>
      </c>
      <c r="AE57" s="77" t="str">
        <f t="shared" si="11"/>
        <v>aws s3 cp s3://rtdc.mdm.uploadarchive.raw/RTDC4016/ "%USERPROFILE%\AppData\Local\Temp\OnboardLogs"\RTDC4016\2017-10-05 --exclude "*" --recursive --include "*20171005*" &amp; "%USERPROFILE%\Documents\GitHub\mrs-test-scripts\Headless Mode &amp; Sideloading\WalkAndUnGZ.bat" "%USERPROFILE%\AppData\Local\Temp\OnboardLogs"\RTDC4016\2017-10-05 &amp; aws s3 cp s3://rtdc.mdm.uploadarchive.raw/RTDC4016/ "%USERPROFILE%\AppData\Local\Temp\OnboardLogs"\RTDC4016\2017-10-06 --exclude "*" --recursive --include "*20171006*" &amp; "%USERPROFILE%\Documents\GitHub\mrs-test-scripts\Headless Mode &amp; Sideloading\WalkAndUnGZ.bat" "%USERPROFILE%\AppData\Local\Temp\OnboardLogs"\RTDC4016\2017-10-06</v>
      </c>
      <c r="AF57" s="74" t="str">
        <f t="shared" si="12"/>
        <v>"C:\Program Files (x86)\AstroGrep\AstroGrep.exe" /e /r /s /spath="%USERPROFILE%\AppData\Local\Temp\OnboardLogs" /stypes="app*4016*20171005*" /stext=" 15:.+((SYSTEM_STATE.+slice.+state.+changed )|(ment ac)|(multiple cpu faults)|(system.+state.+changed )|(\[timeout)|(PRM\|1\|D)|(kpr)|(kdp)|(train st.+moving)|(\|lc)|(penalty))"</v>
      </c>
      <c r="AG57" s="182" t="str">
        <f t="shared" si="34"/>
        <v>EC</v>
      </c>
      <c r="AH57" s="78" t="str">
        <f t="shared" si="19"/>
        <v>"%USERPROFILE%\Documents\GitHub\eaglep3\Utilities\RefineRTDCRunTimes.py" --tripid 145-05 --locoid 4016 --swversion DE.1.0.9.0 --startMP 204:460 --initTime 2017-10-05T09:09:18 --startdatetime 2017-10-05T09:15:17 --delay 101 --endMP 204:233301 --enddatetime 2017-10-05T09:52:36 --enforcementcount 0 &gt;&gt;%USERPROFILE%\Documents\GitHub\eaglep3-reporting\EC\2017-10-05-refined-times.txt</v>
      </c>
      <c r="AI57" s="96" t="str">
        <f t="shared" si="20"/>
        <v>echo {"issue":{"subject":"","project_id":79,"tracker_id":40,"status_id":1,"priority_id":2,"assigned_to_id":338,"start_date":"2017-10-05","description":"","custom_fields":[{"id":1,"name":"Subdivision","value":"EC"},{"id":4,"name":"Milepost","value":"23.3301"},{"id":17,"name":"Train ID","value":"145-05"},{"id":16,"name":"Locomotive ID","value":"4016"},{"id":130,"name":"Impact","value":""},{"id":150,"name":"Time of Event (Mountain Time)","value":"09:52:36"},{"id":151,"name":"Denver Issue ID","value":""},{"id":178,"name":"Operational Impact","value":"Yes"},{"id":179,"name":"Denver Segment Assigned","value":""}]}} | curl --insecure -X POST -H "Content-Type: application/json" -H "X-Redmine-API-Key: %REDMINEAPIKEY%" https://secure.xorail.net/redmine/issues.json --data @-</v>
      </c>
      <c r="AJ57" s="20"/>
      <c r="AK57" s="47"/>
      <c r="AL57" s="47"/>
      <c r="AM57" s="142" t="str">
        <f t="shared" si="21"/>
        <v>start /low /b %USERPROFILE%\Documents\GitHub\eaglep3\Utilities\DownloadLogsFromS3.py --loco 4016 --day 2017-10-05</v>
      </c>
      <c r="AN57"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ID","value":"4016"},{"id":20,"name":"RR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15:52:36"},{"id":29,"name":"Sharepoint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57" s="168" t="str">
        <f t="shared" si="23"/>
        <v>https://d0f6bd738d7f1b3e5a7ca70fe4ff75f0.us-east-1.aws.found.io/app/kibana#/discover/Steve-Slow-Train-Analysis-(2080s-and-2083s)?_g=(refreshInterval:(display:Off,pause:!f,section:0,value:0),time:(from:'2017-10-05T08:09:18-0600',mode:absolute,to:'2017-10-05T10:52:36-0600'))&amp;_a=(columns:!('Message%20ID',Summary),filters:!(),index:'emp_*',interval:auto,query:(query_string:(analyze_wildcard:!t,query:'%22rtdc.l.rtdc.4016%22')),sort:!(Time.ISO8601,asc))</v>
      </c>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row>
    <row r="58" spans="1:91" s="1" customFormat="1" x14ac:dyDescent="0.25">
      <c r="A58" s="32" t="s">
        <v>683</v>
      </c>
      <c r="B58" s="7">
        <v>4015</v>
      </c>
      <c r="C58" s="21" t="s">
        <v>194</v>
      </c>
      <c r="D58" s="21" t="s">
        <v>414</v>
      </c>
      <c r="E58" s="13">
        <v>43013.420787037037</v>
      </c>
      <c r="F58" s="13">
        <v>43013.425219907411</v>
      </c>
      <c r="G58" s="7">
        <v>53</v>
      </c>
      <c r="H58" s="21" t="s">
        <v>440</v>
      </c>
      <c r="I58" s="13">
        <v>43013.451990740738</v>
      </c>
      <c r="J58" s="7">
        <v>0</v>
      </c>
      <c r="K58" s="89" t="str">
        <f t="shared" si="25"/>
        <v>4015/4016</v>
      </c>
      <c r="L58" s="185" t="str">
        <f>VLOOKUP(A58,'Trips&amp;Operators'!$C$1:$G$99911,5,FALSE)</f>
        <v>YANG JAN</v>
      </c>
      <c r="M58" s="6">
        <f t="shared" si="26"/>
        <v>2.6770833326736465E-2</v>
      </c>
      <c r="N58" s="7">
        <f t="shared" si="24"/>
        <v>38.54999999050051</v>
      </c>
      <c r="O58" s="7"/>
      <c r="P58" s="7"/>
      <c r="Q58" s="22"/>
      <c r="R58" s="174"/>
      <c r="S58" s="221">
        <f t="shared" si="27"/>
        <v>1</v>
      </c>
      <c r="T58" s="174" t="str">
        <f t="shared" si="28"/>
        <v>Southbound</v>
      </c>
      <c r="U58" s="198">
        <f>IF(AG58="EC",COUNTIFS(Variables!$M$2:$M$19,IF(T58="NorthBound","&gt;=","&lt;=")&amp;Y58,Variables!$M$2:$M$19,IF(T58="NorthBound","&lt;=","&gt;=")&amp;Z58),COUNTIFS(Variables!$P$2:$P$19,IF(T58="NorthBound","&gt;=","&lt;=")&amp;Y58,Variables!$P$2:$P$19,IF(T58="NorthBound","&lt;=","&gt;=")&amp;Z58))</f>
        <v>12</v>
      </c>
      <c r="V58" s="216" t="str">
        <f t="shared" si="5"/>
        <v>https://d0f6bd738d7f1b3e5a7ca70fe4ff75f0.us-east-1.aws.found.io/app/kibana#/discover/Steve-Slow-Train-Analysis-(2080s-and-2083s)?_g=(refreshInterval:(display:Off,pause:!f,section:0,value:0),time:(from:'2017-10-05T09:05:56-0600',mode:absolute,to:'2017-10-05T11:50:52-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4015%22')),sort:!(Time.ISO8601,asc))</v>
      </c>
      <c r="W58" s="204" t="str">
        <f>IF(AA58&lt;VLOOKUP(AG58,Variables!$AC$3:$AD$8,2,FALSE),"Y","N")</f>
        <v>N</v>
      </c>
      <c r="X58" s="204">
        <f t="shared" si="29"/>
        <v>1</v>
      </c>
      <c r="Y58" s="204">
        <f t="shared" si="30"/>
        <v>23.299399999999999</v>
      </c>
      <c r="Z58" s="204">
        <f t="shared" si="31"/>
        <v>1.6E-2</v>
      </c>
      <c r="AA58" s="204">
        <f t="shared" si="32"/>
        <v>23.2834</v>
      </c>
      <c r="AB58" s="54" t="e">
        <f>VLOOKUP(A58,Enforcements!$C$7:$K$11,8,0)</f>
        <v>#N/A</v>
      </c>
      <c r="AC58" s="51" t="e">
        <f>VLOOKUP(A58,Enforcements!$C$7:$E$11,3,0)</f>
        <v>#N/A</v>
      </c>
      <c r="AD58" s="179">
        <f t="shared" si="33"/>
        <v>146</v>
      </c>
      <c r="AE58" s="77" t="str">
        <f t="shared" si="11"/>
        <v>aws s3 cp s3://rtdc.mdm.uploadarchive.raw/RTDC4015/ "%USERPROFILE%\AppData\Local\Temp\OnboardLogs"\RTDC4015\2017-10-05 --exclude "*" --recursive --include "*20171005*" &amp; "%USERPROFILE%\Documents\GitHub\mrs-test-scripts\Headless Mode &amp; Sideloading\WalkAndUnGZ.bat" "%USERPROFILE%\AppData\Local\Temp\OnboardLogs"\RTDC4015\2017-10-05 &amp; aws s3 cp s3://rtdc.mdm.uploadarchive.raw/RTDC4015/ "%USERPROFILE%\AppData\Local\Temp\OnboardLogs"\RTDC4015\2017-10-06 --exclude "*" --recursive --include "*20171006*" &amp; "%USERPROFILE%\Documents\GitHub\mrs-test-scripts\Headless Mode &amp; Sideloading\WalkAndUnGZ.bat" "%USERPROFILE%\AppData\Local\Temp\OnboardLogs"\RTDC4015\2017-10-06</v>
      </c>
      <c r="AF58" s="74" t="str">
        <f t="shared" si="12"/>
        <v>"C:\Program Files (x86)\AstroGrep\AstroGrep.exe" /e /r /s /spath="%USERPROFILE%\AppData\Local\Temp\OnboardLogs" /stypes="app*4015*20171005*" /stext=" 16:.+((SYSTEM_STATE.+slice.+state.+changed )|(ment ac)|(multiple cpu faults)|(system.+state.+changed )|(\[timeout)|(PRM\|1\|D)|(kpr)|(kdp)|(train st.+moving)|(\|lc)|(penalty))"</v>
      </c>
      <c r="AG58" s="182" t="str">
        <f t="shared" si="34"/>
        <v>EC</v>
      </c>
      <c r="AH58" s="78" t="str">
        <f t="shared" si="19"/>
        <v>"%USERPROFILE%\Documents\GitHub\eaglep3\Utilities\RefineRTDCRunTimes.py" --tripid 146-05 --locoid 4015 --swversion DE.1.0.9.0 --startMP 204:232994 --initTime 2017-10-05T10:05:56 --startdatetime 2017-10-05T10:12:19 --delay 53 --endMP 204:160 --enddatetime 2017-10-05T10:50:52 --enforcementcount 0 &gt;&gt;%USERPROFILE%\Documents\GitHub\eaglep3-reporting\EC\2017-10-05-refined-times.txt</v>
      </c>
      <c r="AI58" s="96" t="str">
        <f t="shared" si="20"/>
        <v>echo {"issue":{"subject":"","project_id":79,"tracker_id":40,"status_id":1,"priority_id":2,"assigned_to_id":338,"start_date":"2017-10-05","description":"","custom_fields":[{"id":1,"name":"Subdivision","value":"EC"},{"id":4,"name":"Milepost","value":"0.016"},{"id":17,"name":"Train ID","value":"146-05"},{"id":16,"name":"Locomotive ID","value":"4015"},{"id":130,"name":"Impact","value":""},{"id":150,"name":"Time of Event (Mountain Time)","value":"10:50:52"},{"id":151,"name":"Denver Issue ID","value":""},{"id":178,"name":"Operational Impact","value":"Yes"},{"id":179,"name":"Denver Segment Assigned","value":""}]}} | curl --insecure -X POST -H "Content-Type: application/json" -H "X-Redmine-API-Key: %REDMINEAPIKEY%" https://secure.xorail.net/redmine/issues.json --data @-</v>
      </c>
      <c r="AJ58" s="20"/>
      <c r="AK58" s="47"/>
      <c r="AL58" s="47"/>
      <c r="AM58" s="142" t="str">
        <f t="shared" si="21"/>
        <v>start /low /b %USERPROFILE%\Documents\GitHub\eaglep3\Utilities\DownloadLogsFromS3.py --loco 4015 --day 2017-10-05</v>
      </c>
      <c r="AN58"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ID","value":"4015"},{"id":20,"name":"RR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16:50:52"},{"id":29,"name":"Sharepoint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58" s="168" t="str">
        <f t="shared" si="23"/>
        <v>https://d0f6bd738d7f1b3e5a7ca70fe4ff75f0.us-east-1.aws.found.io/app/kibana#/discover/Steve-Slow-Train-Analysis-(2080s-and-2083s)?_g=(refreshInterval:(display:Off,pause:!f,section:0,value:0),time:(from:'2017-10-05T09:05:56-0600',mode:absolute,to:'2017-10-05T11:50:52-0600'))&amp;_a=(columns:!('Message%20ID',Summary),filters:!(),index:'emp_*',interval:auto,query:(query_string:(analyze_wildcard:!t,query:'%22rtdc.l.rtdc.4015%22')),sort:!(Time.ISO8601,asc))</v>
      </c>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row>
    <row r="59" spans="1:91" s="1" customFormat="1" x14ac:dyDescent="0.25">
      <c r="A59" s="32" t="s">
        <v>679</v>
      </c>
      <c r="B59" s="7">
        <v>4010</v>
      </c>
      <c r="C59" s="21" t="s">
        <v>194</v>
      </c>
      <c r="D59" s="21" t="s">
        <v>334</v>
      </c>
      <c r="E59" s="13">
        <v>43013.39130787037</v>
      </c>
      <c r="F59" s="13">
        <v>43013.395995370367</v>
      </c>
      <c r="G59" s="7">
        <v>49</v>
      </c>
      <c r="H59" s="21" t="s">
        <v>841</v>
      </c>
      <c r="I59" s="13">
        <v>43013.421134259261</v>
      </c>
      <c r="J59" s="7">
        <v>0</v>
      </c>
      <c r="K59" s="89" t="str">
        <f t="shared" si="25"/>
        <v>4009/4010</v>
      </c>
      <c r="L59" s="185" t="str">
        <f>VLOOKUP(A59,'Trips&amp;Operators'!$C$1:$G$99911,5,FALSE)</f>
        <v>BONDS REYNALDO</v>
      </c>
      <c r="M59" s="6">
        <f t="shared" si="26"/>
        <v>2.513888889370719E-2</v>
      </c>
      <c r="N59" s="7">
        <f t="shared" si="24"/>
        <v>36.200000006938353</v>
      </c>
      <c r="O59" s="7"/>
      <c r="P59" s="7"/>
      <c r="Q59" s="22"/>
      <c r="R59" s="174"/>
      <c r="S59" s="221">
        <f t="shared" si="27"/>
        <v>1</v>
      </c>
      <c r="T59" s="174" t="str">
        <f t="shared" si="28"/>
        <v>NorthBound</v>
      </c>
      <c r="U59" s="198">
        <f>IF(AG59="EC",COUNTIFS(Variables!$M$2:$M$19,IF(T59="NorthBound","&gt;=","&lt;=")&amp;Y59,Variables!$M$2:$M$19,IF(T59="NorthBound","&lt;=","&gt;=")&amp;Z59),COUNTIFS(Variables!$P$2:$P$19,IF(T59="NorthBound","&gt;=","&lt;=")&amp;Y59,Variables!$P$2:$P$19,IF(T59="NorthBound","&lt;=","&gt;=")&amp;Z59))</f>
        <v>12</v>
      </c>
      <c r="V59" s="216" t="str">
        <f t="shared" si="5"/>
        <v>https://d0f6bd738d7f1b3e5a7ca70fe4ff75f0.us-east-1.aws.found.io/app/kibana#/discover/Steve-Slow-Train-Analysis-(2080s-and-2083s)?_g=(refreshInterval:(display:Off,pause:!f,section:0,value:0),time:(from:'2017-10-05T08:23:29-0600',mode:absolute,to:'2017-10-05T11:06:26-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59" s="204" t="str">
        <f>IF(AA59&lt;VLOOKUP(AG59,Variables!$AC$3:$AD$8,2,FALSE),"Y","N")</f>
        <v>N</v>
      </c>
      <c r="X59" s="204">
        <f t="shared" si="29"/>
        <v>1</v>
      </c>
      <c r="Y59" s="204">
        <f t="shared" si="30"/>
        <v>4.4600000000000001E-2</v>
      </c>
      <c r="Z59" s="204">
        <f t="shared" si="31"/>
        <v>23.337199999999999</v>
      </c>
      <c r="AA59" s="204">
        <f t="shared" si="32"/>
        <v>23.2926</v>
      </c>
      <c r="AB59" s="54" t="e">
        <f>VLOOKUP(A59,Enforcements!$C$7:$K$11,8,0)</f>
        <v>#N/A</v>
      </c>
      <c r="AC59" s="51" t="e">
        <f>VLOOKUP(A59,Enforcements!$C$7:$E$11,3,0)</f>
        <v>#N/A</v>
      </c>
      <c r="AD59" s="179">
        <f t="shared" si="33"/>
        <v>147</v>
      </c>
      <c r="AE59" s="77" t="str">
        <f t="shared" si="11"/>
        <v>aws s3 cp s3://rtdc.mdm.uploadarchive.raw/RTDC4010/ "%USERPROFILE%\AppData\Local\Temp\OnboardLogs"\RTDC4010\2017-10-05 --exclude "*" --recursive --include "*20171005*" &amp; "%USERPROFILE%\Documents\GitHub\mrs-test-scripts\Headless Mode &amp; Sideloading\WalkAndUnGZ.bat" "%USERPROFILE%\AppData\Local\Temp\OnboardLogs"\RTDC4010\2017-10-05 &amp; aws s3 cp s3://rtdc.mdm.uploadarchive.raw/RTDC4010/ "%USERPROFILE%\AppData\Local\Temp\OnboardLogs"\RTDC4010\2017-10-06 --exclude "*" --recursive --include "*20171006*" &amp; "%USERPROFILE%\Documents\GitHub\mrs-test-scripts\Headless Mode &amp; Sideloading\WalkAndUnGZ.bat" "%USERPROFILE%\AppData\Local\Temp\OnboardLogs"\RTDC4010\2017-10-06</v>
      </c>
      <c r="AF59" s="74" t="str">
        <f t="shared" si="12"/>
        <v>"C:\Program Files (x86)\AstroGrep\AstroGrep.exe" /e /r /s /spath="%USERPROFILE%\AppData\Local\Temp\OnboardLogs" /stypes="app*4010*20171005*" /stext=" 16:.+((SYSTEM_STATE.+slice.+state.+changed )|(ment ac)|(multiple cpu faults)|(system.+state.+changed )|(\[timeout)|(PRM\|1\|D)|(kpr)|(kdp)|(train st.+moving)|(\|lc)|(penalty))"</v>
      </c>
      <c r="AG59" s="182" t="str">
        <f t="shared" si="34"/>
        <v>EC</v>
      </c>
      <c r="AH59" s="78" t="str">
        <f t="shared" si="19"/>
        <v>"%USERPROFILE%\Documents\GitHub\eaglep3\Utilities\RefineRTDCRunTimes.py" --tripid 147-05 --locoid 4010 --swversion DE.1.0.9.0 --startMP 204:446 --initTime 2017-10-05T09:23:29 --startdatetime 2017-10-05T09:30:14 --delay 49 --endMP 204:233372 --enddatetime 2017-10-05T10:06:26 --enforcementcount 0 &gt;&gt;%USERPROFILE%\Documents\GitHub\eaglep3-reporting\EC\2017-10-05-refined-times.txt</v>
      </c>
      <c r="AI59" s="96" t="str">
        <f t="shared" si="20"/>
        <v>echo {"issue":{"subject":"","project_id":79,"tracker_id":40,"status_id":1,"priority_id":2,"assigned_to_id":338,"start_date":"2017-10-05","description":"","custom_fields":[{"id":1,"name":"Subdivision","value":"EC"},{"id":4,"name":"Milepost","value":"23.3372"},{"id":17,"name":"Train ID","value":"147-05"},{"id":16,"name":"Locomotive ID","value":"4010"},{"id":130,"name":"Impact","value":""},{"id":150,"name":"Time of Event (Mountain Time)","value":"10:06:26"},{"id":151,"name":"Denver Issue ID","value":""},{"id":178,"name":"Operational Impact","value":"Yes"},{"id":179,"name":"Denver Segment Assigned","value":""}]}} | curl --insecure -X POST -H "Content-Type: application/json" -H "X-Redmine-API-Key: %REDMINEAPIKEY%" https://secure.xorail.net/redmine/issues.json --data @-</v>
      </c>
      <c r="AJ59" s="20"/>
      <c r="AK59" s="47"/>
      <c r="AL59" s="47"/>
      <c r="AM59" s="142" t="str">
        <f t="shared" si="21"/>
        <v>start /low /b %USERPROFILE%\Documents\GitHub\eaglep3\Utilities\DownloadLogsFromS3.py --loco 4010 --day 2017-10-05</v>
      </c>
      <c r="AN59"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ID","value":"4010"},{"id":20,"name":"RR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16:06:26"},{"id":29,"name":"Sharepoint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59" s="168" t="str">
        <f t="shared" si="23"/>
        <v>https://d0f6bd738d7f1b3e5a7ca70fe4ff75f0.us-east-1.aws.found.io/app/kibana#/discover/Steve-Slow-Train-Analysis-(2080s-and-2083s)?_g=(refreshInterval:(display:Off,pause:!f,section:0,value:0),time:(from:'2017-10-05T08:23:29-0600',mode:absolute,to:'2017-10-05T11:06:26-0600'))&amp;_a=(columns:!('Message%20ID',Summary),filters:!(),index:'emp_*',interval:auto,query:(query_string:(analyze_wildcard:!t,query:'%22rtdc.l.rtdc.4010%22')),sort:!(Time.ISO8601,asc))</v>
      </c>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row>
    <row r="60" spans="1:91" s="1" customFormat="1" x14ac:dyDescent="0.25">
      <c r="A60" s="32" t="s">
        <v>687</v>
      </c>
      <c r="B60" s="7">
        <v>4009</v>
      </c>
      <c r="C60" s="21" t="s">
        <v>194</v>
      </c>
      <c r="D60" s="21" t="s">
        <v>488</v>
      </c>
      <c r="E60" s="13">
        <v>43013.43109953704</v>
      </c>
      <c r="F60" s="13">
        <v>43013.435590277775</v>
      </c>
      <c r="G60" s="7">
        <v>49</v>
      </c>
      <c r="H60" s="21" t="s">
        <v>372</v>
      </c>
      <c r="I60" s="13">
        <v>43013.463020833333</v>
      </c>
      <c r="J60" s="7">
        <v>0</v>
      </c>
      <c r="K60" s="89" t="str">
        <f t="shared" si="25"/>
        <v>4009/4010</v>
      </c>
      <c r="L60" s="185" t="str">
        <f>VLOOKUP(A60,'Trips&amp;Operators'!$C$1:$G$99911,5,FALSE)</f>
        <v>BONDS REYNALDO</v>
      </c>
      <c r="M60" s="6">
        <f t="shared" si="26"/>
        <v>2.7430555557657499E-2</v>
      </c>
      <c r="N60" s="7">
        <f t="shared" si="24"/>
        <v>39.500000003026798</v>
      </c>
      <c r="O60" s="7"/>
      <c r="P60" s="7"/>
      <c r="Q60" s="22"/>
      <c r="R60" s="174"/>
      <c r="S60" s="221">
        <f t="shared" si="27"/>
        <v>1</v>
      </c>
      <c r="T60" s="174" t="str">
        <f t="shared" si="28"/>
        <v>Southbound</v>
      </c>
      <c r="U60" s="198">
        <f>IF(AG60="EC",COUNTIFS(Variables!$M$2:$M$19,IF(T60="NorthBound","&gt;=","&lt;=")&amp;Y60,Variables!$M$2:$M$19,IF(T60="NorthBound","&lt;=","&gt;=")&amp;Z60),COUNTIFS(Variables!$P$2:$P$19,IF(T60="NorthBound","&gt;=","&lt;=")&amp;Y60,Variables!$P$2:$P$19,IF(T60="NorthBound","&lt;=","&gt;=")&amp;Z60))</f>
        <v>12</v>
      </c>
      <c r="V60" s="216" t="str">
        <f t="shared" si="5"/>
        <v>https://d0f6bd738d7f1b3e5a7ca70fe4ff75f0.us-east-1.aws.found.io/app/kibana#/discover/Steve-Slow-Train-Analysis-(2080s-and-2083s)?_g=(refreshInterval:(display:Off,pause:!f,section:0,value:0),time:(from:'2017-10-05T09:20:47-0600',mode:absolute,to:'2017-10-05T12:06:45-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60" s="204" t="str">
        <f>IF(AA60&lt;VLOOKUP(AG60,Variables!$AC$3:$AD$8,2,FALSE),"Y","N")</f>
        <v>N</v>
      </c>
      <c r="X60" s="204">
        <f t="shared" si="29"/>
        <v>1</v>
      </c>
      <c r="Y60" s="204">
        <f t="shared" si="30"/>
        <v>23.300599999999999</v>
      </c>
      <c r="Z60" s="204">
        <f t="shared" si="31"/>
        <v>1.3899999999999999E-2</v>
      </c>
      <c r="AA60" s="204">
        <f t="shared" si="32"/>
        <v>23.2867</v>
      </c>
      <c r="AB60" s="54" t="e">
        <f>VLOOKUP(A60,Enforcements!$C$7:$K$11,8,0)</f>
        <v>#N/A</v>
      </c>
      <c r="AC60" s="51" t="e">
        <f>VLOOKUP(A60,Enforcements!$C$7:$E$11,3,0)</f>
        <v>#N/A</v>
      </c>
      <c r="AD60" s="179">
        <f t="shared" si="33"/>
        <v>148</v>
      </c>
      <c r="AE60" s="77" t="str">
        <f t="shared" si="11"/>
        <v>aws s3 cp s3://rtdc.mdm.uploadarchive.raw/RTDC4009/ "%USERPROFILE%\AppData\Local\Temp\OnboardLogs"\RTDC4009\2017-10-05 --exclude "*" --recursive --include "*20171005*" &amp; "%USERPROFILE%\Documents\GitHub\mrs-test-scripts\Headless Mode &amp; Sideloading\WalkAndUnGZ.bat" "%USERPROFILE%\AppData\Local\Temp\OnboardLogs"\RTDC4009\2017-10-05 &amp; aws s3 cp s3://rtdc.mdm.uploadarchive.raw/RTDC4009/ "%USERPROFILE%\AppData\Local\Temp\OnboardLogs"\RTDC4009\2017-10-06 --exclude "*" --recursive --include "*20171006*" &amp; "%USERPROFILE%\Documents\GitHub\mrs-test-scripts\Headless Mode &amp; Sideloading\WalkAndUnGZ.bat" "%USERPROFILE%\AppData\Local\Temp\OnboardLogs"\RTDC4009\2017-10-06</v>
      </c>
      <c r="AF60" s="74" t="str">
        <f t="shared" si="12"/>
        <v>"C:\Program Files (x86)\AstroGrep\AstroGrep.exe" /e /r /s /spath="%USERPROFILE%\AppData\Local\Temp\OnboardLogs" /stypes="app*4009*20171005*" /stext=" 17:.+((SYSTEM_STATE.+slice.+state.+changed )|(ment ac)|(multiple cpu faults)|(system.+state.+changed )|(\[timeout)|(PRM\|1\|D)|(kpr)|(kdp)|(train st.+moving)|(\|lc)|(penalty))"</v>
      </c>
      <c r="AG60" s="182" t="str">
        <f t="shared" si="34"/>
        <v>EC</v>
      </c>
      <c r="AH60" s="78" t="str">
        <f t="shared" si="19"/>
        <v>"%USERPROFILE%\Documents\GitHub\eaglep3\Utilities\RefineRTDCRunTimes.py" --tripid 148-05 --locoid 4009 --swversion DE.1.0.9.0 --startMP 204:233006 --initTime 2017-10-05T10:20:47 --startdatetime 2017-10-05T10:27:15 --delay 49 --endMP 204:139 --enddatetime 2017-10-05T11:06:45 --enforcementcount 0 &gt;&gt;%USERPROFILE%\Documents\GitHub\eaglep3-reporting\EC\2017-10-05-refined-times.txt</v>
      </c>
      <c r="AI60" s="96" t="str">
        <f t="shared" si="20"/>
        <v>echo {"issue":{"subject":"","project_id":79,"tracker_id":40,"status_id":1,"priority_id":2,"assigned_to_id":338,"start_date":"2017-10-05","description":"","custom_fields":[{"id":1,"name":"Subdivision","value":"EC"},{"id":4,"name":"Milepost","value":"0.0139"},{"id":17,"name":"Train ID","value":"148-05"},{"id":16,"name":"Locomotive ID","value":"4009"},{"id":130,"name":"Impact","value":""},{"id":150,"name":"Time of Event (Mountain Time)","value":"11:06:45"},{"id":151,"name":"Denver Issue ID","value":""},{"id":178,"name":"Operational Impact","value":"Yes"},{"id":179,"name":"Denver Segment Assigned","value":""}]}} | curl --insecure -X POST -H "Content-Type: application/json" -H "X-Redmine-API-Key: %REDMINEAPIKEY%" https://secure.xorail.net/redmine/issues.json --data @-</v>
      </c>
      <c r="AJ60" s="20"/>
      <c r="AK60" s="47"/>
      <c r="AL60" s="47"/>
      <c r="AM60" s="142" t="str">
        <f t="shared" si="21"/>
        <v>start /low /b %USERPROFILE%\Documents\GitHub\eaglep3\Utilities\DownloadLogsFromS3.py --loco 4009 --day 2017-10-05</v>
      </c>
      <c r="AN60"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ID","value":"4009"},{"id":20,"name":"RR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17:06:45"},{"id":29,"name":"Sharepoint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60" s="168" t="str">
        <f t="shared" si="23"/>
        <v>https://d0f6bd738d7f1b3e5a7ca70fe4ff75f0.us-east-1.aws.found.io/app/kibana#/discover/Steve-Slow-Train-Analysis-(2080s-and-2083s)?_g=(refreshInterval:(display:Off,pause:!f,section:0,value:0),time:(from:'2017-10-05T09:20:47-0600',mode:absolute,to:'2017-10-05T12:06:45-0600'))&amp;_a=(columns:!('Message%20ID',Summary),filters:!(),index:'emp_*',interval:auto,query:(query_string:(analyze_wildcard:!t,query:'%22rtdc.l.rtdc.4009%22')),sort:!(Time.ISO8601,asc))</v>
      </c>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row>
    <row r="61" spans="1:91" s="1" customFormat="1" x14ac:dyDescent="0.25">
      <c r="A61" s="32" t="s">
        <v>681</v>
      </c>
      <c r="B61" s="7">
        <v>4028</v>
      </c>
      <c r="C61" s="21" t="s">
        <v>194</v>
      </c>
      <c r="D61" s="21" t="s">
        <v>380</v>
      </c>
      <c r="E61" s="13">
        <v>43013.403194444443</v>
      </c>
      <c r="F61" s="13">
        <v>43013.406493055554</v>
      </c>
      <c r="G61" s="7">
        <v>57</v>
      </c>
      <c r="H61" s="21" t="s">
        <v>842</v>
      </c>
      <c r="I61" s="13">
        <v>43013.430474537039</v>
      </c>
      <c r="J61" s="7">
        <v>0</v>
      </c>
      <c r="K61" s="89" t="str">
        <f t="shared" si="25"/>
        <v>4027/4028</v>
      </c>
      <c r="L61" s="185" t="str">
        <f>VLOOKUP(A61,'Trips&amp;Operators'!$C$1:$G$99911,5,FALSE)</f>
        <v>GEBRETEKLE DAGNEW</v>
      </c>
      <c r="M61" s="6">
        <f t="shared" si="26"/>
        <v>2.3981481484952383E-2</v>
      </c>
      <c r="N61" s="7">
        <f t="shared" si="24"/>
        <v>34.533333338331431</v>
      </c>
      <c r="O61" s="7"/>
      <c r="P61" s="7"/>
      <c r="Q61" s="22"/>
      <c r="R61" s="174"/>
      <c r="S61" s="221">
        <f t="shared" si="27"/>
        <v>1</v>
      </c>
      <c r="T61" s="174" t="str">
        <f t="shared" si="28"/>
        <v>NorthBound</v>
      </c>
      <c r="U61" s="198">
        <f>IF(AG61="EC",COUNTIFS(Variables!$M$2:$M$19,IF(T61="NorthBound","&gt;=","&lt;=")&amp;Y61,Variables!$M$2:$M$19,IF(T61="NorthBound","&lt;=","&gt;=")&amp;Z61),COUNTIFS(Variables!$P$2:$P$19,IF(T61="NorthBound","&gt;=","&lt;=")&amp;Y61,Variables!$P$2:$P$19,IF(T61="NorthBound","&lt;=","&gt;=")&amp;Z61))</f>
        <v>12</v>
      </c>
      <c r="V61" s="216" t="str">
        <f t="shared" si="5"/>
        <v>https://d0f6bd738d7f1b3e5a7ca70fe4ff75f0.us-east-1.aws.found.io/app/kibana#/discover/Steve-Slow-Train-Analysis-(2080s-and-2083s)?_g=(refreshInterval:(display:Off,pause:!f,section:0,value:0),time:(from:'2017-10-05T08:40:36-0600',mode:absolute,to:'2017-10-05T11:19:53-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61" s="204" t="str">
        <f>IF(AA61&lt;VLOOKUP(AG61,Variables!$AC$3:$AD$8,2,FALSE),"Y","N")</f>
        <v>N</v>
      </c>
      <c r="X61" s="204">
        <f t="shared" si="29"/>
        <v>1</v>
      </c>
      <c r="Y61" s="204">
        <f t="shared" si="30"/>
        <v>4.6600000000000003E-2</v>
      </c>
      <c r="Z61" s="204">
        <f t="shared" si="31"/>
        <v>23.3249</v>
      </c>
      <c r="AA61" s="204">
        <f t="shared" si="32"/>
        <v>23.278299999999998</v>
      </c>
      <c r="AB61" s="54" t="e">
        <f>VLOOKUP(A61,Enforcements!$C$7:$K$11,8,0)</f>
        <v>#N/A</v>
      </c>
      <c r="AC61" s="51" t="e">
        <f>VLOOKUP(A61,Enforcements!$C$7:$E$11,3,0)</f>
        <v>#N/A</v>
      </c>
      <c r="AD61" s="179">
        <f t="shared" si="33"/>
        <v>149</v>
      </c>
      <c r="AE61" s="77" t="str">
        <f t="shared" si="11"/>
        <v>aws s3 cp s3://rtdc.mdm.uploadarchive.raw/RTDC4028/ "%USERPROFILE%\AppData\Local\Temp\OnboardLogs"\RTDC4028\2017-10-05 --exclude "*" --recursive --include "*20171005*" &amp; "%USERPROFILE%\Documents\GitHub\mrs-test-scripts\Headless Mode &amp; Sideloading\WalkAndUnGZ.bat" "%USERPROFILE%\AppData\Local\Temp\OnboardLogs"\RTDC4028\2017-10-05 &amp; aws s3 cp s3://rtdc.mdm.uploadarchive.raw/RTDC4028/ "%USERPROFILE%\AppData\Local\Temp\OnboardLogs"\RTDC4028\2017-10-06 --exclude "*" --recursive --include "*20171006*" &amp; "%USERPROFILE%\Documents\GitHub\mrs-test-scripts\Headless Mode &amp; Sideloading\WalkAndUnGZ.bat" "%USERPROFILE%\AppData\Local\Temp\OnboardLogs"\RTDC4028\2017-10-06</v>
      </c>
      <c r="AF61" s="74" t="str">
        <f t="shared" si="12"/>
        <v>"C:\Program Files (x86)\AstroGrep\AstroGrep.exe" /e /r /s /spath="%USERPROFILE%\AppData\Local\Temp\OnboardLogs" /stypes="app*4028*20171005*" /stext=" 16:.+((SYSTEM_STATE.+slice.+state.+changed )|(ment ac)|(multiple cpu faults)|(system.+state.+changed )|(\[timeout)|(PRM\|1\|D)|(kpr)|(kdp)|(train st.+moving)|(\|lc)|(penalty))"</v>
      </c>
      <c r="AG61" s="182" t="str">
        <f t="shared" si="34"/>
        <v>EC</v>
      </c>
      <c r="AH61" s="78" t="str">
        <f t="shared" si="19"/>
        <v>"%USERPROFILE%\Documents\GitHub\eaglep3\Utilities\RefineRTDCRunTimes.py" --tripid 149-05 --locoid 4028 --swversion DE.1.0.9.0 --startMP 204:466 --initTime 2017-10-05T09:40:36 --startdatetime 2017-10-05T09:45:21 --delay 57 --endMP 204:233249 --enddatetime 2017-10-05T10:19:53 --enforcementcount 0 &gt;&gt;%USERPROFILE%\Documents\GitHub\eaglep3-reporting\EC\2017-10-05-refined-times.txt</v>
      </c>
      <c r="AI61" s="96" t="str">
        <f t="shared" si="20"/>
        <v>echo {"issue":{"subject":"","project_id":79,"tracker_id":40,"status_id":1,"priority_id":2,"assigned_to_id":338,"start_date":"2017-10-05","description":"","custom_fields":[{"id":1,"name":"Subdivision","value":"EC"},{"id":4,"name":"Milepost","value":"23.3249"},{"id":17,"name":"Train ID","value":"149-05"},{"id":16,"name":"Locomotive ID","value":"4028"},{"id":130,"name":"Impact","value":""},{"id":150,"name":"Time of Event (Mountain Time)","value":"10:19:53"},{"id":151,"name":"Denver Issue ID","value":""},{"id":178,"name":"Operational Impact","value":"Yes"},{"id":179,"name":"Denver Segment Assigned","value":""}]}} | curl --insecure -X POST -H "Content-Type: application/json" -H "X-Redmine-API-Key: %REDMINEAPIKEY%" https://secure.xorail.net/redmine/issues.json --data @-</v>
      </c>
      <c r="AJ61" s="20"/>
      <c r="AK61" s="47"/>
      <c r="AL61" s="47"/>
      <c r="AM61" s="142" t="str">
        <f t="shared" si="21"/>
        <v>start /low /b %USERPROFILE%\Documents\GitHub\eaglep3\Utilities\DownloadLogsFromS3.py --loco 4028 --day 2017-10-05</v>
      </c>
      <c r="AN61"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16:19:53"},{"id":29,"name":"Sharepoint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61" s="168" t="str">
        <f t="shared" si="23"/>
        <v>https://d0f6bd738d7f1b3e5a7ca70fe4ff75f0.us-east-1.aws.found.io/app/kibana#/discover/Steve-Slow-Train-Analysis-(2080s-and-2083s)?_g=(refreshInterval:(display:Off,pause:!f,section:0,value:0),time:(from:'2017-10-05T08:40:36-0600',mode:absolute,to:'2017-10-05T11:19:53-0600'))&amp;_a=(columns:!('Message%20ID',Summary),filters:!(),index:'emp_*',interval:auto,query:(query_string:(analyze_wildcard:!t,query:'%22rtdc.l.rtdc.4028%22')),sort:!(Time.ISO8601,asc))</v>
      </c>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row>
    <row r="62" spans="1:91" s="1" customFormat="1" x14ac:dyDescent="0.25">
      <c r="A62" s="32" t="s">
        <v>688</v>
      </c>
      <c r="B62" s="7">
        <v>4027</v>
      </c>
      <c r="C62" s="21" t="s">
        <v>194</v>
      </c>
      <c r="D62" s="21" t="s">
        <v>843</v>
      </c>
      <c r="E62" s="13">
        <v>43013.432002314818</v>
      </c>
      <c r="F62" s="13">
        <v>43013.446018518516</v>
      </c>
      <c r="G62" s="7">
        <v>56</v>
      </c>
      <c r="H62" s="21" t="s">
        <v>434</v>
      </c>
      <c r="I62" s="13">
        <v>43013.474583333336</v>
      </c>
      <c r="J62" s="7">
        <v>0</v>
      </c>
      <c r="K62" s="89" t="str">
        <f t="shared" si="25"/>
        <v>4027/4028</v>
      </c>
      <c r="L62" s="185" t="str">
        <f>VLOOKUP(A62,'Trips&amp;Operators'!$C$1:$G$99911,5,FALSE)</f>
        <v>GEBRETEKLE DAGNEW</v>
      </c>
      <c r="M62" s="6">
        <f t="shared" si="26"/>
        <v>2.8564814820128959E-2</v>
      </c>
      <c r="N62" s="7">
        <f t="shared" si="24"/>
        <v>41.1333333409857</v>
      </c>
      <c r="O62" s="7"/>
      <c r="P62" s="7"/>
      <c r="Q62" s="22"/>
      <c r="R62" s="174"/>
      <c r="S62" s="221">
        <f t="shared" si="27"/>
        <v>1</v>
      </c>
      <c r="T62" s="174" t="str">
        <f t="shared" si="28"/>
        <v>Southbound</v>
      </c>
      <c r="U62" s="198">
        <f>IF(AG62="EC",COUNTIFS(Variables!$M$2:$M$19,IF(T62="NorthBound","&gt;=","&lt;=")&amp;Y62,Variables!$M$2:$M$19,IF(T62="NorthBound","&lt;=","&gt;=")&amp;Z62),COUNTIFS(Variables!$P$2:$P$19,IF(T62="NorthBound","&gt;=","&lt;=")&amp;Y62,Variables!$P$2:$P$19,IF(T62="NorthBound","&lt;=","&gt;=")&amp;Z62))</f>
        <v>12</v>
      </c>
      <c r="V62" s="216" t="str">
        <f t="shared" si="5"/>
        <v>https://d0f6bd738d7f1b3e5a7ca70fe4ff75f0.us-east-1.aws.found.io/app/kibana#/discover/Steve-Slow-Train-Analysis-(2080s-and-2083s)?_g=(refreshInterval:(display:Off,pause:!f,section:0,value:0),time:(from:'2017-10-05T09:22:05-0600',mode:absolute,to:'2017-10-05T12:23:24-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62" s="204" t="str">
        <f>IF(AA62&lt;VLOOKUP(AG62,Variables!$AC$3:$AD$8,2,FALSE),"Y","N")</f>
        <v>N</v>
      </c>
      <c r="X62" s="204">
        <f t="shared" si="29"/>
        <v>1</v>
      </c>
      <c r="Y62" s="204">
        <f t="shared" si="30"/>
        <v>23.2925</v>
      </c>
      <c r="Z62" s="204">
        <f t="shared" si="31"/>
        <v>1.6500000000000001E-2</v>
      </c>
      <c r="AA62" s="204">
        <f t="shared" si="32"/>
        <v>23.276</v>
      </c>
      <c r="AB62" s="54" t="e">
        <f>VLOOKUP(A62,Enforcements!$C$7:$K$11,8,0)</f>
        <v>#N/A</v>
      </c>
      <c r="AC62" s="51" t="e">
        <f>VLOOKUP(A62,Enforcements!$C$7:$E$11,3,0)</f>
        <v>#N/A</v>
      </c>
      <c r="AD62" s="179">
        <f t="shared" si="33"/>
        <v>150</v>
      </c>
      <c r="AE62" s="77" t="str">
        <f t="shared" si="11"/>
        <v>aws s3 cp s3://rtdc.mdm.uploadarchive.raw/RTDC4027/ "%USERPROFILE%\AppData\Local\Temp\OnboardLogs"\RTDC4027\2017-10-05 --exclude "*" --recursive --include "*20171005*" &amp; "%USERPROFILE%\Documents\GitHub\mrs-test-scripts\Headless Mode &amp; Sideloading\WalkAndUnGZ.bat" "%USERPROFILE%\AppData\Local\Temp\OnboardLogs"\RTDC4027\2017-10-05 &amp; aws s3 cp s3://rtdc.mdm.uploadarchive.raw/RTDC4027/ "%USERPROFILE%\AppData\Local\Temp\OnboardLogs"\RTDC4027\2017-10-06 --exclude "*" --recursive --include "*20171006*" &amp; "%USERPROFILE%\Documents\GitHub\mrs-test-scripts\Headless Mode &amp; Sideloading\WalkAndUnGZ.bat" "%USERPROFILE%\AppData\Local\Temp\OnboardLogs"\RTDC4027\2017-10-06</v>
      </c>
      <c r="AF62" s="74" t="str">
        <f t="shared" si="12"/>
        <v>"C:\Program Files (x86)\AstroGrep\AstroGrep.exe" /e /r /s /spath="%USERPROFILE%\AppData\Local\Temp\OnboardLogs" /stypes="app*4027*20171005*" /stext=" 17:.+((SYSTEM_STATE.+slice.+state.+changed )|(ment ac)|(multiple cpu faults)|(system.+state.+changed )|(\[timeout)|(PRM\|1\|D)|(kpr)|(kdp)|(train st.+moving)|(\|lc)|(penalty))"</v>
      </c>
      <c r="AG62" s="182" t="str">
        <f t="shared" si="34"/>
        <v>EC</v>
      </c>
      <c r="AH62" s="78" t="str">
        <f t="shared" si="19"/>
        <v>"%USERPROFILE%\Documents\GitHub\eaglep3\Utilities\RefineRTDCRunTimes.py" --tripid 150-05 --locoid 4027 --swversion DE.1.0.9.0 --startMP 204:232925 --initTime 2017-10-05T10:22:05 --startdatetime 2017-10-05T10:42:16 --delay 56 --endMP 204:165 --enddatetime 2017-10-05T11:23:24 --enforcementcount 0 &gt;&gt;%USERPROFILE%\Documents\GitHub\eaglep3-reporting\EC\2017-10-05-refined-times.txt</v>
      </c>
      <c r="AI62" s="96" t="str">
        <f t="shared" si="20"/>
        <v>echo {"issue":{"subject":"","project_id":79,"tracker_id":40,"status_id":1,"priority_id":2,"assigned_to_id":338,"start_date":"2017-10-05","description":"","custom_fields":[{"id":1,"name":"Subdivision","value":"EC"},{"id":4,"name":"Milepost","value":"0.0165"},{"id":17,"name":"Train ID","value":"150-05"},{"id":16,"name":"Locomotive ID","value":"4027"},{"id":130,"name":"Impact","value":""},{"id":150,"name":"Time of Event (Mountain Time)","value":"11:23:24"},{"id":151,"name":"Denver Issue ID","value":""},{"id":178,"name":"Operational Impact","value":"Yes"},{"id":179,"name":"Denver Segment Assigned","value":""}]}} | curl --insecure -X POST -H "Content-Type: application/json" -H "X-Redmine-API-Key: %REDMINEAPIKEY%" https://secure.xorail.net/redmine/issues.json --data @-</v>
      </c>
      <c r="AJ62" s="20"/>
      <c r="AK62" s="47"/>
      <c r="AL62" s="47"/>
      <c r="AM62" s="142" t="str">
        <f t="shared" si="21"/>
        <v>start /low /b %USERPROFILE%\Documents\GitHub\eaglep3\Utilities\DownloadLogsFromS3.py --loco 4027 --day 2017-10-05</v>
      </c>
      <c r="AN62"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17:23:24"},{"id":29,"name":"Sharepoint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62" s="168" t="str">
        <f t="shared" si="23"/>
        <v>https://d0f6bd738d7f1b3e5a7ca70fe4ff75f0.us-east-1.aws.found.io/app/kibana#/discover/Steve-Slow-Train-Analysis-(2080s-and-2083s)?_g=(refreshInterval:(display:Off,pause:!f,section:0,value:0),time:(from:'2017-10-05T09:22:05-0600',mode:absolute,to:'2017-10-05T12:23:24-0600'))&amp;_a=(columns:!('Message%20ID',Summary),filters:!(),index:'emp_*',interval:auto,query:(query_string:(analyze_wildcard:!t,query:'%22rtdc.l.rtdc.4027%22')),sort:!(Time.ISO8601,asc))</v>
      </c>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row>
    <row r="63" spans="1:91" s="1" customFormat="1" x14ac:dyDescent="0.25">
      <c r="A63" s="32" t="s">
        <v>591</v>
      </c>
      <c r="B63" s="7">
        <v>4042</v>
      </c>
      <c r="C63" s="21" t="s">
        <v>194</v>
      </c>
      <c r="D63" s="21" t="s">
        <v>346</v>
      </c>
      <c r="E63" s="13">
        <v>43013.413136574076</v>
      </c>
      <c r="F63" s="13">
        <v>43013.416851851849</v>
      </c>
      <c r="G63" s="7">
        <v>136</v>
      </c>
      <c r="H63" s="21" t="s">
        <v>382</v>
      </c>
      <c r="I63" s="13">
        <v>43013.44358796296</v>
      </c>
      <c r="J63" s="7">
        <v>0</v>
      </c>
      <c r="K63" s="89" t="str">
        <f t="shared" si="25"/>
        <v>4041/4042</v>
      </c>
      <c r="L63" s="185" t="str">
        <f>VLOOKUP(A63,'Trips&amp;Operators'!$C$1:$G$99911,5,FALSE)</f>
        <v>WILLIAMS DONTE</v>
      </c>
      <c r="M63" s="6">
        <f t="shared" si="26"/>
        <v>2.6736111110949423E-2</v>
      </c>
      <c r="N63" s="7">
        <f t="shared" si="24"/>
        <v>38.499999999767169</v>
      </c>
      <c r="O63" s="7"/>
      <c r="P63" s="7"/>
      <c r="Q63" s="22"/>
      <c r="R63" s="174"/>
      <c r="S63" s="221">
        <f t="shared" si="27"/>
        <v>1</v>
      </c>
      <c r="T63" s="174" t="str">
        <f t="shared" si="28"/>
        <v>NorthBound</v>
      </c>
      <c r="U63" s="198">
        <f>IF(AG63="EC",COUNTIFS(Variables!$M$2:$M$19,IF(T63="NorthBound","&gt;=","&lt;=")&amp;Y63,Variables!$M$2:$M$19,IF(T63="NorthBound","&lt;=","&gt;=")&amp;Z63),COUNTIFS(Variables!$P$2:$P$19,IF(T63="NorthBound","&gt;=","&lt;=")&amp;Y63,Variables!$P$2:$P$19,IF(T63="NorthBound","&lt;=","&gt;=")&amp;Z63))</f>
        <v>12</v>
      </c>
      <c r="V63" s="216" t="str">
        <f t="shared" si="5"/>
        <v>https://d0f6bd738d7f1b3e5a7ca70fe4ff75f0.us-east-1.aws.found.io/app/kibana#/discover/Steve-Slow-Train-Analysis-(2080s-and-2083s)?_g=(refreshInterval:(display:Off,pause:!f,section:0,value:0),time:(from:'2017-10-05T08:54:55-0600',mode:absolute,to:'2017-10-05T11:38:46-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4042%22')),sort:!(Time.ISO8601,asc))</v>
      </c>
      <c r="W63" s="204" t="str">
        <f>IF(AA63&lt;VLOOKUP(AG63,Variables!$AC$3:$AD$8,2,FALSE),"Y","N")</f>
        <v>N</v>
      </c>
      <c r="X63" s="204">
        <f t="shared" si="29"/>
        <v>1</v>
      </c>
      <c r="Y63" s="204">
        <f t="shared" si="30"/>
        <v>4.5499999999999999E-2</v>
      </c>
      <c r="Z63" s="204">
        <f t="shared" si="31"/>
        <v>23.3293</v>
      </c>
      <c r="AA63" s="204">
        <f t="shared" si="32"/>
        <v>23.283799999999999</v>
      </c>
      <c r="AB63" s="54" t="e">
        <f>VLOOKUP(A63,Enforcements!$C$7:$K$11,8,0)</f>
        <v>#N/A</v>
      </c>
      <c r="AC63" s="51" t="e">
        <f>VLOOKUP(A63,Enforcements!$C$7:$E$11,3,0)</f>
        <v>#N/A</v>
      </c>
      <c r="AD63" s="179">
        <f t="shared" si="33"/>
        <v>151</v>
      </c>
      <c r="AE63" s="77" t="str">
        <f t="shared" si="11"/>
        <v>aws s3 cp s3://rtdc.mdm.uploadarchive.raw/RTDC4042/ "%USERPROFILE%\AppData\Local\Temp\OnboardLogs"\RTDC4042\2017-10-05 --exclude "*" --recursive --include "*20171005*" &amp; "%USERPROFILE%\Documents\GitHub\mrs-test-scripts\Headless Mode &amp; Sideloading\WalkAndUnGZ.bat" "%USERPROFILE%\AppData\Local\Temp\OnboardLogs"\RTDC4042\2017-10-05 &amp; aws s3 cp s3://rtdc.mdm.uploadarchive.raw/RTDC4042/ "%USERPROFILE%\AppData\Local\Temp\OnboardLogs"\RTDC4042\2017-10-06 --exclude "*" --recursive --include "*20171006*" &amp; "%USERPROFILE%\Documents\GitHub\mrs-test-scripts\Headless Mode &amp; Sideloading\WalkAndUnGZ.bat" "%USERPROFILE%\AppData\Local\Temp\OnboardLogs"\RTDC4042\2017-10-06</v>
      </c>
      <c r="AF63" s="74" t="str">
        <f t="shared" si="12"/>
        <v>"C:\Program Files (x86)\AstroGrep\AstroGrep.exe" /e /r /s /spath="%USERPROFILE%\AppData\Local\Temp\OnboardLogs" /stypes="app*4042*20171005*" /stext=" 16:.+((SYSTEM_STATE.+slice.+state.+changed )|(ment ac)|(multiple cpu faults)|(system.+state.+changed )|(\[timeout)|(PRM\|1\|D)|(kpr)|(kdp)|(train st.+moving)|(\|lc)|(penalty))"</v>
      </c>
      <c r="AG63" s="182" t="str">
        <f t="shared" si="34"/>
        <v>EC</v>
      </c>
      <c r="AH63" s="78" t="str">
        <f t="shared" si="19"/>
        <v>"%USERPROFILE%\Documents\GitHub\eaglep3\Utilities\RefineRTDCRunTimes.py" --tripid 151-05 --locoid 4042 --swversion DE.1.0.9.0 --startMP 204:455 --initTime 2017-10-05T09:54:55 --startdatetime 2017-10-05T10:00:16 --delay 136 --endMP 204:233293 --enddatetime 2017-10-05T10:38:46 --enforcementcount 0 &gt;&gt;%USERPROFILE%\Documents\GitHub\eaglep3-reporting\EC\2017-10-05-refined-times.txt</v>
      </c>
      <c r="AI63" s="96" t="str">
        <f t="shared" si="20"/>
        <v>echo {"issue":{"subject":"","project_id":79,"tracker_id":40,"status_id":1,"priority_id":2,"assigned_to_id":338,"start_date":"2017-10-05","description":"","custom_fields":[{"id":1,"name":"Subdivision","value":"EC"},{"id":4,"name":"Milepost","value":"23.3293"},{"id":17,"name":"Train ID","value":"151-05"},{"id":16,"name":"Locomotive ID","value":"4042"},{"id":130,"name":"Impact","value":""},{"id":150,"name":"Time of Event (Mountain Time)","value":"10:38:46"},{"id":151,"name":"Denver Issue ID","value":""},{"id":178,"name":"Operational Impact","value":"Yes"},{"id":179,"name":"Denver Segment Assigned","value":""}]}} | curl --insecure -X POST -H "Content-Type: application/json" -H "X-Redmine-API-Key: %REDMINEAPIKEY%" https://secure.xorail.net/redmine/issues.json --data @-</v>
      </c>
      <c r="AJ63" s="20"/>
      <c r="AK63" s="47"/>
      <c r="AL63" s="47"/>
      <c r="AM63" s="142" t="str">
        <f t="shared" si="21"/>
        <v>start /low /b %USERPROFILE%\Documents\GitHub\eaglep3\Utilities\DownloadLogsFromS3.py --loco 4042 --day 2017-10-05</v>
      </c>
      <c r="AN63"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ID","value":"4042"},{"id":20,"name":"RR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16:38:46"},{"id":29,"name":"Sharepoint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63" s="168" t="str">
        <f t="shared" si="23"/>
        <v>https://d0f6bd738d7f1b3e5a7ca70fe4ff75f0.us-east-1.aws.found.io/app/kibana#/discover/Steve-Slow-Train-Analysis-(2080s-and-2083s)?_g=(refreshInterval:(display:Off,pause:!f,section:0,value:0),time:(from:'2017-10-05T08:54:55-0600',mode:absolute,to:'2017-10-05T11:38:46-0600'))&amp;_a=(columns:!('Message%20ID',Summary),filters:!(),index:'emp_*',interval:auto,query:(query_string:(analyze_wildcard:!t,query:'%22rtdc.l.rtdc.4042%22')),sort:!(Time.ISO8601,asc))</v>
      </c>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row>
    <row r="64" spans="1:91" s="1" customFormat="1" x14ac:dyDescent="0.25">
      <c r="A64" s="32" t="s">
        <v>693</v>
      </c>
      <c r="B64" s="7">
        <v>4041</v>
      </c>
      <c r="C64" s="21" t="s">
        <v>194</v>
      </c>
      <c r="D64" s="21" t="s">
        <v>844</v>
      </c>
      <c r="E64" s="13">
        <v>43013.450810185182</v>
      </c>
      <c r="F64" s="13">
        <v>43013.456516203703</v>
      </c>
      <c r="G64" s="7">
        <v>79</v>
      </c>
      <c r="H64" s="21" t="s">
        <v>434</v>
      </c>
      <c r="I64" s="13">
        <v>43013.483761574076</v>
      </c>
      <c r="J64" s="7">
        <v>0</v>
      </c>
      <c r="K64" s="89" t="str">
        <f t="shared" si="25"/>
        <v>4041/4042</v>
      </c>
      <c r="L64" s="185" t="str">
        <f>VLOOKUP(A64,'Trips&amp;Operators'!$C$1:$G$99911,5,FALSE)</f>
        <v>WILLIAMS DONTE</v>
      </c>
      <c r="M64" s="6">
        <f t="shared" si="26"/>
        <v>2.7245370372838806E-2</v>
      </c>
      <c r="N64" s="7">
        <f t="shared" si="24"/>
        <v>39.233333336887881</v>
      </c>
      <c r="O64" s="7"/>
      <c r="P64" s="7"/>
      <c r="Q64" s="22"/>
      <c r="R64" s="174"/>
      <c r="S64" s="221">
        <f t="shared" si="27"/>
        <v>1</v>
      </c>
      <c r="T64" s="174" t="str">
        <f t="shared" si="28"/>
        <v>Southbound</v>
      </c>
      <c r="U64" s="198">
        <f>IF(AG64="EC",COUNTIFS(Variables!$M$2:$M$19,IF(T64="NorthBound","&gt;=","&lt;=")&amp;Y64,Variables!$M$2:$M$19,IF(T64="NorthBound","&lt;=","&gt;=")&amp;Z64),COUNTIFS(Variables!$P$2:$P$19,IF(T64="NorthBound","&gt;=","&lt;=")&amp;Y64,Variables!$P$2:$P$19,IF(T64="NorthBound","&lt;=","&gt;=")&amp;Z64))</f>
        <v>12</v>
      </c>
      <c r="V64" s="216" t="str">
        <f t="shared" si="5"/>
        <v>https://d0f6bd738d7f1b3e5a7ca70fe4ff75f0.us-east-1.aws.found.io/app/kibana#/discover/Steve-Slow-Train-Analysis-(2080s-and-2083s)?_g=(refreshInterval:(display:Off,pause:!f,section:0,value:0),time:(from:'2017-10-05T09:49:10-0600',mode:absolute,to:'2017-10-05T12:36:37-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4041%22')),sort:!(Time.ISO8601,asc))</v>
      </c>
      <c r="W64" s="204" t="str">
        <f>IF(AA64&lt;VLOOKUP(AG64,Variables!$AC$3:$AD$8,2,FALSE),"Y","N")</f>
        <v>N</v>
      </c>
      <c r="X64" s="204">
        <f t="shared" si="29"/>
        <v>1</v>
      </c>
      <c r="Y64" s="204">
        <f t="shared" si="30"/>
        <v>23.297699999999999</v>
      </c>
      <c r="Z64" s="204">
        <f t="shared" si="31"/>
        <v>1.6500000000000001E-2</v>
      </c>
      <c r="AA64" s="204">
        <f t="shared" si="32"/>
        <v>23.281199999999998</v>
      </c>
      <c r="AB64" s="54" t="e">
        <f>VLOOKUP(A64,Enforcements!$C$7:$K$11,8,0)</f>
        <v>#N/A</v>
      </c>
      <c r="AC64" s="51" t="e">
        <f>VLOOKUP(A64,Enforcements!$C$7:$E$11,3,0)</f>
        <v>#N/A</v>
      </c>
      <c r="AD64" s="179">
        <f t="shared" si="33"/>
        <v>152</v>
      </c>
      <c r="AE64" s="77" t="str">
        <f t="shared" si="11"/>
        <v>aws s3 cp s3://rtdc.mdm.uploadarchive.raw/RTDC4041/ "%USERPROFILE%\AppData\Local\Temp\OnboardLogs"\RTDC4041\2017-10-05 --exclude "*" --recursive --include "*20171005*" &amp; "%USERPROFILE%\Documents\GitHub\mrs-test-scripts\Headless Mode &amp; Sideloading\WalkAndUnGZ.bat" "%USERPROFILE%\AppData\Local\Temp\OnboardLogs"\RTDC4041\2017-10-05 &amp; aws s3 cp s3://rtdc.mdm.uploadarchive.raw/RTDC4041/ "%USERPROFILE%\AppData\Local\Temp\OnboardLogs"\RTDC4041\2017-10-06 --exclude "*" --recursive --include "*20171006*" &amp; "%USERPROFILE%\Documents\GitHub\mrs-test-scripts\Headless Mode &amp; Sideloading\WalkAndUnGZ.bat" "%USERPROFILE%\AppData\Local\Temp\OnboardLogs"\RTDC4041\2017-10-06</v>
      </c>
      <c r="AF64" s="74" t="str">
        <f t="shared" si="12"/>
        <v>"C:\Program Files (x86)\AstroGrep\AstroGrep.exe" /e /r /s /spath="%USERPROFILE%\AppData\Local\Temp\OnboardLogs" /stypes="app*4041*20171005*" /stext=" 17:.+((SYSTEM_STATE.+slice.+state.+changed )|(ment ac)|(multiple cpu faults)|(system.+state.+changed )|(\[timeout)|(PRM\|1\|D)|(kpr)|(kdp)|(train st.+moving)|(\|lc)|(penalty))"</v>
      </c>
      <c r="AG64" s="182" t="str">
        <f t="shared" si="34"/>
        <v>EC</v>
      </c>
      <c r="AH64" s="78" t="str">
        <f t="shared" si="19"/>
        <v>"%USERPROFILE%\Documents\GitHub\eaglep3\Utilities\RefineRTDCRunTimes.py" --tripid 152-05 --locoid 4041 --swversion DE.1.0.9.0 --startMP 204:232977 --initTime 2017-10-05T10:49:10 --startdatetime 2017-10-05T10:57:23 --delay 79 --endMP 204:165 --enddatetime 2017-10-05T11:36:37 --enforcementcount 0 &gt;&gt;%USERPROFILE%\Documents\GitHub\eaglep3-reporting\EC\2017-10-05-refined-times.txt</v>
      </c>
      <c r="AI64" s="96" t="str">
        <f t="shared" si="20"/>
        <v>echo {"issue":{"subject":"","project_id":79,"tracker_id":40,"status_id":1,"priority_id":2,"assigned_to_id":338,"start_date":"2017-10-05","description":"","custom_fields":[{"id":1,"name":"Subdivision","value":"EC"},{"id":4,"name":"Milepost","value":"0.0165"},{"id":17,"name":"Train ID","value":"152-05"},{"id":16,"name":"Locomotive ID","value":"4041"},{"id":130,"name":"Impact","value":""},{"id":150,"name":"Time of Event (Mountain Time)","value":"11:36:37"},{"id":151,"name":"Denver Issue ID","value":""},{"id":178,"name":"Operational Impact","value":"Yes"},{"id":179,"name":"Denver Segment Assigned","value":""}]}} | curl --insecure -X POST -H "Content-Type: application/json" -H "X-Redmine-API-Key: %REDMINEAPIKEY%" https://secure.xorail.net/redmine/issues.json --data @-</v>
      </c>
      <c r="AJ64" s="20"/>
      <c r="AK64" s="47"/>
      <c r="AL64" s="47"/>
      <c r="AM64" s="142" t="str">
        <f t="shared" si="21"/>
        <v>start /low /b %USERPROFILE%\Documents\GitHub\eaglep3\Utilities\DownloadLogsFromS3.py --loco 4041 --day 2017-10-05</v>
      </c>
      <c r="AN64"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ID","value":"4041"},{"id":20,"name":"RR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17:36:37"},{"id":29,"name":"Sharepoint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64" s="168" t="str">
        <f t="shared" si="23"/>
        <v>https://d0f6bd738d7f1b3e5a7ca70fe4ff75f0.us-east-1.aws.found.io/app/kibana#/discover/Steve-Slow-Train-Analysis-(2080s-and-2083s)?_g=(refreshInterval:(display:Off,pause:!f,section:0,value:0),time:(from:'2017-10-05T09:49:10-0600',mode:absolute,to:'2017-10-05T12:36:37-0600'))&amp;_a=(columns:!('Message%20ID',Summary),filters:!(),index:'emp_*',interval:auto,query:(query_string:(analyze_wildcard:!t,query:'%22rtdc.l.rtdc.4041%22')),sort:!(Time.ISO8601,asc))</v>
      </c>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row>
    <row r="65" spans="1:91" s="1" customFormat="1" x14ac:dyDescent="0.25">
      <c r="A65" s="32" t="s">
        <v>685</v>
      </c>
      <c r="B65" s="7">
        <v>4044</v>
      </c>
      <c r="C65" s="21" t="s">
        <v>194</v>
      </c>
      <c r="D65" s="21" t="s">
        <v>824</v>
      </c>
      <c r="E65" s="13">
        <v>43013.422407407408</v>
      </c>
      <c r="F65" s="13">
        <v>43013.439560185187</v>
      </c>
      <c r="G65" s="7">
        <v>89</v>
      </c>
      <c r="H65" s="21" t="s">
        <v>845</v>
      </c>
      <c r="I65" s="13">
        <v>43013.455636574072</v>
      </c>
      <c r="J65" s="7">
        <v>0</v>
      </c>
      <c r="K65" s="89" t="str">
        <f t="shared" si="25"/>
        <v>4043/4044</v>
      </c>
      <c r="L65" s="185" t="str">
        <f>VLOOKUP(A65,'Trips&amp;Operators'!$C$1:$G$99911,5,FALSE)</f>
        <v>DAVIS WENDY</v>
      </c>
      <c r="M65" s="6">
        <f t="shared" si="26"/>
        <v>1.6076388885267079E-2</v>
      </c>
      <c r="N65" s="7"/>
      <c r="O65" s="7"/>
      <c r="P65" s="7">
        <f>24*60*SUM($M65:$M65)</f>
        <v>23.149999994784594</v>
      </c>
      <c r="Q65" s="22"/>
      <c r="R65" s="174" t="s">
        <v>1002</v>
      </c>
      <c r="S65" s="221">
        <f>1/IF(AG65="EC",12,1)*SUM(U65:U66)</f>
        <v>0.91666666666666663</v>
      </c>
      <c r="T65" s="174" t="str">
        <f t="shared" si="28"/>
        <v>NorthBound</v>
      </c>
      <c r="U65" s="198">
        <f>IF(AG65="EC",COUNTIFS(Variables!$M$2:$M$19,IF(T65="NorthBound","&gt;=","&lt;=")&amp;Y65,Variables!$M$2:$M$19,IF(T65="NorthBound","&lt;=","&gt;=")&amp;Z65),COUNTIFS(Variables!$P$2:$P$19,IF(T65="NorthBound","&gt;=","&lt;=")&amp;Y65,Variables!$P$2:$P$19,IF(T65="NorthBound","&lt;=","&gt;=")&amp;Z65))</f>
        <v>8</v>
      </c>
      <c r="V65" s="216" t="str">
        <f t="shared" si="5"/>
        <v>https://d0f6bd738d7f1b3e5a7ca70fe4ff75f0.us-east-1.aws.found.io/app/kibana#/discover/Steve-Slow-Train-Analysis-(2080s-and-2083s)?_g=(refreshInterval:(display:Off,pause:!f,section:0,value:0),time:(from:'2017-10-05T09:08:16-0600',mode:absolute,to:'2017-10-05T11:56:07-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4044%22')),sort:!(Time.ISO8601,asc))</v>
      </c>
      <c r="W65" s="204" t="str">
        <f>IF(AA65&lt;VLOOKUP(AG65,Variables!$AC$3:$AD$8,2,FALSE),"Y","N")</f>
        <v>Y</v>
      </c>
      <c r="X65" s="204">
        <f t="shared" si="29"/>
        <v>1</v>
      </c>
      <c r="Y65" s="204">
        <f t="shared" si="30"/>
        <v>4.4200000000000003E-2</v>
      </c>
      <c r="Z65" s="204">
        <f t="shared" si="31"/>
        <v>6.0964</v>
      </c>
      <c r="AA65" s="204">
        <f t="shared" si="32"/>
        <v>6.0522</v>
      </c>
      <c r="AB65" s="54" t="e">
        <f>VLOOKUP(A65,Enforcements!$C$7:$K$11,8,0)</f>
        <v>#N/A</v>
      </c>
      <c r="AC65" s="51" t="e">
        <f>VLOOKUP(A65,Enforcements!$C$7:$E$11,3,0)</f>
        <v>#N/A</v>
      </c>
      <c r="AD65" s="179">
        <f t="shared" si="33"/>
        <v>153</v>
      </c>
      <c r="AE65" s="77" t="str">
        <f t="shared" si="11"/>
        <v>aws s3 cp s3://rtdc.mdm.uploadarchive.raw/RTDC4044/ "%USERPROFILE%\AppData\Local\Temp\OnboardLogs"\RTDC4044\2017-10-05 --exclude "*" --recursive --include "*20171005*" &amp; "%USERPROFILE%\Documents\GitHub\mrs-test-scripts\Headless Mode &amp; Sideloading\WalkAndUnGZ.bat" "%USERPROFILE%\AppData\Local\Temp\OnboardLogs"\RTDC4044\2017-10-05 &amp; aws s3 cp s3://rtdc.mdm.uploadarchive.raw/RTDC4044/ "%USERPROFILE%\AppData\Local\Temp\OnboardLogs"\RTDC4044\2017-10-06 --exclude "*" --recursive --include "*20171006*" &amp; "%USERPROFILE%\Documents\GitHub\mrs-test-scripts\Headless Mode &amp; Sideloading\WalkAndUnGZ.bat" "%USERPROFILE%\AppData\Local\Temp\OnboardLogs"\RTDC4044\2017-10-06</v>
      </c>
      <c r="AF65" s="74" t="str">
        <f t="shared" si="12"/>
        <v>"C:\Program Files (x86)\AstroGrep\AstroGrep.exe" /e /r /s /spath="%USERPROFILE%\AppData\Local\Temp\OnboardLogs" /stypes="app*4044*20171005*" /stext=" 16:.+((SYSTEM_STATE.+slice.+state.+changed )|(ment ac)|(multiple cpu faults)|(system.+state.+changed )|(\[timeout)|(PRM\|1\|D)|(kpr)|(kdp)|(train st.+moving)|(\|lc)|(penalty))"</v>
      </c>
      <c r="AG65" s="182" t="str">
        <f t="shared" si="34"/>
        <v>EC</v>
      </c>
      <c r="AH65" s="78" t="str">
        <f t="shared" si="19"/>
        <v>"%USERPROFILE%\Documents\GitHub\eaglep3\Utilities\RefineRTDCRunTimes.py" --tripid 153-05 --locoid 4044 --swversion DE.1.0.9.0 --startMP 204:442 --initTime 2017-10-05T10:08:16 --startdatetime 2017-10-05T10:32:58 --delay 89 --endMP 204:60964 --enddatetime 2017-10-05T10:56:07 --enforcementcount 0 &gt;&gt;%USERPROFILE%\Documents\GitHub\eaglep3-reporting\EC\2017-10-05-refined-times.txt</v>
      </c>
      <c r="AI65" s="96" t="str">
        <f t="shared" si="20"/>
        <v>echo {"issue":{"subject":"Efficiency test at CP Sand Creek, cut-out, proceeded to Central Park, then re-initialized","project_id":79,"tracker_id":40,"status_id":1,"priority_id":2,"assigned_to_id":338,"start_date":"2017-10-05","description":"","custom_fields":[{"id":1,"name":"Subdivision","value":"EC"},{"id":4,"name":"Milepost","value":"6.0964"},{"id":17,"name":"Train ID","value":"153-05"},{"id":16,"name":"Locomotive ID","value":"4044"},{"id":130,"name":"Impact","value":""},{"id":150,"name":"Time of Event (Mountain Time)","value":"10:56:07"},{"id":151,"name":"Denver Issue ID","value":""},{"id":178,"name":"Operational Impact","value":"Yes"},{"id":179,"name":"Denver Segment Assigned","value":""}]}} | curl --insecure -X POST -H "Content-Type: application/json" -H "X-Redmine-API-Key: %REDMINEAPIKEY%" https://secure.xorail.net/redmine/issues.json --data @-</v>
      </c>
      <c r="AJ65" s="20"/>
      <c r="AK65" s="47"/>
      <c r="AL65" s="47"/>
      <c r="AM65" s="142" t="str">
        <f t="shared" si="21"/>
        <v>start /low /b %USERPROFILE%\Documents\GitHub\eaglep3\Utilities\DownloadLogsFromS3.py --loco 4044 --day 2017-10-05</v>
      </c>
      <c r="AN65" s="151" t="str">
        <f t="shared" si="22"/>
        <v>echo {"issue":{"subject":"Efficiency test at CP Sand Creek, cut-out, proceeded to Central Park, then re-initialized","project_id":30,"tracker_id":4,"status_id":1,"priority_id":1,"assigned_to_id":10,"start_date":"2017-10-05","description":"","custom_fields":[{"id":30,"name":"Category","value":"Issue"},{"id":3,"name":"Functional Component","value":"Onboard"},{"id":31,"name":"Version","value":"N/A"},{"id":8,"name":"Reporting RR","value":"WABTEC"},{"id":27,"name":"Locomotive ID","value":"4044"},{"id":20,"name":"RR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16:56:07"},{"id":29,"name":"Sharepoint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65" s="168" t="str">
        <f t="shared" si="23"/>
        <v>https://d0f6bd738d7f1b3e5a7ca70fe4ff75f0.us-east-1.aws.found.io/app/kibana#/discover/Steve-Slow-Train-Analysis-(2080s-and-2083s)?_g=(refreshInterval:(display:Off,pause:!f,section:0,value:0),time:(from:'2017-10-05T09:08:16-0600',mode:absolute,to:'2017-10-05T11:56:07-0600'))&amp;_a=(columns:!('Message%20ID',Summary),filters:!(),index:'emp_*',interval:auto,query:(query_string:(analyze_wildcard:!t,query:'%22rtdc.l.rtdc.4044%22')),sort:!(Time.ISO8601,asc))</v>
      </c>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row>
    <row r="66" spans="1:91" s="1" customFormat="1" x14ac:dyDescent="0.25">
      <c r="A66" s="32" t="s">
        <v>685</v>
      </c>
      <c r="B66" s="7">
        <v>4044</v>
      </c>
      <c r="C66" s="21" t="s">
        <v>194</v>
      </c>
      <c r="D66" s="21" t="s">
        <v>846</v>
      </c>
      <c r="E66" s="13">
        <v>43013.438773148147</v>
      </c>
      <c r="F66" s="13">
        <v>43013.439560185187</v>
      </c>
      <c r="G66" s="7">
        <v>39</v>
      </c>
      <c r="H66" s="21" t="s">
        <v>406</v>
      </c>
      <c r="I66" s="13">
        <v>43013.455636574072</v>
      </c>
      <c r="J66" s="7">
        <v>0</v>
      </c>
      <c r="K66" s="89" t="str">
        <f t="shared" si="25"/>
        <v>4043/4044</v>
      </c>
      <c r="L66" s="185" t="str">
        <f>VLOOKUP(A66,'Trips&amp;Operators'!$C$1:$G$99911,5,FALSE)</f>
        <v>DAVIS WENDY</v>
      </c>
      <c r="M66" s="6">
        <f t="shared" si="26"/>
        <v>1.6076388885267079E-2</v>
      </c>
      <c r="N66" s="7"/>
      <c r="O66" s="7"/>
      <c r="P66" s="7"/>
      <c r="Q66" s="22"/>
      <c r="R66" s="174"/>
      <c r="S66" s="221"/>
      <c r="T66" s="174" t="str">
        <f t="shared" si="28"/>
        <v>NorthBound</v>
      </c>
      <c r="U66" s="198">
        <f>IF(AG66="EC",COUNTIFS(Variables!$M$2:$M$19,IF(T66="NorthBound","&gt;=","&lt;=")&amp;Y66,Variables!$M$2:$M$19,IF(T66="NorthBound","&lt;=","&gt;=")&amp;Z66),COUNTIFS(Variables!$P$2:$P$19,IF(T66="NorthBound","&gt;=","&lt;=")&amp;Y66,Variables!$P$2:$P$19,IF(T66="NorthBound","&lt;=","&gt;=")&amp;Z66))</f>
        <v>3</v>
      </c>
      <c r="V66" s="216" t="str">
        <f t="shared" si="5"/>
        <v>https://d0f6bd738d7f1b3e5a7ca70fe4ff75f0.us-east-1.aws.found.io/app/kibana#/discover/Steve-Slow-Train-Analysis-(2080s-and-2083s)?_g=(refreshInterval:(display:Off,pause:!f,section:0,value:0),time:(from:'2017-10-05T09:31:50-0600',mode:absolute,to:'2017-10-05T11:56:07-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4044%22')),sort:!(Time.ISO8601,asc))</v>
      </c>
      <c r="W66" s="204" t="str">
        <f>IF(AA66&lt;VLOOKUP(AG66,Variables!$AC$3:$AD$8,2,FALSE),"Y","N")</f>
        <v>Y</v>
      </c>
      <c r="X66" s="204">
        <f t="shared" si="29"/>
        <v>0</v>
      </c>
      <c r="Y66" s="204">
        <f t="shared" si="30"/>
        <v>6.4680999999999997</v>
      </c>
      <c r="Z66" s="204">
        <f t="shared" si="31"/>
        <v>23.3291</v>
      </c>
      <c r="AA66" s="204">
        <f t="shared" si="32"/>
        <v>16.861000000000001</v>
      </c>
      <c r="AB66" s="54" t="e">
        <f>VLOOKUP(A66,Enforcements!$C$7:$K$11,8,0)</f>
        <v>#N/A</v>
      </c>
      <c r="AC66" s="51" t="e">
        <f>VLOOKUP(A66,Enforcements!$C$7:$E$11,3,0)</f>
        <v>#N/A</v>
      </c>
      <c r="AD66" s="179">
        <f t="shared" si="33"/>
        <v>153</v>
      </c>
      <c r="AE66" s="77" t="str">
        <f t="shared" si="11"/>
        <v>aws s3 cp s3://rtdc.mdm.uploadarchive.raw/RTDC4044/ "%USERPROFILE%\AppData\Local\Temp\OnboardLogs"\RTDC4044\2017-10-05 --exclude "*" --recursive --include "*20171005*" &amp; "%USERPROFILE%\Documents\GitHub\mrs-test-scripts\Headless Mode &amp; Sideloading\WalkAndUnGZ.bat" "%USERPROFILE%\AppData\Local\Temp\OnboardLogs"\RTDC4044\2017-10-05 &amp; aws s3 cp s3://rtdc.mdm.uploadarchive.raw/RTDC4044/ "%USERPROFILE%\AppData\Local\Temp\OnboardLogs"\RTDC4044\2017-10-06 --exclude "*" --recursive --include "*20171006*" &amp; "%USERPROFILE%\Documents\GitHub\mrs-test-scripts\Headless Mode &amp; Sideloading\WalkAndUnGZ.bat" "%USERPROFILE%\AppData\Local\Temp\OnboardLogs"\RTDC4044\2017-10-06</v>
      </c>
      <c r="AF66" s="74" t="str">
        <f t="shared" si="12"/>
        <v>"C:\Program Files (x86)\AstroGrep\AstroGrep.exe" /e /r /s /spath="%USERPROFILE%\AppData\Local\Temp\OnboardLogs" /stypes="app*4044*20171005*" /stext=" 16:.+((SYSTEM_STATE.+slice.+state.+changed )|(ment ac)|(multiple cpu faults)|(system.+state.+changed )|(\[timeout)|(PRM\|1\|D)|(kpr)|(kdp)|(train st.+moving)|(\|lc)|(penalty))"</v>
      </c>
      <c r="AG66" s="182" t="str">
        <f t="shared" si="34"/>
        <v>EC</v>
      </c>
      <c r="AH66" s="78" t="str">
        <f t="shared" si="19"/>
        <v>"%USERPROFILE%\Documents\GitHub\eaglep3\Utilities\RefineRTDCRunTimes.py" --tripid 153-05 --locoid 4044 --swversion DE.1.0.9.0 --startMP 204:64681 --initTime 2017-10-05T10:31:50 --startdatetime 2017-10-05T10:32:58 --delay 39 --endMP 204:233291 --enddatetime 2017-10-05T10:56:07 --enforcementcount 0 &gt;&gt;%USERPROFILE%\Documents\GitHub\eaglep3-reporting\EC\2017-10-05-refined-times.txt</v>
      </c>
      <c r="AI66" s="96" t="str">
        <f t="shared" si="20"/>
        <v>echo {"issue":{"subject":"","project_id":79,"tracker_id":40,"status_id":1,"priority_id":2,"assigned_to_id":338,"start_date":"2017-10-05","description":"","custom_fields":[{"id":1,"name":"Subdivision","value":"EC"},{"id":4,"name":"Milepost","value":"23.3291"},{"id":17,"name":"Train ID","value":"153-05"},{"id":16,"name":"Locomotive ID","value":"4044"},{"id":130,"name":"Impact","value":""},{"id":150,"name":"Time of Event (Mountain Time)","value":"10:56:07"},{"id":151,"name":"Denver Issue ID","value":""},{"id":178,"name":"Operational Impact","value":"Yes"},{"id":179,"name":"Denver Segment Assigned","value":""}]}} | curl --insecure -X POST -H "Content-Type: application/json" -H "X-Redmine-API-Key: %REDMINEAPIKEY%" https://secure.xorail.net/redmine/issues.json --data @-</v>
      </c>
      <c r="AJ66" s="20"/>
      <c r="AK66" s="47"/>
      <c r="AL66" s="47"/>
      <c r="AM66" s="142" t="str">
        <f t="shared" si="21"/>
        <v>start /low /b %USERPROFILE%\Documents\GitHub\eaglep3\Utilities\DownloadLogsFromS3.py --loco 4044 --day 2017-10-05</v>
      </c>
      <c r="AN66"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ID","value":"4044"},{"id":20,"name":"RR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16:56:07"},{"id":29,"name":"Sharepoint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66" s="168" t="str">
        <f t="shared" si="23"/>
        <v>https://d0f6bd738d7f1b3e5a7ca70fe4ff75f0.us-east-1.aws.found.io/app/kibana#/discover/Steve-Slow-Train-Analysis-(2080s-and-2083s)?_g=(refreshInterval:(display:Off,pause:!f,section:0,value:0),time:(from:'2017-10-05T09:31:50-0600',mode:absolute,to:'2017-10-05T11:56:07-0600'))&amp;_a=(columns:!('Message%20ID',Summary),filters:!(),index:'emp_*',interval:auto,query:(query_string:(analyze_wildcard:!t,query:'%22rtdc.l.rtdc.4044%22')),sort:!(Time.ISO8601,asc))</v>
      </c>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row>
    <row r="67" spans="1:91" s="1" customFormat="1" x14ac:dyDescent="0.25">
      <c r="A67" s="32" t="s">
        <v>696</v>
      </c>
      <c r="B67" s="7">
        <v>4043</v>
      </c>
      <c r="C67" s="21" t="s">
        <v>194</v>
      </c>
      <c r="D67" s="21" t="s">
        <v>387</v>
      </c>
      <c r="E67" s="13">
        <v>43013.462083333332</v>
      </c>
      <c r="F67" s="13">
        <v>43013.466921296298</v>
      </c>
      <c r="G67" s="7">
        <v>71</v>
      </c>
      <c r="H67" s="21" t="s">
        <v>364</v>
      </c>
      <c r="I67" s="13">
        <v>43013.494664351849</v>
      </c>
      <c r="J67" s="7">
        <v>0</v>
      </c>
      <c r="K67" s="89" t="str">
        <f t="shared" si="25"/>
        <v>4043/4044</v>
      </c>
      <c r="L67" s="185" t="str">
        <f>VLOOKUP(A67,'Trips&amp;Operators'!$C$1:$G$99911,5,FALSE)</f>
        <v>DAVIS WENDY</v>
      </c>
      <c r="M67" s="6">
        <f t="shared" si="26"/>
        <v>2.774305555067258E-2</v>
      </c>
      <c r="N67" s="7">
        <f t="shared" ref="N67:N95" si="35">24*60*SUM($M67:$M67)</f>
        <v>39.949999992968515</v>
      </c>
      <c r="O67" s="7"/>
      <c r="P67" s="7"/>
      <c r="Q67" s="22"/>
      <c r="R67" s="174"/>
      <c r="S67" s="221"/>
      <c r="T67" s="174" t="str">
        <f t="shared" si="28"/>
        <v>Southbound</v>
      </c>
      <c r="U67" s="198">
        <f>IF(AG67="EC",COUNTIFS(Variables!$M$2:$M$19,IF(T67="NorthBound","&gt;=","&lt;=")&amp;Y67,Variables!$M$2:$M$19,IF(T67="NorthBound","&lt;=","&gt;=")&amp;Z67),COUNTIFS(Variables!$P$2:$P$19,IF(T67="NorthBound","&gt;=","&lt;=")&amp;Y67,Variables!$P$2:$P$19,IF(T67="NorthBound","&lt;=","&gt;=")&amp;Z67))</f>
        <v>12</v>
      </c>
      <c r="V67" s="216" t="str">
        <f t="shared" si="5"/>
        <v>https://d0f6bd738d7f1b3e5a7ca70fe4ff75f0.us-east-1.aws.found.io/app/kibana#/discover/Steve-Slow-Train-Analysis-(2080s-and-2083s)?_g=(refreshInterval:(display:Off,pause:!f,section:0,value:0),time:(from:'2017-10-05T10:05:24-0600',mode:absolute,to:'2017-10-05T12:52:19-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4043%22')),sort:!(Time.ISO8601,asc))</v>
      </c>
      <c r="W67" s="204" t="str">
        <f>IF(AA67&lt;VLOOKUP(AG67,Variables!$AC$3:$AD$8,2,FALSE),"Y","N")</f>
        <v>N</v>
      </c>
      <c r="X67" s="204">
        <f t="shared" si="29"/>
        <v>1</v>
      </c>
      <c r="Y67" s="204">
        <f t="shared" si="30"/>
        <v>23.298200000000001</v>
      </c>
      <c r="Z67" s="204">
        <f t="shared" si="31"/>
        <v>1.61E-2</v>
      </c>
      <c r="AA67" s="204">
        <f t="shared" si="32"/>
        <v>23.2821</v>
      </c>
      <c r="AB67" s="54" t="e">
        <f>VLOOKUP(A67,Enforcements!$C$7:$K$11,8,0)</f>
        <v>#N/A</v>
      </c>
      <c r="AC67" s="51" t="e">
        <f>VLOOKUP(A67,Enforcements!$C$7:$E$11,3,0)</f>
        <v>#N/A</v>
      </c>
      <c r="AD67" s="179">
        <f t="shared" si="33"/>
        <v>154</v>
      </c>
      <c r="AE67" s="77" t="str">
        <f t="shared" si="11"/>
        <v>aws s3 cp s3://rtdc.mdm.uploadarchive.raw/RTDC4043/ "%USERPROFILE%\AppData\Local\Temp\OnboardLogs"\RTDC4043\2017-10-05 --exclude "*" --recursive --include "*20171005*" &amp; "%USERPROFILE%\Documents\GitHub\mrs-test-scripts\Headless Mode &amp; Sideloading\WalkAndUnGZ.bat" "%USERPROFILE%\AppData\Local\Temp\OnboardLogs"\RTDC4043\2017-10-05 &amp; aws s3 cp s3://rtdc.mdm.uploadarchive.raw/RTDC4043/ "%USERPROFILE%\AppData\Local\Temp\OnboardLogs"\RTDC4043\2017-10-06 --exclude "*" --recursive --include "*20171006*" &amp; "%USERPROFILE%\Documents\GitHub\mrs-test-scripts\Headless Mode &amp; Sideloading\WalkAndUnGZ.bat" "%USERPROFILE%\AppData\Local\Temp\OnboardLogs"\RTDC4043\2017-10-06</v>
      </c>
      <c r="AF67" s="74" t="str">
        <f t="shared" si="12"/>
        <v>"C:\Program Files (x86)\AstroGrep\AstroGrep.exe" /e /r /s /spath="%USERPROFILE%\AppData\Local\Temp\OnboardLogs" /stypes="app*4043*20171005*" /stext=" 17:.+((SYSTEM_STATE.+slice.+state.+changed )|(ment ac)|(multiple cpu faults)|(system.+state.+changed )|(\[timeout)|(PRM\|1\|D)|(kpr)|(kdp)|(train st.+moving)|(\|lc)|(penalty))"</v>
      </c>
      <c r="AG67" s="182" t="str">
        <f t="shared" si="34"/>
        <v>EC</v>
      </c>
      <c r="AH67" s="78" t="str">
        <f t="shared" si="19"/>
        <v>"%USERPROFILE%\Documents\GitHub\eaglep3\Utilities\RefineRTDCRunTimes.py" --tripid 154-05 --locoid 4043 --swversion DE.1.0.9.0 --startMP 204:232982 --initTime 2017-10-05T11:05:24 --startdatetime 2017-10-05T11:12:22 --delay 71 --endMP 204:161 --enddatetime 2017-10-05T11:52:19 --enforcementcount 0 &gt;&gt;%USERPROFILE%\Documents\GitHub\eaglep3-reporting\EC\2017-10-05-refined-times.txt</v>
      </c>
      <c r="AI67" s="96" t="str">
        <f t="shared" si="20"/>
        <v>echo {"issue":{"subject":"","project_id":79,"tracker_id":40,"status_id":1,"priority_id":2,"assigned_to_id":338,"start_date":"2017-10-05","description":"","custom_fields":[{"id":1,"name":"Subdivision","value":"EC"},{"id":4,"name":"Milepost","value":"0.0161"},{"id":17,"name":"Train ID","value":"154-05"},{"id":16,"name":"Locomotive ID","value":"4043"},{"id":130,"name":"Impact","value":""},{"id":150,"name":"Time of Event (Mountain Time)","value":"11:52:19"},{"id":151,"name":"Denver Issue ID","value":""},{"id":178,"name":"Operational Impact","value":"Yes"},{"id":179,"name":"Denver Segment Assigned","value":""}]}} | curl --insecure -X POST -H "Content-Type: application/json" -H "X-Redmine-API-Key: %REDMINEAPIKEY%" https://secure.xorail.net/redmine/issues.json --data @-</v>
      </c>
      <c r="AJ67" s="20"/>
      <c r="AK67" s="47"/>
      <c r="AL67" s="47"/>
      <c r="AM67" s="142" t="str">
        <f t="shared" si="21"/>
        <v>start /low /b %USERPROFILE%\Documents\GitHub\eaglep3\Utilities\DownloadLogsFromS3.py --loco 4043 --day 2017-10-05</v>
      </c>
      <c r="AN67"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ID","value":"4043"},{"id":20,"name":"RR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17:52:19"},{"id":29,"name":"Sharepoint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67" s="168" t="str">
        <f t="shared" si="23"/>
        <v>https://d0f6bd738d7f1b3e5a7ca70fe4ff75f0.us-east-1.aws.found.io/app/kibana#/discover/Steve-Slow-Train-Analysis-(2080s-and-2083s)?_g=(refreshInterval:(display:Off,pause:!f,section:0,value:0),time:(from:'2017-10-05T10:05:24-0600',mode:absolute,to:'2017-10-05T12:52:19-0600'))&amp;_a=(columns:!('Message%20ID',Summary),filters:!(),index:'emp_*',interval:auto,query:(query_string:(analyze_wildcard:!t,query:'%22rtdc.l.rtdc.4043%22')),sort:!(Time.ISO8601,asc))</v>
      </c>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row>
    <row r="68" spans="1:91" s="1" customFormat="1" x14ac:dyDescent="0.25">
      <c r="A68" s="32" t="s">
        <v>689</v>
      </c>
      <c r="B68" s="7">
        <v>4012</v>
      </c>
      <c r="C68" s="21" t="s">
        <v>194</v>
      </c>
      <c r="D68" s="21" t="s">
        <v>833</v>
      </c>
      <c r="E68" s="13">
        <v>43013.433078703703</v>
      </c>
      <c r="F68" s="13">
        <v>43013.437916666669</v>
      </c>
      <c r="G68" s="7">
        <v>302</v>
      </c>
      <c r="H68" s="21" t="s">
        <v>376</v>
      </c>
      <c r="I68" s="13">
        <v>43013.463425925926</v>
      </c>
      <c r="J68" s="7">
        <v>0</v>
      </c>
      <c r="K68" s="89" t="str">
        <f t="shared" si="25"/>
        <v>4011/4012</v>
      </c>
      <c r="L68" s="185" t="str">
        <f>VLOOKUP(A68,'Trips&amp;Operators'!$C$1:$G$99911,5,FALSE)</f>
        <v>YANAI IAN</v>
      </c>
      <c r="M68" s="6">
        <f t="shared" si="26"/>
        <v>2.5509259256068617E-2</v>
      </c>
      <c r="N68" s="7">
        <f t="shared" si="35"/>
        <v>36.733333328738809</v>
      </c>
      <c r="O68" s="7"/>
      <c r="P68" s="7"/>
      <c r="Q68" s="22"/>
      <c r="R68" s="174"/>
      <c r="S68" s="221">
        <f t="shared" ref="S68:S95" si="36">1/IF(AG68="EC",12,1)*SUM(U68:U68)</f>
        <v>1</v>
      </c>
      <c r="T68" s="174" t="str">
        <f t="shared" si="28"/>
        <v>NorthBound</v>
      </c>
      <c r="U68" s="198">
        <f>IF(AG68="EC",COUNTIFS(Variables!$M$2:$M$19,IF(T68="NorthBound","&gt;=","&lt;=")&amp;Y68,Variables!$M$2:$M$19,IF(T68="NorthBound","&lt;=","&gt;=")&amp;Z68),COUNTIFS(Variables!$P$2:$P$19,IF(T68="NorthBound","&gt;=","&lt;=")&amp;Y68,Variables!$P$2:$P$19,IF(T68="NorthBound","&lt;=","&gt;=")&amp;Z68))</f>
        <v>12</v>
      </c>
      <c r="V68" s="216" t="str">
        <f t="shared" si="5"/>
        <v>https://d0f6bd738d7f1b3e5a7ca70fe4ff75f0.us-east-1.aws.found.io/app/kibana#/discover/Steve-Slow-Train-Analysis-(2080s-and-2083s)?_g=(refreshInterval:(display:Off,pause:!f,section:0,value:0),time:(from:'2017-10-05T09:23:38-0600',mode:absolute,to:'2017-10-05T12:07:20-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4012%22')),sort:!(Time.ISO8601,asc))</v>
      </c>
      <c r="W68" s="204" t="str">
        <f>IF(AA68&lt;VLOOKUP(AG68,Variables!$AC$3:$AD$8,2,FALSE),"Y","N")</f>
        <v>N</v>
      </c>
      <c r="X68" s="204">
        <f t="shared" si="29"/>
        <v>1</v>
      </c>
      <c r="Y68" s="204">
        <f t="shared" si="30"/>
        <v>4.3999999999999997E-2</v>
      </c>
      <c r="Z68" s="204">
        <f t="shared" si="31"/>
        <v>23.331199999999999</v>
      </c>
      <c r="AA68" s="204">
        <f t="shared" si="32"/>
        <v>23.287199999999999</v>
      </c>
      <c r="AB68" s="54" t="e">
        <f>VLOOKUP(A68,Enforcements!$C$7:$K$11,8,0)</f>
        <v>#N/A</v>
      </c>
      <c r="AC68" s="51" t="e">
        <f>VLOOKUP(A68,Enforcements!$C$7:$E$11,3,0)</f>
        <v>#N/A</v>
      </c>
      <c r="AD68" s="179">
        <f t="shared" si="33"/>
        <v>155</v>
      </c>
      <c r="AE68" s="77" t="str">
        <f t="shared" si="11"/>
        <v>aws s3 cp s3://rtdc.mdm.uploadarchive.raw/RTDC4012/ "%USERPROFILE%\AppData\Local\Temp\OnboardLogs"\RTDC4012\2017-10-05 --exclude "*" --recursive --include "*20171005*" &amp; "%USERPROFILE%\Documents\GitHub\mrs-test-scripts\Headless Mode &amp; Sideloading\WalkAndUnGZ.bat" "%USERPROFILE%\AppData\Local\Temp\OnboardLogs"\RTDC4012\2017-10-05 &amp; aws s3 cp s3://rtdc.mdm.uploadarchive.raw/RTDC4012/ "%USERPROFILE%\AppData\Local\Temp\OnboardLogs"\RTDC4012\2017-10-06 --exclude "*" --recursive --include "*20171006*" &amp; "%USERPROFILE%\Documents\GitHub\mrs-test-scripts\Headless Mode &amp; Sideloading\WalkAndUnGZ.bat" "%USERPROFILE%\AppData\Local\Temp\OnboardLogs"\RTDC4012\2017-10-06</v>
      </c>
      <c r="AF68" s="74" t="str">
        <f t="shared" si="12"/>
        <v>"C:\Program Files (x86)\AstroGrep\AstroGrep.exe" /e /r /s /spath="%USERPROFILE%\AppData\Local\Temp\OnboardLogs" /stypes="app*4012*20171005*" /stext=" 17:.+((SYSTEM_STATE.+slice.+state.+changed )|(ment ac)|(multiple cpu faults)|(system.+state.+changed )|(\[timeout)|(PRM\|1\|D)|(kpr)|(kdp)|(train st.+moving)|(\|lc)|(penalty))"</v>
      </c>
      <c r="AG68" s="182" t="str">
        <f t="shared" si="34"/>
        <v>EC</v>
      </c>
      <c r="AH68" s="78" t="str">
        <f t="shared" si="19"/>
        <v>"%USERPROFILE%\Documents\GitHub\eaglep3\Utilities\RefineRTDCRunTimes.py" --tripid 155-05 --locoid 4012 --swversion DE.1.0.9.0 --startMP 204:440 --initTime 2017-10-05T10:23:38 --startdatetime 2017-10-05T10:30:36 --delay 302 --endMP 204:233312 --enddatetime 2017-10-05T11:07:20 --enforcementcount 0 &gt;&gt;%USERPROFILE%\Documents\GitHub\eaglep3-reporting\EC\2017-10-05-refined-times.txt</v>
      </c>
      <c r="AI68" s="96" t="str">
        <f t="shared" si="20"/>
        <v>echo {"issue":{"subject":"","project_id":79,"tracker_id":40,"status_id":1,"priority_id":2,"assigned_to_id":338,"start_date":"2017-10-05","description":"","custom_fields":[{"id":1,"name":"Subdivision","value":"EC"},{"id":4,"name":"Milepost","value":"23.3312"},{"id":17,"name":"Train ID","value":"155-05"},{"id":16,"name":"Locomotive ID","value":"4012"},{"id":130,"name":"Impact","value":""},{"id":150,"name":"Time of Event (Mountain Time)","value":"11:07:20"},{"id":151,"name":"Denver Issue ID","value":""},{"id":178,"name":"Operational Impact","value":"Yes"},{"id":179,"name":"Denver Segment Assigned","value":""}]}} | curl --insecure -X POST -H "Content-Type: application/json" -H "X-Redmine-API-Key: %REDMINEAPIKEY%" https://secure.xorail.net/redmine/issues.json --data @-</v>
      </c>
      <c r="AJ68" s="20"/>
      <c r="AK68" s="47"/>
      <c r="AL68" s="47"/>
      <c r="AM68" s="142" t="str">
        <f t="shared" si="21"/>
        <v>start /low /b %USERPROFILE%\Documents\GitHub\eaglep3\Utilities\DownloadLogsFromS3.py --loco 4012 --day 2017-10-05</v>
      </c>
      <c r="AN68"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ID","value":"4012"},{"id":20,"name":"RR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17:07:20"},{"id":29,"name":"Sharepoint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68" s="168" t="str">
        <f t="shared" si="23"/>
        <v>https://d0f6bd738d7f1b3e5a7ca70fe4ff75f0.us-east-1.aws.found.io/app/kibana#/discover/Steve-Slow-Train-Analysis-(2080s-and-2083s)?_g=(refreshInterval:(display:Off,pause:!f,section:0,value:0),time:(from:'2017-10-05T09:23:38-0600',mode:absolute,to:'2017-10-05T12:07:20-0600'))&amp;_a=(columns:!('Message%20ID',Summary),filters:!(),index:'emp_*',interval:auto,query:(query_string:(analyze_wildcard:!t,query:'%22rtdc.l.rtdc.4012%22')),sort:!(Time.ISO8601,asc))</v>
      </c>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row>
    <row r="69" spans="1:91" s="1" customFormat="1" x14ac:dyDescent="0.25">
      <c r="A69" s="32" t="s">
        <v>697</v>
      </c>
      <c r="B69" s="7">
        <v>4011</v>
      </c>
      <c r="C69" s="21" t="s">
        <v>194</v>
      </c>
      <c r="D69" s="21" t="s">
        <v>398</v>
      </c>
      <c r="E69" s="13">
        <v>43013.464525462965</v>
      </c>
      <c r="F69" s="13">
        <v>43013.477233796293</v>
      </c>
      <c r="G69" s="7">
        <v>60</v>
      </c>
      <c r="H69" s="21" t="s">
        <v>340</v>
      </c>
      <c r="I69" s="13">
        <v>43013.50271990741</v>
      </c>
      <c r="J69" s="7">
        <v>0</v>
      </c>
      <c r="K69" s="89" t="str">
        <f t="shared" si="25"/>
        <v>4011/4012</v>
      </c>
      <c r="L69" s="185" t="str">
        <f>VLOOKUP(A69,'Trips&amp;Operators'!$C$1:$G$99911,5,FALSE)</f>
        <v>YANAI IAN</v>
      </c>
      <c r="M69" s="6">
        <f t="shared" si="26"/>
        <v>2.5486111117061228E-2</v>
      </c>
      <c r="N69" s="7">
        <f t="shared" si="35"/>
        <v>36.700000008568168</v>
      </c>
      <c r="O69" s="7"/>
      <c r="P69" s="7"/>
      <c r="Q69" s="22"/>
      <c r="R69" s="174"/>
      <c r="S69" s="221">
        <f t="shared" si="36"/>
        <v>1</v>
      </c>
      <c r="T69" s="174" t="str">
        <f t="shared" si="28"/>
        <v>Southbound</v>
      </c>
      <c r="U69" s="198">
        <f>IF(AG69="EC",COUNTIFS(Variables!$M$2:$M$19,IF(T69="NorthBound","&gt;=","&lt;=")&amp;Y69,Variables!$M$2:$M$19,IF(T69="NorthBound","&lt;=","&gt;=")&amp;Z69),COUNTIFS(Variables!$P$2:$P$19,IF(T69="NorthBound","&gt;=","&lt;=")&amp;Y69,Variables!$P$2:$P$19,IF(T69="NorthBound","&lt;=","&gt;=")&amp;Z69))</f>
        <v>12</v>
      </c>
      <c r="V69" s="216" t="str">
        <f t="shared" si="5"/>
        <v>https://d0f6bd738d7f1b3e5a7ca70fe4ff75f0.us-east-1.aws.found.io/app/kibana#/discover/Steve-Slow-Train-Analysis-(2080s-and-2083s)?_g=(refreshInterval:(display:Off,pause:!f,section:0,value:0),time:(from:'2017-10-05T10:08:55-0600',mode:absolute,to:'2017-10-05T13:03:55-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4011%22')),sort:!(Time.ISO8601,asc))</v>
      </c>
      <c r="W69" s="204" t="str">
        <f>IF(AA69&lt;VLOOKUP(AG69,Variables!$AC$3:$AD$8,2,FALSE),"Y","N")</f>
        <v>N</v>
      </c>
      <c r="X69" s="204">
        <f t="shared" si="29"/>
        <v>1</v>
      </c>
      <c r="Y69" s="204">
        <f t="shared" si="30"/>
        <v>23.3</v>
      </c>
      <c r="Z69" s="204">
        <f t="shared" si="31"/>
        <v>1.47E-2</v>
      </c>
      <c r="AA69" s="204">
        <f t="shared" si="32"/>
        <v>23.285299999999999</v>
      </c>
      <c r="AB69" s="54" t="e">
        <f>VLOOKUP(A69,Enforcements!$C$7:$K$11,8,0)</f>
        <v>#N/A</v>
      </c>
      <c r="AC69" s="51" t="e">
        <f>VLOOKUP(A69,Enforcements!$C$7:$E$11,3,0)</f>
        <v>#N/A</v>
      </c>
      <c r="AD69" s="179">
        <f t="shared" si="33"/>
        <v>156</v>
      </c>
      <c r="AE69" s="77" t="str">
        <f t="shared" si="11"/>
        <v>aws s3 cp s3://rtdc.mdm.uploadarchive.raw/RTDC4011/ "%USERPROFILE%\AppData\Local\Temp\OnboardLogs"\RTDC4011\2017-10-05 --exclude "*" --recursive --include "*20171005*" &amp; "%USERPROFILE%\Documents\GitHub\mrs-test-scripts\Headless Mode &amp; Sideloading\WalkAndUnGZ.bat" "%USERPROFILE%\AppData\Local\Temp\OnboardLogs"\RTDC4011\2017-10-05 &amp; aws s3 cp s3://rtdc.mdm.uploadarchive.raw/RTDC4011/ "%USERPROFILE%\AppData\Local\Temp\OnboardLogs"\RTDC4011\2017-10-06 --exclude "*" --recursive --include "*20171006*" &amp; "%USERPROFILE%\Documents\GitHub\mrs-test-scripts\Headless Mode &amp; Sideloading\WalkAndUnGZ.bat" "%USERPROFILE%\AppData\Local\Temp\OnboardLogs"\RTDC4011\2017-10-06</v>
      </c>
      <c r="AF69" s="74" t="str">
        <f t="shared" si="12"/>
        <v>"C:\Program Files (x86)\AstroGrep\AstroGrep.exe" /e /r /s /spath="%USERPROFILE%\AppData\Local\Temp\OnboardLogs" /stypes="app*4011*20171005*" /stext=" 18:.+((SYSTEM_STATE.+slice.+state.+changed )|(ment ac)|(multiple cpu faults)|(system.+state.+changed )|(\[timeout)|(PRM\|1\|D)|(kpr)|(kdp)|(train st.+moving)|(\|lc)|(penalty))"</v>
      </c>
      <c r="AG69" s="182" t="str">
        <f t="shared" si="34"/>
        <v>EC</v>
      </c>
      <c r="AH69" s="78" t="str">
        <f t="shared" si="19"/>
        <v>"%USERPROFILE%\Documents\GitHub\eaglep3\Utilities\RefineRTDCRunTimes.py" --tripid 156-05 --locoid 4011 --swversion DE.1.0.9.0 --startMP 204:233000 --initTime 2017-10-05T11:08:55 --startdatetime 2017-10-05T11:27:13 --delay 60 --endMP 204:147 --enddatetime 2017-10-05T12:03:55 --enforcementcount 0 &gt;&gt;%USERPROFILE%\Documents\GitHub\eaglep3-reporting\EC\2017-10-05-refined-times.txt</v>
      </c>
      <c r="AI69" s="96" t="str">
        <f t="shared" si="20"/>
        <v>echo {"issue":{"subject":"","project_id":79,"tracker_id":40,"status_id":1,"priority_id":2,"assigned_to_id":338,"start_date":"2017-10-05","description":"","custom_fields":[{"id":1,"name":"Subdivision","value":"EC"},{"id":4,"name":"Milepost","value":"0.0147"},{"id":17,"name":"Train ID","value":"156-05"},{"id":16,"name":"Locomotive ID","value":"4011"},{"id":130,"name":"Impact","value":""},{"id":150,"name":"Time of Event (Mountain Time)","value":"12:03:55"},{"id":151,"name":"Denver Issue ID","value":""},{"id":178,"name":"Operational Impact","value":"Yes"},{"id":179,"name":"Denver Segment Assigned","value":""}]}} | curl --insecure -X POST -H "Content-Type: application/json" -H "X-Redmine-API-Key: %REDMINEAPIKEY%" https://secure.xorail.net/redmine/issues.json --data @-</v>
      </c>
      <c r="AJ69" s="20"/>
      <c r="AK69" s="47"/>
      <c r="AL69" s="47"/>
      <c r="AM69" s="142" t="str">
        <f t="shared" si="21"/>
        <v>start /low /b %USERPROFILE%\Documents\GitHub\eaglep3\Utilities\DownloadLogsFromS3.py --loco 4011 --day 2017-10-05</v>
      </c>
      <c r="AN69"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ID","value":"4011"},{"id":20,"name":"RR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18:03:55"},{"id":29,"name":"Sharepoint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69" s="168" t="str">
        <f t="shared" si="23"/>
        <v>https://d0f6bd738d7f1b3e5a7ca70fe4ff75f0.us-east-1.aws.found.io/app/kibana#/discover/Steve-Slow-Train-Analysis-(2080s-and-2083s)?_g=(refreshInterval:(display:Off,pause:!f,section:0,value:0),time:(from:'2017-10-05T10:08:55-0600',mode:absolute,to:'2017-10-05T13:03:55-0600'))&amp;_a=(columns:!('Message%20ID',Summary),filters:!(),index:'emp_*',interval:auto,query:(query_string:(analyze_wildcard:!t,query:'%22rtdc.l.rtdc.4011%22')),sort:!(Time.ISO8601,asc))</v>
      </c>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row>
    <row r="70" spans="1:91" s="1" customFormat="1" x14ac:dyDescent="0.25">
      <c r="A70" s="32" t="s">
        <v>690</v>
      </c>
      <c r="B70" s="7">
        <v>4008</v>
      </c>
      <c r="C70" s="21" t="s">
        <v>194</v>
      </c>
      <c r="D70" s="21" t="s">
        <v>418</v>
      </c>
      <c r="E70" s="13">
        <v>43013.442604166667</v>
      </c>
      <c r="F70" s="13">
        <v>43013.44809027778</v>
      </c>
      <c r="G70" s="7">
        <v>76</v>
      </c>
      <c r="H70" s="21" t="s">
        <v>541</v>
      </c>
      <c r="I70" s="13">
        <v>43013.473113425927</v>
      </c>
      <c r="J70" s="7">
        <v>0</v>
      </c>
      <c r="K70" s="89" t="str">
        <f t="shared" si="25"/>
        <v>4007/4008</v>
      </c>
      <c r="L70" s="185" t="str">
        <f>VLOOKUP(A70,'Trips&amp;Operators'!$C$1:$G$99911,5,FALSE)</f>
        <v>BADERTSCHER DIANE</v>
      </c>
      <c r="M70" s="6">
        <f t="shared" si="26"/>
        <v>2.5023148147738539E-2</v>
      </c>
      <c r="N70" s="7">
        <f t="shared" si="35"/>
        <v>36.033333332743496</v>
      </c>
      <c r="O70" s="7"/>
      <c r="P70" s="7"/>
      <c r="Q70" s="22"/>
      <c r="R70" s="174"/>
      <c r="S70" s="221">
        <f t="shared" si="36"/>
        <v>1</v>
      </c>
      <c r="T70" s="174" t="str">
        <f t="shared" si="28"/>
        <v>NorthBound</v>
      </c>
      <c r="U70" s="198">
        <f>IF(AG70="EC",COUNTIFS(Variables!$M$2:$M$19,IF(T70="NorthBound","&gt;=","&lt;=")&amp;Y70,Variables!$M$2:$M$19,IF(T70="NorthBound","&lt;=","&gt;=")&amp;Z70),COUNTIFS(Variables!$P$2:$P$19,IF(T70="NorthBound","&gt;=","&lt;=")&amp;Y70,Variables!$P$2:$P$19,IF(T70="NorthBound","&lt;=","&gt;=")&amp;Z70))</f>
        <v>12</v>
      </c>
      <c r="V70" s="216" t="str">
        <f t="shared" si="5"/>
        <v>https://d0f6bd738d7f1b3e5a7ca70fe4ff75f0.us-east-1.aws.found.io/app/kibana#/discover/Steve-Slow-Train-Analysis-(2080s-and-2083s)?_g=(refreshInterval:(display:Off,pause:!f,section:0,value:0),time:(from:'2017-10-05T09:37:21-0600',mode:absolute,to:'2017-10-05T12:21:17-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4008%22')),sort:!(Time.ISO8601,asc))</v>
      </c>
      <c r="W70" s="204" t="str">
        <f>IF(AA70&lt;VLOOKUP(AG70,Variables!$AC$3:$AD$8,2,FALSE),"Y","N")</f>
        <v>N</v>
      </c>
      <c r="X70" s="204">
        <f t="shared" si="29"/>
        <v>1</v>
      </c>
      <c r="Y70" s="204">
        <f t="shared" si="30"/>
        <v>4.4900000000000002E-2</v>
      </c>
      <c r="Z70" s="204">
        <f t="shared" si="31"/>
        <v>23.330500000000001</v>
      </c>
      <c r="AA70" s="204">
        <f t="shared" si="32"/>
        <v>23.285600000000002</v>
      </c>
      <c r="AB70" s="54" t="e">
        <f>VLOOKUP(A70,Enforcements!$C$7:$K$11,8,0)</f>
        <v>#N/A</v>
      </c>
      <c r="AC70" s="51" t="e">
        <f>VLOOKUP(A70,Enforcements!$C$7:$E$11,3,0)</f>
        <v>#N/A</v>
      </c>
      <c r="AD70" s="179">
        <f t="shared" si="33"/>
        <v>157</v>
      </c>
      <c r="AE70" s="77" t="str">
        <f t="shared" si="11"/>
        <v>aws s3 cp s3://rtdc.mdm.uploadarchive.raw/RTDC4008/ "%USERPROFILE%\AppData\Local\Temp\OnboardLogs"\RTDC4008\2017-10-05 --exclude "*" --recursive --include "*20171005*" &amp; "%USERPROFILE%\Documents\GitHub\mrs-test-scripts\Headless Mode &amp; Sideloading\WalkAndUnGZ.bat" "%USERPROFILE%\AppData\Local\Temp\OnboardLogs"\RTDC4008\2017-10-05 &amp; aws s3 cp s3://rtdc.mdm.uploadarchive.raw/RTDC4008/ "%USERPROFILE%\AppData\Local\Temp\OnboardLogs"\RTDC4008\2017-10-06 --exclude "*" --recursive --include "*20171006*" &amp; "%USERPROFILE%\Documents\GitHub\mrs-test-scripts\Headless Mode &amp; Sideloading\WalkAndUnGZ.bat" "%USERPROFILE%\AppData\Local\Temp\OnboardLogs"\RTDC4008\2017-10-06</v>
      </c>
      <c r="AF70" s="74" t="str">
        <f t="shared" si="12"/>
        <v>"C:\Program Files (x86)\AstroGrep\AstroGrep.exe" /e /r /s /spath="%USERPROFILE%\AppData\Local\Temp\OnboardLogs" /stypes="app*4008*20171005*" /stext=" 17:.+((SYSTEM_STATE.+slice.+state.+changed )|(ment ac)|(multiple cpu faults)|(system.+state.+changed )|(\[timeout)|(PRM\|1\|D)|(kpr)|(kdp)|(train st.+moving)|(\|lc)|(penalty))"</v>
      </c>
      <c r="AG70" s="182" t="str">
        <f t="shared" si="34"/>
        <v>EC</v>
      </c>
      <c r="AH70" s="78" t="str">
        <f t="shared" si="19"/>
        <v>"%USERPROFILE%\Documents\GitHub\eaglep3\Utilities\RefineRTDCRunTimes.py" --tripid 157-05 --locoid 4008 --swversion DE.1.0.9.0 --startMP 204:449 --initTime 2017-10-05T10:37:21 --startdatetime 2017-10-05T10:45:15 --delay 76 --endMP 204:233305 --enddatetime 2017-10-05T11:21:17 --enforcementcount 0 &gt;&gt;%USERPROFILE%\Documents\GitHub\eaglep3-reporting\EC\2017-10-05-refined-times.txt</v>
      </c>
      <c r="AI70" s="96" t="str">
        <f t="shared" si="20"/>
        <v>echo {"issue":{"subject":"","project_id":79,"tracker_id":40,"status_id":1,"priority_id":2,"assigned_to_id":338,"start_date":"2017-10-05","description":"","custom_fields":[{"id":1,"name":"Subdivision","value":"EC"},{"id":4,"name":"Milepost","value":"23.3305"},{"id":17,"name":"Train ID","value":"157-05"},{"id":16,"name":"Locomotive ID","value":"4008"},{"id":130,"name":"Impact","value":""},{"id":150,"name":"Time of Event (Mountain Time)","value":"11:21:17"},{"id":151,"name":"Denver Issue ID","value":""},{"id":178,"name":"Operational Impact","value":"Yes"},{"id":179,"name":"Denver Segment Assigned","value":""}]}} | curl --insecure -X POST -H "Content-Type: application/json" -H "X-Redmine-API-Key: %REDMINEAPIKEY%" https://secure.xorail.net/redmine/issues.json --data @-</v>
      </c>
      <c r="AJ70" s="20"/>
      <c r="AK70" s="47"/>
      <c r="AL70" s="47"/>
      <c r="AM70" s="142" t="str">
        <f t="shared" si="21"/>
        <v>start /low /b %USERPROFILE%\Documents\GitHub\eaglep3\Utilities\DownloadLogsFromS3.py --loco 4008 --day 2017-10-05</v>
      </c>
      <c r="AN70"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ID","value":"4008"},{"id":20,"name":"RR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17:21:17"},{"id":29,"name":"Sharepoint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70" s="168" t="str">
        <f t="shared" si="23"/>
        <v>https://d0f6bd738d7f1b3e5a7ca70fe4ff75f0.us-east-1.aws.found.io/app/kibana#/discover/Steve-Slow-Train-Analysis-(2080s-and-2083s)?_g=(refreshInterval:(display:Off,pause:!f,section:0,value:0),time:(from:'2017-10-05T09:37:21-0600',mode:absolute,to:'2017-10-05T12:21:17-0600'))&amp;_a=(columns:!('Message%20ID',Summary),filters:!(),index:'emp_*',interval:auto,query:(query_string:(analyze_wildcard:!t,query:'%22rtdc.l.rtdc.4008%22')),sort:!(Time.ISO8601,asc))</v>
      </c>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row>
    <row r="71" spans="1:91" s="1" customFormat="1" x14ac:dyDescent="0.25">
      <c r="A71" s="32" t="s">
        <v>700</v>
      </c>
      <c r="B71" s="7">
        <v>4007</v>
      </c>
      <c r="C71" s="21" t="s">
        <v>194</v>
      </c>
      <c r="D71" s="21" t="s">
        <v>454</v>
      </c>
      <c r="E71" s="13">
        <v>43013.47797453704</v>
      </c>
      <c r="F71" s="13">
        <v>43013.487673611111</v>
      </c>
      <c r="G71" s="7">
        <v>77</v>
      </c>
      <c r="H71" s="21" t="s">
        <v>847</v>
      </c>
      <c r="I71" s="13">
        <v>43013.51525462963</v>
      </c>
      <c r="J71" s="7">
        <v>0</v>
      </c>
      <c r="K71" s="89" t="str">
        <f t="shared" si="25"/>
        <v>4007/4008</v>
      </c>
      <c r="L71" s="185" t="str">
        <f>VLOOKUP(A71,'Trips&amp;Operators'!$C$1:$G$99911,5,FALSE)</f>
        <v>BADERTSCHER DIANE</v>
      </c>
      <c r="M71" s="6">
        <f t="shared" si="26"/>
        <v>2.7581018519413192E-2</v>
      </c>
      <c r="N71" s="7">
        <f t="shared" si="35"/>
        <v>39.716666667954996</v>
      </c>
      <c r="O71" s="7"/>
      <c r="P71" s="7"/>
      <c r="Q71" s="22"/>
      <c r="R71" s="174"/>
      <c r="S71" s="221">
        <f t="shared" si="36"/>
        <v>1</v>
      </c>
      <c r="T71" s="174" t="str">
        <f t="shared" si="28"/>
        <v>Southbound</v>
      </c>
      <c r="U71" s="198">
        <f>IF(AG71="EC",COUNTIFS(Variables!$M$2:$M$19,IF(T71="NorthBound","&gt;=","&lt;=")&amp;Y71,Variables!$M$2:$M$19,IF(T71="NorthBound","&lt;=","&gt;=")&amp;Z71),COUNTIFS(Variables!$P$2:$P$19,IF(T71="NorthBound","&gt;=","&lt;=")&amp;Y71,Variables!$P$2:$P$19,IF(T71="NorthBound","&lt;=","&gt;=")&amp;Z71))</f>
        <v>12</v>
      </c>
      <c r="V71" s="216" t="str">
        <f t="shared" si="5"/>
        <v>https://d0f6bd738d7f1b3e5a7ca70fe4ff75f0.us-east-1.aws.found.io/app/kibana#/discover/Steve-Slow-Train-Analysis-(2080s-and-2083s)?_g=(refreshInterval:(display:Off,pause:!f,section:0,value:0),time:(from:'2017-10-05T10:28:17-0600',mode:absolute,to:'2017-10-05T13:21:58-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4007%22')),sort:!(Time.ISO8601,asc))</v>
      </c>
      <c r="W71" s="204" t="str">
        <f>IF(AA71&lt;VLOOKUP(AG71,Variables!$AC$3:$AD$8,2,FALSE),"Y","N")</f>
        <v>N</v>
      </c>
      <c r="X71" s="204">
        <f t="shared" si="29"/>
        <v>1</v>
      </c>
      <c r="Y71" s="204">
        <f t="shared" si="30"/>
        <v>23.297799999999999</v>
      </c>
      <c r="Z71" s="204">
        <f t="shared" si="31"/>
        <v>1.29E-2</v>
      </c>
      <c r="AA71" s="204">
        <f t="shared" si="32"/>
        <v>23.2849</v>
      </c>
      <c r="AB71" s="54" t="e">
        <f>VLOOKUP(A71,Enforcements!$C$7:$K$11,8,0)</f>
        <v>#N/A</v>
      </c>
      <c r="AC71" s="51" t="e">
        <f>VLOOKUP(A71,Enforcements!$C$7:$E$11,3,0)</f>
        <v>#N/A</v>
      </c>
      <c r="AD71" s="179">
        <f t="shared" si="33"/>
        <v>158</v>
      </c>
      <c r="AE71" s="77" t="str">
        <f t="shared" si="11"/>
        <v>aws s3 cp s3://rtdc.mdm.uploadarchive.raw/RTDC4007/ "%USERPROFILE%\AppData\Local\Temp\OnboardLogs"\RTDC4007\2017-10-05 --exclude "*" --recursive --include "*20171005*" &amp; "%USERPROFILE%\Documents\GitHub\mrs-test-scripts\Headless Mode &amp; Sideloading\WalkAndUnGZ.bat" "%USERPROFILE%\AppData\Local\Temp\OnboardLogs"\RTDC4007\2017-10-05 &amp; aws s3 cp s3://rtdc.mdm.uploadarchive.raw/RTDC4007/ "%USERPROFILE%\AppData\Local\Temp\OnboardLogs"\RTDC4007\2017-10-06 --exclude "*" --recursive --include "*20171006*" &amp; "%USERPROFILE%\Documents\GitHub\mrs-test-scripts\Headless Mode &amp; Sideloading\WalkAndUnGZ.bat" "%USERPROFILE%\AppData\Local\Temp\OnboardLogs"\RTDC4007\2017-10-06</v>
      </c>
      <c r="AF71" s="74" t="str">
        <f t="shared" si="12"/>
        <v>"C:\Program Files (x86)\AstroGrep\AstroGrep.exe" /e /r /s /spath="%USERPROFILE%\AppData\Local\Temp\OnboardLogs" /stypes="app*4007*20171005*" /stext=" 18:.+((SYSTEM_STATE.+slice.+state.+changed )|(ment ac)|(multiple cpu faults)|(system.+state.+changed )|(\[timeout)|(PRM\|1\|D)|(kpr)|(kdp)|(train st.+moving)|(\|lc)|(penalty))"</v>
      </c>
      <c r="AG71" s="182" t="str">
        <f t="shared" si="34"/>
        <v>EC</v>
      </c>
      <c r="AH71" s="78" t="str">
        <f t="shared" si="19"/>
        <v>"%USERPROFILE%\Documents\GitHub\eaglep3\Utilities\RefineRTDCRunTimes.py" --tripid 158-05 --locoid 4007 --swversion DE.1.0.9.0 --startMP 204:232978 --initTime 2017-10-05T11:28:17 --startdatetime 2017-10-05T11:42:15 --delay 77 --endMP 204:129 --enddatetime 2017-10-05T12:21:58 --enforcementcount 0 &gt;&gt;%USERPROFILE%\Documents\GitHub\eaglep3-reporting\EC\2017-10-05-refined-times.txt</v>
      </c>
      <c r="AI71" s="96" t="str">
        <f t="shared" si="20"/>
        <v>echo {"issue":{"subject":"","project_id":79,"tracker_id":40,"status_id":1,"priority_id":2,"assigned_to_id":338,"start_date":"2017-10-05","description":"","custom_fields":[{"id":1,"name":"Subdivision","value":"EC"},{"id":4,"name":"Milepost","value":"0.0129"},{"id":17,"name":"Train ID","value":"158-05"},{"id":16,"name":"Locomotive ID","value":"4007"},{"id":130,"name":"Impact","value":""},{"id":150,"name":"Time of Event (Mountain Time)","value":"12:21:58"},{"id":151,"name":"Denver Issue ID","value":""},{"id":178,"name":"Operational Impact","value":"Yes"},{"id":179,"name":"Denver Segment Assigned","value":""}]}} | curl --insecure -X POST -H "Content-Type: application/json" -H "X-Redmine-API-Key: %REDMINEAPIKEY%" https://secure.xorail.net/redmine/issues.json --data @-</v>
      </c>
      <c r="AJ71" s="20"/>
      <c r="AK71" s="47"/>
      <c r="AL71" s="47"/>
      <c r="AM71" s="142" t="str">
        <f t="shared" si="21"/>
        <v>start /low /b %USERPROFILE%\Documents\GitHub\eaglep3\Utilities\DownloadLogsFromS3.py --loco 4007 --day 2017-10-05</v>
      </c>
      <c r="AN71"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ID","value":"4007"},{"id":20,"name":"RR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18:21:58"},{"id":29,"name":"Sharepoint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71" s="168" t="str">
        <f t="shared" si="23"/>
        <v>https://d0f6bd738d7f1b3e5a7ca70fe4ff75f0.us-east-1.aws.found.io/app/kibana#/discover/Steve-Slow-Train-Analysis-(2080s-and-2083s)?_g=(refreshInterval:(display:Off,pause:!f,section:0,value:0),time:(from:'2017-10-05T10:28:17-0600',mode:absolute,to:'2017-10-05T13:21:58-0600'))&amp;_a=(columns:!('Message%20ID',Summary),filters:!(),index:'emp_*',interval:auto,query:(query_string:(analyze_wildcard:!t,query:'%22rtdc.l.rtdc.4007%22')),sort:!(Time.ISO8601,asc))</v>
      </c>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row>
    <row r="72" spans="1:91" s="1" customFormat="1" x14ac:dyDescent="0.25">
      <c r="A72" s="32" t="s">
        <v>694</v>
      </c>
      <c r="B72" s="7">
        <v>4016</v>
      </c>
      <c r="C72" s="21" t="s">
        <v>194</v>
      </c>
      <c r="D72" s="21" t="s">
        <v>380</v>
      </c>
      <c r="E72" s="13">
        <v>43013.454699074071</v>
      </c>
      <c r="F72" s="13">
        <v>43013.459282407406</v>
      </c>
      <c r="G72" s="7">
        <v>63</v>
      </c>
      <c r="H72" s="21" t="s">
        <v>532</v>
      </c>
      <c r="I72" s="13">
        <v>43013.484097222223</v>
      </c>
      <c r="J72" s="7">
        <v>0</v>
      </c>
      <c r="K72" s="89" t="str">
        <f t="shared" si="25"/>
        <v>4015/4016</v>
      </c>
      <c r="L72" s="185" t="str">
        <f>VLOOKUP(A72,'Trips&amp;Operators'!$C$1:$G$99911,5,FALSE)</f>
        <v>YANG JAN</v>
      </c>
      <c r="M72" s="6">
        <f t="shared" si="26"/>
        <v>2.4814814816636499E-2</v>
      </c>
      <c r="N72" s="7">
        <f t="shared" si="35"/>
        <v>35.733333335956559</v>
      </c>
      <c r="O72" s="7"/>
      <c r="P72" s="7"/>
      <c r="Q72" s="22"/>
      <c r="R72" s="174"/>
      <c r="S72" s="221">
        <f t="shared" si="36"/>
        <v>1</v>
      </c>
      <c r="T72" s="174" t="str">
        <f t="shared" si="28"/>
        <v>NorthBound</v>
      </c>
      <c r="U72" s="198">
        <f>IF(AG72="EC",COUNTIFS(Variables!$M$2:$M$19,IF(T72="NorthBound","&gt;=","&lt;=")&amp;Y72,Variables!$M$2:$M$19,IF(T72="NorthBound","&lt;=","&gt;=")&amp;Z72),COUNTIFS(Variables!$P$2:$P$19,IF(T72="NorthBound","&gt;=","&lt;=")&amp;Y72,Variables!$P$2:$P$19,IF(T72="NorthBound","&lt;=","&gt;=")&amp;Z72))</f>
        <v>12</v>
      </c>
      <c r="V72" s="216" t="str">
        <f t="shared" si="5"/>
        <v>https://d0f6bd738d7f1b3e5a7ca70fe4ff75f0.us-east-1.aws.found.io/app/kibana#/discover/Steve-Slow-Train-Analysis-(2080s-and-2083s)?_g=(refreshInterval:(display:Off,pause:!f,section:0,value:0),time:(from:'2017-10-05T09:54:46-0600',mode:absolute,to:'2017-10-05T12:37:06-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W72" s="204" t="str">
        <f>IF(AA72&lt;VLOOKUP(AG72,Variables!$AC$3:$AD$8,2,FALSE),"Y","N")</f>
        <v>N</v>
      </c>
      <c r="X72" s="204">
        <f t="shared" si="29"/>
        <v>1</v>
      </c>
      <c r="Y72" s="204">
        <f t="shared" si="30"/>
        <v>4.6600000000000003E-2</v>
      </c>
      <c r="Z72" s="204">
        <f t="shared" si="31"/>
        <v>23.3306</v>
      </c>
      <c r="AA72" s="204">
        <f t="shared" si="32"/>
        <v>23.283999999999999</v>
      </c>
      <c r="AB72" s="54" t="e">
        <f>VLOOKUP(A72,Enforcements!$C$7:$K$11,8,0)</f>
        <v>#N/A</v>
      </c>
      <c r="AC72" s="51" t="e">
        <f>VLOOKUP(A72,Enforcements!$C$7:$E$11,3,0)</f>
        <v>#N/A</v>
      </c>
      <c r="AD72" s="179">
        <f t="shared" si="33"/>
        <v>159</v>
      </c>
      <c r="AE72" s="77" t="str">
        <f t="shared" si="11"/>
        <v>aws s3 cp s3://rtdc.mdm.uploadarchive.raw/RTDC4016/ "%USERPROFILE%\AppData\Local\Temp\OnboardLogs"\RTDC4016\2017-10-05 --exclude "*" --recursive --include "*20171005*" &amp; "%USERPROFILE%\Documents\GitHub\mrs-test-scripts\Headless Mode &amp; Sideloading\WalkAndUnGZ.bat" "%USERPROFILE%\AppData\Local\Temp\OnboardLogs"\RTDC4016\2017-10-05 &amp; aws s3 cp s3://rtdc.mdm.uploadarchive.raw/RTDC4016/ "%USERPROFILE%\AppData\Local\Temp\OnboardLogs"\RTDC4016\2017-10-06 --exclude "*" --recursive --include "*20171006*" &amp; "%USERPROFILE%\Documents\GitHub\mrs-test-scripts\Headless Mode &amp; Sideloading\WalkAndUnGZ.bat" "%USERPROFILE%\AppData\Local\Temp\OnboardLogs"\RTDC4016\2017-10-06</v>
      </c>
      <c r="AF72" s="74" t="str">
        <f t="shared" si="12"/>
        <v>"C:\Program Files (x86)\AstroGrep\AstroGrep.exe" /e /r /s /spath="%USERPROFILE%\AppData\Local\Temp\OnboardLogs" /stypes="app*4016*20171005*" /stext=" 17:.+((SYSTEM_STATE.+slice.+state.+changed )|(ment ac)|(multiple cpu faults)|(system.+state.+changed )|(\[timeout)|(PRM\|1\|D)|(kpr)|(kdp)|(train st.+moving)|(\|lc)|(penalty))"</v>
      </c>
      <c r="AG72" s="182" t="str">
        <f t="shared" si="34"/>
        <v>EC</v>
      </c>
      <c r="AH72" s="78" t="str">
        <f t="shared" si="19"/>
        <v>"%USERPROFILE%\Documents\GitHub\eaglep3\Utilities\RefineRTDCRunTimes.py" --tripid 159-05 --locoid 4016 --swversion DE.1.0.9.0 --startMP 204:466 --initTime 2017-10-05T10:54:46 --startdatetime 2017-10-05T11:01:22 --delay 63 --endMP 204:233306 --enddatetime 2017-10-05T11:37:06 --enforcementcount 0 &gt;&gt;%USERPROFILE%\Documents\GitHub\eaglep3-reporting\EC\2017-10-05-refined-times.txt</v>
      </c>
      <c r="AI72" s="96" t="str">
        <f t="shared" si="20"/>
        <v>echo {"issue":{"subject":"","project_id":79,"tracker_id":40,"status_id":1,"priority_id":2,"assigned_to_id":338,"start_date":"2017-10-05","description":"","custom_fields":[{"id":1,"name":"Subdivision","value":"EC"},{"id":4,"name":"Milepost","value":"23.3306"},{"id":17,"name":"Train ID","value":"159-05"},{"id":16,"name":"Locomotive ID","value":"4016"},{"id":130,"name":"Impact","value":""},{"id":150,"name":"Time of Event (Mountain Time)","value":"11:37:06"},{"id":151,"name":"Denver Issue ID","value":""},{"id":178,"name":"Operational Impact","value":"Yes"},{"id":179,"name":"Denver Segment Assigned","value":""}]}} | curl --insecure -X POST -H "Content-Type: application/json" -H "X-Redmine-API-Key: %REDMINEAPIKEY%" https://secure.xorail.net/redmine/issues.json --data @-</v>
      </c>
      <c r="AJ72" s="20"/>
      <c r="AK72" s="47"/>
      <c r="AL72" s="47"/>
      <c r="AM72" s="142" t="str">
        <f t="shared" si="21"/>
        <v>start /low /b %USERPROFILE%\Documents\GitHub\eaglep3\Utilities\DownloadLogsFromS3.py --loco 4016 --day 2017-10-05</v>
      </c>
      <c r="AN72"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ID","value":"4016"},{"id":20,"name":"RR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17:37:06"},{"id":29,"name":"Sharepoint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72" s="168" t="str">
        <f t="shared" si="23"/>
        <v>https://d0f6bd738d7f1b3e5a7ca70fe4ff75f0.us-east-1.aws.found.io/app/kibana#/discover/Steve-Slow-Train-Analysis-(2080s-and-2083s)?_g=(refreshInterval:(display:Off,pause:!f,section:0,value:0),time:(from:'2017-10-05T09:54:46-0600',mode:absolute,to:'2017-10-05T12:37:06-0600'))&amp;_a=(columns:!('Message%20ID',Summary),filters:!(),index:'emp_*',interval:auto,query:(query_string:(analyze_wildcard:!t,query:'%22rtdc.l.rtdc.4016%22')),sort:!(Time.ISO8601,asc))</v>
      </c>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row>
    <row r="73" spans="1:91" s="1" customFormat="1" x14ac:dyDescent="0.25">
      <c r="A73" s="32" t="s">
        <v>702</v>
      </c>
      <c r="B73" s="7">
        <v>4015</v>
      </c>
      <c r="C73" s="21" t="s">
        <v>194</v>
      </c>
      <c r="D73" s="21" t="s">
        <v>414</v>
      </c>
      <c r="E73" s="13">
        <v>43013.49181712963</v>
      </c>
      <c r="F73" s="13">
        <v>43013.498206018521</v>
      </c>
      <c r="G73" s="7">
        <v>49</v>
      </c>
      <c r="H73" s="21" t="s">
        <v>356</v>
      </c>
      <c r="I73" s="13">
        <v>43013.524641203701</v>
      </c>
      <c r="J73" s="7">
        <v>0</v>
      </c>
      <c r="K73" s="89" t="str">
        <f t="shared" si="25"/>
        <v>4015/4016</v>
      </c>
      <c r="L73" s="185" t="str">
        <f>VLOOKUP(A73,'Trips&amp;Operators'!$C$1:$G$99911,5,FALSE)</f>
        <v>YANG JAN</v>
      </c>
      <c r="M73" s="6">
        <f t="shared" si="26"/>
        <v>2.643518518016208E-2</v>
      </c>
      <c r="N73" s="7">
        <f t="shared" si="35"/>
        <v>38.066666659433395</v>
      </c>
      <c r="O73" s="7"/>
      <c r="P73" s="7"/>
      <c r="Q73" s="22"/>
      <c r="R73" s="174"/>
      <c r="S73" s="221">
        <f t="shared" si="36"/>
        <v>1</v>
      </c>
      <c r="T73" s="174" t="str">
        <f t="shared" si="28"/>
        <v>Southbound</v>
      </c>
      <c r="U73" s="198">
        <f>IF(AG73="EC",COUNTIFS(Variables!$M$2:$M$19,IF(T73="NorthBound","&gt;=","&lt;=")&amp;Y73,Variables!$M$2:$M$19,IF(T73="NorthBound","&lt;=","&gt;=")&amp;Z73),COUNTIFS(Variables!$P$2:$P$19,IF(T73="NorthBound","&gt;=","&lt;=")&amp;Y73,Variables!$P$2:$P$19,IF(T73="NorthBound","&lt;=","&gt;=")&amp;Z73))</f>
        <v>12</v>
      </c>
      <c r="V73" s="216" t="str">
        <f t="shared" si="5"/>
        <v>https://d0f6bd738d7f1b3e5a7ca70fe4ff75f0.us-east-1.aws.found.io/app/kibana#/discover/Steve-Slow-Train-Analysis-(2080s-and-2083s)?_g=(refreshInterval:(display:Off,pause:!f,section:0,value:0),time:(from:'2017-10-05T10:48:13-0600',mode:absolute,to:'2017-10-05T13:35:29-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4015%22')),sort:!(Time.ISO8601,asc))</v>
      </c>
      <c r="W73" s="204" t="str">
        <f>IF(AA73&lt;VLOOKUP(AG73,Variables!$AC$3:$AD$8,2,FALSE),"Y","N")</f>
        <v>N</v>
      </c>
      <c r="X73" s="204">
        <f t="shared" si="29"/>
        <v>1</v>
      </c>
      <c r="Y73" s="204">
        <f t="shared" si="30"/>
        <v>23.299399999999999</v>
      </c>
      <c r="Z73" s="204">
        <f t="shared" si="31"/>
        <v>1.52E-2</v>
      </c>
      <c r="AA73" s="204">
        <f t="shared" si="32"/>
        <v>23.284199999999998</v>
      </c>
      <c r="AB73" s="54" t="e">
        <f>VLOOKUP(A73,Enforcements!$C$7:$K$11,8,0)</f>
        <v>#N/A</v>
      </c>
      <c r="AC73" s="51" t="e">
        <f>VLOOKUP(A73,Enforcements!$C$7:$E$11,3,0)</f>
        <v>#N/A</v>
      </c>
      <c r="AD73" s="179">
        <f t="shared" si="33"/>
        <v>160</v>
      </c>
      <c r="AE73" s="77" t="str">
        <f t="shared" si="11"/>
        <v>aws s3 cp s3://rtdc.mdm.uploadarchive.raw/RTDC4015/ "%USERPROFILE%\AppData\Local\Temp\OnboardLogs"\RTDC4015\2017-10-05 --exclude "*" --recursive --include "*20171005*" &amp; "%USERPROFILE%\Documents\GitHub\mrs-test-scripts\Headless Mode &amp; Sideloading\WalkAndUnGZ.bat" "%USERPROFILE%\AppData\Local\Temp\OnboardLogs"\RTDC4015\2017-10-05 &amp; aws s3 cp s3://rtdc.mdm.uploadarchive.raw/RTDC4015/ "%USERPROFILE%\AppData\Local\Temp\OnboardLogs"\RTDC4015\2017-10-06 --exclude "*" --recursive --include "*20171006*" &amp; "%USERPROFILE%\Documents\GitHub\mrs-test-scripts\Headless Mode &amp; Sideloading\WalkAndUnGZ.bat" "%USERPROFILE%\AppData\Local\Temp\OnboardLogs"\RTDC4015\2017-10-06</v>
      </c>
      <c r="AF73" s="74" t="str">
        <f t="shared" si="12"/>
        <v>"C:\Program Files (x86)\AstroGrep\AstroGrep.exe" /e /r /s /spath="%USERPROFILE%\AppData\Local\Temp\OnboardLogs" /stypes="app*4015*20171005*" /stext=" 18:.+((SYSTEM_STATE.+slice.+state.+changed )|(ment ac)|(multiple cpu faults)|(system.+state.+changed )|(\[timeout)|(PRM\|1\|D)|(kpr)|(kdp)|(train st.+moving)|(\|lc)|(penalty))"</v>
      </c>
      <c r="AG73" s="182" t="str">
        <f t="shared" si="34"/>
        <v>EC</v>
      </c>
      <c r="AH73" s="78" t="str">
        <f t="shared" si="19"/>
        <v>"%USERPROFILE%\Documents\GitHub\eaglep3\Utilities\RefineRTDCRunTimes.py" --tripid 160-05 --locoid 4015 --swversion DE.1.0.9.0 --startMP 204:232994 --initTime 2017-10-05T11:48:13 --startdatetime 2017-10-05T11:57:25 --delay 49 --endMP 204:152 --enddatetime 2017-10-05T12:35:29 --enforcementcount 0 &gt;&gt;%USERPROFILE%\Documents\GitHub\eaglep3-reporting\EC\2017-10-05-refined-times.txt</v>
      </c>
      <c r="AI73" s="96" t="str">
        <f t="shared" si="20"/>
        <v>echo {"issue":{"subject":"","project_id":79,"tracker_id":40,"status_id":1,"priority_id":2,"assigned_to_id":338,"start_date":"2017-10-05","description":"","custom_fields":[{"id":1,"name":"Subdivision","value":"EC"},{"id":4,"name":"Milepost","value":"0.0152"},{"id":17,"name":"Train ID","value":"160-05"},{"id":16,"name":"Locomotive ID","value":"4015"},{"id":130,"name":"Impact","value":""},{"id":150,"name":"Time of Event (Mountain Time)","value":"12:35:29"},{"id":151,"name":"Denver Issue ID","value":""},{"id":178,"name":"Operational Impact","value":"Yes"},{"id":179,"name":"Denver Segment Assigned","value":""}]}} | curl --insecure -X POST -H "Content-Type: application/json" -H "X-Redmine-API-Key: %REDMINEAPIKEY%" https://secure.xorail.net/redmine/issues.json --data @-</v>
      </c>
      <c r="AJ73" s="20"/>
      <c r="AK73" s="47"/>
      <c r="AL73" s="47"/>
      <c r="AM73" s="142" t="str">
        <f t="shared" si="21"/>
        <v>start /low /b %USERPROFILE%\Documents\GitHub\eaglep3\Utilities\DownloadLogsFromS3.py --loco 4015 --day 2017-10-05</v>
      </c>
      <c r="AN73"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ID","value":"4015"},{"id":20,"name":"RR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18:35:29"},{"id":29,"name":"Sharepoint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73" s="168" t="str">
        <f t="shared" si="23"/>
        <v>https://d0f6bd738d7f1b3e5a7ca70fe4ff75f0.us-east-1.aws.found.io/app/kibana#/discover/Steve-Slow-Train-Analysis-(2080s-and-2083s)?_g=(refreshInterval:(display:Off,pause:!f,section:0,value:0),time:(from:'2017-10-05T10:48:13-0600',mode:absolute,to:'2017-10-05T13:35:29-0600'))&amp;_a=(columns:!('Message%20ID',Summary),filters:!(),index:'emp_*',interval:auto,query:(query_string:(analyze_wildcard:!t,query:'%22rtdc.l.rtdc.4015%22')),sort:!(Time.ISO8601,asc))</v>
      </c>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row>
    <row r="74" spans="1:91" s="1" customFormat="1" x14ac:dyDescent="0.25">
      <c r="A74" s="32" t="s">
        <v>698</v>
      </c>
      <c r="B74" s="7">
        <v>4010</v>
      </c>
      <c r="C74" s="21" t="s">
        <v>194</v>
      </c>
      <c r="D74" s="21" t="s">
        <v>492</v>
      </c>
      <c r="E74" s="13">
        <v>43013.466192129628</v>
      </c>
      <c r="F74" s="13">
        <v>43013.468969907408</v>
      </c>
      <c r="G74" s="7">
        <v>86</v>
      </c>
      <c r="H74" s="21" t="s">
        <v>548</v>
      </c>
      <c r="I74" s="13">
        <v>43013.493067129632</v>
      </c>
      <c r="J74" s="7">
        <v>0</v>
      </c>
      <c r="K74" s="89" t="str">
        <f t="shared" si="25"/>
        <v>4009/4010</v>
      </c>
      <c r="L74" s="185" t="str">
        <f>VLOOKUP(A74,'Trips&amp;Operators'!$C$1:$G$99911,5,FALSE)</f>
        <v>BRUDER RICHARD</v>
      </c>
      <c r="M74" s="6">
        <f t="shared" si="26"/>
        <v>2.4097222223645076E-2</v>
      </c>
      <c r="N74" s="7">
        <f t="shared" si="35"/>
        <v>34.70000000204891</v>
      </c>
      <c r="O74" s="7"/>
      <c r="P74" s="7"/>
      <c r="Q74" s="22"/>
      <c r="R74" s="174"/>
      <c r="S74" s="221">
        <f t="shared" si="36"/>
        <v>1</v>
      </c>
      <c r="T74" s="174" t="str">
        <f t="shared" si="28"/>
        <v>NorthBound</v>
      </c>
      <c r="U74" s="198">
        <f>IF(AG74="EC",COUNTIFS(Variables!$M$2:$M$19,IF(T74="NorthBound","&gt;=","&lt;=")&amp;Y74,Variables!$M$2:$M$19,IF(T74="NorthBound","&lt;=","&gt;=")&amp;Z74),COUNTIFS(Variables!$P$2:$P$19,IF(T74="NorthBound","&gt;=","&lt;=")&amp;Y74,Variables!$P$2:$P$19,IF(T74="NorthBound","&lt;=","&gt;=")&amp;Z74))</f>
        <v>12</v>
      </c>
      <c r="V74" s="216" t="str">
        <f t="shared" si="5"/>
        <v>https://d0f6bd738d7f1b3e5a7ca70fe4ff75f0.us-east-1.aws.found.io/app/kibana#/discover/Steve-Slow-Train-Analysis-(2080s-and-2083s)?_g=(refreshInterval:(display:Off,pause:!f,section:0,value:0),time:(from:'2017-10-05T10:11:19-0600',mode:absolute,to:'2017-10-05T12:50:01-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74" s="204" t="str">
        <f>IF(AA74&lt;VLOOKUP(AG74,Variables!$AC$3:$AD$8,2,FALSE),"Y","N")</f>
        <v>N</v>
      </c>
      <c r="X74" s="204">
        <f t="shared" si="29"/>
        <v>1</v>
      </c>
      <c r="Y74" s="204">
        <f t="shared" si="30"/>
        <v>4.3499999999999997E-2</v>
      </c>
      <c r="Z74" s="204">
        <f t="shared" si="31"/>
        <v>23.332799999999999</v>
      </c>
      <c r="AA74" s="204">
        <f t="shared" si="32"/>
        <v>23.289299999999997</v>
      </c>
      <c r="AB74" s="54" t="e">
        <f>VLOOKUP(A74,Enforcements!$C$7:$K$11,8,0)</f>
        <v>#N/A</v>
      </c>
      <c r="AC74" s="51" t="e">
        <f>VLOOKUP(A74,Enforcements!$C$7:$E$11,3,0)</f>
        <v>#N/A</v>
      </c>
      <c r="AD74" s="179">
        <f t="shared" si="33"/>
        <v>161</v>
      </c>
      <c r="AE74" s="77" t="str">
        <f t="shared" si="11"/>
        <v>aws s3 cp s3://rtdc.mdm.uploadarchive.raw/RTDC4010/ "%USERPROFILE%\AppData\Local\Temp\OnboardLogs"\RTDC4010\2017-10-05 --exclude "*" --recursive --include "*20171005*" &amp; "%USERPROFILE%\Documents\GitHub\mrs-test-scripts\Headless Mode &amp; Sideloading\WalkAndUnGZ.bat" "%USERPROFILE%\AppData\Local\Temp\OnboardLogs"\RTDC4010\2017-10-05 &amp; aws s3 cp s3://rtdc.mdm.uploadarchive.raw/RTDC4010/ "%USERPROFILE%\AppData\Local\Temp\OnboardLogs"\RTDC4010\2017-10-06 --exclude "*" --recursive --include "*20171006*" &amp; "%USERPROFILE%\Documents\GitHub\mrs-test-scripts\Headless Mode &amp; Sideloading\WalkAndUnGZ.bat" "%USERPROFILE%\AppData\Local\Temp\OnboardLogs"\RTDC4010\2017-10-06</v>
      </c>
      <c r="AF74" s="74" t="str">
        <f t="shared" si="12"/>
        <v>"C:\Program Files (x86)\AstroGrep\AstroGrep.exe" /e /r /s /spath="%USERPROFILE%\AppData\Local\Temp\OnboardLogs" /stypes="app*4010*20171005*" /stext=" 17:.+((SYSTEM_STATE.+slice.+state.+changed )|(ment ac)|(multiple cpu faults)|(system.+state.+changed )|(\[timeout)|(PRM\|1\|D)|(kpr)|(kdp)|(train st.+moving)|(\|lc)|(penalty))"</v>
      </c>
      <c r="AG74" s="182" t="str">
        <f t="shared" si="34"/>
        <v>EC</v>
      </c>
      <c r="AH74" s="78" t="str">
        <f t="shared" si="19"/>
        <v>"%USERPROFILE%\Documents\GitHub\eaglep3\Utilities\RefineRTDCRunTimes.py" --tripid 161-05 --locoid 4010 --swversion DE.1.0.9.0 --startMP 204:435 --initTime 2017-10-05T11:11:19 --startdatetime 2017-10-05T11:15:19 --delay 86 --endMP 204:233328 --enddatetime 2017-10-05T11:50:01 --enforcementcount 0 &gt;&gt;%USERPROFILE%\Documents\GitHub\eaglep3-reporting\EC\2017-10-05-refined-times.txt</v>
      </c>
      <c r="AI74" s="96" t="str">
        <f t="shared" si="20"/>
        <v>echo {"issue":{"subject":"","project_id":79,"tracker_id":40,"status_id":1,"priority_id":2,"assigned_to_id":338,"start_date":"2017-10-05","description":"","custom_fields":[{"id":1,"name":"Subdivision","value":"EC"},{"id":4,"name":"Milepost","value":"23.3328"},{"id":17,"name":"Train ID","value":"161-05"},{"id":16,"name":"Locomotive ID","value":"4010"},{"id":130,"name":"Impact","value":""},{"id":150,"name":"Time of Event (Mountain Time)","value":"11:50:01"},{"id":151,"name":"Denver Issue ID","value":""},{"id":178,"name":"Operational Impact","value":"Yes"},{"id":179,"name":"Denver Segment Assigned","value":""}]}} | curl --insecure -X POST -H "Content-Type: application/json" -H "X-Redmine-API-Key: %REDMINEAPIKEY%" https://secure.xorail.net/redmine/issues.json --data @-</v>
      </c>
      <c r="AJ74" s="20"/>
      <c r="AK74" s="47"/>
      <c r="AL74" s="47"/>
      <c r="AM74" s="142" t="str">
        <f t="shared" si="21"/>
        <v>start /low /b %USERPROFILE%\Documents\GitHub\eaglep3\Utilities\DownloadLogsFromS3.py --loco 4010 --day 2017-10-05</v>
      </c>
      <c r="AN74"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ID","value":"4010"},{"id":20,"name":"RR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17:50:01"},{"id":29,"name":"Sharepoint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74" s="168" t="str">
        <f t="shared" si="23"/>
        <v>https://d0f6bd738d7f1b3e5a7ca70fe4ff75f0.us-east-1.aws.found.io/app/kibana#/discover/Steve-Slow-Train-Analysis-(2080s-and-2083s)?_g=(refreshInterval:(display:Off,pause:!f,section:0,value:0),time:(from:'2017-10-05T10:11:19-0600',mode:absolute,to:'2017-10-05T12:50:01-0600'))&amp;_a=(columns:!('Message%20ID',Summary),filters:!(),index:'emp_*',interval:auto,query:(query_string:(analyze_wildcard:!t,query:'%22rtdc.l.rtdc.4010%22')),sort:!(Time.ISO8601,asc))</v>
      </c>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row>
    <row r="75" spans="1:91" s="1" customFormat="1" x14ac:dyDescent="0.25">
      <c r="A75" s="32" t="s">
        <v>705</v>
      </c>
      <c r="B75" s="7">
        <v>4009</v>
      </c>
      <c r="C75" s="21" t="s">
        <v>194</v>
      </c>
      <c r="D75" s="21" t="s">
        <v>844</v>
      </c>
      <c r="E75" s="13">
        <v>43013.504710648151</v>
      </c>
      <c r="F75" s="13">
        <v>43013.508645833332</v>
      </c>
      <c r="G75" s="7">
        <v>127</v>
      </c>
      <c r="H75" s="21" t="s">
        <v>335</v>
      </c>
      <c r="I75" s="13">
        <v>43013.535462962966</v>
      </c>
      <c r="J75" s="7">
        <v>0</v>
      </c>
      <c r="K75" s="89" t="str">
        <f t="shared" si="25"/>
        <v>4009/4010</v>
      </c>
      <c r="L75" s="185" t="str">
        <f>VLOOKUP(A75,'Trips&amp;Operators'!$C$1:$G$99911,5,FALSE)</f>
        <v>BRUDER RICHARD</v>
      </c>
      <c r="M75" s="6">
        <f t="shared" si="26"/>
        <v>2.6817129633855075E-2</v>
      </c>
      <c r="N75" s="7">
        <f t="shared" si="35"/>
        <v>38.616666672751307</v>
      </c>
      <c r="O75" s="7"/>
      <c r="P75" s="7"/>
      <c r="Q75" s="22"/>
      <c r="R75" s="174"/>
      <c r="S75" s="221">
        <f t="shared" si="36"/>
        <v>1</v>
      </c>
      <c r="T75" s="174" t="str">
        <f t="shared" si="28"/>
        <v>Southbound</v>
      </c>
      <c r="U75" s="198">
        <f>IF(AG75="EC",COUNTIFS(Variables!$M$2:$M$19,IF(T75="NorthBound","&gt;=","&lt;=")&amp;Y75,Variables!$M$2:$M$19,IF(T75="NorthBound","&lt;=","&gt;=")&amp;Z75),COUNTIFS(Variables!$P$2:$P$19,IF(T75="NorthBound","&gt;=","&lt;=")&amp;Y75,Variables!$P$2:$P$19,IF(T75="NorthBound","&lt;=","&gt;=")&amp;Z75))</f>
        <v>12</v>
      </c>
      <c r="V75" s="216" t="str">
        <f t="shared" si="5"/>
        <v>https://d0f6bd738d7f1b3e5a7ca70fe4ff75f0.us-east-1.aws.found.io/app/kibana#/discover/Steve-Slow-Train-Analysis-(2080s-and-2083s)?_g=(refreshInterval:(display:Off,pause:!f,section:0,value:0),time:(from:'2017-10-05T11:06:47-0600',mode:absolute,to:'2017-10-05T13:51:04-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75" s="204" t="str">
        <f>IF(AA75&lt;VLOOKUP(AG75,Variables!$AC$3:$AD$8,2,FALSE),"Y","N")</f>
        <v>N</v>
      </c>
      <c r="X75" s="204">
        <f t="shared" si="29"/>
        <v>1</v>
      </c>
      <c r="Y75" s="204">
        <f t="shared" si="30"/>
        <v>23.297699999999999</v>
      </c>
      <c r="Z75" s="204">
        <f t="shared" si="31"/>
        <v>1.4999999999999999E-2</v>
      </c>
      <c r="AA75" s="204">
        <f t="shared" si="32"/>
        <v>23.282699999999998</v>
      </c>
      <c r="AB75" s="54" t="e">
        <f>VLOOKUP(A75,Enforcements!$C$7:$K$11,8,0)</f>
        <v>#N/A</v>
      </c>
      <c r="AC75" s="51" t="e">
        <f>VLOOKUP(A75,Enforcements!$C$7:$E$11,3,0)</f>
        <v>#N/A</v>
      </c>
      <c r="AD75" s="179">
        <f t="shared" si="33"/>
        <v>162</v>
      </c>
      <c r="AE75" s="77" t="str">
        <f t="shared" si="11"/>
        <v>aws s3 cp s3://rtdc.mdm.uploadarchive.raw/RTDC4009/ "%USERPROFILE%\AppData\Local\Temp\OnboardLogs"\RTDC4009\2017-10-05 --exclude "*" --recursive --include "*20171005*" &amp; "%USERPROFILE%\Documents\GitHub\mrs-test-scripts\Headless Mode &amp; Sideloading\WalkAndUnGZ.bat" "%USERPROFILE%\AppData\Local\Temp\OnboardLogs"\RTDC4009\2017-10-05 &amp; aws s3 cp s3://rtdc.mdm.uploadarchive.raw/RTDC4009/ "%USERPROFILE%\AppData\Local\Temp\OnboardLogs"\RTDC4009\2017-10-06 --exclude "*" --recursive --include "*20171006*" &amp; "%USERPROFILE%\Documents\GitHub\mrs-test-scripts\Headless Mode &amp; Sideloading\WalkAndUnGZ.bat" "%USERPROFILE%\AppData\Local\Temp\OnboardLogs"\RTDC4009\2017-10-06</v>
      </c>
      <c r="AF75" s="74" t="str">
        <f t="shared" si="12"/>
        <v>"C:\Program Files (x86)\AstroGrep\AstroGrep.exe" /e /r /s /spath="%USERPROFILE%\AppData\Local\Temp\OnboardLogs" /stypes="app*4009*20171005*" /stext=" 18:.+((SYSTEM_STATE.+slice.+state.+changed )|(ment ac)|(multiple cpu faults)|(system.+state.+changed )|(\[timeout)|(PRM\|1\|D)|(kpr)|(kdp)|(train st.+moving)|(\|lc)|(penalty))"</v>
      </c>
      <c r="AG75" s="182" t="str">
        <f t="shared" si="34"/>
        <v>EC</v>
      </c>
      <c r="AH75" s="78" t="str">
        <f t="shared" si="19"/>
        <v>"%USERPROFILE%\Documents\GitHub\eaglep3\Utilities\RefineRTDCRunTimes.py" --tripid 162-05 --locoid 4009 --swversion DE.1.0.9.0 --startMP 204:232977 --initTime 2017-10-05T12:06:47 --startdatetime 2017-10-05T12:12:27 --delay 127 --endMP 204:150 --enddatetime 2017-10-05T12:51:04 --enforcementcount 0 &gt;&gt;%USERPROFILE%\Documents\GitHub\eaglep3-reporting\EC\2017-10-05-refined-times.txt</v>
      </c>
      <c r="AI75" s="96" t="str">
        <f t="shared" si="20"/>
        <v>echo {"issue":{"subject":"","project_id":79,"tracker_id":40,"status_id":1,"priority_id":2,"assigned_to_id":338,"start_date":"2017-10-05","description":"","custom_fields":[{"id":1,"name":"Subdivision","value":"EC"},{"id":4,"name":"Milepost","value":"0.015"},{"id":17,"name":"Train ID","value":"162-05"},{"id":16,"name":"Locomotive ID","value":"4009"},{"id":130,"name":"Impact","value":""},{"id":150,"name":"Time of Event (Mountain Time)","value":"12:51:04"},{"id":151,"name":"Denver Issue ID","value":""},{"id":178,"name":"Operational Impact","value":"Yes"},{"id":179,"name":"Denver Segment Assigned","value":""}]}} | curl --insecure -X POST -H "Content-Type: application/json" -H "X-Redmine-API-Key: %REDMINEAPIKEY%" https://secure.xorail.net/redmine/issues.json --data @-</v>
      </c>
      <c r="AJ75" s="20"/>
      <c r="AK75" s="47"/>
      <c r="AL75" s="47"/>
      <c r="AM75" s="142" t="str">
        <f t="shared" si="21"/>
        <v>start /low /b %USERPROFILE%\Documents\GitHub\eaglep3\Utilities\DownloadLogsFromS3.py --loco 4009 --day 2017-10-05</v>
      </c>
      <c r="AN75"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ID","value":"4009"},{"id":20,"name":"RR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18:51:04"},{"id":29,"name":"Sharepoint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75" s="168" t="str">
        <f t="shared" si="23"/>
        <v>https://d0f6bd738d7f1b3e5a7ca70fe4ff75f0.us-east-1.aws.found.io/app/kibana#/discover/Steve-Slow-Train-Analysis-(2080s-and-2083s)?_g=(refreshInterval:(display:Off,pause:!f,section:0,value:0),time:(from:'2017-10-05T11:06:47-0600',mode:absolute,to:'2017-10-05T13:51:04-0600'))&amp;_a=(columns:!('Message%20ID',Summary),filters:!(),index:'emp_*',interval:auto,query:(query_string:(analyze_wildcard:!t,query:'%22rtdc.l.rtdc.4009%22')),sort:!(Time.ISO8601,asc))</v>
      </c>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row>
    <row r="76" spans="1:91" s="1" customFormat="1" x14ac:dyDescent="0.25">
      <c r="A76" s="32" t="s">
        <v>593</v>
      </c>
      <c r="B76" s="7">
        <v>4028</v>
      </c>
      <c r="C76" s="21" t="s">
        <v>194</v>
      </c>
      <c r="D76" s="21" t="s">
        <v>338</v>
      </c>
      <c r="E76" s="13">
        <v>43013.475914351853</v>
      </c>
      <c r="F76" s="13">
        <v>43013.479363425926</v>
      </c>
      <c r="G76" s="7">
        <v>118</v>
      </c>
      <c r="H76" s="21" t="s">
        <v>848</v>
      </c>
      <c r="I76" s="13">
        <v>43013.505752314813</v>
      </c>
      <c r="J76" s="7">
        <v>0</v>
      </c>
      <c r="K76" s="89" t="str">
        <f t="shared" si="25"/>
        <v>4027/4028</v>
      </c>
      <c r="L76" s="185" t="str">
        <f>VLOOKUP(A76,'Trips&amp;Operators'!$C$1:$G$99911,5,FALSE)</f>
        <v>DAVIDSON DAVID</v>
      </c>
      <c r="M76" s="6">
        <f t="shared" si="26"/>
        <v>2.6388888887595385E-2</v>
      </c>
      <c r="N76" s="7">
        <f t="shared" si="35"/>
        <v>37.999999998137355</v>
      </c>
      <c r="O76" s="7"/>
      <c r="P76" s="7"/>
      <c r="Q76" s="22"/>
      <c r="R76" s="174"/>
      <c r="S76" s="221">
        <f t="shared" si="36"/>
        <v>1</v>
      </c>
      <c r="T76" s="174" t="str">
        <f t="shared" si="28"/>
        <v>NorthBound</v>
      </c>
      <c r="U76" s="198">
        <f>IF(AG76="EC",COUNTIFS(Variables!$M$2:$M$19,IF(T76="NorthBound","&gt;=","&lt;=")&amp;Y76,Variables!$M$2:$M$19,IF(T76="NorthBound","&lt;=","&gt;=")&amp;Z76),COUNTIFS(Variables!$P$2:$P$19,IF(T76="NorthBound","&gt;=","&lt;=")&amp;Y76,Variables!$P$2:$P$19,IF(T76="NorthBound","&lt;=","&gt;=")&amp;Z76))</f>
        <v>12</v>
      </c>
      <c r="V76" s="216" t="str">
        <f t="shared" si="5"/>
        <v>https://d0f6bd738d7f1b3e5a7ca70fe4ff75f0.us-east-1.aws.found.io/app/kibana#/discover/Steve-Slow-Train-Analysis-(2080s-and-2083s)?_g=(refreshInterval:(display:Off,pause:!f,section:0,value:0),time:(from:'2017-10-05T10:25:19-0600',mode:absolute,to:'2017-10-05T13:08:17-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76" s="204" t="str">
        <f>IF(AA76&lt;VLOOKUP(AG76,Variables!$AC$3:$AD$8,2,FALSE),"Y","N")</f>
        <v>N</v>
      </c>
      <c r="X76" s="204">
        <f t="shared" si="29"/>
        <v>1</v>
      </c>
      <c r="Y76" s="204">
        <f t="shared" si="30"/>
        <v>4.53E-2</v>
      </c>
      <c r="Z76" s="204">
        <f t="shared" si="31"/>
        <v>23.328700000000001</v>
      </c>
      <c r="AA76" s="204">
        <f t="shared" si="32"/>
        <v>23.2834</v>
      </c>
      <c r="AB76" s="54" t="e">
        <f>VLOOKUP(A76,Enforcements!$C$7:$K$11,8,0)</f>
        <v>#N/A</v>
      </c>
      <c r="AC76" s="51" t="e">
        <f>VLOOKUP(A76,Enforcements!$C$7:$E$11,3,0)</f>
        <v>#N/A</v>
      </c>
      <c r="AD76" s="179">
        <f t="shared" si="33"/>
        <v>163</v>
      </c>
      <c r="AE76" s="77" t="str">
        <f t="shared" si="11"/>
        <v>aws s3 cp s3://rtdc.mdm.uploadarchive.raw/RTDC4028/ "%USERPROFILE%\AppData\Local\Temp\OnboardLogs"\RTDC4028\2017-10-05 --exclude "*" --recursive --include "*20171005*" &amp; "%USERPROFILE%\Documents\GitHub\mrs-test-scripts\Headless Mode &amp; Sideloading\WalkAndUnGZ.bat" "%USERPROFILE%\AppData\Local\Temp\OnboardLogs"\RTDC4028\2017-10-05 &amp; aws s3 cp s3://rtdc.mdm.uploadarchive.raw/RTDC4028/ "%USERPROFILE%\AppData\Local\Temp\OnboardLogs"\RTDC4028\2017-10-06 --exclude "*" --recursive --include "*20171006*" &amp; "%USERPROFILE%\Documents\GitHub\mrs-test-scripts\Headless Mode &amp; Sideloading\WalkAndUnGZ.bat" "%USERPROFILE%\AppData\Local\Temp\OnboardLogs"\RTDC4028\2017-10-06</v>
      </c>
      <c r="AF76" s="74" t="str">
        <f t="shared" si="12"/>
        <v>"C:\Program Files (x86)\AstroGrep\AstroGrep.exe" /e /r /s /spath="%USERPROFILE%\AppData\Local\Temp\OnboardLogs" /stypes="app*4028*20171005*" /stext=" 18:.+((SYSTEM_STATE.+slice.+state.+changed )|(ment ac)|(multiple cpu faults)|(system.+state.+changed )|(\[timeout)|(PRM\|1\|D)|(kpr)|(kdp)|(train st.+moving)|(\|lc)|(penalty))"</v>
      </c>
      <c r="AG76" s="182" t="str">
        <f t="shared" si="34"/>
        <v>EC</v>
      </c>
      <c r="AH76" s="78" t="str">
        <f t="shared" si="19"/>
        <v>"%USERPROFILE%\Documents\GitHub\eaglep3\Utilities\RefineRTDCRunTimes.py" --tripid 163-05 --locoid 4028 --swversion DE.1.0.9.0 --startMP 204:453 --initTime 2017-10-05T11:25:19 --startdatetime 2017-10-05T11:30:17 --delay 118 --endMP 204:233287 --enddatetime 2017-10-05T12:08:17 --enforcementcount 0 &gt;&gt;%USERPROFILE%\Documents\GitHub\eaglep3-reporting\EC\2017-10-05-refined-times.txt</v>
      </c>
      <c r="AI76" s="96" t="str">
        <f t="shared" si="20"/>
        <v>echo {"issue":{"subject":"","project_id":79,"tracker_id":40,"status_id":1,"priority_id":2,"assigned_to_id":338,"start_date":"2017-10-05","description":"","custom_fields":[{"id":1,"name":"Subdivision","value":"EC"},{"id":4,"name":"Milepost","value":"23.3287"},{"id":17,"name":"Train ID","value":"163-05"},{"id":16,"name":"Locomotive ID","value":"4028"},{"id":130,"name":"Impact","value":""},{"id":150,"name":"Time of Event (Mountain Time)","value":"12:08:17"},{"id":151,"name":"Denver Issue ID","value":""},{"id":178,"name":"Operational Impact","value":"Yes"},{"id":179,"name":"Denver Segment Assigned","value":""}]}} | curl --insecure -X POST -H "Content-Type: application/json" -H "X-Redmine-API-Key: %REDMINEAPIKEY%" https://secure.xorail.net/redmine/issues.json --data @-</v>
      </c>
      <c r="AJ76" s="20"/>
      <c r="AK76" s="47"/>
      <c r="AL76" s="47"/>
      <c r="AM76" s="142" t="str">
        <f t="shared" si="21"/>
        <v>start /low /b %USERPROFILE%\Documents\GitHub\eaglep3\Utilities\DownloadLogsFromS3.py --loco 4028 --day 2017-10-05</v>
      </c>
      <c r="AN76" s="151" t="str">
        <f t="shared" si="22"/>
        <v>echo {"issue":{"subject":"","project_id":30,"tracker_id":4,"status_id":1,"priority_id":1,"assigned_to_id":10,"start_date":"2017-10-05","description":"","custom_fields":[{"id":30,"name":"Category","value":"Issue"},{"id":3,"name":"Functional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18:08:17"},{"id":29,"name":"Sharepoint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76" s="168" t="str">
        <f t="shared" si="23"/>
        <v>https://d0f6bd738d7f1b3e5a7ca70fe4ff75f0.us-east-1.aws.found.io/app/kibana#/discover/Steve-Slow-Train-Analysis-(2080s-and-2083s)?_g=(refreshInterval:(display:Off,pause:!f,section:0,value:0),time:(from:'2017-10-05T10:25:19-0600',mode:absolute,to:'2017-10-05T13:08:17-0600'))&amp;_a=(columns:!('Message%20ID',Summary),filters:!(),index:'emp_*',interval:auto,query:(query_string:(analyze_wildcard:!t,query:'%22rtdc.l.rtdc.4028%22')),sort:!(Time.ISO8601,asc))</v>
      </c>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row>
    <row r="77" spans="1:91" s="1" customFormat="1" x14ac:dyDescent="0.25">
      <c r="A77" s="32" t="s">
        <v>706</v>
      </c>
      <c r="B77" s="7">
        <v>4027</v>
      </c>
      <c r="C77" s="21" t="s">
        <v>194</v>
      </c>
      <c r="D77" s="21" t="s">
        <v>828</v>
      </c>
      <c r="E77" s="13">
        <v>43013.516226851854</v>
      </c>
      <c r="F77" s="13">
        <v>43013.519178240742</v>
      </c>
      <c r="G77" s="7">
        <v>66</v>
      </c>
      <c r="H77" s="21" t="s">
        <v>359</v>
      </c>
      <c r="I77" s="13">
        <v>43013.545844907407</v>
      </c>
      <c r="J77" s="7">
        <v>0</v>
      </c>
      <c r="K77" s="89" t="str">
        <f t="shared" ref="K77:K108" si="37">IF(ISEVEN(B77),(B77-1)&amp;"/"&amp;B77,B77&amp;"/"&amp;(B77+1))</f>
        <v>4027/4028</v>
      </c>
      <c r="L77" s="185" t="str">
        <f>VLOOKUP(A77,'Trips&amp;Operators'!$C$1:$G$99911,5,FALSE)</f>
        <v>DAVIDSON DAVID</v>
      </c>
      <c r="M77" s="6">
        <f t="shared" ref="M77:M108" si="38">I77-F77</f>
        <v>2.6666666664823424E-2</v>
      </c>
      <c r="N77" s="7">
        <f t="shared" si="35"/>
        <v>38.399999997345731</v>
      </c>
      <c r="O77" s="7"/>
      <c r="P77" s="7"/>
      <c r="Q77" s="22"/>
      <c r="R77" s="174"/>
      <c r="S77" s="221">
        <f t="shared" si="36"/>
        <v>1</v>
      </c>
      <c r="T77" s="174" t="str">
        <f t="shared" ref="T77:T108" si="39">IF(ISEVEN(LEFT(AD77,4)),"Southbound","NorthBound")</f>
        <v>Southbound</v>
      </c>
      <c r="U77" s="198">
        <f>IF(AG77="EC",COUNTIFS(Variables!$M$2:$M$19,IF(T77="NorthBound","&gt;=","&lt;=")&amp;Y77,Variables!$M$2:$M$19,IF(T77="NorthBound","&lt;=","&gt;=")&amp;Z77),COUNTIFS(Variables!$P$2:$P$19,IF(T77="NorthBound","&gt;=","&lt;=")&amp;Y77,Variables!$P$2:$P$19,IF(T77="NorthBound","&lt;=","&gt;=")&amp;Z77))</f>
        <v>12</v>
      </c>
      <c r="V77" s="216" t="str">
        <f t="shared" ref="V77:V140" si="40">"https://d0f6bd738d7f1b3e5a7ca70fe4ff75f0.us-east-1.aws.found.io/app/kibana#/discover/Steve-Slow-Train-Analysis-(2080s-and-2083s)?_g="&amp;"(refreshInterval:(display:Off,pause:!f,section:0,value:0),time:(from:'"&amp;TEXT(E77-1/24,"yyyy-MM-DDThh:mm:ss")&amp;utc_offset&amp;"00"&amp;"',mode:absolute,to:'"&amp;TEXT(I77+1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77&amp;"%22')),sort:!(Time.ISO8601,asc))"</f>
        <v>https://d0f6bd738d7f1b3e5a7ca70fe4ff75f0.us-east-1.aws.found.io/app/kibana#/discover/Steve-Slow-Train-Analysis-(2080s-and-2083s)?_g=(refreshInterval:(display:Off,pause:!f,section:0,value:0),time:(from:'2017-10-05T11:23:22-0600',mode:absolute,to:'2017-10-05T14:06:01-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77" s="204" t="str">
        <f>IF(AA77&lt;VLOOKUP(AG77,Variables!$AC$3:$AD$8,2,FALSE),"Y","N")</f>
        <v>N</v>
      </c>
      <c r="X77" s="204">
        <f t="shared" ref="X77:X108" si="41">VALUE(LEFT(AD77,4))-VALUE(LEFT(AD76,4))</f>
        <v>1</v>
      </c>
      <c r="Y77" s="204">
        <f t="shared" ref="Y77:Y108" si="42">RIGHT(D77,LEN(D77)-4)/10000</f>
        <v>23.2972</v>
      </c>
      <c r="Z77" s="204">
        <f t="shared" ref="Z77:Z88" si="43">RIGHT(H77,LEN(H77)-4)/10000</f>
        <v>1.4500000000000001E-2</v>
      </c>
      <c r="AA77" s="204">
        <f t="shared" ref="AA77:AA108" si="44">ABS(Z77-Y77)</f>
        <v>23.282699999999998</v>
      </c>
      <c r="AB77" s="54" t="e">
        <f>VLOOKUP(A77,Enforcements!$C$7:$K$11,8,0)</f>
        <v>#N/A</v>
      </c>
      <c r="AC77" s="51" t="e">
        <f>VLOOKUP(A77,Enforcements!$C$7:$E$11,3,0)</f>
        <v>#N/A</v>
      </c>
      <c r="AD77" s="179">
        <f t="shared" ref="AD77:AD108" si="45">VALUE(LEFT(A77,LEN(A77)-3))</f>
        <v>164</v>
      </c>
      <c r="AE77" s="77" t="str">
        <f t="shared" ref="AE77:AE140" si="46">"aws s3 cp "&amp;s3_bucket&amp;"/RTDC"&amp;B77&amp;"/ "&amp;search_path&amp;"\RTDC"&amp;B77&amp;"\"&amp;TEXT(F77,"YYYY-MM-DD")&amp;" --exclude ""*"" --recursive --include ""*"&amp;TEXT(F77,"YYYYMMDD")&amp;"*"" &amp; """&amp;walkandungz&amp;""" "&amp;search_path&amp;"\RTDC"&amp;B77&amp;"\"&amp;TEXT(F77,"YYYY-MM-DD")
&amp;" &amp; "&amp;"aws s3 cp "&amp;s3_bucket&amp;"/RTDC"&amp;B77&amp;"/ "&amp;search_path&amp;"\RTDC"&amp;B77&amp;"\"&amp;TEXT(F77+1,"YYYY-MM-DD")&amp;" --exclude ""*"" --recursive --include ""*"&amp;TEXT(F77+1,"YYYYMMDD")&amp;"*"" &amp; """&amp;walkandungz&amp;""" "&amp;search_path&amp;"\RTDC"&amp;B77&amp;"\"&amp;TEXT(F77+1,"YYYY-MM-DD")</f>
        <v>aws s3 cp s3://rtdc.mdm.uploadarchive.raw/RTDC4027/ "%USERPROFILE%\AppData\Local\Temp\OnboardLogs"\RTDC4027\2017-10-05 --exclude "*" --recursive --include "*20171005*" &amp; "%USERPROFILE%\Documents\GitHub\mrs-test-scripts\Headless Mode &amp; Sideloading\WalkAndUnGZ.bat" "%USERPROFILE%\AppData\Local\Temp\OnboardLogs"\RTDC4027\2017-10-05 &amp; aws s3 cp s3://rtdc.mdm.uploadarchive.raw/RTDC4027/ "%USERPROFILE%\AppData\Local\Temp\OnboardLogs"\RTDC4027\2017-10-06 --exclude "*" --recursive --include "*20171006*" &amp; "%USERPROFILE%\Documents\GitHub\mrs-test-scripts\Headless Mode &amp; Sideloading\WalkAndUnGZ.bat" "%USERPROFILE%\AppData\Local\Temp\OnboardLogs"\RTDC4027\2017-10-06</v>
      </c>
      <c r="AF77" s="74" t="str">
        <f t="shared" ref="AF77:AF140" si="47">astrogrep_path&amp;" /e /r /s /spath="&amp;search_path&amp;" /stypes=""app*"&amp;B77&amp;"*"&amp;TEXT(I77-utc_offset/24,"YYYYMMDD")&amp;"*"" /stext="" "&amp;TEXT(I77-utc_offset/24,"HH")&amp;search_regexp&amp;""""</f>
        <v>"C:\Program Files (x86)\AstroGrep\AstroGrep.exe" /e /r /s /spath="%USERPROFILE%\AppData\Local\Temp\OnboardLogs" /stypes="app*4027*20171005*" /stext=" 19:.+((SYSTEM_STATE.+slice.+state.+changed )|(ment ac)|(multiple cpu faults)|(system.+state.+changed )|(\[timeout)|(PRM\|1\|D)|(kpr)|(kdp)|(train st.+moving)|(\|lc)|(penalty))"</v>
      </c>
      <c r="AG77" s="182" t="str">
        <f t="shared" ref="AG77:AG108" si="48">DetSubdiv(A77)</f>
        <v>EC</v>
      </c>
      <c r="AH77" s="78" t="str">
        <f t="shared" ref="AH77:AH143" si="49">refinertdcruntimes&amp;" --tripid "&amp;A77&amp;" --locoid "&amp;B77&amp;" --swversion "&amp;C77&amp;" --startMP "&amp;D77&amp;" --initTime "&amp;TEXT(E77,"yyyy-mm-ddTHH:MM:SS")&amp;" --startdatetime "&amp;TEXT(F77,"yyyy-mm-ddTHH:MM:SS")&amp;" --delay "&amp;G77&amp;" --endMP "&amp;H77&amp;" --enddatetime "&amp;TEXT(I77,"yyyy-mm-ddTHH:MM:SS")&amp;" --enforcementcount "&amp;J77&amp;IF(outputrefinedruntimes," &gt;&gt;"&amp;RefinedRTDCRunTimesOutputFile,"")</f>
        <v>"%USERPROFILE%\Documents\GitHub\eaglep3\Utilities\RefineRTDCRunTimes.py" --tripid 164-05 --locoid 4027 --swversion DE.1.0.9.0 --startMP 204:232972 --initTime 2017-10-05T12:23:22 --startdatetime 2017-10-05T12:27:37 --delay 66 --endMP 204:145 --enddatetime 2017-10-05T13:06:01 --enforcementcount 0 &gt;&gt;%USERPROFILE%\Documents\GitHub\eaglep3-reporting\EC\2017-10-05-refined-times.txt</v>
      </c>
      <c r="AI77" s="96" t="str">
        <f t="shared" ref="AI77:AI143" si="50">"echo {""issue"":{""subject"":"""&amp;R77&amp;""",""project_id"":79,""tracker_id"":40,""status_id"":"&amp;redmine_status&amp;",""priority_id"":"&amp;redmine_priority&amp;",""assigned_to_id"":"&amp;redmine_assignee&amp;",""start_date"":"""&amp;TEXT(I77,"YYYY-mm-dd")&amp;""",""description"":"""&amp;AJ77&amp;""",""custom_fields"":[{""id"":1,""name"":""Subdivision"",""value"":"""&amp;AG77&amp;"""},{""id"":4,""name"":""Milepost"",""value"":"""&amp;Z77&amp;"""},{""id"":17,""name"":""Train ID"",""value"":"""&amp;A77&amp;"""},{""id"":16,""name"":""Locomotive ID"",""value"":"""&amp;B77&amp;"""},{""id"":130,""name"":""Impact"",""value"":"""&amp;AK77&amp;"""},{""id"":150,""name"":""Time of Event (Mountain Time)"",""value"":"""&amp;TEXT(I77,"hh:mm:ss")&amp;"""},{""id"":151,""name"":""Denver Issue ID"",""value"":"""&amp;"""},{""id"":178,""name"":""Operational Impact"",""value"":"""&amp;redmine_op_impact&amp;"""},{""id"":179,""name"":""Denver Segment Assigned"",""value"":"""&amp;AL77&amp;"""}]}}"&amp;" | curl --insecure -X POST -H ""Content-Type: application/json"" -H ""X-Redmine-API-Key: "&amp;redm_api_key&amp;""" "&amp;redm_url&amp;" --data @-"</f>
        <v>echo {"issue":{"subject":"","project_id":79,"tracker_id":40,"status_id":1,"priority_id":2,"assigned_to_id":338,"start_date":"2017-10-05","description":"","custom_fields":[{"id":1,"name":"Subdivision","value":"EC"},{"id":4,"name":"Milepost","value":"0.0145"},{"id":17,"name":"Train ID","value":"164-05"},{"id":16,"name":"Locomotive ID","value":"4027"},{"id":130,"name":"Impact","value":""},{"id":150,"name":"Time of Event (Mountain Time)","value":"13:06:01"},{"id":151,"name":"Denver Issue ID","value":""},{"id":178,"name":"Operational Impact","value":"Yes"},{"id":179,"name":"Denver Segment Assigned","value":""}]}} | curl --insecure -X POST -H "Content-Type: application/json" -H "X-Redmine-API-Key: %REDMINEAPIKEY%" https://secure.xorail.net/redmine/issues.json --data @-</v>
      </c>
      <c r="AJ77" s="20"/>
      <c r="AK77" s="47"/>
      <c r="AL77" s="47"/>
      <c r="AM77" s="142" t="str">
        <f t="shared" ref="AM77:AM143" si="51">"start /low /b "&amp;dls3logs&amp;" --loco "&amp;B77&amp;" --day "&amp;TEXT(F77,"YYYY-MM-DD")</f>
        <v>start /low /b %USERPROFILE%\Documents\GitHub\eaglep3\Utilities\DownloadLogsFromS3.py --loco 4027 --day 2017-10-05</v>
      </c>
      <c r="AN77" s="151" t="str">
        <f t="shared" ref="AN77:AN143" si="52">"echo {""issue"":{""subject"":"""&amp;R77&amp;""",""project_id"":30,""tracker_id"":4,""status_id"":"&amp;redmine_status_wcr&amp;",""priority_id"":"&amp;redmine_priority_wcr&amp;",""assigned_to_id"":"&amp;redmine_assignee_wcr&amp;",""start_date"":"""&amp;TEXT(I77-utc_offset/24,"YYYY-mm-dd")&amp;""",""description"":"""&amp;AJ77&amp;""",""custom_fields"":[{""id"":30,""name"":""Category"",""value"":""Issue""},{""id"":3,""name"":""Functional Component"",""value"":""Onboard""},{""id"":31,""name"":""Version"",""value"":""N/A""},{""id"":8,""name"":""Reporting RR"",""value"":""WABTEC""},{""id"":27,""name"":""Locomotive ID"",""value"":"""&amp;B77&amp;"""},{""id"":20,""name"":""RR Requested Build"",""value"":""""},{""id"":1,""name"":""Build Request Notes"",""value"":"""&amp;"""},{""id"":9,""name"":""RR Assessed Issue Severity"",""value"":""4-Minor""},{""id"":10,""name"":""RR Severity Justification"",""value"":""test RR Severity Justification""}"&amp;",{""id"":11,""name"":""Wabtec Assessed Severity"",""value"":""""}"&amp;",{""id"":12,""name"":""Wabtec Severity Justification"",""value"":""""}"&amp;",{""id"":18,""name"":""RR Assessed Safety Criticality"",""value"":""Not Safety Related""}"&amp;",{""id"":19,""name"":""RR Criticality Justification"",""value"":""test RR Criticality Justification""}"&amp;",{""id"":22,""name"":""WRE Assessed Safety Critical"",""value"":""""}"&amp;",{""id"":23,""name"":""WRE Criticality Justification"",""value"":""""}"&amp;",{""id"":24,""name"":""Customer's Tracking Number"",""value"":""""}"&amp;",{""id"":28,""name"":""Date \u0026 Time of event UTC"",""value"":"""&amp;TEXT(I77-utc_offset/24,"YYYY-MM-DD hh:mm:ss")&amp;"""}"&amp;",{""id"":29,""name"":""Sharepoint Issue ID"",""value"":""""}"&amp;",{""id"":25,""name"":""Customer's Email Address"",""value"":""stu@wabtec.com""}"&amp;",{""id"":33,""name"":""Customer Call Back Number"",""value"":""904-316-8563""}"&amp;",{""id"":34,""name"":""Customer Name"",""value"":""Steve Tu""}"&amp;",{""id"":55,""name"":""WRE CR#"",""value"":""""}"&amp;",{""id"":57,""name"":""Reclassify Severity"",""value"":""""}"&amp;",{""id"":58,""name"":""Reclassify Safety"",""value"":""""}"&amp;",{""id"":59,""name"":""Environment "",""value"":""Production""}"&amp;"]}}"&amp;" | curl --insecure -X POST -H ""Content-Type: application/json"" -H ""X-Redmine-API-Key: "&amp;redmine_api_wcr&amp;""" "&amp;redmine_url_wcr&amp;" --data @-"</f>
        <v>echo {"issue":{"subject":"","project_id":30,"tracker_id":4,"status_id":1,"priority_id":1,"assigned_to_id":10,"start_date":"2017-10-05","description":"","custom_fields":[{"id":30,"name":"Category","value":"Issue"},{"id":3,"name":"Functional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19:06:01"},{"id":29,"name":"Sharepoint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77" s="168" t="str">
        <f t="shared" ref="AO77:AO143" si="53">"https://d0f6bd738d7f1b3e5a7ca70fe4ff75f0.us-east-1.aws.found.io/app/kibana#/discover/Steve-Slow-Train-Analysis-(2080s-and-2083s)?_g="&amp;"(refreshInterval:(display:Off,pause:!f,section:0,value:0),time:(from:'"&amp;TEXT(E77-1/24,"yyyy-MM-DDThh:mm:ss")&amp;utc_offset&amp;"00"&amp;"',mode:absolute,to:'"&amp;TEXT(I77+1/24,"yyyy-MM-DDThh:mm:ss")&amp;utc_offset&amp;"00"&amp;"'))&amp;_a=(columns:!('Message%20ID',Summary),filters:!(),index:'emp_*',interval:auto,query:"&amp;"(query_string:(analyze_wildcard:!t,query:'%22rtdc.l.rtdc."&amp;B77&amp;"%22')),sort:!(Time.ISO8601,asc))"</f>
        <v>https://d0f6bd738d7f1b3e5a7ca70fe4ff75f0.us-east-1.aws.found.io/app/kibana#/discover/Steve-Slow-Train-Analysis-(2080s-and-2083s)?_g=(refreshInterval:(display:Off,pause:!f,section:0,value:0),time:(from:'2017-10-05T11:23:22-0600',mode:absolute,to:'2017-10-05T14:06:01-0600'))&amp;_a=(columns:!('Message%20ID',Summary),filters:!(),index:'emp_*',interval:auto,query:(query_string:(analyze_wildcard:!t,query:'%22rtdc.l.rtdc.4027%22')),sort:!(Time.ISO8601,asc))</v>
      </c>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row>
    <row r="78" spans="1:91" s="1" customFormat="1" x14ac:dyDescent="0.25">
      <c r="A78" s="32" t="s">
        <v>701</v>
      </c>
      <c r="B78" s="7">
        <v>4042</v>
      </c>
      <c r="C78" s="21" t="s">
        <v>194</v>
      </c>
      <c r="D78" s="21" t="s">
        <v>388</v>
      </c>
      <c r="E78" s="13">
        <v>43013.48574074074</v>
      </c>
      <c r="F78" s="13">
        <v>43013.48978009259</v>
      </c>
      <c r="G78" s="7">
        <v>85</v>
      </c>
      <c r="H78" s="21" t="s">
        <v>417</v>
      </c>
      <c r="I78" s="13">
        <v>43013.513518518521</v>
      </c>
      <c r="J78" s="7">
        <v>0</v>
      </c>
      <c r="K78" s="89" t="str">
        <f t="shared" si="37"/>
        <v>4041/4042</v>
      </c>
      <c r="L78" s="185" t="str">
        <f>VLOOKUP(A78,'Trips&amp;Operators'!$C$1:$G$99911,5,FALSE)</f>
        <v>LEVIN SCOTT</v>
      </c>
      <c r="M78" s="6">
        <f t="shared" si="38"/>
        <v>2.3738425930787344E-2</v>
      </c>
      <c r="N78" s="7">
        <f t="shared" si="35"/>
        <v>34.183333340333775</v>
      </c>
      <c r="O78" s="7"/>
      <c r="P78" s="7"/>
      <c r="Q78" s="22"/>
      <c r="R78" s="174"/>
      <c r="S78" s="221">
        <f t="shared" si="36"/>
        <v>1</v>
      </c>
      <c r="T78" s="174" t="str">
        <f t="shared" si="39"/>
        <v>NorthBound</v>
      </c>
      <c r="U78" s="198">
        <f>IF(AG78="EC",COUNTIFS(Variables!$M$2:$M$19,IF(T78="NorthBound","&gt;=","&lt;=")&amp;Y78,Variables!$M$2:$M$19,IF(T78="NorthBound","&lt;=","&gt;=")&amp;Z78),COUNTIFS(Variables!$P$2:$P$19,IF(T78="NorthBound","&gt;=","&lt;=")&amp;Y78,Variables!$P$2:$P$19,IF(T78="NorthBound","&lt;=","&gt;=")&amp;Z78))</f>
        <v>12</v>
      </c>
      <c r="V78" s="216" t="str">
        <f t="shared" si="40"/>
        <v>https://d0f6bd738d7f1b3e5a7ca70fe4ff75f0.us-east-1.aws.found.io/app/kibana#/discover/Steve-Slow-Train-Analysis-(2080s-and-2083s)?_g=(refreshInterval:(display:Off,pause:!f,section:0,value:0),time:(from:'2017-10-05T10:39:28-0600',mode:absolute,to:'2017-10-05T13:19:28-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4042%22')),sort:!(Time.ISO8601,asc))</v>
      </c>
      <c r="W78" s="204" t="str">
        <f>IF(AA78&lt;VLOOKUP(AG78,Variables!$AC$3:$AD$8,2,FALSE),"Y","N")</f>
        <v>N</v>
      </c>
      <c r="X78" s="204">
        <f t="shared" si="41"/>
        <v>1</v>
      </c>
      <c r="Y78" s="204">
        <f t="shared" si="42"/>
        <v>4.5699999999999998E-2</v>
      </c>
      <c r="Z78" s="204">
        <f t="shared" si="43"/>
        <v>23.333400000000001</v>
      </c>
      <c r="AA78" s="204">
        <f t="shared" si="44"/>
        <v>23.287700000000001</v>
      </c>
      <c r="AB78" s="54" t="e">
        <f>VLOOKUP(A78,Enforcements!$C$7:$K$11,8,0)</f>
        <v>#N/A</v>
      </c>
      <c r="AC78" s="51" t="e">
        <f>VLOOKUP(A78,Enforcements!$C$7:$E$11,3,0)</f>
        <v>#N/A</v>
      </c>
      <c r="AD78" s="179">
        <f t="shared" si="45"/>
        <v>165</v>
      </c>
      <c r="AE78" s="77" t="str">
        <f t="shared" si="46"/>
        <v>aws s3 cp s3://rtdc.mdm.uploadarchive.raw/RTDC4042/ "%USERPROFILE%\AppData\Local\Temp\OnboardLogs"\RTDC4042\2017-10-05 --exclude "*" --recursive --include "*20171005*" &amp; "%USERPROFILE%\Documents\GitHub\mrs-test-scripts\Headless Mode &amp; Sideloading\WalkAndUnGZ.bat" "%USERPROFILE%\AppData\Local\Temp\OnboardLogs"\RTDC4042\2017-10-05 &amp; aws s3 cp s3://rtdc.mdm.uploadarchive.raw/RTDC4042/ "%USERPROFILE%\AppData\Local\Temp\OnboardLogs"\RTDC4042\2017-10-06 --exclude "*" --recursive --include "*20171006*" &amp; "%USERPROFILE%\Documents\GitHub\mrs-test-scripts\Headless Mode &amp; Sideloading\WalkAndUnGZ.bat" "%USERPROFILE%\AppData\Local\Temp\OnboardLogs"\RTDC4042\2017-10-06</v>
      </c>
      <c r="AF78" s="74" t="str">
        <f t="shared" si="47"/>
        <v>"C:\Program Files (x86)\AstroGrep\AstroGrep.exe" /e /r /s /spath="%USERPROFILE%\AppData\Local\Temp\OnboardLogs" /stypes="app*4042*20171005*" /stext=" 18:.+((SYSTEM_STATE.+slice.+state.+changed )|(ment ac)|(multiple cpu faults)|(system.+state.+changed )|(\[timeout)|(PRM\|1\|D)|(kpr)|(kdp)|(train st.+moving)|(\|lc)|(penalty))"</v>
      </c>
      <c r="AG78" s="182" t="str">
        <f t="shared" si="48"/>
        <v>EC</v>
      </c>
      <c r="AH78" s="78" t="str">
        <f t="shared" si="49"/>
        <v>"%USERPROFILE%\Documents\GitHub\eaglep3\Utilities\RefineRTDCRunTimes.py" --tripid 165-05 --locoid 4042 --swversion DE.1.0.9.0 --startMP 204:457 --initTime 2017-10-05T11:39:28 --startdatetime 2017-10-05T11:45:17 --delay 85 --endMP 204:233334 --enddatetime 2017-10-05T12:19:28 --enforcementcount 0 &gt;&gt;%USERPROFILE%\Documents\GitHub\eaglep3-reporting\EC\2017-10-05-refined-times.txt</v>
      </c>
      <c r="AI78" s="96" t="str">
        <f t="shared" si="50"/>
        <v>echo {"issue":{"subject":"","project_id":79,"tracker_id":40,"status_id":1,"priority_id":2,"assigned_to_id":338,"start_date":"2017-10-05","description":"","custom_fields":[{"id":1,"name":"Subdivision","value":"EC"},{"id":4,"name":"Milepost","value":"23.3334"},{"id":17,"name":"Train ID","value":"165-05"},{"id":16,"name":"Locomotive ID","value":"4042"},{"id":130,"name":"Impact","value":""},{"id":150,"name":"Time of Event (Mountain Time)","value":"12:19:28"},{"id":151,"name":"Denver Issue ID","value":""},{"id":178,"name":"Operational Impact","value":"Yes"},{"id":179,"name":"Denver Segment Assigned","value":""}]}} | curl --insecure -X POST -H "Content-Type: application/json" -H "X-Redmine-API-Key: %REDMINEAPIKEY%" https://secure.xorail.net/redmine/issues.json --data @-</v>
      </c>
      <c r="AJ78" s="20"/>
      <c r="AK78" s="47"/>
      <c r="AL78" s="47"/>
      <c r="AM78" s="142" t="str">
        <f t="shared" si="51"/>
        <v>start /low /b %USERPROFILE%\Documents\GitHub\eaglep3\Utilities\DownloadLogsFromS3.py --loco 4042 --day 2017-10-05</v>
      </c>
      <c r="AN78" s="151" t="str">
        <f t="shared" si="52"/>
        <v>echo {"issue":{"subject":"","project_id":30,"tracker_id":4,"status_id":1,"priority_id":1,"assigned_to_id":10,"start_date":"2017-10-05","description":"","custom_fields":[{"id":30,"name":"Category","value":"Issue"},{"id":3,"name":"Functional Component","value":"Onboard"},{"id":31,"name":"Version","value":"N/A"},{"id":8,"name":"Reporting RR","value":"WABTEC"},{"id":27,"name":"Locomotive ID","value":"4042"},{"id":20,"name":"RR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18:19:28"},{"id":29,"name":"Sharepoint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78" s="168" t="str">
        <f t="shared" si="53"/>
        <v>https://d0f6bd738d7f1b3e5a7ca70fe4ff75f0.us-east-1.aws.found.io/app/kibana#/discover/Steve-Slow-Train-Analysis-(2080s-and-2083s)?_g=(refreshInterval:(display:Off,pause:!f,section:0,value:0),time:(from:'2017-10-05T10:39:28-0600',mode:absolute,to:'2017-10-05T13:19:28-0600'))&amp;_a=(columns:!('Message%20ID',Summary),filters:!(),index:'emp_*',interval:auto,query:(query_string:(analyze_wildcard:!t,query:'%22rtdc.l.rtdc.4042%22')),sort:!(Time.ISO8601,asc))</v>
      </c>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row>
    <row r="79" spans="1:91" s="1" customFormat="1" x14ac:dyDescent="0.25">
      <c r="A79" s="32" t="s">
        <v>598</v>
      </c>
      <c r="B79" s="7">
        <v>4041</v>
      </c>
      <c r="C79" s="21" t="s">
        <v>194</v>
      </c>
      <c r="D79" s="21" t="s">
        <v>849</v>
      </c>
      <c r="E79" s="13">
        <v>43013.524629629632</v>
      </c>
      <c r="F79" s="13">
        <v>43013.529340277775</v>
      </c>
      <c r="G79" s="7">
        <v>102</v>
      </c>
      <c r="H79" s="21" t="s">
        <v>336</v>
      </c>
      <c r="I79" s="13">
        <v>43013.556840277779</v>
      </c>
      <c r="J79" s="7">
        <v>0</v>
      </c>
      <c r="K79" s="89" t="str">
        <f t="shared" si="37"/>
        <v>4041/4042</v>
      </c>
      <c r="L79" s="185" t="str">
        <f>VLOOKUP(A79,'Trips&amp;Operators'!$C$1:$G$99911,5,FALSE)</f>
        <v>LEVIN SCOTT</v>
      </c>
      <c r="M79" s="6">
        <f t="shared" si="38"/>
        <v>2.7500000003783498E-2</v>
      </c>
      <c r="N79" s="7">
        <f t="shared" si="35"/>
        <v>39.600000005448237</v>
      </c>
      <c r="O79" s="7"/>
      <c r="P79" s="7"/>
      <c r="Q79" s="22"/>
      <c r="R79" s="174"/>
      <c r="S79" s="221">
        <f t="shared" si="36"/>
        <v>1</v>
      </c>
      <c r="T79" s="174" t="str">
        <f t="shared" si="39"/>
        <v>Southbound</v>
      </c>
      <c r="U79" s="198">
        <f>IF(AG79="EC",COUNTIFS(Variables!$M$2:$M$19,IF(T79="NorthBound","&gt;=","&lt;=")&amp;Y79,Variables!$M$2:$M$19,IF(T79="NorthBound","&lt;=","&gt;=")&amp;Z79),COUNTIFS(Variables!$P$2:$P$19,IF(T79="NorthBound","&gt;=","&lt;=")&amp;Y79,Variables!$P$2:$P$19,IF(T79="NorthBound","&lt;=","&gt;=")&amp;Z79))</f>
        <v>12</v>
      </c>
      <c r="V79" s="216" t="str">
        <f t="shared" si="40"/>
        <v>https://d0f6bd738d7f1b3e5a7ca70fe4ff75f0.us-east-1.aws.found.io/app/kibana#/discover/Steve-Slow-Train-Analysis-(2080s-and-2083s)?_g=(refreshInterval:(display:Off,pause:!f,section:0,value:0),time:(from:'2017-10-05T11:35:28-0600',mode:absolute,to:'2017-10-05T14:21:51-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4041%22')),sort:!(Time.ISO8601,asc))</v>
      </c>
      <c r="W79" s="204" t="str">
        <f>IF(AA79&lt;VLOOKUP(AG79,Variables!$AC$3:$AD$8,2,FALSE),"Y","N")</f>
        <v>N</v>
      </c>
      <c r="X79" s="204">
        <f t="shared" si="41"/>
        <v>1</v>
      </c>
      <c r="Y79" s="204">
        <f t="shared" si="42"/>
        <v>23.300699999999999</v>
      </c>
      <c r="Z79" s="204">
        <f t="shared" si="43"/>
        <v>1.49E-2</v>
      </c>
      <c r="AA79" s="204">
        <f t="shared" si="44"/>
        <v>23.285799999999998</v>
      </c>
      <c r="AB79" s="54" t="e">
        <f>VLOOKUP(A79,Enforcements!$C$7:$K$11,8,0)</f>
        <v>#N/A</v>
      </c>
      <c r="AC79" s="51" t="e">
        <f>VLOOKUP(A79,Enforcements!$C$7:$E$11,3,0)</f>
        <v>#N/A</v>
      </c>
      <c r="AD79" s="179">
        <f t="shared" si="45"/>
        <v>166</v>
      </c>
      <c r="AE79" s="77" t="str">
        <f t="shared" si="46"/>
        <v>aws s3 cp s3://rtdc.mdm.uploadarchive.raw/RTDC4041/ "%USERPROFILE%\AppData\Local\Temp\OnboardLogs"\RTDC4041\2017-10-05 --exclude "*" --recursive --include "*20171005*" &amp; "%USERPROFILE%\Documents\GitHub\mrs-test-scripts\Headless Mode &amp; Sideloading\WalkAndUnGZ.bat" "%USERPROFILE%\AppData\Local\Temp\OnboardLogs"\RTDC4041\2017-10-05 &amp; aws s3 cp s3://rtdc.mdm.uploadarchive.raw/RTDC4041/ "%USERPROFILE%\AppData\Local\Temp\OnboardLogs"\RTDC4041\2017-10-06 --exclude "*" --recursive --include "*20171006*" &amp; "%USERPROFILE%\Documents\GitHub\mrs-test-scripts\Headless Mode &amp; Sideloading\WalkAndUnGZ.bat" "%USERPROFILE%\AppData\Local\Temp\OnboardLogs"\RTDC4041\2017-10-06</v>
      </c>
      <c r="AF79" s="74" t="str">
        <f t="shared" si="47"/>
        <v>"C:\Program Files (x86)\AstroGrep\AstroGrep.exe" /e /r /s /spath="%USERPROFILE%\AppData\Local\Temp\OnboardLogs" /stypes="app*4041*20171005*" /stext=" 19:.+((SYSTEM_STATE.+slice.+state.+changed )|(ment ac)|(multiple cpu faults)|(system.+state.+changed )|(\[timeout)|(PRM\|1\|D)|(kpr)|(kdp)|(train st.+moving)|(\|lc)|(penalty))"</v>
      </c>
      <c r="AG79" s="182" t="str">
        <f t="shared" si="48"/>
        <v>EC</v>
      </c>
      <c r="AH79" s="78" t="str">
        <f t="shared" si="49"/>
        <v>"%USERPROFILE%\Documents\GitHub\eaglep3\Utilities\RefineRTDCRunTimes.py" --tripid 166-05 --locoid 4041 --swversion DE.1.0.9.0 --startMP 204:233007 --initTime 2017-10-05T12:35:28 --startdatetime 2017-10-05T12:42:15 --delay 102 --endMP 204:149 --enddatetime 2017-10-05T13:21:51 --enforcementcount 0 &gt;&gt;%USERPROFILE%\Documents\GitHub\eaglep3-reporting\EC\2017-10-05-refined-times.txt</v>
      </c>
      <c r="AI79" s="96" t="str">
        <f t="shared" si="50"/>
        <v>echo {"issue":{"subject":"","project_id":79,"tracker_id":40,"status_id":1,"priority_id":2,"assigned_to_id":338,"start_date":"2017-10-05","description":"","custom_fields":[{"id":1,"name":"Subdivision","value":"EC"},{"id":4,"name":"Milepost","value":"0.0149"},{"id":17,"name":"Train ID","value":"166-05"},{"id":16,"name":"Locomotive ID","value":"4041"},{"id":130,"name":"Impact","value":""},{"id":150,"name":"Time of Event (Mountain Time)","value":"13:21:51"},{"id":151,"name":"Denver Issue ID","value":""},{"id":178,"name":"Operational Impact","value":"Yes"},{"id":179,"name":"Denver Segment Assigned","value":""}]}} | curl --insecure -X POST -H "Content-Type: application/json" -H "X-Redmine-API-Key: %REDMINEAPIKEY%" https://secure.xorail.net/redmine/issues.json --data @-</v>
      </c>
      <c r="AJ79" s="20"/>
      <c r="AK79" s="47"/>
      <c r="AL79" s="47"/>
      <c r="AM79" s="142" t="str">
        <f t="shared" si="51"/>
        <v>start /low /b %USERPROFILE%\Documents\GitHub\eaglep3\Utilities\DownloadLogsFromS3.py --loco 4041 --day 2017-10-05</v>
      </c>
      <c r="AN79" s="151" t="str">
        <f t="shared" si="52"/>
        <v>echo {"issue":{"subject":"","project_id":30,"tracker_id":4,"status_id":1,"priority_id":1,"assigned_to_id":10,"start_date":"2017-10-05","description":"","custom_fields":[{"id":30,"name":"Category","value":"Issue"},{"id":3,"name":"Functional Component","value":"Onboard"},{"id":31,"name":"Version","value":"N/A"},{"id":8,"name":"Reporting RR","value":"WABTEC"},{"id":27,"name":"Locomotive ID","value":"4041"},{"id":20,"name":"RR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19:21:51"},{"id":29,"name":"Sharepoint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79" s="168" t="str">
        <f t="shared" si="53"/>
        <v>https://d0f6bd738d7f1b3e5a7ca70fe4ff75f0.us-east-1.aws.found.io/app/kibana#/discover/Steve-Slow-Train-Analysis-(2080s-and-2083s)?_g=(refreshInterval:(display:Off,pause:!f,section:0,value:0),time:(from:'2017-10-05T11:35:28-0600',mode:absolute,to:'2017-10-05T14:21:51-0600'))&amp;_a=(columns:!('Message%20ID',Summary),filters:!(),index:'emp_*',interval:auto,query:(query_string:(analyze_wildcard:!t,query:'%22rtdc.l.rtdc.4041%22')),sort:!(Time.ISO8601,asc))</v>
      </c>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row>
    <row r="80" spans="1:91" s="1" customFormat="1" x14ac:dyDescent="0.25">
      <c r="A80" s="32" t="s">
        <v>703</v>
      </c>
      <c r="B80" s="7">
        <v>4044</v>
      </c>
      <c r="C80" s="21" t="s">
        <v>194</v>
      </c>
      <c r="D80" s="21" t="s">
        <v>380</v>
      </c>
      <c r="E80" s="13">
        <v>43013.496840277781</v>
      </c>
      <c r="F80" s="13">
        <v>43013.500405092593</v>
      </c>
      <c r="G80" s="7">
        <v>111</v>
      </c>
      <c r="H80" s="21" t="s">
        <v>535</v>
      </c>
      <c r="I80" s="13">
        <v>43013.525578703702</v>
      </c>
      <c r="J80" s="7">
        <v>0</v>
      </c>
      <c r="K80" s="89" t="str">
        <f t="shared" si="37"/>
        <v>4043/4044</v>
      </c>
      <c r="L80" s="185" t="str">
        <f>VLOOKUP(A80,'Trips&amp;Operators'!$C$1:$G$99911,5,FALSE)</f>
        <v>BERLING GARY</v>
      </c>
      <c r="M80" s="6">
        <f t="shared" si="38"/>
        <v>2.5173611109494232E-2</v>
      </c>
      <c r="N80" s="7">
        <f t="shared" si="35"/>
        <v>36.249999997671694</v>
      </c>
      <c r="O80" s="7"/>
      <c r="P80" s="7"/>
      <c r="Q80" s="22"/>
      <c r="R80" s="174"/>
      <c r="S80" s="221">
        <f t="shared" si="36"/>
        <v>1</v>
      </c>
      <c r="T80" s="174" t="str">
        <f t="shared" si="39"/>
        <v>NorthBound</v>
      </c>
      <c r="U80" s="198">
        <f>IF(AG80="EC",COUNTIFS(Variables!$M$2:$M$19,IF(T80="NorthBound","&gt;=","&lt;=")&amp;Y80,Variables!$M$2:$M$19,IF(T80="NorthBound","&lt;=","&gt;=")&amp;Z80),COUNTIFS(Variables!$P$2:$P$19,IF(T80="NorthBound","&gt;=","&lt;=")&amp;Y80,Variables!$P$2:$P$19,IF(T80="NorthBound","&lt;=","&gt;=")&amp;Z80))</f>
        <v>12</v>
      </c>
      <c r="V80" s="216" t="str">
        <f t="shared" si="40"/>
        <v>https://d0f6bd738d7f1b3e5a7ca70fe4ff75f0.us-east-1.aws.found.io/app/kibana#/discover/Steve-Slow-Train-Analysis-(2080s-and-2083s)?_g=(refreshInterval:(display:Off,pause:!f,section:0,value:0),time:(from:'2017-10-05T10:55:27-0600',mode:absolute,to:'2017-10-05T13:36:50-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4044%22')),sort:!(Time.ISO8601,asc))</v>
      </c>
      <c r="W80" s="204" t="str">
        <f>IF(AA80&lt;VLOOKUP(AG80,Variables!$AC$3:$AD$8,2,FALSE),"Y","N")</f>
        <v>N</v>
      </c>
      <c r="X80" s="204">
        <f t="shared" si="41"/>
        <v>1</v>
      </c>
      <c r="Y80" s="204">
        <f t="shared" si="42"/>
        <v>4.6600000000000003E-2</v>
      </c>
      <c r="Z80" s="204">
        <f t="shared" si="43"/>
        <v>23.327999999999999</v>
      </c>
      <c r="AA80" s="204">
        <f t="shared" si="44"/>
        <v>23.281399999999998</v>
      </c>
      <c r="AB80" s="54" t="e">
        <f>VLOOKUP(A80,Enforcements!$C$7:$K$11,8,0)</f>
        <v>#N/A</v>
      </c>
      <c r="AC80" s="51" t="e">
        <f>VLOOKUP(A80,Enforcements!$C$7:$E$11,3,0)</f>
        <v>#N/A</v>
      </c>
      <c r="AD80" s="179">
        <f t="shared" si="45"/>
        <v>167</v>
      </c>
      <c r="AE80" s="77" t="str">
        <f t="shared" si="46"/>
        <v>aws s3 cp s3://rtdc.mdm.uploadarchive.raw/RTDC4044/ "%USERPROFILE%\AppData\Local\Temp\OnboardLogs"\RTDC4044\2017-10-05 --exclude "*" --recursive --include "*20171005*" &amp; "%USERPROFILE%\Documents\GitHub\mrs-test-scripts\Headless Mode &amp; Sideloading\WalkAndUnGZ.bat" "%USERPROFILE%\AppData\Local\Temp\OnboardLogs"\RTDC4044\2017-10-05 &amp; aws s3 cp s3://rtdc.mdm.uploadarchive.raw/RTDC4044/ "%USERPROFILE%\AppData\Local\Temp\OnboardLogs"\RTDC4044\2017-10-06 --exclude "*" --recursive --include "*20171006*" &amp; "%USERPROFILE%\Documents\GitHub\mrs-test-scripts\Headless Mode &amp; Sideloading\WalkAndUnGZ.bat" "%USERPROFILE%\AppData\Local\Temp\OnboardLogs"\RTDC4044\2017-10-06</v>
      </c>
      <c r="AF80" s="74" t="str">
        <f t="shared" si="47"/>
        <v>"C:\Program Files (x86)\AstroGrep\AstroGrep.exe" /e /r /s /spath="%USERPROFILE%\AppData\Local\Temp\OnboardLogs" /stypes="app*4044*20171005*" /stext=" 18:.+((SYSTEM_STATE.+slice.+state.+changed )|(ment ac)|(multiple cpu faults)|(system.+state.+changed )|(\[timeout)|(PRM\|1\|D)|(kpr)|(kdp)|(train st.+moving)|(\|lc)|(penalty))"</v>
      </c>
      <c r="AG80" s="182" t="str">
        <f t="shared" si="48"/>
        <v>EC</v>
      </c>
      <c r="AH80" s="78" t="str">
        <f t="shared" si="49"/>
        <v>"%USERPROFILE%\Documents\GitHub\eaglep3\Utilities\RefineRTDCRunTimes.py" --tripid 167-05 --locoid 4044 --swversion DE.1.0.9.0 --startMP 204:466 --initTime 2017-10-05T11:55:27 --startdatetime 2017-10-05T12:00:35 --delay 111 --endMP 204:233280 --enddatetime 2017-10-05T12:36:50 --enforcementcount 0 &gt;&gt;%USERPROFILE%\Documents\GitHub\eaglep3-reporting\EC\2017-10-05-refined-times.txt</v>
      </c>
      <c r="AI80" s="96" t="str">
        <f t="shared" si="50"/>
        <v>echo {"issue":{"subject":"","project_id":79,"tracker_id":40,"status_id":1,"priority_id":2,"assigned_to_id":338,"start_date":"2017-10-05","description":"","custom_fields":[{"id":1,"name":"Subdivision","value":"EC"},{"id":4,"name":"Milepost","value":"23.328"},{"id":17,"name":"Train ID","value":"167-05"},{"id":16,"name":"Locomotive ID","value":"4044"},{"id":130,"name":"Impact","value":""},{"id":150,"name":"Time of Event (Mountain Time)","value":"12:36:50"},{"id":151,"name":"Denver Issue ID","value":""},{"id":178,"name":"Operational Impact","value":"Yes"},{"id":179,"name":"Denver Segment Assigned","value":""}]}} | curl --insecure -X POST -H "Content-Type: application/json" -H "X-Redmine-API-Key: %REDMINEAPIKEY%" https://secure.xorail.net/redmine/issues.json --data @-</v>
      </c>
      <c r="AJ80" s="20"/>
      <c r="AK80" s="47"/>
      <c r="AL80" s="47"/>
      <c r="AM80" s="142" t="str">
        <f t="shared" si="51"/>
        <v>start /low /b %USERPROFILE%\Documents\GitHub\eaglep3\Utilities\DownloadLogsFromS3.py --loco 4044 --day 2017-10-05</v>
      </c>
      <c r="AN80" s="151" t="str">
        <f t="shared" si="52"/>
        <v>echo {"issue":{"subject":"","project_id":30,"tracker_id":4,"status_id":1,"priority_id":1,"assigned_to_id":10,"start_date":"2017-10-05","description":"","custom_fields":[{"id":30,"name":"Category","value":"Issue"},{"id":3,"name":"Functional Component","value":"Onboard"},{"id":31,"name":"Version","value":"N/A"},{"id":8,"name":"Reporting RR","value":"WABTEC"},{"id":27,"name":"Locomotive ID","value":"4044"},{"id":20,"name":"RR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18:36:50"},{"id":29,"name":"Sharepoint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80" s="168" t="str">
        <f t="shared" si="53"/>
        <v>https://d0f6bd738d7f1b3e5a7ca70fe4ff75f0.us-east-1.aws.found.io/app/kibana#/discover/Steve-Slow-Train-Analysis-(2080s-and-2083s)?_g=(refreshInterval:(display:Off,pause:!f,section:0,value:0),time:(from:'2017-10-05T10:55:27-0600',mode:absolute,to:'2017-10-05T13:36:50-0600'))&amp;_a=(columns:!('Message%20ID',Summary),filters:!(),index:'emp_*',interval:auto,query:(query_string:(analyze_wildcard:!t,query:'%22rtdc.l.rtdc.4044%22')),sort:!(Time.ISO8601,asc))</v>
      </c>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row>
    <row r="81" spans="1:91" s="1" customFormat="1" x14ac:dyDescent="0.25">
      <c r="A81" s="32" t="s">
        <v>601</v>
      </c>
      <c r="B81" s="7">
        <v>4043</v>
      </c>
      <c r="C81" s="21" t="s">
        <v>194</v>
      </c>
      <c r="D81" s="21" t="s">
        <v>850</v>
      </c>
      <c r="E81" s="13">
        <v>43013.532997685186</v>
      </c>
      <c r="F81" s="13">
        <v>43013.539756944447</v>
      </c>
      <c r="G81" s="7">
        <v>288</v>
      </c>
      <c r="H81" s="21" t="s">
        <v>434</v>
      </c>
      <c r="I81" s="13">
        <v>43013.567430555559</v>
      </c>
      <c r="J81" s="7">
        <v>0</v>
      </c>
      <c r="K81" s="89" t="str">
        <f t="shared" si="37"/>
        <v>4043/4044</v>
      </c>
      <c r="L81" s="185" t="str">
        <f>VLOOKUP(A81,'Trips&amp;Operators'!$C$1:$G$99911,5,FALSE)</f>
        <v>BERLING GARY</v>
      </c>
      <c r="M81" s="6">
        <f t="shared" si="38"/>
        <v>2.7673611111822538E-2</v>
      </c>
      <c r="N81" s="7">
        <f t="shared" si="35"/>
        <v>39.850000001024455</v>
      </c>
      <c r="O81" s="7"/>
      <c r="P81" s="7"/>
      <c r="Q81" s="22"/>
      <c r="R81" s="174"/>
      <c r="S81" s="221">
        <f t="shared" si="36"/>
        <v>1</v>
      </c>
      <c r="T81" s="174" t="str">
        <f t="shared" si="39"/>
        <v>Southbound</v>
      </c>
      <c r="U81" s="198">
        <f>IF(AG81="EC",COUNTIFS(Variables!$M$2:$M$19,IF(T81="NorthBound","&gt;=","&lt;=")&amp;Y81,Variables!$M$2:$M$19,IF(T81="NorthBound","&lt;=","&gt;=")&amp;Z81),COUNTIFS(Variables!$P$2:$P$19,IF(T81="NorthBound","&gt;=","&lt;=")&amp;Y81,Variables!$P$2:$P$19,IF(T81="NorthBound","&lt;=","&gt;=")&amp;Z81))</f>
        <v>12</v>
      </c>
      <c r="V81" s="216" t="str">
        <f t="shared" si="40"/>
        <v>https://d0f6bd738d7f1b3e5a7ca70fe4ff75f0.us-east-1.aws.found.io/app/kibana#/discover/Steve-Slow-Train-Analysis-(2080s-and-2083s)?_g=(refreshInterval:(display:Off,pause:!f,section:0,value:0),time:(from:'2017-10-05T11:47:31-0600',mode:absolute,to:'2017-10-05T14:37:06-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4043%22')),sort:!(Time.ISO8601,asc))</v>
      </c>
      <c r="W81" s="204" t="str">
        <f>IF(AA81&lt;VLOOKUP(AG81,Variables!$AC$3:$AD$8,2,FALSE),"Y","N")</f>
        <v>N</v>
      </c>
      <c r="X81" s="204">
        <f t="shared" si="41"/>
        <v>1</v>
      </c>
      <c r="Y81" s="204">
        <f t="shared" si="42"/>
        <v>23.297599999999999</v>
      </c>
      <c r="Z81" s="204">
        <f t="shared" si="43"/>
        <v>1.6500000000000001E-2</v>
      </c>
      <c r="AA81" s="204">
        <f t="shared" si="44"/>
        <v>23.281099999999999</v>
      </c>
      <c r="AB81" s="54" t="str">
        <f>VLOOKUP(A81,Enforcements!$C$7:$K$11,8,0)</f>
        <v>Bulletin (2)</v>
      </c>
      <c r="AC81" s="51" t="str">
        <f>VLOOKUP(A81,Enforcements!$C$7:$E$11,3,0)</f>
        <v>GRADE CROSSING</v>
      </c>
      <c r="AD81" s="179">
        <f t="shared" si="45"/>
        <v>168</v>
      </c>
      <c r="AE81" s="77" t="str">
        <f t="shared" si="46"/>
        <v>aws s3 cp s3://rtdc.mdm.uploadarchive.raw/RTDC4043/ "%USERPROFILE%\AppData\Local\Temp\OnboardLogs"\RTDC4043\2017-10-05 --exclude "*" --recursive --include "*20171005*" &amp; "%USERPROFILE%\Documents\GitHub\mrs-test-scripts\Headless Mode &amp; Sideloading\WalkAndUnGZ.bat" "%USERPROFILE%\AppData\Local\Temp\OnboardLogs"\RTDC4043\2017-10-05 &amp; aws s3 cp s3://rtdc.mdm.uploadarchive.raw/RTDC4043/ "%USERPROFILE%\AppData\Local\Temp\OnboardLogs"\RTDC4043\2017-10-06 --exclude "*" --recursive --include "*20171006*" &amp; "%USERPROFILE%\Documents\GitHub\mrs-test-scripts\Headless Mode &amp; Sideloading\WalkAndUnGZ.bat" "%USERPROFILE%\AppData\Local\Temp\OnboardLogs"\RTDC4043\2017-10-06</v>
      </c>
      <c r="AF81" s="74" t="str">
        <f t="shared" si="47"/>
        <v>"C:\Program Files (x86)\AstroGrep\AstroGrep.exe" /e /r /s /spath="%USERPROFILE%\AppData\Local\Temp\OnboardLogs" /stypes="app*4043*20171005*" /stext=" 19:.+((SYSTEM_STATE.+slice.+state.+changed )|(ment ac)|(multiple cpu faults)|(system.+state.+changed )|(\[timeout)|(PRM\|1\|D)|(kpr)|(kdp)|(train st.+moving)|(\|lc)|(penalty))"</v>
      </c>
      <c r="AG81" s="182" t="str">
        <f t="shared" si="48"/>
        <v>EC</v>
      </c>
      <c r="AH81" s="78" t="str">
        <f t="shared" si="49"/>
        <v>"%USERPROFILE%\Documents\GitHub\eaglep3\Utilities\RefineRTDCRunTimes.py" --tripid 168-05 --locoid 4043 --swversion DE.1.0.9.0 --startMP 204:232976 --initTime 2017-10-05T12:47:31 --startdatetime 2017-10-05T12:57:15 --delay 288 --endMP 204:165 --enddatetime 2017-10-05T13:37:06 --enforcementcount 0 &gt;&gt;%USERPROFILE%\Documents\GitHub\eaglep3-reporting\EC\2017-10-05-refined-times.txt</v>
      </c>
      <c r="AI81" s="96" t="str">
        <f t="shared" si="50"/>
        <v>echo {"issue":{"subject":"","project_id":79,"tracker_id":40,"status_id":1,"priority_id":2,"assigned_to_id":338,"start_date":"2017-10-05","description":"","custom_fields":[{"id":1,"name":"Subdivision","value":"EC"},{"id":4,"name":"Milepost","value":"0.0165"},{"id":17,"name":"Train ID","value":"168-05"},{"id":16,"name":"Locomotive ID","value":"4043"},{"id":130,"name":"Impact","value":""},{"id":150,"name":"Time of Event (Mountain Time)","value":"13:37:06"},{"id":151,"name":"Denver Issue ID","value":""},{"id":178,"name":"Operational Impact","value":"Yes"},{"id":179,"name":"Denver Segment Assigned","value":""}]}} | curl --insecure -X POST -H "Content-Type: application/json" -H "X-Redmine-API-Key: %REDMINEAPIKEY%" https://secure.xorail.net/redmine/issues.json --data @-</v>
      </c>
      <c r="AJ81" s="20"/>
      <c r="AK81" s="47"/>
      <c r="AL81" s="47"/>
      <c r="AM81" s="142" t="str">
        <f t="shared" si="51"/>
        <v>start /low /b %USERPROFILE%\Documents\GitHub\eaglep3\Utilities\DownloadLogsFromS3.py --loco 4043 --day 2017-10-05</v>
      </c>
      <c r="AN81" s="151" t="str">
        <f t="shared" si="52"/>
        <v>echo {"issue":{"subject":"","project_id":30,"tracker_id":4,"status_id":1,"priority_id":1,"assigned_to_id":10,"start_date":"2017-10-05","description":"","custom_fields":[{"id":30,"name":"Category","value":"Issue"},{"id":3,"name":"Functional Component","value":"Onboard"},{"id":31,"name":"Version","value":"N/A"},{"id":8,"name":"Reporting RR","value":"WABTEC"},{"id":27,"name":"Locomotive ID","value":"4043"},{"id":20,"name":"RR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19:37:06"},{"id":29,"name":"Sharepoint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81" s="168" t="str">
        <f t="shared" si="53"/>
        <v>https://d0f6bd738d7f1b3e5a7ca70fe4ff75f0.us-east-1.aws.found.io/app/kibana#/discover/Steve-Slow-Train-Analysis-(2080s-and-2083s)?_g=(refreshInterval:(display:Off,pause:!f,section:0,value:0),time:(from:'2017-10-05T11:47:31-0600',mode:absolute,to:'2017-10-05T14:37:06-0600'))&amp;_a=(columns:!('Message%20ID',Summary),filters:!(),index:'emp_*',interval:auto,query:(query_string:(analyze_wildcard:!t,query:'%22rtdc.l.rtdc.4043%22')),sort:!(Time.ISO8601,asc))</v>
      </c>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row>
    <row r="82" spans="1:91" s="1" customFormat="1" x14ac:dyDescent="0.25">
      <c r="A82" s="32" t="s">
        <v>596</v>
      </c>
      <c r="B82" s="7">
        <v>4012</v>
      </c>
      <c r="C82" s="21" t="s">
        <v>194</v>
      </c>
      <c r="D82" s="21" t="s">
        <v>851</v>
      </c>
      <c r="E82" s="13">
        <v>43013.50445601852</v>
      </c>
      <c r="F82" s="13">
        <v>43013.510578703703</v>
      </c>
      <c r="G82" s="7">
        <v>71</v>
      </c>
      <c r="H82" s="21" t="s">
        <v>382</v>
      </c>
      <c r="I82" s="13">
        <v>43013.535300925927</v>
      </c>
      <c r="J82" s="7">
        <v>0</v>
      </c>
      <c r="K82" s="89" t="str">
        <f t="shared" si="37"/>
        <v>4011/4012</v>
      </c>
      <c r="L82" s="185" t="str">
        <f>VLOOKUP(A82,'Trips&amp;Operators'!$C$1:$G$99911,5,FALSE)</f>
        <v>DELGADO DIANAH</v>
      </c>
      <c r="M82" s="6">
        <f t="shared" si="38"/>
        <v>2.4722222224227153E-2</v>
      </c>
      <c r="N82" s="7">
        <f t="shared" si="35"/>
        <v>35.6000000028871</v>
      </c>
      <c r="O82" s="7"/>
      <c r="P82" s="7"/>
      <c r="Q82" s="22"/>
      <c r="R82" s="174"/>
      <c r="S82" s="221">
        <f t="shared" si="36"/>
        <v>1</v>
      </c>
      <c r="T82" s="174" t="str">
        <f t="shared" si="39"/>
        <v>NorthBound</v>
      </c>
      <c r="U82" s="198">
        <f>IF(AG82="EC",COUNTIFS(Variables!$M$2:$M$19,IF(T82="NorthBound","&gt;=","&lt;=")&amp;Y82,Variables!$M$2:$M$19,IF(T82="NorthBound","&lt;=","&gt;=")&amp;Z82),COUNTIFS(Variables!$P$2:$P$19,IF(T82="NorthBound","&gt;=","&lt;=")&amp;Y82,Variables!$P$2:$P$19,IF(T82="NorthBound","&lt;=","&gt;=")&amp;Z82))</f>
        <v>12</v>
      </c>
      <c r="V82" s="216" t="str">
        <f t="shared" si="40"/>
        <v>https://d0f6bd738d7f1b3e5a7ca70fe4ff75f0.us-east-1.aws.found.io/app/kibana#/discover/Steve-Slow-Train-Analysis-(2080s-and-2083s)?_g=(refreshInterval:(display:Off,pause:!f,section:0,value:0),time:(from:'2017-10-05T11:06:25-0600',mode:absolute,to:'2017-10-05T13:50:50-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4012%22')),sort:!(Time.ISO8601,asc))</v>
      </c>
      <c r="W82" s="204" t="str">
        <f>IF(AA82&lt;VLOOKUP(AG82,Variables!$AC$3:$AD$8,2,FALSE),"Y","N")</f>
        <v>N</v>
      </c>
      <c r="X82" s="204">
        <f t="shared" si="41"/>
        <v>1</v>
      </c>
      <c r="Y82" s="204">
        <f t="shared" si="42"/>
        <v>4.8000000000000001E-2</v>
      </c>
      <c r="Z82" s="204">
        <f t="shared" si="43"/>
        <v>23.3293</v>
      </c>
      <c r="AA82" s="204">
        <f t="shared" si="44"/>
        <v>23.281300000000002</v>
      </c>
      <c r="AB82" s="54" t="str">
        <f>VLOOKUP(A82,Enforcements!$C$7:$K$11,8,0)</f>
        <v>Bulletin (2)</v>
      </c>
      <c r="AC82" s="51" t="str">
        <f>VLOOKUP(A82,Enforcements!$C$7:$E$11,3,0)</f>
        <v>GRADE CROSSING</v>
      </c>
      <c r="AD82" s="179">
        <f t="shared" si="45"/>
        <v>169</v>
      </c>
      <c r="AE82" s="77" t="str">
        <f t="shared" si="46"/>
        <v>aws s3 cp s3://rtdc.mdm.uploadarchive.raw/RTDC4012/ "%USERPROFILE%\AppData\Local\Temp\OnboardLogs"\RTDC4012\2017-10-05 --exclude "*" --recursive --include "*20171005*" &amp; "%USERPROFILE%\Documents\GitHub\mrs-test-scripts\Headless Mode &amp; Sideloading\WalkAndUnGZ.bat" "%USERPROFILE%\AppData\Local\Temp\OnboardLogs"\RTDC4012\2017-10-05 &amp; aws s3 cp s3://rtdc.mdm.uploadarchive.raw/RTDC4012/ "%USERPROFILE%\AppData\Local\Temp\OnboardLogs"\RTDC4012\2017-10-06 --exclude "*" --recursive --include "*20171006*" &amp; "%USERPROFILE%\Documents\GitHub\mrs-test-scripts\Headless Mode &amp; Sideloading\WalkAndUnGZ.bat" "%USERPROFILE%\AppData\Local\Temp\OnboardLogs"\RTDC4012\2017-10-06</v>
      </c>
      <c r="AF82" s="74" t="str">
        <f t="shared" si="47"/>
        <v>"C:\Program Files (x86)\AstroGrep\AstroGrep.exe" /e /r /s /spath="%USERPROFILE%\AppData\Local\Temp\OnboardLogs" /stypes="app*4012*20171005*" /stext=" 18:.+((SYSTEM_STATE.+slice.+state.+changed )|(ment ac)|(multiple cpu faults)|(system.+state.+changed )|(\[timeout)|(PRM\|1\|D)|(kpr)|(kdp)|(train st.+moving)|(\|lc)|(penalty))"</v>
      </c>
      <c r="AG82" s="182" t="str">
        <f t="shared" si="48"/>
        <v>EC</v>
      </c>
      <c r="AH82" s="78" t="str">
        <f t="shared" si="49"/>
        <v>"%USERPROFILE%\Documents\GitHub\eaglep3\Utilities\RefineRTDCRunTimes.py" --tripid 169-05 --locoid 4012 --swversion DE.1.0.9.0 --startMP 204:480 --initTime 2017-10-05T12:06:25 --startdatetime 2017-10-05T12:15:14 --delay 71 --endMP 204:233293 --enddatetime 2017-10-05T12:50:50 --enforcementcount 0 &gt;&gt;%USERPROFILE%\Documents\GitHub\eaglep3-reporting\EC\2017-10-05-refined-times.txt</v>
      </c>
      <c r="AI82" s="96" t="str">
        <f t="shared" si="50"/>
        <v>echo {"issue":{"subject":"","project_id":79,"tracker_id":40,"status_id":1,"priority_id":2,"assigned_to_id":338,"start_date":"2017-10-05","description":"","custom_fields":[{"id":1,"name":"Subdivision","value":"EC"},{"id":4,"name":"Milepost","value":"23.3293"},{"id":17,"name":"Train ID","value":"169-05"},{"id":16,"name":"Locomotive ID","value":"4012"},{"id":130,"name":"Impact","value":""},{"id":150,"name":"Time of Event (Mountain Time)","value":"12:50:50"},{"id":151,"name":"Denver Issue ID","value":""},{"id":178,"name":"Operational Impact","value":"Yes"},{"id":179,"name":"Denver Segment Assigned","value":""}]}} | curl --insecure -X POST -H "Content-Type: application/json" -H "X-Redmine-API-Key: %REDMINEAPIKEY%" https://secure.xorail.net/redmine/issues.json --data @-</v>
      </c>
      <c r="AJ82" s="20"/>
      <c r="AK82" s="47"/>
      <c r="AL82" s="47"/>
      <c r="AM82" s="142" t="str">
        <f t="shared" si="51"/>
        <v>start /low /b %USERPROFILE%\Documents\GitHub\eaglep3\Utilities\DownloadLogsFromS3.py --loco 4012 --day 2017-10-05</v>
      </c>
      <c r="AN82" s="151" t="str">
        <f t="shared" si="52"/>
        <v>echo {"issue":{"subject":"","project_id":30,"tracker_id":4,"status_id":1,"priority_id":1,"assigned_to_id":10,"start_date":"2017-10-05","description":"","custom_fields":[{"id":30,"name":"Category","value":"Issue"},{"id":3,"name":"Functional Component","value":"Onboard"},{"id":31,"name":"Version","value":"N/A"},{"id":8,"name":"Reporting RR","value":"WABTEC"},{"id":27,"name":"Locomotive ID","value":"4012"},{"id":20,"name":"RR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18:50:50"},{"id":29,"name":"Sharepoint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82" s="168" t="str">
        <f t="shared" si="53"/>
        <v>https://d0f6bd738d7f1b3e5a7ca70fe4ff75f0.us-east-1.aws.found.io/app/kibana#/discover/Steve-Slow-Train-Analysis-(2080s-and-2083s)?_g=(refreshInterval:(display:Off,pause:!f,section:0,value:0),time:(from:'2017-10-05T11:06:25-0600',mode:absolute,to:'2017-10-05T13:50:50-0600'))&amp;_a=(columns:!('Message%20ID',Summary),filters:!(),index:'emp_*',interval:auto,query:(query_string:(analyze_wildcard:!t,query:'%22rtdc.l.rtdc.4012%22')),sort:!(Time.ISO8601,asc))</v>
      </c>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row>
    <row r="83" spans="1:91" s="1" customFormat="1" x14ac:dyDescent="0.25">
      <c r="A83" s="32" t="s">
        <v>710</v>
      </c>
      <c r="B83" s="7">
        <v>4011</v>
      </c>
      <c r="C83" s="21" t="s">
        <v>194</v>
      </c>
      <c r="D83" s="21" t="s">
        <v>536</v>
      </c>
      <c r="E83" s="13">
        <v>43013.537037037036</v>
      </c>
      <c r="F83" s="13">
        <v>43013.550173611111</v>
      </c>
      <c r="G83" s="7">
        <v>66</v>
      </c>
      <c r="H83" s="21" t="s">
        <v>359</v>
      </c>
      <c r="I83" s="13">
        <v>43013.575995370367</v>
      </c>
      <c r="J83" s="7">
        <v>0</v>
      </c>
      <c r="K83" s="89" t="str">
        <f t="shared" si="37"/>
        <v>4011/4012</v>
      </c>
      <c r="L83" s="185" t="str">
        <f>VLOOKUP(A83,'Trips&amp;Operators'!$C$1:$G$99911,5,FALSE)</f>
        <v>DELGADO DIANAH</v>
      </c>
      <c r="M83" s="6">
        <f t="shared" si="38"/>
        <v>2.5821759256359655E-2</v>
      </c>
      <c r="N83" s="7">
        <f t="shared" si="35"/>
        <v>37.183333329157904</v>
      </c>
      <c r="O83" s="7"/>
      <c r="P83" s="7"/>
      <c r="Q83" s="22"/>
      <c r="R83" s="174"/>
      <c r="S83" s="221">
        <f t="shared" si="36"/>
        <v>1</v>
      </c>
      <c r="T83" s="174" t="str">
        <f t="shared" si="39"/>
        <v>Southbound</v>
      </c>
      <c r="U83" s="198">
        <f>IF(AG83="EC",COUNTIFS(Variables!$M$2:$M$19,IF(T83="NorthBound","&gt;=","&lt;=")&amp;Y83,Variables!$M$2:$M$19,IF(T83="NorthBound","&lt;=","&gt;=")&amp;Z83),COUNTIFS(Variables!$P$2:$P$19,IF(T83="NorthBound","&gt;=","&lt;=")&amp;Y83,Variables!$P$2:$P$19,IF(T83="NorthBound","&lt;=","&gt;=")&amp;Z83))</f>
        <v>12</v>
      </c>
      <c r="V83" s="216" t="str">
        <f t="shared" si="40"/>
        <v>https://d0f6bd738d7f1b3e5a7ca70fe4ff75f0.us-east-1.aws.found.io/app/kibana#/discover/Steve-Slow-Train-Analysis-(2080s-and-2083s)?_g=(refreshInterval:(display:Off,pause:!f,section:0,value:0),time:(from:'2017-10-05T11:53:20-0600',mode:absolute,to:'2017-10-05T14:49:26-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4011%22')),sort:!(Time.ISO8601,asc))</v>
      </c>
      <c r="W83" s="204" t="str">
        <f>IF(AA83&lt;VLOOKUP(AG83,Variables!$AC$3:$AD$8,2,FALSE),"Y","N")</f>
        <v>N</v>
      </c>
      <c r="X83" s="204">
        <f t="shared" si="41"/>
        <v>1</v>
      </c>
      <c r="Y83" s="204">
        <f t="shared" si="42"/>
        <v>23.297499999999999</v>
      </c>
      <c r="Z83" s="204">
        <f t="shared" si="43"/>
        <v>1.4500000000000001E-2</v>
      </c>
      <c r="AA83" s="204">
        <f t="shared" si="44"/>
        <v>23.282999999999998</v>
      </c>
      <c r="AB83" s="54" t="e">
        <f>VLOOKUP(A83,Enforcements!$C$7:$K$11,8,0)</f>
        <v>#N/A</v>
      </c>
      <c r="AC83" s="51" t="e">
        <f>VLOOKUP(A83,Enforcements!$C$7:$E$11,3,0)</f>
        <v>#N/A</v>
      </c>
      <c r="AD83" s="179">
        <f t="shared" si="45"/>
        <v>170</v>
      </c>
      <c r="AE83" s="77" t="str">
        <f t="shared" si="46"/>
        <v>aws s3 cp s3://rtdc.mdm.uploadarchive.raw/RTDC4011/ "%USERPROFILE%\AppData\Local\Temp\OnboardLogs"\RTDC4011\2017-10-05 --exclude "*" --recursive --include "*20171005*" &amp; "%USERPROFILE%\Documents\GitHub\mrs-test-scripts\Headless Mode &amp; Sideloading\WalkAndUnGZ.bat" "%USERPROFILE%\AppData\Local\Temp\OnboardLogs"\RTDC4011\2017-10-05 &amp; aws s3 cp s3://rtdc.mdm.uploadarchive.raw/RTDC4011/ "%USERPROFILE%\AppData\Local\Temp\OnboardLogs"\RTDC4011\2017-10-06 --exclude "*" --recursive --include "*20171006*" &amp; "%USERPROFILE%\Documents\GitHub\mrs-test-scripts\Headless Mode &amp; Sideloading\WalkAndUnGZ.bat" "%USERPROFILE%\AppData\Local\Temp\OnboardLogs"\RTDC4011\2017-10-06</v>
      </c>
      <c r="AF83" s="74" t="str">
        <f t="shared" si="47"/>
        <v>"C:\Program Files (x86)\AstroGrep\AstroGrep.exe" /e /r /s /spath="%USERPROFILE%\AppData\Local\Temp\OnboardLogs" /stypes="app*4011*20171005*" /stext=" 19:.+((SYSTEM_STATE.+slice.+state.+changed )|(ment ac)|(multiple cpu faults)|(system.+state.+changed )|(\[timeout)|(PRM\|1\|D)|(kpr)|(kdp)|(train st.+moving)|(\|lc)|(penalty))"</v>
      </c>
      <c r="AG83" s="182" t="str">
        <f t="shared" si="48"/>
        <v>EC</v>
      </c>
      <c r="AH83" s="78" t="str">
        <f t="shared" si="49"/>
        <v>"%USERPROFILE%\Documents\GitHub\eaglep3\Utilities\RefineRTDCRunTimes.py" --tripid 170-05 --locoid 4011 --swversion DE.1.0.9.0 --startMP 204:232975 --initTime 2017-10-05T12:53:20 --startdatetime 2017-10-05T13:12:15 --delay 66 --endMP 204:145 --enddatetime 2017-10-05T13:49:26 --enforcementcount 0 &gt;&gt;%USERPROFILE%\Documents\GitHub\eaglep3-reporting\EC\2017-10-05-refined-times.txt</v>
      </c>
      <c r="AI83" s="96" t="str">
        <f t="shared" si="50"/>
        <v>echo {"issue":{"subject":"","project_id":79,"tracker_id":40,"status_id":1,"priority_id":2,"assigned_to_id":338,"start_date":"2017-10-05","description":"","custom_fields":[{"id":1,"name":"Subdivision","value":"EC"},{"id":4,"name":"Milepost","value":"0.0145"},{"id":17,"name":"Train ID","value":"170-05"},{"id":16,"name":"Locomotive ID","value":"4011"},{"id":130,"name":"Impact","value":""},{"id":150,"name":"Time of Event (Mountain Time)","value":"13:49:26"},{"id":151,"name":"Denver Issue ID","value":""},{"id":178,"name":"Operational Impact","value":"Yes"},{"id":179,"name":"Denver Segment Assigned","value":""}]}} | curl --insecure -X POST -H "Content-Type: application/json" -H "X-Redmine-API-Key: %REDMINEAPIKEY%" https://secure.xorail.net/redmine/issues.json --data @-</v>
      </c>
      <c r="AJ83" s="20"/>
      <c r="AK83" s="47"/>
      <c r="AL83" s="47"/>
      <c r="AM83" s="142" t="str">
        <f t="shared" si="51"/>
        <v>start /low /b %USERPROFILE%\Documents\GitHub\eaglep3\Utilities\DownloadLogsFromS3.py --loco 4011 --day 2017-10-05</v>
      </c>
      <c r="AN83" s="151" t="str">
        <f t="shared" si="52"/>
        <v>echo {"issue":{"subject":"","project_id":30,"tracker_id":4,"status_id":1,"priority_id":1,"assigned_to_id":10,"start_date":"2017-10-05","description":"","custom_fields":[{"id":30,"name":"Category","value":"Issue"},{"id":3,"name":"Functional Component","value":"Onboard"},{"id":31,"name":"Version","value":"N/A"},{"id":8,"name":"Reporting RR","value":"WABTEC"},{"id":27,"name":"Locomotive ID","value":"4011"},{"id":20,"name":"RR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19:49:26"},{"id":29,"name":"Sharepoint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83" s="168" t="str">
        <f t="shared" si="53"/>
        <v>https://d0f6bd738d7f1b3e5a7ca70fe4ff75f0.us-east-1.aws.found.io/app/kibana#/discover/Steve-Slow-Train-Analysis-(2080s-and-2083s)?_g=(refreshInterval:(display:Off,pause:!f,section:0,value:0),time:(from:'2017-10-05T11:53:20-0600',mode:absolute,to:'2017-10-05T14:49:26-0600'))&amp;_a=(columns:!('Message%20ID',Summary),filters:!(),index:'emp_*',interval:auto,query:(query_string:(analyze_wildcard:!t,query:'%22rtdc.l.rtdc.4011%22')),sort:!(Time.ISO8601,asc))</v>
      </c>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row>
    <row r="84" spans="1:91" s="1" customFormat="1" x14ac:dyDescent="0.25">
      <c r="A84" s="32" t="s">
        <v>707</v>
      </c>
      <c r="B84" s="7">
        <v>4008</v>
      </c>
      <c r="C84" s="21" t="s">
        <v>194</v>
      </c>
      <c r="D84" s="21" t="s">
        <v>405</v>
      </c>
      <c r="E84" s="13">
        <v>43013.517766203702</v>
      </c>
      <c r="F84" s="13">
        <v>43013.520995370367</v>
      </c>
      <c r="G84" s="7">
        <v>49</v>
      </c>
      <c r="H84" s="21" t="s">
        <v>438</v>
      </c>
      <c r="I84" s="13">
        <v>43013.546597222223</v>
      </c>
      <c r="J84" s="7">
        <v>0</v>
      </c>
      <c r="K84" s="89" t="str">
        <f t="shared" si="37"/>
        <v>4007/4008</v>
      </c>
      <c r="L84" s="185" t="str">
        <f>VLOOKUP(A84,'Trips&amp;Operators'!$C$1:$G$99911,5,FALSE)</f>
        <v>BADERTSCHER DIANE</v>
      </c>
      <c r="M84" s="6">
        <f t="shared" si="38"/>
        <v>2.5601851855753921E-2</v>
      </c>
      <c r="N84" s="7">
        <f t="shared" si="35"/>
        <v>36.866666672285646</v>
      </c>
      <c r="O84" s="7"/>
      <c r="P84" s="7"/>
      <c r="Q84" s="22"/>
      <c r="R84" s="174"/>
      <c r="S84" s="221">
        <f t="shared" si="36"/>
        <v>1</v>
      </c>
      <c r="T84" s="174" t="str">
        <f t="shared" si="39"/>
        <v>NorthBound</v>
      </c>
      <c r="U84" s="198">
        <f>IF(AG84="EC",COUNTIFS(Variables!$M$2:$M$19,IF(T84="NorthBound","&gt;=","&lt;=")&amp;Y84,Variables!$M$2:$M$19,IF(T84="NorthBound","&lt;=","&gt;=")&amp;Z84),COUNTIFS(Variables!$P$2:$P$19,IF(T84="NorthBound","&gt;=","&lt;=")&amp;Y84,Variables!$P$2:$P$19,IF(T84="NorthBound","&lt;=","&gt;=")&amp;Z84))</f>
        <v>12</v>
      </c>
      <c r="V84" s="216" t="str">
        <f t="shared" si="40"/>
        <v>https://d0f6bd738d7f1b3e5a7ca70fe4ff75f0.us-east-1.aws.found.io/app/kibana#/discover/Steve-Slow-Train-Analysis-(2080s-and-2083s)?_g=(refreshInterval:(display:Off,pause:!f,section:0,value:0),time:(from:'2017-10-05T11:25:35-0600',mode:absolute,to:'2017-10-05T14:07:06-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4008%22')),sort:!(Time.ISO8601,asc))</v>
      </c>
      <c r="W84" s="204" t="str">
        <f>IF(AA84&lt;VLOOKUP(AG84,Variables!$AC$3:$AD$8,2,FALSE),"Y","N")</f>
        <v>N</v>
      </c>
      <c r="X84" s="204">
        <f t="shared" si="41"/>
        <v>1</v>
      </c>
      <c r="Y84" s="204">
        <f t="shared" si="42"/>
        <v>4.4400000000000002E-2</v>
      </c>
      <c r="Z84" s="204">
        <f t="shared" si="43"/>
        <v>23.3308</v>
      </c>
      <c r="AA84" s="204">
        <f t="shared" si="44"/>
        <v>23.2864</v>
      </c>
      <c r="AB84" s="54" t="e">
        <f>VLOOKUP(A84,Enforcements!$C$7:$K$11,8,0)</f>
        <v>#N/A</v>
      </c>
      <c r="AC84" s="51" t="e">
        <f>VLOOKUP(A84,Enforcements!$C$7:$E$11,3,0)</f>
        <v>#N/A</v>
      </c>
      <c r="AD84" s="179">
        <f t="shared" si="45"/>
        <v>171</v>
      </c>
      <c r="AE84" s="77" t="str">
        <f t="shared" si="46"/>
        <v>aws s3 cp s3://rtdc.mdm.uploadarchive.raw/RTDC4008/ "%USERPROFILE%\AppData\Local\Temp\OnboardLogs"\RTDC4008\2017-10-05 --exclude "*" --recursive --include "*20171005*" &amp; "%USERPROFILE%\Documents\GitHub\mrs-test-scripts\Headless Mode &amp; Sideloading\WalkAndUnGZ.bat" "%USERPROFILE%\AppData\Local\Temp\OnboardLogs"\RTDC4008\2017-10-05 &amp; aws s3 cp s3://rtdc.mdm.uploadarchive.raw/RTDC4008/ "%USERPROFILE%\AppData\Local\Temp\OnboardLogs"\RTDC4008\2017-10-06 --exclude "*" --recursive --include "*20171006*" &amp; "%USERPROFILE%\Documents\GitHub\mrs-test-scripts\Headless Mode &amp; Sideloading\WalkAndUnGZ.bat" "%USERPROFILE%\AppData\Local\Temp\OnboardLogs"\RTDC4008\2017-10-06</v>
      </c>
      <c r="AF84" s="74" t="str">
        <f t="shared" si="47"/>
        <v>"C:\Program Files (x86)\AstroGrep\AstroGrep.exe" /e /r /s /spath="%USERPROFILE%\AppData\Local\Temp\OnboardLogs" /stypes="app*4008*20171005*" /stext=" 19:.+((SYSTEM_STATE.+slice.+state.+changed )|(ment ac)|(multiple cpu faults)|(system.+state.+changed )|(\[timeout)|(PRM\|1\|D)|(kpr)|(kdp)|(train st.+moving)|(\|lc)|(penalty))"</v>
      </c>
      <c r="AG84" s="182" t="str">
        <f t="shared" si="48"/>
        <v>EC</v>
      </c>
      <c r="AH84" s="78" t="str">
        <f t="shared" si="49"/>
        <v>"%USERPROFILE%\Documents\GitHub\eaglep3\Utilities\RefineRTDCRunTimes.py" --tripid 171-05 --locoid 4008 --swversion DE.1.0.9.0 --startMP 204:444 --initTime 2017-10-05T12:25:35 --startdatetime 2017-10-05T12:30:14 --delay 49 --endMP 204:233308 --enddatetime 2017-10-05T13:07:06 --enforcementcount 0 &gt;&gt;%USERPROFILE%\Documents\GitHub\eaglep3-reporting\EC\2017-10-05-refined-times.txt</v>
      </c>
      <c r="AI84" s="96" t="str">
        <f t="shared" si="50"/>
        <v>echo {"issue":{"subject":"","project_id":79,"tracker_id":40,"status_id":1,"priority_id":2,"assigned_to_id":338,"start_date":"2017-10-05","description":"","custom_fields":[{"id":1,"name":"Subdivision","value":"EC"},{"id":4,"name":"Milepost","value":"23.3308"},{"id":17,"name":"Train ID","value":"171-05"},{"id":16,"name":"Locomotive ID","value":"4008"},{"id":130,"name":"Impact","value":""},{"id":150,"name":"Time of Event (Mountain Time)","value":"13:07:06"},{"id":151,"name":"Denver Issue ID","value":""},{"id":178,"name":"Operational Impact","value":"Yes"},{"id":179,"name":"Denver Segment Assigned","value":""}]}} | curl --insecure -X POST -H "Content-Type: application/json" -H "X-Redmine-API-Key: %REDMINEAPIKEY%" https://secure.xorail.net/redmine/issues.json --data @-</v>
      </c>
      <c r="AJ84" s="20"/>
      <c r="AK84" s="47"/>
      <c r="AL84" s="47"/>
      <c r="AM84" s="142" t="str">
        <f t="shared" si="51"/>
        <v>start /low /b %USERPROFILE%\Documents\GitHub\eaglep3\Utilities\DownloadLogsFromS3.py --loco 4008 --day 2017-10-05</v>
      </c>
      <c r="AN84" s="151" t="str">
        <f t="shared" si="52"/>
        <v>echo {"issue":{"subject":"","project_id":30,"tracker_id":4,"status_id":1,"priority_id":1,"assigned_to_id":10,"start_date":"2017-10-05","description":"","custom_fields":[{"id":30,"name":"Category","value":"Issue"},{"id":3,"name":"Functional Component","value":"Onboard"},{"id":31,"name":"Version","value":"N/A"},{"id":8,"name":"Reporting RR","value":"WABTEC"},{"id":27,"name":"Locomotive ID","value":"4008"},{"id":20,"name":"RR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19:07:06"},{"id":29,"name":"Sharepoint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84" s="168" t="str">
        <f t="shared" si="53"/>
        <v>https://d0f6bd738d7f1b3e5a7ca70fe4ff75f0.us-east-1.aws.found.io/app/kibana#/discover/Steve-Slow-Train-Analysis-(2080s-and-2083s)?_g=(refreshInterval:(display:Off,pause:!f,section:0,value:0),time:(from:'2017-10-05T11:25:35-0600',mode:absolute,to:'2017-10-05T14:07:06-0600'))&amp;_a=(columns:!('Message%20ID',Summary),filters:!(),index:'emp_*',interval:auto,query:(query_string:(analyze_wildcard:!t,query:'%22rtdc.l.rtdc.4008%22')),sort:!(Time.ISO8601,asc))</v>
      </c>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row>
    <row r="85" spans="1:91" s="1" customFormat="1" x14ac:dyDescent="0.25">
      <c r="A85" s="32" t="s">
        <v>603</v>
      </c>
      <c r="B85" s="7">
        <v>4007</v>
      </c>
      <c r="C85" s="21" t="s">
        <v>194</v>
      </c>
      <c r="D85" s="21" t="s">
        <v>414</v>
      </c>
      <c r="E85" s="13">
        <v>43013.554363425923</v>
      </c>
      <c r="F85" s="13">
        <v>43013.560590277775</v>
      </c>
      <c r="G85" s="7">
        <v>52</v>
      </c>
      <c r="H85" s="21" t="s">
        <v>372</v>
      </c>
      <c r="I85" s="13">
        <v>43013.589074074072</v>
      </c>
      <c r="J85" s="7">
        <v>0</v>
      </c>
      <c r="K85" s="89" t="str">
        <f t="shared" si="37"/>
        <v>4007/4008</v>
      </c>
      <c r="L85" s="185" t="str">
        <f>VLOOKUP(A85,'Trips&amp;Operators'!$C$1:$G$99911,5,FALSE)</f>
        <v>BADERTSCHER DIANE</v>
      </c>
      <c r="M85" s="6">
        <f t="shared" si="38"/>
        <v>2.8483796297223307E-2</v>
      </c>
      <c r="N85" s="7">
        <f t="shared" si="35"/>
        <v>41.016666668001562</v>
      </c>
      <c r="O85" s="7"/>
      <c r="P85" s="7"/>
      <c r="Q85" s="22"/>
      <c r="R85" s="174"/>
      <c r="S85" s="221">
        <f t="shared" si="36"/>
        <v>1</v>
      </c>
      <c r="T85" s="174" t="str">
        <f t="shared" si="39"/>
        <v>Southbound</v>
      </c>
      <c r="U85" s="198">
        <f>IF(AG85="EC",COUNTIFS(Variables!$M$2:$M$19,IF(T85="NorthBound","&gt;=","&lt;=")&amp;Y85,Variables!$M$2:$M$19,IF(T85="NorthBound","&lt;=","&gt;=")&amp;Z85),COUNTIFS(Variables!$P$2:$P$19,IF(T85="NorthBound","&gt;=","&lt;=")&amp;Y85,Variables!$P$2:$P$19,IF(T85="NorthBound","&lt;=","&gt;=")&amp;Z85))</f>
        <v>12</v>
      </c>
      <c r="V85" s="216" t="str">
        <f t="shared" si="40"/>
        <v>https://d0f6bd738d7f1b3e5a7ca70fe4ff75f0.us-east-1.aws.found.io/app/kibana#/discover/Steve-Slow-Train-Analysis-(2080s-and-2083s)?_g=(refreshInterval:(display:Off,pause:!f,section:0,value:0),time:(from:'2017-10-05T12:18:17-0600',mode:absolute,to:'2017-10-05T15:08:16-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4007%22')),sort:!(Time.ISO8601,asc))</v>
      </c>
      <c r="W85" s="204" t="str">
        <f>IF(AA85&lt;VLOOKUP(AG85,Variables!$AC$3:$AD$8,2,FALSE),"Y","N")</f>
        <v>N</v>
      </c>
      <c r="X85" s="204">
        <f t="shared" si="41"/>
        <v>1</v>
      </c>
      <c r="Y85" s="204">
        <f t="shared" si="42"/>
        <v>23.299399999999999</v>
      </c>
      <c r="Z85" s="204">
        <f t="shared" si="43"/>
        <v>1.3899999999999999E-2</v>
      </c>
      <c r="AA85" s="204">
        <f t="shared" si="44"/>
        <v>23.285499999999999</v>
      </c>
      <c r="AB85" s="54" t="e">
        <f>VLOOKUP(A85,Enforcements!$C$7:$K$11,8,0)</f>
        <v>#N/A</v>
      </c>
      <c r="AC85" s="51" t="e">
        <f>VLOOKUP(A85,Enforcements!$C$7:$E$11,3,0)</f>
        <v>#N/A</v>
      </c>
      <c r="AD85" s="179">
        <f t="shared" si="45"/>
        <v>172</v>
      </c>
      <c r="AE85" s="77" t="str">
        <f t="shared" si="46"/>
        <v>aws s3 cp s3://rtdc.mdm.uploadarchive.raw/RTDC4007/ "%USERPROFILE%\AppData\Local\Temp\OnboardLogs"\RTDC4007\2017-10-05 --exclude "*" --recursive --include "*20171005*" &amp; "%USERPROFILE%\Documents\GitHub\mrs-test-scripts\Headless Mode &amp; Sideloading\WalkAndUnGZ.bat" "%USERPROFILE%\AppData\Local\Temp\OnboardLogs"\RTDC4007\2017-10-05 &amp; aws s3 cp s3://rtdc.mdm.uploadarchive.raw/RTDC4007/ "%USERPROFILE%\AppData\Local\Temp\OnboardLogs"\RTDC4007\2017-10-06 --exclude "*" --recursive --include "*20171006*" &amp; "%USERPROFILE%\Documents\GitHub\mrs-test-scripts\Headless Mode &amp; Sideloading\WalkAndUnGZ.bat" "%USERPROFILE%\AppData\Local\Temp\OnboardLogs"\RTDC4007\2017-10-06</v>
      </c>
      <c r="AF85" s="74" t="str">
        <f t="shared" si="47"/>
        <v>"C:\Program Files (x86)\AstroGrep\AstroGrep.exe" /e /r /s /spath="%USERPROFILE%\AppData\Local\Temp\OnboardLogs" /stypes="app*4007*20171005*" /stext=" 20:.+((SYSTEM_STATE.+slice.+state.+changed )|(ment ac)|(multiple cpu faults)|(system.+state.+changed )|(\[timeout)|(PRM\|1\|D)|(kpr)|(kdp)|(train st.+moving)|(\|lc)|(penalty))"</v>
      </c>
      <c r="AG85" s="182" t="str">
        <f t="shared" si="48"/>
        <v>EC</v>
      </c>
      <c r="AH85" s="78" t="str">
        <f t="shared" si="49"/>
        <v>"%USERPROFILE%\Documents\GitHub\eaglep3\Utilities\RefineRTDCRunTimes.py" --tripid 172-05 --locoid 4007 --swversion DE.1.0.9.0 --startMP 204:232994 --initTime 2017-10-05T13:18:17 --startdatetime 2017-10-05T13:27:15 --delay 52 --endMP 204:139 --enddatetime 2017-10-05T14:08:16 --enforcementcount 0 &gt;&gt;%USERPROFILE%\Documents\GitHub\eaglep3-reporting\EC\2017-10-05-refined-times.txt</v>
      </c>
      <c r="AI85" s="96" t="str">
        <f t="shared" si="50"/>
        <v>echo {"issue":{"subject":"","project_id":79,"tracker_id":40,"status_id":1,"priority_id":2,"assigned_to_id":338,"start_date":"2017-10-05","description":"","custom_fields":[{"id":1,"name":"Subdivision","value":"EC"},{"id":4,"name":"Milepost","value":"0.0139"},{"id":17,"name":"Train ID","value":"172-05"},{"id":16,"name":"Locomotive ID","value":"4007"},{"id":130,"name":"Impact","value":""},{"id":150,"name":"Time of Event (Mountain Time)","value":"14:08:16"},{"id":151,"name":"Denver Issue ID","value":""},{"id":178,"name":"Operational Impact","value":"Yes"},{"id":179,"name":"Denver Segment Assigned","value":""}]}} | curl --insecure -X POST -H "Content-Type: application/json" -H "X-Redmine-API-Key: %REDMINEAPIKEY%" https://secure.xorail.net/redmine/issues.json --data @-</v>
      </c>
      <c r="AJ85" s="20"/>
      <c r="AK85" s="47"/>
      <c r="AL85" s="47"/>
      <c r="AM85" s="142" t="str">
        <f t="shared" si="51"/>
        <v>start /low /b %USERPROFILE%\Documents\GitHub\eaglep3\Utilities\DownloadLogsFromS3.py --loco 4007 --day 2017-10-05</v>
      </c>
      <c r="AN85" s="151" t="str">
        <f t="shared" si="52"/>
        <v>echo {"issue":{"subject":"","project_id":30,"tracker_id":4,"status_id":1,"priority_id":1,"assigned_to_id":10,"start_date":"2017-10-05","description":"","custom_fields":[{"id":30,"name":"Category","value":"Issue"},{"id":3,"name":"Functional Component","value":"Onboard"},{"id":31,"name":"Version","value":"N/A"},{"id":8,"name":"Reporting RR","value":"WABTEC"},{"id":27,"name":"Locomotive ID","value":"4007"},{"id":20,"name":"RR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20:08:16"},{"id":29,"name":"Sharepoint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85" s="168" t="str">
        <f t="shared" si="53"/>
        <v>https://d0f6bd738d7f1b3e5a7ca70fe4ff75f0.us-east-1.aws.found.io/app/kibana#/discover/Steve-Slow-Train-Analysis-(2080s-and-2083s)?_g=(refreshInterval:(display:Off,pause:!f,section:0,value:0),time:(from:'2017-10-05T12:18:17-0600',mode:absolute,to:'2017-10-05T15:08:16-0600'))&amp;_a=(columns:!('Message%20ID',Summary),filters:!(),index:'emp_*',interval:auto,query:(query_string:(analyze_wildcard:!t,query:'%22rtdc.l.rtdc.4007%22')),sort:!(Time.ISO8601,asc))</v>
      </c>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row>
    <row r="86" spans="1:91" s="1" customFormat="1" x14ac:dyDescent="0.25">
      <c r="A86" s="32" t="s">
        <v>709</v>
      </c>
      <c r="B86" s="7">
        <v>4016</v>
      </c>
      <c r="C86" s="21" t="s">
        <v>194</v>
      </c>
      <c r="D86" s="21" t="s">
        <v>334</v>
      </c>
      <c r="E86" s="13">
        <v>43013.526041666664</v>
      </c>
      <c r="F86" s="13">
        <v>43013.531423611108</v>
      </c>
      <c r="G86" s="7">
        <v>153</v>
      </c>
      <c r="H86" s="21" t="s">
        <v>538</v>
      </c>
      <c r="I86" s="13">
        <v>43013.556284722225</v>
      </c>
      <c r="J86" s="7">
        <v>0</v>
      </c>
      <c r="K86" s="89" t="str">
        <f t="shared" si="37"/>
        <v>4015/4016</v>
      </c>
      <c r="L86" s="185" t="str">
        <f>VLOOKUP(A86,'Trips&amp;Operators'!$C$1:$G$99911,5,FALSE)</f>
        <v>ROBINSON KADDIBA</v>
      </c>
      <c r="M86" s="6">
        <f t="shared" si="38"/>
        <v>2.4861111116479151E-2</v>
      </c>
      <c r="N86" s="7">
        <f t="shared" si="35"/>
        <v>35.800000007729977</v>
      </c>
      <c r="O86" s="7"/>
      <c r="P86" s="7"/>
      <c r="Q86" s="22"/>
      <c r="R86" s="174"/>
      <c r="S86" s="221">
        <f t="shared" si="36"/>
        <v>1</v>
      </c>
      <c r="T86" s="174" t="str">
        <f t="shared" si="39"/>
        <v>NorthBound</v>
      </c>
      <c r="U86" s="198">
        <f>IF(AG86="EC",COUNTIFS(Variables!$M$2:$M$19,IF(T86="NorthBound","&gt;=","&lt;=")&amp;Y86,Variables!$M$2:$M$19,IF(T86="NorthBound","&lt;=","&gt;=")&amp;Z86),COUNTIFS(Variables!$P$2:$P$19,IF(T86="NorthBound","&gt;=","&lt;=")&amp;Y86,Variables!$P$2:$P$19,IF(T86="NorthBound","&lt;=","&gt;=")&amp;Z86))</f>
        <v>12</v>
      </c>
      <c r="V86" s="216" t="str">
        <f t="shared" si="40"/>
        <v>https://d0f6bd738d7f1b3e5a7ca70fe4ff75f0.us-east-1.aws.found.io/app/kibana#/discover/Steve-Slow-Train-Analysis-(2080s-and-2083s)?_g=(refreshInterval:(display:Off,pause:!f,section:0,value:0),time:(from:'2017-10-05T11:37:30-0600',mode:absolute,to:'2017-10-05T14:21:03-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W86" s="204" t="str">
        <f>IF(AA86&lt;VLOOKUP(AG86,Variables!$AC$3:$AD$8,2,FALSE),"Y","N")</f>
        <v>N</v>
      </c>
      <c r="X86" s="204">
        <f t="shared" si="41"/>
        <v>1</v>
      </c>
      <c r="Y86" s="204">
        <f t="shared" si="42"/>
        <v>4.4600000000000001E-2</v>
      </c>
      <c r="Z86" s="204">
        <f t="shared" si="43"/>
        <v>23.328399999999998</v>
      </c>
      <c r="AA86" s="204">
        <f t="shared" si="44"/>
        <v>23.283799999999999</v>
      </c>
      <c r="AB86" s="54" t="e">
        <f>VLOOKUP(A86,Enforcements!$C$7:$K$11,8,0)</f>
        <v>#N/A</v>
      </c>
      <c r="AC86" s="51" t="e">
        <f>VLOOKUP(A86,Enforcements!$C$7:$E$11,3,0)</f>
        <v>#N/A</v>
      </c>
      <c r="AD86" s="179">
        <f t="shared" si="45"/>
        <v>173</v>
      </c>
      <c r="AE86" s="77" t="str">
        <f t="shared" si="46"/>
        <v>aws s3 cp s3://rtdc.mdm.uploadarchive.raw/RTDC4016/ "%USERPROFILE%\AppData\Local\Temp\OnboardLogs"\RTDC4016\2017-10-05 --exclude "*" --recursive --include "*20171005*" &amp; "%USERPROFILE%\Documents\GitHub\mrs-test-scripts\Headless Mode &amp; Sideloading\WalkAndUnGZ.bat" "%USERPROFILE%\AppData\Local\Temp\OnboardLogs"\RTDC4016\2017-10-05 &amp; aws s3 cp s3://rtdc.mdm.uploadarchive.raw/RTDC4016/ "%USERPROFILE%\AppData\Local\Temp\OnboardLogs"\RTDC4016\2017-10-06 --exclude "*" --recursive --include "*20171006*" &amp; "%USERPROFILE%\Documents\GitHub\mrs-test-scripts\Headless Mode &amp; Sideloading\WalkAndUnGZ.bat" "%USERPROFILE%\AppData\Local\Temp\OnboardLogs"\RTDC4016\2017-10-06</v>
      </c>
      <c r="AF86" s="74" t="str">
        <f t="shared" si="47"/>
        <v>"C:\Program Files (x86)\AstroGrep\AstroGrep.exe" /e /r /s /spath="%USERPROFILE%\AppData\Local\Temp\OnboardLogs" /stypes="app*4016*20171005*" /stext=" 19:.+((SYSTEM_STATE.+slice.+state.+changed )|(ment ac)|(multiple cpu faults)|(system.+state.+changed )|(\[timeout)|(PRM\|1\|D)|(kpr)|(kdp)|(train st.+moving)|(\|lc)|(penalty))"</v>
      </c>
      <c r="AG86" s="182" t="str">
        <f t="shared" si="48"/>
        <v>EC</v>
      </c>
      <c r="AH86" s="78" t="str">
        <f t="shared" si="49"/>
        <v>"%USERPROFILE%\Documents\GitHub\eaglep3\Utilities\RefineRTDCRunTimes.py" --tripid 173-05 --locoid 4016 --swversion DE.1.0.9.0 --startMP 204:446 --initTime 2017-10-05T12:37:30 --startdatetime 2017-10-05T12:45:15 --delay 153 --endMP 204:233284 --enddatetime 2017-10-05T13:21:03 --enforcementcount 0 &gt;&gt;%USERPROFILE%\Documents\GitHub\eaglep3-reporting\EC\2017-10-05-refined-times.txt</v>
      </c>
      <c r="AI86" s="96" t="str">
        <f t="shared" si="50"/>
        <v>echo {"issue":{"subject":"","project_id":79,"tracker_id":40,"status_id":1,"priority_id":2,"assigned_to_id":338,"start_date":"2017-10-05","description":"","custom_fields":[{"id":1,"name":"Subdivision","value":"EC"},{"id":4,"name":"Milepost","value":"23.3284"},{"id":17,"name":"Train ID","value":"173-05"},{"id":16,"name":"Locomotive ID","value":"4016"},{"id":130,"name":"Impact","value":""},{"id":150,"name":"Time of Event (Mountain Time)","value":"13:21:03"},{"id":151,"name":"Denver Issue ID","value":""},{"id":178,"name":"Operational Impact","value":"Yes"},{"id":179,"name":"Denver Segment Assigned","value":""}]}} | curl --insecure -X POST -H "Content-Type: application/json" -H "X-Redmine-API-Key: %REDMINEAPIKEY%" https://secure.xorail.net/redmine/issues.json --data @-</v>
      </c>
      <c r="AJ86" s="20"/>
      <c r="AK86" s="47"/>
      <c r="AL86" s="47"/>
      <c r="AM86" s="142" t="str">
        <f t="shared" si="51"/>
        <v>start /low /b %USERPROFILE%\Documents\GitHub\eaglep3\Utilities\DownloadLogsFromS3.py --loco 4016 --day 2017-10-05</v>
      </c>
      <c r="AN86" s="151" t="str">
        <f t="shared" si="52"/>
        <v>echo {"issue":{"subject":"","project_id":30,"tracker_id":4,"status_id":1,"priority_id":1,"assigned_to_id":10,"start_date":"2017-10-05","description":"","custom_fields":[{"id":30,"name":"Category","value":"Issue"},{"id":3,"name":"Functional Component","value":"Onboard"},{"id":31,"name":"Version","value":"N/A"},{"id":8,"name":"Reporting RR","value":"WABTEC"},{"id":27,"name":"Locomotive ID","value":"4016"},{"id":20,"name":"RR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19:21:03"},{"id":29,"name":"Sharepoint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86" s="168" t="str">
        <f t="shared" si="53"/>
        <v>https://d0f6bd738d7f1b3e5a7ca70fe4ff75f0.us-east-1.aws.found.io/app/kibana#/discover/Steve-Slow-Train-Analysis-(2080s-and-2083s)?_g=(refreshInterval:(display:Off,pause:!f,section:0,value:0),time:(from:'2017-10-05T11:37:30-0600',mode:absolute,to:'2017-10-05T14:21:03-0600'))&amp;_a=(columns:!('Message%20ID',Summary),filters:!(),index:'emp_*',interval:auto,query:(query_string:(analyze_wildcard:!t,query:'%22rtdc.l.rtdc.4016%22')),sort:!(Time.ISO8601,asc))</v>
      </c>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row>
    <row r="87" spans="1:91" s="1" customFormat="1" x14ac:dyDescent="0.25">
      <c r="A87" s="32" t="s">
        <v>715</v>
      </c>
      <c r="B87" s="7">
        <v>4015</v>
      </c>
      <c r="C87" s="21" t="s">
        <v>194</v>
      </c>
      <c r="D87" s="21" t="s">
        <v>491</v>
      </c>
      <c r="E87" s="13">
        <v>43013.567939814813</v>
      </c>
      <c r="F87" s="13">
        <v>43013.571006944447</v>
      </c>
      <c r="G87" s="7">
        <v>65</v>
      </c>
      <c r="H87" s="21" t="s">
        <v>852</v>
      </c>
      <c r="I87" s="13">
        <v>43013.59752314815</v>
      </c>
      <c r="J87" s="7">
        <v>0</v>
      </c>
      <c r="K87" s="89" t="str">
        <f t="shared" si="37"/>
        <v>4015/4016</v>
      </c>
      <c r="L87" s="185" t="str">
        <f>VLOOKUP(A87,'Trips&amp;Operators'!$C$1:$G$99911,5,FALSE)</f>
        <v>ROBINSON KADDIBA</v>
      </c>
      <c r="M87" s="6">
        <f t="shared" si="38"/>
        <v>2.6516203703067731E-2</v>
      </c>
      <c r="N87" s="7">
        <f t="shared" si="35"/>
        <v>38.183333332417533</v>
      </c>
      <c r="O87" s="7"/>
      <c r="P87" s="7"/>
      <c r="Q87" s="22"/>
      <c r="R87" s="174"/>
      <c r="S87" s="221">
        <f t="shared" si="36"/>
        <v>1</v>
      </c>
      <c r="T87" s="174" t="str">
        <f t="shared" si="39"/>
        <v>Southbound</v>
      </c>
      <c r="U87" s="198">
        <f>IF(AG87="EC",COUNTIFS(Variables!$M$2:$M$19,IF(T87="NorthBound","&gt;=","&lt;=")&amp;Y87,Variables!$M$2:$M$19,IF(T87="NorthBound","&lt;=","&gt;=")&amp;Z87),COUNTIFS(Variables!$P$2:$P$19,IF(T87="NorthBound","&gt;=","&lt;=")&amp;Y87,Variables!$P$2:$P$19,IF(T87="NorthBound","&lt;=","&gt;=")&amp;Z87))</f>
        <v>12</v>
      </c>
      <c r="V87" s="216" t="str">
        <f t="shared" si="40"/>
        <v>https://d0f6bd738d7f1b3e5a7ca70fe4ff75f0.us-east-1.aws.found.io/app/kibana#/discover/Steve-Slow-Train-Analysis-(2080s-and-2083s)?_g=(refreshInterval:(display:Off,pause:!f,section:0,value:0),time:(from:'2017-10-05T12:37:50-0600',mode:absolute,to:'2017-10-05T15:20:26-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4015%22')),sort:!(Time.ISO8601,asc))</v>
      </c>
      <c r="W87" s="204" t="str">
        <f>IF(AA87&lt;VLOOKUP(AG87,Variables!$AC$3:$AD$8,2,FALSE),"Y","N")</f>
        <v>N</v>
      </c>
      <c r="X87" s="204">
        <f t="shared" si="41"/>
        <v>1</v>
      </c>
      <c r="Y87" s="204">
        <f t="shared" si="42"/>
        <v>23.296900000000001</v>
      </c>
      <c r="Z87" s="204">
        <f t="shared" si="43"/>
        <v>1.6299999999999999E-2</v>
      </c>
      <c r="AA87" s="204">
        <f t="shared" si="44"/>
        <v>23.2806</v>
      </c>
      <c r="AB87" s="54" t="e">
        <f>VLOOKUP(A87,Enforcements!$C$7:$K$11,8,0)</f>
        <v>#N/A</v>
      </c>
      <c r="AC87" s="51" t="e">
        <f>VLOOKUP(A87,Enforcements!$C$7:$E$11,3,0)</f>
        <v>#N/A</v>
      </c>
      <c r="AD87" s="179">
        <f t="shared" si="45"/>
        <v>174</v>
      </c>
      <c r="AE87" s="77" t="str">
        <f t="shared" si="46"/>
        <v>aws s3 cp s3://rtdc.mdm.uploadarchive.raw/RTDC4015/ "%USERPROFILE%\AppData\Local\Temp\OnboardLogs"\RTDC4015\2017-10-05 --exclude "*" --recursive --include "*20171005*" &amp; "%USERPROFILE%\Documents\GitHub\mrs-test-scripts\Headless Mode &amp; Sideloading\WalkAndUnGZ.bat" "%USERPROFILE%\AppData\Local\Temp\OnboardLogs"\RTDC4015\2017-10-05 &amp; aws s3 cp s3://rtdc.mdm.uploadarchive.raw/RTDC4015/ "%USERPROFILE%\AppData\Local\Temp\OnboardLogs"\RTDC4015\2017-10-06 --exclude "*" --recursive --include "*20171006*" &amp; "%USERPROFILE%\Documents\GitHub\mrs-test-scripts\Headless Mode &amp; Sideloading\WalkAndUnGZ.bat" "%USERPROFILE%\AppData\Local\Temp\OnboardLogs"\RTDC4015\2017-10-06</v>
      </c>
      <c r="AF87" s="74" t="str">
        <f t="shared" si="47"/>
        <v>"C:\Program Files (x86)\AstroGrep\AstroGrep.exe" /e /r /s /spath="%USERPROFILE%\AppData\Local\Temp\OnboardLogs" /stypes="app*4015*20171005*" /stext=" 20:.+((SYSTEM_STATE.+slice.+state.+changed )|(ment ac)|(multiple cpu faults)|(system.+state.+changed )|(\[timeout)|(PRM\|1\|D)|(kpr)|(kdp)|(train st.+moving)|(\|lc)|(penalty))"</v>
      </c>
      <c r="AG87" s="182" t="str">
        <f t="shared" si="48"/>
        <v>EC</v>
      </c>
      <c r="AH87" s="78" t="str">
        <f t="shared" si="49"/>
        <v>"%USERPROFILE%\Documents\GitHub\eaglep3\Utilities\RefineRTDCRunTimes.py" --tripid 174-05 --locoid 4015 --swversion DE.1.0.9.0 --startMP 204:232969 --initTime 2017-10-05T13:37:50 --startdatetime 2017-10-05T13:42:15 --delay 65 --endMP 204:163 --enddatetime 2017-10-05T14:20:26 --enforcementcount 0 &gt;&gt;%USERPROFILE%\Documents\GitHub\eaglep3-reporting\EC\2017-10-05-refined-times.txt</v>
      </c>
      <c r="AI87" s="96" t="str">
        <f t="shared" si="50"/>
        <v>echo {"issue":{"subject":"","project_id":79,"tracker_id":40,"status_id":1,"priority_id":2,"assigned_to_id":338,"start_date":"2017-10-05","description":"","custom_fields":[{"id":1,"name":"Subdivision","value":"EC"},{"id":4,"name":"Milepost","value":"0.0163"},{"id":17,"name":"Train ID","value":"174-05"},{"id":16,"name":"Locomotive ID","value":"4015"},{"id":130,"name":"Impact","value":""},{"id":150,"name":"Time of Event (Mountain Time)","value":"14:20:26"},{"id":151,"name":"Denver Issue ID","value":""},{"id":178,"name":"Operational Impact","value":"Yes"},{"id":179,"name":"Denver Segment Assigned","value":""}]}} | curl --insecure -X POST -H "Content-Type: application/json" -H "X-Redmine-API-Key: %REDMINEAPIKEY%" https://secure.xorail.net/redmine/issues.json --data @-</v>
      </c>
      <c r="AJ87" s="20"/>
      <c r="AK87" s="47"/>
      <c r="AL87" s="47"/>
      <c r="AM87" s="142" t="str">
        <f t="shared" si="51"/>
        <v>start /low /b %USERPROFILE%\Documents\GitHub\eaglep3\Utilities\DownloadLogsFromS3.py --loco 4015 --day 2017-10-05</v>
      </c>
      <c r="AN87" s="151" t="str">
        <f t="shared" si="52"/>
        <v>echo {"issue":{"subject":"","project_id":30,"tracker_id":4,"status_id":1,"priority_id":1,"assigned_to_id":10,"start_date":"2017-10-05","description":"","custom_fields":[{"id":30,"name":"Category","value":"Issue"},{"id":3,"name":"Functional Component","value":"Onboard"},{"id":31,"name":"Version","value":"N/A"},{"id":8,"name":"Reporting RR","value":"WABTEC"},{"id":27,"name":"Locomotive ID","value":"4015"},{"id":20,"name":"RR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20:20:26"},{"id":29,"name":"Sharepoint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87" s="168" t="str">
        <f t="shared" si="53"/>
        <v>https://d0f6bd738d7f1b3e5a7ca70fe4ff75f0.us-east-1.aws.found.io/app/kibana#/discover/Steve-Slow-Train-Analysis-(2080s-and-2083s)?_g=(refreshInterval:(display:Off,pause:!f,section:0,value:0),time:(from:'2017-10-05T12:37:50-0600',mode:absolute,to:'2017-10-05T15:20:26-0600'))&amp;_a=(columns:!('Message%20ID',Summary),filters:!(),index:'emp_*',interval:auto,query:(query_string:(analyze_wildcard:!t,query:'%22rtdc.l.rtdc.4015%22')),sort:!(Time.ISO8601,asc))</v>
      </c>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row>
    <row r="88" spans="1:91" s="1" customFormat="1" x14ac:dyDescent="0.25">
      <c r="A88" s="32" t="s">
        <v>599</v>
      </c>
      <c r="B88" s="7">
        <v>4010</v>
      </c>
      <c r="C88" s="21" t="s">
        <v>194</v>
      </c>
      <c r="D88" s="21" t="s">
        <v>388</v>
      </c>
      <c r="E88" s="13">
        <v>43013.537199074075</v>
      </c>
      <c r="F88" s="13">
        <v>43013.541828703703</v>
      </c>
      <c r="G88" s="7">
        <v>52</v>
      </c>
      <c r="H88" s="21" t="s">
        <v>438</v>
      </c>
      <c r="I88" s="13">
        <v>43013.567870370367</v>
      </c>
      <c r="J88" s="7">
        <v>0</v>
      </c>
      <c r="K88" s="89" t="str">
        <f t="shared" si="37"/>
        <v>4009/4010</v>
      </c>
      <c r="L88" s="185" t="str">
        <f>VLOOKUP(A88,'Trips&amp;Operators'!$C$1:$G$99911,5,FALSE)</f>
        <v>BRUDER RICHARD</v>
      </c>
      <c r="M88" s="6">
        <f t="shared" si="38"/>
        <v>2.6041666664241347E-2</v>
      </c>
      <c r="N88" s="7">
        <f t="shared" si="35"/>
        <v>37.49999999650754</v>
      </c>
      <c r="O88" s="7"/>
      <c r="P88" s="7"/>
      <c r="Q88" s="22"/>
      <c r="R88" s="174"/>
      <c r="S88" s="221">
        <f t="shared" si="36"/>
        <v>1</v>
      </c>
      <c r="T88" s="174" t="str">
        <f t="shared" si="39"/>
        <v>NorthBound</v>
      </c>
      <c r="U88" s="198">
        <f>IF(AG88="EC",COUNTIFS(Variables!$M$2:$M$19,IF(T88="NorthBound","&gt;=","&lt;=")&amp;Y88,Variables!$M$2:$M$19,IF(T88="NorthBound","&lt;=","&gt;=")&amp;Z88),COUNTIFS(Variables!$P$2:$P$19,IF(T88="NorthBound","&gt;=","&lt;=")&amp;Y88,Variables!$P$2:$P$19,IF(T88="NorthBound","&lt;=","&gt;=")&amp;Z88))</f>
        <v>12</v>
      </c>
      <c r="V88" s="216" t="str">
        <f t="shared" si="40"/>
        <v>https://d0f6bd738d7f1b3e5a7ca70fe4ff75f0.us-east-1.aws.found.io/app/kibana#/discover/Steve-Slow-Train-Analysis-(2080s-and-2083s)?_g=(refreshInterval:(display:Off,pause:!f,section:0,value:0),time:(from:'2017-10-05T11:53:34-0600',mode:absolute,to:'2017-10-05T14:37:44-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88" s="204" t="str">
        <f>IF(AA88&lt;VLOOKUP(AG88,Variables!$AC$3:$AD$8,2,FALSE),"Y","N")</f>
        <v>N</v>
      </c>
      <c r="X88" s="204">
        <f t="shared" si="41"/>
        <v>1</v>
      </c>
      <c r="Y88" s="204">
        <f t="shared" si="42"/>
        <v>4.5699999999999998E-2</v>
      </c>
      <c r="Z88" s="204">
        <f t="shared" si="43"/>
        <v>23.3308</v>
      </c>
      <c r="AA88" s="204">
        <f t="shared" si="44"/>
        <v>23.2851</v>
      </c>
      <c r="AB88" s="54" t="str">
        <f>VLOOKUP(A88,Enforcements!$C$7:$K$11,8,0)</f>
        <v>Bulletin (2)</v>
      </c>
      <c r="AC88" s="51" t="str">
        <f>VLOOKUP(A88,Enforcements!$C$7:$E$11,3,0)</f>
        <v>GRADE CROSSING</v>
      </c>
      <c r="AD88" s="179">
        <f t="shared" si="45"/>
        <v>175</v>
      </c>
      <c r="AE88" s="77" t="str">
        <f t="shared" si="46"/>
        <v>aws s3 cp s3://rtdc.mdm.uploadarchive.raw/RTDC4010/ "%USERPROFILE%\AppData\Local\Temp\OnboardLogs"\RTDC4010\2017-10-05 --exclude "*" --recursive --include "*20171005*" &amp; "%USERPROFILE%\Documents\GitHub\mrs-test-scripts\Headless Mode &amp; Sideloading\WalkAndUnGZ.bat" "%USERPROFILE%\AppData\Local\Temp\OnboardLogs"\RTDC4010\2017-10-05 &amp; aws s3 cp s3://rtdc.mdm.uploadarchive.raw/RTDC4010/ "%USERPROFILE%\AppData\Local\Temp\OnboardLogs"\RTDC4010\2017-10-06 --exclude "*" --recursive --include "*20171006*" &amp; "%USERPROFILE%\Documents\GitHub\mrs-test-scripts\Headless Mode &amp; Sideloading\WalkAndUnGZ.bat" "%USERPROFILE%\AppData\Local\Temp\OnboardLogs"\RTDC4010\2017-10-06</v>
      </c>
      <c r="AF88" s="74" t="str">
        <f t="shared" si="47"/>
        <v>"C:\Program Files (x86)\AstroGrep\AstroGrep.exe" /e /r /s /spath="%USERPROFILE%\AppData\Local\Temp\OnboardLogs" /stypes="app*4010*20171005*" /stext=" 19:.+((SYSTEM_STATE.+slice.+state.+changed )|(ment ac)|(multiple cpu faults)|(system.+state.+changed )|(\[timeout)|(PRM\|1\|D)|(kpr)|(kdp)|(train st.+moving)|(\|lc)|(penalty))"</v>
      </c>
      <c r="AG88" s="182" t="str">
        <f t="shared" si="48"/>
        <v>EC</v>
      </c>
      <c r="AH88" s="78" t="str">
        <f t="shared" si="49"/>
        <v>"%USERPROFILE%\Documents\GitHub\eaglep3\Utilities\RefineRTDCRunTimes.py" --tripid 175-05 --locoid 4010 --swversion DE.1.0.9.0 --startMP 204:457 --initTime 2017-10-05T12:53:34 --startdatetime 2017-10-05T13:00:14 --delay 52 --endMP 204:233308 --enddatetime 2017-10-05T13:37:44 --enforcementcount 0 &gt;&gt;%USERPROFILE%\Documents\GitHub\eaglep3-reporting\EC\2017-10-05-refined-times.txt</v>
      </c>
      <c r="AI88" s="96" t="str">
        <f t="shared" si="50"/>
        <v>echo {"issue":{"subject":"","project_id":79,"tracker_id":40,"status_id":1,"priority_id":2,"assigned_to_id":338,"start_date":"2017-10-05","description":"","custom_fields":[{"id":1,"name":"Subdivision","value":"EC"},{"id":4,"name":"Milepost","value":"23.3308"},{"id":17,"name":"Train ID","value":"175-05"},{"id":16,"name":"Locomotive ID","value":"4010"},{"id":130,"name":"Impact","value":""},{"id":150,"name":"Time of Event (Mountain Time)","value":"13:37:44"},{"id":151,"name":"Denver Issue ID","value":""},{"id":178,"name":"Operational Impact","value":"Yes"},{"id":179,"name":"Denver Segment Assigned","value":""}]}} | curl --insecure -X POST -H "Content-Type: application/json" -H "X-Redmine-API-Key: %REDMINEAPIKEY%" https://secure.xorail.net/redmine/issues.json --data @-</v>
      </c>
      <c r="AJ88" s="20"/>
      <c r="AK88" s="47"/>
      <c r="AL88" s="47"/>
      <c r="AM88" s="142" t="str">
        <f t="shared" si="51"/>
        <v>start /low /b %USERPROFILE%\Documents\GitHub\eaglep3\Utilities\DownloadLogsFromS3.py --loco 4010 --day 2017-10-05</v>
      </c>
      <c r="AN88" s="151" t="str">
        <f t="shared" si="52"/>
        <v>echo {"issue":{"subject":"","project_id":30,"tracker_id":4,"status_id":1,"priority_id":1,"assigned_to_id":10,"start_date":"2017-10-05","description":"","custom_fields":[{"id":30,"name":"Category","value":"Issue"},{"id":3,"name":"Functional Component","value":"Onboard"},{"id":31,"name":"Version","value":"N/A"},{"id":8,"name":"Reporting RR","value":"WABTEC"},{"id":27,"name":"Locomotive ID","value":"4010"},{"id":20,"name":"RR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19:37:44"},{"id":29,"name":"Sharepoint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88" s="168" t="str">
        <f t="shared" si="53"/>
        <v>https://d0f6bd738d7f1b3e5a7ca70fe4ff75f0.us-east-1.aws.found.io/app/kibana#/discover/Steve-Slow-Train-Analysis-(2080s-and-2083s)?_g=(refreshInterval:(display:Off,pause:!f,section:0,value:0),time:(from:'2017-10-05T11:53:34-0600',mode:absolute,to:'2017-10-05T14:37:44-0600'))&amp;_a=(columns:!('Message%20ID',Summary),filters:!(),index:'emp_*',interval:auto,query:(query_string:(analyze_wildcard:!t,query:'%22rtdc.l.rtdc.4010%22')),sort:!(Time.ISO8601,asc))</v>
      </c>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row>
    <row r="89" spans="1:91" s="1" customFormat="1" x14ac:dyDescent="0.25">
      <c r="A89" s="32" t="s">
        <v>717</v>
      </c>
      <c r="B89" s="7">
        <v>4009</v>
      </c>
      <c r="C89" s="21" t="s">
        <v>194</v>
      </c>
      <c r="D89" s="21" t="s">
        <v>398</v>
      </c>
      <c r="E89" s="13">
        <v>43013.577916666669</v>
      </c>
      <c r="F89" s="13">
        <v>43013.581423611111</v>
      </c>
      <c r="G89" s="7">
        <v>64</v>
      </c>
      <c r="H89" s="21" t="s">
        <v>853</v>
      </c>
      <c r="I89" s="13">
        <v>43013.60800925926</v>
      </c>
      <c r="J89" s="7">
        <v>0</v>
      </c>
      <c r="K89" s="89" t="str">
        <f t="shared" si="37"/>
        <v>4009/4010</v>
      </c>
      <c r="L89" s="185" t="str">
        <f>VLOOKUP(A89,'Trips&amp;Operators'!$C$1:$G$99911,5,FALSE)</f>
        <v>BRUDER RICHARD</v>
      </c>
      <c r="M89" s="6">
        <f t="shared" si="38"/>
        <v>2.658564814919373E-2</v>
      </c>
      <c r="N89" s="7">
        <f t="shared" si="35"/>
        <v>38.283333334838971</v>
      </c>
      <c r="O89" s="7"/>
      <c r="P89" s="7"/>
      <c r="Q89" s="22"/>
      <c r="R89" s="174" t="s">
        <v>1003</v>
      </c>
      <c r="S89" s="221">
        <f t="shared" si="36"/>
        <v>1</v>
      </c>
      <c r="T89" s="174" t="str">
        <f t="shared" si="39"/>
        <v>Southbound</v>
      </c>
      <c r="U89" s="198">
        <f>IF(AG89="EC",COUNTIFS(Variables!$M$2:$M$19,IF(T89="NorthBound","&gt;=","&lt;=")&amp;Y89,Variables!$M$2:$M$19,IF(T89="NorthBound","&lt;=","&gt;=")&amp;Z89),COUNTIFS(Variables!$P$2:$P$19,IF(T89="NorthBound","&gt;=","&lt;=")&amp;Y89,Variables!$P$2:$P$19,IF(T89="NorthBound","&lt;=","&gt;=")&amp;Z89))</f>
        <v>12</v>
      </c>
      <c r="V89" s="216" t="str">
        <f t="shared" si="40"/>
        <v>https://d0f6bd738d7f1b3e5a7ca70fe4ff75f0.us-east-1.aws.found.io/app/kibana#/discover/Steve-Slow-Train-Analysis-(2080s-and-2083s)?_g=(refreshInterval:(display:Off,pause:!f,section:0,value:0),time:(from:'2017-10-05T12:52:12-0600',mode:absolute,to:'2017-10-05T15:35:32-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89" s="204" t="str">
        <f>IF(AA89&lt;VLOOKUP(AG89,Variables!$AC$3:$AD$8,2,FALSE),"Y","N")</f>
        <v>N</v>
      </c>
      <c r="X89" s="204">
        <f t="shared" si="41"/>
        <v>1</v>
      </c>
      <c r="Y89" s="204">
        <f t="shared" si="42"/>
        <v>23.3</v>
      </c>
      <c r="Z89" s="204">
        <v>1.4999999999999999E-2</v>
      </c>
      <c r="AA89" s="204">
        <f t="shared" si="44"/>
        <v>23.285</v>
      </c>
      <c r="AB89" s="54" t="e">
        <f>VLOOKUP(A89,Enforcements!$C$7:$K$11,8,0)</f>
        <v>#N/A</v>
      </c>
      <c r="AC89" s="51" t="e">
        <f>VLOOKUP(A89,Enforcements!$C$7:$E$11,3,0)</f>
        <v>#N/A</v>
      </c>
      <c r="AD89" s="179">
        <f t="shared" si="45"/>
        <v>176</v>
      </c>
      <c r="AE89" s="77" t="str">
        <f t="shared" si="46"/>
        <v>aws s3 cp s3://rtdc.mdm.uploadarchive.raw/RTDC4009/ "%USERPROFILE%\AppData\Local\Temp\OnboardLogs"\RTDC4009\2017-10-05 --exclude "*" --recursive --include "*20171005*" &amp; "%USERPROFILE%\Documents\GitHub\mrs-test-scripts\Headless Mode &amp; Sideloading\WalkAndUnGZ.bat" "%USERPROFILE%\AppData\Local\Temp\OnboardLogs"\RTDC4009\2017-10-05 &amp; aws s3 cp s3://rtdc.mdm.uploadarchive.raw/RTDC4009/ "%USERPROFILE%\AppData\Local\Temp\OnboardLogs"\RTDC4009\2017-10-06 --exclude "*" --recursive --include "*20171006*" &amp; "%USERPROFILE%\Documents\GitHub\mrs-test-scripts\Headless Mode &amp; Sideloading\WalkAndUnGZ.bat" "%USERPROFILE%\AppData\Local\Temp\OnboardLogs"\RTDC4009\2017-10-06</v>
      </c>
      <c r="AF89" s="74" t="str">
        <f t="shared" si="47"/>
        <v>"C:\Program Files (x86)\AstroGrep\AstroGrep.exe" /e /r /s /spath="%USERPROFILE%\AppData\Local\Temp\OnboardLogs" /stypes="app*4009*20171005*" /stext=" 20:.+((SYSTEM_STATE.+slice.+state.+changed )|(ment ac)|(multiple cpu faults)|(system.+state.+changed )|(\[timeout)|(PRM\|1\|D)|(kpr)|(kdp)|(train st.+moving)|(\|lc)|(penalty))"</v>
      </c>
      <c r="AG89" s="182" t="str">
        <f t="shared" si="48"/>
        <v>EC</v>
      </c>
      <c r="AH89" s="78" t="str">
        <f t="shared" si="49"/>
        <v>"%USERPROFILE%\Documents\GitHub\eaglep3\Utilities\RefineRTDCRunTimes.py" --tripid 176-05 --locoid 4009 --swversion DE.1.0.9.0 --startMP 204:233000 --initTime 2017-10-05T13:52:12 --startdatetime 2017-10-05T13:57:15 --delay 64 --endMP 204:61016 --enddatetime 2017-10-05T14:35:32 --enforcementcount 0 &gt;&gt;%USERPROFILE%\Documents\GitHub\eaglep3-reporting\EC\2017-10-05-refined-times.txt</v>
      </c>
      <c r="AI89" s="96" t="str">
        <f t="shared" si="50"/>
        <v>echo {"issue":{"subject":"Onboard en route failure, system recovered, able to proceed","project_id":79,"tracker_id":40,"status_id":1,"priority_id":2,"assigned_to_id":338,"start_date":"2017-10-05","description":"","custom_fields":[{"id":1,"name":"Subdivision","value":"EC"},{"id":4,"name":"Milepost","value":"0.015"},{"id":17,"name":"Train ID","value":"176-05"},{"id":16,"name":"Locomotive ID","value":"4009"},{"id":130,"name":"Impact","value":""},{"id":150,"name":"Time of Event (Mountain Time)","value":"14:35:32"},{"id":151,"name":"Denver Issue ID","value":""},{"id":178,"name":"Operational Impact","value":"Yes"},{"id":179,"name":"Denver Segment Assigned","value":""}]}} | curl --insecure -X POST -H "Content-Type: application/json" -H "X-Redmine-API-Key: %REDMINEAPIKEY%" https://secure.xorail.net/redmine/issues.json --data @-</v>
      </c>
      <c r="AJ89" s="20"/>
      <c r="AK89" s="47"/>
      <c r="AL89" s="47"/>
      <c r="AM89" s="142" t="str">
        <f t="shared" si="51"/>
        <v>start /low /b %USERPROFILE%\Documents\GitHub\eaglep3\Utilities\DownloadLogsFromS3.py --loco 4009 --day 2017-10-05</v>
      </c>
      <c r="AN89" s="151" t="str">
        <f t="shared" si="52"/>
        <v>echo {"issue":{"subject":"Onboard en route failure, system recovered, able to proceed","project_id":30,"tracker_id":4,"status_id":1,"priority_id":1,"assigned_to_id":10,"start_date":"2017-10-05","description":"","custom_fields":[{"id":30,"name":"Category","value":"Issue"},{"id":3,"name":"Functional Component","value":"Onboard"},{"id":31,"name":"Version","value":"N/A"},{"id":8,"name":"Reporting RR","value":"WABTEC"},{"id":27,"name":"Locomotive ID","value":"4009"},{"id":20,"name":"RR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20:35:32"},{"id":29,"name":"Sharepoint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89" s="168" t="str">
        <f t="shared" si="53"/>
        <v>https://d0f6bd738d7f1b3e5a7ca70fe4ff75f0.us-east-1.aws.found.io/app/kibana#/discover/Steve-Slow-Train-Analysis-(2080s-and-2083s)?_g=(refreshInterval:(display:Off,pause:!f,section:0,value:0),time:(from:'2017-10-05T12:52:12-0600',mode:absolute,to:'2017-10-05T15:35:32-0600'))&amp;_a=(columns:!('Message%20ID',Summary),filters:!(),index:'emp_*',interval:auto,query:(query_string:(analyze_wildcard:!t,query:'%22rtdc.l.rtdc.4009%22')),sort:!(Time.ISO8601,asc))</v>
      </c>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row>
    <row r="90" spans="1:91" s="1" customFormat="1" x14ac:dyDescent="0.25">
      <c r="A90" s="32" t="s">
        <v>712</v>
      </c>
      <c r="B90" s="7">
        <v>4028</v>
      </c>
      <c r="C90" s="21" t="s">
        <v>194</v>
      </c>
      <c r="D90" s="21" t="s">
        <v>537</v>
      </c>
      <c r="E90" s="13">
        <v>43013.547986111109</v>
      </c>
      <c r="F90" s="13">
        <v>43013.552337962959</v>
      </c>
      <c r="G90" s="7">
        <v>76</v>
      </c>
      <c r="H90" s="21" t="s">
        <v>854</v>
      </c>
      <c r="I90" s="13">
        <v>43013.578229166669</v>
      </c>
      <c r="J90" s="7">
        <v>0</v>
      </c>
      <c r="K90" s="89" t="str">
        <f t="shared" si="37"/>
        <v>4027/4028</v>
      </c>
      <c r="L90" s="185" t="str">
        <f>VLOOKUP(A90,'Trips&amp;Operators'!$C$1:$G$99911,5,FALSE)</f>
        <v>STEWART MICHAEL</v>
      </c>
      <c r="M90" s="6">
        <f t="shared" si="38"/>
        <v>2.5891203709761612E-2</v>
      </c>
      <c r="N90" s="7">
        <f t="shared" si="35"/>
        <v>37.283333342056721</v>
      </c>
      <c r="O90" s="7"/>
      <c r="P90" s="7"/>
      <c r="Q90" s="22"/>
      <c r="R90" s="174"/>
      <c r="S90" s="221">
        <f t="shared" si="36"/>
        <v>1</v>
      </c>
      <c r="T90" s="174" t="str">
        <f t="shared" si="39"/>
        <v>NorthBound</v>
      </c>
      <c r="U90" s="198">
        <f>IF(AG90="EC",COUNTIFS(Variables!$M$2:$M$19,IF(T90="NorthBound","&gt;=","&lt;=")&amp;Y90,Variables!$M$2:$M$19,IF(T90="NorthBound","&lt;=","&gt;=")&amp;Z90),COUNTIFS(Variables!$P$2:$P$19,IF(T90="NorthBound","&gt;=","&lt;=")&amp;Y90,Variables!$P$2:$P$19,IF(T90="NorthBound","&lt;=","&gt;=")&amp;Z90))</f>
        <v>12</v>
      </c>
      <c r="V90" s="216" t="str">
        <f t="shared" si="40"/>
        <v>https://d0f6bd738d7f1b3e5a7ca70fe4ff75f0.us-east-1.aws.found.io/app/kibana#/discover/Steve-Slow-Train-Analysis-(2080s-and-2083s)?_g=(refreshInterval:(display:Off,pause:!f,section:0,value:0),time:(from:'2017-10-05T12:09:06-0600',mode:absolute,to:'2017-10-05T14:52:39-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90" s="204" t="str">
        <f>IF(AA90&lt;VLOOKUP(AG90,Variables!$AC$3:$AD$8,2,FALSE),"Y","N")</f>
        <v>N</v>
      </c>
      <c r="X90" s="204">
        <f t="shared" si="41"/>
        <v>1</v>
      </c>
      <c r="Y90" s="204">
        <f t="shared" si="42"/>
        <v>4.6199999999999998E-2</v>
      </c>
      <c r="Z90" s="204">
        <f t="shared" ref="Z90:Z124" si="54">RIGHT(H90,LEN(H90)-4)/10000</f>
        <v>23.3263</v>
      </c>
      <c r="AA90" s="204">
        <f t="shared" si="44"/>
        <v>23.280100000000001</v>
      </c>
      <c r="AB90" s="54" t="e">
        <f>VLOOKUP(A90,Enforcements!$C$7:$K$11,8,0)</f>
        <v>#N/A</v>
      </c>
      <c r="AC90" s="51" t="e">
        <f>VLOOKUP(A90,Enforcements!$C$7:$E$11,3,0)</f>
        <v>#N/A</v>
      </c>
      <c r="AD90" s="179">
        <f t="shared" si="45"/>
        <v>177</v>
      </c>
      <c r="AE90" s="77" t="str">
        <f t="shared" si="46"/>
        <v>aws s3 cp s3://rtdc.mdm.uploadarchive.raw/RTDC4028/ "%USERPROFILE%\AppData\Local\Temp\OnboardLogs"\RTDC4028\2017-10-05 --exclude "*" --recursive --include "*20171005*" &amp; "%USERPROFILE%\Documents\GitHub\mrs-test-scripts\Headless Mode &amp; Sideloading\WalkAndUnGZ.bat" "%USERPROFILE%\AppData\Local\Temp\OnboardLogs"\RTDC4028\2017-10-05 &amp; aws s3 cp s3://rtdc.mdm.uploadarchive.raw/RTDC4028/ "%USERPROFILE%\AppData\Local\Temp\OnboardLogs"\RTDC4028\2017-10-06 --exclude "*" --recursive --include "*20171006*" &amp; "%USERPROFILE%\Documents\GitHub\mrs-test-scripts\Headless Mode &amp; Sideloading\WalkAndUnGZ.bat" "%USERPROFILE%\AppData\Local\Temp\OnboardLogs"\RTDC4028\2017-10-06</v>
      </c>
      <c r="AF90" s="74" t="str">
        <f t="shared" si="47"/>
        <v>"C:\Program Files (x86)\AstroGrep\AstroGrep.exe" /e /r /s /spath="%USERPROFILE%\AppData\Local\Temp\OnboardLogs" /stypes="app*4028*20171005*" /stext=" 19:.+((SYSTEM_STATE.+slice.+state.+changed )|(ment ac)|(multiple cpu faults)|(system.+state.+changed )|(\[timeout)|(PRM\|1\|D)|(kpr)|(kdp)|(train st.+moving)|(\|lc)|(penalty))"</v>
      </c>
      <c r="AG90" s="182" t="str">
        <f t="shared" si="48"/>
        <v>EC</v>
      </c>
      <c r="AH90" s="78" t="str">
        <f t="shared" si="49"/>
        <v>"%USERPROFILE%\Documents\GitHub\eaglep3\Utilities\RefineRTDCRunTimes.py" --tripid 177-05 --locoid 4028 --swversion DE.1.0.9.0 --startMP 204:462 --initTime 2017-10-05T13:09:06 --startdatetime 2017-10-05T13:15:22 --delay 76 --endMP 204:233263 --enddatetime 2017-10-05T13:52:39 --enforcementcount 0 &gt;&gt;%USERPROFILE%\Documents\GitHub\eaglep3-reporting\EC\2017-10-05-refined-times.txt</v>
      </c>
      <c r="AI90" s="96" t="str">
        <f t="shared" si="50"/>
        <v>echo {"issue":{"subject":"","project_id":79,"tracker_id":40,"status_id":1,"priority_id":2,"assigned_to_id":338,"start_date":"2017-10-05","description":"","custom_fields":[{"id":1,"name":"Subdivision","value":"EC"},{"id":4,"name":"Milepost","value":"23.3263"},{"id":17,"name":"Train ID","value":"177-05"},{"id":16,"name":"Locomotive ID","value":"4028"},{"id":130,"name":"Impact","value":""},{"id":150,"name":"Time of Event (Mountain Time)","value":"13:52:39"},{"id":151,"name":"Denver Issue ID","value":""},{"id":178,"name":"Operational Impact","value":"Yes"},{"id":179,"name":"Denver Segment Assigned","value":""}]}} | curl --insecure -X POST -H "Content-Type: application/json" -H "X-Redmine-API-Key: %REDMINEAPIKEY%" https://secure.xorail.net/redmine/issues.json --data @-</v>
      </c>
      <c r="AJ90" s="20"/>
      <c r="AK90" s="47"/>
      <c r="AL90" s="47"/>
      <c r="AM90" s="142" t="str">
        <f t="shared" si="51"/>
        <v>start /low /b %USERPROFILE%\Documents\GitHub\eaglep3\Utilities\DownloadLogsFromS3.py --loco 4028 --day 2017-10-05</v>
      </c>
      <c r="AN90" s="151" t="str">
        <f t="shared" si="52"/>
        <v>echo {"issue":{"subject":"","project_id":30,"tracker_id":4,"status_id":1,"priority_id":1,"assigned_to_id":10,"start_date":"2017-10-05","description":"","custom_fields":[{"id":30,"name":"Category","value":"Issue"},{"id":3,"name":"Functional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19:52:39"},{"id":29,"name":"Sharepoint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90" s="168" t="str">
        <f t="shared" si="53"/>
        <v>https://d0f6bd738d7f1b3e5a7ca70fe4ff75f0.us-east-1.aws.found.io/app/kibana#/discover/Steve-Slow-Train-Analysis-(2080s-and-2083s)?_g=(refreshInterval:(display:Off,pause:!f,section:0,value:0),time:(from:'2017-10-05T12:09:06-0600',mode:absolute,to:'2017-10-05T14:52:39-0600'))&amp;_a=(columns:!('Message%20ID',Summary),filters:!(),index:'emp_*',interval:auto,query:(query_string:(analyze_wildcard:!t,query:'%22rtdc.l.rtdc.4028%22')),sort:!(Time.ISO8601,asc))</v>
      </c>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row>
    <row r="91" spans="1:91" s="1" customFormat="1" x14ac:dyDescent="0.25">
      <c r="A91" s="32" t="s">
        <v>721</v>
      </c>
      <c r="B91" s="7">
        <v>4027</v>
      </c>
      <c r="C91" s="21" t="s">
        <v>194</v>
      </c>
      <c r="D91" s="21" t="s">
        <v>855</v>
      </c>
      <c r="E91" s="13">
        <v>43013.588194444441</v>
      </c>
      <c r="F91" s="13">
        <v>43013.591851851852</v>
      </c>
      <c r="G91" s="7">
        <v>107</v>
      </c>
      <c r="H91" s="21" t="s">
        <v>440</v>
      </c>
      <c r="I91" s="13">
        <v>43013.621539351851</v>
      </c>
      <c r="J91" s="7">
        <v>0</v>
      </c>
      <c r="K91" s="89" t="str">
        <f t="shared" si="37"/>
        <v>4027/4028</v>
      </c>
      <c r="L91" s="185" t="str">
        <f>VLOOKUP(A91,'Trips&amp;Operators'!$C$1:$G$99911,5,FALSE)</f>
        <v>STEWART MICHAEL</v>
      </c>
      <c r="M91" s="6">
        <f t="shared" si="38"/>
        <v>2.9687499998544808E-2</v>
      </c>
      <c r="N91" s="7">
        <f t="shared" si="35"/>
        <v>42.749999997904524</v>
      </c>
      <c r="O91" s="7"/>
      <c r="P91" s="7"/>
      <c r="Q91" s="22"/>
      <c r="R91" s="174"/>
      <c r="S91" s="221">
        <f t="shared" si="36"/>
        <v>1</v>
      </c>
      <c r="T91" s="174" t="str">
        <f t="shared" si="39"/>
        <v>Southbound</v>
      </c>
      <c r="U91" s="198">
        <f>IF(AG91="EC",COUNTIFS(Variables!$M$2:$M$19,IF(T91="NorthBound","&gt;=","&lt;=")&amp;Y91,Variables!$M$2:$M$19,IF(T91="NorthBound","&lt;=","&gt;=")&amp;Z91),COUNTIFS(Variables!$P$2:$P$19,IF(T91="NorthBound","&gt;=","&lt;=")&amp;Y91,Variables!$P$2:$P$19,IF(T91="NorthBound","&lt;=","&gt;=")&amp;Z91))</f>
        <v>12</v>
      </c>
      <c r="V91" s="216" t="str">
        <f t="shared" si="40"/>
        <v>https://d0f6bd738d7f1b3e5a7ca70fe4ff75f0.us-east-1.aws.found.io/app/kibana#/discover/Steve-Slow-Train-Analysis-(2080s-and-2083s)?_g=(refreshInterval:(display:Off,pause:!f,section:0,value:0),time:(from:'2017-10-05T13:07:00-0600',mode:absolute,to:'2017-10-05T15:55:01-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91" s="204" t="str">
        <f>IF(AA91&lt;VLOOKUP(AG91,Variables!$AC$3:$AD$8,2,FALSE),"Y","N")</f>
        <v>N</v>
      </c>
      <c r="X91" s="204">
        <f t="shared" si="41"/>
        <v>1</v>
      </c>
      <c r="Y91" s="204">
        <f t="shared" si="42"/>
        <v>23.295200000000001</v>
      </c>
      <c r="Z91" s="204">
        <f t="shared" si="54"/>
        <v>1.6E-2</v>
      </c>
      <c r="AA91" s="204">
        <f t="shared" si="44"/>
        <v>23.279200000000003</v>
      </c>
      <c r="AB91" s="54" t="e">
        <f>VLOOKUP(A91,Enforcements!$C$7:$K$11,8,0)</f>
        <v>#N/A</v>
      </c>
      <c r="AC91" s="51" t="e">
        <f>VLOOKUP(A91,Enforcements!$C$7:$E$11,3,0)</f>
        <v>#N/A</v>
      </c>
      <c r="AD91" s="179">
        <f t="shared" si="45"/>
        <v>178</v>
      </c>
      <c r="AE91" s="77" t="str">
        <f t="shared" si="46"/>
        <v>aws s3 cp s3://rtdc.mdm.uploadarchive.raw/RTDC4027/ "%USERPROFILE%\AppData\Local\Temp\OnboardLogs"\RTDC4027\2017-10-05 --exclude "*" --recursive --include "*20171005*" &amp; "%USERPROFILE%\Documents\GitHub\mrs-test-scripts\Headless Mode &amp; Sideloading\WalkAndUnGZ.bat" "%USERPROFILE%\AppData\Local\Temp\OnboardLogs"\RTDC4027\2017-10-05 &amp; aws s3 cp s3://rtdc.mdm.uploadarchive.raw/RTDC4027/ "%USERPROFILE%\AppData\Local\Temp\OnboardLogs"\RTDC4027\2017-10-06 --exclude "*" --recursive --include "*20171006*" &amp; "%USERPROFILE%\Documents\GitHub\mrs-test-scripts\Headless Mode &amp; Sideloading\WalkAndUnGZ.bat" "%USERPROFILE%\AppData\Local\Temp\OnboardLogs"\RTDC4027\2017-10-06</v>
      </c>
      <c r="AF91" s="74" t="str">
        <f t="shared" si="47"/>
        <v>"C:\Program Files (x86)\AstroGrep\AstroGrep.exe" /e /r /s /spath="%USERPROFILE%\AppData\Local\Temp\OnboardLogs" /stypes="app*4027*20171005*" /stext=" 20:.+((SYSTEM_STATE.+slice.+state.+changed )|(ment ac)|(multiple cpu faults)|(system.+state.+changed )|(\[timeout)|(PRM\|1\|D)|(kpr)|(kdp)|(train st.+moving)|(\|lc)|(penalty))"</v>
      </c>
      <c r="AG91" s="182" t="str">
        <f t="shared" si="48"/>
        <v>EC</v>
      </c>
      <c r="AH91" s="78" t="str">
        <f t="shared" si="49"/>
        <v>"%USERPROFILE%\Documents\GitHub\eaglep3\Utilities\RefineRTDCRunTimes.py" --tripid 178-05 --locoid 4027 --swversion DE.1.0.9.0 --startMP 204:232952 --initTime 2017-10-05T14:07:00 --startdatetime 2017-10-05T14:12:16 --delay 107 --endMP 204:160 --enddatetime 2017-10-05T14:55:01 --enforcementcount 0 &gt;&gt;%USERPROFILE%\Documents\GitHub\eaglep3-reporting\EC\2017-10-05-refined-times.txt</v>
      </c>
      <c r="AI91" s="96" t="str">
        <f t="shared" si="50"/>
        <v>echo {"issue":{"subject":"","project_id":79,"tracker_id":40,"status_id":1,"priority_id":2,"assigned_to_id":338,"start_date":"2017-10-05","description":"","custom_fields":[{"id":1,"name":"Subdivision","value":"EC"},{"id":4,"name":"Milepost","value":"0.016"},{"id":17,"name":"Train ID","value":"178-05"},{"id":16,"name":"Locomotive ID","value":"4027"},{"id":130,"name":"Impact","value":""},{"id":150,"name":"Time of Event (Mountain Time)","value":"14:55:01"},{"id":151,"name":"Denver Issue ID","value":""},{"id":178,"name":"Operational Impact","value":"Yes"},{"id":179,"name":"Denver Segment Assigned","value":""}]}} | curl --insecure -X POST -H "Content-Type: application/json" -H "X-Redmine-API-Key: %REDMINEAPIKEY%" https://secure.xorail.net/redmine/issues.json --data @-</v>
      </c>
      <c r="AJ91" s="20"/>
      <c r="AK91" s="47"/>
      <c r="AL91" s="47"/>
      <c r="AM91" s="142" t="str">
        <f t="shared" si="51"/>
        <v>start /low /b %USERPROFILE%\Documents\GitHub\eaglep3\Utilities\DownloadLogsFromS3.py --loco 4027 --day 2017-10-05</v>
      </c>
      <c r="AN91" s="151" t="str">
        <f t="shared" si="52"/>
        <v>echo {"issue":{"subject":"","project_id":30,"tracker_id":4,"status_id":1,"priority_id":1,"assigned_to_id":10,"start_date":"2017-10-05","description":"","custom_fields":[{"id":30,"name":"Category","value":"Issue"},{"id":3,"name":"Functional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20:55:01"},{"id":29,"name":"Sharepoint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91" s="168" t="str">
        <f t="shared" si="53"/>
        <v>https://d0f6bd738d7f1b3e5a7ca70fe4ff75f0.us-east-1.aws.found.io/app/kibana#/discover/Steve-Slow-Train-Analysis-(2080s-and-2083s)?_g=(refreshInterval:(display:Off,pause:!f,section:0,value:0),time:(from:'2017-10-05T13:07:00-0600',mode:absolute,to:'2017-10-05T15:55:01-0600'))&amp;_a=(columns:!('Message%20ID',Summary),filters:!(),index:'emp_*',interval:auto,query:(query_string:(analyze_wildcard:!t,query:'%22rtdc.l.rtdc.4027%22')),sort:!(Time.ISO8601,asc))</v>
      </c>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row>
    <row r="92" spans="1:91" s="1" customFormat="1" x14ac:dyDescent="0.25">
      <c r="A92" s="32" t="s">
        <v>602</v>
      </c>
      <c r="B92" s="7">
        <v>4042</v>
      </c>
      <c r="C92" s="21" t="s">
        <v>194</v>
      </c>
      <c r="D92" s="21" t="s">
        <v>388</v>
      </c>
      <c r="E92" s="13">
        <v>43013.558368055557</v>
      </c>
      <c r="F92" s="13">
        <v>43013.562685185185</v>
      </c>
      <c r="G92" s="7">
        <v>62</v>
      </c>
      <c r="H92" s="21" t="s">
        <v>416</v>
      </c>
      <c r="I92" s="13">
        <v>43013.587060185186</v>
      </c>
      <c r="J92" s="7">
        <v>0</v>
      </c>
      <c r="K92" s="89" t="str">
        <f t="shared" si="37"/>
        <v>4041/4042</v>
      </c>
      <c r="L92" s="185" t="str">
        <f>VLOOKUP(A92,'Trips&amp;Operators'!$C$1:$G$99911,5,FALSE)</f>
        <v>LEVIN SCOTT</v>
      </c>
      <c r="M92" s="6">
        <f t="shared" si="38"/>
        <v>2.4375000000873115E-2</v>
      </c>
      <c r="N92" s="7">
        <f t="shared" si="35"/>
        <v>35.100000001257285</v>
      </c>
      <c r="O92" s="7"/>
      <c r="P92" s="7"/>
      <c r="Q92" s="22"/>
      <c r="R92" s="174"/>
      <c r="S92" s="221">
        <f t="shared" si="36"/>
        <v>1</v>
      </c>
      <c r="T92" s="174" t="str">
        <f t="shared" si="39"/>
        <v>NorthBound</v>
      </c>
      <c r="U92" s="198">
        <f>IF(AG92="EC",COUNTIFS(Variables!$M$2:$M$19,IF(T92="NorthBound","&gt;=","&lt;=")&amp;Y92,Variables!$M$2:$M$19,IF(T92="NorthBound","&lt;=","&gt;=")&amp;Z92),COUNTIFS(Variables!$P$2:$P$19,IF(T92="NorthBound","&gt;=","&lt;=")&amp;Y92,Variables!$P$2:$P$19,IF(T92="NorthBound","&lt;=","&gt;=")&amp;Z92))</f>
        <v>12</v>
      </c>
      <c r="V92" s="216" t="str">
        <f t="shared" si="40"/>
        <v>https://d0f6bd738d7f1b3e5a7ca70fe4ff75f0.us-east-1.aws.found.io/app/kibana#/discover/Steve-Slow-Train-Analysis-(2080s-and-2083s)?_g=(refreshInterval:(display:Off,pause:!f,section:0,value:0),time:(from:'2017-10-05T12:24:03-0600',mode:absolute,to:'2017-10-05T15:05:22-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4042%22')),sort:!(Time.ISO8601,asc))</v>
      </c>
      <c r="W92" s="204" t="str">
        <f>IF(AA92&lt;VLOOKUP(AG92,Variables!$AC$3:$AD$8,2,FALSE),"Y","N")</f>
        <v>N</v>
      </c>
      <c r="X92" s="204">
        <f t="shared" si="41"/>
        <v>1</v>
      </c>
      <c r="Y92" s="204">
        <f t="shared" si="42"/>
        <v>4.5699999999999998E-2</v>
      </c>
      <c r="Z92" s="204">
        <f t="shared" si="54"/>
        <v>23.33</v>
      </c>
      <c r="AA92" s="204">
        <f t="shared" si="44"/>
        <v>23.284299999999998</v>
      </c>
      <c r="AB92" s="54" t="e">
        <f>VLOOKUP(A92,Enforcements!$C$7:$K$11,8,0)</f>
        <v>#N/A</v>
      </c>
      <c r="AC92" s="51" t="e">
        <f>VLOOKUP(A92,Enforcements!$C$7:$E$11,3,0)</f>
        <v>#N/A</v>
      </c>
      <c r="AD92" s="179">
        <f t="shared" si="45"/>
        <v>179</v>
      </c>
      <c r="AE92" s="77" t="str">
        <f t="shared" si="46"/>
        <v>aws s3 cp s3://rtdc.mdm.uploadarchive.raw/RTDC4042/ "%USERPROFILE%\AppData\Local\Temp\OnboardLogs"\RTDC4042\2017-10-05 --exclude "*" --recursive --include "*20171005*" &amp; "%USERPROFILE%\Documents\GitHub\mrs-test-scripts\Headless Mode &amp; Sideloading\WalkAndUnGZ.bat" "%USERPROFILE%\AppData\Local\Temp\OnboardLogs"\RTDC4042\2017-10-05 &amp; aws s3 cp s3://rtdc.mdm.uploadarchive.raw/RTDC4042/ "%USERPROFILE%\AppData\Local\Temp\OnboardLogs"\RTDC4042\2017-10-06 --exclude "*" --recursive --include "*20171006*" &amp; "%USERPROFILE%\Documents\GitHub\mrs-test-scripts\Headless Mode &amp; Sideloading\WalkAndUnGZ.bat" "%USERPROFILE%\AppData\Local\Temp\OnboardLogs"\RTDC4042\2017-10-06</v>
      </c>
      <c r="AF92" s="74" t="str">
        <f t="shared" si="47"/>
        <v>"C:\Program Files (x86)\AstroGrep\AstroGrep.exe" /e /r /s /spath="%USERPROFILE%\AppData\Local\Temp\OnboardLogs" /stypes="app*4042*20171005*" /stext=" 20:.+((SYSTEM_STATE.+slice.+state.+changed )|(ment ac)|(multiple cpu faults)|(system.+state.+changed )|(\[timeout)|(PRM\|1\|D)|(kpr)|(kdp)|(train st.+moving)|(\|lc)|(penalty))"</v>
      </c>
      <c r="AG92" s="182" t="str">
        <f t="shared" si="48"/>
        <v>EC</v>
      </c>
      <c r="AH92" s="78" t="str">
        <f t="shared" si="49"/>
        <v>"%USERPROFILE%\Documents\GitHub\eaglep3\Utilities\RefineRTDCRunTimes.py" --tripid 179-05 --locoid 4042 --swversion DE.1.0.9.0 --startMP 204:457 --initTime 2017-10-05T13:24:03 --startdatetime 2017-10-05T13:30:16 --delay 62 --endMP 204:233300 --enddatetime 2017-10-05T14:05:22 --enforcementcount 0 &gt;&gt;%USERPROFILE%\Documents\GitHub\eaglep3-reporting\EC\2017-10-05-refined-times.txt</v>
      </c>
      <c r="AI92" s="96" t="str">
        <f t="shared" si="50"/>
        <v>echo {"issue":{"subject":"","project_id":79,"tracker_id":40,"status_id":1,"priority_id":2,"assigned_to_id":338,"start_date":"2017-10-05","description":"","custom_fields":[{"id":1,"name":"Subdivision","value":"EC"},{"id":4,"name":"Milepost","value":"23.33"},{"id":17,"name":"Train ID","value":"179-05"},{"id":16,"name":"Locomotive ID","value":"4042"},{"id":130,"name":"Impact","value":""},{"id":150,"name":"Time of Event (Mountain Time)","value":"14:05:22"},{"id":151,"name":"Denver Issue ID","value":""},{"id":178,"name":"Operational Impact","value":"Yes"},{"id":179,"name":"Denver Segment Assigned","value":""}]}} | curl --insecure -X POST -H "Content-Type: application/json" -H "X-Redmine-API-Key: %REDMINEAPIKEY%" https://secure.xorail.net/redmine/issues.json --data @-</v>
      </c>
      <c r="AJ92" s="20"/>
      <c r="AK92" s="47"/>
      <c r="AL92" s="47"/>
      <c r="AM92" s="142" t="str">
        <f t="shared" si="51"/>
        <v>start /low /b %USERPROFILE%\Documents\GitHub\eaglep3\Utilities\DownloadLogsFromS3.py --loco 4042 --day 2017-10-05</v>
      </c>
      <c r="AN92" s="151" t="str">
        <f t="shared" si="52"/>
        <v>echo {"issue":{"subject":"","project_id":30,"tracker_id":4,"status_id":1,"priority_id":1,"assigned_to_id":10,"start_date":"2017-10-05","description":"","custom_fields":[{"id":30,"name":"Category","value":"Issue"},{"id":3,"name":"Functional Component","value":"Onboard"},{"id":31,"name":"Version","value":"N/A"},{"id":8,"name":"Reporting RR","value":"WABTEC"},{"id":27,"name":"Locomotive ID","value":"4042"},{"id":20,"name":"RR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20:05:22"},{"id":29,"name":"Sharepoint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92" s="168" t="str">
        <f t="shared" si="53"/>
        <v>https://d0f6bd738d7f1b3e5a7ca70fe4ff75f0.us-east-1.aws.found.io/app/kibana#/discover/Steve-Slow-Train-Analysis-(2080s-and-2083s)?_g=(refreshInterval:(display:Off,pause:!f,section:0,value:0),time:(from:'2017-10-05T12:24:03-0600',mode:absolute,to:'2017-10-05T15:05:22-0600'))&amp;_a=(columns:!('Message%20ID',Summary),filters:!(),index:'emp_*',interval:auto,query:(query_string:(analyze_wildcard:!t,query:'%22rtdc.l.rtdc.4042%22')),sort:!(Time.ISO8601,asc))</v>
      </c>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row>
    <row r="93" spans="1:91" s="1" customFormat="1" x14ac:dyDescent="0.25">
      <c r="A93" s="32" t="s">
        <v>723</v>
      </c>
      <c r="B93" s="7">
        <v>4041</v>
      </c>
      <c r="C93" s="21" t="s">
        <v>194</v>
      </c>
      <c r="D93" s="21" t="s">
        <v>436</v>
      </c>
      <c r="E93" s="13">
        <v>43013.598402777781</v>
      </c>
      <c r="F93" s="13">
        <v>43013.602592592593</v>
      </c>
      <c r="G93" s="7">
        <v>64</v>
      </c>
      <c r="H93" s="21" t="s">
        <v>434</v>
      </c>
      <c r="I93" s="13">
        <v>43013.631423611114</v>
      </c>
      <c r="J93" s="7">
        <v>0</v>
      </c>
      <c r="K93" s="89" t="str">
        <f t="shared" si="37"/>
        <v>4041/4042</v>
      </c>
      <c r="L93" s="185" t="str">
        <f>VLOOKUP(A93,'Trips&amp;Operators'!$C$1:$G$99911,5,FALSE)</f>
        <v>LEVIN SCOTT</v>
      </c>
      <c r="M93" s="6">
        <f t="shared" si="38"/>
        <v>2.8831018520577345E-2</v>
      </c>
      <c r="N93" s="7">
        <f t="shared" si="35"/>
        <v>41.516666669631377</v>
      </c>
      <c r="O93" s="7"/>
      <c r="P93" s="7"/>
      <c r="Q93" s="22"/>
      <c r="R93" s="174"/>
      <c r="S93" s="221">
        <f t="shared" si="36"/>
        <v>1</v>
      </c>
      <c r="T93" s="174" t="str">
        <f t="shared" si="39"/>
        <v>Southbound</v>
      </c>
      <c r="U93" s="198">
        <f>IF(AG93="EC",COUNTIFS(Variables!$M$2:$M$19,IF(T93="NorthBound","&gt;=","&lt;=")&amp;Y93,Variables!$M$2:$M$19,IF(T93="NorthBound","&lt;=","&gt;=")&amp;Z93),COUNTIFS(Variables!$P$2:$P$19,IF(T93="NorthBound","&gt;=","&lt;=")&amp;Y93,Variables!$P$2:$P$19,IF(T93="NorthBound","&lt;=","&gt;=")&amp;Z93))</f>
        <v>12</v>
      </c>
      <c r="V93" s="216" t="str">
        <f t="shared" si="40"/>
        <v>https://d0f6bd738d7f1b3e5a7ca70fe4ff75f0.us-east-1.aws.found.io/app/kibana#/discover/Steve-Slow-Train-Analysis-(2080s-and-2083s)?_g=(refreshInterval:(display:Off,pause:!f,section:0,value:0),time:(from:'2017-10-05T13:21:42-0600',mode:absolute,to:'2017-10-05T16:09:15-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4041%22')),sort:!(Time.ISO8601,asc))</v>
      </c>
      <c r="W93" s="204" t="str">
        <f>IF(AA93&lt;VLOOKUP(AG93,Variables!$AC$3:$AD$8,2,FALSE),"Y","N")</f>
        <v>N</v>
      </c>
      <c r="X93" s="204">
        <f t="shared" si="41"/>
        <v>1</v>
      </c>
      <c r="Y93" s="204">
        <f t="shared" si="42"/>
        <v>23.2989</v>
      </c>
      <c r="Z93" s="204">
        <f t="shared" si="54"/>
        <v>1.6500000000000001E-2</v>
      </c>
      <c r="AA93" s="204">
        <f t="shared" si="44"/>
        <v>23.282399999999999</v>
      </c>
      <c r="AB93" s="54" t="e">
        <f>VLOOKUP(A93,Enforcements!$C$7:$K$11,8,0)</f>
        <v>#N/A</v>
      </c>
      <c r="AC93" s="51" t="e">
        <f>VLOOKUP(A93,Enforcements!$C$7:$E$11,3,0)</f>
        <v>#N/A</v>
      </c>
      <c r="AD93" s="179">
        <f t="shared" si="45"/>
        <v>180</v>
      </c>
      <c r="AE93" s="77" t="str">
        <f t="shared" si="46"/>
        <v>aws s3 cp s3://rtdc.mdm.uploadarchive.raw/RTDC4041/ "%USERPROFILE%\AppData\Local\Temp\OnboardLogs"\RTDC4041\2017-10-05 --exclude "*" --recursive --include "*20171005*" &amp; "%USERPROFILE%\Documents\GitHub\mrs-test-scripts\Headless Mode &amp; Sideloading\WalkAndUnGZ.bat" "%USERPROFILE%\AppData\Local\Temp\OnboardLogs"\RTDC4041\2017-10-05 &amp; aws s3 cp s3://rtdc.mdm.uploadarchive.raw/RTDC4041/ "%USERPROFILE%\AppData\Local\Temp\OnboardLogs"\RTDC4041\2017-10-06 --exclude "*" --recursive --include "*20171006*" &amp; "%USERPROFILE%\Documents\GitHub\mrs-test-scripts\Headless Mode &amp; Sideloading\WalkAndUnGZ.bat" "%USERPROFILE%\AppData\Local\Temp\OnboardLogs"\RTDC4041\2017-10-06</v>
      </c>
      <c r="AF93" s="74" t="str">
        <f t="shared" si="47"/>
        <v>"C:\Program Files (x86)\AstroGrep\AstroGrep.exe" /e /r /s /spath="%USERPROFILE%\AppData\Local\Temp\OnboardLogs" /stypes="app*4041*20171005*" /stext=" 21:.+((SYSTEM_STATE.+slice.+state.+changed )|(ment ac)|(multiple cpu faults)|(system.+state.+changed )|(\[timeout)|(PRM\|1\|D)|(kpr)|(kdp)|(train st.+moving)|(\|lc)|(penalty))"</v>
      </c>
      <c r="AG93" s="182" t="str">
        <f t="shared" si="48"/>
        <v>EC</v>
      </c>
      <c r="AH93" s="78" t="str">
        <f t="shared" si="49"/>
        <v>"%USERPROFILE%\Documents\GitHub\eaglep3\Utilities\RefineRTDCRunTimes.py" --tripid 180-05 --locoid 4041 --swversion DE.1.0.9.0 --startMP 204:232989 --initTime 2017-10-05T14:21:42 --startdatetime 2017-10-05T14:27:44 --delay 64 --endMP 204:165 --enddatetime 2017-10-05T15:09:15 --enforcementcount 0 &gt;&gt;%USERPROFILE%\Documents\GitHub\eaglep3-reporting\EC\2017-10-05-refined-times.txt</v>
      </c>
      <c r="AI93" s="96" t="str">
        <f t="shared" si="50"/>
        <v>echo {"issue":{"subject":"","project_id":79,"tracker_id":40,"status_id":1,"priority_id":2,"assigned_to_id":338,"start_date":"2017-10-05","description":"","custom_fields":[{"id":1,"name":"Subdivision","value":"EC"},{"id":4,"name":"Milepost","value":"0.0165"},{"id":17,"name":"Train ID","value":"180-05"},{"id":16,"name":"Locomotive ID","value":"4041"},{"id":130,"name":"Impact","value":""},{"id":150,"name":"Time of Event (Mountain Time)","value":"15:09:15"},{"id":151,"name":"Denver Issue ID","value":""},{"id":178,"name":"Operational Impact","value":"Yes"},{"id":179,"name":"Denver Segment Assigned","value":""}]}} | curl --insecure -X POST -H "Content-Type: application/json" -H "X-Redmine-API-Key: %REDMINEAPIKEY%" https://secure.xorail.net/redmine/issues.json --data @-</v>
      </c>
      <c r="AJ93" s="20"/>
      <c r="AK93" s="47"/>
      <c r="AL93" s="47"/>
      <c r="AM93" s="142" t="str">
        <f t="shared" si="51"/>
        <v>start /low /b %USERPROFILE%\Documents\GitHub\eaglep3\Utilities\DownloadLogsFromS3.py --loco 4041 --day 2017-10-05</v>
      </c>
      <c r="AN93" s="151" t="str">
        <f t="shared" si="52"/>
        <v>echo {"issue":{"subject":"","project_id":30,"tracker_id":4,"status_id":1,"priority_id":1,"assigned_to_id":10,"start_date":"2017-10-05","description":"","custom_fields":[{"id":30,"name":"Category","value":"Issue"},{"id":3,"name":"Functional Component","value":"Onboard"},{"id":31,"name":"Version","value":"N/A"},{"id":8,"name":"Reporting RR","value":"WABTEC"},{"id":27,"name":"Locomotive ID","value":"4041"},{"id":20,"name":"RR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21:09:15"},{"id":29,"name":"Sharepoint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93" s="168" t="str">
        <f t="shared" si="53"/>
        <v>https://d0f6bd738d7f1b3e5a7ca70fe4ff75f0.us-east-1.aws.found.io/app/kibana#/discover/Steve-Slow-Train-Analysis-(2080s-and-2083s)?_g=(refreshInterval:(display:Off,pause:!f,section:0,value:0),time:(from:'2017-10-05T13:21:42-0600',mode:absolute,to:'2017-10-05T16:09:15-0600'))&amp;_a=(columns:!('Message%20ID',Summary),filters:!(),index:'emp_*',interval:auto,query:(query_string:(analyze_wildcard:!t,query:'%22rtdc.l.rtdc.4041%22')),sort:!(Time.ISO8601,asc))</v>
      </c>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row>
    <row r="94" spans="1:91" s="1" customFormat="1" x14ac:dyDescent="0.25">
      <c r="A94" s="32" t="s">
        <v>716</v>
      </c>
      <c r="B94" s="7">
        <v>4044</v>
      </c>
      <c r="C94" s="21" t="s">
        <v>194</v>
      </c>
      <c r="D94" s="21" t="s">
        <v>411</v>
      </c>
      <c r="E94" s="13">
        <v>43013.568541666667</v>
      </c>
      <c r="F94" s="13">
        <v>43013.57309027778</v>
      </c>
      <c r="G94" s="7">
        <v>85</v>
      </c>
      <c r="H94" s="21" t="s">
        <v>856</v>
      </c>
      <c r="I94" s="13">
        <v>43013.598356481481</v>
      </c>
      <c r="J94" s="7">
        <v>0</v>
      </c>
      <c r="K94" s="89" t="str">
        <f t="shared" si="37"/>
        <v>4043/4044</v>
      </c>
      <c r="L94" s="185" t="str">
        <f>VLOOKUP(A94,'Trips&amp;Operators'!$C$1:$G$99911,5,FALSE)</f>
        <v>BERLING GARY</v>
      </c>
      <c r="M94" s="6">
        <f t="shared" si="38"/>
        <v>2.5266203701903578E-2</v>
      </c>
      <c r="N94" s="7">
        <f t="shared" si="35"/>
        <v>36.383333330741152</v>
      </c>
      <c r="O94" s="7"/>
      <c r="P94" s="7"/>
      <c r="Q94" s="22"/>
      <c r="R94" s="174"/>
      <c r="S94" s="221">
        <f t="shared" si="36"/>
        <v>1</v>
      </c>
      <c r="T94" s="174" t="str">
        <f t="shared" si="39"/>
        <v>NorthBound</v>
      </c>
      <c r="U94" s="198">
        <f>IF(AG94="EC",COUNTIFS(Variables!$M$2:$M$19,IF(T94="NorthBound","&gt;=","&lt;=")&amp;Y94,Variables!$M$2:$M$19,IF(T94="NorthBound","&lt;=","&gt;=")&amp;Z94),COUNTIFS(Variables!$P$2:$P$19,IF(T94="NorthBound","&gt;=","&lt;=")&amp;Y94,Variables!$P$2:$P$19,IF(T94="NorthBound","&lt;=","&gt;=")&amp;Z94))</f>
        <v>12</v>
      </c>
      <c r="V94" s="216" t="str">
        <f t="shared" si="40"/>
        <v>https://d0f6bd738d7f1b3e5a7ca70fe4ff75f0.us-east-1.aws.found.io/app/kibana#/discover/Steve-Slow-Train-Analysis-(2080s-and-2083s)?_g=(refreshInterval:(display:Off,pause:!f,section:0,value:0),time:(from:'2017-10-05T12:38:42-0600',mode:absolute,to:'2017-10-05T15:21:38-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4044%22')),sort:!(Time.ISO8601,asc))</v>
      </c>
      <c r="W94" s="204" t="str">
        <f>IF(AA94&lt;VLOOKUP(AG94,Variables!$AC$3:$AD$8,2,FALSE),"Y","N")</f>
        <v>N</v>
      </c>
      <c r="X94" s="204">
        <f t="shared" si="41"/>
        <v>1</v>
      </c>
      <c r="Y94" s="204">
        <f t="shared" si="42"/>
        <v>4.3799999999999999E-2</v>
      </c>
      <c r="Z94" s="204">
        <f t="shared" si="54"/>
        <v>23.328600000000002</v>
      </c>
      <c r="AA94" s="204">
        <f t="shared" si="44"/>
        <v>23.284800000000001</v>
      </c>
      <c r="AB94" s="54" t="e">
        <f>VLOOKUP(A94,Enforcements!$C$7:$K$11,8,0)</f>
        <v>#N/A</v>
      </c>
      <c r="AC94" s="51" t="e">
        <f>VLOOKUP(A94,Enforcements!$C$7:$E$11,3,0)</f>
        <v>#N/A</v>
      </c>
      <c r="AD94" s="179">
        <f t="shared" si="45"/>
        <v>181</v>
      </c>
      <c r="AE94" s="77" t="str">
        <f t="shared" si="46"/>
        <v>aws s3 cp s3://rtdc.mdm.uploadarchive.raw/RTDC4044/ "%USERPROFILE%\AppData\Local\Temp\OnboardLogs"\RTDC4044\2017-10-05 --exclude "*" --recursive --include "*20171005*" &amp; "%USERPROFILE%\Documents\GitHub\mrs-test-scripts\Headless Mode &amp; Sideloading\WalkAndUnGZ.bat" "%USERPROFILE%\AppData\Local\Temp\OnboardLogs"\RTDC4044\2017-10-05 &amp; aws s3 cp s3://rtdc.mdm.uploadarchive.raw/RTDC4044/ "%USERPROFILE%\AppData\Local\Temp\OnboardLogs"\RTDC4044\2017-10-06 --exclude "*" --recursive --include "*20171006*" &amp; "%USERPROFILE%\Documents\GitHub\mrs-test-scripts\Headless Mode &amp; Sideloading\WalkAndUnGZ.bat" "%USERPROFILE%\AppData\Local\Temp\OnboardLogs"\RTDC4044\2017-10-06</v>
      </c>
      <c r="AF94" s="74" t="str">
        <f t="shared" si="47"/>
        <v>"C:\Program Files (x86)\AstroGrep\AstroGrep.exe" /e /r /s /spath="%USERPROFILE%\AppData\Local\Temp\OnboardLogs" /stypes="app*4044*20171005*" /stext=" 20:.+((SYSTEM_STATE.+slice.+state.+changed )|(ment ac)|(multiple cpu faults)|(system.+state.+changed )|(\[timeout)|(PRM\|1\|D)|(kpr)|(kdp)|(train st.+moving)|(\|lc)|(penalty))"</v>
      </c>
      <c r="AG94" s="182" t="str">
        <f t="shared" si="48"/>
        <v>EC</v>
      </c>
      <c r="AH94" s="78" t="str">
        <f t="shared" si="49"/>
        <v>"%USERPROFILE%\Documents\GitHub\eaglep3\Utilities\RefineRTDCRunTimes.py" --tripid 181-05 --locoid 4044 --swversion DE.1.0.9.0 --startMP 204:438 --initTime 2017-10-05T13:38:42 --startdatetime 2017-10-05T13:45:15 --delay 85 --endMP 204:233286 --enddatetime 2017-10-05T14:21:38 --enforcementcount 0 &gt;&gt;%USERPROFILE%\Documents\GitHub\eaglep3-reporting\EC\2017-10-05-refined-times.txt</v>
      </c>
      <c r="AI94" s="96" t="str">
        <f t="shared" si="50"/>
        <v>echo {"issue":{"subject":"","project_id":79,"tracker_id":40,"status_id":1,"priority_id":2,"assigned_to_id":338,"start_date":"2017-10-05","description":"","custom_fields":[{"id":1,"name":"Subdivision","value":"EC"},{"id":4,"name":"Milepost","value":"23.3286"},{"id":17,"name":"Train ID","value":"181-05"},{"id":16,"name":"Locomotive ID","value":"4044"},{"id":130,"name":"Impact","value":""},{"id":150,"name":"Time of Event (Mountain Time)","value":"14:21:38"},{"id":151,"name":"Denver Issue ID","value":""},{"id":178,"name":"Operational Impact","value":"Yes"},{"id":179,"name":"Denver Segment Assigned","value":""}]}} | curl --insecure -X POST -H "Content-Type: application/json" -H "X-Redmine-API-Key: %REDMINEAPIKEY%" https://secure.xorail.net/redmine/issues.json --data @-</v>
      </c>
      <c r="AJ94" s="20"/>
      <c r="AK94" s="47"/>
      <c r="AL94" s="47"/>
      <c r="AM94" s="142" t="str">
        <f t="shared" si="51"/>
        <v>start /low /b %USERPROFILE%\Documents\GitHub\eaglep3\Utilities\DownloadLogsFromS3.py --loco 4044 --day 2017-10-05</v>
      </c>
      <c r="AN94" s="151" t="str">
        <f t="shared" si="52"/>
        <v>echo {"issue":{"subject":"","project_id":30,"tracker_id":4,"status_id":1,"priority_id":1,"assigned_to_id":10,"start_date":"2017-10-05","description":"","custom_fields":[{"id":30,"name":"Category","value":"Issue"},{"id":3,"name":"Functional Component","value":"Onboard"},{"id":31,"name":"Version","value":"N/A"},{"id":8,"name":"Reporting RR","value":"WABTEC"},{"id":27,"name":"Locomotive ID","value":"4044"},{"id":20,"name":"RR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20:21:38"},{"id":29,"name":"Sharepoint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94" s="168" t="str">
        <f t="shared" si="53"/>
        <v>https://d0f6bd738d7f1b3e5a7ca70fe4ff75f0.us-east-1.aws.found.io/app/kibana#/discover/Steve-Slow-Train-Analysis-(2080s-and-2083s)?_g=(refreshInterval:(display:Off,pause:!f,section:0,value:0),time:(from:'2017-10-05T12:38:42-0600',mode:absolute,to:'2017-10-05T15:21:38-0600'))&amp;_a=(columns:!('Message%20ID',Summary),filters:!(),index:'emp_*',interval:auto,query:(query_string:(analyze_wildcard:!t,query:'%22rtdc.l.rtdc.4044%22')),sort:!(Time.ISO8601,asc))</v>
      </c>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row>
    <row r="95" spans="1:91" s="1" customFormat="1" x14ac:dyDescent="0.25">
      <c r="A95" s="32" t="s">
        <v>725</v>
      </c>
      <c r="B95" s="7">
        <v>4043</v>
      </c>
      <c r="C95" s="21" t="s">
        <v>194</v>
      </c>
      <c r="D95" s="21" t="s">
        <v>460</v>
      </c>
      <c r="E95" s="13">
        <v>43013.606979166667</v>
      </c>
      <c r="F95" s="13">
        <v>43013.612962962965</v>
      </c>
      <c r="G95" s="7">
        <v>52</v>
      </c>
      <c r="H95" s="21" t="s">
        <v>361</v>
      </c>
      <c r="I95" s="13">
        <v>43013.640844907408</v>
      </c>
      <c r="J95" s="7">
        <v>0</v>
      </c>
      <c r="K95" s="89" t="str">
        <f t="shared" si="37"/>
        <v>4043/4044</v>
      </c>
      <c r="L95" s="185" t="str">
        <f>VLOOKUP(A95,'Trips&amp;Operators'!$C$1:$G$99911,5,FALSE)</f>
        <v>BERLING GARY</v>
      </c>
      <c r="M95" s="6">
        <f t="shared" si="38"/>
        <v>2.7881944442924578E-2</v>
      </c>
      <c r="N95" s="7">
        <f t="shared" si="35"/>
        <v>40.149999997811392</v>
      </c>
      <c r="O95" s="7"/>
      <c r="P95" s="7"/>
      <c r="Q95" s="22"/>
      <c r="R95" s="174"/>
      <c r="S95" s="221">
        <f t="shared" si="36"/>
        <v>1</v>
      </c>
      <c r="T95" s="174" t="str">
        <f t="shared" si="39"/>
        <v>Southbound</v>
      </c>
      <c r="U95" s="198">
        <f>IF(AG95="EC",COUNTIFS(Variables!$M$2:$M$19,IF(T95="NorthBound","&gt;=","&lt;=")&amp;Y95,Variables!$M$2:$M$19,IF(T95="NorthBound","&lt;=","&gt;=")&amp;Z95),COUNTIFS(Variables!$P$2:$P$19,IF(T95="NorthBound","&gt;=","&lt;=")&amp;Y95,Variables!$P$2:$P$19,IF(T95="NorthBound","&lt;=","&gt;=")&amp;Z95))</f>
        <v>12</v>
      </c>
      <c r="V95" s="216" t="str">
        <f t="shared" si="40"/>
        <v>https://d0f6bd738d7f1b3e5a7ca70fe4ff75f0.us-east-1.aws.found.io/app/kibana#/discover/Steve-Slow-Train-Analysis-(2080s-and-2083s)?_g=(refreshInterval:(display:Off,pause:!f,section:0,value:0),time:(from:'2017-10-05T13:34:03-0600',mode:absolute,to:'2017-10-05T16:22:49-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4043%22')),sort:!(Time.ISO8601,asc))</v>
      </c>
      <c r="W95" s="204" t="str">
        <f>IF(AA95&lt;VLOOKUP(AG95,Variables!$AC$3:$AD$8,2,FALSE),"Y","N")</f>
        <v>N</v>
      </c>
      <c r="X95" s="204">
        <f t="shared" si="41"/>
        <v>1</v>
      </c>
      <c r="Y95" s="204">
        <f t="shared" si="42"/>
        <v>23.297999999999998</v>
      </c>
      <c r="Z95" s="204">
        <f t="shared" si="54"/>
        <v>1.5599999999999999E-2</v>
      </c>
      <c r="AA95" s="204">
        <f t="shared" si="44"/>
        <v>23.282399999999999</v>
      </c>
      <c r="AB95" s="54" t="e">
        <f>VLOOKUP(A95,Enforcements!$C$7:$K$11,8,0)</f>
        <v>#N/A</v>
      </c>
      <c r="AC95" s="51" t="e">
        <f>VLOOKUP(A95,Enforcements!$C$7:$E$11,3,0)</f>
        <v>#N/A</v>
      </c>
      <c r="AD95" s="179">
        <f t="shared" si="45"/>
        <v>182</v>
      </c>
      <c r="AE95" s="77" t="str">
        <f t="shared" si="46"/>
        <v>aws s3 cp s3://rtdc.mdm.uploadarchive.raw/RTDC4043/ "%USERPROFILE%\AppData\Local\Temp\OnboardLogs"\RTDC4043\2017-10-05 --exclude "*" --recursive --include "*20171005*" &amp; "%USERPROFILE%\Documents\GitHub\mrs-test-scripts\Headless Mode &amp; Sideloading\WalkAndUnGZ.bat" "%USERPROFILE%\AppData\Local\Temp\OnboardLogs"\RTDC4043\2017-10-05 &amp; aws s3 cp s3://rtdc.mdm.uploadarchive.raw/RTDC4043/ "%USERPROFILE%\AppData\Local\Temp\OnboardLogs"\RTDC4043\2017-10-06 --exclude "*" --recursive --include "*20171006*" &amp; "%USERPROFILE%\Documents\GitHub\mrs-test-scripts\Headless Mode &amp; Sideloading\WalkAndUnGZ.bat" "%USERPROFILE%\AppData\Local\Temp\OnboardLogs"\RTDC4043\2017-10-06</v>
      </c>
      <c r="AF95" s="74" t="str">
        <f t="shared" si="47"/>
        <v>"C:\Program Files (x86)\AstroGrep\AstroGrep.exe" /e /r /s /spath="%USERPROFILE%\AppData\Local\Temp\OnboardLogs" /stypes="app*4043*20171005*" /stext=" 21:.+((SYSTEM_STATE.+slice.+state.+changed )|(ment ac)|(multiple cpu faults)|(system.+state.+changed )|(\[timeout)|(PRM\|1\|D)|(kpr)|(kdp)|(train st.+moving)|(\|lc)|(penalty))"</v>
      </c>
      <c r="AG95" s="182" t="str">
        <f t="shared" si="48"/>
        <v>EC</v>
      </c>
      <c r="AH95" s="78" t="str">
        <f t="shared" si="49"/>
        <v>"%USERPROFILE%\Documents\GitHub\eaglep3\Utilities\RefineRTDCRunTimes.py" --tripid 182-05 --locoid 4043 --swversion DE.1.0.9.0 --startMP 204:232980 --initTime 2017-10-05T14:34:03 --startdatetime 2017-10-05T14:42:40 --delay 52 --endMP 204:156 --enddatetime 2017-10-05T15:22:49 --enforcementcount 0 &gt;&gt;%USERPROFILE%\Documents\GitHub\eaglep3-reporting\EC\2017-10-05-refined-times.txt</v>
      </c>
      <c r="AI95" s="96" t="str">
        <f t="shared" si="50"/>
        <v>echo {"issue":{"subject":"","project_id":79,"tracker_id":40,"status_id":1,"priority_id":2,"assigned_to_id":338,"start_date":"2017-10-05","description":"","custom_fields":[{"id":1,"name":"Subdivision","value":"EC"},{"id":4,"name":"Milepost","value":"0.0156"},{"id":17,"name":"Train ID","value":"182-05"},{"id":16,"name":"Locomotive ID","value":"4043"},{"id":130,"name":"Impact","value":""},{"id":150,"name":"Time of Event (Mountain Time)","value":"15:22:49"},{"id":151,"name":"Denver Issue ID","value":""},{"id":178,"name":"Operational Impact","value":"Yes"},{"id":179,"name":"Denver Segment Assigned","value":""}]}} | curl --insecure -X POST -H "Content-Type: application/json" -H "X-Redmine-API-Key: %REDMINEAPIKEY%" https://secure.xorail.net/redmine/issues.json --data @-</v>
      </c>
      <c r="AJ95" s="20"/>
      <c r="AK95" s="47"/>
      <c r="AL95" s="47"/>
      <c r="AM95" s="142" t="str">
        <f t="shared" si="51"/>
        <v>start /low /b %USERPROFILE%\Documents\GitHub\eaglep3\Utilities\DownloadLogsFromS3.py --loco 4043 --day 2017-10-05</v>
      </c>
      <c r="AN95" s="151" t="str">
        <f t="shared" si="52"/>
        <v>echo {"issue":{"subject":"","project_id":30,"tracker_id":4,"status_id":1,"priority_id":1,"assigned_to_id":10,"start_date":"2017-10-05","description":"","custom_fields":[{"id":30,"name":"Category","value":"Issue"},{"id":3,"name":"Functional Component","value":"Onboard"},{"id":31,"name":"Version","value":"N/A"},{"id":8,"name":"Reporting RR","value":"WABTEC"},{"id":27,"name":"Locomotive ID","value":"4043"},{"id":20,"name":"RR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21:22:49"},{"id":29,"name":"Sharepoint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95" s="168" t="str">
        <f t="shared" si="53"/>
        <v>https://d0f6bd738d7f1b3e5a7ca70fe4ff75f0.us-east-1.aws.found.io/app/kibana#/discover/Steve-Slow-Train-Analysis-(2080s-and-2083s)?_g=(refreshInterval:(display:Off,pause:!f,section:0,value:0),time:(from:'2017-10-05T13:34:03-0600',mode:absolute,to:'2017-10-05T16:22:49-0600'))&amp;_a=(columns:!('Message%20ID',Summary),filters:!(),index:'emp_*',interval:auto,query:(query_string:(analyze_wildcard:!t,query:'%22rtdc.l.rtdc.4043%22')),sort:!(Time.ISO8601,asc))</v>
      </c>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row>
    <row r="96" spans="1:91" s="1" customFormat="1" x14ac:dyDescent="0.25">
      <c r="A96" s="32" t="s">
        <v>604</v>
      </c>
      <c r="B96" s="7">
        <v>4012</v>
      </c>
      <c r="C96" s="21" t="s">
        <v>194</v>
      </c>
      <c r="D96" s="21" t="s">
        <v>355</v>
      </c>
      <c r="E96" s="13">
        <v>43013.578506944446</v>
      </c>
      <c r="F96" s="13">
        <v>43013.596921296295</v>
      </c>
      <c r="G96" s="7">
        <v>124</v>
      </c>
      <c r="H96" s="21" t="s">
        <v>857</v>
      </c>
      <c r="I96" s="13">
        <v>43013.613796296297</v>
      </c>
      <c r="J96" s="7">
        <v>0</v>
      </c>
      <c r="K96" s="89" t="str">
        <f t="shared" si="37"/>
        <v>4011/4012</v>
      </c>
      <c r="L96" s="185" t="str">
        <f>VLOOKUP(A96,'Trips&amp;Operators'!$C$1:$G$99911,5,FALSE)</f>
        <v>NATION TRACI</v>
      </c>
      <c r="M96" s="6">
        <f t="shared" si="38"/>
        <v>1.6875000001164153E-2</v>
      </c>
      <c r="N96" s="7"/>
      <c r="O96" s="7"/>
      <c r="P96" s="7">
        <f>24*60*SUM($M96:$M96)</f>
        <v>24.300000001676381</v>
      </c>
      <c r="Q96" s="22"/>
      <c r="R96" s="174" t="s">
        <v>430</v>
      </c>
      <c r="S96" s="221">
        <f>1/IF(AG96="EC",12,1)*SUM(U96:U97)</f>
        <v>0.91666666666666663</v>
      </c>
      <c r="T96" s="174" t="str">
        <f t="shared" si="39"/>
        <v>NorthBound</v>
      </c>
      <c r="U96" s="198">
        <f>IF(AG96="EC",COUNTIFS(Variables!$M$2:$M$19,IF(T96="NorthBound","&gt;=","&lt;=")&amp;Y96,Variables!$M$2:$M$19,IF(T96="NorthBound","&lt;=","&gt;=")&amp;Z96),COUNTIFS(Variables!$P$2:$P$19,IF(T96="NorthBound","&gt;=","&lt;=")&amp;Y96,Variables!$P$2:$P$19,IF(T96="NorthBound","&lt;=","&gt;=")&amp;Z96))</f>
        <v>8</v>
      </c>
      <c r="V96" s="216" t="str">
        <f t="shared" si="40"/>
        <v>https://d0f6bd738d7f1b3e5a7ca70fe4ff75f0.us-east-1.aws.found.io/app/kibana#/discover/Steve-Slow-Train-Analysis-(2080s-and-2083s)?_g=(refreshInterval:(display:Off,pause:!f,section:0,value:0),time:(from:'2017-10-05T12:53:03-0600',mode:absolute,to:'2017-10-05T15:43:52-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4012%22')),sort:!(Time.ISO8601,asc))</v>
      </c>
      <c r="W96" s="204" t="str">
        <f>IF(AA96&lt;VLOOKUP(AG96,Variables!$AC$3:$AD$8,2,FALSE),"Y","N")</f>
        <v>Y</v>
      </c>
      <c r="X96" s="204">
        <f t="shared" si="41"/>
        <v>1</v>
      </c>
      <c r="Y96" s="204">
        <f t="shared" si="42"/>
        <v>4.58E-2</v>
      </c>
      <c r="Z96" s="204">
        <f t="shared" si="54"/>
        <v>5.9391999999999996</v>
      </c>
      <c r="AA96" s="204">
        <f t="shared" si="44"/>
        <v>5.8933999999999997</v>
      </c>
      <c r="AB96" s="54" t="e">
        <f>VLOOKUP(A96,Enforcements!$C$7:$K$11,8,0)</f>
        <v>#N/A</v>
      </c>
      <c r="AC96" s="51" t="e">
        <f>VLOOKUP(A96,Enforcements!$C$7:$E$11,3,0)</f>
        <v>#N/A</v>
      </c>
      <c r="AD96" s="179">
        <f t="shared" si="45"/>
        <v>183</v>
      </c>
      <c r="AE96" s="77" t="str">
        <f t="shared" si="46"/>
        <v>aws s3 cp s3://rtdc.mdm.uploadarchive.raw/RTDC4012/ "%USERPROFILE%\AppData\Local\Temp\OnboardLogs"\RTDC4012\2017-10-05 --exclude "*" --recursive --include "*20171005*" &amp; "%USERPROFILE%\Documents\GitHub\mrs-test-scripts\Headless Mode &amp; Sideloading\WalkAndUnGZ.bat" "%USERPROFILE%\AppData\Local\Temp\OnboardLogs"\RTDC4012\2017-10-05 &amp; aws s3 cp s3://rtdc.mdm.uploadarchive.raw/RTDC4012/ "%USERPROFILE%\AppData\Local\Temp\OnboardLogs"\RTDC4012\2017-10-06 --exclude "*" --recursive --include "*20171006*" &amp; "%USERPROFILE%\Documents\GitHub\mrs-test-scripts\Headless Mode &amp; Sideloading\WalkAndUnGZ.bat" "%USERPROFILE%\AppData\Local\Temp\OnboardLogs"\RTDC4012\2017-10-06</v>
      </c>
      <c r="AF96" s="74" t="str">
        <f t="shared" si="47"/>
        <v>"C:\Program Files (x86)\AstroGrep\AstroGrep.exe" /e /r /s /spath="%USERPROFILE%\AppData\Local\Temp\OnboardLogs" /stypes="app*4012*20171005*" /stext=" 20:.+((SYSTEM_STATE.+slice.+state.+changed )|(ment ac)|(multiple cpu faults)|(system.+state.+changed )|(\[timeout)|(PRM\|1\|D)|(kpr)|(kdp)|(train st.+moving)|(\|lc)|(penalty))"</v>
      </c>
      <c r="AG96" s="182" t="str">
        <f t="shared" si="48"/>
        <v>EC</v>
      </c>
      <c r="AH96" s="78" t="str">
        <f t="shared" si="49"/>
        <v>"%USERPROFILE%\Documents\GitHub\eaglep3\Utilities\RefineRTDCRunTimes.py" --tripid 183-05 --locoid 4012 --swversion DE.1.0.9.0 --startMP 204:458 --initTime 2017-10-05T13:53:03 --startdatetime 2017-10-05T14:19:34 --delay 124 --endMP 204:59392 --enddatetime 2017-10-05T14:43:52 --enforcementcount 0 &gt;&gt;%USERPROFILE%\Documents\GitHub\eaglep3-reporting\EC\2017-10-05-refined-times.txt</v>
      </c>
      <c r="AI96" s="96" t="str">
        <f t="shared" si="50"/>
        <v>echo {"issue":{"subject":"Wi-MAX data drop","project_id":79,"tracker_id":40,"status_id":1,"priority_id":2,"assigned_to_id":338,"start_date":"2017-10-05","description":"","custom_fields":[{"id":1,"name":"Subdivision","value":"EC"},{"id":4,"name":"Milepost","value":"5.9392"},{"id":17,"name":"Train ID","value":"183-05"},{"id":16,"name":"Locomotive ID","value":"4012"},{"id":130,"name":"Impact","value":""},{"id":150,"name":"Time of Event (Mountain Time)","value":"14:43:52"},{"id":151,"name":"Denver Issue ID","value":""},{"id":178,"name":"Operational Impact","value":"Yes"},{"id":179,"name":"Denver Segment Assigned","value":""}]}} | curl --insecure -X POST -H "Content-Type: application/json" -H "X-Redmine-API-Key: %REDMINEAPIKEY%" https://secure.xorail.net/redmine/issues.json --data @-</v>
      </c>
      <c r="AJ96" s="20"/>
      <c r="AK96" s="47"/>
      <c r="AL96" s="47"/>
      <c r="AM96" s="142" t="str">
        <f t="shared" si="51"/>
        <v>start /low /b %USERPROFILE%\Documents\GitHub\eaglep3\Utilities\DownloadLogsFromS3.py --loco 4012 --day 2017-10-05</v>
      </c>
      <c r="AN96" s="151" t="str">
        <f t="shared" si="52"/>
        <v>echo {"issue":{"subject":"Wi-MAX data drop","project_id":30,"tracker_id":4,"status_id":1,"priority_id":1,"assigned_to_id":10,"start_date":"2017-10-05","description":"","custom_fields":[{"id":30,"name":"Category","value":"Issue"},{"id":3,"name":"Functional Component","value":"Onboard"},{"id":31,"name":"Version","value":"N/A"},{"id":8,"name":"Reporting RR","value":"WABTEC"},{"id":27,"name":"Locomotive ID","value":"4012"},{"id":20,"name":"RR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20:43:52"},{"id":29,"name":"Sharepoint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96" s="168" t="str">
        <f t="shared" si="53"/>
        <v>https://d0f6bd738d7f1b3e5a7ca70fe4ff75f0.us-east-1.aws.found.io/app/kibana#/discover/Steve-Slow-Train-Analysis-(2080s-and-2083s)?_g=(refreshInterval:(display:Off,pause:!f,section:0,value:0),time:(from:'2017-10-05T12:53:03-0600',mode:absolute,to:'2017-10-05T15:43:52-0600'))&amp;_a=(columns:!('Message%20ID',Summary),filters:!(),index:'emp_*',interval:auto,query:(query_string:(analyze_wildcard:!t,query:'%22rtdc.l.rtdc.4012%22')),sort:!(Time.ISO8601,asc))</v>
      </c>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row>
    <row r="97" spans="1:91" s="1" customFormat="1" x14ac:dyDescent="0.25">
      <c r="A97" s="32" t="s">
        <v>604</v>
      </c>
      <c r="B97" s="7">
        <v>4012</v>
      </c>
      <c r="C97" s="21" t="s">
        <v>194</v>
      </c>
      <c r="D97" s="21" t="s">
        <v>858</v>
      </c>
      <c r="E97" s="13">
        <v>43013.595937500002</v>
      </c>
      <c r="F97" s="13">
        <v>43013.596921296295</v>
      </c>
      <c r="G97" s="7">
        <v>38</v>
      </c>
      <c r="H97" s="21" t="s">
        <v>859</v>
      </c>
      <c r="I97" s="13">
        <v>43013.613796296297</v>
      </c>
      <c r="J97" s="7">
        <v>0</v>
      </c>
      <c r="K97" s="89" t="str">
        <f t="shared" si="37"/>
        <v>4011/4012</v>
      </c>
      <c r="L97" s="185" t="str">
        <f>VLOOKUP(A97,'Trips&amp;Operators'!$C$1:$G$99911,5,FALSE)</f>
        <v>NATION TRACI</v>
      </c>
      <c r="M97" s="6">
        <f t="shared" si="38"/>
        <v>1.6875000001164153E-2</v>
      </c>
      <c r="N97" s="7"/>
      <c r="O97" s="7"/>
      <c r="P97" s="7"/>
      <c r="Q97" s="22"/>
      <c r="R97" s="174"/>
      <c r="S97" s="221"/>
      <c r="T97" s="174" t="str">
        <f t="shared" si="39"/>
        <v>NorthBound</v>
      </c>
      <c r="U97" s="198">
        <f>IF(AG97="EC",COUNTIFS(Variables!$M$2:$M$19,IF(T97="NorthBound","&gt;=","&lt;=")&amp;Y97,Variables!$M$2:$M$19,IF(T97="NorthBound","&lt;=","&gt;=")&amp;Z97),COUNTIFS(Variables!$P$2:$P$19,IF(T97="NorthBound","&gt;=","&lt;=")&amp;Y97,Variables!$P$2:$P$19,IF(T97="NorthBound","&lt;=","&gt;=")&amp;Z97))</f>
        <v>3</v>
      </c>
      <c r="V97" s="216" t="str">
        <f t="shared" si="40"/>
        <v>https://d0f6bd738d7f1b3e5a7ca70fe4ff75f0.us-east-1.aws.found.io/app/kibana#/discover/Steve-Slow-Train-Analysis-(2080s-and-2083s)?_g=(refreshInterval:(display:Off,pause:!f,section:0,value:0),time:(from:'2017-10-05T13:18:09-0600',mode:absolute,to:'2017-10-05T15:43:52-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4012%22')),sort:!(Time.ISO8601,asc))</v>
      </c>
      <c r="W97" s="204" t="str">
        <f>IF(AA97&lt;VLOOKUP(AG97,Variables!$AC$3:$AD$8,2,FALSE),"Y","N")</f>
        <v>Y</v>
      </c>
      <c r="X97" s="204">
        <f t="shared" si="41"/>
        <v>0</v>
      </c>
      <c r="Y97" s="204">
        <f t="shared" si="42"/>
        <v>6.4694000000000003</v>
      </c>
      <c r="Z97" s="204">
        <f t="shared" si="54"/>
        <v>23.317599999999999</v>
      </c>
      <c r="AA97" s="204">
        <f t="shared" si="44"/>
        <v>16.848199999999999</v>
      </c>
      <c r="AB97" s="54" t="e">
        <f>VLOOKUP(A97,Enforcements!$C$7:$K$11,8,0)</f>
        <v>#N/A</v>
      </c>
      <c r="AC97" s="51" t="e">
        <f>VLOOKUP(A97,Enforcements!$C$7:$E$11,3,0)</f>
        <v>#N/A</v>
      </c>
      <c r="AD97" s="179">
        <f t="shared" si="45"/>
        <v>183</v>
      </c>
      <c r="AE97" s="77" t="str">
        <f t="shared" si="46"/>
        <v>aws s3 cp s3://rtdc.mdm.uploadarchive.raw/RTDC4012/ "%USERPROFILE%\AppData\Local\Temp\OnboardLogs"\RTDC4012\2017-10-05 --exclude "*" --recursive --include "*20171005*" &amp; "%USERPROFILE%\Documents\GitHub\mrs-test-scripts\Headless Mode &amp; Sideloading\WalkAndUnGZ.bat" "%USERPROFILE%\AppData\Local\Temp\OnboardLogs"\RTDC4012\2017-10-05 &amp; aws s3 cp s3://rtdc.mdm.uploadarchive.raw/RTDC4012/ "%USERPROFILE%\AppData\Local\Temp\OnboardLogs"\RTDC4012\2017-10-06 --exclude "*" --recursive --include "*20171006*" &amp; "%USERPROFILE%\Documents\GitHub\mrs-test-scripts\Headless Mode &amp; Sideloading\WalkAndUnGZ.bat" "%USERPROFILE%\AppData\Local\Temp\OnboardLogs"\RTDC4012\2017-10-06</v>
      </c>
      <c r="AF97" s="74" t="str">
        <f t="shared" si="47"/>
        <v>"C:\Program Files (x86)\AstroGrep\AstroGrep.exe" /e /r /s /spath="%USERPROFILE%\AppData\Local\Temp\OnboardLogs" /stypes="app*4012*20171005*" /stext=" 20:.+((SYSTEM_STATE.+slice.+state.+changed )|(ment ac)|(multiple cpu faults)|(system.+state.+changed )|(\[timeout)|(PRM\|1\|D)|(kpr)|(kdp)|(train st.+moving)|(\|lc)|(penalty))"</v>
      </c>
      <c r="AG97" s="182" t="str">
        <f t="shared" si="48"/>
        <v>EC</v>
      </c>
      <c r="AH97" s="78" t="str">
        <f t="shared" si="49"/>
        <v>"%USERPROFILE%\Documents\GitHub\eaglep3\Utilities\RefineRTDCRunTimes.py" --tripid 183-05 --locoid 4012 --swversion DE.1.0.9.0 --startMP 204:64694 --initTime 2017-10-05T14:18:09 --startdatetime 2017-10-05T14:19:34 --delay 38 --endMP 204:233176 --enddatetime 2017-10-05T14:43:52 --enforcementcount 0 &gt;&gt;%USERPROFILE%\Documents\GitHub\eaglep3-reporting\EC\2017-10-05-refined-times.txt</v>
      </c>
      <c r="AI97" s="96" t="str">
        <f t="shared" si="50"/>
        <v>echo {"issue":{"subject":"","project_id":79,"tracker_id":40,"status_id":1,"priority_id":2,"assigned_to_id":338,"start_date":"2017-10-05","description":"","custom_fields":[{"id":1,"name":"Subdivision","value":"EC"},{"id":4,"name":"Milepost","value":"23.3176"},{"id":17,"name":"Train ID","value":"183-05"},{"id":16,"name":"Locomotive ID","value":"4012"},{"id":130,"name":"Impact","value":""},{"id":150,"name":"Time of Event (Mountain Time)","value":"14:43:52"},{"id":151,"name":"Denver Issue ID","value":""},{"id":178,"name":"Operational Impact","value":"Yes"},{"id":179,"name":"Denver Segment Assigned","value":""}]}} | curl --insecure -X POST -H "Content-Type: application/json" -H "X-Redmine-API-Key: %REDMINEAPIKEY%" https://secure.xorail.net/redmine/issues.json --data @-</v>
      </c>
      <c r="AJ97" s="20"/>
      <c r="AK97" s="47"/>
      <c r="AL97" s="47"/>
      <c r="AM97" s="142" t="str">
        <f t="shared" si="51"/>
        <v>start /low /b %USERPROFILE%\Documents\GitHub\eaglep3\Utilities\DownloadLogsFromS3.py --loco 4012 --day 2017-10-05</v>
      </c>
      <c r="AN97" s="151" t="str">
        <f t="shared" si="52"/>
        <v>echo {"issue":{"subject":"","project_id":30,"tracker_id":4,"status_id":1,"priority_id":1,"assigned_to_id":10,"start_date":"2017-10-05","description":"","custom_fields":[{"id":30,"name":"Category","value":"Issue"},{"id":3,"name":"Functional Component","value":"Onboard"},{"id":31,"name":"Version","value":"N/A"},{"id":8,"name":"Reporting RR","value":"WABTEC"},{"id":27,"name":"Locomotive ID","value":"4012"},{"id":20,"name":"RR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20:43:52"},{"id":29,"name":"Sharepoint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97" s="168" t="str">
        <f t="shared" si="53"/>
        <v>https://d0f6bd738d7f1b3e5a7ca70fe4ff75f0.us-east-1.aws.found.io/app/kibana#/discover/Steve-Slow-Train-Analysis-(2080s-and-2083s)?_g=(refreshInterval:(display:Off,pause:!f,section:0,value:0),time:(from:'2017-10-05T13:18:09-0600',mode:absolute,to:'2017-10-05T15:43:52-0600'))&amp;_a=(columns:!('Message%20ID',Summary),filters:!(),index:'emp_*',interval:auto,query:(query_string:(analyze_wildcard:!t,query:'%22rtdc.l.rtdc.4012%22')),sort:!(Time.ISO8601,asc))</v>
      </c>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row>
    <row r="98" spans="1:91" s="1" customFormat="1" x14ac:dyDescent="0.25">
      <c r="A98" s="32" t="s">
        <v>727</v>
      </c>
      <c r="B98" s="7">
        <v>4011</v>
      </c>
      <c r="C98" s="21" t="s">
        <v>194</v>
      </c>
      <c r="D98" s="21" t="s">
        <v>860</v>
      </c>
      <c r="E98" s="13">
        <v>43013.619675925926</v>
      </c>
      <c r="F98" s="13">
        <v>43013.623287037037</v>
      </c>
      <c r="G98" s="7">
        <v>86</v>
      </c>
      <c r="H98" s="21" t="s">
        <v>340</v>
      </c>
      <c r="I98" s="13">
        <v>43013.653275462966</v>
      </c>
      <c r="J98" s="7">
        <v>0</v>
      </c>
      <c r="K98" s="89" t="str">
        <f t="shared" si="37"/>
        <v>4011/4012</v>
      </c>
      <c r="L98" s="185" t="str">
        <f>VLOOKUP(A98,'Trips&amp;Operators'!$C$1:$G$99911,5,FALSE)</f>
        <v>NATION TRACI</v>
      </c>
      <c r="M98" s="6">
        <f t="shared" si="38"/>
        <v>2.9988425929332152E-2</v>
      </c>
      <c r="N98" s="7">
        <f>24*60*SUM($M98:$M98)</f>
        <v>43.183333338238299</v>
      </c>
      <c r="O98" s="7"/>
      <c r="P98" s="7"/>
      <c r="Q98" s="22"/>
      <c r="R98" s="174"/>
      <c r="S98" s="221">
        <f>1/IF(AG98="EC",12,1)*SUM(U98:U98)</f>
        <v>1</v>
      </c>
      <c r="T98" s="174" t="str">
        <f t="shared" si="39"/>
        <v>Southbound</v>
      </c>
      <c r="U98" s="198">
        <f>IF(AG98="EC",COUNTIFS(Variables!$M$2:$M$19,IF(T98="NorthBound","&gt;=","&lt;=")&amp;Y98,Variables!$M$2:$M$19,IF(T98="NorthBound","&lt;=","&gt;=")&amp;Z98),COUNTIFS(Variables!$P$2:$P$19,IF(T98="NorthBound","&gt;=","&lt;=")&amp;Y98,Variables!$P$2:$P$19,IF(T98="NorthBound","&lt;=","&gt;=")&amp;Z98))</f>
        <v>12</v>
      </c>
      <c r="V98" s="216" t="str">
        <f t="shared" si="40"/>
        <v>https://d0f6bd738d7f1b3e5a7ca70fe4ff75f0.us-east-1.aws.found.io/app/kibana#/discover/Steve-Slow-Train-Analysis-(2080s-and-2083s)?_g=(refreshInterval:(display:Off,pause:!f,section:0,value:0),time:(from:'2017-10-05T13:52:20-0600',mode:absolute,to:'2017-10-05T16:40:43-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4011%22')),sort:!(Time.ISO8601,asc))</v>
      </c>
      <c r="W98" s="204" t="str">
        <f>IF(AA98&lt;VLOOKUP(AG98,Variables!$AC$3:$AD$8,2,FALSE),"Y","N")</f>
        <v>N</v>
      </c>
      <c r="X98" s="204">
        <f t="shared" si="41"/>
        <v>1</v>
      </c>
      <c r="Y98" s="204">
        <f t="shared" si="42"/>
        <v>23.287400000000002</v>
      </c>
      <c r="Z98" s="204">
        <f t="shared" si="54"/>
        <v>1.47E-2</v>
      </c>
      <c r="AA98" s="204">
        <f t="shared" si="44"/>
        <v>23.2727</v>
      </c>
      <c r="AB98" s="54" t="e">
        <f>VLOOKUP(A98,Enforcements!$C$7:$K$11,8,0)</f>
        <v>#N/A</v>
      </c>
      <c r="AC98" s="51" t="e">
        <f>VLOOKUP(A98,Enforcements!$C$7:$E$11,3,0)</f>
        <v>#N/A</v>
      </c>
      <c r="AD98" s="179">
        <f t="shared" si="45"/>
        <v>184</v>
      </c>
      <c r="AE98" s="77" t="str">
        <f t="shared" si="46"/>
        <v>aws s3 cp s3://rtdc.mdm.uploadarchive.raw/RTDC4011/ "%USERPROFILE%\AppData\Local\Temp\OnboardLogs"\RTDC4011\2017-10-05 --exclude "*" --recursive --include "*20171005*" &amp; "%USERPROFILE%\Documents\GitHub\mrs-test-scripts\Headless Mode &amp; Sideloading\WalkAndUnGZ.bat" "%USERPROFILE%\AppData\Local\Temp\OnboardLogs"\RTDC4011\2017-10-05 &amp; aws s3 cp s3://rtdc.mdm.uploadarchive.raw/RTDC4011/ "%USERPROFILE%\AppData\Local\Temp\OnboardLogs"\RTDC4011\2017-10-06 --exclude "*" --recursive --include "*20171006*" &amp; "%USERPROFILE%\Documents\GitHub\mrs-test-scripts\Headless Mode &amp; Sideloading\WalkAndUnGZ.bat" "%USERPROFILE%\AppData\Local\Temp\OnboardLogs"\RTDC4011\2017-10-06</v>
      </c>
      <c r="AF98" s="74" t="str">
        <f t="shared" si="47"/>
        <v>"C:\Program Files (x86)\AstroGrep\AstroGrep.exe" /e /r /s /spath="%USERPROFILE%\AppData\Local\Temp\OnboardLogs" /stypes="app*4011*20171005*" /stext=" 21:.+((SYSTEM_STATE.+slice.+state.+changed )|(ment ac)|(multiple cpu faults)|(system.+state.+changed )|(\[timeout)|(PRM\|1\|D)|(kpr)|(kdp)|(train st.+moving)|(\|lc)|(penalty))"</v>
      </c>
      <c r="AG98" s="182" t="str">
        <f t="shared" si="48"/>
        <v>EC</v>
      </c>
      <c r="AH98" s="78" t="str">
        <f t="shared" si="49"/>
        <v>"%USERPROFILE%\Documents\GitHub\eaglep3\Utilities\RefineRTDCRunTimes.py" --tripid 184-05 --locoid 4011 --swversion DE.1.0.9.0 --startMP 204:232874 --initTime 2017-10-05T14:52:20 --startdatetime 2017-10-05T14:57:32 --delay 86 --endMP 204:147 --enddatetime 2017-10-05T15:40:43 --enforcementcount 0 &gt;&gt;%USERPROFILE%\Documents\GitHub\eaglep3-reporting\EC\2017-10-05-refined-times.txt</v>
      </c>
      <c r="AI98" s="96" t="str">
        <f t="shared" si="50"/>
        <v>echo {"issue":{"subject":"","project_id":79,"tracker_id":40,"status_id":1,"priority_id":2,"assigned_to_id":338,"start_date":"2017-10-05","description":"","custom_fields":[{"id":1,"name":"Subdivision","value":"EC"},{"id":4,"name":"Milepost","value":"0.0147"},{"id":17,"name":"Train ID","value":"184-05"},{"id":16,"name":"Locomotive ID","value":"4011"},{"id":130,"name":"Impact","value":""},{"id":150,"name":"Time of Event (Mountain Time)","value":"15:40:43"},{"id":151,"name":"Denver Issue ID","value":""},{"id":178,"name":"Operational Impact","value":"Yes"},{"id":179,"name":"Denver Segment Assigned","value":""}]}} | curl --insecure -X POST -H "Content-Type: application/json" -H "X-Redmine-API-Key: %REDMINEAPIKEY%" https://secure.xorail.net/redmine/issues.json --data @-</v>
      </c>
      <c r="AJ98" s="20"/>
      <c r="AK98" s="47"/>
      <c r="AL98" s="47"/>
      <c r="AM98" s="142" t="str">
        <f t="shared" si="51"/>
        <v>start /low /b %USERPROFILE%\Documents\GitHub\eaglep3\Utilities\DownloadLogsFromS3.py --loco 4011 --day 2017-10-05</v>
      </c>
      <c r="AN98" s="151" t="str">
        <f t="shared" si="52"/>
        <v>echo {"issue":{"subject":"","project_id":30,"tracker_id":4,"status_id":1,"priority_id":1,"assigned_to_id":10,"start_date":"2017-10-05","description":"","custom_fields":[{"id":30,"name":"Category","value":"Issue"},{"id":3,"name":"Functional Component","value":"Onboard"},{"id":31,"name":"Version","value":"N/A"},{"id":8,"name":"Reporting RR","value":"WABTEC"},{"id":27,"name":"Locomotive ID","value":"4011"},{"id":20,"name":"RR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21:40:43"},{"id":29,"name":"Sharepoint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98" s="168" t="str">
        <f t="shared" si="53"/>
        <v>https://d0f6bd738d7f1b3e5a7ca70fe4ff75f0.us-east-1.aws.found.io/app/kibana#/discover/Steve-Slow-Train-Analysis-(2080s-and-2083s)?_g=(refreshInterval:(display:Off,pause:!f,section:0,value:0),time:(from:'2017-10-05T13:52:20-0600',mode:absolute,to:'2017-10-05T16:40:43-0600'))&amp;_a=(columns:!('Message%20ID',Summary),filters:!(),index:'emp_*',interval:auto,query:(query_string:(analyze_wildcard:!t,query:'%22rtdc.l.rtdc.4011%22')),sort:!(Time.ISO8601,asc))</v>
      </c>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row>
    <row r="99" spans="1:91" x14ac:dyDescent="0.25">
      <c r="A99" s="32" t="s">
        <v>722</v>
      </c>
      <c r="B99" s="7">
        <v>4008</v>
      </c>
      <c r="C99" s="21" t="s">
        <v>194</v>
      </c>
      <c r="D99" s="21" t="s">
        <v>381</v>
      </c>
      <c r="E99" s="13">
        <v>43013.590763888889</v>
      </c>
      <c r="F99" s="13">
        <v>43013.593900462962</v>
      </c>
      <c r="G99" s="7">
        <v>54</v>
      </c>
      <c r="H99" s="21" t="s">
        <v>545</v>
      </c>
      <c r="I99" s="13">
        <v>43013.620740740742</v>
      </c>
      <c r="J99" s="7">
        <v>0</v>
      </c>
      <c r="K99" s="89" t="str">
        <f t="shared" si="37"/>
        <v>4007/4008</v>
      </c>
      <c r="L99" s="185" t="str">
        <f>VLOOKUP(A99,'Trips&amp;Operators'!$C$1:$G$99911,5,FALSE)</f>
        <v>BADERTSCHER DIANE</v>
      </c>
      <c r="M99" s="6">
        <f t="shared" si="38"/>
        <v>2.6840277780138422E-2</v>
      </c>
      <c r="N99" s="7">
        <f>24*60*SUM($M99:$M99)</f>
        <v>38.650000003399327</v>
      </c>
      <c r="O99" s="7"/>
      <c r="P99" s="7"/>
      <c r="Q99" s="22"/>
      <c r="R99" s="174"/>
      <c r="S99" s="221">
        <f>1/IF(AG99="EC",12,1)*SUM(U99:U99)</f>
        <v>1</v>
      </c>
      <c r="T99" s="174" t="str">
        <f t="shared" si="39"/>
        <v>NorthBound</v>
      </c>
      <c r="U99" s="198">
        <f>IF(AG99="EC",COUNTIFS(Variables!$M$2:$M$19,IF(T99="NorthBound","&gt;=","&lt;=")&amp;Y99,Variables!$M$2:$M$19,IF(T99="NorthBound","&lt;=","&gt;=")&amp;Z99),COUNTIFS(Variables!$P$2:$P$19,IF(T99="NorthBound","&gt;=","&lt;=")&amp;Y99,Variables!$P$2:$P$19,IF(T99="NorthBound","&lt;=","&gt;=")&amp;Z99))</f>
        <v>12</v>
      </c>
      <c r="V99" s="216" t="str">
        <f t="shared" si="40"/>
        <v>https://d0f6bd738d7f1b3e5a7ca70fe4ff75f0.us-east-1.aws.found.io/app/kibana#/discover/Steve-Slow-Train-Analysis-(2080s-and-2083s)?_g=(refreshInterval:(display:Off,pause:!f,section:0,value:0),time:(from:'2017-10-05T13:10:42-0600',mode:absolute,to:'2017-10-05T15:53:52-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4008%22')),sort:!(Time.ISO8601,asc))</v>
      </c>
      <c r="W99" s="204" t="str">
        <f>IF(AA99&lt;VLOOKUP(AG99,Variables!$AC$3:$AD$8,2,FALSE),"Y","N")</f>
        <v>N</v>
      </c>
      <c r="X99" s="204">
        <f t="shared" si="41"/>
        <v>1</v>
      </c>
      <c r="Y99" s="204">
        <f t="shared" si="42"/>
        <v>4.4699999999999997E-2</v>
      </c>
      <c r="Z99" s="204">
        <f t="shared" si="54"/>
        <v>23.326799999999999</v>
      </c>
      <c r="AA99" s="204">
        <f t="shared" si="44"/>
        <v>23.2821</v>
      </c>
      <c r="AB99" s="54" t="e">
        <f>VLOOKUP(A99,Enforcements!$C$7:$K$11,8,0)</f>
        <v>#N/A</v>
      </c>
      <c r="AC99" s="51" t="e">
        <f>VLOOKUP(A99,Enforcements!$C$7:$E$11,3,0)</f>
        <v>#N/A</v>
      </c>
      <c r="AD99" s="179">
        <f t="shared" si="45"/>
        <v>185</v>
      </c>
      <c r="AE99" s="77" t="str">
        <f t="shared" si="46"/>
        <v>aws s3 cp s3://rtdc.mdm.uploadarchive.raw/RTDC4008/ "%USERPROFILE%\AppData\Local\Temp\OnboardLogs"\RTDC4008\2017-10-05 --exclude "*" --recursive --include "*20171005*" &amp; "%USERPROFILE%\Documents\GitHub\mrs-test-scripts\Headless Mode &amp; Sideloading\WalkAndUnGZ.bat" "%USERPROFILE%\AppData\Local\Temp\OnboardLogs"\RTDC4008\2017-10-05 &amp; aws s3 cp s3://rtdc.mdm.uploadarchive.raw/RTDC4008/ "%USERPROFILE%\AppData\Local\Temp\OnboardLogs"\RTDC4008\2017-10-06 --exclude "*" --recursive --include "*20171006*" &amp; "%USERPROFILE%\Documents\GitHub\mrs-test-scripts\Headless Mode &amp; Sideloading\WalkAndUnGZ.bat" "%USERPROFILE%\AppData\Local\Temp\OnboardLogs"\RTDC4008\2017-10-06</v>
      </c>
      <c r="AF99" s="74" t="str">
        <f t="shared" si="47"/>
        <v>"C:\Program Files (x86)\AstroGrep\AstroGrep.exe" /e /r /s /spath="%USERPROFILE%\AppData\Local\Temp\OnboardLogs" /stypes="app*4008*20171005*" /stext=" 20:.+((SYSTEM_STATE.+slice.+state.+changed )|(ment ac)|(multiple cpu faults)|(system.+state.+changed )|(\[timeout)|(PRM\|1\|D)|(kpr)|(kdp)|(train st.+moving)|(\|lc)|(penalty))"</v>
      </c>
      <c r="AG99" s="182" t="str">
        <f t="shared" si="48"/>
        <v>EC</v>
      </c>
      <c r="AH99" s="78" t="str">
        <f t="shared" si="49"/>
        <v>"%USERPROFILE%\Documents\GitHub\eaglep3\Utilities\RefineRTDCRunTimes.py" --tripid 185-05 --locoid 4008 --swversion DE.1.0.9.0 --startMP 204:447 --initTime 2017-10-05T14:10:42 --startdatetime 2017-10-05T14:15:13 --delay 54 --endMP 204:233268 --enddatetime 2017-10-05T14:53:52 --enforcementcount 0 &gt;&gt;%USERPROFILE%\Documents\GitHub\eaglep3-reporting\EC\2017-10-05-refined-times.txt</v>
      </c>
      <c r="AI99" s="96" t="str">
        <f t="shared" si="50"/>
        <v>echo {"issue":{"subject":"","project_id":79,"tracker_id":40,"status_id":1,"priority_id":2,"assigned_to_id":338,"start_date":"2017-10-05","description":"","custom_fields":[{"id":1,"name":"Subdivision","value":"EC"},{"id":4,"name":"Milepost","value":"23.3268"},{"id":17,"name":"Train ID","value":"185-05"},{"id":16,"name":"Locomotive ID","value":"4008"},{"id":130,"name":"Impact","value":""},{"id":150,"name":"Time of Event (Mountain Time)","value":"14:53:52"},{"id":151,"name":"Denver Issue ID","value":""},{"id":178,"name":"Operational Impact","value":"Yes"},{"id":179,"name":"Denver Segment Assigned","value":""}]}} | curl --insecure -X POST -H "Content-Type: application/json" -H "X-Redmine-API-Key: %REDMINEAPIKEY%" https://secure.xorail.net/redmine/issues.json --data @-</v>
      </c>
      <c r="AJ99" s="20"/>
      <c r="AK99" s="47"/>
      <c r="AL99" s="47"/>
      <c r="AM99" s="142" t="str">
        <f t="shared" si="51"/>
        <v>start /low /b %USERPROFILE%\Documents\GitHub\eaglep3\Utilities\DownloadLogsFromS3.py --loco 4008 --day 2017-10-05</v>
      </c>
      <c r="AN99" s="151" t="str">
        <f t="shared" si="52"/>
        <v>echo {"issue":{"subject":"","project_id":30,"tracker_id":4,"status_id":1,"priority_id":1,"assigned_to_id":10,"start_date":"2017-10-05","description":"","custom_fields":[{"id":30,"name":"Category","value":"Issue"},{"id":3,"name":"Functional Component","value":"Onboard"},{"id":31,"name":"Version","value":"N/A"},{"id":8,"name":"Reporting RR","value":"WABTEC"},{"id":27,"name":"Locomotive ID","value":"4008"},{"id":20,"name":"RR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20:53:52"},{"id":29,"name":"Sharepoint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99" s="168" t="str">
        <f t="shared" si="53"/>
        <v>https://d0f6bd738d7f1b3e5a7ca70fe4ff75f0.us-east-1.aws.found.io/app/kibana#/discover/Steve-Slow-Train-Analysis-(2080s-and-2083s)?_g=(refreshInterval:(display:Off,pause:!f,section:0,value:0),time:(from:'2017-10-05T13:10:42-0600',mode:absolute,to:'2017-10-05T15:53:52-0600'))&amp;_a=(columns:!('Message%20ID',Summary),filters:!(),index:'emp_*',interval:auto,query:(query_string:(analyze_wildcard:!t,query:'%22rtdc.l.rtdc.4008%22')),sort:!(Time.ISO8601,asc))</v>
      </c>
    </row>
    <row r="100" spans="1:91" s="20" customFormat="1" x14ac:dyDescent="0.25">
      <c r="A100" s="32" t="s">
        <v>729</v>
      </c>
      <c r="B100" s="7">
        <v>4007</v>
      </c>
      <c r="C100" s="21" t="s">
        <v>194</v>
      </c>
      <c r="D100" s="21" t="s">
        <v>491</v>
      </c>
      <c r="E100" s="13">
        <v>43013.627824074072</v>
      </c>
      <c r="F100" s="13">
        <v>43013.633506944447</v>
      </c>
      <c r="G100" s="7">
        <v>49</v>
      </c>
      <c r="H100" s="21" t="s">
        <v>356</v>
      </c>
      <c r="I100" s="13">
        <v>43013.661087962966</v>
      </c>
      <c r="J100" s="7">
        <v>0</v>
      </c>
      <c r="K100" s="89" t="str">
        <f t="shared" si="37"/>
        <v>4007/4008</v>
      </c>
      <c r="L100" s="185" t="str">
        <f>VLOOKUP(A100,'Trips&amp;Operators'!$C$1:$G$99911,5,FALSE)</f>
        <v>BADERTSCHER DIANE</v>
      </c>
      <c r="M100" s="6">
        <f t="shared" si="38"/>
        <v>2.7581018519413192E-2</v>
      </c>
      <c r="N100" s="7">
        <f>24*60*SUM($M100:$M100)</f>
        <v>39.716666667954996</v>
      </c>
      <c r="O100" s="7"/>
      <c r="P100" s="7"/>
      <c r="Q100" s="22"/>
      <c r="R100" s="174"/>
      <c r="S100" s="221">
        <f>1/IF(AG100="EC",12,1)*SUM(U100:U100)</f>
        <v>1</v>
      </c>
      <c r="T100" s="174" t="str">
        <f t="shared" si="39"/>
        <v>Southbound</v>
      </c>
      <c r="U100" s="198">
        <f>IF(AG100="EC",COUNTIFS(Variables!$M$2:$M$19,IF(T100="NorthBound","&gt;=","&lt;=")&amp;Y100,Variables!$M$2:$M$19,IF(T100="NorthBound","&lt;=","&gt;=")&amp;Z100),COUNTIFS(Variables!$P$2:$P$19,IF(T100="NorthBound","&gt;=","&lt;=")&amp;Y100,Variables!$P$2:$P$19,IF(T100="NorthBound","&lt;=","&gt;=")&amp;Z100))</f>
        <v>12</v>
      </c>
      <c r="V100" s="216" t="str">
        <f t="shared" si="40"/>
        <v>https://d0f6bd738d7f1b3e5a7ca70fe4ff75f0.us-east-1.aws.found.io/app/kibana#/discover/Steve-Slow-Train-Analysis-(2080s-and-2083s)?_g=(refreshInterval:(display:Off,pause:!f,section:0,value:0),time:(from:'2017-10-05T14:04:04-0600',mode:absolute,to:'2017-10-05T16:51:58-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4007%22')),sort:!(Time.ISO8601,asc))</v>
      </c>
      <c r="W100" s="204" t="str">
        <f>IF(AA100&lt;VLOOKUP(AG100,Variables!$AC$3:$AD$8,2,FALSE),"Y","N")</f>
        <v>N</v>
      </c>
      <c r="X100" s="204">
        <f t="shared" si="41"/>
        <v>1</v>
      </c>
      <c r="Y100" s="204">
        <f t="shared" si="42"/>
        <v>23.296900000000001</v>
      </c>
      <c r="Z100" s="204">
        <f t="shared" si="54"/>
        <v>1.52E-2</v>
      </c>
      <c r="AA100" s="204">
        <f t="shared" si="44"/>
        <v>23.281700000000001</v>
      </c>
      <c r="AB100" s="54" t="e">
        <f>VLOOKUP(A100,Enforcements!$C$7:$K$11,8,0)</f>
        <v>#N/A</v>
      </c>
      <c r="AC100" s="51" t="e">
        <f>VLOOKUP(A100,Enforcements!$C$7:$E$11,3,0)</f>
        <v>#N/A</v>
      </c>
      <c r="AD100" s="179">
        <f t="shared" si="45"/>
        <v>186</v>
      </c>
      <c r="AE100" s="77" t="str">
        <f t="shared" si="46"/>
        <v>aws s3 cp s3://rtdc.mdm.uploadarchive.raw/RTDC4007/ "%USERPROFILE%\AppData\Local\Temp\OnboardLogs"\RTDC4007\2017-10-05 --exclude "*" --recursive --include "*20171005*" &amp; "%USERPROFILE%\Documents\GitHub\mrs-test-scripts\Headless Mode &amp; Sideloading\WalkAndUnGZ.bat" "%USERPROFILE%\AppData\Local\Temp\OnboardLogs"\RTDC4007\2017-10-05 &amp; aws s3 cp s3://rtdc.mdm.uploadarchive.raw/RTDC4007/ "%USERPROFILE%\AppData\Local\Temp\OnboardLogs"\RTDC4007\2017-10-06 --exclude "*" --recursive --include "*20171006*" &amp; "%USERPROFILE%\Documents\GitHub\mrs-test-scripts\Headless Mode &amp; Sideloading\WalkAndUnGZ.bat" "%USERPROFILE%\AppData\Local\Temp\OnboardLogs"\RTDC4007\2017-10-06</v>
      </c>
      <c r="AF100" s="74" t="str">
        <f t="shared" si="47"/>
        <v>"C:\Program Files (x86)\AstroGrep\AstroGrep.exe" /e /r /s /spath="%USERPROFILE%\AppData\Local\Temp\OnboardLogs" /stypes="app*4007*20171005*" /stext=" 21:.+((SYSTEM_STATE.+slice.+state.+changed )|(ment ac)|(multiple cpu faults)|(system.+state.+changed )|(\[timeout)|(PRM\|1\|D)|(kpr)|(kdp)|(train st.+moving)|(\|lc)|(penalty))"</v>
      </c>
      <c r="AG100" s="182" t="str">
        <f t="shared" si="48"/>
        <v>EC</v>
      </c>
      <c r="AH100" s="78" t="str">
        <f t="shared" si="49"/>
        <v>"%USERPROFILE%\Documents\GitHub\eaglep3\Utilities\RefineRTDCRunTimes.py" --tripid 186-05 --locoid 4007 --swversion DE.1.0.9.0 --startMP 204:232969 --initTime 2017-10-05T15:04:04 --startdatetime 2017-10-05T15:12:15 --delay 49 --endMP 204:152 --enddatetime 2017-10-05T15:51:58 --enforcementcount 0 &gt;&gt;%USERPROFILE%\Documents\GitHub\eaglep3-reporting\EC\2017-10-05-refined-times.txt</v>
      </c>
      <c r="AI100" s="96" t="str">
        <f t="shared" si="50"/>
        <v>echo {"issue":{"subject":"","project_id":79,"tracker_id":40,"status_id":1,"priority_id":2,"assigned_to_id":338,"start_date":"2017-10-05","description":"","custom_fields":[{"id":1,"name":"Subdivision","value":"EC"},{"id":4,"name":"Milepost","value":"0.0152"},{"id":17,"name":"Train ID","value":"186-05"},{"id":16,"name":"Locomotive ID","value":"4007"},{"id":130,"name":"Impact","value":""},{"id":150,"name":"Time of Event (Mountain Time)","value":"15:51:58"},{"id":151,"name":"Denver Issue ID","value":""},{"id":178,"name":"Operational Impact","value":"Yes"},{"id":179,"name":"Denver Segment Assigned","value":""}]}} | curl --insecure -X POST -H "Content-Type: application/json" -H "X-Redmine-API-Key: %REDMINEAPIKEY%" https://secure.xorail.net/redmine/issues.json --data @-</v>
      </c>
      <c r="AK100" s="47"/>
      <c r="AL100" s="47"/>
      <c r="AM100" s="142" t="str">
        <f t="shared" si="51"/>
        <v>start /low /b %USERPROFILE%\Documents\GitHub\eaglep3\Utilities\DownloadLogsFromS3.py --loco 4007 --day 2017-10-05</v>
      </c>
      <c r="AN100" s="151" t="str">
        <f t="shared" si="52"/>
        <v>echo {"issue":{"subject":"","project_id":30,"tracker_id":4,"status_id":1,"priority_id":1,"assigned_to_id":10,"start_date":"2017-10-05","description":"","custom_fields":[{"id":30,"name":"Category","value":"Issue"},{"id":3,"name":"Functional Component","value":"Onboard"},{"id":31,"name":"Version","value":"N/A"},{"id":8,"name":"Reporting RR","value":"WABTEC"},{"id":27,"name":"Locomotive ID","value":"4007"},{"id":20,"name":"RR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21:51:58"},{"id":29,"name":"Sharepoint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00" s="168" t="str">
        <f t="shared" si="53"/>
        <v>https://d0f6bd738d7f1b3e5a7ca70fe4ff75f0.us-east-1.aws.found.io/app/kibana#/discover/Steve-Slow-Train-Analysis-(2080s-and-2083s)?_g=(refreshInterval:(display:Off,pause:!f,section:0,value:0),time:(from:'2017-10-05T14:04:04-0600',mode:absolute,to:'2017-10-05T16:51:58-0600'))&amp;_a=(columns:!('Message%20ID',Summary),filters:!(),index:'emp_*',interval:auto,query:(query_string:(analyze_wildcard:!t,query:'%22rtdc.l.rtdc.4007%22')),sort:!(Time.ISO8601,asc))</v>
      </c>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row>
    <row r="101" spans="1:91" s="20" customFormat="1" x14ac:dyDescent="0.25">
      <c r="A101" s="32" t="s">
        <v>606</v>
      </c>
      <c r="B101" s="7">
        <v>4016</v>
      </c>
      <c r="C101" s="21" t="s">
        <v>194</v>
      </c>
      <c r="D101" s="21" t="s">
        <v>413</v>
      </c>
      <c r="E101" s="13">
        <v>43013.597627314812</v>
      </c>
      <c r="F101" s="13">
        <v>43013.616030092591</v>
      </c>
      <c r="G101" s="7">
        <v>142</v>
      </c>
      <c r="H101" s="21" t="s">
        <v>861</v>
      </c>
      <c r="I101" s="13">
        <v>43013.632280092592</v>
      </c>
      <c r="J101" s="7">
        <v>0</v>
      </c>
      <c r="K101" s="89" t="str">
        <f t="shared" si="37"/>
        <v>4015/4016</v>
      </c>
      <c r="L101" s="185" t="str">
        <f>VLOOKUP(A101,'Trips&amp;Operators'!$C$1:$G$99911,5,FALSE)</f>
        <v>HOLCOMB KAMDEN</v>
      </c>
      <c r="M101" s="6">
        <f t="shared" si="38"/>
        <v>1.6250000000582077E-2</v>
      </c>
      <c r="N101" s="7"/>
      <c r="O101" s="7"/>
      <c r="P101" s="7">
        <f>24*60*SUM($M101:$M101)</f>
        <v>23.40000000083819</v>
      </c>
      <c r="Q101" s="22"/>
      <c r="R101" s="174" t="s">
        <v>430</v>
      </c>
      <c r="S101" s="221">
        <f>1/IF(AG101="EC",12,1)*SUM(U101:U102)</f>
        <v>0.75</v>
      </c>
      <c r="T101" s="174" t="str">
        <f t="shared" si="39"/>
        <v>NorthBound</v>
      </c>
      <c r="U101" s="198">
        <f>IF(AG101="EC",COUNTIFS(Variables!$M$2:$M$19,IF(T101="NorthBound","&gt;=","&lt;=")&amp;Y101,Variables!$M$2:$M$19,IF(T101="NorthBound","&lt;=","&gt;=")&amp;Z101),COUNTIFS(Variables!$P$2:$P$19,IF(T101="NorthBound","&gt;=","&lt;=")&amp;Y101,Variables!$P$2:$P$19,IF(T101="NorthBound","&lt;=","&gt;=")&amp;Z101))</f>
        <v>6</v>
      </c>
      <c r="V101" s="216" t="str">
        <f t="shared" si="40"/>
        <v>https://d0f6bd738d7f1b3e5a7ca70fe4ff75f0.us-east-1.aws.found.io/app/kibana#/discover/Steve-Slow-Train-Analysis-(2080s-and-2083s)?_g=(refreshInterval:(display:Off,pause:!f,section:0,value:0),time:(from:'2017-10-05T13:20:35-0600',mode:absolute,to:'2017-10-05T16:10:29-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W101" s="204" t="str">
        <f>IF(AA101&lt;VLOOKUP(AG101,Variables!$AC$3:$AD$8,2,FALSE),"Y","N")</f>
        <v>Y</v>
      </c>
      <c r="X101" s="204">
        <f t="shared" si="41"/>
        <v>1</v>
      </c>
      <c r="Y101" s="204">
        <f t="shared" si="42"/>
        <v>4.6699999999999998E-2</v>
      </c>
      <c r="Z101" s="204">
        <f t="shared" si="54"/>
        <v>5.5551000000000004</v>
      </c>
      <c r="AA101" s="204">
        <f t="shared" si="44"/>
        <v>5.5084</v>
      </c>
      <c r="AB101" s="54" t="e">
        <f>VLOOKUP(A101,Enforcements!$C$7:$K$11,8,0)</f>
        <v>#N/A</v>
      </c>
      <c r="AC101" s="51" t="e">
        <f>VLOOKUP(A101,Enforcements!$C$7:$E$11,3,0)</f>
        <v>#N/A</v>
      </c>
      <c r="AD101" s="179">
        <f t="shared" si="45"/>
        <v>187</v>
      </c>
      <c r="AE101" s="77" t="str">
        <f t="shared" si="46"/>
        <v>aws s3 cp s3://rtdc.mdm.uploadarchive.raw/RTDC4016/ "%USERPROFILE%\AppData\Local\Temp\OnboardLogs"\RTDC4016\2017-10-05 --exclude "*" --recursive --include "*20171005*" &amp; "%USERPROFILE%\Documents\GitHub\mrs-test-scripts\Headless Mode &amp; Sideloading\WalkAndUnGZ.bat" "%USERPROFILE%\AppData\Local\Temp\OnboardLogs"\RTDC4016\2017-10-05 &amp; aws s3 cp s3://rtdc.mdm.uploadarchive.raw/RTDC4016/ "%USERPROFILE%\AppData\Local\Temp\OnboardLogs"\RTDC4016\2017-10-06 --exclude "*" --recursive --include "*20171006*" &amp; "%USERPROFILE%\Documents\GitHub\mrs-test-scripts\Headless Mode &amp; Sideloading\WalkAndUnGZ.bat" "%USERPROFILE%\AppData\Local\Temp\OnboardLogs"\RTDC4016\2017-10-06</v>
      </c>
      <c r="AF101" s="74" t="str">
        <f t="shared" si="47"/>
        <v>"C:\Program Files (x86)\AstroGrep\AstroGrep.exe" /e /r /s /spath="%USERPROFILE%\AppData\Local\Temp\OnboardLogs" /stypes="app*4016*20171005*" /stext=" 21:.+((SYSTEM_STATE.+slice.+state.+changed )|(ment ac)|(multiple cpu faults)|(system.+state.+changed )|(\[timeout)|(PRM\|1\|D)|(kpr)|(kdp)|(train st.+moving)|(\|lc)|(penalty))"</v>
      </c>
      <c r="AG101" s="182" t="str">
        <f t="shared" si="48"/>
        <v>EC</v>
      </c>
      <c r="AH101" s="78" t="str">
        <f t="shared" si="49"/>
        <v>"%USERPROFILE%\Documents\GitHub\eaglep3\Utilities\RefineRTDCRunTimes.py" --tripid 187-05 --locoid 4016 --swversion DE.1.0.9.0 --startMP 204:467 --initTime 2017-10-05T14:20:35 --startdatetime 2017-10-05T14:47:05 --delay 142 --endMP 204:55551 --enddatetime 2017-10-05T15:10:29 --enforcementcount 0 &gt;&gt;%USERPROFILE%\Documents\GitHub\eaglep3-reporting\EC\2017-10-05-refined-times.txt</v>
      </c>
      <c r="AI101" s="96" t="str">
        <f t="shared" si="50"/>
        <v>echo {"issue":{"subject":"Wi-MAX data drop","project_id":79,"tracker_id":40,"status_id":1,"priority_id":2,"assigned_to_id":338,"start_date":"2017-10-05","description":"","custom_fields":[{"id":1,"name":"Subdivision","value":"EC"},{"id":4,"name":"Milepost","value":"5.5551"},{"id":17,"name":"Train ID","value":"187-05"},{"id":16,"name":"Locomotive ID","value":"4016"},{"id":130,"name":"Impact","value":""},{"id":150,"name":"Time of Event (Mountain Time)","value":"15:10:29"},{"id":151,"name":"Denver Issue ID","value":""},{"id":178,"name":"Operational Impact","value":"Yes"},{"id":179,"name":"Denver Segment Assigned","value":""}]}} | curl --insecure -X POST -H "Content-Type: application/json" -H "X-Redmine-API-Key: %REDMINEAPIKEY%" https://secure.xorail.net/redmine/issues.json --data @-</v>
      </c>
      <c r="AK101" s="47"/>
      <c r="AL101" s="47"/>
      <c r="AM101" s="142" t="str">
        <f t="shared" si="51"/>
        <v>start /low /b %USERPROFILE%\Documents\GitHub\eaglep3\Utilities\DownloadLogsFromS3.py --loco 4016 --day 2017-10-05</v>
      </c>
      <c r="AN101" s="151" t="str">
        <f t="shared" si="52"/>
        <v>echo {"issue":{"subject":"Wi-MAX data drop","project_id":30,"tracker_id":4,"status_id":1,"priority_id":1,"assigned_to_id":10,"start_date":"2017-10-05","description":"","custom_fields":[{"id":30,"name":"Category","value":"Issue"},{"id":3,"name":"Functional Component","value":"Onboard"},{"id":31,"name":"Version","value":"N/A"},{"id":8,"name":"Reporting RR","value":"WABTEC"},{"id":27,"name":"Locomotive ID","value":"4016"},{"id":20,"name":"RR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21:10:29"},{"id":29,"name":"Sharepoint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01" s="168" t="str">
        <f t="shared" si="53"/>
        <v>https://d0f6bd738d7f1b3e5a7ca70fe4ff75f0.us-east-1.aws.found.io/app/kibana#/discover/Steve-Slow-Train-Analysis-(2080s-and-2083s)?_g=(refreshInterval:(display:Off,pause:!f,section:0,value:0),time:(from:'2017-10-05T13:20:35-0600',mode:absolute,to:'2017-10-05T16:10:29-0600'))&amp;_a=(columns:!('Message%20ID',Summary),filters:!(),index:'emp_*',interval:auto,query:(query_string:(analyze_wildcard:!t,query:'%22rtdc.l.rtdc.4016%22')),sort:!(Time.ISO8601,asc))</v>
      </c>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row>
    <row r="102" spans="1:91" s="20" customFormat="1" x14ac:dyDescent="0.25">
      <c r="A102" s="32" t="s">
        <v>606</v>
      </c>
      <c r="B102" s="7">
        <v>4016</v>
      </c>
      <c r="C102" s="21" t="s">
        <v>194</v>
      </c>
      <c r="D102" s="21" t="s">
        <v>862</v>
      </c>
      <c r="E102" s="13">
        <v>43013.614999999998</v>
      </c>
      <c r="F102" s="13">
        <v>43013.616030092591</v>
      </c>
      <c r="G102" s="7">
        <v>39</v>
      </c>
      <c r="H102" s="21" t="s">
        <v>455</v>
      </c>
      <c r="I102" s="13">
        <v>43013.632280092592</v>
      </c>
      <c r="J102" s="7">
        <v>0</v>
      </c>
      <c r="K102" s="89" t="str">
        <f t="shared" si="37"/>
        <v>4015/4016</v>
      </c>
      <c r="L102" s="185" t="str">
        <f>VLOOKUP(A102,'Trips&amp;Operators'!$C$1:$G$99911,5,FALSE)</f>
        <v>HOLCOMB KAMDEN</v>
      </c>
      <c r="M102" s="6">
        <f t="shared" si="38"/>
        <v>1.6250000000582077E-2</v>
      </c>
      <c r="N102" s="7"/>
      <c r="O102" s="7"/>
      <c r="P102" s="7"/>
      <c r="Q102" s="22"/>
      <c r="R102" s="174"/>
      <c r="S102" s="221"/>
      <c r="T102" s="174" t="str">
        <f t="shared" si="39"/>
        <v>NorthBound</v>
      </c>
      <c r="U102" s="198">
        <f>IF(AG102="EC",COUNTIFS(Variables!$M$2:$M$19,IF(T102="NorthBound","&gt;=","&lt;=")&amp;Y102,Variables!$M$2:$M$19,IF(T102="NorthBound","&lt;=","&gt;=")&amp;Z102),COUNTIFS(Variables!$P$2:$P$19,IF(T102="NorthBound","&gt;=","&lt;=")&amp;Y102,Variables!$P$2:$P$19,IF(T102="NorthBound","&lt;=","&gt;=")&amp;Z102))</f>
        <v>3</v>
      </c>
      <c r="V102" s="216" t="str">
        <f t="shared" si="40"/>
        <v>https://d0f6bd738d7f1b3e5a7ca70fe4ff75f0.us-east-1.aws.found.io/app/kibana#/discover/Steve-Slow-Train-Analysis-(2080s-and-2083s)?_g=(refreshInterval:(display:Off,pause:!f,section:0,value:0),time:(from:'2017-10-05T13:45:36-0600',mode:absolute,to:'2017-10-05T16:10:29-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W102" s="204" t="str">
        <f>IF(AA102&lt;VLOOKUP(AG102,Variables!$AC$3:$AD$8,2,FALSE),"Y","N")</f>
        <v>Y</v>
      </c>
      <c r="X102" s="204">
        <f t="shared" si="41"/>
        <v>0</v>
      </c>
      <c r="Y102" s="204">
        <f t="shared" si="42"/>
        <v>6.4695999999999998</v>
      </c>
      <c r="Z102" s="204">
        <f t="shared" si="54"/>
        <v>23.3325</v>
      </c>
      <c r="AA102" s="204">
        <f t="shared" si="44"/>
        <v>16.8629</v>
      </c>
      <c r="AB102" s="54" t="e">
        <f>VLOOKUP(A102,Enforcements!$C$7:$K$11,8,0)</f>
        <v>#N/A</v>
      </c>
      <c r="AC102" s="51" t="e">
        <f>VLOOKUP(A102,Enforcements!$C$7:$E$11,3,0)</f>
        <v>#N/A</v>
      </c>
      <c r="AD102" s="179">
        <f t="shared" si="45"/>
        <v>187</v>
      </c>
      <c r="AE102" s="77" t="str">
        <f t="shared" si="46"/>
        <v>aws s3 cp s3://rtdc.mdm.uploadarchive.raw/RTDC4016/ "%USERPROFILE%\AppData\Local\Temp\OnboardLogs"\RTDC4016\2017-10-05 --exclude "*" --recursive --include "*20171005*" &amp; "%USERPROFILE%\Documents\GitHub\mrs-test-scripts\Headless Mode &amp; Sideloading\WalkAndUnGZ.bat" "%USERPROFILE%\AppData\Local\Temp\OnboardLogs"\RTDC4016\2017-10-05 &amp; aws s3 cp s3://rtdc.mdm.uploadarchive.raw/RTDC4016/ "%USERPROFILE%\AppData\Local\Temp\OnboardLogs"\RTDC4016\2017-10-06 --exclude "*" --recursive --include "*20171006*" &amp; "%USERPROFILE%\Documents\GitHub\mrs-test-scripts\Headless Mode &amp; Sideloading\WalkAndUnGZ.bat" "%USERPROFILE%\AppData\Local\Temp\OnboardLogs"\RTDC4016\2017-10-06</v>
      </c>
      <c r="AF102" s="74" t="str">
        <f t="shared" si="47"/>
        <v>"C:\Program Files (x86)\AstroGrep\AstroGrep.exe" /e /r /s /spath="%USERPROFILE%\AppData\Local\Temp\OnboardLogs" /stypes="app*4016*20171005*" /stext=" 21:.+((SYSTEM_STATE.+slice.+state.+changed )|(ment ac)|(multiple cpu faults)|(system.+state.+changed )|(\[timeout)|(PRM\|1\|D)|(kpr)|(kdp)|(train st.+moving)|(\|lc)|(penalty))"</v>
      </c>
      <c r="AG102" s="182" t="str">
        <f t="shared" si="48"/>
        <v>EC</v>
      </c>
      <c r="AH102" s="78" t="str">
        <f t="shared" si="49"/>
        <v>"%USERPROFILE%\Documents\GitHub\eaglep3\Utilities\RefineRTDCRunTimes.py" --tripid 187-05 --locoid 4016 --swversion DE.1.0.9.0 --startMP 204:64696 --initTime 2017-10-05T14:45:36 --startdatetime 2017-10-05T14:47:05 --delay 39 --endMP 204:233325 --enddatetime 2017-10-05T15:10:29 --enforcementcount 0 &gt;&gt;%USERPROFILE%\Documents\GitHub\eaglep3-reporting\EC\2017-10-05-refined-times.txt</v>
      </c>
      <c r="AI102" s="96" t="str">
        <f t="shared" si="50"/>
        <v>echo {"issue":{"subject":"","project_id":79,"tracker_id":40,"status_id":1,"priority_id":2,"assigned_to_id":338,"start_date":"2017-10-05","description":"","custom_fields":[{"id":1,"name":"Subdivision","value":"EC"},{"id":4,"name":"Milepost","value":"23.3325"},{"id":17,"name":"Train ID","value":"187-05"},{"id":16,"name":"Locomotive ID","value":"4016"},{"id":130,"name":"Impact","value":""},{"id":150,"name":"Time of Event (Mountain Time)","value":"15:10:29"},{"id":151,"name":"Denver Issue ID","value":""},{"id":178,"name":"Operational Impact","value":"Yes"},{"id":179,"name":"Denver Segment Assigned","value":""}]}} | curl --insecure -X POST -H "Content-Type: application/json" -H "X-Redmine-API-Key: %REDMINEAPIKEY%" https://secure.xorail.net/redmine/issues.json --data @-</v>
      </c>
      <c r="AK102" s="47"/>
      <c r="AL102" s="47"/>
      <c r="AM102" s="142" t="str">
        <f t="shared" si="51"/>
        <v>start /low /b %USERPROFILE%\Documents\GitHub\eaglep3\Utilities\DownloadLogsFromS3.py --loco 4016 --day 2017-10-05</v>
      </c>
      <c r="AN102" s="151" t="str">
        <f t="shared" si="52"/>
        <v>echo {"issue":{"subject":"","project_id":30,"tracker_id":4,"status_id":1,"priority_id":1,"assigned_to_id":10,"start_date":"2017-10-05","description":"","custom_fields":[{"id":30,"name":"Category","value":"Issue"},{"id":3,"name":"Functional Component","value":"Onboard"},{"id":31,"name":"Version","value":"N/A"},{"id":8,"name":"Reporting RR","value":"WABTEC"},{"id":27,"name":"Locomotive ID","value":"4016"},{"id":20,"name":"RR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21:10:29"},{"id":29,"name":"Sharepoint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02" s="168" t="str">
        <f t="shared" si="53"/>
        <v>https://d0f6bd738d7f1b3e5a7ca70fe4ff75f0.us-east-1.aws.found.io/app/kibana#/discover/Steve-Slow-Train-Analysis-(2080s-and-2083s)?_g=(refreshInterval:(display:Off,pause:!f,section:0,value:0),time:(from:'2017-10-05T13:45:36-0600',mode:absolute,to:'2017-10-05T16:10:29-0600'))&amp;_a=(columns:!('Message%20ID',Summary),filters:!(),index:'emp_*',interval:auto,query:(query_string:(analyze_wildcard:!t,query:'%22rtdc.l.rtdc.4016%22')),sort:!(Time.ISO8601,asc))</v>
      </c>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row>
    <row r="103" spans="1:91" s="20" customFormat="1" x14ac:dyDescent="0.25">
      <c r="A103" s="32" t="s">
        <v>611</v>
      </c>
      <c r="B103" s="7">
        <v>4015</v>
      </c>
      <c r="C103" s="21" t="s">
        <v>194</v>
      </c>
      <c r="D103" s="21" t="s">
        <v>547</v>
      </c>
      <c r="E103" s="13">
        <v>43013.639687499999</v>
      </c>
      <c r="F103" s="13">
        <v>43013.643969907411</v>
      </c>
      <c r="G103" s="7">
        <v>86</v>
      </c>
      <c r="H103" s="21" t="s">
        <v>544</v>
      </c>
      <c r="I103" s="13">
        <v>43013.670289351852</v>
      </c>
      <c r="J103" s="7">
        <v>0</v>
      </c>
      <c r="K103" s="89" t="str">
        <f t="shared" si="37"/>
        <v>4015/4016</v>
      </c>
      <c r="L103" s="185" t="str">
        <f>VLOOKUP(A103,'Trips&amp;Operators'!$C$1:$G$99911,5,FALSE)</f>
        <v>HOLCOMB KAMDEN</v>
      </c>
      <c r="M103" s="6">
        <f t="shared" si="38"/>
        <v>2.6319444441469386E-2</v>
      </c>
      <c r="N103" s="7">
        <f t="shared" ref="N103:N110" si="55">24*60*SUM($M103:$M103)</f>
        <v>37.899999995715916</v>
      </c>
      <c r="O103" s="7"/>
      <c r="P103" s="7"/>
      <c r="Q103" s="22"/>
      <c r="R103" s="174"/>
      <c r="S103" s="221">
        <f t="shared" ref="S103:S118" si="56">1/IF(AG103="EC",12,1)*SUM(U103:U103)</f>
        <v>1</v>
      </c>
      <c r="T103" s="174" t="str">
        <f t="shared" si="39"/>
        <v>Southbound</v>
      </c>
      <c r="U103" s="198">
        <f>IF(AG103="EC",COUNTIFS(Variables!$M$2:$M$19,IF(T103="NorthBound","&gt;=","&lt;=")&amp;Y103,Variables!$M$2:$M$19,IF(T103="NorthBound","&lt;=","&gt;=")&amp;Z103),COUNTIFS(Variables!$P$2:$P$19,IF(T103="NorthBound","&gt;=","&lt;=")&amp;Y103,Variables!$P$2:$P$19,IF(T103="NorthBound","&lt;=","&gt;=")&amp;Z103))</f>
        <v>12</v>
      </c>
      <c r="V103" s="216" t="str">
        <f t="shared" si="40"/>
        <v>https://d0f6bd738d7f1b3e5a7ca70fe4ff75f0.us-east-1.aws.found.io/app/kibana#/discover/Steve-Slow-Train-Analysis-(2080s-and-2083s)?_g=(refreshInterval:(display:Off,pause:!f,section:0,value:0),time:(from:'2017-10-05T14:21:09-0600',mode:absolute,to:'2017-10-05T17:05:13-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4015%22')),sort:!(Time.ISO8601,asc))</v>
      </c>
      <c r="W103" s="204" t="str">
        <f>IF(AA103&lt;VLOOKUP(AG103,Variables!$AC$3:$AD$8,2,FALSE),"Y","N")</f>
        <v>N</v>
      </c>
      <c r="X103" s="204">
        <f t="shared" si="41"/>
        <v>1</v>
      </c>
      <c r="Y103" s="204">
        <f t="shared" si="42"/>
        <v>23.301100000000002</v>
      </c>
      <c r="Z103" s="204">
        <f t="shared" si="54"/>
        <v>1.38E-2</v>
      </c>
      <c r="AA103" s="204">
        <f t="shared" si="44"/>
        <v>23.287300000000002</v>
      </c>
      <c r="AB103" s="54" t="e">
        <f>VLOOKUP(A103,Enforcements!$C$7:$K$11,8,0)</f>
        <v>#N/A</v>
      </c>
      <c r="AC103" s="51" t="e">
        <f>VLOOKUP(A103,Enforcements!$C$7:$E$11,3,0)</f>
        <v>#N/A</v>
      </c>
      <c r="AD103" s="179">
        <f t="shared" si="45"/>
        <v>188</v>
      </c>
      <c r="AE103" s="77" t="str">
        <f t="shared" si="46"/>
        <v>aws s3 cp s3://rtdc.mdm.uploadarchive.raw/RTDC4015/ "%USERPROFILE%\AppData\Local\Temp\OnboardLogs"\RTDC4015\2017-10-05 --exclude "*" --recursive --include "*20171005*" &amp; "%USERPROFILE%\Documents\GitHub\mrs-test-scripts\Headless Mode &amp; Sideloading\WalkAndUnGZ.bat" "%USERPROFILE%\AppData\Local\Temp\OnboardLogs"\RTDC4015\2017-10-05 &amp; aws s3 cp s3://rtdc.mdm.uploadarchive.raw/RTDC4015/ "%USERPROFILE%\AppData\Local\Temp\OnboardLogs"\RTDC4015\2017-10-06 --exclude "*" --recursive --include "*20171006*" &amp; "%USERPROFILE%\Documents\GitHub\mrs-test-scripts\Headless Mode &amp; Sideloading\WalkAndUnGZ.bat" "%USERPROFILE%\AppData\Local\Temp\OnboardLogs"\RTDC4015\2017-10-06</v>
      </c>
      <c r="AF103" s="74" t="str">
        <f t="shared" si="47"/>
        <v>"C:\Program Files (x86)\AstroGrep\AstroGrep.exe" /e /r /s /spath="%USERPROFILE%\AppData\Local\Temp\OnboardLogs" /stypes="app*4015*20171005*" /stext=" 22:.+((SYSTEM_STATE.+slice.+state.+changed )|(ment ac)|(multiple cpu faults)|(system.+state.+changed )|(\[timeout)|(PRM\|1\|D)|(kpr)|(kdp)|(train st.+moving)|(\|lc)|(penalty))"</v>
      </c>
      <c r="AG103" s="182" t="str">
        <f t="shared" si="48"/>
        <v>EC</v>
      </c>
      <c r="AH103" s="78" t="str">
        <f t="shared" si="49"/>
        <v>"%USERPROFILE%\Documents\GitHub\eaglep3\Utilities\RefineRTDCRunTimes.py" --tripid 188-05 --locoid 4015 --swversion DE.1.0.9.0 --startMP 204:233011 --initTime 2017-10-05T15:21:09 --startdatetime 2017-10-05T15:27:19 --delay 86 --endMP 204:138 --enddatetime 2017-10-05T16:05:13 --enforcementcount 0 &gt;&gt;%USERPROFILE%\Documents\GitHub\eaglep3-reporting\EC\2017-10-05-refined-times.txt</v>
      </c>
      <c r="AI103" s="96" t="str">
        <f t="shared" si="50"/>
        <v>echo {"issue":{"subject":"","project_id":79,"tracker_id":40,"status_id":1,"priority_id":2,"assigned_to_id":338,"start_date":"2017-10-05","description":"","custom_fields":[{"id":1,"name":"Subdivision","value":"EC"},{"id":4,"name":"Milepost","value":"0.0138"},{"id":17,"name":"Train ID","value":"188-05"},{"id":16,"name":"Locomotive ID","value":"4015"},{"id":130,"name":"Impact","value":""},{"id":150,"name":"Time of Event (Mountain Time)","value":"16:05:13"},{"id":151,"name":"Denver Issue ID","value":""},{"id":178,"name":"Operational Impact","value":"Yes"},{"id":179,"name":"Denver Segment Assigned","value":""}]}} | curl --insecure -X POST -H "Content-Type: application/json" -H "X-Redmine-API-Key: %REDMINEAPIKEY%" https://secure.xorail.net/redmine/issues.json --data @-</v>
      </c>
      <c r="AK103" s="47"/>
      <c r="AL103" s="47"/>
      <c r="AM103" s="142" t="str">
        <f t="shared" si="51"/>
        <v>start /low /b %USERPROFILE%\Documents\GitHub\eaglep3\Utilities\DownloadLogsFromS3.py --loco 4015 --day 2017-10-05</v>
      </c>
      <c r="AN103" s="151" t="str">
        <f t="shared" si="52"/>
        <v>echo {"issue":{"subject":"","project_id":30,"tracker_id":4,"status_id":1,"priority_id":1,"assigned_to_id":10,"start_date":"2017-10-05","description":"","custom_fields":[{"id":30,"name":"Category","value":"Issue"},{"id":3,"name":"Functional Component","value":"Onboard"},{"id":31,"name":"Version","value":"N/A"},{"id":8,"name":"Reporting RR","value":"WABTEC"},{"id":27,"name":"Locomotive ID","value":"4015"},{"id":20,"name":"RR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22:05:13"},{"id":29,"name":"Sharepoint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03" s="168" t="str">
        <f t="shared" si="53"/>
        <v>https://d0f6bd738d7f1b3e5a7ca70fe4ff75f0.us-east-1.aws.found.io/app/kibana#/discover/Steve-Slow-Train-Analysis-(2080s-and-2083s)?_g=(refreshInterval:(display:Off,pause:!f,section:0,value:0),time:(from:'2017-10-05T14:21:09-0600',mode:absolute,to:'2017-10-05T17:05:13-0600'))&amp;_a=(columns:!('Message%20ID',Summary),filters:!(),index:'emp_*',interval:auto,query:(query_string:(analyze_wildcard:!t,query:'%22rtdc.l.rtdc.4015%22')),sort:!(Time.ISO8601,asc))</v>
      </c>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row>
    <row r="104" spans="1:91" s="20" customFormat="1" x14ac:dyDescent="0.25">
      <c r="A104" s="32" t="s">
        <v>726</v>
      </c>
      <c r="B104" s="7">
        <v>4010</v>
      </c>
      <c r="C104" s="21" t="s">
        <v>194</v>
      </c>
      <c r="D104" s="21" t="s">
        <v>404</v>
      </c>
      <c r="E104" s="13">
        <v>43013.610694444447</v>
      </c>
      <c r="F104" s="13">
        <v>43013.614756944444</v>
      </c>
      <c r="G104" s="7">
        <v>55</v>
      </c>
      <c r="H104" s="21" t="s">
        <v>412</v>
      </c>
      <c r="I104" s="13">
        <v>43013.639293981483</v>
      </c>
      <c r="J104" s="7">
        <v>0</v>
      </c>
      <c r="K104" s="89" t="str">
        <f t="shared" si="37"/>
        <v>4009/4010</v>
      </c>
      <c r="L104" s="185" t="str">
        <f>VLOOKUP(A104,'Trips&amp;Operators'!$C$1:$G$99911,5,FALSE)</f>
        <v>BRUDER RICHARD</v>
      </c>
      <c r="M104" s="6">
        <f t="shared" si="38"/>
        <v>2.453703703940846E-2</v>
      </c>
      <c r="N104" s="7">
        <f t="shared" si="55"/>
        <v>35.333333336748183</v>
      </c>
      <c r="O104" s="7"/>
      <c r="P104" s="7"/>
      <c r="Q104" s="22"/>
      <c r="R104" s="174"/>
      <c r="S104" s="221">
        <f t="shared" si="56"/>
        <v>1</v>
      </c>
      <c r="T104" s="174" t="str">
        <f t="shared" si="39"/>
        <v>NorthBound</v>
      </c>
      <c r="U104" s="198">
        <f>IF(AG104="EC",COUNTIFS(Variables!$M$2:$M$19,IF(T104="NorthBound","&gt;=","&lt;=")&amp;Y104,Variables!$M$2:$M$19,IF(T104="NorthBound","&lt;=","&gt;=")&amp;Z104),COUNTIFS(Variables!$P$2:$P$19,IF(T104="NorthBound","&gt;=","&lt;=")&amp;Y104,Variables!$P$2:$P$19,IF(T104="NorthBound","&lt;=","&gt;=")&amp;Z104))</f>
        <v>12</v>
      </c>
      <c r="V104" s="216" t="str">
        <f t="shared" si="40"/>
        <v>https://d0f6bd738d7f1b3e5a7ca70fe4ff75f0.us-east-1.aws.found.io/app/kibana#/discover/Steve-Slow-Train-Analysis-(2080s-and-2083s)?_g=(refreshInterval:(display:Off,pause:!f,section:0,value:0),time:(from:'2017-10-05T13:39:24-0600',mode:absolute,to:'2017-10-05T16:20:35-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104" s="204" t="str">
        <f>IF(AA104&lt;VLOOKUP(AG104,Variables!$AC$3:$AD$8,2,FALSE),"Y","N")</f>
        <v>N</v>
      </c>
      <c r="X104" s="204">
        <f t="shared" si="41"/>
        <v>1</v>
      </c>
      <c r="Y104" s="204">
        <f t="shared" si="42"/>
        <v>4.7699999999999999E-2</v>
      </c>
      <c r="Z104" s="204">
        <f t="shared" si="54"/>
        <v>23.331099999999999</v>
      </c>
      <c r="AA104" s="204">
        <f t="shared" si="44"/>
        <v>23.2834</v>
      </c>
      <c r="AB104" s="54" t="e">
        <f>VLOOKUP(A104,Enforcements!$C$7:$K$11,8,0)</f>
        <v>#N/A</v>
      </c>
      <c r="AC104" s="51" t="e">
        <f>VLOOKUP(A104,Enforcements!$C$7:$E$11,3,0)</f>
        <v>#N/A</v>
      </c>
      <c r="AD104" s="179">
        <f t="shared" si="45"/>
        <v>189</v>
      </c>
      <c r="AE104" s="77" t="str">
        <f t="shared" si="46"/>
        <v>aws s3 cp s3://rtdc.mdm.uploadarchive.raw/RTDC4010/ "%USERPROFILE%\AppData\Local\Temp\OnboardLogs"\RTDC4010\2017-10-05 --exclude "*" --recursive --include "*20171005*" &amp; "%USERPROFILE%\Documents\GitHub\mrs-test-scripts\Headless Mode &amp; Sideloading\WalkAndUnGZ.bat" "%USERPROFILE%\AppData\Local\Temp\OnboardLogs"\RTDC4010\2017-10-05 &amp; aws s3 cp s3://rtdc.mdm.uploadarchive.raw/RTDC4010/ "%USERPROFILE%\AppData\Local\Temp\OnboardLogs"\RTDC4010\2017-10-06 --exclude "*" --recursive --include "*20171006*" &amp; "%USERPROFILE%\Documents\GitHub\mrs-test-scripts\Headless Mode &amp; Sideloading\WalkAndUnGZ.bat" "%USERPROFILE%\AppData\Local\Temp\OnboardLogs"\RTDC4010\2017-10-06</v>
      </c>
      <c r="AF104" s="74" t="str">
        <f t="shared" si="47"/>
        <v>"C:\Program Files (x86)\AstroGrep\AstroGrep.exe" /e /r /s /spath="%USERPROFILE%\AppData\Local\Temp\OnboardLogs" /stypes="app*4010*20171005*" /stext=" 21:.+((SYSTEM_STATE.+slice.+state.+changed )|(ment ac)|(multiple cpu faults)|(system.+state.+changed )|(\[timeout)|(PRM\|1\|D)|(kpr)|(kdp)|(train st.+moving)|(\|lc)|(penalty))"</v>
      </c>
      <c r="AG104" s="182" t="str">
        <f t="shared" si="48"/>
        <v>EC</v>
      </c>
      <c r="AH104" s="78" t="str">
        <f t="shared" si="49"/>
        <v>"%USERPROFILE%\Documents\GitHub\eaglep3\Utilities\RefineRTDCRunTimes.py" --tripid 189-05 --locoid 4010 --swversion DE.1.0.9.0 --startMP 204:477 --initTime 2017-10-05T14:39:24 --startdatetime 2017-10-05T14:45:15 --delay 55 --endMP 204:233311 --enddatetime 2017-10-05T15:20:35 --enforcementcount 0 &gt;&gt;%USERPROFILE%\Documents\GitHub\eaglep3-reporting\EC\2017-10-05-refined-times.txt</v>
      </c>
      <c r="AI104" s="96" t="str">
        <f t="shared" si="50"/>
        <v>echo {"issue":{"subject":"","project_id":79,"tracker_id":40,"status_id":1,"priority_id":2,"assigned_to_id":338,"start_date":"2017-10-05","description":"","custom_fields":[{"id":1,"name":"Subdivision","value":"EC"},{"id":4,"name":"Milepost","value":"23.3311"},{"id":17,"name":"Train ID","value":"189-05"},{"id":16,"name":"Locomotive ID","value":"4010"},{"id":130,"name":"Impact","value":""},{"id":150,"name":"Time of Event (Mountain Time)","value":"15:20:35"},{"id":151,"name":"Denver Issue ID","value":""},{"id":178,"name":"Operational Impact","value":"Yes"},{"id":179,"name":"Denver Segment Assigned","value":""}]}} | curl --insecure -X POST -H "Content-Type: application/json" -H "X-Redmine-API-Key: %REDMINEAPIKEY%" https://secure.xorail.net/redmine/issues.json --data @-</v>
      </c>
      <c r="AK104" s="47"/>
      <c r="AL104" s="47"/>
      <c r="AM104" s="142" t="str">
        <f t="shared" si="51"/>
        <v>start /low /b %USERPROFILE%\Documents\GitHub\eaglep3\Utilities\DownloadLogsFromS3.py --loco 4010 --day 2017-10-05</v>
      </c>
      <c r="AN104" s="151" t="str">
        <f t="shared" si="52"/>
        <v>echo {"issue":{"subject":"","project_id":30,"tracker_id":4,"status_id":1,"priority_id":1,"assigned_to_id":10,"start_date":"2017-10-05","description":"","custom_fields":[{"id":30,"name":"Category","value":"Issue"},{"id":3,"name":"Functional Component","value":"Onboard"},{"id":31,"name":"Version","value":"N/A"},{"id":8,"name":"Reporting RR","value":"WABTEC"},{"id":27,"name":"Locomotive ID","value":"4010"},{"id":20,"name":"RR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21:20:35"},{"id":29,"name":"Sharepoint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04" s="168" t="str">
        <f t="shared" si="53"/>
        <v>https://d0f6bd738d7f1b3e5a7ca70fe4ff75f0.us-east-1.aws.found.io/app/kibana#/discover/Steve-Slow-Train-Analysis-(2080s-and-2083s)?_g=(refreshInterval:(display:Off,pause:!f,section:0,value:0),time:(from:'2017-10-05T13:39:24-0600',mode:absolute,to:'2017-10-05T16:20:35-0600'))&amp;_a=(columns:!('Message%20ID',Summary),filters:!(),index:'emp_*',interval:auto,query:(query_string:(analyze_wildcard:!t,query:'%22rtdc.l.rtdc.4010%22')),sort:!(Time.ISO8601,asc))</v>
      </c>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row>
    <row r="105" spans="1:91" s="20" customFormat="1" x14ac:dyDescent="0.25">
      <c r="A105" s="32" t="s">
        <v>732</v>
      </c>
      <c r="B105" s="7">
        <v>4009</v>
      </c>
      <c r="C105" s="21" t="s">
        <v>194</v>
      </c>
      <c r="D105" s="21" t="s">
        <v>437</v>
      </c>
      <c r="E105" s="13">
        <v>43013.65084490741</v>
      </c>
      <c r="F105" s="13">
        <v>43013.654398148145</v>
      </c>
      <c r="G105" s="7">
        <v>115</v>
      </c>
      <c r="H105" s="21" t="s">
        <v>359</v>
      </c>
      <c r="I105" s="13">
        <v>43013.68074074074</v>
      </c>
      <c r="J105" s="7">
        <v>0</v>
      </c>
      <c r="K105" s="89" t="str">
        <f t="shared" si="37"/>
        <v>4009/4010</v>
      </c>
      <c r="L105" s="185" t="str">
        <f>VLOOKUP(A105,'Trips&amp;Operators'!$C$1:$G$99911,5,FALSE)</f>
        <v>BRUDER RICHARD</v>
      </c>
      <c r="M105" s="6">
        <f t="shared" si="38"/>
        <v>2.6342592595028691E-2</v>
      </c>
      <c r="N105" s="7">
        <f t="shared" si="55"/>
        <v>37.933333336841315</v>
      </c>
      <c r="O105" s="7"/>
      <c r="P105" s="7"/>
      <c r="Q105" s="22"/>
      <c r="R105" s="174"/>
      <c r="S105" s="221">
        <f t="shared" si="56"/>
        <v>1</v>
      </c>
      <c r="T105" s="174" t="str">
        <f t="shared" si="39"/>
        <v>Southbound</v>
      </c>
      <c r="U105" s="198">
        <f>IF(AG105="EC",COUNTIFS(Variables!$M$2:$M$19,IF(T105="NorthBound","&gt;=","&lt;=")&amp;Y105,Variables!$M$2:$M$19,IF(T105="NorthBound","&lt;=","&gt;=")&amp;Z105),COUNTIFS(Variables!$P$2:$P$19,IF(T105="NorthBound","&gt;=","&lt;=")&amp;Y105,Variables!$P$2:$P$19,IF(T105="NorthBound","&lt;=","&gt;=")&amp;Z105))</f>
        <v>12</v>
      </c>
      <c r="V105" s="216" t="str">
        <f t="shared" si="40"/>
        <v>https://d0f6bd738d7f1b3e5a7ca70fe4ff75f0.us-east-1.aws.found.io/app/kibana#/discover/Steve-Slow-Train-Analysis-(2080s-and-2083s)?_g=(refreshInterval:(display:Off,pause:!f,section:0,value:0),time:(from:'2017-10-05T14:37:13-0600',mode:absolute,to:'2017-10-05T17:20:16-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105" s="204" t="str">
        <f>IF(AA105&lt;VLOOKUP(AG105,Variables!$AC$3:$AD$8,2,FALSE),"Y","N")</f>
        <v>N</v>
      </c>
      <c r="X105" s="204">
        <f t="shared" si="41"/>
        <v>1</v>
      </c>
      <c r="Y105" s="204">
        <f t="shared" si="42"/>
        <v>23.298400000000001</v>
      </c>
      <c r="Z105" s="204">
        <f t="shared" si="54"/>
        <v>1.4500000000000001E-2</v>
      </c>
      <c r="AA105" s="204">
        <f t="shared" si="44"/>
        <v>23.283899999999999</v>
      </c>
      <c r="AB105" s="54" t="e">
        <f>VLOOKUP(A105,Enforcements!$C$7:$K$11,8,0)</f>
        <v>#N/A</v>
      </c>
      <c r="AC105" s="51" t="e">
        <f>VLOOKUP(A105,Enforcements!$C$7:$E$11,3,0)</f>
        <v>#N/A</v>
      </c>
      <c r="AD105" s="179">
        <f t="shared" si="45"/>
        <v>190</v>
      </c>
      <c r="AE105" s="77" t="str">
        <f t="shared" si="46"/>
        <v>aws s3 cp s3://rtdc.mdm.uploadarchive.raw/RTDC4009/ "%USERPROFILE%\AppData\Local\Temp\OnboardLogs"\RTDC4009\2017-10-05 --exclude "*" --recursive --include "*20171005*" &amp; "%USERPROFILE%\Documents\GitHub\mrs-test-scripts\Headless Mode &amp; Sideloading\WalkAndUnGZ.bat" "%USERPROFILE%\AppData\Local\Temp\OnboardLogs"\RTDC4009\2017-10-05 &amp; aws s3 cp s3://rtdc.mdm.uploadarchive.raw/RTDC4009/ "%USERPROFILE%\AppData\Local\Temp\OnboardLogs"\RTDC4009\2017-10-06 --exclude "*" --recursive --include "*20171006*" &amp; "%USERPROFILE%\Documents\GitHub\mrs-test-scripts\Headless Mode &amp; Sideloading\WalkAndUnGZ.bat" "%USERPROFILE%\AppData\Local\Temp\OnboardLogs"\RTDC4009\2017-10-06</v>
      </c>
      <c r="AF105" s="74" t="str">
        <f t="shared" si="47"/>
        <v>"C:\Program Files (x86)\AstroGrep\AstroGrep.exe" /e /r /s /spath="%USERPROFILE%\AppData\Local\Temp\OnboardLogs" /stypes="app*4009*20171005*" /stext=" 22:.+((SYSTEM_STATE.+slice.+state.+changed )|(ment ac)|(multiple cpu faults)|(system.+state.+changed )|(\[timeout)|(PRM\|1\|D)|(kpr)|(kdp)|(train st.+moving)|(\|lc)|(penalty))"</v>
      </c>
      <c r="AG105" s="182" t="str">
        <f t="shared" si="48"/>
        <v>EC</v>
      </c>
      <c r="AH105" s="78" t="str">
        <f t="shared" si="49"/>
        <v>"%USERPROFILE%\Documents\GitHub\eaglep3\Utilities\RefineRTDCRunTimes.py" --tripid 190-05 --locoid 4009 --swversion DE.1.0.9.0 --startMP 204:232984 --initTime 2017-10-05T15:37:13 --startdatetime 2017-10-05T15:42:20 --delay 115 --endMP 204:145 --enddatetime 2017-10-05T16:20:16 --enforcementcount 0 &gt;&gt;%USERPROFILE%\Documents\GitHub\eaglep3-reporting\EC\2017-10-05-refined-times.txt</v>
      </c>
      <c r="AI105" s="96" t="str">
        <f t="shared" si="50"/>
        <v>echo {"issue":{"subject":"","project_id":79,"tracker_id":40,"status_id":1,"priority_id":2,"assigned_to_id":338,"start_date":"2017-10-05","description":"","custom_fields":[{"id":1,"name":"Subdivision","value":"EC"},{"id":4,"name":"Milepost","value":"0.0145"},{"id":17,"name":"Train ID","value":"190-05"},{"id":16,"name":"Locomotive ID","value":"4009"},{"id":130,"name":"Impact","value":""},{"id":150,"name":"Time of Event (Mountain Time)","value":"16:20:16"},{"id":151,"name":"Denver Issue ID","value":""},{"id":178,"name":"Operational Impact","value":"Yes"},{"id":179,"name":"Denver Segment Assigned","value":""}]}} | curl --insecure -X POST -H "Content-Type: application/json" -H "X-Redmine-API-Key: %REDMINEAPIKEY%" https://secure.xorail.net/redmine/issues.json --data @-</v>
      </c>
      <c r="AK105" s="47"/>
      <c r="AL105" s="47"/>
      <c r="AM105" s="142" t="str">
        <f t="shared" si="51"/>
        <v>start /low /b %USERPROFILE%\Documents\GitHub\eaglep3\Utilities\DownloadLogsFromS3.py --loco 4009 --day 2017-10-05</v>
      </c>
      <c r="AN105" s="151" t="str">
        <f t="shared" si="52"/>
        <v>echo {"issue":{"subject":"","project_id":30,"tracker_id":4,"status_id":1,"priority_id":1,"assigned_to_id":10,"start_date":"2017-10-05","description":"","custom_fields":[{"id":30,"name":"Category","value":"Issue"},{"id":3,"name":"Functional Component","value":"Onboard"},{"id":31,"name":"Version","value":"N/A"},{"id":8,"name":"Reporting RR","value":"WABTEC"},{"id":27,"name":"Locomotive ID","value":"4009"},{"id":20,"name":"RR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22:20:16"},{"id":29,"name":"Sharepoint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05" s="168" t="str">
        <f t="shared" si="53"/>
        <v>https://d0f6bd738d7f1b3e5a7ca70fe4ff75f0.us-east-1.aws.found.io/app/kibana#/discover/Steve-Slow-Train-Analysis-(2080s-and-2083s)?_g=(refreshInterval:(display:Off,pause:!f,section:0,value:0),time:(from:'2017-10-05T14:37:13-0600',mode:absolute,to:'2017-10-05T17:20:16-0600'))&amp;_a=(columns:!('Message%20ID',Summary),filters:!(),index:'emp_*',interval:auto,query:(query_string:(analyze_wildcard:!t,query:'%22rtdc.l.rtdc.4009%22')),sort:!(Time.ISO8601,asc))</v>
      </c>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row>
    <row r="106" spans="1:91" s="20" customFormat="1" x14ac:dyDescent="0.25">
      <c r="A106" s="32" t="s">
        <v>728</v>
      </c>
      <c r="B106" s="7">
        <v>4028</v>
      </c>
      <c r="C106" s="21" t="s">
        <v>194</v>
      </c>
      <c r="D106" s="21" t="s">
        <v>366</v>
      </c>
      <c r="E106" s="13">
        <v>43013.62290509259</v>
      </c>
      <c r="F106" s="13">
        <v>43013.625196759262</v>
      </c>
      <c r="G106" s="7">
        <v>65</v>
      </c>
      <c r="H106" s="21" t="s">
        <v>848</v>
      </c>
      <c r="I106" s="13">
        <v>43013.651053240741</v>
      </c>
      <c r="J106" s="7">
        <v>0</v>
      </c>
      <c r="K106" s="89" t="str">
        <f t="shared" si="37"/>
        <v>4027/4028</v>
      </c>
      <c r="L106" s="185" t="str">
        <f>VLOOKUP(A106,'Trips&amp;Operators'!$C$1:$G$99911,5,FALSE)</f>
        <v>STEWART MICHAEL</v>
      </c>
      <c r="M106" s="6">
        <f t="shared" si="38"/>
        <v>2.5856481479422655E-2</v>
      </c>
      <c r="N106" s="7">
        <f t="shared" si="55"/>
        <v>37.233333330368623</v>
      </c>
      <c r="O106" s="7"/>
      <c r="P106" s="7"/>
      <c r="Q106" s="22"/>
      <c r="R106" s="174"/>
      <c r="S106" s="221">
        <f t="shared" si="56"/>
        <v>1</v>
      </c>
      <c r="T106" s="174" t="str">
        <f t="shared" si="39"/>
        <v>NorthBound</v>
      </c>
      <c r="U106" s="198">
        <f>IF(AG106="EC",COUNTIFS(Variables!$M$2:$M$19,IF(T106="NorthBound","&gt;=","&lt;=")&amp;Y106,Variables!$M$2:$M$19,IF(T106="NorthBound","&lt;=","&gt;=")&amp;Z106),COUNTIFS(Variables!$P$2:$P$19,IF(T106="NorthBound","&gt;=","&lt;=")&amp;Y106,Variables!$P$2:$P$19,IF(T106="NorthBound","&lt;=","&gt;=")&amp;Z106))</f>
        <v>12</v>
      </c>
      <c r="V106" s="216" t="str">
        <f t="shared" si="40"/>
        <v>https://d0f6bd738d7f1b3e5a7ca70fe4ff75f0.us-east-1.aws.found.io/app/kibana#/discover/Steve-Slow-Train-Analysis-(2080s-and-2083s)?_g=(refreshInterval:(display:Off,pause:!f,section:0,value:0),time:(from:'2017-10-05T13:56:59-0600',mode:absolute,to:'2017-10-05T16:37:31-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106" s="204" t="str">
        <f>IF(AA106&lt;VLOOKUP(AG106,Variables!$AC$3:$AD$8,2,FALSE),"Y","N")</f>
        <v>N</v>
      </c>
      <c r="X106" s="204">
        <f t="shared" si="41"/>
        <v>1</v>
      </c>
      <c r="Y106" s="204">
        <f t="shared" si="42"/>
        <v>4.5999999999999999E-2</v>
      </c>
      <c r="Z106" s="204">
        <f t="shared" si="54"/>
        <v>23.328700000000001</v>
      </c>
      <c r="AA106" s="204">
        <f t="shared" si="44"/>
        <v>23.282700000000002</v>
      </c>
      <c r="AB106" s="54" t="e">
        <f>VLOOKUP(A106,Enforcements!$C$7:$K$11,8,0)</f>
        <v>#N/A</v>
      </c>
      <c r="AC106" s="51" t="e">
        <f>VLOOKUP(A106,Enforcements!$C$7:$E$11,3,0)</f>
        <v>#N/A</v>
      </c>
      <c r="AD106" s="179">
        <f t="shared" si="45"/>
        <v>191</v>
      </c>
      <c r="AE106" s="77" t="str">
        <f t="shared" si="46"/>
        <v>aws s3 cp s3://rtdc.mdm.uploadarchive.raw/RTDC4028/ "%USERPROFILE%\AppData\Local\Temp\OnboardLogs"\RTDC4028\2017-10-05 --exclude "*" --recursive --include "*20171005*" &amp; "%USERPROFILE%\Documents\GitHub\mrs-test-scripts\Headless Mode &amp; Sideloading\WalkAndUnGZ.bat" "%USERPROFILE%\AppData\Local\Temp\OnboardLogs"\RTDC4028\2017-10-05 &amp; aws s3 cp s3://rtdc.mdm.uploadarchive.raw/RTDC4028/ "%USERPROFILE%\AppData\Local\Temp\OnboardLogs"\RTDC4028\2017-10-06 --exclude "*" --recursive --include "*20171006*" &amp; "%USERPROFILE%\Documents\GitHub\mrs-test-scripts\Headless Mode &amp; Sideloading\WalkAndUnGZ.bat" "%USERPROFILE%\AppData\Local\Temp\OnboardLogs"\RTDC4028\2017-10-06</v>
      </c>
      <c r="AF106" s="74" t="str">
        <f t="shared" si="47"/>
        <v>"C:\Program Files (x86)\AstroGrep\AstroGrep.exe" /e /r /s /spath="%USERPROFILE%\AppData\Local\Temp\OnboardLogs" /stypes="app*4028*20171005*" /stext=" 21:.+((SYSTEM_STATE.+slice.+state.+changed )|(ment ac)|(multiple cpu faults)|(system.+state.+changed )|(\[timeout)|(PRM\|1\|D)|(kpr)|(kdp)|(train st.+moving)|(\|lc)|(penalty))"</v>
      </c>
      <c r="AG106" s="182" t="str">
        <f t="shared" si="48"/>
        <v>EC</v>
      </c>
      <c r="AH106" s="78" t="str">
        <f t="shared" si="49"/>
        <v>"%USERPROFILE%\Documents\GitHub\eaglep3\Utilities\RefineRTDCRunTimes.py" --tripid 191-05 --locoid 4028 --swversion DE.1.0.9.0 --startMP 204:460 --initTime 2017-10-05T14:56:59 --startdatetime 2017-10-05T15:00:17 --delay 65 --endMP 204:233287 --enddatetime 2017-10-05T15:37:31 --enforcementcount 0 &gt;&gt;%USERPROFILE%\Documents\GitHub\eaglep3-reporting\EC\2017-10-05-refined-times.txt</v>
      </c>
      <c r="AI106" s="96" t="str">
        <f t="shared" si="50"/>
        <v>echo {"issue":{"subject":"","project_id":79,"tracker_id":40,"status_id":1,"priority_id":2,"assigned_to_id":338,"start_date":"2017-10-05","description":"","custom_fields":[{"id":1,"name":"Subdivision","value":"EC"},{"id":4,"name":"Milepost","value":"23.3287"},{"id":17,"name":"Train ID","value":"191-05"},{"id":16,"name":"Locomotive ID","value":"4028"},{"id":130,"name":"Impact","value":""},{"id":150,"name":"Time of Event (Mountain Time)","value":"15:37:31"},{"id":151,"name":"Denver Issue ID","value":""},{"id":178,"name":"Operational Impact","value":"Yes"},{"id":179,"name":"Denver Segment Assigned","value":""}]}} | curl --insecure -X POST -H "Content-Type: application/json" -H "X-Redmine-API-Key: %REDMINEAPIKEY%" https://secure.xorail.net/redmine/issues.json --data @-</v>
      </c>
      <c r="AK106" s="47"/>
      <c r="AL106" s="47"/>
      <c r="AM106" s="142" t="str">
        <f t="shared" si="51"/>
        <v>start /low /b %USERPROFILE%\Documents\GitHub\eaglep3\Utilities\DownloadLogsFromS3.py --loco 4028 --day 2017-10-05</v>
      </c>
      <c r="AN106" s="151" t="str">
        <f t="shared" si="52"/>
        <v>echo {"issue":{"subject":"","project_id":30,"tracker_id":4,"status_id":1,"priority_id":1,"assigned_to_id":10,"start_date":"2017-10-05","description":"","custom_fields":[{"id":30,"name":"Category","value":"Issue"},{"id":3,"name":"Functional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21:37:31"},{"id":29,"name":"Sharepoint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06" s="168" t="str">
        <f t="shared" si="53"/>
        <v>https://d0f6bd738d7f1b3e5a7ca70fe4ff75f0.us-east-1.aws.found.io/app/kibana#/discover/Steve-Slow-Train-Analysis-(2080s-and-2083s)?_g=(refreshInterval:(display:Off,pause:!f,section:0,value:0),time:(from:'2017-10-05T13:56:59-0600',mode:absolute,to:'2017-10-05T16:37:31-0600'))&amp;_a=(columns:!('Message%20ID',Summary),filters:!(),index:'emp_*',interval:auto,query:(query_string:(analyze_wildcard:!t,query:'%22rtdc.l.rtdc.4028%22')),sort:!(Time.ISO8601,asc))</v>
      </c>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row>
    <row r="107" spans="1:91" s="20" customFormat="1" x14ac:dyDescent="0.25">
      <c r="A107" s="32" t="s">
        <v>735</v>
      </c>
      <c r="B107" s="7">
        <v>4027</v>
      </c>
      <c r="C107" s="21" t="s">
        <v>194</v>
      </c>
      <c r="D107" s="21" t="s">
        <v>463</v>
      </c>
      <c r="E107" s="13">
        <v>43013.66033564815</v>
      </c>
      <c r="F107" s="13">
        <v>43013.737696759257</v>
      </c>
      <c r="G107" s="7">
        <v>56</v>
      </c>
      <c r="H107" s="21" t="s">
        <v>863</v>
      </c>
      <c r="I107" s="13">
        <v>43013.768148148149</v>
      </c>
      <c r="J107" s="7">
        <v>0</v>
      </c>
      <c r="K107" s="89" t="str">
        <f t="shared" si="37"/>
        <v>4027/4028</v>
      </c>
      <c r="L107" s="185" t="str">
        <f>VLOOKUP(A107,'Trips&amp;Operators'!$C$1:$G$99911,5,FALSE)</f>
        <v>STEWART MICHAEL</v>
      </c>
      <c r="M107" s="6">
        <f t="shared" si="38"/>
        <v>3.0451388891378883E-2</v>
      </c>
      <c r="N107" s="7">
        <f t="shared" si="55"/>
        <v>43.850000003585592</v>
      </c>
      <c r="O107" s="7"/>
      <c r="P107" s="7"/>
      <c r="Q107" s="22"/>
      <c r="R107" s="174"/>
      <c r="S107" s="221">
        <f t="shared" si="56"/>
        <v>1</v>
      </c>
      <c r="T107" s="174" t="str">
        <f t="shared" si="39"/>
        <v>Southbound</v>
      </c>
      <c r="U107" s="198">
        <f>IF(AG107="EC",COUNTIFS(Variables!$M$2:$M$19,IF(T107="NorthBound","&gt;=","&lt;=")&amp;Y107,Variables!$M$2:$M$19,IF(T107="NorthBound","&lt;=","&gt;=")&amp;Z107),COUNTIFS(Variables!$P$2:$P$19,IF(T107="NorthBound","&gt;=","&lt;=")&amp;Y107,Variables!$P$2:$P$19,IF(T107="NorthBound","&lt;=","&gt;=")&amp;Z107))</f>
        <v>12</v>
      </c>
      <c r="V107" s="216" t="str">
        <f t="shared" si="40"/>
        <v>https://d0f6bd738d7f1b3e5a7ca70fe4ff75f0.us-east-1.aws.found.io/app/kibana#/discover/Steve-Slow-Train-Analysis-(2080s-and-2083s)?_g=(refreshInterval:(display:Off,pause:!f,section:0,value:0),time:(from:'2017-10-05T14:50:53-0600',mode:absolute,to:'2017-10-05T19:26:08-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107" s="204" t="str">
        <f>IF(AA107&lt;VLOOKUP(AG107,Variables!$AC$3:$AD$8,2,FALSE),"Y","N")</f>
        <v>N</v>
      </c>
      <c r="X107" s="204">
        <f t="shared" si="41"/>
        <v>1</v>
      </c>
      <c r="Y107" s="204">
        <f t="shared" si="42"/>
        <v>23.298500000000001</v>
      </c>
      <c r="Z107" s="204">
        <f t="shared" si="54"/>
        <v>2.98E-2</v>
      </c>
      <c r="AA107" s="204">
        <f t="shared" si="44"/>
        <v>23.268699999999999</v>
      </c>
      <c r="AB107" s="54" t="e">
        <f>VLOOKUP(A107,Enforcements!$C$7:$K$11,8,0)</f>
        <v>#N/A</v>
      </c>
      <c r="AC107" s="51" t="e">
        <f>VLOOKUP(A107,Enforcements!$C$7:$E$11,3,0)</f>
        <v>#N/A</v>
      </c>
      <c r="AD107" s="179">
        <f t="shared" si="45"/>
        <v>192</v>
      </c>
      <c r="AE107" s="77" t="str">
        <f t="shared" si="46"/>
        <v>aws s3 cp s3://rtdc.mdm.uploadarchive.raw/RTDC4027/ "%USERPROFILE%\AppData\Local\Temp\OnboardLogs"\RTDC4027\2017-10-05 --exclude "*" --recursive --include "*20171005*" &amp; "%USERPROFILE%\Documents\GitHub\mrs-test-scripts\Headless Mode &amp; Sideloading\WalkAndUnGZ.bat" "%USERPROFILE%\AppData\Local\Temp\OnboardLogs"\RTDC4027\2017-10-05 &amp; aws s3 cp s3://rtdc.mdm.uploadarchive.raw/RTDC4027/ "%USERPROFILE%\AppData\Local\Temp\OnboardLogs"\RTDC4027\2017-10-06 --exclude "*" --recursive --include "*20171006*" &amp; "%USERPROFILE%\Documents\GitHub\mrs-test-scripts\Headless Mode &amp; Sideloading\WalkAndUnGZ.bat" "%USERPROFILE%\AppData\Local\Temp\OnboardLogs"\RTDC4027\2017-10-06</v>
      </c>
      <c r="AF107" s="74" t="str">
        <f t="shared" si="47"/>
        <v>"C:\Program Files (x86)\AstroGrep\AstroGrep.exe" /e /r /s /spath="%USERPROFILE%\AppData\Local\Temp\OnboardLogs" /stypes="app*4027*20171006*" /stext=" 00:.+((SYSTEM_STATE.+slice.+state.+changed )|(ment ac)|(multiple cpu faults)|(system.+state.+changed )|(\[timeout)|(PRM\|1\|D)|(kpr)|(kdp)|(train st.+moving)|(\|lc)|(penalty))"</v>
      </c>
      <c r="AG107" s="182" t="str">
        <f t="shared" si="48"/>
        <v>EC</v>
      </c>
      <c r="AH107" s="78" t="str">
        <f t="shared" si="49"/>
        <v>"%USERPROFILE%\Documents\GitHub\eaglep3\Utilities\RefineRTDCRunTimes.py" --tripid 192-05 --locoid 4027 --swversion DE.1.0.9.0 --startMP 204:232985 --initTime 2017-10-05T15:50:53 --startdatetime 2017-10-05T17:42:17 --delay 56 --endMP 204:298 --enddatetime 2017-10-05T18:26:08 --enforcementcount 0 &gt;&gt;%USERPROFILE%\Documents\GitHub\eaglep3-reporting\EC\2017-10-05-refined-times.txt</v>
      </c>
      <c r="AI107" s="96" t="str">
        <f t="shared" si="50"/>
        <v>echo {"issue":{"subject":"","project_id":79,"tracker_id":40,"status_id":1,"priority_id":2,"assigned_to_id":338,"start_date":"2017-10-05","description":"","custom_fields":[{"id":1,"name":"Subdivision","value":"EC"},{"id":4,"name":"Milepost","value":"0.0298"},{"id":17,"name":"Train ID","value":"192-05"},{"id":16,"name":"Locomotive ID","value":"4027"},{"id":130,"name":"Impact","value":""},{"id":150,"name":"Time of Event (Mountain Time)","value":"18:26:08"},{"id":151,"name":"Denver Issue ID","value":""},{"id":178,"name":"Operational Impact","value":"Yes"},{"id":179,"name":"Denver Segment Assigned","value":""}]}} | curl --insecure -X POST -H "Content-Type: application/json" -H "X-Redmine-API-Key: %REDMINEAPIKEY%" https://secure.xorail.net/redmine/issues.json --data @-</v>
      </c>
      <c r="AK107" s="47"/>
      <c r="AL107" s="47"/>
      <c r="AM107" s="142" t="str">
        <f t="shared" si="51"/>
        <v>start /low /b %USERPROFILE%\Documents\GitHub\eaglep3\Utilities\DownloadLogsFromS3.py --loco 4027 --day 2017-10-05</v>
      </c>
      <c r="AN107" s="151" t="str">
        <f t="shared" si="52"/>
        <v>echo {"issue":{"subject":"","project_id":30,"tracker_id":4,"status_id":1,"priority_id":1,"assigned_to_id":10,"start_date":"2017-10-06","description":"","custom_fields":[{"id":30,"name":"Category","value":"Issue"},{"id":3,"name":"Functional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00:26:08"},{"id":29,"name":"Sharepoint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07" s="168" t="str">
        <f t="shared" si="53"/>
        <v>https://d0f6bd738d7f1b3e5a7ca70fe4ff75f0.us-east-1.aws.found.io/app/kibana#/discover/Steve-Slow-Train-Analysis-(2080s-and-2083s)?_g=(refreshInterval:(display:Off,pause:!f,section:0,value:0),time:(from:'2017-10-05T14:50:53-0600',mode:absolute,to:'2017-10-05T19:26:08-0600'))&amp;_a=(columns:!('Message%20ID',Summary),filters:!(),index:'emp_*',interval:auto,query:(query_string:(analyze_wildcard:!t,query:'%22rtdc.l.rtdc.4027%22')),sort:!(Time.ISO8601,asc))</v>
      </c>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row>
    <row r="108" spans="1:91" s="20" customFormat="1" x14ac:dyDescent="0.25">
      <c r="A108" s="32" t="s">
        <v>608</v>
      </c>
      <c r="B108" s="7">
        <v>4042</v>
      </c>
      <c r="C108" s="21" t="s">
        <v>194</v>
      </c>
      <c r="D108" s="21" t="s">
        <v>380</v>
      </c>
      <c r="E108" s="13">
        <v>43013.634189814817</v>
      </c>
      <c r="F108" s="13">
        <v>43013.635636574072</v>
      </c>
      <c r="G108" s="7">
        <v>48</v>
      </c>
      <c r="H108" s="21" t="s">
        <v>490</v>
      </c>
      <c r="I108" s="13">
        <v>43013.659490740742</v>
      </c>
      <c r="J108" s="7">
        <v>0</v>
      </c>
      <c r="K108" s="89" t="str">
        <f t="shared" si="37"/>
        <v>4041/4042</v>
      </c>
      <c r="L108" s="185" t="str">
        <f>VLOOKUP(A108,'Trips&amp;Operators'!$C$1:$G$99911,5,FALSE)</f>
        <v>LEVIN SCOTT</v>
      </c>
      <c r="M108" s="6">
        <f t="shared" si="38"/>
        <v>2.3854166669480037E-2</v>
      </c>
      <c r="N108" s="7">
        <f t="shared" si="55"/>
        <v>34.350000004051253</v>
      </c>
      <c r="O108" s="7"/>
      <c r="P108" s="7"/>
      <c r="Q108" s="22"/>
      <c r="R108" s="174"/>
      <c r="S108" s="221">
        <f t="shared" si="56"/>
        <v>1</v>
      </c>
      <c r="T108" s="174" t="str">
        <f t="shared" si="39"/>
        <v>NorthBound</v>
      </c>
      <c r="U108" s="198">
        <f>IF(AG108="EC",COUNTIFS(Variables!$M$2:$M$19,IF(T108="NorthBound","&gt;=","&lt;=")&amp;Y108,Variables!$M$2:$M$19,IF(T108="NorthBound","&lt;=","&gt;=")&amp;Z108),COUNTIFS(Variables!$P$2:$P$19,IF(T108="NorthBound","&gt;=","&lt;=")&amp;Y108,Variables!$P$2:$P$19,IF(T108="NorthBound","&lt;=","&gt;=")&amp;Z108))</f>
        <v>12</v>
      </c>
      <c r="V108" s="216" t="str">
        <f t="shared" si="40"/>
        <v>https://d0f6bd738d7f1b3e5a7ca70fe4ff75f0.us-east-1.aws.found.io/app/kibana#/discover/Steve-Slow-Train-Analysis-(2080s-and-2083s)?_g=(refreshInterval:(display:Off,pause:!f,section:0,value:0),time:(from:'2017-10-05T14:13:14-0600',mode:absolute,to:'2017-10-05T16:49:40-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4042%22')),sort:!(Time.ISO8601,asc))</v>
      </c>
      <c r="W108" s="204" t="str">
        <f>IF(AA108&lt;VLOOKUP(AG108,Variables!$AC$3:$AD$8,2,FALSE),"Y","N")</f>
        <v>N</v>
      </c>
      <c r="X108" s="204">
        <f t="shared" si="41"/>
        <v>1</v>
      </c>
      <c r="Y108" s="204">
        <f t="shared" si="42"/>
        <v>4.6600000000000003E-2</v>
      </c>
      <c r="Z108" s="204">
        <f t="shared" si="54"/>
        <v>23.328800000000001</v>
      </c>
      <c r="AA108" s="204">
        <f t="shared" si="44"/>
        <v>23.2822</v>
      </c>
      <c r="AB108" s="54" t="e">
        <f>VLOOKUP(A108,Enforcements!$C$7:$K$11,8,0)</f>
        <v>#N/A</v>
      </c>
      <c r="AC108" s="51" t="e">
        <f>VLOOKUP(A108,Enforcements!$C$7:$E$11,3,0)</f>
        <v>#N/A</v>
      </c>
      <c r="AD108" s="179">
        <f t="shared" si="45"/>
        <v>193</v>
      </c>
      <c r="AE108" s="77" t="str">
        <f t="shared" si="46"/>
        <v>aws s3 cp s3://rtdc.mdm.uploadarchive.raw/RTDC4042/ "%USERPROFILE%\AppData\Local\Temp\OnboardLogs"\RTDC4042\2017-10-05 --exclude "*" --recursive --include "*20171005*" &amp; "%USERPROFILE%\Documents\GitHub\mrs-test-scripts\Headless Mode &amp; Sideloading\WalkAndUnGZ.bat" "%USERPROFILE%\AppData\Local\Temp\OnboardLogs"\RTDC4042\2017-10-05 &amp; aws s3 cp s3://rtdc.mdm.uploadarchive.raw/RTDC4042/ "%USERPROFILE%\AppData\Local\Temp\OnboardLogs"\RTDC4042\2017-10-06 --exclude "*" --recursive --include "*20171006*" &amp; "%USERPROFILE%\Documents\GitHub\mrs-test-scripts\Headless Mode &amp; Sideloading\WalkAndUnGZ.bat" "%USERPROFILE%\AppData\Local\Temp\OnboardLogs"\RTDC4042\2017-10-06</v>
      </c>
      <c r="AF108" s="74" t="str">
        <f t="shared" si="47"/>
        <v>"C:\Program Files (x86)\AstroGrep\AstroGrep.exe" /e /r /s /spath="%USERPROFILE%\AppData\Local\Temp\OnboardLogs" /stypes="app*4042*20171005*" /stext=" 21:.+((SYSTEM_STATE.+slice.+state.+changed )|(ment ac)|(multiple cpu faults)|(system.+state.+changed )|(\[timeout)|(PRM\|1\|D)|(kpr)|(kdp)|(train st.+moving)|(\|lc)|(penalty))"</v>
      </c>
      <c r="AG108" s="182" t="str">
        <f t="shared" si="48"/>
        <v>EC</v>
      </c>
      <c r="AH108" s="78" t="str">
        <f t="shared" si="49"/>
        <v>"%USERPROFILE%\Documents\GitHub\eaglep3\Utilities\RefineRTDCRunTimes.py" --tripid 193-05 --locoid 4042 --swversion DE.1.0.9.0 --startMP 204:466 --initTime 2017-10-05T15:13:14 --startdatetime 2017-10-05T15:15:19 --delay 48 --endMP 204:233288 --enddatetime 2017-10-05T15:49:40 --enforcementcount 0 &gt;&gt;%USERPROFILE%\Documents\GitHub\eaglep3-reporting\EC\2017-10-05-refined-times.txt</v>
      </c>
      <c r="AI108" s="96" t="str">
        <f t="shared" si="50"/>
        <v>echo {"issue":{"subject":"","project_id":79,"tracker_id":40,"status_id":1,"priority_id":2,"assigned_to_id":338,"start_date":"2017-10-05","description":"","custom_fields":[{"id":1,"name":"Subdivision","value":"EC"},{"id":4,"name":"Milepost","value":"23.3288"},{"id":17,"name":"Train ID","value":"193-05"},{"id":16,"name":"Locomotive ID","value":"4042"},{"id":130,"name":"Impact","value":""},{"id":150,"name":"Time of Event (Mountain Time)","value":"15:49:40"},{"id":151,"name":"Denver Issue ID","value":""},{"id":178,"name":"Operational Impact","value":"Yes"},{"id":179,"name":"Denver Segment Assigned","value":""}]}} | curl --insecure -X POST -H "Content-Type: application/json" -H "X-Redmine-API-Key: %REDMINEAPIKEY%" https://secure.xorail.net/redmine/issues.json --data @-</v>
      </c>
      <c r="AK108" s="47"/>
      <c r="AL108" s="47"/>
      <c r="AM108" s="142" t="str">
        <f t="shared" si="51"/>
        <v>start /low /b %USERPROFILE%\Documents\GitHub\eaglep3\Utilities\DownloadLogsFromS3.py --loco 4042 --day 2017-10-05</v>
      </c>
      <c r="AN108" s="151" t="str">
        <f t="shared" si="52"/>
        <v>echo {"issue":{"subject":"","project_id":30,"tracker_id":4,"status_id":1,"priority_id":1,"assigned_to_id":10,"start_date":"2017-10-05","description":"","custom_fields":[{"id":30,"name":"Category","value":"Issue"},{"id":3,"name":"Functional Component","value":"Onboard"},{"id":31,"name":"Version","value":"N/A"},{"id":8,"name":"Reporting RR","value":"WABTEC"},{"id":27,"name":"Locomotive ID","value":"4042"},{"id":20,"name":"RR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21:49:40"},{"id":29,"name":"Sharepoint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08" s="168" t="str">
        <f t="shared" si="53"/>
        <v>https://d0f6bd738d7f1b3e5a7ca70fe4ff75f0.us-east-1.aws.found.io/app/kibana#/discover/Steve-Slow-Train-Analysis-(2080s-and-2083s)?_g=(refreshInterval:(display:Off,pause:!f,section:0,value:0),time:(from:'2017-10-05T14:13:14-0600',mode:absolute,to:'2017-10-05T16:49:40-0600'))&amp;_a=(columns:!('Message%20ID',Summary),filters:!(),index:'emp_*',interval:auto,query:(query_string:(analyze_wildcard:!t,query:'%22rtdc.l.rtdc.4042%22')),sort:!(Time.ISO8601,asc))</v>
      </c>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row>
    <row r="109" spans="1:91" s="20" customFormat="1" x14ac:dyDescent="0.25">
      <c r="A109" s="32" t="s">
        <v>739</v>
      </c>
      <c r="B109" s="7">
        <v>4041</v>
      </c>
      <c r="C109" s="21" t="s">
        <v>194</v>
      </c>
      <c r="D109" s="21" t="s">
        <v>536</v>
      </c>
      <c r="E109" s="13">
        <v>43013.67150462963</v>
      </c>
      <c r="F109" s="13">
        <v>43013.675185185188</v>
      </c>
      <c r="G109" s="7">
        <v>81</v>
      </c>
      <c r="H109" s="21" t="s">
        <v>335</v>
      </c>
      <c r="I109" s="13">
        <v>43013.701435185183</v>
      </c>
      <c r="J109" s="7">
        <v>0</v>
      </c>
      <c r="K109" s="89" t="str">
        <f t="shared" ref="K109:K124" si="57">IF(ISEVEN(B109),(B109-1)&amp;"/"&amp;B109,B109&amp;"/"&amp;(B109+1))</f>
        <v>4041/4042</v>
      </c>
      <c r="L109" s="185" t="str">
        <f>VLOOKUP(A109,'Trips&amp;Operators'!$C$1:$G$99911,5,FALSE)</f>
        <v>LEVIN SCOTT</v>
      </c>
      <c r="M109" s="6">
        <f t="shared" ref="M109:M124" si="58">I109-F109</f>
        <v>2.6249999995343387E-2</v>
      </c>
      <c r="N109" s="7">
        <f t="shared" si="55"/>
        <v>37.799999993294477</v>
      </c>
      <c r="O109" s="7"/>
      <c r="P109" s="7"/>
      <c r="Q109" s="22"/>
      <c r="R109" s="174"/>
      <c r="S109" s="221">
        <f t="shared" si="56"/>
        <v>1</v>
      </c>
      <c r="T109" s="174" t="str">
        <f t="shared" ref="T109:T124" si="59">IF(ISEVEN(LEFT(AD109,4)),"Southbound","NorthBound")</f>
        <v>Southbound</v>
      </c>
      <c r="U109" s="198">
        <f>IF(AG109="EC",COUNTIFS(Variables!$M$2:$M$19,IF(T109="NorthBound","&gt;=","&lt;=")&amp;Y109,Variables!$M$2:$M$19,IF(T109="NorthBound","&lt;=","&gt;=")&amp;Z109),COUNTIFS(Variables!$P$2:$P$19,IF(T109="NorthBound","&gt;=","&lt;=")&amp;Y109,Variables!$P$2:$P$19,IF(T109="NorthBound","&lt;=","&gt;=")&amp;Z109))</f>
        <v>12</v>
      </c>
      <c r="V109" s="216" t="str">
        <f t="shared" si="40"/>
        <v>https://d0f6bd738d7f1b3e5a7ca70fe4ff75f0.us-east-1.aws.found.io/app/kibana#/discover/Steve-Slow-Train-Analysis-(2080s-and-2083s)?_g=(refreshInterval:(display:Off,pause:!f,section:0,value:0),time:(from:'2017-10-05T15:06:58-0600',mode:absolute,to:'2017-10-05T17:50:04-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4041%22')),sort:!(Time.ISO8601,asc))</v>
      </c>
      <c r="W109" s="204" t="str">
        <f>IF(AA109&lt;VLOOKUP(AG109,Variables!$AC$3:$AD$8,2,FALSE),"Y","N")</f>
        <v>N</v>
      </c>
      <c r="X109" s="204">
        <f t="shared" ref="X109:X124" si="60">VALUE(LEFT(AD109,4))-VALUE(LEFT(AD108,4))</f>
        <v>1</v>
      </c>
      <c r="Y109" s="204">
        <f t="shared" ref="Y109:Y124" si="61">RIGHT(D109,LEN(D109)-4)/10000</f>
        <v>23.297499999999999</v>
      </c>
      <c r="Z109" s="204">
        <f t="shared" si="54"/>
        <v>1.4999999999999999E-2</v>
      </c>
      <c r="AA109" s="204">
        <f t="shared" ref="AA109:AA124" si="62">ABS(Z109-Y109)</f>
        <v>23.282499999999999</v>
      </c>
      <c r="AB109" s="54" t="e">
        <f>VLOOKUP(A109,Enforcements!$C$7:$K$11,8,0)</f>
        <v>#N/A</v>
      </c>
      <c r="AC109" s="51" t="e">
        <f>VLOOKUP(A109,Enforcements!$C$7:$E$11,3,0)</f>
        <v>#N/A</v>
      </c>
      <c r="AD109" s="179">
        <f t="shared" ref="AD109:AD124" si="63">VALUE(LEFT(A109,LEN(A109)-3))</f>
        <v>194</v>
      </c>
      <c r="AE109" s="77" t="str">
        <f t="shared" si="46"/>
        <v>aws s3 cp s3://rtdc.mdm.uploadarchive.raw/RTDC4041/ "%USERPROFILE%\AppData\Local\Temp\OnboardLogs"\RTDC4041\2017-10-05 --exclude "*" --recursive --include "*20171005*" &amp; "%USERPROFILE%\Documents\GitHub\mrs-test-scripts\Headless Mode &amp; Sideloading\WalkAndUnGZ.bat" "%USERPROFILE%\AppData\Local\Temp\OnboardLogs"\RTDC4041\2017-10-05 &amp; aws s3 cp s3://rtdc.mdm.uploadarchive.raw/RTDC4041/ "%USERPROFILE%\AppData\Local\Temp\OnboardLogs"\RTDC4041\2017-10-06 --exclude "*" --recursive --include "*20171006*" &amp; "%USERPROFILE%\Documents\GitHub\mrs-test-scripts\Headless Mode &amp; Sideloading\WalkAndUnGZ.bat" "%USERPROFILE%\AppData\Local\Temp\OnboardLogs"\RTDC4041\2017-10-06</v>
      </c>
      <c r="AF109" s="74" t="str">
        <f t="shared" si="47"/>
        <v>"C:\Program Files (x86)\AstroGrep\AstroGrep.exe" /e /r /s /spath="%USERPROFILE%\AppData\Local\Temp\OnboardLogs" /stypes="app*4041*20171005*" /stext=" 22:.+((SYSTEM_STATE.+slice.+state.+changed )|(ment ac)|(multiple cpu faults)|(system.+state.+changed )|(\[timeout)|(PRM\|1\|D)|(kpr)|(kdp)|(train st.+moving)|(\|lc)|(penalty))"</v>
      </c>
      <c r="AG109" s="182" t="str">
        <f t="shared" ref="AG109:AG124" si="64">DetSubdiv(A109)</f>
        <v>EC</v>
      </c>
      <c r="AH109" s="78" t="str">
        <f t="shared" si="49"/>
        <v>"%USERPROFILE%\Documents\GitHub\eaglep3\Utilities\RefineRTDCRunTimes.py" --tripid 194-05 --locoid 4041 --swversion DE.1.0.9.0 --startMP 204:232975 --initTime 2017-10-05T16:06:58 --startdatetime 2017-10-05T16:12:16 --delay 81 --endMP 204:150 --enddatetime 2017-10-05T16:50:04 --enforcementcount 0 &gt;&gt;%USERPROFILE%\Documents\GitHub\eaglep3-reporting\EC\2017-10-05-refined-times.txt</v>
      </c>
      <c r="AI109" s="96" t="str">
        <f t="shared" si="50"/>
        <v>echo {"issue":{"subject":"","project_id":79,"tracker_id":40,"status_id":1,"priority_id":2,"assigned_to_id":338,"start_date":"2017-10-05","description":"","custom_fields":[{"id":1,"name":"Subdivision","value":"EC"},{"id":4,"name":"Milepost","value":"0.015"},{"id":17,"name":"Train ID","value":"194-05"},{"id":16,"name":"Locomotive ID","value":"4041"},{"id":130,"name":"Impact","value":""},{"id":150,"name":"Time of Event (Mountain Time)","value":"16:50:04"},{"id":151,"name":"Denver Issue ID","value":""},{"id":178,"name":"Operational Impact","value":"Yes"},{"id":179,"name":"Denver Segment Assigned","value":""}]}} | curl --insecure -X POST -H "Content-Type: application/json" -H "X-Redmine-API-Key: %REDMINEAPIKEY%" https://secure.xorail.net/redmine/issues.json --data @-</v>
      </c>
      <c r="AK109" s="47"/>
      <c r="AL109" s="47"/>
      <c r="AM109" s="142" t="str">
        <f t="shared" si="51"/>
        <v>start /low /b %USERPROFILE%\Documents\GitHub\eaglep3\Utilities\DownloadLogsFromS3.py --loco 4041 --day 2017-10-05</v>
      </c>
      <c r="AN109" s="151" t="str">
        <f t="shared" si="52"/>
        <v>echo {"issue":{"subject":"","project_id":30,"tracker_id":4,"status_id":1,"priority_id":1,"assigned_to_id":10,"start_date":"2017-10-05","description":"","custom_fields":[{"id":30,"name":"Category","value":"Issue"},{"id":3,"name":"Functional Component","value":"Onboard"},{"id":31,"name":"Version","value":"N/A"},{"id":8,"name":"Reporting RR","value":"WABTEC"},{"id":27,"name":"Locomotive ID","value":"4041"},{"id":20,"name":"RR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22:50:04"},{"id":29,"name":"Sharepoint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09" s="168" t="str">
        <f t="shared" si="53"/>
        <v>https://d0f6bd738d7f1b3e5a7ca70fe4ff75f0.us-east-1.aws.found.io/app/kibana#/discover/Steve-Slow-Train-Analysis-(2080s-and-2083s)?_g=(refreshInterval:(display:Off,pause:!f,section:0,value:0),time:(from:'2017-10-05T15:06:58-0600',mode:absolute,to:'2017-10-05T17:50:04-0600'))&amp;_a=(columns:!('Message%20ID',Summary),filters:!(),index:'emp_*',interval:auto,query:(query_string:(analyze_wildcard:!t,query:'%22rtdc.l.rtdc.4041%22')),sort:!(Time.ISO8601,asc))</v>
      </c>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row>
    <row r="110" spans="1:91" s="20" customFormat="1" x14ac:dyDescent="0.25">
      <c r="A110" s="32" t="s">
        <v>731</v>
      </c>
      <c r="B110" s="7">
        <v>4044</v>
      </c>
      <c r="C110" s="21" t="s">
        <v>194</v>
      </c>
      <c r="D110" s="21" t="s">
        <v>375</v>
      </c>
      <c r="E110" s="13">
        <v>43013.642604166664</v>
      </c>
      <c r="F110" s="13">
        <v>43013.646006944444</v>
      </c>
      <c r="G110" s="7">
        <v>88</v>
      </c>
      <c r="H110" s="21" t="s">
        <v>461</v>
      </c>
      <c r="I110" s="13">
        <v>43013.671342592592</v>
      </c>
      <c r="J110" s="7">
        <v>0</v>
      </c>
      <c r="K110" s="89" t="str">
        <f t="shared" si="57"/>
        <v>4043/4044</v>
      </c>
      <c r="L110" s="185" t="str">
        <f>VLOOKUP(A110,'Trips&amp;Operators'!$C$1:$G$99911,5,FALSE)</f>
        <v>BERLING GARY</v>
      </c>
      <c r="M110" s="6">
        <f t="shared" si="58"/>
        <v>2.5335648148029577E-2</v>
      </c>
      <c r="N110" s="7">
        <f t="shared" si="55"/>
        <v>36.483333333162591</v>
      </c>
      <c r="O110" s="7"/>
      <c r="P110" s="7"/>
      <c r="Q110" s="22"/>
      <c r="R110" s="174"/>
      <c r="S110" s="221">
        <f t="shared" si="56"/>
        <v>1</v>
      </c>
      <c r="T110" s="174" t="str">
        <f t="shared" si="59"/>
        <v>NorthBound</v>
      </c>
      <c r="U110" s="198">
        <f>IF(AG110="EC",COUNTIFS(Variables!$M$2:$M$19,IF(T110="NorthBound","&gt;=","&lt;=")&amp;Y110,Variables!$M$2:$M$19,IF(T110="NorthBound","&lt;=","&gt;=")&amp;Z110),COUNTIFS(Variables!$P$2:$P$19,IF(T110="NorthBound","&gt;=","&lt;=")&amp;Y110,Variables!$P$2:$P$19,IF(T110="NorthBound","&lt;=","&gt;=")&amp;Z110))</f>
        <v>12</v>
      </c>
      <c r="V110" s="216" t="str">
        <f t="shared" si="40"/>
        <v>https://d0f6bd738d7f1b3e5a7ca70fe4ff75f0.us-east-1.aws.found.io/app/kibana#/discover/Steve-Slow-Train-Analysis-(2080s-and-2083s)?_g=(refreshInterval:(display:Off,pause:!f,section:0,value:0),time:(from:'2017-10-05T14:25:21-0600',mode:absolute,to:'2017-10-05T17:06:44-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4044%22')),sort:!(Time.ISO8601,asc))</v>
      </c>
      <c r="W110" s="204" t="str">
        <f>IF(AA110&lt;VLOOKUP(AG110,Variables!$AC$3:$AD$8,2,FALSE),"Y","N")</f>
        <v>N</v>
      </c>
      <c r="X110" s="204">
        <f t="shared" si="60"/>
        <v>1</v>
      </c>
      <c r="Y110" s="204">
        <f t="shared" si="61"/>
        <v>4.5100000000000001E-2</v>
      </c>
      <c r="Z110" s="204">
        <f t="shared" si="54"/>
        <v>23.331</v>
      </c>
      <c r="AA110" s="204">
        <f t="shared" si="62"/>
        <v>23.285899999999998</v>
      </c>
      <c r="AB110" s="54" t="e">
        <f>VLOOKUP(A110,Enforcements!$C$7:$K$11,8,0)</f>
        <v>#N/A</v>
      </c>
      <c r="AC110" s="51" t="e">
        <f>VLOOKUP(A110,Enforcements!$C$7:$E$11,3,0)</f>
        <v>#N/A</v>
      </c>
      <c r="AD110" s="179">
        <f t="shared" si="63"/>
        <v>195</v>
      </c>
      <c r="AE110" s="77" t="str">
        <f t="shared" si="46"/>
        <v>aws s3 cp s3://rtdc.mdm.uploadarchive.raw/RTDC4044/ "%USERPROFILE%\AppData\Local\Temp\OnboardLogs"\RTDC4044\2017-10-05 --exclude "*" --recursive --include "*20171005*" &amp; "%USERPROFILE%\Documents\GitHub\mrs-test-scripts\Headless Mode &amp; Sideloading\WalkAndUnGZ.bat" "%USERPROFILE%\AppData\Local\Temp\OnboardLogs"\RTDC4044\2017-10-05 &amp; aws s3 cp s3://rtdc.mdm.uploadarchive.raw/RTDC4044/ "%USERPROFILE%\AppData\Local\Temp\OnboardLogs"\RTDC4044\2017-10-06 --exclude "*" --recursive --include "*20171006*" &amp; "%USERPROFILE%\Documents\GitHub\mrs-test-scripts\Headless Mode &amp; Sideloading\WalkAndUnGZ.bat" "%USERPROFILE%\AppData\Local\Temp\OnboardLogs"\RTDC4044\2017-10-06</v>
      </c>
      <c r="AF110" s="74" t="str">
        <f t="shared" si="47"/>
        <v>"C:\Program Files (x86)\AstroGrep\AstroGrep.exe" /e /r /s /spath="%USERPROFILE%\AppData\Local\Temp\OnboardLogs" /stypes="app*4044*20171005*" /stext=" 22:.+((SYSTEM_STATE.+slice.+state.+changed )|(ment ac)|(multiple cpu faults)|(system.+state.+changed )|(\[timeout)|(PRM\|1\|D)|(kpr)|(kdp)|(train st.+moving)|(\|lc)|(penalty))"</v>
      </c>
      <c r="AG110" s="182" t="str">
        <f t="shared" si="64"/>
        <v>EC</v>
      </c>
      <c r="AH110" s="78" t="str">
        <f t="shared" si="49"/>
        <v>"%USERPROFILE%\Documents\GitHub\eaglep3\Utilities\RefineRTDCRunTimes.py" --tripid 195-05 --locoid 4044 --swversion DE.1.0.9.0 --startMP 204:451 --initTime 2017-10-05T15:25:21 --startdatetime 2017-10-05T15:30:15 --delay 88 --endMP 204:233310 --enddatetime 2017-10-05T16:06:44 --enforcementcount 0 &gt;&gt;%USERPROFILE%\Documents\GitHub\eaglep3-reporting\EC\2017-10-05-refined-times.txt</v>
      </c>
      <c r="AI110" s="96" t="str">
        <f t="shared" si="50"/>
        <v>echo {"issue":{"subject":"","project_id":79,"tracker_id":40,"status_id":1,"priority_id":2,"assigned_to_id":338,"start_date":"2017-10-05","description":"","custom_fields":[{"id":1,"name":"Subdivision","value":"EC"},{"id":4,"name":"Milepost","value":"23.331"},{"id":17,"name":"Train ID","value":"195-05"},{"id":16,"name":"Locomotive ID","value":"4044"},{"id":130,"name":"Impact","value":""},{"id":150,"name":"Time of Event (Mountain Time)","value":"16:06:44"},{"id":151,"name":"Denver Issue ID","value":""},{"id":178,"name":"Operational Impact","value":"Yes"},{"id":179,"name":"Denver Segment Assigned","value":""}]}} | curl --insecure -X POST -H "Content-Type: application/json" -H "X-Redmine-API-Key: %REDMINEAPIKEY%" https://secure.xorail.net/redmine/issues.json --data @-</v>
      </c>
      <c r="AK110" s="47"/>
      <c r="AL110" s="47"/>
      <c r="AM110" s="142" t="str">
        <f t="shared" si="51"/>
        <v>start /low /b %USERPROFILE%\Documents\GitHub\eaglep3\Utilities\DownloadLogsFromS3.py --loco 4044 --day 2017-10-05</v>
      </c>
      <c r="AN110" s="151" t="str">
        <f t="shared" si="52"/>
        <v>echo {"issue":{"subject":"","project_id":30,"tracker_id":4,"status_id":1,"priority_id":1,"assigned_to_id":10,"start_date":"2017-10-05","description":"","custom_fields":[{"id":30,"name":"Category","value":"Issue"},{"id":3,"name":"Functional Component","value":"Onboard"},{"id":31,"name":"Version","value":"N/A"},{"id":8,"name":"Reporting RR","value":"WABTEC"},{"id":27,"name":"Locomotive ID","value":"4044"},{"id":20,"name":"RR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22:06:44"},{"id":29,"name":"Sharepoint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10" s="168" t="str">
        <f t="shared" si="53"/>
        <v>https://d0f6bd738d7f1b3e5a7ca70fe4ff75f0.us-east-1.aws.found.io/app/kibana#/discover/Steve-Slow-Train-Analysis-(2080s-and-2083s)?_g=(refreshInterval:(display:Off,pause:!f,section:0,value:0),time:(from:'2017-10-05T14:25:21-0600',mode:absolute,to:'2017-10-05T17:06:44-0600'))&amp;_a=(columns:!('Message%20ID',Summary),filters:!(),index:'emp_*',interval:auto,query:(query_string:(analyze_wildcard:!t,query:'%22rtdc.l.rtdc.4044%22')),sort:!(Time.ISO8601,asc))</v>
      </c>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row>
    <row r="111" spans="1:91" s="20" customFormat="1" x14ac:dyDescent="0.25">
      <c r="A111" s="32" t="s">
        <v>740</v>
      </c>
      <c r="B111" s="7">
        <v>4043</v>
      </c>
      <c r="C111" s="21" t="s">
        <v>194</v>
      </c>
      <c r="D111" s="21" t="s">
        <v>436</v>
      </c>
      <c r="E111" s="13">
        <v>43013.678738425922</v>
      </c>
      <c r="F111" s="13">
        <v>43013.791435185187</v>
      </c>
      <c r="G111" s="7">
        <v>106</v>
      </c>
      <c r="H111" s="21" t="s">
        <v>864</v>
      </c>
      <c r="I111" s="13">
        <v>43013.79247685185</v>
      </c>
      <c r="J111" s="7">
        <v>0</v>
      </c>
      <c r="K111" s="89" t="str">
        <f t="shared" si="57"/>
        <v>4043/4044</v>
      </c>
      <c r="L111" s="185" t="str">
        <f>VLOOKUP(A111,'Trips&amp;Operators'!$C$1:$G$99911,5,FALSE)</f>
        <v>BERLING GARY</v>
      </c>
      <c r="M111" s="6">
        <f t="shared" si="58"/>
        <v>1.0416666627861559E-3</v>
      </c>
      <c r="N111" s="7"/>
      <c r="O111" s="7"/>
      <c r="P111" s="7">
        <f>24*60*SUM($M111:$M111)</f>
        <v>1.4999999944120646</v>
      </c>
      <c r="Q111" s="22"/>
      <c r="R111" s="174" t="s">
        <v>500</v>
      </c>
      <c r="S111" s="221">
        <f t="shared" si="56"/>
        <v>0</v>
      </c>
      <c r="T111" s="174" t="str">
        <f t="shared" si="59"/>
        <v>Southbound</v>
      </c>
      <c r="U111" s="198">
        <f>IF(AG111="EC",COUNTIFS(Variables!$M$2:$M$19,IF(T111="NorthBound","&gt;=","&lt;=")&amp;Y111,Variables!$M$2:$M$19,IF(T111="NorthBound","&lt;=","&gt;=")&amp;Z111),COUNTIFS(Variables!$P$2:$P$19,IF(T111="NorthBound","&gt;=","&lt;=")&amp;Y111,Variables!$P$2:$P$19,IF(T111="NorthBound","&lt;=","&gt;=")&amp;Z111))</f>
        <v>0</v>
      </c>
      <c r="V111" s="216" t="str">
        <f t="shared" si="40"/>
        <v>https://d0f6bd738d7f1b3e5a7ca70fe4ff75f0.us-east-1.aws.found.io/app/kibana#/discover/Steve-Slow-Train-Analysis-(2080s-and-2083s)?_g=(refreshInterval:(display:Off,pause:!f,section:0,value:0),time:(from:'2017-10-05T15:17:23-0600',mode:absolute,to:'2017-10-05T20:01:10-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4043%22')),sort:!(Time.ISO8601,asc))</v>
      </c>
      <c r="W111" s="204" t="str">
        <f>IF(AA111&lt;VLOOKUP(AG111,Variables!$AC$3:$AD$8,2,FALSE),"Y","N")</f>
        <v>Y</v>
      </c>
      <c r="X111" s="204">
        <f t="shared" si="60"/>
        <v>1</v>
      </c>
      <c r="Y111" s="204">
        <f t="shared" si="61"/>
        <v>23.2989</v>
      </c>
      <c r="Z111" s="204">
        <f t="shared" si="54"/>
        <v>23.1233</v>
      </c>
      <c r="AA111" s="204">
        <f t="shared" si="62"/>
        <v>0.17559999999999931</v>
      </c>
      <c r="AB111" s="54" t="e">
        <f>VLOOKUP(A111,Enforcements!$C$7:$K$11,8,0)</f>
        <v>#N/A</v>
      </c>
      <c r="AC111" s="51" t="e">
        <f>VLOOKUP(A111,Enforcements!$C$7:$E$11,3,0)</f>
        <v>#N/A</v>
      </c>
      <c r="AD111" s="179">
        <f t="shared" si="63"/>
        <v>196</v>
      </c>
      <c r="AE111" s="77" t="str">
        <f t="shared" si="46"/>
        <v>aws s3 cp s3://rtdc.mdm.uploadarchive.raw/RTDC4043/ "%USERPROFILE%\AppData\Local\Temp\OnboardLogs"\RTDC4043\2017-10-05 --exclude "*" --recursive --include "*20171005*" &amp; "%USERPROFILE%\Documents\GitHub\mrs-test-scripts\Headless Mode &amp; Sideloading\WalkAndUnGZ.bat" "%USERPROFILE%\AppData\Local\Temp\OnboardLogs"\RTDC4043\2017-10-05 &amp; aws s3 cp s3://rtdc.mdm.uploadarchive.raw/RTDC4043/ "%USERPROFILE%\AppData\Local\Temp\OnboardLogs"\RTDC4043\2017-10-06 --exclude "*" --recursive --include "*20171006*" &amp; "%USERPROFILE%\Documents\GitHub\mrs-test-scripts\Headless Mode &amp; Sideloading\WalkAndUnGZ.bat" "%USERPROFILE%\AppData\Local\Temp\OnboardLogs"\RTDC4043\2017-10-06</v>
      </c>
      <c r="AF111" s="74" t="str">
        <f t="shared" si="47"/>
        <v>"C:\Program Files (x86)\AstroGrep\AstroGrep.exe" /e /r /s /spath="%USERPROFILE%\AppData\Local\Temp\OnboardLogs" /stypes="app*4043*20171006*" /stext=" 01:.+((SYSTEM_STATE.+slice.+state.+changed )|(ment ac)|(multiple cpu faults)|(system.+state.+changed )|(\[timeout)|(PRM\|1\|D)|(kpr)|(kdp)|(train st.+moving)|(\|lc)|(penalty))"</v>
      </c>
      <c r="AG111" s="182" t="str">
        <f t="shared" si="64"/>
        <v>EC</v>
      </c>
      <c r="AH111" s="78" t="str">
        <f t="shared" si="49"/>
        <v>"%USERPROFILE%\Documents\GitHub\eaglep3\Utilities\RefineRTDCRunTimes.py" --tripid 196-05 --locoid 4043 --swversion DE.1.0.9.0 --startMP 204:232989 --initTime 2017-10-05T16:17:23 --startdatetime 2017-10-05T18:59:40 --delay 106 --endMP 204:231233 --enddatetime 2017-10-05T19:01:10 --enforcementcount 0 &gt;&gt;%USERPROFILE%\Documents\GitHub\eaglep3-reporting\EC\2017-10-05-refined-times.txt</v>
      </c>
      <c r="AI111" s="96" t="str">
        <f t="shared" si="50"/>
        <v>echo {"issue":{"subject":"Onboard en route failure","project_id":79,"tracker_id":40,"status_id":1,"priority_id":2,"assigned_to_id":338,"start_date":"2017-10-05","description":"","custom_fields":[{"id":1,"name":"Subdivision","value":"EC"},{"id":4,"name":"Milepost","value":"23.1233"},{"id":17,"name":"Train ID","value":"196-05"},{"id":16,"name":"Locomotive ID","value":"4043"},{"id":130,"name":"Impact","value":""},{"id":150,"name":"Time of Event (Mountain Time)","value":"19:01:10"},{"id":151,"name":"Denver Issue ID","value":""},{"id":178,"name":"Operational Impact","value":"Yes"},{"id":179,"name":"Denver Segment Assigned","value":""}]}} | curl --insecure -X POST -H "Content-Type: application/json" -H "X-Redmine-API-Key: %REDMINEAPIKEY%" https://secure.xorail.net/redmine/issues.json --data @-</v>
      </c>
      <c r="AK111" s="47"/>
      <c r="AL111" s="47"/>
      <c r="AM111" s="142" t="str">
        <f t="shared" si="51"/>
        <v>start /low /b %USERPROFILE%\Documents\GitHub\eaglep3\Utilities\DownloadLogsFromS3.py --loco 4043 --day 2017-10-05</v>
      </c>
      <c r="AN111" s="151" t="str">
        <f t="shared" si="52"/>
        <v>echo {"issue":{"subject":"Onboard en route failure","project_id":30,"tracker_id":4,"status_id":1,"priority_id":1,"assigned_to_id":10,"start_date":"2017-10-06","description":"","custom_fields":[{"id":30,"name":"Category","value":"Issue"},{"id":3,"name":"Functional Component","value":"Onboard"},{"id":31,"name":"Version","value":"N/A"},{"id":8,"name":"Reporting RR","value":"WABTEC"},{"id":27,"name":"Locomotive ID","value":"4043"},{"id":20,"name":"RR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01:01:10"},{"id":29,"name":"Sharepoint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11" s="168" t="str">
        <f t="shared" si="53"/>
        <v>https://d0f6bd738d7f1b3e5a7ca70fe4ff75f0.us-east-1.aws.found.io/app/kibana#/discover/Steve-Slow-Train-Analysis-(2080s-and-2083s)?_g=(refreshInterval:(display:Off,pause:!f,section:0,value:0),time:(from:'2017-10-05T15:17:23-0600',mode:absolute,to:'2017-10-05T20:01:10-0600'))&amp;_a=(columns:!('Message%20ID',Summary),filters:!(),index:'emp_*',interval:auto,query:(query_string:(analyze_wildcard:!t,query:'%22rtdc.l.rtdc.4043%22')),sort:!(Time.ISO8601,asc))</v>
      </c>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row>
    <row r="112" spans="1:91" s="20" customFormat="1" x14ac:dyDescent="0.25">
      <c r="A112" s="32" t="s">
        <v>734</v>
      </c>
      <c r="B112" s="7">
        <v>4012</v>
      </c>
      <c r="C112" s="21" t="s">
        <v>194</v>
      </c>
      <c r="D112" s="21" t="s">
        <v>388</v>
      </c>
      <c r="E112" s="13">
        <v>43013.654722222222</v>
      </c>
      <c r="F112" s="13">
        <v>43013.656701388885</v>
      </c>
      <c r="G112" s="7">
        <v>67</v>
      </c>
      <c r="H112" s="21" t="s">
        <v>459</v>
      </c>
      <c r="I112" s="13">
        <v>43013.682534722226</v>
      </c>
      <c r="J112" s="7">
        <v>0</v>
      </c>
      <c r="K112" s="89" t="str">
        <f t="shared" si="57"/>
        <v>4011/4012</v>
      </c>
      <c r="L112" s="185" t="str">
        <f>VLOOKUP(A112,'Trips&amp;Operators'!$C$1:$G$99911,5,FALSE)</f>
        <v>LEVERE CRAIG</v>
      </c>
      <c r="M112" s="6">
        <f t="shared" si="58"/>
        <v>2.5833333340415265E-2</v>
      </c>
      <c r="N112" s="7">
        <f t="shared" ref="N112:N117" si="65">24*60*SUM($M112:$M112)</f>
        <v>37.200000010197982</v>
      </c>
      <c r="O112" s="7"/>
      <c r="P112" s="7"/>
      <c r="Q112" s="22"/>
      <c r="R112" s="174"/>
      <c r="S112" s="221">
        <f t="shared" si="56"/>
        <v>1</v>
      </c>
      <c r="T112" s="174" t="str">
        <f t="shared" si="59"/>
        <v>NorthBound</v>
      </c>
      <c r="U112" s="198">
        <f>IF(AG112="EC",COUNTIFS(Variables!$M$2:$M$19,IF(T112="NorthBound","&gt;=","&lt;=")&amp;Y112,Variables!$M$2:$M$19,IF(T112="NorthBound","&lt;=","&gt;=")&amp;Z112),COUNTIFS(Variables!$P$2:$P$19,IF(T112="NorthBound","&gt;=","&lt;=")&amp;Y112,Variables!$P$2:$P$19,IF(T112="NorthBound","&lt;=","&gt;=")&amp;Z112))</f>
        <v>12</v>
      </c>
      <c r="V112" s="216" t="str">
        <f t="shared" si="40"/>
        <v>https://d0f6bd738d7f1b3e5a7ca70fe4ff75f0.us-east-1.aws.found.io/app/kibana#/discover/Steve-Slow-Train-Analysis-(2080s-and-2083s)?_g=(refreshInterval:(display:Off,pause:!f,section:0,value:0),time:(from:'2017-10-05T14:42:48-0600',mode:absolute,to:'2017-10-05T17:22:51-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4012%22')),sort:!(Time.ISO8601,asc))</v>
      </c>
      <c r="W112" s="204" t="str">
        <f>IF(AA112&lt;VLOOKUP(AG112,Variables!$AC$3:$AD$8,2,FALSE),"Y","N")</f>
        <v>N</v>
      </c>
      <c r="X112" s="204">
        <f t="shared" si="60"/>
        <v>1</v>
      </c>
      <c r="Y112" s="204">
        <f t="shared" si="61"/>
        <v>4.5699999999999998E-2</v>
      </c>
      <c r="Z112" s="204">
        <f t="shared" si="54"/>
        <v>23.330300000000001</v>
      </c>
      <c r="AA112" s="204">
        <f t="shared" si="62"/>
        <v>23.284600000000001</v>
      </c>
      <c r="AB112" s="54" t="e">
        <f>VLOOKUP(A112,Enforcements!$C$7:$K$11,8,0)</f>
        <v>#N/A</v>
      </c>
      <c r="AC112" s="51" t="e">
        <f>VLOOKUP(A112,Enforcements!$C$7:$E$11,3,0)</f>
        <v>#N/A</v>
      </c>
      <c r="AD112" s="179">
        <f t="shared" si="63"/>
        <v>197</v>
      </c>
      <c r="AE112" s="77" t="str">
        <f t="shared" si="46"/>
        <v>aws s3 cp s3://rtdc.mdm.uploadarchive.raw/RTDC4012/ "%USERPROFILE%\AppData\Local\Temp\OnboardLogs"\RTDC4012\2017-10-05 --exclude "*" --recursive --include "*20171005*" &amp; "%USERPROFILE%\Documents\GitHub\mrs-test-scripts\Headless Mode &amp; Sideloading\WalkAndUnGZ.bat" "%USERPROFILE%\AppData\Local\Temp\OnboardLogs"\RTDC4012\2017-10-05 &amp; aws s3 cp s3://rtdc.mdm.uploadarchive.raw/RTDC4012/ "%USERPROFILE%\AppData\Local\Temp\OnboardLogs"\RTDC4012\2017-10-06 --exclude "*" --recursive --include "*20171006*" &amp; "%USERPROFILE%\Documents\GitHub\mrs-test-scripts\Headless Mode &amp; Sideloading\WalkAndUnGZ.bat" "%USERPROFILE%\AppData\Local\Temp\OnboardLogs"\RTDC4012\2017-10-06</v>
      </c>
      <c r="AF112" s="74" t="str">
        <f t="shared" si="47"/>
        <v>"C:\Program Files (x86)\AstroGrep\AstroGrep.exe" /e /r /s /spath="%USERPROFILE%\AppData\Local\Temp\OnboardLogs" /stypes="app*4012*20171005*" /stext=" 22:.+((SYSTEM_STATE.+slice.+state.+changed )|(ment ac)|(multiple cpu faults)|(system.+state.+changed )|(\[timeout)|(PRM\|1\|D)|(kpr)|(kdp)|(train st.+moving)|(\|lc)|(penalty))"</v>
      </c>
      <c r="AG112" s="182" t="str">
        <f t="shared" si="64"/>
        <v>EC</v>
      </c>
      <c r="AH112" s="78" t="str">
        <f t="shared" si="49"/>
        <v>"%USERPROFILE%\Documents\GitHub\eaglep3\Utilities\RefineRTDCRunTimes.py" --tripid 197-05 --locoid 4012 --swversion DE.1.0.9.0 --startMP 204:457 --initTime 2017-10-05T15:42:48 --startdatetime 2017-10-05T15:45:39 --delay 67 --endMP 204:233303 --enddatetime 2017-10-05T16:22:51 --enforcementcount 0 &gt;&gt;%USERPROFILE%\Documents\GitHub\eaglep3-reporting\EC\2017-10-05-refined-times.txt</v>
      </c>
      <c r="AI112" s="96" t="str">
        <f t="shared" si="50"/>
        <v>echo {"issue":{"subject":"","project_id":79,"tracker_id":40,"status_id":1,"priority_id":2,"assigned_to_id":338,"start_date":"2017-10-05","description":"","custom_fields":[{"id":1,"name":"Subdivision","value":"EC"},{"id":4,"name":"Milepost","value":"23.3303"},{"id":17,"name":"Train ID","value":"197-05"},{"id":16,"name":"Locomotive ID","value":"4012"},{"id":130,"name":"Impact","value":""},{"id":150,"name":"Time of Event (Mountain Time)","value":"16:22:51"},{"id":151,"name":"Denver Issue ID","value":""},{"id":178,"name":"Operational Impact","value":"Yes"},{"id":179,"name":"Denver Segment Assigned","value":""}]}} | curl --insecure -X POST -H "Content-Type: application/json" -H "X-Redmine-API-Key: %REDMINEAPIKEY%" https://secure.xorail.net/redmine/issues.json --data @-</v>
      </c>
      <c r="AK112" s="47"/>
      <c r="AL112" s="47"/>
      <c r="AM112" s="142" t="str">
        <f t="shared" si="51"/>
        <v>start /low /b %USERPROFILE%\Documents\GitHub\eaglep3\Utilities\DownloadLogsFromS3.py --loco 4012 --day 2017-10-05</v>
      </c>
      <c r="AN112" s="151" t="str">
        <f t="shared" si="52"/>
        <v>echo {"issue":{"subject":"","project_id":30,"tracker_id":4,"status_id":1,"priority_id":1,"assigned_to_id":10,"start_date":"2017-10-05","description":"","custom_fields":[{"id":30,"name":"Category","value":"Issue"},{"id":3,"name":"Functional Component","value":"Onboard"},{"id":31,"name":"Version","value":"N/A"},{"id":8,"name":"Reporting RR","value":"WABTEC"},{"id":27,"name":"Locomotive ID","value":"4012"},{"id":20,"name":"RR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22:22:51"},{"id":29,"name":"Sharepoint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12" s="168" t="str">
        <f t="shared" si="53"/>
        <v>https://d0f6bd738d7f1b3e5a7ca70fe4ff75f0.us-east-1.aws.found.io/app/kibana#/discover/Steve-Slow-Train-Analysis-(2080s-and-2083s)?_g=(refreshInterval:(display:Off,pause:!f,section:0,value:0),time:(from:'2017-10-05T14:42:48-0600',mode:absolute,to:'2017-10-05T17:22:51-0600'))&amp;_a=(columns:!('Message%20ID',Summary),filters:!(),index:'emp_*',interval:auto,query:(query_string:(analyze_wildcard:!t,query:'%22rtdc.l.rtdc.4012%22')),sort:!(Time.ISO8601,asc))</v>
      </c>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row>
    <row r="113" spans="1:91" s="20" customFormat="1" x14ac:dyDescent="0.25">
      <c r="A113" s="32" t="s">
        <v>744</v>
      </c>
      <c r="B113" s="7">
        <v>4011</v>
      </c>
      <c r="C113" s="21" t="s">
        <v>194</v>
      </c>
      <c r="D113" s="21" t="s">
        <v>454</v>
      </c>
      <c r="E113" s="13">
        <v>43013.690497685187</v>
      </c>
      <c r="F113" s="13">
        <v>43013.696030092593</v>
      </c>
      <c r="G113" s="7">
        <v>63</v>
      </c>
      <c r="H113" s="21" t="s">
        <v>335</v>
      </c>
      <c r="I113" s="13">
        <v>43013.728229166663</v>
      </c>
      <c r="J113" s="7">
        <v>0</v>
      </c>
      <c r="K113" s="89" t="str">
        <f t="shared" si="57"/>
        <v>4011/4012</v>
      </c>
      <c r="L113" s="185" t="str">
        <f>VLOOKUP(A113,'Trips&amp;Operators'!$C$1:$G$99911,5,FALSE)</f>
        <v>LEVERE CRAIG</v>
      </c>
      <c r="M113" s="6">
        <f t="shared" si="58"/>
        <v>3.219907407037681E-2</v>
      </c>
      <c r="N113" s="7">
        <f t="shared" si="65"/>
        <v>46.366666661342606</v>
      </c>
      <c r="O113" s="7"/>
      <c r="P113" s="7"/>
      <c r="Q113" s="22"/>
      <c r="R113" s="174"/>
      <c r="S113" s="221">
        <f t="shared" si="56"/>
        <v>1</v>
      </c>
      <c r="T113" s="174" t="str">
        <f t="shared" si="59"/>
        <v>Southbound</v>
      </c>
      <c r="U113" s="198">
        <f>IF(AG113="EC",COUNTIFS(Variables!$M$2:$M$19,IF(T113="NorthBound","&gt;=","&lt;=")&amp;Y113,Variables!$M$2:$M$19,IF(T113="NorthBound","&lt;=","&gt;=")&amp;Z113),COUNTIFS(Variables!$P$2:$P$19,IF(T113="NorthBound","&gt;=","&lt;=")&amp;Y113,Variables!$P$2:$P$19,IF(T113="NorthBound","&lt;=","&gt;=")&amp;Z113))</f>
        <v>12</v>
      </c>
      <c r="V113" s="216" t="str">
        <f t="shared" si="40"/>
        <v>https://d0f6bd738d7f1b3e5a7ca70fe4ff75f0.us-east-1.aws.found.io/app/kibana#/discover/Steve-Slow-Train-Analysis-(2080s-and-2083s)?_g=(refreshInterval:(display:Off,pause:!f,section:0,value:0),time:(from:'2017-10-05T15:34:19-0600',mode:absolute,to:'2017-10-05T18:28:39-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4011%22')),sort:!(Time.ISO8601,asc))</v>
      </c>
      <c r="W113" s="204" t="str">
        <f>IF(AA113&lt;VLOOKUP(AG113,Variables!$AC$3:$AD$8,2,FALSE),"Y","N")</f>
        <v>N</v>
      </c>
      <c r="X113" s="204">
        <f t="shared" si="60"/>
        <v>1</v>
      </c>
      <c r="Y113" s="204">
        <f t="shared" si="61"/>
        <v>23.297799999999999</v>
      </c>
      <c r="Z113" s="204">
        <f t="shared" si="54"/>
        <v>1.4999999999999999E-2</v>
      </c>
      <c r="AA113" s="204">
        <f t="shared" si="62"/>
        <v>23.282799999999998</v>
      </c>
      <c r="AB113" s="54" t="e">
        <f>VLOOKUP(A113,Enforcements!$C$7:$K$11,8,0)</f>
        <v>#N/A</v>
      </c>
      <c r="AC113" s="51" t="e">
        <f>VLOOKUP(A113,Enforcements!$C$7:$E$11,3,0)</f>
        <v>#N/A</v>
      </c>
      <c r="AD113" s="179">
        <f t="shared" si="63"/>
        <v>198</v>
      </c>
      <c r="AE113" s="77" t="str">
        <f t="shared" si="46"/>
        <v>aws s3 cp s3://rtdc.mdm.uploadarchive.raw/RTDC4011/ "%USERPROFILE%\AppData\Local\Temp\OnboardLogs"\RTDC4011\2017-10-05 --exclude "*" --recursive --include "*20171005*" &amp; "%USERPROFILE%\Documents\GitHub\mrs-test-scripts\Headless Mode &amp; Sideloading\WalkAndUnGZ.bat" "%USERPROFILE%\AppData\Local\Temp\OnboardLogs"\RTDC4011\2017-10-05 &amp; aws s3 cp s3://rtdc.mdm.uploadarchive.raw/RTDC4011/ "%USERPROFILE%\AppData\Local\Temp\OnboardLogs"\RTDC4011\2017-10-06 --exclude "*" --recursive --include "*20171006*" &amp; "%USERPROFILE%\Documents\GitHub\mrs-test-scripts\Headless Mode &amp; Sideloading\WalkAndUnGZ.bat" "%USERPROFILE%\AppData\Local\Temp\OnboardLogs"\RTDC4011\2017-10-06</v>
      </c>
      <c r="AF113" s="74" t="str">
        <f t="shared" si="47"/>
        <v>"C:\Program Files (x86)\AstroGrep\AstroGrep.exe" /e /r /s /spath="%USERPROFILE%\AppData\Local\Temp\OnboardLogs" /stypes="app*4011*20171005*" /stext=" 23:.+((SYSTEM_STATE.+slice.+state.+changed )|(ment ac)|(multiple cpu faults)|(system.+state.+changed )|(\[timeout)|(PRM\|1\|D)|(kpr)|(kdp)|(train st.+moving)|(\|lc)|(penalty))"</v>
      </c>
      <c r="AG113" s="182" t="str">
        <f t="shared" si="64"/>
        <v>EC</v>
      </c>
      <c r="AH113" s="78" t="str">
        <f t="shared" si="49"/>
        <v>"%USERPROFILE%\Documents\GitHub\eaglep3\Utilities\RefineRTDCRunTimes.py" --tripid 198-05 --locoid 4011 --swversion DE.1.0.9.0 --startMP 204:232978 --initTime 2017-10-05T16:34:19 --startdatetime 2017-10-05T16:42:17 --delay 63 --endMP 204:150 --enddatetime 2017-10-05T17:28:39 --enforcementcount 0 &gt;&gt;%USERPROFILE%\Documents\GitHub\eaglep3-reporting\EC\2017-10-05-refined-times.txt</v>
      </c>
      <c r="AI113" s="96" t="str">
        <f t="shared" si="50"/>
        <v>echo {"issue":{"subject":"","project_id":79,"tracker_id":40,"status_id":1,"priority_id":2,"assigned_to_id":338,"start_date":"2017-10-05","description":"","custom_fields":[{"id":1,"name":"Subdivision","value":"EC"},{"id":4,"name":"Milepost","value":"0.015"},{"id":17,"name":"Train ID","value":"198-05"},{"id":16,"name":"Locomotive ID","value":"4011"},{"id":130,"name":"Impact","value":""},{"id":150,"name":"Time of Event (Mountain Time)","value":"17:28:39"},{"id":151,"name":"Denver Issue ID","value":""},{"id":178,"name":"Operational Impact","value":"Yes"},{"id":179,"name":"Denver Segment Assigned","value":""}]}} | curl --insecure -X POST -H "Content-Type: application/json" -H "X-Redmine-API-Key: %REDMINEAPIKEY%" https://secure.xorail.net/redmine/issues.json --data @-</v>
      </c>
      <c r="AK113" s="47"/>
      <c r="AL113" s="47"/>
      <c r="AM113" s="142" t="str">
        <f t="shared" si="51"/>
        <v>start /low /b %USERPROFILE%\Documents\GitHub\eaglep3\Utilities\DownloadLogsFromS3.py --loco 4011 --day 2017-10-05</v>
      </c>
      <c r="AN113" s="151" t="str">
        <f t="shared" si="52"/>
        <v>echo {"issue":{"subject":"","project_id":30,"tracker_id":4,"status_id":1,"priority_id":1,"assigned_to_id":10,"start_date":"2017-10-05","description":"","custom_fields":[{"id":30,"name":"Category","value":"Issue"},{"id":3,"name":"Functional Component","value":"Onboard"},{"id":31,"name":"Version","value":"N/A"},{"id":8,"name":"Reporting RR","value":"WABTEC"},{"id":27,"name":"Locomotive ID","value":"4011"},{"id":20,"name":"RR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23:28:39"},{"id":29,"name":"Sharepoint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13" s="168" t="str">
        <f t="shared" si="53"/>
        <v>https://d0f6bd738d7f1b3e5a7ca70fe4ff75f0.us-east-1.aws.found.io/app/kibana#/discover/Steve-Slow-Train-Analysis-(2080s-and-2083s)?_g=(refreshInterval:(display:Off,pause:!f,section:0,value:0),time:(from:'2017-10-05T15:34:19-0600',mode:absolute,to:'2017-10-05T18:28:39-0600'))&amp;_a=(columns:!('Message%20ID',Summary),filters:!(),index:'emp_*',interval:auto,query:(query_string:(analyze_wildcard:!t,query:'%22rtdc.l.rtdc.4011%22')),sort:!(Time.ISO8601,asc))</v>
      </c>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row>
    <row r="114" spans="1:91" s="20" customFormat="1" x14ac:dyDescent="0.25">
      <c r="A114" s="32" t="s">
        <v>736</v>
      </c>
      <c r="B114" s="7">
        <v>4008</v>
      </c>
      <c r="C114" s="21" t="s">
        <v>194</v>
      </c>
      <c r="D114" s="21" t="s">
        <v>346</v>
      </c>
      <c r="E114" s="13">
        <v>43013.663240740738</v>
      </c>
      <c r="F114" s="13">
        <v>43013.666828703703</v>
      </c>
      <c r="G114" s="7">
        <v>55</v>
      </c>
      <c r="H114" s="21" t="s">
        <v>464</v>
      </c>
      <c r="I114" s="13">
        <v>43013.693680555552</v>
      </c>
      <c r="J114" s="7">
        <v>0</v>
      </c>
      <c r="K114" s="89" t="str">
        <f t="shared" si="57"/>
        <v>4007/4008</v>
      </c>
      <c r="L114" s="185" t="str">
        <f>VLOOKUP(A114,'Trips&amp;Operators'!$C$1:$G$99911,5,FALSE)</f>
        <v>BADERTSCHER DIANE</v>
      </c>
      <c r="M114" s="6">
        <f t="shared" si="58"/>
        <v>2.6851851849642117E-2</v>
      </c>
      <c r="N114" s="7">
        <f t="shared" si="65"/>
        <v>38.666666663484648</v>
      </c>
      <c r="O114" s="7"/>
      <c r="P114" s="7"/>
      <c r="Q114" s="22"/>
      <c r="R114" s="174"/>
      <c r="S114" s="221">
        <f t="shared" si="56"/>
        <v>1</v>
      </c>
      <c r="T114" s="174" t="str">
        <f t="shared" si="59"/>
        <v>NorthBound</v>
      </c>
      <c r="U114" s="198">
        <f>IF(AG114="EC",COUNTIFS(Variables!$M$2:$M$19,IF(T114="NorthBound","&gt;=","&lt;=")&amp;Y114,Variables!$M$2:$M$19,IF(T114="NorthBound","&lt;=","&gt;=")&amp;Z114),COUNTIFS(Variables!$P$2:$P$19,IF(T114="NorthBound","&gt;=","&lt;=")&amp;Y114,Variables!$P$2:$P$19,IF(T114="NorthBound","&lt;=","&gt;=")&amp;Z114))</f>
        <v>12</v>
      </c>
      <c r="V114" s="216" t="str">
        <f t="shared" si="40"/>
        <v>https://d0f6bd738d7f1b3e5a7ca70fe4ff75f0.us-east-1.aws.found.io/app/kibana#/discover/Steve-Slow-Train-Analysis-(2080s-and-2083s)?_g=(refreshInterval:(display:Off,pause:!f,section:0,value:0),time:(from:'2017-10-05T14:55:04-0600',mode:absolute,to:'2017-10-05T17:38:54-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4008%22')),sort:!(Time.ISO8601,asc))</v>
      </c>
      <c r="W114" s="204" t="str">
        <f>IF(AA114&lt;VLOOKUP(AG114,Variables!$AC$3:$AD$8,2,FALSE),"Y","N")</f>
        <v>N</v>
      </c>
      <c r="X114" s="204">
        <f t="shared" si="60"/>
        <v>1</v>
      </c>
      <c r="Y114" s="204">
        <f t="shared" si="61"/>
        <v>4.5499999999999999E-2</v>
      </c>
      <c r="Z114" s="204">
        <f t="shared" si="54"/>
        <v>23.333100000000002</v>
      </c>
      <c r="AA114" s="204">
        <f t="shared" si="62"/>
        <v>23.287600000000001</v>
      </c>
      <c r="AB114" s="54" t="e">
        <f>VLOOKUP(A114,Enforcements!$C$7:$K$11,8,0)</f>
        <v>#N/A</v>
      </c>
      <c r="AC114" s="51" t="e">
        <f>VLOOKUP(A114,Enforcements!$C$7:$E$11,3,0)</f>
        <v>#N/A</v>
      </c>
      <c r="AD114" s="179">
        <f t="shared" si="63"/>
        <v>199</v>
      </c>
      <c r="AE114" s="77" t="str">
        <f t="shared" si="46"/>
        <v>aws s3 cp s3://rtdc.mdm.uploadarchive.raw/RTDC4008/ "%USERPROFILE%\AppData\Local\Temp\OnboardLogs"\RTDC4008\2017-10-05 --exclude "*" --recursive --include "*20171005*" &amp; "%USERPROFILE%\Documents\GitHub\mrs-test-scripts\Headless Mode &amp; Sideloading\WalkAndUnGZ.bat" "%USERPROFILE%\AppData\Local\Temp\OnboardLogs"\RTDC4008\2017-10-05 &amp; aws s3 cp s3://rtdc.mdm.uploadarchive.raw/RTDC4008/ "%USERPROFILE%\AppData\Local\Temp\OnboardLogs"\RTDC4008\2017-10-06 --exclude "*" --recursive --include "*20171006*" &amp; "%USERPROFILE%\Documents\GitHub\mrs-test-scripts\Headless Mode &amp; Sideloading\WalkAndUnGZ.bat" "%USERPROFILE%\AppData\Local\Temp\OnboardLogs"\RTDC4008\2017-10-06</v>
      </c>
      <c r="AF114" s="74" t="str">
        <f t="shared" si="47"/>
        <v>"C:\Program Files (x86)\AstroGrep\AstroGrep.exe" /e /r /s /spath="%USERPROFILE%\AppData\Local\Temp\OnboardLogs" /stypes="app*4008*20171005*" /stext=" 22:.+((SYSTEM_STATE.+slice.+state.+changed )|(ment ac)|(multiple cpu faults)|(system.+state.+changed )|(\[timeout)|(PRM\|1\|D)|(kpr)|(kdp)|(train st.+moving)|(\|lc)|(penalty))"</v>
      </c>
      <c r="AG114" s="182" t="str">
        <f t="shared" si="64"/>
        <v>EC</v>
      </c>
      <c r="AH114" s="78" t="str">
        <f t="shared" si="49"/>
        <v>"%USERPROFILE%\Documents\GitHub\eaglep3\Utilities\RefineRTDCRunTimes.py" --tripid 199-05 --locoid 4008 --swversion DE.1.0.9.0 --startMP 204:455 --initTime 2017-10-05T15:55:04 --startdatetime 2017-10-05T16:00:14 --delay 55 --endMP 204:233331 --enddatetime 2017-10-05T16:38:54 --enforcementcount 0 &gt;&gt;%USERPROFILE%\Documents\GitHub\eaglep3-reporting\EC\2017-10-05-refined-times.txt</v>
      </c>
      <c r="AI114" s="96" t="str">
        <f t="shared" si="50"/>
        <v>echo {"issue":{"subject":"","project_id":79,"tracker_id":40,"status_id":1,"priority_id":2,"assigned_to_id":338,"start_date":"2017-10-05","description":"","custom_fields":[{"id":1,"name":"Subdivision","value":"EC"},{"id":4,"name":"Milepost","value":"23.3331"},{"id":17,"name":"Train ID","value":"199-05"},{"id":16,"name":"Locomotive ID","value":"4008"},{"id":130,"name":"Impact","value":""},{"id":150,"name":"Time of Event (Mountain Time)","value":"16:38:54"},{"id":151,"name":"Denver Issue ID","value":""},{"id":178,"name":"Operational Impact","value":"Yes"},{"id":179,"name":"Denver Segment Assigned","value":""}]}} | curl --insecure -X POST -H "Content-Type: application/json" -H "X-Redmine-API-Key: %REDMINEAPIKEY%" https://secure.xorail.net/redmine/issues.json --data @-</v>
      </c>
      <c r="AK114" s="47"/>
      <c r="AL114" s="47"/>
      <c r="AM114" s="142" t="str">
        <f t="shared" si="51"/>
        <v>start /low /b %USERPROFILE%\Documents\GitHub\eaglep3\Utilities\DownloadLogsFromS3.py --loco 4008 --day 2017-10-05</v>
      </c>
      <c r="AN114" s="151" t="str">
        <f t="shared" si="52"/>
        <v>echo {"issue":{"subject":"","project_id":30,"tracker_id":4,"status_id":1,"priority_id":1,"assigned_to_id":10,"start_date":"2017-10-05","description":"","custom_fields":[{"id":30,"name":"Category","value":"Issue"},{"id":3,"name":"Functional Component","value":"Onboard"},{"id":31,"name":"Version","value":"N/A"},{"id":8,"name":"Reporting RR","value":"WABTEC"},{"id":27,"name":"Locomotive ID","value":"4008"},{"id":20,"name":"RR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22:38:54"},{"id":29,"name":"Sharepoint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14" s="168" t="str">
        <f t="shared" si="53"/>
        <v>https://d0f6bd738d7f1b3e5a7ca70fe4ff75f0.us-east-1.aws.found.io/app/kibana#/discover/Steve-Slow-Train-Analysis-(2080s-and-2083s)?_g=(refreshInterval:(display:Off,pause:!f,section:0,value:0),time:(from:'2017-10-05T14:55:04-0600',mode:absolute,to:'2017-10-05T17:38:54-0600'))&amp;_a=(columns:!('Message%20ID',Summary),filters:!(),index:'emp_*',interval:auto,query:(query_string:(analyze_wildcard:!t,query:'%22rtdc.l.rtdc.4008%22')),sort:!(Time.ISO8601,asc))</v>
      </c>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row>
    <row r="115" spans="1:91" s="20" customFormat="1" x14ac:dyDescent="0.25">
      <c r="A115" s="32" t="s">
        <v>746</v>
      </c>
      <c r="B115" s="7">
        <v>4007</v>
      </c>
      <c r="C115" s="21" t="s">
        <v>194</v>
      </c>
      <c r="D115" s="21" t="s">
        <v>414</v>
      </c>
      <c r="E115" s="13">
        <v>43013.699895833335</v>
      </c>
      <c r="F115" s="13">
        <v>43013.706423611111</v>
      </c>
      <c r="G115" s="7">
        <v>63</v>
      </c>
      <c r="H115" s="21" t="s">
        <v>359</v>
      </c>
      <c r="I115" s="13">
        <v>43013.734814814816</v>
      </c>
      <c r="J115" s="7">
        <v>0</v>
      </c>
      <c r="K115" s="89" t="str">
        <f t="shared" si="57"/>
        <v>4007/4008</v>
      </c>
      <c r="L115" s="185" t="str">
        <f>VLOOKUP(A115,'Trips&amp;Operators'!$C$1:$G$99911,5,FALSE)</f>
        <v>BADERTSCHER DIANE</v>
      </c>
      <c r="M115" s="6">
        <f t="shared" si="58"/>
        <v>2.8391203704813961E-2</v>
      </c>
      <c r="N115" s="7">
        <f t="shared" si="65"/>
        <v>40.883333334932104</v>
      </c>
      <c r="O115" s="7"/>
      <c r="P115" s="7"/>
      <c r="Q115" s="22"/>
      <c r="R115" s="174"/>
      <c r="S115" s="221">
        <f t="shared" si="56"/>
        <v>1</v>
      </c>
      <c r="T115" s="174" t="str">
        <f t="shared" si="59"/>
        <v>Southbound</v>
      </c>
      <c r="U115" s="198">
        <f>IF(AG115="EC",COUNTIFS(Variables!$M$2:$M$19,IF(T115="NorthBound","&gt;=","&lt;=")&amp;Y115,Variables!$M$2:$M$19,IF(T115="NorthBound","&lt;=","&gt;=")&amp;Z115),COUNTIFS(Variables!$P$2:$P$19,IF(T115="NorthBound","&gt;=","&lt;=")&amp;Y115,Variables!$P$2:$P$19,IF(T115="NorthBound","&lt;=","&gt;=")&amp;Z115))</f>
        <v>12</v>
      </c>
      <c r="V115" s="216" t="str">
        <f t="shared" si="40"/>
        <v>https://d0f6bd738d7f1b3e5a7ca70fe4ff75f0.us-east-1.aws.found.io/app/kibana#/discover/Steve-Slow-Train-Analysis-(2080s-and-2083s)?_g=(refreshInterval:(display:Off,pause:!f,section:0,value:0),time:(from:'2017-10-05T15:47:51-0600',mode:absolute,to:'2017-10-05T18:38:08-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4007%22')),sort:!(Time.ISO8601,asc))</v>
      </c>
      <c r="W115" s="204" t="str">
        <f>IF(AA115&lt;VLOOKUP(AG115,Variables!$AC$3:$AD$8,2,FALSE),"Y","N")</f>
        <v>N</v>
      </c>
      <c r="X115" s="204">
        <f t="shared" si="60"/>
        <v>1</v>
      </c>
      <c r="Y115" s="204">
        <f t="shared" si="61"/>
        <v>23.299399999999999</v>
      </c>
      <c r="Z115" s="204">
        <f t="shared" si="54"/>
        <v>1.4500000000000001E-2</v>
      </c>
      <c r="AA115" s="204">
        <f t="shared" si="62"/>
        <v>23.284899999999997</v>
      </c>
      <c r="AB115" s="54" t="e">
        <f>VLOOKUP(A115,Enforcements!$C$7:$K$11,8,0)</f>
        <v>#N/A</v>
      </c>
      <c r="AC115" s="51" t="e">
        <f>VLOOKUP(A115,Enforcements!$C$7:$E$11,3,0)</f>
        <v>#N/A</v>
      </c>
      <c r="AD115" s="179">
        <f t="shared" si="63"/>
        <v>200</v>
      </c>
      <c r="AE115" s="77" t="str">
        <f t="shared" si="46"/>
        <v>aws s3 cp s3://rtdc.mdm.uploadarchive.raw/RTDC4007/ "%USERPROFILE%\AppData\Local\Temp\OnboardLogs"\RTDC4007\2017-10-05 --exclude "*" --recursive --include "*20171005*" &amp; "%USERPROFILE%\Documents\GitHub\mrs-test-scripts\Headless Mode &amp; Sideloading\WalkAndUnGZ.bat" "%USERPROFILE%\AppData\Local\Temp\OnboardLogs"\RTDC4007\2017-10-05 &amp; aws s3 cp s3://rtdc.mdm.uploadarchive.raw/RTDC4007/ "%USERPROFILE%\AppData\Local\Temp\OnboardLogs"\RTDC4007\2017-10-06 --exclude "*" --recursive --include "*20171006*" &amp; "%USERPROFILE%\Documents\GitHub\mrs-test-scripts\Headless Mode &amp; Sideloading\WalkAndUnGZ.bat" "%USERPROFILE%\AppData\Local\Temp\OnboardLogs"\RTDC4007\2017-10-06</v>
      </c>
      <c r="AF115" s="74" t="str">
        <f t="shared" si="47"/>
        <v>"C:\Program Files (x86)\AstroGrep\AstroGrep.exe" /e /r /s /spath="%USERPROFILE%\AppData\Local\Temp\OnboardLogs" /stypes="app*4007*20171005*" /stext=" 23:.+((SYSTEM_STATE.+slice.+state.+changed )|(ment ac)|(multiple cpu faults)|(system.+state.+changed )|(\[timeout)|(PRM\|1\|D)|(kpr)|(kdp)|(train st.+moving)|(\|lc)|(penalty))"</v>
      </c>
      <c r="AG115" s="182" t="str">
        <f t="shared" si="64"/>
        <v>EC</v>
      </c>
      <c r="AH115" s="78" t="str">
        <f t="shared" si="49"/>
        <v>"%USERPROFILE%\Documents\GitHub\eaglep3\Utilities\RefineRTDCRunTimes.py" --tripid 200-05 --locoid 4007 --swversion DE.1.0.9.0 --startMP 204:232994 --initTime 2017-10-05T16:47:51 --startdatetime 2017-10-05T16:57:15 --delay 63 --endMP 204:145 --enddatetime 2017-10-05T17:38:08 --enforcementcount 0 &gt;&gt;%USERPROFILE%\Documents\GitHub\eaglep3-reporting\EC\2017-10-05-refined-times.txt</v>
      </c>
      <c r="AI115" s="96" t="str">
        <f t="shared" si="50"/>
        <v>echo {"issue":{"subject":"","project_id":79,"tracker_id":40,"status_id":1,"priority_id":2,"assigned_to_id":338,"start_date":"2017-10-05","description":"","custom_fields":[{"id":1,"name":"Subdivision","value":"EC"},{"id":4,"name":"Milepost","value":"0.0145"},{"id":17,"name":"Train ID","value":"200-05"},{"id":16,"name":"Locomotive ID","value":"4007"},{"id":130,"name":"Impact","value":""},{"id":150,"name":"Time of Event (Mountain Time)","value":"17:38:08"},{"id":151,"name":"Denver Issue ID","value":""},{"id":178,"name":"Operational Impact","value":"Yes"},{"id":179,"name":"Denver Segment Assigned","value":""}]}} | curl --insecure -X POST -H "Content-Type: application/json" -H "X-Redmine-API-Key: %REDMINEAPIKEY%" https://secure.xorail.net/redmine/issues.json --data @-</v>
      </c>
      <c r="AK115" s="47"/>
      <c r="AL115" s="47"/>
      <c r="AM115" s="142" t="str">
        <f t="shared" si="51"/>
        <v>start /low /b %USERPROFILE%\Documents\GitHub\eaglep3\Utilities\DownloadLogsFromS3.py --loco 4007 --day 2017-10-05</v>
      </c>
      <c r="AN115" s="151" t="str">
        <f t="shared" si="52"/>
        <v>echo {"issue":{"subject":"","project_id":30,"tracker_id":4,"status_id":1,"priority_id":1,"assigned_to_id":10,"start_date":"2017-10-05","description":"","custom_fields":[{"id":30,"name":"Category","value":"Issue"},{"id":3,"name":"Functional Component","value":"Onboard"},{"id":31,"name":"Version","value":"N/A"},{"id":8,"name":"Reporting RR","value":"WABTEC"},{"id":27,"name":"Locomotive ID","value":"4007"},{"id":20,"name":"RR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23:38:08"},{"id":29,"name":"Sharepoint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15" s="168" t="str">
        <f t="shared" si="53"/>
        <v>https://d0f6bd738d7f1b3e5a7ca70fe4ff75f0.us-east-1.aws.found.io/app/kibana#/discover/Steve-Slow-Train-Analysis-(2080s-and-2083s)?_g=(refreshInterval:(display:Off,pause:!f,section:0,value:0),time:(from:'2017-10-05T15:47:51-0600',mode:absolute,to:'2017-10-05T18:38:08-0600'))&amp;_a=(columns:!('Message%20ID',Summary),filters:!(),index:'emp_*',interval:auto,query:(query_string:(analyze_wildcard:!t,query:'%22rtdc.l.rtdc.4007%22')),sort:!(Time.ISO8601,asc))</v>
      </c>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row>
    <row r="116" spans="1:91" s="20" customFormat="1" x14ac:dyDescent="0.25">
      <c r="A116" s="32" t="s">
        <v>613</v>
      </c>
      <c r="B116" s="7">
        <v>4016</v>
      </c>
      <c r="C116" s="21" t="s">
        <v>194</v>
      </c>
      <c r="D116" s="21" t="s">
        <v>833</v>
      </c>
      <c r="E116" s="13">
        <v>43013.675115740742</v>
      </c>
      <c r="F116" s="13">
        <v>43013.677337962959</v>
      </c>
      <c r="G116" s="7">
        <v>48</v>
      </c>
      <c r="H116" s="21" t="s">
        <v>865</v>
      </c>
      <c r="I116" s="13">
        <v>43013.706134259257</v>
      </c>
      <c r="J116" s="7">
        <v>0</v>
      </c>
      <c r="K116" s="89" t="str">
        <f t="shared" si="57"/>
        <v>4015/4016</v>
      </c>
      <c r="L116" s="185" t="str">
        <f>VLOOKUP(A116,'Trips&amp;Operators'!$C$1:$G$99911,5,FALSE)</f>
        <v>HOLCOMB KAMDEN</v>
      </c>
      <c r="M116" s="6">
        <f t="shared" si="58"/>
        <v>2.8796296297514345E-2</v>
      </c>
      <c r="N116" s="7">
        <f t="shared" si="65"/>
        <v>41.466666668420658</v>
      </c>
      <c r="O116" s="7"/>
      <c r="P116" s="7"/>
      <c r="Q116" s="22"/>
      <c r="R116" s="174" t="s">
        <v>1008</v>
      </c>
      <c r="S116" s="221">
        <f t="shared" si="56"/>
        <v>1</v>
      </c>
      <c r="T116" s="174" t="str">
        <f t="shared" si="59"/>
        <v>NorthBound</v>
      </c>
      <c r="U116" s="198">
        <f>IF(AG116="EC",COUNTIFS(Variables!$M$2:$M$19,IF(T116="NorthBound","&gt;=","&lt;=")&amp;Y116,Variables!$M$2:$M$19,IF(T116="NorthBound","&lt;=","&gt;=")&amp;Z116),COUNTIFS(Variables!$P$2:$P$19,IF(T116="NorthBound","&gt;=","&lt;=")&amp;Y116,Variables!$P$2:$P$19,IF(T116="NorthBound","&lt;=","&gt;=")&amp;Z116))</f>
        <v>12</v>
      </c>
      <c r="V116" s="216" t="str">
        <f t="shared" si="40"/>
        <v>https://d0f6bd738d7f1b3e5a7ca70fe4ff75f0.us-east-1.aws.found.io/app/kibana#/discover/Steve-Slow-Train-Analysis-(2080s-and-2083s)?_g=(refreshInterval:(display:Off,pause:!f,section:0,value:0),time:(from:'2017-10-05T15:12:10-0600',mode:absolute,to:'2017-10-05T17:56:50-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W116" s="204" t="str">
        <f>IF(AA116&lt;VLOOKUP(AG116,Variables!$AC$3:$AD$8,2,FALSE),"Y","N")</f>
        <v>N</v>
      </c>
      <c r="X116" s="204">
        <f t="shared" si="60"/>
        <v>1</v>
      </c>
      <c r="Y116" s="204">
        <f t="shared" si="61"/>
        <v>4.3999999999999997E-2</v>
      </c>
      <c r="Z116" s="204">
        <f t="shared" si="54"/>
        <v>23.3337</v>
      </c>
      <c r="AA116" s="204">
        <f t="shared" si="62"/>
        <v>23.2897</v>
      </c>
      <c r="AB116" s="54" t="e">
        <f>VLOOKUP(A116,Enforcements!$C$7:$K$11,8,0)</f>
        <v>#N/A</v>
      </c>
      <c r="AC116" s="51" t="e">
        <f>VLOOKUP(A116,Enforcements!$C$7:$E$11,3,0)</f>
        <v>#N/A</v>
      </c>
      <c r="AD116" s="179">
        <f t="shared" si="63"/>
        <v>201</v>
      </c>
      <c r="AE116" s="77" t="str">
        <f t="shared" si="46"/>
        <v>aws s3 cp s3://rtdc.mdm.uploadarchive.raw/RTDC4016/ "%USERPROFILE%\AppData\Local\Temp\OnboardLogs"\RTDC4016\2017-10-05 --exclude "*" --recursive --include "*20171005*" &amp; "%USERPROFILE%\Documents\GitHub\mrs-test-scripts\Headless Mode &amp; Sideloading\WalkAndUnGZ.bat" "%USERPROFILE%\AppData\Local\Temp\OnboardLogs"\RTDC4016\2017-10-05 &amp; aws s3 cp s3://rtdc.mdm.uploadarchive.raw/RTDC4016/ "%USERPROFILE%\AppData\Local\Temp\OnboardLogs"\RTDC4016\2017-10-06 --exclude "*" --recursive --include "*20171006*" &amp; "%USERPROFILE%\Documents\GitHub\mrs-test-scripts\Headless Mode &amp; Sideloading\WalkAndUnGZ.bat" "%USERPROFILE%\AppData\Local\Temp\OnboardLogs"\RTDC4016\2017-10-06</v>
      </c>
      <c r="AF116" s="74" t="str">
        <f t="shared" si="47"/>
        <v>"C:\Program Files (x86)\AstroGrep\AstroGrep.exe" /e /r /s /spath="%USERPROFILE%\AppData\Local\Temp\OnboardLogs" /stypes="app*4016*20171005*" /stext=" 22:.+((SYSTEM_STATE.+slice.+state.+changed )|(ment ac)|(multiple cpu faults)|(system.+state.+changed )|(\[timeout)|(PRM\|1\|D)|(kpr)|(kdp)|(train st.+moving)|(\|lc)|(penalty))"</v>
      </c>
      <c r="AG116" s="182" t="str">
        <f t="shared" si="64"/>
        <v>EC</v>
      </c>
      <c r="AH116" s="78" t="str">
        <f t="shared" si="49"/>
        <v>"%USERPROFILE%\Documents\GitHub\eaglep3\Utilities\RefineRTDCRunTimes.py" --tripid 201-05 --locoid 4016 --swversion DE.1.0.9.0 --startMP 204:440 --initTime 2017-10-05T16:12:10 --startdatetime 2017-10-05T16:15:22 --delay 48 --endMP 204:233337 --enddatetime 2017-10-05T16:56:50 --enforcementcount 0 &gt;&gt;%USERPROFILE%\Documents\GitHub\eaglep3-reporting\EC\2017-10-05-refined-times.txt</v>
      </c>
      <c r="AI116" s="96" t="str">
        <f t="shared" si="50"/>
        <v>echo {"issue":{"subject":"Minor onboard en route failure, no enforcement","project_id":79,"tracker_id":40,"status_id":1,"priority_id":2,"assigned_to_id":338,"start_date":"2017-10-05","description":"","custom_fields":[{"id":1,"name":"Subdivision","value":"EC"},{"id":4,"name":"Milepost","value":"23.3337"},{"id":17,"name":"Train ID","value":"201-05"},{"id":16,"name":"Locomotive ID","value":"4016"},{"id":130,"name":"Impact","value":""},{"id":150,"name":"Time of Event (Mountain Time)","value":"16:56:50"},{"id":151,"name":"Denver Issue ID","value":""},{"id":178,"name":"Operational Impact","value":"Yes"},{"id":179,"name":"Denver Segment Assigned","value":""}]}} | curl --insecure -X POST -H "Content-Type: application/json" -H "X-Redmine-API-Key: %REDMINEAPIKEY%" https://secure.xorail.net/redmine/issues.json --data @-</v>
      </c>
      <c r="AK116" s="47"/>
      <c r="AL116" s="47"/>
      <c r="AM116" s="142" t="str">
        <f t="shared" si="51"/>
        <v>start /low /b %USERPROFILE%\Documents\GitHub\eaglep3\Utilities\DownloadLogsFromS3.py --loco 4016 --day 2017-10-05</v>
      </c>
      <c r="AN116" s="151" t="str">
        <f t="shared" si="52"/>
        <v>echo {"issue":{"subject":"Minor onboard en route failure, no enforcement","project_id":30,"tracker_id":4,"status_id":1,"priority_id":1,"assigned_to_id":10,"start_date":"2017-10-05","description":"","custom_fields":[{"id":30,"name":"Category","value":"Issue"},{"id":3,"name":"Functional Component","value":"Onboard"},{"id":31,"name":"Version","value":"N/A"},{"id":8,"name":"Reporting RR","value":"WABTEC"},{"id":27,"name":"Locomotive ID","value":"4016"},{"id":20,"name":"RR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22:56:50"},{"id":29,"name":"Sharepoint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16" s="168" t="str">
        <f t="shared" si="53"/>
        <v>https://d0f6bd738d7f1b3e5a7ca70fe4ff75f0.us-east-1.aws.found.io/app/kibana#/discover/Steve-Slow-Train-Analysis-(2080s-and-2083s)?_g=(refreshInterval:(display:Off,pause:!f,section:0,value:0),time:(from:'2017-10-05T15:12:10-0600',mode:absolute,to:'2017-10-05T17:56:50-0600'))&amp;_a=(columns:!('Message%20ID',Summary),filters:!(),index:'emp_*',interval:auto,query:(query_string:(analyze_wildcard:!t,query:'%22rtdc.l.rtdc.4016%22')),sort:!(Time.ISO8601,asc))</v>
      </c>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row>
    <row r="117" spans="1:91" s="20" customFormat="1" x14ac:dyDescent="0.25">
      <c r="A117" s="32" t="s">
        <v>752</v>
      </c>
      <c r="B117" s="7">
        <v>4015</v>
      </c>
      <c r="C117" s="21" t="s">
        <v>194</v>
      </c>
      <c r="D117" s="21" t="s">
        <v>866</v>
      </c>
      <c r="E117" s="13">
        <v>43013.712395833332</v>
      </c>
      <c r="F117" s="13">
        <v>43013.716874999998</v>
      </c>
      <c r="G117" s="7">
        <v>44</v>
      </c>
      <c r="H117" s="21" t="s">
        <v>361</v>
      </c>
      <c r="I117" s="13">
        <v>43013.744745370372</v>
      </c>
      <c r="J117" s="7">
        <v>0</v>
      </c>
      <c r="K117" s="89" t="str">
        <f t="shared" si="57"/>
        <v>4015/4016</v>
      </c>
      <c r="L117" s="185" t="str">
        <f>VLOOKUP(A117,'Trips&amp;Operators'!$C$1:$G$99911,5,FALSE)</f>
        <v>HOLCOMB KAMDEN</v>
      </c>
      <c r="M117" s="6">
        <f t="shared" si="58"/>
        <v>2.7870370373420883E-2</v>
      </c>
      <c r="N117" s="7">
        <f t="shared" si="65"/>
        <v>40.133333337726071</v>
      </c>
      <c r="O117" s="7"/>
      <c r="P117" s="7"/>
      <c r="Q117" s="22"/>
      <c r="R117" s="174"/>
      <c r="S117" s="221">
        <f t="shared" si="56"/>
        <v>1</v>
      </c>
      <c r="T117" s="174" t="str">
        <f t="shared" si="59"/>
        <v>Southbound</v>
      </c>
      <c r="U117" s="198">
        <f>IF(AG117="EC",COUNTIFS(Variables!$M$2:$M$19,IF(T117="NorthBound","&gt;=","&lt;=")&amp;Y117,Variables!$M$2:$M$19,IF(T117="NorthBound","&lt;=","&gt;=")&amp;Z117),COUNTIFS(Variables!$P$2:$P$19,IF(T117="NorthBound","&gt;=","&lt;=")&amp;Y117,Variables!$P$2:$P$19,IF(T117="NorthBound","&lt;=","&gt;=")&amp;Z117))</f>
        <v>12</v>
      </c>
      <c r="V117" s="216" t="str">
        <f t="shared" si="40"/>
        <v>https://d0f6bd738d7f1b3e5a7ca70fe4ff75f0.us-east-1.aws.found.io/app/kibana#/discover/Steve-Slow-Train-Analysis-(2080s-and-2083s)?_g=(refreshInterval:(display:Off,pause:!f,section:0,value:0),time:(from:'2017-10-05T16:05:51-0600',mode:absolute,to:'2017-10-05T18:52:26-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4015%22')),sort:!(Time.ISO8601,asc))</v>
      </c>
      <c r="W117" s="204" t="str">
        <f>IF(AA117&lt;VLOOKUP(AG117,Variables!$AC$3:$AD$8,2,FALSE),"Y","N")</f>
        <v>N</v>
      </c>
      <c r="X117" s="204">
        <f t="shared" si="60"/>
        <v>1</v>
      </c>
      <c r="Y117" s="204">
        <f t="shared" si="61"/>
        <v>23.301300000000001</v>
      </c>
      <c r="Z117" s="204">
        <f t="shared" si="54"/>
        <v>1.5599999999999999E-2</v>
      </c>
      <c r="AA117" s="204">
        <f t="shared" si="62"/>
        <v>23.285700000000002</v>
      </c>
      <c r="AB117" s="54" t="e">
        <f>VLOOKUP(A117,Enforcements!$C$7:$K$11,8,0)</f>
        <v>#N/A</v>
      </c>
      <c r="AC117" s="51" t="e">
        <f>VLOOKUP(A117,Enforcements!$C$7:$E$11,3,0)</f>
        <v>#N/A</v>
      </c>
      <c r="AD117" s="179">
        <f t="shared" si="63"/>
        <v>202</v>
      </c>
      <c r="AE117" s="77" t="str">
        <f t="shared" si="46"/>
        <v>aws s3 cp s3://rtdc.mdm.uploadarchive.raw/RTDC4015/ "%USERPROFILE%\AppData\Local\Temp\OnboardLogs"\RTDC4015\2017-10-05 --exclude "*" --recursive --include "*20171005*" &amp; "%USERPROFILE%\Documents\GitHub\mrs-test-scripts\Headless Mode &amp; Sideloading\WalkAndUnGZ.bat" "%USERPROFILE%\AppData\Local\Temp\OnboardLogs"\RTDC4015\2017-10-05 &amp; aws s3 cp s3://rtdc.mdm.uploadarchive.raw/RTDC4015/ "%USERPROFILE%\AppData\Local\Temp\OnboardLogs"\RTDC4015\2017-10-06 --exclude "*" --recursive --include "*20171006*" &amp; "%USERPROFILE%\Documents\GitHub\mrs-test-scripts\Headless Mode &amp; Sideloading\WalkAndUnGZ.bat" "%USERPROFILE%\AppData\Local\Temp\OnboardLogs"\RTDC4015\2017-10-06</v>
      </c>
      <c r="AF117" s="74" t="str">
        <f t="shared" si="47"/>
        <v>"C:\Program Files (x86)\AstroGrep\AstroGrep.exe" /e /r /s /spath="%USERPROFILE%\AppData\Local\Temp\OnboardLogs" /stypes="app*4015*20171005*" /stext=" 23:.+((SYSTEM_STATE.+slice.+state.+changed )|(ment ac)|(multiple cpu faults)|(system.+state.+changed )|(\[timeout)|(PRM\|1\|D)|(kpr)|(kdp)|(train st.+moving)|(\|lc)|(penalty))"</v>
      </c>
      <c r="AG117" s="182" t="str">
        <f t="shared" si="64"/>
        <v>EC</v>
      </c>
      <c r="AH117" s="78" t="str">
        <f t="shared" si="49"/>
        <v>"%USERPROFILE%\Documents\GitHub\eaglep3\Utilities\RefineRTDCRunTimes.py" --tripid 202-05 --locoid 4015 --swversion DE.1.0.9.0 --startMP 204:233013 --initTime 2017-10-05T17:05:51 --startdatetime 2017-10-05T17:12:18 --delay 44 --endMP 204:156 --enddatetime 2017-10-05T17:52:26 --enforcementcount 0 &gt;&gt;%USERPROFILE%\Documents\GitHub\eaglep3-reporting\EC\2017-10-05-refined-times.txt</v>
      </c>
      <c r="AI117" s="96" t="str">
        <f t="shared" si="50"/>
        <v>echo {"issue":{"subject":"","project_id":79,"tracker_id":40,"status_id":1,"priority_id":2,"assigned_to_id":338,"start_date":"2017-10-05","description":"","custom_fields":[{"id":1,"name":"Subdivision","value":"EC"},{"id":4,"name":"Milepost","value":"0.0156"},{"id":17,"name":"Train ID","value":"202-05"},{"id":16,"name":"Locomotive ID","value":"4015"},{"id":130,"name":"Impact","value":""},{"id":150,"name":"Time of Event (Mountain Time)","value":"17:52:26"},{"id":151,"name":"Denver Issue ID","value":""},{"id":178,"name":"Operational Impact","value":"Yes"},{"id":179,"name":"Denver Segment Assigned","value":""}]}} | curl --insecure -X POST -H "Content-Type: application/json" -H "X-Redmine-API-Key: %REDMINEAPIKEY%" https://secure.xorail.net/redmine/issues.json --data @-</v>
      </c>
      <c r="AK117" s="47"/>
      <c r="AL117" s="47"/>
      <c r="AM117" s="142" t="str">
        <f t="shared" si="51"/>
        <v>start /low /b %USERPROFILE%\Documents\GitHub\eaglep3\Utilities\DownloadLogsFromS3.py --loco 4015 --day 2017-10-05</v>
      </c>
      <c r="AN117" s="151" t="str">
        <f t="shared" si="52"/>
        <v>echo {"issue":{"subject":"","project_id":30,"tracker_id":4,"status_id":1,"priority_id":1,"assigned_to_id":10,"start_date":"2017-10-05","description":"","custom_fields":[{"id":30,"name":"Category","value":"Issue"},{"id":3,"name":"Functional Component","value":"Onboard"},{"id":31,"name":"Version","value":"N/A"},{"id":8,"name":"Reporting RR","value":"WABTEC"},{"id":27,"name":"Locomotive ID","value":"4015"},{"id":20,"name":"RR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23:52:26"},{"id":29,"name":"Sharepoint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17" s="168" t="str">
        <f t="shared" si="53"/>
        <v>https://d0f6bd738d7f1b3e5a7ca70fe4ff75f0.us-east-1.aws.found.io/app/kibana#/discover/Steve-Slow-Train-Analysis-(2080s-and-2083s)?_g=(refreshInterval:(display:Off,pause:!f,section:0,value:0),time:(from:'2017-10-05T16:05:51-0600',mode:absolute,to:'2017-10-05T18:52:26-0600'))&amp;_a=(columns:!('Message%20ID',Summary),filters:!(),index:'emp_*',interval:auto,query:(query_string:(analyze_wildcard:!t,query:'%22rtdc.l.rtdc.4015%22')),sort:!(Time.ISO8601,asc))</v>
      </c>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row>
    <row r="118" spans="1:91" s="20" customFormat="1" x14ac:dyDescent="0.25">
      <c r="A118" s="32" t="s">
        <v>612</v>
      </c>
      <c r="B118" s="7">
        <v>4010</v>
      </c>
      <c r="C118" s="21" t="s">
        <v>194</v>
      </c>
      <c r="D118" s="21" t="s">
        <v>867</v>
      </c>
      <c r="E118" s="13">
        <v>43013.692210648151</v>
      </c>
      <c r="F118" s="13">
        <v>43013.69363425926</v>
      </c>
      <c r="G118" s="7">
        <v>39</v>
      </c>
      <c r="H118" s="21" t="s">
        <v>856</v>
      </c>
      <c r="I118" s="13">
        <v>43013.722430555557</v>
      </c>
      <c r="J118" s="7">
        <v>0</v>
      </c>
      <c r="K118" s="89" t="str">
        <f t="shared" si="57"/>
        <v>4009/4010</v>
      </c>
      <c r="L118" s="185" t="str">
        <f>VLOOKUP(A118,'Trips&amp;Operators'!$C$1:$G$99911,5,FALSE)</f>
        <v>NATION TRACI</v>
      </c>
      <c r="M118" s="6">
        <f t="shared" si="58"/>
        <v>2.8796296297514345E-2</v>
      </c>
      <c r="N118" s="7"/>
      <c r="O118" s="7"/>
      <c r="P118" s="7">
        <f>24*60*SUM($M118:$M118)</f>
        <v>41.466666668420658</v>
      </c>
      <c r="Q118" s="22"/>
      <c r="R118" s="174" t="s">
        <v>571</v>
      </c>
      <c r="S118" s="221">
        <f t="shared" si="56"/>
        <v>1</v>
      </c>
      <c r="T118" s="174" t="str">
        <f t="shared" si="59"/>
        <v>NorthBound</v>
      </c>
      <c r="U118" s="198">
        <f>IF(AG118="EC",COUNTIFS(Variables!$M$2:$M$19,IF(T118="NorthBound","&gt;=","&lt;=")&amp;Y118,Variables!$M$2:$M$19,IF(T118="NorthBound","&lt;=","&gt;=")&amp;Z118),COUNTIFS(Variables!$P$2:$P$19,IF(T118="NorthBound","&gt;=","&lt;=")&amp;Y118,Variables!$P$2:$P$19,IF(T118="NorthBound","&lt;=","&gt;=")&amp;Z118))</f>
        <v>12</v>
      </c>
      <c r="V118" s="216" t="str">
        <f t="shared" si="40"/>
        <v>https://d0f6bd738d7f1b3e5a7ca70fe4ff75f0.us-east-1.aws.found.io/app/kibana#/discover/Steve-Slow-Train-Analysis-(2080s-and-2083s)?_g=(refreshInterval:(display:Off,pause:!f,section:0,value:0),time:(from:'2017-10-05T15:36:47-0600',mode:absolute,to:'2017-10-05T18:20:18-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118" s="204" t="str">
        <f>IF(AA118&lt;VLOOKUP(AG118,Variables!$AC$3:$AD$8,2,FALSE),"Y","N")</f>
        <v>Y</v>
      </c>
      <c r="X118" s="204">
        <f t="shared" si="60"/>
        <v>1</v>
      </c>
      <c r="Y118" s="204">
        <f t="shared" si="61"/>
        <v>1.9132</v>
      </c>
      <c r="Z118" s="204">
        <f t="shared" si="54"/>
        <v>23.328600000000002</v>
      </c>
      <c r="AA118" s="204">
        <f t="shared" si="62"/>
        <v>21.415400000000002</v>
      </c>
      <c r="AB118" s="54" t="e">
        <f>VLOOKUP(A118,Enforcements!$C$7:$K$11,8,0)</f>
        <v>#N/A</v>
      </c>
      <c r="AC118" s="51" t="e">
        <f>VLOOKUP(A118,Enforcements!$C$7:$E$11,3,0)</f>
        <v>#N/A</v>
      </c>
      <c r="AD118" s="179">
        <f t="shared" si="63"/>
        <v>203</v>
      </c>
      <c r="AE118" s="77" t="str">
        <f t="shared" si="46"/>
        <v>aws s3 cp s3://rtdc.mdm.uploadarchive.raw/RTDC4010/ "%USERPROFILE%\AppData\Local\Temp\OnboardLogs"\RTDC4010\2017-10-05 --exclude "*" --recursive --include "*20171005*" &amp; "%USERPROFILE%\Documents\GitHub\mrs-test-scripts\Headless Mode &amp; Sideloading\WalkAndUnGZ.bat" "%USERPROFILE%\AppData\Local\Temp\OnboardLogs"\RTDC4010\2017-10-05 &amp; aws s3 cp s3://rtdc.mdm.uploadarchive.raw/RTDC4010/ "%USERPROFILE%\AppData\Local\Temp\OnboardLogs"\RTDC4010\2017-10-06 --exclude "*" --recursive --include "*20171006*" &amp; "%USERPROFILE%\Documents\GitHub\mrs-test-scripts\Headless Mode &amp; Sideloading\WalkAndUnGZ.bat" "%USERPROFILE%\AppData\Local\Temp\OnboardLogs"\RTDC4010\2017-10-06</v>
      </c>
      <c r="AF118" s="74" t="str">
        <f t="shared" si="47"/>
        <v>"C:\Program Files (x86)\AstroGrep\AstroGrep.exe" /e /r /s /spath="%USERPROFILE%\AppData\Local\Temp\OnboardLogs" /stypes="app*4010*20171005*" /stext=" 23:.+((SYSTEM_STATE.+slice.+state.+changed )|(ment ac)|(multiple cpu faults)|(system.+state.+changed )|(\[timeout)|(PRM\|1\|D)|(kpr)|(kdp)|(train st.+moving)|(\|lc)|(penalty))"</v>
      </c>
      <c r="AG118" s="182" t="str">
        <f t="shared" si="64"/>
        <v>EC</v>
      </c>
      <c r="AH118" s="78" t="str">
        <f t="shared" si="49"/>
        <v>"%USERPROFILE%\Documents\GitHub\eaglep3\Utilities\RefineRTDCRunTimes.py" --tripid 203-05 --locoid 4010 --swversion DE.1.0.9.0 --startMP 204:19132 --initTime 2017-10-05T16:36:47 --startdatetime 2017-10-05T16:38:50 --delay 39 --endMP 204:233286 --enddatetime 2017-10-05T17:20:18 --enforcementcount 0 &gt;&gt;%USERPROFILE%\Documents\GitHub\eaglep3-reporting\EC\2017-10-05-refined-times.txt</v>
      </c>
      <c r="AI118" s="96" t="str">
        <f t="shared" si="50"/>
        <v>echo {"issue":{"subject":"Operator selected wrong track","project_id":79,"tracker_id":40,"status_id":1,"priority_id":2,"assigned_to_id":338,"start_date":"2017-10-05","description":"","custom_fields":[{"id":1,"name":"Subdivision","value":"EC"},{"id":4,"name":"Milepost","value":"23.3286"},{"id":17,"name":"Train ID","value":"203-05"},{"id":16,"name":"Locomotive ID","value":"4010"},{"id":130,"name":"Impact","value":""},{"id":150,"name":"Time of Event (Mountain Time)","value":"17:20:18"},{"id":151,"name":"Denver Issue ID","value":""},{"id":178,"name":"Operational Impact","value":"Yes"},{"id":179,"name":"Denver Segment Assigned","value":""}]}} | curl --insecure -X POST -H "Content-Type: application/json" -H "X-Redmine-API-Key: %REDMINEAPIKEY%" https://secure.xorail.net/redmine/issues.json --data @-</v>
      </c>
      <c r="AK118" s="47"/>
      <c r="AL118" s="47"/>
      <c r="AM118" s="142" t="str">
        <f t="shared" si="51"/>
        <v>start /low /b %USERPROFILE%\Documents\GitHub\eaglep3\Utilities\DownloadLogsFromS3.py --loco 4010 --day 2017-10-05</v>
      </c>
      <c r="AN118" s="151" t="str">
        <f t="shared" si="52"/>
        <v>echo {"issue":{"subject":"Operator selected wrong track","project_id":30,"tracker_id":4,"status_id":1,"priority_id":1,"assigned_to_id":10,"start_date":"2017-10-05","description":"","custom_fields":[{"id":30,"name":"Category","value":"Issue"},{"id":3,"name":"Functional Component","value":"Onboard"},{"id":31,"name":"Version","value":"N/A"},{"id":8,"name":"Reporting RR","value":"WABTEC"},{"id":27,"name":"Locomotive ID","value":"4010"},{"id":20,"name":"RR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23:20:18"},{"id":29,"name":"Sharepoint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18" s="168" t="str">
        <f t="shared" si="53"/>
        <v>https://d0f6bd738d7f1b3e5a7ca70fe4ff75f0.us-east-1.aws.found.io/app/kibana#/discover/Steve-Slow-Train-Analysis-(2080s-and-2083s)?_g=(refreshInterval:(display:Off,pause:!f,section:0,value:0),time:(from:'2017-10-05T15:36:47-0600',mode:absolute,to:'2017-10-05T18:20:18-0600'))&amp;_a=(columns:!('Message%20ID',Summary),filters:!(),index:'emp_*',interval:auto,query:(query_string:(analyze_wildcard:!t,query:'%22rtdc.l.rtdc.4010%22')),sort:!(Time.ISO8601,asc))</v>
      </c>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row>
    <row r="119" spans="1:91" s="20" customFormat="1" x14ac:dyDescent="0.25">
      <c r="A119" s="32" t="s">
        <v>612</v>
      </c>
      <c r="B119" s="7">
        <v>4010</v>
      </c>
      <c r="C119" s="21" t="s">
        <v>194</v>
      </c>
      <c r="D119" s="21" t="s">
        <v>537</v>
      </c>
      <c r="E119" s="13">
        <v>43013.682511574072</v>
      </c>
      <c r="F119" s="13">
        <v>43013.69363425926</v>
      </c>
      <c r="G119" s="7">
        <v>108</v>
      </c>
      <c r="H119" s="21" t="s">
        <v>868</v>
      </c>
      <c r="I119" s="13">
        <v>43013.722430555557</v>
      </c>
      <c r="J119" s="7">
        <v>0</v>
      </c>
      <c r="K119" s="89" t="str">
        <f t="shared" si="57"/>
        <v>4009/4010</v>
      </c>
      <c r="L119" s="185" t="str">
        <f>VLOOKUP(A119,'Trips&amp;Operators'!$C$1:$G$99911,5,FALSE)</f>
        <v>NATION TRACI</v>
      </c>
      <c r="M119" s="6">
        <f t="shared" si="58"/>
        <v>2.8796296297514345E-2</v>
      </c>
      <c r="N119" s="7"/>
      <c r="O119" s="7"/>
      <c r="P119" s="7"/>
      <c r="Q119" s="22"/>
      <c r="R119" s="174"/>
      <c r="S119" s="221"/>
      <c r="T119" s="174" t="str">
        <f t="shared" si="59"/>
        <v>NorthBound</v>
      </c>
      <c r="U119" s="198">
        <f>IF(AG119="EC",COUNTIFS(Variables!$M$2:$M$19,IF(T119="NorthBound","&gt;=","&lt;=")&amp;Y119,Variables!$M$2:$M$19,IF(T119="NorthBound","&lt;=","&gt;=")&amp;Z119),COUNTIFS(Variables!$P$2:$P$19,IF(T119="NorthBound","&gt;=","&lt;=")&amp;Y119,Variables!$P$2:$P$19,IF(T119="NorthBound","&lt;=","&gt;=")&amp;Z119))</f>
        <v>0</v>
      </c>
      <c r="V119" s="216" t="str">
        <f t="shared" si="40"/>
        <v>https://d0f6bd738d7f1b3e5a7ca70fe4ff75f0.us-east-1.aws.found.io/app/kibana#/discover/Steve-Slow-Train-Analysis-(2080s-and-2083s)?_g=(refreshInterval:(display:Off,pause:!f,section:0,value:0),time:(from:'2017-10-05T15:22:49-0600',mode:absolute,to:'2017-10-05T18:20:18-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119" s="204" t="str">
        <f>IF(AA119&lt;VLOOKUP(AG119,Variables!$AC$3:$AD$8,2,FALSE),"Y","N")</f>
        <v>Y</v>
      </c>
      <c r="X119" s="204">
        <f t="shared" si="60"/>
        <v>0</v>
      </c>
      <c r="Y119" s="204">
        <f t="shared" si="61"/>
        <v>4.6199999999999998E-2</v>
      </c>
      <c r="Z119" s="204">
        <f t="shared" si="54"/>
        <v>0.13400000000000001</v>
      </c>
      <c r="AA119" s="204">
        <f t="shared" si="62"/>
        <v>8.7800000000000017E-2</v>
      </c>
      <c r="AB119" s="54" t="e">
        <f>VLOOKUP(A119,Enforcements!$C$7:$K$11,8,0)</f>
        <v>#N/A</v>
      </c>
      <c r="AC119" s="51" t="e">
        <f>VLOOKUP(A119,Enforcements!$C$7:$E$11,3,0)</f>
        <v>#N/A</v>
      </c>
      <c r="AD119" s="179">
        <f t="shared" si="63"/>
        <v>203</v>
      </c>
      <c r="AE119" s="77" t="str">
        <f t="shared" si="46"/>
        <v>aws s3 cp s3://rtdc.mdm.uploadarchive.raw/RTDC4010/ "%USERPROFILE%\AppData\Local\Temp\OnboardLogs"\RTDC4010\2017-10-05 --exclude "*" --recursive --include "*20171005*" &amp; "%USERPROFILE%\Documents\GitHub\mrs-test-scripts\Headless Mode &amp; Sideloading\WalkAndUnGZ.bat" "%USERPROFILE%\AppData\Local\Temp\OnboardLogs"\RTDC4010\2017-10-05 &amp; aws s3 cp s3://rtdc.mdm.uploadarchive.raw/RTDC4010/ "%USERPROFILE%\AppData\Local\Temp\OnboardLogs"\RTDC4010\2017-10-06 --exclude "*" --recursive --include "*20171006*" &amp; "%USERPROFILE%\Documents\GitHub\mrs-test-scripts\Headless Mode &amp; Sideloading\WalkAndUnGZ.bat" "%USERPROFILE%\AppData\Local\Temp\OnboardLogs"\RTDC4010\2017-10-06</v>
      </c>
      <c r="AF119" s="74" t="str">
        <f t="shared" si="47"/>
        <v>"C:\Program Files (x86)\AstroGrep\AstroGrep.exe" /e /r /s /spath="%USERPROFILE%\AppData\Local\Temp\OnboardLogs" /stypes="app*4010*20171005*" /stext=" 23:.+((SYSTEM_STATE.+slice.+state.+changed )|(ment ac)|(multiple cpu faults)|(system.+state.+changed )|(\[timeout)|(PRM\|1\|D)|(kpr)|(kdp)|(train st.+moving)|(\|lc)|(penalty))"</v>
      </c>
      <c r="AG119" s="182" t="str">
        <f t="shared" si="64"/>
        <v>EC</v>
      </c>
      <c r="AH119" s="78" t="str">
        <f t="shared" si="49"/>
        <v>"%USERPROFILE%\Documents\GitHub\eaglep3\Utilities\RefineRTDCRunTimes.py" --tripid 203-05 --locoid 4010 --swversion DE.1.0.9.0 --startMP 204:462 --initTime 2017-10-05T16:22:49 --startdatetime 2017-10-05T16:38:50 --delay 108 --endMP 204:1340 --enddatetime 2017-10-05T17:20:18 --enforcementcount 0 &gt;&gt;%USERPROFILE%\Documents\GitHub\eaglep3-reporting\EC\2017-10-05-refined-times.txt</v>
      </c>
      <c r="AI119" s="96" t="str">
        <f t="shared" si="50"/>
        <v>echo {"issue":{"subject":"","project_id":79,"tracker_id":40,"status_id":1,"priority_id":2,"assigned_to_id":338,"start_date":"2017-10-05","description":"","custom_fields":[{"id":1,"name":"Subdivision","value":"EC"},{"id":4,"name":"Milepost","value":"0.134"},{"id":17,"name":"Train ID","value":"203-05"},{"id":16,"name":"Locomotive ID","value":"4010"},{"id":130,"name":"Impact","value":""},{"id":150,"name":"Time of Event (Mountain Time)","value":"17:20:18"},{"id":151,"name":"Denver Issue ID","value":""},{"id":178,"name":"Operational Impact","value":"Yes"},{"id":179,"name":"Denver Segment Assigned","value":""}]}} | curl --insecure -X POST -H "Content-Type: application/json" -H "X-Redmine-API-Key: %REDMINEAPIKEY%" https://secure.xorail.net/redmine/issues.json --data @-</v>
      </c>
      <c r="AK119" s="47"/>
      <c r="AL119" s="47"/>
      <c r="AM119" s="142" t="str">
        <f t="shared" si="51"/>
        <v>start /low /b %USERPROFILE%\Documents\GitHub\eaglep3\Utilities\DownloadLogsFromS3.py --loco 4010 --day 2017-10-05</v>
      </c>
      <c r="AN119" s="151" t="str">
        <f t="shared" si="52"/>
        <v>echo {"issue":{"subject":"","project_id":30,"tracker_id":4,"status_id":1,"priority_id":1,"assigned_to_id":10,"start_date":"2017-10-05","description":"","custom_fields":[{"id":30,"name":"Category","value":"Issue"},{"id":3,"name":"Functional Component","value":"Onboard"},{"id":31,"name":"Version","value":"N/A"},{"id":8,"name":"Reporting RR","value":"WABTEC"},{"id":27,"name":"Locomotive ID","value":"4010"},{"id":20,"name":"RR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23:20:18"},{"id":29,"name":"Sharepoint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19" s="168" t="str">
        <f t="shared" si="53"/>
        <v>https://d0f6bd738d7f1b3e5a7ca70fe4ff75f0.us-east-1.aws.found.io/app/kibana#/discover/Steve-Slow-Train-Analysis-(2080s-and-2083s)?_g=(refreshInterval:(display:Off,pause:!f,section:0,value:0),time:(from:'2017-10-05T15:22:49-0600',mode:absolute,to:'2017-10-05T18:20:18-0600'))&amp;_a=(columns:!('Message%20ID',Summary),filters:!(),index:'emp_*',interval:auto,query:(query_string:(analyze_wildcard:!t,query:'%22rtdc.l.rtdc.4010%22')),sort:!(Time.ISO8601,asc))</v>
      </c>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row>
    <row r="120" spans="1:91" s="20" customFormat="1" x14ac:dyDescent="0.25">
      <c r="A120" s="32" t="s">
        <v>753</v>
      </c>
      <c r="B120" s="7">
        <v>4009</v>
      </c>
      <c r="C120" s="21" t="s">
        <v>194</v>
      </c>
      <c r="D120" s="21" t="s">
        <v>869</v>
      </c>
      <c r="E120" s="13">
        <v>43013.724490740744</v>
      </c>
      <c r="F120" s="13">
        <v>43013.727442129632</v>
      </c>
      <c r="G120" s="7">
        <v>81</v>
      </c>
      <c r="H120" s="21" t="s">
        <v>356</v>
      </c>
      <c r="I120" s="13">
        <v>43013.757465277777</v>
      </c>
      <c r="J120" s="7">
        <v>0</v>
      </c>
      <c r="K120" s="89" t="str">
        <f t="shared" si="57"/>
        <v>4009/4010</v>
      </c>
      <c r="L120" s="185" t="str">
        <f>VLOOKUP(A120,'Trips&amp;Operators'!$C$1:$G$99911,5,FALSE)</f>
        <v>NATION TRACI</v>
      </c>
      <c r="M120" s="6">
        <f t="shared" si="58"/>
        <v>3.0023148145119194E-2</v>
      </c>
      <c r="N120" s="7">
        <f>24*60*SUM($M120:$M120)</f>
        <v>43.233333328971639</v>
      </c>
      <c r="O120" s="7"/>
      <c r="P120" s="7"/>
      <c r="Q120" s="22"/>
      <c r="R120" s="174"/>
      <c r="S120" s="221">
        <f>1/IF(AG120="EC",12,1)*SUM(U120:U120)</f>
        <v>1</v>
      </c>
      <c r="T120" s="174" t="str">
        <f t="shared" si="59"/>
        <v>Southbound</v>
      </c>
      <c r="U120" s="198">
        <f>IF(AG120="EC",COUNTIFS(Variables!$M$2:$M$19,IF(T120="NorthBound","&gt;=","&lt;=")&amp;Y120,Variables!$M$2:$M$19,IF(T120="NorthBound","&lt;=","&gt;=")&amp;Z120),COUNTIFS(Variables!$P$2:$P$19,IF(T120="NorthBound","&gt;=","&lt;=")&amp;Y120,Variables!$P$2:$P$19,IF(T120="NorthBound","&lt;=","&gt;=")&amp;Z120))</f>
        <v>12</v>
      </c>
      <c r="V120" s="216" t="str">
        <f t="shared" si="40"/>
        <v>https://d0f6bd738d7f1b3e5a7ca70fe4ff75f0.us-east-1.aws.found.io/app/kibana#/discover/Steve-Slow-Train-Analysis-(2080s-and-2083s)?_g=(refreshInterval:(display:Off,pause:!f,section:0,value:0),time:(from:'2017-10-05T16:23:16-0600',mode:absolute,to:'2017-10-05T19:10:45-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120" s="204" t="str">
        <f>IF(AA120&lt;VLOOKUP(AG120,Variables!$AC$3:$AD$8,2,FALSE),"Y","N")</f>
        <v>N</v>
      </c>
      <c r="X120" s="204">
        <f t="shared" si="60"/>
        <v>1</v>
      </c>
      <c r="Y120" s="204">
        <f t="shared" si="61"/>
        <v>23.296299999999999</v>
      </c>
      <c r="Z120" s="204">
        <f t="shared" si="54"/>
        <v>1.52E-2</v>
      </c>
      <c r="AA120" s="204">
        <f t="shared" si="62"/>
        <v>23.281099999999999</v>
      </c>
      <c r="AB120" s="54" t="e">
        <f>VLOOKUP(A120,Enforcements!$C$7:$K$11,8,0)</f>
        <v>#N/A</v>
      </c>
      <c r="AC120" s="51" t="e">
        <f>VLOOKUP(A120,Enforcements!$C$7:$E$11,3,0)</f>
        <v>#N/A</v>
      </c>
      <c r="AD120" s="179">
        <f t="shared" si="63"/>
        <v>204</v>
      </c>
      <c r="AE120" s="77" t="str">
        <f t="shared" si="46"/>
        <v>aws s3 cp s3://rtdc.mdm.uploadarchive.raw/RTDC4009/ "%USERPROFILE%\AppData\Local\Temp\OnboardLogs"\RTDC4009\2017-10-05 --exclude "*" --recursive --include "*20171005*" &amp; "%USERPROFILE%\Documents\GitHub\mrs-test-scripts\Headless Mode &amp; Sideloading\WalkAndUnGZ.bat" "%USERPROFILE%\AppData\Local\Temp\OnboardLogs"\RTDC4009\2017-10-05 &amp; aws s3 cp s3://rtdc.mdm.uploadarchive.raw/RTDC4009/ "%USERPROFILE%\AppData\Local\Temp\OnboardLogs"\RTDC4009\2017-10-06 --exclude "*" --recursive --include "*20171006*" &amp; "%USERPROFILE%\Documents\GitHub\mrs-test-scripts\Headless Mode &amp; Sideloading\WalkAndUnGZ.bat" "%USERPROFILE%\AppData\Local\Temp\OnboardLogs"\RTDC4009\2017-10-06</v>
      </c>
      <c r="AF120" s="74" t="str">
        <f t="shared" si="47"/>
        <v>"C:\Program Files (x86)\AstroGrep\AstroGrep.exe" /e /r /s /spath="%USERPROFILE%\AppData\Local\Temp\OnboardLogs" /stypes="app*4009*20171006*" /stext=" 00:.+((SYSTEM_STATE.+slice.+state.+changed )|(ment ac)|(multiple cpu faults)|(system.+state.+changed )|(\[timeout)|(PRM\|1\|D)|(kpr)|(kdp)|(train st.+moving)|(\|lc)|(penalty))"</v>
      </c>
      <c r="AG120" s="182" t="str">
        <f t="shared" si="64"/>
        <v>EC</v>
      </c>
      <c r="AH120" s="78" t="str">
        <f t="shared" si="49"/>
        <v>"%USERPROFILE%\Documents\GitHub\eaglep3\Utilities\RefineRTDCRunTimes.py" --tripid 204-05 --locoid 4009 --swversion DE.1.0.9.0 --startMP 204:232963 --initTime 2017-10-05T17:23:16 --startdatetime 2017-10-05T17:27:31 --delay 81 --endMP 204:152 --enddatetime 2017-10-05T18:10:45 --enforcementcount 0 &gt;&gt;%USERPROFILE%\Documents\GitHub\eaglep3-reporting\EC\2017-10-05-refined-times.txt</v>
      </c>
      <c r="AI120" s="96" t="str">
        <f t="shared" si="50"/>
        <v>echo {"issue":{"subject":"","project_id":79,"tracker_id":40,"status_id":1,"priority_id":2,"assigned_to_id":338,"start_date":"2017-10-05","description":"","custom_fields":[{"id":1,"name":"Subdivision","value":"EC"},{"id":4,"name":"Milepost","value":"0.0152"},{"id":17,"name":"Train ID","value":"204-05"},{"id":16,"name":"Locomotive ID","value":"4009"},{"id":130,"name":"Impact","value":""},{"id":150,"name":"Time of Event (Mountain Time)","value":"18:10:45"},{"id":151,"name":"Denver Issue ID","value":""},{"id":178,"name":"Operational Impact","value":"Yes"},{"id":179,"name":"Denver Segment Assigned","value":""}]}} | curl --insecure -X POST -H "Content-Type: application/json" -H "X-Redmine-API-Key: %REDMINEAPIKEY%" https://secure.xorail.net/redmine/issues.json --data @-</v>
      </c>
      <c r="AK120" s="47"/>
      <c r="AL120" s="47"/>
      <c r="AM120" s="142" t="str">
        <f t="shared" si="51"/>
        <v>start /low /b %USERPROFILE%\Documents\GitHub\eaglep3\Utilities\DownloadLogsFromS3.py --loco 4009 --day 2017-10-05</v>
      </c>
      <c r="AN120" s="151" t="str">
        <f t="shared" si="52"/>
        <v>echo {"issue":{"subject":"","project_id":30,"tracker_id":4,"status_id":1,"priority_id":1,"assigned_to_id":10,"start_date":"2017-10-06","description":"","custom_fields":[{"id":30,"name":"Category","value":"Issue"},{"id":3,"name":"Functional Component","value":"Onboard"},{"id":31,"name":"Version","value":"N/A"},{"id":8,"name":"Reporting RR","value":"WABTEC"},{"id":27,"name":"Locomotive ID","value":"4009"},{"id":20,"name":"RR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00:10:45"},{"id":29,"name":"Sharepoint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20" s="168" t="str">
        <f t="shared" si="53"/>
        <v>https://d0f6bd738d7f1b3e5a7ca70fe4ff75f0.us-east-1.aws.found.io/app/kibana#/discover/Steve-Slow-Train-Analysis-(2080s-and-2083s)?_g=(refreshInterval:(display:Off,pause:!f,section:0,value:0),time:(from:'2017-10-05T16:23:16-0600',mode:absolute,to:'2017-10-05T19:10:45-0600'))&amp;_a=(columns:!('Message%20ID',Summary),filters:!(),index:'emp_*',interval:auto,query:(query_string:(analyze_wildcard:!t,query:'%22rtdc.l.rtdc.4009%22')),sort:!(Time.ISO8601,asc))</v>
      </c>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row>
    <row r="121" spans="1:91" s="20" customFormat="1" x14ac:dyDescent="0.25">
      <c r="A121" s="32" t="s">
        <v>745</v>
      </c>
      <c r="B121" s="7">
        <v>4028</v>
      </c>
      <c r="C121" s="21" t="s">
        <v>194</v>
      </c>
      <c r="D121" s="21" t="s">
        <v>418</v>
      </c>
      <c r="E121" s="13">
        <v>43013.694328703707</v>
      </c>
      <c r="F121" s="13">
        <v>43013.698101851849</v>
      </c>
      <c r="G121" s="7">
        <v>58</v>
      </c>
      <c r="H121" s="21" t="s">
        <v>535</v>
      </c>
      <c r="I121" s="13">
        <v>43013.72619212963</v>
      </c>
      <c r="J121" s="7">
        <v>0</v>
      </c>
      <c r="K121" s="89" t="str">
        <f t="shared" si="57"/>
        <v>4027/4028</v>
      </c>
      <c r="L121" s="185" t="str">
        <f>VLOOKUP(A121,'Trips&amp;Operators'!$C$1:$G$99911,5,FALSE)</f>
        <v>STEWART MICHAEL</v>
      </c>
      <c r="M121" s="6">
        <f t="shared" si="58"/>
        <v>2.8090277781302575E-2</v>
      </c>
      <c r="N121" s="7">
        <f>24*60*SUM($M121:$M121)</f>
        <v>40.450000005075708</v>
      </c>
      <c r="O121" s="7"/>
      <c r="P121" s="7"/>
      <c r="Q121" s="22"/>
      <c r="R121" s="174"/>
      <c r="S121" s="221">
        <f>1/IF(AG121="EC",12,1)*SUM(U121:U121)</f>
        <v>1</v>
      </c>
      <c r="T121" s="174" t="str">
        <f t="shared" si="59"/>
        <v>NorthBound</v>
      </c>
      <c r="U121" s="198">
        <f>IF(AG121="EC",COUNTIFS(Variables!$M$2:$M$19,IF(T121="NorthBound","&gt;=","&lt;=")&amp;Y121,Variables!$M$2:$M$19,IF(T121="NorthBound","&lt;=","&gt;=")&amp;Z121),COUNTIFS(Variables!$P$2:$P$19,IF(T121="NorthBound","&gt;=","&lt;=")&amp;Y121,Variables!$P$2:$P$19,IF(T121="NorthBound","&lt;=","&gt;=")&amp;Z121))</f>
        <v>12</v>
      </c>
      <c r="V121" s="216" t="str">
        <f t="shared" si="40"/>
        <v>https://d0f6bd738d7f1b3e5a7ca70fe4ff75f0.us-east-1.aws.found.io/app/kibana#/discover/Steve-Slow-Train-Analysis-(2080s-and-2083s)?_g=(refreshInterval:(display:Off,pause:!f,section:0,value:0),time:(from:'2017-10-05T15:39:50-0600',mode:absolute,to:'2017-10-05T18:25:43-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121" s="204" t="str">
        <f>IF(AA121&lt;VLOOKUP(AG121,Variables!$AC$3:$AD$8,2,FALSE),"Y","N")</f>
        <v>N</v>
      </c>
      <c r="X121" s="204">
        <f t="shared" si="60"/>
        <v>1</v>
      </c>
      <c r="Y121" s="204">
        <f t="shared" si="61"/>
        <v>4.4900000000000002E-2</v>
      </c>
      <c r="Z121" s="204">
        <f t="shared" si="54"/>
        <v>23.327999999999999</v>
      </c>
      <c r="AA121" s="204">
        <f t="shared" si="62"/>
        <v>23.283100000000001</v>
      </c>
      <c r="AB121" s="54" t="e">
        <f>VLOOKUP(A121,Enforcements!$C$7:$K$11,8,0)</f>
        <v>#N/A</v>
      </c>
      <c r="AC121" s="51" t="e">
        <f>VLOOKUP(A121,Enforcements!$C$7:$E$11,3,0)</f>
        <v>#N/A</v>
      </c>
      <c r="AD121" s="179">
        <f t="shared" si="63"/>
        <v>205</v>
      </c>
      <c r="AE121" s="77" t="str">
        <f t="shared" si="46"/>
        <v>aws s3 cp s3://rtdc.mdm.uploadarchive.raw/RTDC4028/ "%USERPROFILE%\AppData\Local\Temp\OnboardLogs"\RTDC4028\2017-10-05 --exclude "*" --recursive --include "*20171005*" &amp; "%USERPROFILE%\Documents\GitHub\mrs-test-scripts\Headless Mode &amp; Sideloading\WalkAndUnGZ.bat" "%USERPROFILE%\AppData\Local\Temp\OnboardLogs"\RTDC4028\2017-10-05 &amp; aws s3 cp s3://rtdc.mdm.uploadarchive.raw/RTDC4028/ "%USERPROFILE%\AppData\Local\Temp\OnboardLogs"\RTDC4028\2017-10-06 --exclude "*" --recursive --include "*20171006*" &amp; "%USERPROFILE%\Documents\GitHub\mrs-test-scripts\Headless Mode &amp; Sideloading\WalkAndUnGZ.bat" "%USERPROFILE%\AppData\Local\Temp\OnboardLogs"\RTDC4028\2017-10-06</v>
      </c>
      <c r="AF121" s="74" t="str">
        <f t="shared" si="47"/>
        <v>"C:\Program Files (x86)\AstroGrep\AstroGrep.exe" /e /r /s /spath="%USERPROFILE%\AppData\Local\Temp\OnboardLogs" /stypes="app*4028*20171005*" /stext=" 23:.+((SYSTEM_STATE.+slice.+state.+changed )|(ment ac)|(multiple cpu faults)|(system.+state.+changed )|(\[timeout)|(PRM\|1\|D)|(kpr)|(kdp)|(train st.+moving)|(\|lc)|(penalty))"</v>
      </c>
      <c r="AG121" s="182" t="str">
        <f t="shared" si="64"/>
        <v>EC</v>
      </c>
      <c r="AH121" s="78" t="str">
        <f t="shared" si="49"/>
        <v>"%USERPROFILE%\Documents\GitHub\eaglep3\Utilities\RefineRTDCRunTimes.py" --tripid 205-05 --locoid 4028 --swversion DE.1.0.9.0 --startMP 204:449 --initTime 2017-10-05T16:39:50 --startdatetime 2017-10-05T16:45:16 --delay 58 --endMP 204:233280 --enddatetime 2017-10-05T17:25:43 --enforcementcount 0 &gt;&gt;%USERPROFILE%\Documents\GitHub\eaglep3-reporting\EC\2017-10-05-refined-times.txt</v>
      </c>
      <c r="AI121" s="96" t="str">
        <f t="shared" si="50"/>
        <v>echo {"issue":{"subject":"","project_id":79,"tracker_id":40,"status_id":1,"priority_id":2,"assigned_to_id":338,"start_date":"2017-10-05","description":"","custom_fields":[{"id":1,"name":"Subdivision","value":"EC"},{"id":4,"name":"Milepost","value":"23.328"},{"id":17,"name":"Train ID","value":"205-05"},{"id":16,"name":"Locomotive ID","value":"4028"},{"id":130,"name":"Impact","value":""},{"id":150,"name":"Time of Event (Mountain Time)","value":"17:25:43"},{"id":151,"name":"Denver Issue ID","value":""},{"id":178,"name":"Operational Impact","value":"Yes"},{"id":179,"name":"Denver Segment Assigned","value":""}]}} | curl --insecure -X POST -H "Content-Type: application/json" -H "X-Redmine-API-Key: %REDMINEAPIKEY%" https://secure.xorail.net/redmine/issues.json --data @-</v>
      </c>
      <c r="AK121" s="47"/>
      <c r="AL121" s="47"/>
      <c r="AM121" s="142" t="str">
        <f t="shared" si="51"/>
        <v>start /low /b %USERPROFILE%\Documents\GitHub\eaglep3\Utilities\DownloadLogsFromS3.py --loco 4028 --day 2017-10-05</v>
      </c>
      <c r="AN121" s="151" t="str">
        <f t="shared" si="52"/>
        <v>echo {"issue":{"subject":"","project_id":30,"tracker_id":4,"status_id":1,"priority_id":1,"assigned_to_id":10,"start_date":"2017-10-05","description":"","custom_fields":[{"id":30,"name":"Category","value":"Issue"},{"id":3,"name":"Functional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23:25:43"},{"id":29,"name":"Sharepoint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21" s="168" t="str">
        <f t="shared" si="53"/>
        <v>https://d0f6bd738d7f1b3e5a7ca70fe4ff75f0.us-east-1.aws.found.io/app/kibana#/discover/Steve-Slow-Train-Analysis-(2080s-and-2083s)?_g=(refreshInterval:(display:Off,pause:!f,section:0,value:0),time:(from:'2017-10-05T15:39:50-0600',mode:absolute,to:'2017-10-05T18:25:43-0600'))&amp;_a=(columns:!('Message%20ID',Summary),filters:!(),index:'emp_*',interval:auto,query:(query_string:(analyze_wildcard:!t,query:'%22rtdc.l.rtdc.4028%22')),sort:!(Time.ISO8601,asc))</v>
      </c>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row>
    <row r="122" spans="1:91" s="20" customFormat="1" x14ac:dyDescent="0.25">
      <c r="A122" s="32" t="s">
        <v>614</v>
      </c>
      <c r="B122" s="7">
        <v>4027</v>
      </c>
      <c r="C122" s="21" t="s">
        <v>194</v>
      </c>
      <c r="D122" s="21" t="s">
        <v>870</v>
      </c>
      <c r="E122" s="13">
        <v>43013.733252314814</v>
      </c>
      <c r="F122" s="13">
        <v>43013.737696759257</v>
      </c>
      <c r="G122" s="7">
        <v>58</v>
      </c>
      <c r="H122" s="21" t="s">
        <v>378</v>
      </c>
      <c r="I122" s="13">
        <v>43013.768148148149</v>
      </c>
      <c r="J122" s="7">
        <v>0</v>
      </c>
      <c r="K122" s="89" t="str">
        <f t="shared" si="57"/>
        <v>4027/4028</v>
      </c>
      <c r="L122" s="185" t="str">
        <f>VLOOKUP(A122,'Trips&amp;Operators'!$C$1:$G$99911,5,FALSE)</f>
        <v>STEWART MICHAEL</v>
      </c>
      <c r="M122" s="6">
        <f t="shared" si="58"/>
        <v>3.0451388891378883E-2</v>
      </c>
      <c r="N122" s="7">
        <f>24*60*SUM($M122:$M122)</f>
        <v>43.850000003585592</v>
      </c>
      <c r="O122" s="7"/>
      <c r="P122" s="7"/>
      <c r="Q122" s="22"/>
      <c r="R122" s="174"/>
      <c r="S122" s="221">
        <f>1/IF(AG122="EC",12,1)*SUM(U122:U122)</f>
        <v>1</v>
      </c>
      <c r="T122" s="174" t="str">
        <f t="shared" si="59"/>
        <v>Southbound</v>
      </c>
      <c r="U122" s="198">
        <f>IF(AG122="EC",COUNTIFS(Variables!$M$2:$M$19,IF(T122="NorthBound","&gt;=","&lt;=")&amp;Y122,Variables!$M$2:$M$19,IF(T122="NorthBound","&lt;=","&gt;=")&amp;Z122),COUNTIFS(Variables!$P$2:$P$19,IF(T122="NorthBound","&gt;=","&lt;=")&amp;Y122,Variables!$P$2:$P$19,IF(T122="NorthBound","&lt;=","&gt;=")&amp;Z122))</f>
        <v>12</v>
      </c>
      <c r="V122" s="216" t="str">
        <f t="shared" si="40"/>
        <v>https://d0f6bd738d7f1b3e5a7ca70fe4ff75f0.us-east-1.aws.found.io/app/kibana#/discover/Steve-Slow-Train-Analysis-(2080s-and-2083s)?_g=(refreshInterval:(display:Off,pause:!f,section:0,value:0),time:(from:'2017-10-05T16:35:53-0600',mode:absolute,to:'2017-10-05T19:26:08-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122" s="204" t="str">
        <f>IF(AA122&lt;VLOOKUP(AG122,Variables!$AC$3:$AD$8,2,FALSE),"Y","N")</f>
        <v>N</v>
      </c>
      <c r="X122" s="204">
        <f t="shared" si="60"/>
        <v>1</v>
      </c>
      <c r="Y122" s="204">
        <f t="shared" si="61"/>
        <v>23.294899999999998</v>
      </c>
      <c r="Z122" s="204">
        <f t="shared" si="54"/>
        <v>1.54E-2</v>
      </c>
      <c r="AA122" s="204">
        <f t="shared" si="62"/>
        <v>23.279499999999999</v>
      </c>
      <c r="AB122" s="54" t="str">
        <f>VLOOKUP(A122,Enforcements!$C$7:$K$11,8,0)</f>
        <v>Bulletin (2)</v>
      </c>
      <c r="AC122" s="51" t="str">
        <f>VLOOKUP(A122,Enforcements!$C$7:$E$11,3,0)</f>
        <v>GRADE CROSSING</v>
      </c>
      <c r="AD122" s="179">
        <f t="shared" si="63"/>
        <v>206</v>
      </c>
      <c r="AE122" s="77" t="str">
        <f t="shared" si="46"/>
        <v>aws s3 cp s3://rtdc.mdm.uploadarchive.raw/RTDC4027/ "%USERPROFILE%\AppData\Local\Temp\OnboardLogs"\RTDC4027\2017-10-05 --exclude "*" --recursive --include "*20171005*" &amp; "%USERPROFILE%\Documents\GitHub\mrs-test-scripts\Headless Mode &amp; Sideloading\WalkAndUnGZ.bat" "%USERPROFILE%\AppData\Local\Temp\OnboardLogs"\RTDC4027\2017-10-05 &amp; aws s3 cp s3://rtdc.mdm.uploadarchive.raw/RTDC4027/ "%USERPROFILE%\AppData\Local\Temp\OnboardLogs"\RTDC4027\2017-10-06 --exclude "*" --recursive --include "*20171006*" &amp; "%USERPROFILE%\Documents\GitHub\mrs-test-scripts\Headless Mode &amp; Sideloading\WalkAndUnGZ.bat" "%USERPROFILE%\AppData\Local\Temp\OnboardLogs"\RTDC4027\2017-10-06</v>
      </c>
      <c r="AF122" s="74" t="str">
        <f t="shared" si="47"/>
        <v>"C:\Program Files (x86)\AstroGrep\AstroGrep.exe" /e /r /s /spath="%USERPROFILE%\AppData\Local\Temp\OnboardLogs" /stypes="app*4027*20171006*" /stext=" 00:.+((SYSTEM_STATE.+slice.+state.+changed )|(ment ac)|(multiple cpu faults)|(system.+state.+changed )|(\[timeout)|(PRM\|1\|D)|(kpr)|(kdp)|(train st.+moving)|(\|lc)|(penalty))"</v>
      </c>
      <c r="AG122" s="182" t="str">
        <f t="shared" si="64"/>
        <v>EC</v>
      </c>
      <c r="AH122" s="78" t="str">
        <f t="shared" si="49"/>
        <v>"%USERPROFILE%\Documents\GitHub\eaglep3\Utilities\RefineRTDCRunTimes.py" --tripid 206-05 --locoid 4027 --swversion DE.1.0.9.0 --startMP 204:232949 --initTime 2017-10-05T17:35:53 --startdatetime 2017-10-05T17:42:17 --delay 58 --endMP 204:154 --enddatetime 2017-10-05T18:26:08 --enforcementcount 0 &gt;&gt;%USERPROFILE%\Documents\GitHub\eaglep3-reporting\EC\2017-10-05-refined-times.txt</v>
      </c>
      <c r="AI122" s="96" t="str">
        <f t="shared" si="50"/>
        <v>echo {"issue":{"subject":"","project_id":79,"tracker_id":40,"status_id":1,"priority_id":2,"assigned_to_id":338,"start_date":"2017-10-05","description":"","custom_fields":[{"id":1,"name":"Subdivision","value":"EC"},{"id":4,"name":"Milepost","value":"0.0154"},{"id":17,"name":"Train ID","value":"206-05"},{"id":16,"name":"Locomotive ID","value":"4027"},{"id":130,"name":"Impact","value":""},{"id":150,"name":"Time of Event (Mountain Time)","value":"18:26:08"},{"id":151,"name":"Denver Issue ID","value":""},{"id":178,"name":"Operational Impact","value":"Yes"},{"id":179,"name":"Denver Segment Assigned","value":""}]}} | curl --insecure -X POST -H "Content-Type: application/json" -H "X-Redmine-API-Key: %REDMINEAPIKEY%" https://secure.xorail.net/redmine/issues.json --data @-</v>
      </c>
      <c r="AK122" s="47"/>
      <c r="AL122" s="47"/>
      <c r="AM122" s="142" t="str">
        <f t="shared" si="51"/>
        <v>start /low /b %USERPROFILE%\Documents\GitHub\eaglep3\Utilities\DownloadLogsFromS3.py --loco 4027 --day 2017-10-05</v>
      </c>
      <c r="AN122" s="151" t="str">
        <f t="shared" si="52"/>
        <v>echo {"issue":{"subject":"","project_id":30,"tracker_id":4,"status_id":1,"priority_id":1,"assigned_to_id":10,"start_date":"2017-10-06","description":"","custom_fields":[{"id":30,"name":"Category","value":"Issue"},{"id":3,"name":"Functional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00:26:08"},{"id":29,"name":"Sharepoint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22" s="168" t="str">
        <f t="shared" si="53"/>
        <v>https://d0f6bd738d7f1b3e5a7ca70fe4ff75f0.us-east-1.aws.found.io/app/kibana#/discover/Steve-Slow-Train-Analysis-(2080s-and-2083s)?_g=(refreshInterval:(display:Off,pause:!f,section:0,value:0),time:(from:'2017-10-05T16:35:53-0600',mode:absolute,to:'2017-10-05T19:26:08-0600'))&amp;_a=(columns:!('Message%20ID',Summary),filters:!(),index:'emp_*',interval:auto,query:(query_string:(analyze_wildcard:!t,query:'%22rtdc.l.rtdc.4027%22')),sort:!(Time.ISO8601,asc))</v>
      </c>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row>
    <row r="123" spans="1:91" s="20" customFormat="1" x14ac:dyDescent="0.25">
      <c r="A123" s="32" t="s">
        <v>748</v>
      </c>
      <c r="B123" s="7">
        <v>4042</v>
      </c>
      <c r="C123" s="21" t="s">
        <v>194</v>
      </c>
      <c r="D123" s="21" t="s">
        <v>388</v>
      </c>
      <c r="E123" s="13">
        <v>43013.704363425924</v>
      </c>
      <c r="F123" s="13">
        <v>43013.708518518521</v>
      </c>
      <c r="G123" s="7">
        <v>89</v>
      </c>
      <c r="H123" s="21" t="s">
        <v>485</v>
      </c>
      <c r="I123" s="13">
        <v>43013.733067129629</v>
      </c>
      <c r="J123" s="7">
        <v>0</v>
      </c>
      <c r="K123" s="89" t="str">
        <f t="shared" si="57"/>
        <v>4041/4042</v>
      </c>
      <c r="L123" s="185" t="str">
        <f>VLOOKUP(A123,'Trips&amp;Operators'!$C$1:$G$99911,5,FALSE)</f>
        <v>LEVIN SCOTT</v>
      </c>
      <c r="M123" s="6">
        <f t="shared" si="58"/>
        <v>2.4548611108912155E-2</v>
      </c>
      <c r="N123" s="7">
        <f>24*60*SUM($M123:$M123)</f>
        <v>35.349999996833503</v>
      </c>
      <c r="O123" s="7"/>
      <c r="P123" s="7"/>
      <c r="Q123" s="22"/>
      <c r="R123" s="174"/>
      <c r="S123" s="221">
        <f>1/IF(AG123="EC",12,1)*SUM(U123:U123)</f>
        <v>1</v>
      </c>
      <c r="T123" s="174" t="str">
        <f t="shared" si="59"/>
        <v>NorthBound</v>
      </c>
      <c r="U123" s="198">
        <f>IF(AG123="EC",COUNTIFS(Variables!$M$2:$M$19,IF(T123="NorthBound","&gt;=","&lt;=")&amp;Y123,Variables!$M$2:$M$19,IF(T123="NorthBound","&lt;=","&gt;=")&amp;Z123),COUNTIFS(Variables!$P$2:$P$19,IF(T123="NorthBound","&gt;=","&lt;=")&amp;Y123,Variables!$P$2:$P$19,IF(T123="NorthBound","&lt;=","&gt;=")&amp;Z123))</f>
        <v>12</v>
      </c>
      <c r="V123" s="216" t="str">
        <f t="shared" si="40"/>
        <v>https://d0f6bd738d7f1b3e5a7ca70fe4ff75f0.us-east-1.aws.found.io/app/kibana#/discover/Steve-Slow-Train-Analysis-(2080s-and-2083s)?_g=(refreshInterval:(display:Off,pause:!f,section:0,value:0),time:(from:'2017-10-05T15:54:17-0600',mode:absolute,to:'2017-10-05T18:35:37-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4042%22')),sort:!(Time.ISO8601,asc))</v>
      </c>
      <c r="W123" s="204" t="str">
        <f>IF(AA123&lt;VLOOKUP(AG123,Variables!$AC$3:$AD$8,2,FALSE),"Y","N")</f>
        <v>N</v>
      </c>
      <c r="X123" s="204">
        <f t="shared" si="60"/>
        <v>1</v>
      </c>
      <c r="Y123" s="204">
        <f t="shared" si="61"/>
        <v>4.5699999999999998E-2</v>
      </c>
      <c r="Z123" s="204">
        <f t="shared" si="54"/>
        <v>23.331800000000001</v>
      </c>
      <c r="AA123" s="204">
        <f t="shared" si="62"/>
        <v>23.286100000000001</v>
      </c>
      <c r="AB123" s="54" t="e">
        <f>VLOOKUP(A123,Enforcements!$C$7:$K$11,8,0)</f>
        <v>#N/A</v>
      </c>
      <c r="AC123" s="51" t="e">
        <f>VLOOKUP(A123,Enforcements!$C$7:$E$11,3,0)</f>
        <v>#N/A</v>
      </c>
      <c r="AD123" s="179">
        <f t="shared" si="63"/>
        <v>207</v>
      </c>
      <c r="AE123" s="77" t="str">
        <f t="shared" si="46"/>
        <v>aws s3 cp s3://rtdc.mdm.uploadarchive.raw/RTDC4042/ "%USERPROFILE%\AppData\Local\Temp\OnboardLogs"\RTDC4042\2017-10-05 --exclude "*" --recursive --include "*20171005*" &amp; "%USERPROFILE%\Documents\GitHub\mrs-test-scripts\Headless Mode &amp; Sideloading\WalkAndUnGZ.bat" "%USERPROFILE%\AppData\Local\Temp\OnboardLogs"\RTDC4042\2017-10-05 &amp; aws s3 cp s3://rtdc.mdm.uploadarchive.raw/RTDC4042/ "%USERPROFILE%\AppData\Local\Temp\OnboardLogs"\RTDC4042\2017-10-06 --exclude "*" --recursive --include "*20171006*" &amp; "%USERPROFILE%\Documents\GitHub\mrs-test-scripts\Headless Mode &amp; Sideloading\WalkAndUnGZ.bat" "%USERPROFILE%\AppData\Local\Temp\OnboardLogs"\RTDC4042\2017-10-06</v>
      </c>
      <c r="AF123" s="74" t="str">
        <f t="shared" si="47"/>
        <v>"C:\Program Files (x86)\AstroGrep\AstroGrep.exe" /e /r /s /spath="%USERPROFILE%\AppData\Local\Temp\OnboardLogs" /stypes="app*4042*20171005*" /stext=" 23:.+((SYSTEM_STATE.+slice.+state.+changed )|(ment ac)|(multiple cpu faults)|(system.+state.+changed )|(\[timeout)|(PRM\|1\|D)|(kpr)|(kdp)|(train st.+moving)|(\|lc)|(penalty))"</v>
      </c>
      <c r="AG123" s="182" t="str">
        <f t="shared" si="64"/>
        <v>EC</v>
      </c>
      <c r="AH123" s="78" t="str">
        <f t="shared" si="49"/>
        <v>"%USERPROFILE%\Documents\GitHub\eaglep3\Utilities\RefineRTDCRunTimes.py" --tripid 207-05 --locoid 4042 --swversion DE.1.0.9.0 --startMP 204:457 --initTime 2017-10-05T16:54:17 --startdatetime 2017-10-05T17:00:16 --delay 89 --endMP 204:233318 --enddatetime 2017-10-05T17:35:37 --enforcementcount 0 &gt;&gt;%USERPROFILE%\Documents\GitHub\eaglep3-reporting\EC\2017-10-05-refined-times.txt</v>
      </c>
      <c r="AI123" s="96" t="str">
        <f t="shared" si="50"/>
        <v>echo {"issue":{"subject":"","project_id":79,"tracker_id":40,"status_id":1,"priority_id":2,"assigned_to_id":338,"start_date":"2017-10-05","description":"","custom_fields":[{"id":1,"name":"Subdivision","value":"EC"},{"id":4,"name":"Milepost","value":"23.3318"},{"id":17,"name":"Train ID","value":"207-05"},{"id":16,"name":"Locomotive ID","value":"4042"},{"id":130,"name":"Impact","value":""},{"id":150,"name":"Time of Event (Mountain Time)","value":"17:35:37"},{"id":151,"name":"Denver Issue ID","value":""},{"id":178,"name":"Operational Impact","value":"Yes"},{"id":179,"name":"Denver Segment Assigned","value":""}]}} | curl --insecure -X POST -H "Content-Type: application/json" -H "X-Redmine-API-Key: %REDMINEAPIKEY%" https://secure.xorail.net/redmine/issues.json --data @-</v>
      </c>
      <c r="AK123" s="47"/>
      <c r="AL123" s="47"/>
      <c r="AM123" s="142" t="str">
        <f t="shared" si="51"/>
        <v>start /low /b %USERPROFILE%\Documents\GitHub\eaglep3\Utilities\DownloadLogsFromS3.py --loco 4042 --day 2017-10-05</v>
      </c>
      <c r="AN123" s="151" t="str">
        <f t="shared" si="52"/>
        <v>echo {"issue":{"subject":"","project_id":30,"tracker_id":4,"status_id":1,"priority_id":1,"assigned_to_id":10,"start_date":"2017-10-05","description":"","custom_fields":[{"id":30,"name":"Category","value":"Issue"},{"id":3,"name":"Functional Component","value":"Onboard"},{"id":31,"name":"Version","value":"N/A"},{"id":8,"name":"Reporting RR","value":"WABTEC"},{"id":27,"name":"Locomotive ID","value":"4042"},{"id":20,"name":"RR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23:35:37"},{"id":29,"name":"Sharepoint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23" s="168" t="str">
        <f t="shared" si="53"/>
        <v>https://d0f6bd738d7f1b3e5a7ca70fe4ff75f0.us-east-1.aws.found.io/app/kibana#/discover/Steve-Slow-Train-Analysis-(2080s-and-2083s)?_g=(refreshInterval:(display:Off,pause:!f,section:0,value:0),time:(from:'2017-10-05T15:54:17-0600',mode:absolute,to:'2017-10-05T18:35:37-0600'))&amp;_a=(columns:!('Message%20ID',Summary),filters:!(),index:'emp_*',interval:auto,query:(query_string:(analyze_wildcard:!t,query:'%22rtdc.l.rtdc.4042%22')),sort:!(Time.ISO8601,asc))</v>
      </c>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row>
    <row r="124" spans="1:91" s="20" customFormat="1" x14ac:dyDescent="0.25">
      <c r="A124" s="32" t="s">
        <v>758</v>
      </c>
      <c r="B124" s="7">
        <v>4041</v>
      </c>
      <c r="C124" s="21" t="s">
        <v>194</v>
      </c>
      <c r="D124" s="21" t="s">
        <v>423</v>
      </c>
      <c r="E124" s="13">
        <v>43013.738078703704</v>
      </c>
      <c r="F124" s="13">
        <v>43013.748206018521</v>
      </c>
      <c r="G124" s="7">
        <v>141</v>
      </c>
      <c r="H124" s="21" t="s">
        <v>336</v>
      </c>
      <c r="I124" s="13">
        <v>43013.774699074071</v>
      </c>
      <c r="J124" s="7">
        <v>0</v>
      </c>
      <c r="K124" s="89" t="str">
        <f t="shared" si="57"/>
        <v>4041/4042</v>
      </c>
      <c r="L124" s="185" t="str">
        <f>VLOOKUP(A124,'Trips&amp;Operators'!$C$1:$G$99911,5,FALSE)</f>
        <v>LEVIN SCOTT</v>
      </c>
      <c r="M124" s="6">
        <f t="shared" si="58"/>
        <v>2.6493055549508426E-2</v>
      </c>
      <c r="N124" s="7">
        <f>24*60*SUM($M124:$M124)</f>
        <v>38.149999991292134</v>
      </c>
      <c r="O124" s="7"/>
      <c r="P124" s="7"/>
      <c r="Q124" s="22"/>
      <c r="R124" s="174"/>
      <c r="S124" s="221">
        <f>1/IF(AG124="EC",12,1)*SUM(U124:U124)</f>
        <v>1</v>
      </c>
      <c r="T124" s="174" t="str">
        <f t="shared" si="59"/>
        <v>Southbound</v>
      </c>
      <c r="U124" s="198">
        <f>IF(AG124="EC",COUNTIFS(Variables!$M$2:$M$19,IF(T124="NorthBound","&gt;=","&lt;=")&amp;Y124,Variables!$M$2:$M$19,IF(T124="NorthBound","&lt;=","&gt;=")&amp;Z124),COUNTIFS(Variables!$P$2:$P$19,IF(T124="NorthBound","&gt;=","&lt;=")&amp;Y124,Variables!$P$2:$P$19,IF(T124="NorthBound","&lt;=","&gt;=")&amp;Z124))</f>
        <v>12</v>
      </c>
      <c r="V124" s="216" t="str">
        <f t="shared" si="40"/>
        <v>https://d0f6bd738d7f1b3e5a7ca70fe4ff75f0.us-east-1.aws.found.io/app/kibana#/discover/Steve-Slow-Train-Analysis-(2080s-and-2083s)?_g=(refreshInterval:(display:Off,pause:!f,section:0,value:0),time:(from:'2017-10-05T16:42:50-0600',mode:absolute,to:'2017-10-05T19:35:34-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4041%22')),sort:!(Time.ISO8601,asc))</v>
      </c>
      <c r="W124" s="204" t="str">
        <f>IF(AA124&lt;VLOOKUP(AG124,Variables!$AC$3:$AD$8,2,FALSE),"Y","N")</f>
        <v>N</v>
      </c>
      <c r="X124" s="204">
        <f t="shared" si="60"/>
        <v>1</v>
      </c>
      <c r="Y124" s="204">
        <f t="shared" si="61"/>
        <v>23.300899999999999</v>
      </c>
      <c r="Z124" s="204">
        <f t="shared" si="54"/>
        <v>1.49E-2</v>
      </c>
      <c r="AA124" s="204">
        <f t="shared" si="62"/>
        <v>23.285999999999998</v>
      </c>
      <c r="AB124" s="54" t="e">
        <f>VLOOKUP(A124,Enforcements!$C$7:$K$11,8,0)</f>
        <v>#N/A</v>
      </c>
      <c r="AC124" s="51" t="e">
        <f>VLOOKUP(A124,Enforcements!$C$7:$E$11,3,0)</f>
        <v>#N/A</v>
      </c>
      <c r="AD124" s="179">
        <f t="shared" si="63"/>
        <v>208</v>
      </c>
      <c r="AE124" s="77" t="str">
        <f t="shared" si="46"/>
        <v>aws s3 cp s3://rtdc.mdm.uploadarchive.raw/RTDC4041/ "%USERPROFILE%\AppData\Local\Temp\OnboardLogs"\RTDC4041\2017-10-05 --exclude "*" --recursive --include "*20171005*" &amp; "%USERPROFILE%\Documents\GitHub\mrs-test-scripts\Headless Mode &amp; Sideloading\WalkAndUnGZ.bat" "%USERPROFILE%\AppData\Local\Temp\OnboardLogs"\RTDC4041\2017-10-05 &amp; aws s3 cp s3://rtdc.mdm.uploadarchive.raw/RTDC4041/ "%USERPROFILE%\AppData\Local\Temp\OnboardLogs"\RTDC4041\2017-10-06 --exclude "*" --recursive --include "*20171006*" &amp; "%USERPROFILE%\Documents\GitHub\mrs-test-scripts\Headless Mode &amp; Sideloading\WalkAndUnGZ.bat" "%USERPROFILE%\AppData\Local\Temp\OnboardLogs"\RTDC4041\2017-10-06</v>
      </c>
      <c r="AF124" s="74" t="str">
        <f t="shared" si="47"/>
        <v>"C:\Program Files (x86)\AstroGrep\AstroGrep.exe" /e /r /s /spath="%USERPROFILE%\AppData\Local\Temp\OnboardLogs" /stypes="app*4041*20171006*" /stext=" 00:.+((SYSTEM_STATE.+slice.+state.+changed )|(ment ac)|(multiple cpu faults)|(system.+state.+changed )|(\[timeout)|(PRM\|1\|D)|(kpr)|(kdp)|(train st.+moving)|(\|lc)|(penalty))"</v>
      </c>
      <c r="AG124" s="182" t="str">
        <f t="shared" si="64"/>
        <v>EC</v>
      </c>
      <c r="AH124" s="78" t="str">
        <f t="shared" si="49"/>
        <v>"%USERPROFILE%\Documents\GitHub\eaglep3\Utilities\RefineRTDCRunTimes.py" --tripid 208-05 --locoid 4041 --swversion DE.1.0.9.0 --startMP 204:233009 --initTime 2017-10-05T17:42:50 --startdatetime 2017-10-05T17:57:25 --delay 141 --endMP 204:149 --enddatetime 2017-10-05T18:35:34 --enforcementcount 0 &gt;&gt;%USERPROFILE%\Documents\GitHub\eaglep3-reporting\EC\2017-10-05-refined-times.txt</v>
      </c>
      <c r="AI124" s="96" t="str">
        <f t="shared" si="50"/>
        <v>echo {"issue":{"subject":"","project_id":79,"tracker_id":40,"status_id":1,"priority_id":2,"assigned_to_id":338,"start_date":"2017-10-05","description":"","custom_fields":[{"id":1,"name":"Subdivision","value":"EC"},{"id":4,"name":"Milepost","value":"0.0149"},{"id":17,"name":"Train ID","value":"208-05"},{"id":16,"name":"Locomotive ID","value":"4041"},{"id":130,"name":"Impact","value":""},{"id":150,"name":"Time of Event (Mountain Time)","value":"18:35:34"},{"id":151,"name":"Denver Issue ID","value":""},{"id":178,"name":"Operational Impact","value":"Yes"},{"id":179,"name":"Denver Segment Assigned","value":""}]}} | curl --insecure -X POST -H "Content-Type: application/json" -H "X-Redmine-API-Key: %REDMINEAPIKEY%" https://secure.xorail.net/redmine/issues.json --data @-</v>
      </c>
      <c r="AK124" s="47"/>
      <c r="AL124" s="47"/>
      <c r="AM124" s="142" t="str">
        <f t="shared" si="51"/>
        <v>start /low /b %USERPROFILE%\Documents\GitHub\eaglep3\Utilities\DownloadLogsFromS3.py --loco 4041 --day 2017-10-05</v>
      </c>
      <c r="AN124" s="151" t="str">
        <f t="shared" si="52"/>
        <v>echo {"issue":{"subject":"","project_id":30,"tracker_id":4,"status_id":1,"priority_id":1,"assigned_to_id":10,"start_date":"2017-10-06","description":"","custom_fields":[{"id":30,"name":"Category","value":"Issue"},{"id":3,"name":"Functional Component","value":"Onboard"},{"id":31,"name":"Version","value":"N/A"},{"id":8,"name":"Reporting RR","value":"WABTEC"},{"id":27,"name":"Locomotive ID","value":"4041"},{"id":20,"name":"RR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00:35:34"},{"id":29,"name":"Sharepoint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24" s="168" t="str">
        <f t="shared" si="53"/>
        <v>https://d0f6bd738d7f1b3e5a7ca70fe4ff75f0.us-east-1.aws.found.io/app/kibana#/discover/Steve-Slow-Train-Analysis-(2080s-and-2083s)?_g=(refreshInterval:(display:Off,pause:!f,section:0,value:0),time:(from:'2017-10-05T16:42:50-0600',mode:absolute,to:'2017-10-05T19:35:34-0600'))&amp;_a=(columns:!('Message%20ID',Summary),filters:!(),index:'emp_*',interval:auto,query:(query_string:(analyze_wildcard:!t,query:'%22rtdc.l.rtdc.4041%22')),sort:!(Time.ISO8601,asc))</v>
      </c>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row>
    <row r="125" spans="1:91" s="20" customFormat="1" x14ac:dyDescent="0.25">
      <c r="A125" s="32" t="s">
        <v>750</v>
      </c>
      <c r="B125" s="7">
        <v>4056</v>
      </c>
      <c r="C125" s="21" t="s">
        <v>194</v>
      </c>
      <c r="D125" s="21" t="s">
        <v>423</v>
      </c>
      <c r="E125" s="13">
        <v>43013.738078703704</v>
      </c>
      <c r="F125" s="13">
        <v>43013.719074074077</v>
      </c>
      <c r="G125" s="7">
        <v>141</v>
      </c>
      <c r="H125" s="21" t="s">
        <v>336</v>
      </c>
      <c r="I125" s="13">
        <v>43013.743796296294</v>
      </c>
      <c r="J125" s="7">
        <v>0</v>
      </c>
      <c r="K125" s="89" t="str">
        <f t="shared" ref="K125:K126" si="66">IF(ISEVEN(B125),(B125-1)&amp;"/"&amp;B125,B125&amp;"/"&amp;(B125+1))</f>
        <v>4055/4056</v>
      </c>
      <c r="L125" s="185" t="str">
        <f>VLOOKUP(A125,'Trips&amp;Operators'!$C$1:$G$99911,5,FALSE)</f>
        <v>DELGADO DIANAH</v>
      </c>
      <c r="M125" s="6">
        <f t="shared" ref="M125:M126" si="67">I125-F125</f>
        <v>2.4722222216951195E-2</v>
      </c>
      <c r="N125" s="7">
        <f t="shared" ref="N125:N126" si="68">24*60*SUM($M125:$M125)</f>
        <v>35.599999992409721</v>
      </c>
      <c r="O125" s="7"/>
      <c r="P125" s="7"/>
      <c r="Q125" s="22"/>
      <c r="R125" s="174"/>
      <c r="S125" s="221">
        <f t="shared" ref="S125:S126" si="69">1/IF(AG125="EC",12,1)*SUM(U125:U125)</f>
        <v>1</v>
      </c>
      <c r="T125" s="174" t="str">
        <f t="shared" ref="T125:T126" si="70">IF(ISEVEN(LEFT(AD125,4)),"Southbound","NorthBound")</f>
        <v>NorthBound</v>
      </c>
      <c r="U125" s="198">
        <f>IF(AG125="EC",COUNTIFS(Variables!$M$2:$M$19,IF(T125="NorthBound","&gt;=","&lt;=")&amp;Y125,Variables!$M$2:$M$19,IF(T125="NorthBound","&lt;=","&gt;=")&amp;Z125),COUNTIFS(Variables!$P$2:$P$19,IF(T125="NorthBound","&gt;=","&lt;=")&amp;Y125,Variables!$P$2:$P$19,IF(T125="NorthBound","&lt;=","&gt;=")&amp;Z125))</f>
        <v>12</v>
      </c>
      <c r="V125" s="216" t="str">
        <f t="shared" si="40"/>
        <v>https://d0f6bd738d7f1b3e5a7ca70fe4ff75f0.us-east-1.aws.found.io/app/kibana#/discover/Steve-Slow-Train-Analysis-(2080s-and-2083s)?_g=(refreshInterval:(display:Off,pause:!f,section:0,value:0),time:(from:'2017-10-05T16:42:50-0600',mode:absolute,to:'2017-10-05T18:51:04-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4056%22')),sort:!(Time.ISO8601,asc))</v>
      </c>
      <c r="W125" s="204" t="str">
        <f>IF(AA125&lt;VLOOKUP(AG125,Variables!$AC$3:$AD$8,2,FALSE),"Y","N")</f>
        <v>N</v>
      </c>
      <c r="X125" s="204">
        <f t="shared" ref="X125:X127" si="71">VALUE(LEFT(AD125,4))-VALUE(LEFT(AD124,4))</f>
        <v>1</v>
      </c>
      <c r="Y125" s="204">
        <v>4.5699999999999998E-2</v>
      </c>
      <c r="Z125" s="204">
        <v>23.331800000000001</v>
      </c>
      <c r="AA125" s="204">
        <f t="shared" ref="AA125:AA126" si="72">ABS(Z125-Y125)</f>
        <v>23.286100000000001</v>
      </c>
      <c r="AB125" s="54" t="e">
        <f>VLOOKUP(A125,Enforcements!$C$7:$K$11,8,0)</f>
        <v>#N/A</v>
      </c>
      <c r="AC125" s="51" t="e">
        <f>VLOOKUP(A125,Enforcements!$C$7:$E$11,3,0)</f>
        <v>#N/A</v>
      </c>
      <c r="AD125" s="179">
        <f t="shared" ref="AD125:AD126" si="73">VALUE(LEFT(A125,LEN(A125)-3))</f>
        <v>209</v>
      </c>
      <c r="AE125" s="77" t="str">
        <f t="shared" si="46"/>
        <v>aws s3 cp s3://rtdc.mdm.uploadarchive.raw/RTDC4056/ "%USERPROFILE%\AppData\Local\Temp\OnboardLogs"\RTDC4056\2017-10-05 --exclude "*" --recursive --include "*20171005*" &amp; "%USERPROFILE%\Documents\GitHub\mrs-test-scripts\Headless Mode &amp; Sideloading\WalkAndUnGZ.bat" "%USERPROFILE%\AppData\Local\Temp\OnboardLogs"\RTDC4056\2017-10-05 &amp; aws s3 cp s3://rtdc.mdm.uploadarchive.raw/RTDC4056/ "%USERPROFILE%\AppData\Local\Temp\OnboardLogs"\RTDC4056\2017-10-06 --exclude "*" --recursive --include "*20171006*" &amp; "%USERPROFILE%\Documents\GitHub\mrs-test-scripts\Headless Mode &amp; Sideloading\WalkAndUnGZ.bat" "%USERPROFILE%\AppData\Local\Temp\OnboardLogs"\RTDC4056\2017-10-06</v>
      </c>
      <c r="AF125" s="74" t="str">
        <f t="shared" si="47"/>
        <v>"C:\Program Files (x86)\AstroGrep\AstroGrep.exe" /e /r /s /spath="%USERPROFILE%\AppData\Local\Temp\OnboardLogs" /stypes="app*4056*20171005*" /stext=" 23:.+((SYSTEM_STATE.+slice.+state.+changed )|(ment ac)|(multiple cpu faults)|(system.+state.+changed )|(\[timeout)|(PRM\|1\|D)|(kpr)|(kdp)|(train st.+moving)|(\|lc)|(penalty))"</v>
      </c>
      <c r="AG125" s="182" t="str">
        <f t="shared" ref="AG125:AG126" si="74">DetSubdiv(A125)</f>
        <v>EC</v>
      </c>
      <c r="AH125" s="78" t="str">
        <f t="shared" ref="AH125:AH126" si="75">refinertdcruntimes&amp;" --tripid "&amp;A125&amp;" --locoid "&amp;B125&amp;" --swversion "&amp;C125&amp;" --startMP "&amp;D125&amp;" --initTime "&amp;TEXT(E125,"yyyy-mm-ddTHH:MM:SS")&amp;" --startdatetime "&amp;TEXT(F125,"yyyy-mm-ddTHH:MM:SS")&amp;" --delay "&amp;G125&amp;" --endMP "&amp;H125&amp;" --enddatetime "&amp;TEXT(I125,"yyyy-mm-ddTHH:MM:SS")&amp;" --enforcementcount "&amp;J125&amp;IF(outputrefinedruntimes," &gt;&gt;"&amp;RefinedRTDCRunTimesOutputFile,"")</f>
        <v>"%USERPROFILE%\Documents\GitHub\eaglep3\Utilities\RefineRTDCRunTimes.py" --tripid 209-05 --locoid 4056 --swversion DE.1.0.9.0 --startMP 204:233009 --initTime 2017-10-05T17:42:50 --startdatetime 2017-10-05T17:15:28 --delay 141 --endMP 204:149 --enddatetime 2017-10-05T17:51:04 --enforcementcount 0 &gt;&gt;%USERPROFILE%\Documents\GitHub\eaglep3-reporting\EC\2017-10-05-refined-times.txt</v>
      </c>
      <c r="AI125" s="96" t="str">
        <f t="shared" ref="AI125:AI126" si="76">"echo {""issue"":{""subject"":"""&amp;R125&amp;""",""project_id"":79,""tracker_id"":40,""status_id"":"&amp;redmine_status&amp;",""priority_id"":"&amp;redmine_priority&amp;",""assigned_to_id"":"&amp;redmine_assignee&amp;",""start_date"":"""&amp;TEXT(I125,"YYYY-mm-dd")&amp;""",""description"":"""&amp;AJ125&amp;""",""custom_fields"":[{""id"":1,""name"":""Subdivision"",""value"":"""&amp;AG125&amp;"""},{""id"":4,""name"":""Milepost"",""value"":"""&amp;Z125&amp;"""},{""id"":17,""name"":""Train ID"",""value"":"""&amp;A125&amp;"""},{""id"":16,""name"":""Locomotive ID"",""value"":"""&amp;B125&amp;"""},{""id"":130,""name"":""Impact"",""value"":"""&amp;AK125&amp;"""},{""id"":150,""name"":""Time of Event (Mountain Time)"",""value"":"""&amp;TEXT(I125,"hh:mm:ss")&amp;"""},{""id"":151,""name"":""Denver Issue ID"",""value"":"""&amp;"""},{""id"":178,""name"":""Operational Impact"",""value"":"""&amp;redmine_op_impact&amp;"""},{""id"":179,""name"":""Denver Segment Assigned"",""value"":"""&amp;AL125&amp;"""}]}}"&amp;" | curl --insecure -X POST -H ""Content-Type: application/json"" -H ""X-Redmine-API-Key: "&amp;redm_api_key&amp;""" "&amp;redm_url&amp;" --data @-"</f>
        <v>echo {"issue":{"subject":"","project_id":79,"tracker_id":40,"status_id":1,"priority_id":2,"assigned_to_id":338,"start_date":"2017-10-05","description":"","custom_fields":[{"id":1,"name":"Subdivision","value":"EC"},{"id":4,"name":"Milepost","value":"23.3318"},{"id":17,"name":"Train ID","value":"209-05"},{"id":16,"name":"Locomotive ID","value":"4056"},{"id":130,"name":"Impact","value":""},{"id":150,"name":"Time of Event (Mountain Time)","value":"17:51:04"},{"id":151,"name":"Denver Issue ID","value":""},{"id":178,"name":"Operational Impact","value":"Yes"},{"id":179,"name":"Denver Segment Assigned","value":""}]}} | curl --insecure -X POST -H "Content-Type: application/json" -H "X-Redmine-API-Key: %REDMINEAPIKEY%" https://secure.xorail.net/redmine/issues.json --data @-</v>
      </c>
      <c r="AK125" s="47"/>
      <c r="AL125" s="47"/>
      <c r="AM125" s="142" t="str">
        <f t="shared" ref="AM125:AM126" si="77">"start /low /b "&amp;dls3logs&amp;" --loco "&amp;B125&amp;" --day "&amp;TEXT(F125,"YYYY-MM-DD")</f>
        <v>start /low /b %USERPROFILE%\Documents\GitHub\eaglep3\Utilities\DownloadLogsFromS3.py --loco 4056 --day 2017-10-05</v>
      </c>
      <c r="AN125" s="151" t="str">
        <f t="shared" ref="AN125:AN126" si="78">"echo {""issue"":{""subject"":"""&amp;R125&amp;""",""project_id"":30,""tracker_id"":4,""status_id"":"&amp;redmine_status_wcr&amp;",""priority_id"":"&amp;redmine_priority_wcr&amp;",""assigned_to_id"":"&amp;redmine_assignee_wcr&amp;",""start_date"":"""&amp;TEXT(I125-utc_offset/24,"YYYY-mm-dd")&amp;""",""description"":"""&amp;AJ125&amp;""",""custom_fields"":[{""id"":30,""name"":""Category"",""value"":""Issue""},{""id"":3,""name"":""Functional Component"",""value"":""Onboard""},{""id"":31,""name"":""Version"",""value"":""N/A""},{""id"":8,""name"":""Reporting RR"",""value"":""WABTEC""},{""id"":27,""name"":""Locomotive ID"",""value"":"""&amp;B125&amp;"""},{""id"":20,""name"":""RR Requested Build"",""value"":""""},{""id"":1,""name"":""Build Request Notes"",""value"":"""&amp;"""},{""id"":9,""name"":""RR Assessed Issue Severity"",""value"":""4-Minor""},{""id"":10,""name"":""RR Severity Justification"",""value"":""test RR Severity Justification""}"&amp;",{""id"":11,""name"":""Wabtec Assessed Severity"",""value"":""""}"&amp;",{""id"":12,""name"":""Wabtec Severity Justification"",""value"":""""}"&amp;",{""id"":18,""name"":""RR Assessed Safety Criticality"",""value"":""Not Safety Related""}"&amp;",{""id"":19,""name"":""RR Criticality Justification"",""value"":""test RR Criticality Justification""}"&amp;",{""id"":22,""name"":""WRE Assessed Safety Critical"",""value"":""""}"&amp;",{""id"":23,""name"":""WRE Criticality Justification"",""value"":""""}"&amp;",{""id"":24,""name"":""Customer's Tracking Number"",""value"":""""}"&amp;",{""id"":28,""name"":""Date \u0026 Time of event UTC"",""value"":"""&amp;TEXT(I125-utc_offset/24,"YYYY-MM-DD hh:mm:ss")&amp;"""}"&amp;",{""id"":29,""name"":""Sharepoint Issue ID"",""value"":""""}"&amp;",{""id"":25,""name"":""Customer's Email Address"",""value"":""stu@wabtec.com""}"&amp;",{""id"":33,""name"":""Customer Call Back Number"",""value"":""904-316-8563""}"&amp;",{""id"":34,""name"":""Customer Name"",""value"":""Steve Tu""}"&amp;",{""id"":55,""name"":""WRE CR#"",""value"":""""}"&amp;",{""id"":57,""name"":""Reclassify Severity"",""value"":""""}"&amp;",{""id"":58,""name"":""Reclassify Safety"",""value"":""""}"&amp;",{""id"":59,""name"":""Environment "",""value"":""Production""}"&amp;"]}}"&amp;" | curl --insecure -X POST -H ""Content-Type: application/json"" -H ""X-Redmine-API-Key: "&amp;redmine_api_wcr&amp;""" "&amp;redmine_url_wcr&amp;" --data @-"</f>
        <v>echo {"issue":{"subject":"","project_id":30,"tracker_id":4,"status_id":1,"priority_id":1,"assigned_to_id":10,"start_date":"2017-10-05","description":"","custom_fields":[{"id":30,"name":"Category","value":"Issue"},{"id":3,"name":"Functional Component","value":"Onboard"},{"id":31,"name":"Version","value":"N/A"},{"id":8,"name":"Reporting RR","value":"WABTEC"},{"id":27,"name":"Locomotive ID","value":"4056"},{"id":20,"name":"RR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23:51:04"},{"id":29,"name":"Sharepoint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25" s="168" t="str">
        <f t="shared" ref="AO125:AO126" si="79">"https://d0f6bd738d7f1b3e5a7ca70fe4ff75f0.us-east-1.aws.found.io/app/kibana#/discover/Steve-Slow-Train-Analysis-(2080s-and-2083s)?_g="&amp;"(refreshInterval:(display:Off,pause:!f,section:0,value:0),time:(from:'"&amp;TEXT(E125-1/24,"yyyy-MM-DDThh:mm:ss")&amp;utc_offset&amp;"00"&amp;"',mode:absolute,to:'"&amp;TEXT(I125+1/24,"yyyy-MM-DDThh:mm:ss")&amp;utc_offset&amp;"00"&amp;"'))&amp;_a=(columns:!('Message%20ID',Summary),filters:!(),index:'emp_*',interval:auto,query:"&amp;"(query_string:(analyze_wildcard:!t,query:'%22rtdc.l.rtdc."&amp;B125&amp;"%22')),sort:!(Time.ISO8601,asc))"</f>
        <v>https://d0f6bd738d7f1b3e5a7ca70fe4ff75f0.us-east-1.aws.found.io/app/kibana#/discover/Steve-Slow-Train-Analysis-(2080s-and-2083s)?_g=(refreshInterval:(display:Off,pause:!f,section:0,value:0),time:(from:'2017-10-05T16:42:50-0600',mode:absolute,to:'2017-10-05T18:51:04-0600'))&amp;_a=(columns:!('Message%20ID',Summary),filters:!(),index:'emp_*',interval:auto,query:(query_string:(analyze_wildcard:!t,query:'%22rtdc.l.rtdc.4056%22')),sort:!(Time.ISO8601,asc))</v>
      </c>
    </row>
    <row r="126" spans="1:91" s="20" customFormat="1" x14ac:dyDescent="0.25">
      <c r="A126" s="32" t="s">
        <v>615</v>
      </c>
      <c r="B126" s="7">
        <v>4055</v>
      </c>
      <c r="C126" s="21" t="s">
        <v>194</v>
      </c>
      <c r="D126" s="21" t="s">
        <v>423</v>
      </c>
      <c r="E126" s="13">
        <v>43013.738078703704</v>
      </c>
      <c r="F126" s="13">
        <v>43013.75854166667</v>
      </c>
      <c r="G126" s="7">
        <v>141</v>
      </c>
      <c r="H126" s="21" t="s">
        <v>336</v>
      </c>
      <c r="I126" s="13">
        <v>43013.784629629627</v>
      </c>
      <c r="J126" s="7">
        <v>0</v>
      </c>
      <c r="K126" s="89" t="str">
        <f t="shared" si="66"/>
        <v>4055/4056</v>
      </c>
      <c r="L126" s="185" t="str">
        <f>VLOOKUP(A126,'Trips&amp;Operators'!$C$1:$G$99911,5,FALSE)</f>
        <v>DELGADO DIANAH</v>
      </c>
      <c r="M126" s="6">
        <f t="shared" si="67"/>
        <v>2.6087962956808042E-2</v>
      </c>
      <c r="N126" s="7">
        <f t="shared" si="68"/>
        <v>37.56666665780358</v>
      </c>
      <c r="O126" s="7"/>
      <c r="P126" s="7"/>
      <c r="Q126" s="22"/>
      <c r="R126" s="174"/>
      <c r="S126" s="221">
        <f t="shared" si="69"/>
        <v>1</v>
      </c>
      <c r="T126" s="174" t="str">
        <f t="shared" si="70"/>
        <v>Southbound</v>
      </c>
      <c r="U126" s="198">
        <f>IF(AG126="EC",COUNTIFS(Variables!$M$2:$M$19,IF(T126="NorthBound","&gt;=","&lt;=")&amp;Y126,Variables!$M$2:$M$19,IF(T126="NorthBound","&lt;=","&gt;=")&amp;Z126),COUNTIFS(Variables!$P$2:$P$19,IF(T126="NorthBound","&gt;=","&lt;=")&amp;Y126,Variables!$P$2:$P$19,IF(T126="NorthBound","&lt;=","&gt;=")&amp;Z126))</f>
        <v>12</v>
      </c>
      <c r="V126" s="216" t="str">
        <f t="shared" si="40"/>
        <v>https://d0f6bd738d7f1b3e5a7ca70fe4ff75f0.us-east-1.aws.found.io/app/kibana#/discover/Steve-Slow-Train-Analysis-(2080s-and-2083s)?_g=(refreshInterval:(display:Off,pause:!f,section:0,value:0),time:(from:'2017-10-05T16:42:50-0600',mode:absolute,to:'2017-10-05T19:49:52-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4055%22')),sort:!(Time.ISO8601,asc))</v>
      </c>
      <c r="W126" s="204" t="str">
        <f>IF(AA126&lt;VLOOKUP(AG126,Variables!$AC$3:$AD$8,2,FALSE),"Y","N")</f>
        <v>N</v>
      </c>
      <c r="X126" s="204">
        <f t="shared" si="71"/>
        <v>1</v>
      </c>
      <c r="Y126" s="204">
        <f t="shared" ref="Y126" si="80">RIGHT(D126,LEN(D126)-4)/10000</f>
        <v>23.300899999999999</v>
      </c>
      <c r="Z126" s="204">
        <f t="shared" ref="Z126" si="81">RIGHT(H126,LEN(H126)-4)/10000</f>
        <v>1.49E-2</v>
      </c>
      <c r="AA126" s="204">
        <f t="shared" si="72"/>
        <v>23.285999999999998</v>
      </c>
      <c r="AB126" s="54" t="e">
        <f>VLOOKUP(A126,Enforcements!$C$7:$K$11,8,0)</f>
        <v>#N/A</v>
      </c>
      <c r="AC126" s="51" t="e">
        <f>VLOOKUP(A126,Enforcements!$C$7:$E$11,3,0)</f>
        <v>#N/A</v>
      </c>
      <c r="AD126" s="179">
        <f t="shared" si="73"/>
        <v>210</v>
      </c>
      <c r="AE126" s="77" t="str">
        <f t="shared" si="46"/>
        <v>aws s3 cp s3://rtdc.mdm.uploadarchive.raw/RTDC4055/ "%USERPROFILE%\AppData\Local\Temp\OnboardLogs"\RTDC4055\2017-10-05 --exclude "*" --recursive --include "*20171005*" &amp; "%USERPROFILE%\Documents\GitHub\mrs-test-scripts\Headless Mode &amp; Sideloading\WalkAndUnGZ.bat" "%USERPROFILE%\AppData\Local\Temp\OnboardLogs"\RTDC4055\2017-10-05 &amp; aws s3 cp s3://rtdc.mdm.uploadarchive.raw/RTDC4055/ "%USERPROFILE%\AppData\Local\Temp\OnboardLogs"\RTDC4055\2017-10-06 --exclude "*" --recursive --include "*20171006*" &amp; "%USERPROFILE%\Documents\GitHub\mrs-test-scripts\Headless Mode &amp; Sideloading\WalkAndUnGZ.bat" "%USERPROFILE%\AppData\Local\Temp\OnboardLogs"\RTDC4055\2017-10-06</v>
      </c>
      <c r="AF126" s="74" t="str">
        <f t="shared" si="47"/>
        <v>"C:\Program Files (x86)\AstroGrep\AstroGrep.exe" /e /r /s /spath="%USERPROFILE%\AppData\Local\Temp\OnboardLogs" /stypes="app*4055*20171006*" /stext=" 00:.+((SYSTEM_STATE.+slice.+state.+changed )|(ment ac)|(multiple cpu faults)|(system.+state.+changed )|(\[timeout)|(PRM\|1\|D)|(kpr)|(kdp)|(train st.+moving)|(\|lc)|(penalty))"</v>
      </c>
      <c r="AG126" s="182" t="str">
        <f t="shared" si="74"/>
        <v>EC</v>
      </c>
      <c r="AH126" s="78" t="str">
        <f t="shared" si="75"/>
        <v>"%USERPROFILE%\Documents\GitHub\eaglep3\Utilities\RefineRTDCRunTimes.py" --tripid 210-05 --locoid 4055 --swversion DE.1.0.9.0 --startMP 204:233009 --initTime 2017-10-05T17:42:50 --startdatetime 2017-10-05T18:12:18 --delay 141 --endMP 204:149 --enddatetime 2017-10-05T18:49:52 --enforcementcount 0 &gt;&gt;%USERPROFILE%\Documents\GitHub\eaglep3-reporting\EC\2017-10-05-refined-times.txt</v>
      </c>
      <c r="AI126" s="96" t="str">
        <f t="shared" si="76"/>
        <v>echo {"issue":{"subject":"","project_id":79,"tracker_id":40,"status_id":1,"priority_id":2,"assigned_to_id":338,"start_date":"2017-10-05","description":"","custom_fields":[{"id":1,"name":"Subdivision","value":"EC"},{"id":4,"name":"Milepost","value":"0.0149"},{"id":17,"name":"Train ID","value":"210-05"},{"id":16,"name":"Locomotive ID","value":"4055"},{"id":130,"name":"Impact","value":""},{"id":150,"name":"Time of Event (Mountain Time)","value":"18:49:52"},{"id":151,"name":"Denver Issue ID","value":""},{"id":178,"name":"Operational Impact","value":"Yes"},{"id":179,"name":"Denver Segment Assigned","value":""}]}} | curl --insecure -X POST -H "Content-Type: application/json" -H "X-Redmine-API-Key: %REDMINEAPIKEY%" https://secure.xorail.net/redmine/issues.json --data @-</v>
      </c>
      <c r="AK126" s="47"/>
      <c r="AL126" s="47"/>
      <c r="AM126" s="142" t="str">
        <f t="shared" si="77"/>
        <v>start /low /b %USERPROFILE%\Documents\GitHub\eaglep3\Utilities\DownloadLogsFromS3.py --loco 4055 --day 2017-10-05</v>
      </c>
      <c r="AN126" s="151" t="str">
        <f t="shared" si="78"/>
        <v>echo {"issue":{"subject":"","project_id":30,"tracker_id":4,"status_id":1,"priority_id":1,"assigned_to_id":10,"start_date":"2017-10-06","description":"","custom_fields":[{"id":30,"name":"Category","value":"Issue"},{"id":3,"name":"Functional Component","value":"Onboard"},{"id":31,"name":"Version","value":"N/A"},{"id":8,"name":"Reporting RR","value":"WABTEC"},{"id":27,"name":"Locomotive ID","value":"4055"},{"id":20,"name":"RR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00:49:52"},{"id":29,"name":"Sharepoint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26" s="168" t="str">
        <f t="shared" si="79"/>
        <v>https://d0f6bd738d7f1b3e5a7ca70fe4ff75f0.us-east-1.aws.found.io/app/kibana#/discover/Steve-Slow-Train-Analysis-(2080s-and-2083s)?_g=(refreshInterval:(display:Off,pause:!f,section:0,value:0),time:(from:'2017-10-05T16:42:50-0600',mode:absolute,to:'2017-10-05T19:49:52-0600'))&amp;_a=(columns:!('Message%20ID',Summary),filters:!(),index:'emp_*',interval:auto,query:(query_string:(analyze_wildcard:!t,query:'%22rtdc.l.rtdc.4055%22')),sort:!(Time.ISO8601,asc))</v>
      </c>
    </row>
    <row r="127" spans="1:91" s="20" customFormat="1" x14ac:dyDescent="0.25">
      <c r="A127" s="32" t="s">
        <v>756</v>
      </c>
      <c r="B127" s="7">
        <v>4012</v>
      </c>
      <c r="C127" s="21" t="s">
        <v>194</v>
      </c>
      <c r="D127" s="21" t="s">
        <v>426</v>
      </c>
      <c r="E127" s="13">
        <v>43013.729432870372</v>
      </c>
      <c r="F127" s="13">
        <v>43013.731006944443</v>
      </c>
      <c r="G127" s="7">
        <v>55</v>
      </c>
      <c r="H127" s="21" t="s">
        <v>410</v>
      </c>
      <c r="I127" s="13">
        <v>43013.763668981483</v>
      </c>
      <c r="J127" s="7">
        <v>0</v>
      </c>
      <c r="K127" s="89" t="str">
        <f t="shared" ref="K127:K158" si="82">IF(ISEVEN(B127),(B127-1)&amp;"/"&amp;B127,B127&amp;"/"&amp;(B127+1))</f>
        <v>4011/4012</v>
      </c>
      <c r="L127" s="185" t="str">
        <f>VLOOKUP(A127,'Trips&amp;Operators'!$C$1:$G$99911,5,FALSE)</f>
        <v>LEVERE CRAIG</v>
      </c>
      <c r="M127" s="6">
        <f t="shared" ref="M127:M158" si="83">I127-F127</f>
        <v>3.2662037039699499E-2</v>
      </c>
      <c r="N127" s="7">
        <f t="shared" ref="N127:N173" si="84">24*60*SUM($M127:$M127)</f>
        <v>47.033333337167278</v>
      </c>
      <c r="O127" s="7"/>
      <c r="P127" s="7"/>
      <c r="Q127" s="22"/>
      <c r="R127" s="174"/>
      <c r="S127" s="221">
        <f t="shared" ref="S127:S158" si="85">1/IF(AG127="EC",12,1)*SUM(U127:U127)</f>
        <v>1</v>
      </c>
      <c r="T127" s="174" t="str">
        <f t="shared" ref="T127:T158" si="86">IF(ISEVEN(LEFT(AD127,4)),"Southbound","NorthBound")</f>
        <v>NorthBound</v>
      </c>
      <c r="U127" s="198">
        <f>IF(AG127="EC",COUNTIFS(Variables!$M$2:$M$19,IF(T127="NorthBound","&gt;=","&lt;=")&amp;Y127,Variables!$M$2:$M$19,IF(T127="NorthBound","&lt;=","&gt;=")&amp;Z127),COUNTIFS(Variables!$P$2:$P$19,IF(T127="NorthBound","&gt;=","&lt;=")&amp;Y127,Variables!$P$2:$P$19,IF(T127="NorthBound","&lt;=","&gt;=")&amp;Z127))</f>
        <v>12</v>
      </c>
      <c r="V127" s="216" t="str">
        <f t="shared" si="40"/>
        <v>https://d0f6bd738d7f1b3e5a7ca70fe4ff75f0.us-east-1.aws.found.io/app/kibana#/discover/Steve-Slow-Train-Analysis-(2080s-and-2083s)?_g=(refreshInterval:(display:Off,pause:!f,section:0,value:0),time:(from:'2017-10-05T16:30:23-0600',mode:absolute,to:'2017-10-05T19:19:41-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4012%22')),sort:!(Time.ISO8601,asc))</v>
      </c>
      <c r="W127" s="204" t="str">
        <f>IF(AA127&lt;VLOOKUP(AG127,Variables!$AC$3:$AD$8,2,FALSE),"Y","N")</f>
        <v>N</v>
      </c>
      <c r="X127" s="204">
        <f t="shared" si="71"/>
        <v>1</v>
      </c>
      <c r="Y127" s="204">
        <f t="shared" ref="Y127:Y135" si="87">RIGHT(D127,LEN(D127)-4)/10000</f>
        <v>4.6899999999999997E-2</v>
      </c>
      <c r="Z127" s="204">
        <f t="shared" ref="Z127:Z135" si="88">RIGHT(H127,LEN(H127)-4)/10000</f>
        <v>23.329699999999999</v>
      </c>
      <c r="AA127" s="204">
        <f t="shared" ref="AA127:AA158" si="89">ABS(Z127-Y127)</f>
        <v>23.282799999999998</v>
      </c>
      <c r="AB127" s="54" t="e">
        <f>VLOOKUP(A127,Enforcements!$C$7:$K$11,8,0)</f>
        <v>#N/A</v>
      </c>
      <c r="AC127" s="51" t="e">
        <f>VLOOKUP(A127,Enforcements!$C$7:$E$11,3,0)</f>
        <v>#N/A</v>
      </c>
      <c r="AD127" s="179">
        <f t="shared" ref="AD127:AD158" si="90">VALUE(LEFT(A127,LEN(A127)-3))</f>
        <v>211</v>
      </c>
      <c r="AE127" s="77" t="str">
        <f t="shared" si="46"/>
        <v>aws s3 cp s3://rtdc.mdm.uploadarchive.raw/RTDC4012/ "%USERPROFILE%\AppData\Local\Temp\OnboardLogs"\RTDC4012\2017-10-05 --exclude "*" --recursive --include "*20171005*" &amp; "%USERPROFILE%\Documents\GitHub\mrs-test-scripts\Headless Mode &amp; Sideloading\WalkAndUnGZ.bat" "%USERPROFILE%\AppData\Local\Temp\OnboardLogs"\RTDC4012\2017-10-05 &amp; aws s3 cp s3://rtdc.mdm.uploadarchive.raw/RTDC4012/ "%USERPROFILE%\AppData\Local\Temp\OnboardLogs"\RTDC4012\2017-10-06 --exclude "*" --recursive --include "*20171006*" &amp; "%USERPROFILE%\Documents\GitHub\mrs-test-scripts\Headless Mode &amp; Sideloading\WalkAndUnGZ.bat" "%USERPROFILE%\AppData\Local\Temp\OnboardLogs"\RTDC4012\2017-10-06</v>
      </c>
      <c r="AF127" s="74" t="str">
        <f t="shared" si="47"/>
        <v>"C:\Program Files (x86)\AstroGrep\AstroGrep.exe" /e /r /s /spath="%USERPROFILE%\AppData\Local\Temp\OnboardLogs" /stypes="app*4012*20171006*" /stext=" 00:.+((SYSTEM_STATE.+slice.+state.+changed )|(ment ac)|(multiple cpu faults)|(system.+state.+changed )|(\[timeout)|(PRM\|1\|D)|(kpr)|(kdp)|(train st.+moving)|(\|lc)|(penalty))"</v>
      </c>
      <c r="AG127" s="182" t="str">
        <f t="shared" ref="AG127:AG158" si="91">DetSubdiv(A127)</f>
        <v>EC</v>
      </c>
      <c r="AH127" s="78" t="str">
        <f t="shared" si="49"/>
        <v>"%USERPROFILE%\Documents\GitHub\eaglep3\Utilities\RefineRTDCRunTimes.py" --tripid 211-05 --locoid 4012 --swversion DE.1.0.9.0 --startMP 204:469 --initTime 2017-10-05T17:30:23 --startdatetime 2017-10-05T17:32:39 --delay 55 --endMP 204:233297 --enddatetime 2017-10-05T18:19:41 --enforcementcount 0 &gt;&gt;%USERPROFILE%\Documents\GitHub\eaglep3-reporting\EC\2017-10-05-refined-times.txt</v>
      </c>
      <c r="AI127" s="96" t="str">
        <f t="shared" si="50"/>
        <v>echo {"issue":{"subject":"","project_id":79,"tracker_id":40,"status_id":1,"priority_id":2,"assigned_to_id":338,"start_date":"2017-10-05","description":"","custom_fields":[{"id":1,"name":"Subdivision","value":"EC"},{"id":4,"name":"Milepost","value":"23.3297"},{"id":17,"name":"Train ID","value":"211-05"},{"id":16,"name":"Locomotive ID","value":"4012"},{"id":130,"name":"Impact","value":""},{"id":150,"name":"Time of Event (Mountain Time)","value":"18:19:41"},{"id":151,"name":"Denver Issue ID","value":""},{"id":178,"name":"Operational Impact","value":"Yes"},{"id":179,"name":"Denver Segment Assigned","value":""}]}} | curl --insecure -X POST -H "Content-Type: application/json" -H "X-Redmine-API-Key: %REDMINEAPIKEY%" https://secure.xorail.net/redmine/issues.json --data @-</v>
      </c>
      <c r="AK127" s="47"/>
      <c r="AL127" s="47"/>
      <c r="AM127" s="142" t="str">
        <f t="shared" si="51"/>
        <v>start /low /b %USERPROFILE%\Documents\GitHub\eaglep3\Utilities\DownloadLogsFromS3.py --loco 4012 --day 2017-10-05</v>
      </c>
      <c r="AN127" s="151" t="str">
        <f t="shared" si="52"/>
        <v>echo {"issue":{"subject":"","project_id":30,"tracker_id":4,"status_id":1,"priority_id":1,"assigned_to_id":10,"start_date":"2017-10-06","description":"","custom_fields":[{"id":30,"name":"Category","value":"Issue"},{"id":3,"name":"Functional Component","value":"Onboard"},{"id":31,"name":"Version","value":"N/A"},{"id":8,"name":"Reporting RR","value":"WABTEC"},{"id":27,"name":"Locomotive ID","value":"4012"},{"id":20,"name":"RR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00:19:41"},{"id":29,"name":"Sharepoint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27" s="168" t="str">
        <f t="shared" si="53"/>
        <v>https://d0f6bd738d7f1b3e5a7ca70fe4ff75f0.us-east-1.aws.found.io/app/kibana#/discover/Steve-Slow-Train-Analysis-(2080s-and-2083s)?_g=(refreshInterval:(display:Off,pause:!f,section:0,value:0),time:(from:'2017-10-05T16:30:23-0600',mode:absolute,to:'2017-10-05T19:19:41-0600'))&amp;_a=(columns:!('Message%20ID',Summary),filters:!(),index:'emp_*',interval:auto,query:(query_string:(analyze_wildcard:!t,query:'%22rtdc.l.rtdc.4012%22')),sort:!(Time.ISO8601,asc))</v>
      </c>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row>
    <row r="128" spans="1:91" s="20" customFormat="1" x14ac:dyDescent="0.25">
      <c r="A128" s="32" t="s">
        <v>766</v>
      </c>
      <c r="B128" s="7">
        <v>4011</v>
      </c>
      <c r="C128" s="21" t="s">
        <v>194</v>
      </c>
      <c r="D128" s="21" t="s">
        <v>830</v>
      </c>
      <c r="E128" s="13">
        <v>43013.76662037037</v>
      </c>
      <c r="F128" s="13">
        <v>43013.768923611111</v>
      </c>
      <c r="G128" s="7">
        <v>48</v>
      </c>
      <c r="H128" s="21" t="s">
        <v>367</v>
      </c>
      <c r="I128" s="13">
        <v>43013.797789351855</v>
      </c>
      <c r="J128" s="7">
        <v>0</v>
      </c>
      <c r="K128" s="89" t="str">
        <f t="shared" si="82"/>
        <v>4011/4012</v>
      </c>
      <c r="L128" s="185" t="str">
        <f>VLOOKUP(A128,'Trips&amp;Operators'!$C$1:$G$99911,5,FALSE)</f>
        <v>LEVERE CRAIG</v>
      </c>
      <c r="M128" s="6">
        <f t="shared" si="83"/>
        <v>2.8865740743640345E-2</v>
      </c>
      <c r="N128" s="7">
        <f t="shared" si="84"/>
        <v>41.566666670842096</v>
      </c>
      <c r="O128" s="7"/>
      <c r="P128" s="7"/>
      <c r="Q128" s="22"/>
      <c r="R128" s="174"/>
      <c r="S128" s="221">
        <f t="shared" si="85"/>
        <v>1</v>
      </c>
      <c r="T128" s="174" t="str">
        <f t="shared" si="86"/>
        <v>Southbound</v>
      </c>
      <c r="U128" s="198">
        <f>IF(AG128="EC",COUNTIFS(Variables!$M$2:$M$19,IF(T128="NorthBound","&gt;=","&lt;=")&amp;Y128,Variables!$M$2:$M$19,IF(T128="NorthBound","&lt;=","&gt;=")&amp;Z128),COUNTIFS(Variables!$P$2:$P$19,IF(T128="NorthBound","&gt;=","&lt;=")&amp;Y128,Variables!$P$2:$P$19,IF(T128="NorthBound","&lt;=","&gt;=")&amp;Z128))</f>
        <v>12</v>
      </c>
      <c r="V128" s="216" t="str">
        <f t="shared" si="40"/>
        <v>https://d0f6bd738d7f1b3e5a7ca70fe4ff75f0.us-east-1.aws.found.io/app/kibana#/discover/Steve-Slow-Train-Analysis-(2080s-and-2083s)?_g=(refreshInterval:(display:Off,pause:!f,section:0,value:0),time:(from:'2017-10-05T17:23:56-0600',mode:absolute,to:'2017-10-05T20:08:49-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4011%22')),sort:!(Time.ISO8601,asc))</v>
      </c>
      <c r="W128" s="204" t="str">
        <f>IF(AA128&lt;VLOOKUP(AG128,Variables!$AC$3:$AD$8,2,FALSE),"Y","N")</f>
        <v>N</v>
      </c>
      <c r="X128" s="204">
        <f t="shared" ref="X128:X136" si="92">VALUE(LEFT(AD128,4))-VALUE(LEFT(AD127,4))</f>
        <v>1</v>
      </c>
      <c r="Y128" s="204">
        <f t="shared" si="87"/>
        <v>23.296500000000002</v>
      </c>
      <c r="Z128" s="204">
        <f t="shared" si="88"/>
        <v>1.5800000000000002E-2</v>
      </c>
      <c r="AA128" s="204">
        <f t="shared" si="89"/>
        <v>23.280700000000003</v>
      </c>
      <c r="AB128" s="54" t="e">
        <f>VLOOKUP(A128,Enforcements!$C$7:$K$11,8,0)</f>
        <v>#N/A</v>
      </c>
      <c r="AC128" s="51" t="e">
        <f>VLOOKUP(A128,Enforcements!$C$7:$E$11,3,0)</f>
        <v>#N/A</v>
      </c>
      <c r="AD128" s="179">
        <f t="shared" si="90"/>
        <v>212</v>
      </c>
      <c r="AE128" s="77" t="str">
        <f t="shared" si="46"/>
        <v>aws s3 cp s3://rtdc.mdm.uploadarchive.raw/RTDC4011/ "%USERPROFILE%\AppData\Local\Temp\OnboardLogs"\RTDC4011\2017-10-05 --exclude "*" --recursive --include "*20171005*" &amp; "%USERPROFILE%\Documents\GitHub\mrs-test-scripts\Headless Mode &amp; Sideloading\WalkAndUnGZ.bat" "%USERPROFILE%\AppData\Local\Temp\OnboardLogs"\RTDC4011\2017-10-05 &amp; aws s3 cp s3://rtdc.mdm.uploadarchive.raw/RTDC4011/ "%USERPROFILE%\AppData\Local\Temp\OnboardLogs"\RTDC4011\2017-10-06 --exclude "*" --recursive --include "*20171006*" &amp; "%USERPROFILE%\Documents\GitHub\mrs-test-scripts\Headless Mode &amp; Sideloading\WalkAndUnGZ.bat" "%USERPROFILE%\AppData\Local\Temp\OnboardLogs"\RTDC4011\2017-10-06</v>
      </c>
      <c r="AF128" s="74" t="str">
        <f t="shared" si="47"/>
        <v>"C:\Program Files (x86)\AstroGrep\AstroGrep.exe" /e /r /s /spath="%USERPROFILE%\AppData\Local\Temp\OnboardLogs" /stypes="app*4011*20171006*" /stext=" 01:.+((SYSTEM_STATE.+slice.+state.+changed )|(ment ac)|(multiple cpu faults)|(system.+state.+changed )|(\[timeout)|(PRM\|1\|D)|(kpr)|(kdp)|(train st.+moving)|(\|lc)|(penalty))"</v>
      </c>
      <c r="AG128" s="182" t="str">
        <f t="shared" si="91"/>
        <v>EC</v>
      </c>
      <c r="AH128" s="78" t="str">
        <f t="shared" si="49"/>
        <v>"%USERPROFILE%\Documents\GitHub\eaglep3\Utilities\RefineRTDCRunTimes.py" --tripid 212-05 --locoid 4011 --swversion DE.1.0.9.0 --startMP 204:232965 --initTime 2017-10-05T18:23:56 --startdatetime 2017-10-05T18:27:15 --delay 48 --endMP 204:158 --enddatetime 2017-10-05T19:08:49 --enforcementcount 0 &gt;&gt;%USERPROFILE%\Documents\GitHub\eaglep3-reporting\EC\2017-10-05-refined-times.txt</v>
      </c>
      <c r="AI128" s="96" t="str">
        <f t="shared" si="50"/>
        <v>echo {"issue":{"subject":"","project_id":79,"tracker_id":40,"status_id":1,"priority_id":2,"assigned_to_id":338,"start_date":"2017-10-05","description":"","custom_fields":[{"id":1,"name":"Subdivision","value":"EC"},{"id":4,"name":"Milepost","value":"0.0158"},{"id":17,"name":"Train ID","value":"212-05"},{"id":16,"name":"Locomotive ID","value":"4011"},{"id":130,"name":"Impact","value":""},{"id":150,"name":"Time of Event (Mountain Time)","value":"19:08:49"},{"id":151,"name":"Denver Issue ID","value":""},{"id":178,"name":"Operational Impact","value":"Yes"},{"id":179,"name":"Denver Segment Assigned","value":""}]}} | curl --insecure -X POST -H "Content-Type: application/json" -H "X-Redmine-API-Key: %REDMINEAPIKEY%" https://secure.xorail.net/redmine/issues.json --data @-</v>
      </c>
      <c r="AK128" s="47"/>
      <c r="AL128" s="47"/>
      <c r="AM128" s="142" t="str">
        <f t="shared" si="51"/>
        <v>start /low /b %USERPROFILE%\Documents\GitHub\eaglep3\Utilities\DownloadLogsFromS3.py --loco 4011 --day 2017-10-05</v>
      </c>
      <c r="AN128" s="151" t="str">
        <f t="shared" si="52"/>
        <v>echo {"issue":{"subject":"","project_id":30,"tracker_id":4,"status_id":1,"priority_id":1,"assigned_to_id":10,"start_date":"2017-10-06","description":"","custom_fields":[{"id":30,"name":"Category","value":"Issue"},{"id":3,"name":"Functional Component","value":"Onboard"},{"id":31,"name":"Version","value":"N/A"},{"id":8,"name":"Reporting RR","value":"WABTEC"},{"id":27,"name":"Locomotive ID","value":"4011"},{"id":20,"name":"RR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01:08:49"},{"id":29,"name":"Sharepoint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28" s="168" t="str">
        <f t="shared" si="53"/>
        <v>https://d0f6bd738d7f1b3e5a7ca70fe4ff75f0.us-east-1.aws.found.io/app/kibana#/discover/Steve-Slow-Train-Analysis-(2080s-and-2083s)?_g=(refreshInterval:(display:Off,pause:!f,section:0,value:0),time:(from:'2017-10-05T17:23:56-0600',mode:absolute,to:'2017-10-05T20:08:49-0600'))&amp;_a=(columns:!('Message%20ID',Summary),filters:!(),index:'emp_*',interval:auto,query:(query_string:(analyze_wildcard:!t,query:'%22rtdc.l.rtdc.4011%22')),sort:!(Time.ISO8601,asc))</v>
      </c>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row>
    <row r="129" spans="1:91" s="20" customFormat="1" x14ac:dyDescent="0.25">
      <c r="A129" s="32" t="s">
        <v>757</v>
      </c>
      <c r="B129" s="7">
        <v>4008</v>
      </c>
      <c r="C129" s="21" t="s">
        <v>194</v>
      </c>
      <c r="D129" s="21" t="s">
        <v>415</v>
      </c>
      <c r="E129" s="13">
        <v>43013.737546296295</v>
      </c>
      <c r="F129" s="13">
        <v>43013.740046296298</v>
      </c>
      <c r="G129" s="7">
        <v>85</v>
      </c>
      <c r="H129" s="21" t="s">
        <v>424</v>
      </c>
      <c r="I129" s="13">
        <v>43013.765914351854</v>
      </c>
      <c r="J129" s="7">
        <v>0</v>
      </c>
      <c r="K129" s="89" t="str">
        <f t="shared" si="82"/>
        <v>4007/4008</v>
      </c>
      <c r="L129" s="185" t="str">
        <f>VLOOKUP(A129,'Trips&amp;Operators'!$C$1:$G$99911,5,FALSE)</f>
        <v>LOZA FIDEL</v>
      </c>
      <c r="M129" s="6">
        <f t="shared" si="83"/>
        <v>2.5868055556202307E-2</v>
      </c>
      <c r="N129" s="7">
        <f t="shared" si="84"/>
        <v>37.250000000931323</v>
      </c>
      <c r="O129" s="7"/>
      <c r="P129" s="7"/>
      <c r="Q129" s="22"/>
      <c r="R129" s="174"/>
      <c r="S129" s="221">
        <f t="shared" si="85"/>
        <v>1</v>
      </c>
      <c r="T129" s="174" t="str">
        <f t="shared" si="86"/>
        <v>NorthBound</v>
      </c>
      <c r="U129" s="198">
        <f>IF(AG129="EC",COUNTIFS(Variables!$M$2:$M$19,IF(T129="NorthBound","&gt;=","&lt;=")&amp;Y129,Variables!$M$2:$M$19,IF(T129="NorthBound","&lt;=","&gt;=")&amp;Z129),COUNTIFS(Variables!$P$2:$P$19,IF(T129="NorthBound","&gt;=","&lt;=")&amp;Y129,Variables!$P$2:$P$19,IF(T129="NorthBound","&lt;=","&gt;=")&amp;Z129))</f>
        <v>12</v>
      </c>
      <c r="V129" s="216" t="str">
        <f t="shared" si="40"/>
        <v>https://d0f6bd738d7f1b3e5a7ca70fe4ff75f0.us-east-1.aws.found.io/app/kibana#/discover/Steve-Slow-Train-Analysis-(2080s-and-2083s)?_g=(refreshInterval:(display:Off,pause:!f,section:0,value:0),time:(from:'2017-10-05T16:42:04-0600',mode:absolute,to:'2017-10-05T19:22:55-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4008%22')),sort:!(Time.ISO8601,asc))</v>
      </c>
      <c r="W129" s="204" t="str">
        <f>IF(AA129&lt;VLOOKUP(AG129,Variables!$AC$3:$AD$8,2,FALSE),"Y","N")</f>
        <v>N</v>
      </c>
      <c r="X129" s="204">
        <f t="shared" si="92"/>
        <v>1</v>
      </c>
      <c r="Y129" s="204">
        <f t="shared" si="87"/>
        <v>4.7300000000000002E-2</v>
      </c>
      <c r="Z129" s="204">
        <f t="shared" si="88"/>
        <v>23.3278</v>
      </c>
      <c r="AA129" s="204">
        <f t="shared" si="89"/>
        <v>23.2805</v>
      </c>
      <c r="AB129" s="54" t="e">
        <f>VLOOKUP(A129,Enforcements!$C$7:$K$11,8,0)</f>
        <v>#N/A</v>
      </c>
      <c r="AC129" s="51" t="e">
        <f>VLOOKUP(A129,Enforcements!$C$7:$E$11,3,0)</f>
        <v>#N/A</v>
      </c>
      <c r="AD129" s="179">
        <f t="shared" si="90"/>
        <v>213</v>
      </c>
      <c r="AE129" s="77" t="str">
        <f t="shared" si="46"/>
        <v>aws s3 cp s3://rtdc.mdm.uploadarchive.raw/RTDC4008/ "%USERPROFILE%\AppData\Local\Temp\OnboardLogs"\RTDC4008\2017-10-05 --exclude "*" --recursive --include "*20171005*" &amp; "%USERPROFILE%\Documents\GitHub\mrs-test-scripts\Headless Mode &amp; Sideloading\WalkAndUnGZ.bat" "%USERPROFILE%\AppData\Local\Temp\OnboardLogs"\RTDC4008\2017-10-05 &amp; aws s3 cp s3://rtdc.mdm.uploadarchive.raw/RTDC4008/ "%USERPROFILE%\AppData\Local\Temp\OnboardLogs"\RTDC4008\2017-10-06 --exclude "*" --recursive --include "*20171006*" &amp; "%USERPROFILE%\Documents\GitHub\mrs-test-scripts\Headless Mode &amp; Sideloading\WalkAndUnGZ.bat" "%USERPROFILE%\AppData\Local\Temp\OnboardLogs"\RTDC4008\2017-10-06</v>
      </c>
      <c r="AF129" s="74" t="str">
        <f t="shared" si="47"/>
        <v>"C:\Program Files (x86)\AstroGrep\AstroGrep.exe" /e /r /s /spath="%USERPROFILE%\AppData\Local\Temp\OnboardLogs" /stypes="app*4008*20171006*" /stext=" 00:.+((SYSTEM_STATE.+slice.+state.+changed )|(ment ac)|(multiple cpu faults)|(system.+state.+changed )|(\[timeout)|(PRM\|1\|D)|(kpr)|(kdp)|(train st.+moving)|(\|lc)|(penalty))"</v>
      </c>
      <c r="AG129" s="182" t="str">
        <f t="shared" si="91"/>
        <v>EC</v>
      </c>
      <c r="AH129" s="78" t="str">
        <f t="shared" si="49"/>
        <v>"%USERPROFILE%\Documents\GitHub\eaglep3\Utilities\RefineRTDCRunTimes.py" --tripid 213-05 --locoid 4008 --swversion DE.1.0.9.0 --startMP 204:473 --initTime 2017-10-05T17:42:04 --startdatetime 2017-10-05T17:45:40 --delay 85 --endMP 204:233278 --enddatetime 2017-10-05T18:22:55 --enforcementcount 0 &gt;&gt;%USERPROFILE%\Documents\GitHub\eaglep3-reporting\EC\2017-10-05-refined-times.txt</v>
      </c>
      <c r="AI129" s="96" t="str">
        <f t="shared" si="50"/>
        <v>echo {"issue":{"subject":"","project_id":79,"tracker_id":40,"status_id":1,"priority_id":2,"assigned_to_id":338,"start_date":"2017-10-05","description":"","custom_fields":[{"id":1,"name":"Subdivision","value":"EC"},{"id":4,"name":"Milepost","value":"23.3278"},{"id":17,"name":"Train ID","value":"213-05"},{"id":16,"name":"Locomotive ID","value":"4008"},{"id":130,"name":"Impact","value":""},{"id":150,"name":"Time of Event (Mountain Time)","value":"18:22:55"},{"id":151,"name":"Denver Issue ID","value":""},{"id":178,"name":"Operational Impact","value":"Yes"},{"id":179,"name":"Denver Segment Assigned","value":""}]}} | curl --insecure -X POST -H "Content-Type: application/json" -H "X-Redmine-API-Key: %REDMINEAPIKEY%" https://secure.xorail.net/redmine/issues.json --data @-</v>
      </c>
      <c r="AK129" s="47"/>
      <c r="AL129" s="47"/>
      <c r="AM129" s="142" t="str">
        <f t="shared" si="51"/>
        <v>start /low /b %USERPROFILE%\Documents\GitHub\eaglep3\Utilities\DownloadLogsFromS3.py --loco 4008 --day 2017-10-05</v>
      </c>
      <c r="AN129" s="151" t="str">
        <f t="shared" si="52"/>
        <v>echo {"issue":{"subject":"","project_id":30,"tracker_id":4,"status_id":1,"priority_id":1,"assigned_to_id":10,"start_date":"2017-10-06","description":"","custom_fields":[{"id":30,"name":"Category","value":"Issue"},{"id":3,"name":"Functional Component","value":"Onboard"},{"id":31,"name":"Version","value":"N/A"},{"id":8,"name":"Reporting RR","value":"WABTEC"},{"id":27,"name":"Locomotive ID","value":"4008"},{"id":20,"name":"RR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00:22:55"},{"id":29,"name":"Sharepoint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29" s="168" t="str">
        <f t="shared" si="53"/>
        <v>https://d0f6bd738d7f1b3e5a7ca70fe4ff75f0.us-east-1.aws.found.io/app/kibana#/discover/Steve-Slow-Train-Analysis-(2080s-and-2083s)?_g=(refreshInterval:(display:Off,pause:!f,section:0,value:0),time:(from:'2017-10-05T16:42:04-0600',mode:absolute,to:'2017-10-05T19:22:55-0600'))&amp;_a=(columns:!('Message%20ID',Summary),filters:!(),index:'emp_*',interval:auto,query:(query_string:(analyze_wildcard:!t,query:'%22rtdc.l.rtdc.4008%22')),sort:!(Time.ISO8601,asc))</v>
      </c>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row>
    <row r="130" spans="1:91" s="20" customFormat="1" x14ac:dyDescent="0.25">
      <c r="A130" s="32" t="s">
        <v>771</v>
      </c>
      <c r="B130" s="7">
        <v>4007</v>
      </c>
      <c r="C130" s="21" t="s">
        <v>194</v>
      </c>
      <c r="D130" s="21" t="s">
        <v>379</v>
      </c>
      <c r="E130" s="13">
        <v>43013.776666666665</v>
      </c>
      <c r="F130" s="13">
        <v>43013.779618055552</v>
      </c>
      <c r="G130" s="7">
        <v>157</v>
      </c>
      <c r="H130" s="21" t="s">
        <v>871</v>
      </c>
      <c r="I130" s="13">
        <v>43013.807986111111</v>
      </c>
      <c r="J130" s="7">
        <v>0</v>
      </c>
      <c r="K130" s="89" t="str">
        <f t="shared" si="82"/>
        <v>4007/4008</v>
      </c>
      <c r="L130" s="185" t="str">
        <f>VLOOKUP(A130,'Trips&amp;Operators'!$C$1:$G$99911,5,FALSE)</f>
        <v>LOZA FIDEL</v>
      </c>
      <c r="M130" s="6">
        <f t="shared" si="83"/>
        <v>2.8368055558530614E-2</v>
      </c>
      <c r="N130" s="7">
        <f t="shared" si="84"/>
        <v>40.850000004284084</v>
      </c>
      <c r="O130" s="7"/>
      <c r="P130" s="7"/>
      <c r="Q130" s="22"/>
      <c r="R130" s="174"/>
      <c r="S130" s="221">
        <f t="shared" si="85"/>
        <v>1</v>
      </c>
      <c r="T130" s="174" t="str">
        <f t="shared" si="86"/>
        <v>Southbound</v>
      </c>
      <c r="U130" s="198">
        <f>IF(AG130="EC",COUNTIFS(Variables!$M$2:$M$19,IF(T130="NorthBound","&gt;=","&lt;=")&amp;Y130,Variables!$M$2:$M$19,IF(T130="NorthBound","&lt;=","&gt;=")&amp;Z130),COUNTIFS(Variables!$P$2:$P$19,IF(T130="NorthBound","&gt;=","&lt;=")&amp;Y130,Variables!$P$2:$P$19,IF(T130="NorthBound","&lt;=","&gt;=")&amp;Z130))</f>
        <v>12</v>
      </c>
      <c r="V130" s="216" t="str">
        <f t="shared" si="40"/>
        <v>https://d0f6bd738d7f1b3e5a7ca70fe4ff75f0.us-east-1.aws.found.io/app/kibana#/discover/Steve-Slow-Train-Analysis-(2080s-and-2083s)?_g=(refreshInterval:(display:Off,pause:!f,section:0,value:0),time:(from:'2017-10-05T17:38:24-0600',mode:absolute,to:'2017-10-05T20:23:30-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4007%22')),sort:!(Time.ISO8601,asc))</v>
      </c>
      <c r="W130" s="204" t="str">
        <f>IF(AA130&lt;VLOOKUP(AG130,Variables!$AC$3:$AD$8,2,FALSE),"Y","N")</f>
        <v>N</v>
      </c>
      <c r="X130" s="204">
        <f t="shared" si="92"/>
        <v>1</v>
      </c>
      <c r="Y130" s="204">
        <f t="shared" si="87"/>
        <v>23.298100000000002</v>
      </c>
      <c r="Z130" s="204">
        <f t="shared" si="88"/>
        <v>1.18E-2</v>
      </c>
      <c r="AA130" s="204">
        <f t="shared" si="89"/>
        <v>23.286300000000001</v>
      </c>
      <c r="AB130" s="54" t="e">
        <f>VLOOKUP(A130,Enforcements!$C$7:$K$11,8,0)</f>
        <v>#N/A</v>
      </c>
      <c r="AC130" s="51" t="e">
        <f>VLOOKUP(A130,Enforcements!$C$7:$E$11,3,0)</f>
        <v>#N/A</v>
      </c>
      <c r="AD130" s="179">
        <f t="shared" si="90"/>
        <v>214</v>
      </c>
      <c r="AE130" s="77" t="str">
        <f t="shared" si="46"/>
        <v>aws s3 cp s3://rtdc.mdm.uploadarchive.raw/RTDC4007/ "%USERPROFILE%\AppData\Local\Temp\OnboardLogs"\RTDC4007\2017-10-05 --exclude "*" --recursive --include "*20171005*" &amp; "%USERPROFILE%\Documents\GitHub\mrs-test-scripts\Headless Mode &amp; Sideloading\WalkAndUnGZ.bat" "%USERPROFILE%\AppData\Local\Temp\OnboardLogs"\RTDC4007\2017-10-05 &amp; aws s3 cp s3://rtdc.mdm.uploadarchive.raw/RTDC4007/ "%USERPROFILE%\AppData\Local\Temp\OnboardLogs"\RTDC4007\2017-10-06 --exclude "*" --recursive --include "*20171006*" &amp; "%USERPROFILE%\Documents\GitHub\mrs-test-scripts\Headless Mode &amp; Sideloading\WalkAndUnGZ.bat" "%USERPROFILE%\AppData\Local\Temp\OnboardLogs"\RTDC4007\2017-10-06</v>
      </c>
      <c r="AF130" s="74" t="str">
        <f t="shared" si="47"/>
        <v>"C:\Program Files (x86)\AstroGrep\AstroGrep.exe" /e /r /s /spath="%USERPROFILE%\AppData\Local\Temp\OnboardLogs" /stypes="app*4007*20171006*" /stext=" 01:.+((SYSTEM_STATE.+slice.+state.+changed )|(ment ac)|(multiple cpu faults)|(system.+state.+changed )|(\[timeout)|(PRM\|1\|D)|(kpr)|(kdp)|(train st.+moving)|(\|lc)|(penalty))"</v>
      </c>
      <c r="AG130" s="182" t="str">
        <f t="shared" si="91"/>
        <v>EC</v>
      </c>
      <c r="AH130" s="78" t="str">
        <f t="shared" si="49"/>
        <v>"%USERPROFILE%\Documents\GitHub\eaglep3\Utilities\RefineRTDCRunTimes.py" --tripid 214-05 --locoid 4007 --swversion DE.1.0.9.0 --startMP 204:232981 --initTime 2017-10-05T18:38:24 --startdatetime 2017-10-05T18:42:39 --delay 157 --endMP 204:118 --enddatetime 2017-10-05T19:23:30 --enforcementcount 0 &gt;&gt;%USERPROFILE%\Documents\GitHub\eaglep3-reporting\EC\2017-10-05-refined-times.txt</v>
      </c>
      <c r="AI130" s="96" t="str">
        <f t="shared" si="50"/>
        <v>echo {"issue":{"subject":"","project_id":79,"tracker_id":40,"status_id":1,"priority_id":2,"assigned_to_id":338,"start_date":"2017-10-05","description":"","custom_fields":[{"id":1,"name":"Subdivision","value":"EC"},{"id":4,"name":"Milepost","value":"0.0118"},{"id":17,"name":"Train ID","value":"214-05"},{"id":16,"name":"Locomotive ID","value":"4007"},{"id":130,"name":"Impact","value":""},{"id":150,"name":"Time of Event (Mountain Time)","value":"19:23:30"},{"id":151,"name":"Denver Issue ID","value":""},{"id":178,"name":"Operational Impact","value":"Yes"},{"id":179,"name":"Denver Segment Assigned","value":""}]}} | curl --insecure -X POST -H "Content-Type: application/json" -H "X-Redmine-API-Key: %REDMINEAPIKEY%" https://secure.xorail.net/redmine/issues.json --data @-</v>
      </c>
      <c r="AK130" s="47"/>
      <c r="AL130" s="47"/>
      <c r="AM130" s="142" t="str">
        <f t="shared" si="51"/>
        <v>start /low /b %USERPROFILE%\Documents\GitHub\eaglep3\Utilities\DownloadLogsFromS3.py --loco 4007 --day 2017-10-05</v>
      </c>
      <c r="AN130" s="151" t="str">
        <f t="shared" si="52"/>
        <v>echo {"issue":{"subject":"","project_id":30,"tracker_id":4,"status_id":1,"priority_id":1,"assigned_to_id":10,"start_date":"2017-10-06","description":"","custom_fields":[{"id":30,"name":"Category","value":"Issue"},{"id":3,"name":"Functional Component","value":"Onboard"},{"id":31,"name":"Version","value":"N/A"},{"id":8,"name":"Reporting RR","value":"WABTEC"},{"id":27,"name":"Locomotive ID","value":"4007"},{"id":20,"name":"RR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01:23:30"},{"id":29,"name":"Sharepoint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30" s="168" t="str">
        <f t="shared" si="53"/>
        <v>https://d0f6bd738d7f1b3e5a7ca70fe4ff75f0.us-east-1.aws.found.io/app/kibana#/discover/Steve-Slow-Train-Analysis-(2080s-and-2083s)?_g=(refreshInterval:(display:Off,pause:!f,section:0,value:0),time:(from:'2017-10-05T17:38:24-0600',mode:absolute,to:'2017-10-05T20:23:30-0600'))&amp;_a=(columns:!('Message%20ID',Summary),filters:!(),index:'emp_*',interval:auto,query:(query_string:(analyze_wildcard:!t,query:'%22rtdc.l.rtdc.4007%22')),sort:!(Time.ISO8601,asc))</v>
      </c>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row>
    <row r="131" spans="1:91" s="20" customFormat="1" x14ac:dyDescent="0.25">
      <c r="A131" s="32" t="s">
        <v>762</v>
      </c>
      <c r="B131" s="7">
        <v>4016</v>
      </c>
      <c r="C131" s="21" t="s">
        <v>194</v>
      </c>
      <c r="D131" s="21" t="s">
        <v>426</v>
      </c>
      <c r="E131" s="13">
        <v>43013.746828703705</v>
      </c>
      <c r="F131" s="13">
        <v>43013.750219907408</v>
      </c>
      <c r="G131" s="7">
        <v>71</v>
      </c>
      <c r="H131" s="21" t="s">
        <v>410</v>
      </c>
      <c r="I131" s="13">
        <v>43013.774074074077</v>
      </c>
      <c r="J131" s="7">
        <v>0</v>
      </c>
      <c r="K131" s="89" t="str">
        <f t="shared" si="82"/>
        <v>4015/4016</v>
      </c>
      <c r="L131" s="185" t="str">
        <f>VLOOKUP(A131,'Trips&amp;Operators'!$C$1:$G$99911,5,FALSE)</f>
        <v>HOLCOMB KAMDEN</v>
      </c>
      <c r="M131" s="6">
        <f t="shared" si="83"/>
        <v>2.3854166669480037E-2</v>
      </c>
      <c r="N131" s="7">
        <f t="shared" si="84"/>
        <v>34.350000004051253</v>
      </c>
      <c r="O131" s="7"/>
      <c r="P131" s="7"/>
      <c r="Q131" s="22"/>
      <c r="R131" s="174"/>
      <c r="S131" s="221">
        <f t="shared" si="85"/>
        <v>1</v>
      </c>
      <c r="T131" s="174" t="str">
        <f t="shared" si="86"/>
        <v>NorthBound</v>
      </c>
      <c r="U131" s="198">
        <f>IF(AG131="EC",COUNTIFS(Variables!$M$2:$M$19,IF(T131="NorthBound","&gt;=","&lt;=")&amp;Y131,Variables!$M$2:$M$19,IF(T131="NorthBound","&lt;=","&gt;=")&amp;Z131),COUNTIFS(Variables!$P$2:$P$19,IF(T131="NorthBound","&gt;=","&lt;=")&amp;Y131,Variables!$P$2:$P$19,IF(T131="NorthBound","&lt;=","&gt;=")&amp;Z131))</f>
        <v>12</v>
      </c>
      <c r="V131" s="216" t="str">
        <f t="shared" si="40"/>
        <v>https://d0f6bd738d7f1b3e5a7ca70fe4ff75f0.us-east-1.aws.found.io/app/kibana#/discover/Steve-Slow-Train-Analysis-(2080s-and-2083s)?_g=(refreshInterval:(display:Off,pause:!f,section:0,value:0),time:(from:'2017-10-05T16:55:26-0600',mode:absolute,to:'2017-10-05T19:34:40-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W131" s="204" t="str">
        <f>IF(AA131&lt;VLOOKUP(AG131,Variables!$AC$3:$AD$8,2,FALSE),"Y","N")</f>
        <v>N</v>
      </c>
      <c r="X131" s="204">
        <f t="shared" si="92"/>
        <v>1</v>
      </c>
      <c r="Y131" s="204">
        <f t="shared" si="87"/>
        <v>4.6899999999999997E-2</v>
      </c>
      <c r="Z131" s="204">
        <f t="shared" si="88"/>
        <v>23.329699999999999</v>
      </c>
      <c r="AA131" s="204">
        <f t="shared" si="89"/>
        <v>23.282799999999998</v>
      </c>
      <c r="AB131" s="54" t="e">
        <f>VLOOKUP(A131,Enforcements!$C$7:$K$11,8,0)</f>
        <v>#N/A</v>
      </c>
      <c r="AC131" s="51" t="e">
        <f>VLOOKUP(A131,Enforcements!$C$7:$E$11,3,0)</f>
        <v>#N/A</v>
      </c>
      <c r="AD131" s="179">
        <f t="shared" si="90"/>
        <v>215</v>
      </c>
      <c r="AE131" s="77" t="str">
        <f t="shared" si="46"/>
        <v>aws s3 cp s3://rtdc.mdm.uploadarchive.raw/RTDC4016/ "%USERPROFILE%\AppData\Local\Temp\OnboardLogs"\RTDC4016\2017-10-05 --exclude "*" --recursive --include "*20171005*" &amp; "%USERPROFILE%\Documents\GitHub\mrs-test-scripts\Headless Mode &amp; Sideloading\WalkAndUnGZ.bat" "%USERPROFILE%\AppData\Local\Temp\OnboardLogs"\RTDC4016\2017-10-05 &amp; aws s3 cp s3://rtdc.mdm.uploadarchive.raw/RTDC4016/ "%USERPROFILE%\AppData\Local\Temp\OnboardLogs"\RTDC4016\2017-10-06 --exclude "*" --recursive --include "*20171006*" &amp; "%USERPROFILE%\Documents\GitHub\mrs-test-scripts\Headless Mode &amp; Sideloading\WalkAndUnGZ.bat" "%USERPROFILE%\AppData\Local\Temp\OnboardLogs"\RTDC4016\2017-10-06</v>
      </c>
      <c r="AF131" s="74" t="str">
        <f t="shared" si="47"/>
        <v>"C:\Program Files (x86)\AstroGrep\AstroGrep.exe" /e /r /s /spath="%USERPROFILE%\AppData\Local\Temp\OnboardLogs" /stypes="app*4016*20171006*" /stext=" 00:.+((SYSTEM_STATE.+slice.+state.+changed )|(ment ac)|(multiple cpu faults)|(system.+state.+changed )|(\[timeout)|(PRM\|1\|D)|(kpr)|(kdp)|(train st.+moving)|(\|lc)|(penalty))"</v>
      </c>
      <c r="AG131" s="182" t="str">
        <f t="shared" si="91"/>
        <v>EC</v>
      </c>
      <c r="AH131" s="78" t="str">
        <f t="shared" si="49"/>
        <v>"%USERPROFILE%\Documents\GitHub\eaglep3\Utilities\RefineRTDCRunTimes.py" --tripid 215-05 --locoid 4016 --swversion DE.1.0.9.0 --startMP 204:469 --initTime 2017-10-05T17:55:26 --startdatetime 2017-10-05T18:00:19 --delay 71 --endMP 204:233297 --enddatetime 2017-10-05T18:34:40 --enforcementcount 0 &gt;&gt;%USERPROFILE%\Documents\GitHub\eaglep3-reporting\EC\2017-10-05-refined-times.txt</v>
      </c>
      <c r="AI131" s="96" t="str">
        <f t="shared" si="50"/>
        <v>echo {"issue":{"subject":"","project_id":79,"tracker_id":40,"status_id":1,"priority_id":2,"assigned_to_id":338,"start_date":"2017-10-05","description":"","custom_fields":[{"id":1,"name":"Subdivision","value":"EC"},{"id":4,"name":"Milepost","value":"23.3297"},{"id":17,"name":"Train ID","value":"215-05"},{"id":16,"name":"Locomotive ID","value":"4016"},{"id":130,"name":"Impact","value":""},{"id":150,"name":"Time of Event (Mountain Time)","value":"18:34:40"},{"id":151,"name":"Denver Issue ID","value":""},{"id":178,"name":"Operational Impact","value":"Yes"},{"id":179,"name":"Denver Segment Assigned","value":""}]}} | curl --insecure -X POST -H "Content-Type: application/json" -H "X-Redmine-API-Key: %REDMINEAPIKEY%" https://secure.xorail.net/redmine/issues.json --data @-</v>
      </c>
      <c r="AK131" s="47"/>
      <c r="AL131" s="47"/>
      <c r="AM131" s="142" t="str">
        <f t="shared" si="51"/>
        <v>start /low /b %USERPROFILE%\Documents\GitHub\eaglep3\Utilities\DownloadLogsFromS3.py --loco 4016 --day 2017-10-05</v>
      </c>
      <c r="AN131" s="151" t="str">
        <f t="shared" si="52"/>
        <v>echo {"issue":{"subject":"","project_id":30,"tracker_id":4,"status_id":1,"priority_id":1,"assigned_to_id":10,"start_date":"2017-10-06","description":"","custom_fields":[{"id":30,"name":"Category","value":"Issue"},{"id":3,"name":"Functional Component","value":"Onboard"},{"id":31,"name":"Version","value":"N/A"},{"id":8,"name":"Reporting RR","value":"WABTEC"},{"id":27,"name":"Locomotive ID","value":"4016"},{"id":20,"name":"RR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00:34:40"},{"id":29,"name":"Sharepoint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31" s="168" t="str">
        <f t="shared" si="53"/>
        <v>https://d0f6bd738d7f1b3e5a7ca70fe4ff75f0.us-east-1.aws.found.io/app/kibana#/discover/Steve-Slow-Train-Analysis-(2080s-and-2083s)?_g=(refreshInterval:(display:Off,pause:!f,section:0,value:0),time:(from:'2017-10-05T16:55:26-0600',mode:absolute,to:'2017-10-05T19:34:40-0600'))&amp;_a=(columns:!('Message%20ID',Summary),filters:!(),index:'emp_*',interval:auto,query:(query_string:(analyze_wildcard:!t,query:'%22rtdc.l.rtdc.4016%22')),sort:!(Time.ISO8601,asc))</v>
      </c>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row>
    <row r="132" spans="1:91" s="20" customFormat="1" x14ac:dyDescent="0.25">
      <c r="A132" s="32" t="s">
        <v>773</v>
      </c>
      <c r="B132" s="7">
        <v>4015</v>
      </c>
      <c r="C132" s="21" t="s">
        <v>194</v>
      </c>
      <c r="D132" s="21" t="s">
        <v>489</v>
      </c>
      <c r="E132" s="13">
        <v>43013.786574074074</v>
      </c>
      <c r="F132" s="13">
        <v>43013.789872685185</v>
      </c>
      <c r="G132" s="7">
        <v>57</v>
      </c>
      <c r="H132" s="21" t="s">
        <v>372</v>
      </c>
      <c r="I132" s="13">
        <v>43013.816168981481</v>
      </c>
      <c r="J132" s="7">
        <v>0</v>
      </c>
      <c r="K132" s="89" t="str">
        <f t="shared" si="82"/>
        <v>4015/4016</v>
      </c>
      <c r="L132" s="185" t="str">
        <f>VLOOKUP(A132,'Trips&amp;Operators'!$C$1:$G$99911,5,FALSE)</f>
        <v>HOLCOMB KAMDEN</v>
      </c>
      <c r="M132" s="6">
        <f t="shared" si="83"/>
        <v>2.6296296295186039E-2</v>
      </c>
      <c r="N132" s="7">
        <f t="shared" si="84"/>
        <v>37.866666665067896</v>
      </c>
      <c r="O132" s="7"/>
      <c r="P132" s="7"/>
      <c r="Q132" s="22"/>
      <c r="R132" s="174"/>
      <c r="S132" s="221">
        <f t="shared" si="85"/>
        <v>1</v>
      </c>
      <c r="T132" s="174" t="str">
        <f t="shared" si="86"/>
        <v>Southbound</v>
      </c>
      <c r="U132" s="198">
        <f>IF(AG132="EC",COUNTIFS(Variables!$M$2:$M$19,IF(T132="NorthBound","&gt;=","&lt;=")&amp;Y132,Variables!$M$2:$M$19,IF(T132="NorthBound","&lt;=","&gt;=")&amp;Z132),COUNTIFS(Variables!$P$2:$P$19,IF(T132="NorthBound","&gt;=","&lt;=")&amp;Y132,Variables!$P$2:$P$19,IF(T132="NorthBound","&lt;=","&gt;=")&amp;Z132))</f>
        <v>12</v>
      </c>
      <c r="V132" s="216" t="str">
        <f t="shared" si="40"/>
        <v>https://d0f6bd738d7f1b3e5a7ca70fe4ff75f0.us-east-1.aws.found.io/app/kibana#/discover/Steve-Slow-Train-Analysis-(2080s-and-2083s)?_g=(refreshInterval:(display:Off,pause:!f,section:0,value:0),time:(from:'2017-10-05T17:52:40-0600',mode:absolute,to:'2017-10-05T20:35:17-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4015%22')),sort:!(Time.ISO8601,asc))</v>
      </c>
      <c r="W132" s="204" t="str">
        <f>IF(AA132&lt;VLOOKUP(AG132,Variables!$AC$3:$AD$8,2,FALSE),"Y","N")</f>
        <v>N</v>
      </c>
      <c r="X132" s="204">
        <f t="shared" si="92"/>
        <v>1</v>
      </c>
      <c r="Y132" s="204">
        <f t="shared" si="87"/>
        <v>23.2986</v>
      </c>
      <c r="Z132" s="204">
        <f t="shared" si="88"/>
        <v>1.3899999999999999E-2</v>
      </c>
      <c r="AA132" s="204">
        <f t="shared" si="89"/>
        <v>23.284700000000001</v>
      </c>
      <c r="AB132" s="54" t="e">
        <f>VLOOKUP(A132,Enforcements!$C$7:$K$11,8,0)</f>
        <v>#N/A</v>
      </c>
      <c r="AC132" s="51" t="e">
        <f>VLOOKUP(A132,Enforcements!$C$7:$E$11,3,0)</f>
        <v>#N/A</v>
      </c>
      <c r="AD132" s="179">
        <f t="shared" si="90"/>
        <v>216</v>
      </c>
      <c r="AE132" s="77" t="str">
        <f t="shared" si="46"/>
        <v>aws s3 cp s3://rtdc.mdm.uploadarchive.raw/RTDC4015/ "%USERPROFILE%\AppData\Local\Temp\OnboardLogs"\RTDC4015\2017-10-05 --exclude "*" --recursive --include "*20171005*" &amp; "%USERPROFILE%\Documents\GitHub\mrs-test-scripts\Headless Mode &amp; Sideloading\WalkAndUnGZ.bat" "%USERPROFILE%\AppData\Local\Temp\OnboardLogs"\RTDC4015\2017-10-05 &amp; aws s3 cp s3://rtdc.mdm.uploadarchive.raw/RTDC4015/ "%USERPROFILE%\AppData\Local\Temp\OnboardLogs"\RTDC4015\2017-10-06 --exclude "*" --recursive --include "*20171006*" &amp; "%USERPROFILE%\Documents\GitHub\mrs-test-scripts\Headless Mode &amp; Sideloading\WalkAndUnGZ.bat" "%USERPROFILE%\AppData\Local\Temp\OnboardLogs"\RTDC4015\2017-10-06</v>
      </c>
      <c r="AF132" s="74" t="str">
        <f t="shared" si="47"/>
        <v>"C:\Program Files (x86)\AstroGrep\AstroGrep.exe" /e /r /s /spath="%USERPROFILE%\AppData\Local\Temp\OnboardLogs" /stypes="app*4015*20171006*" /stext=" 01:.+((SYSTEM_STATE.+slice.+state.+changed )|(ment ac)|(multiple cpu faults)|(system.+state.+changed )|(\[timeout)|(PRM\|1\|D)|(kpr)|(kdp)|(train st.+moving)|(\|lc)|(penalty))"</v>
      </c>
      <c r="AG132" s="182" t="str">
        <f t="shared" si="91"/>
        <v>EC</v>
      </c>
      <c r="AH132" s="78" t="str">
        <f t="shared" si="49"/>
        <v>"%USERPROFILE%\Documents\GitHub\eaglep3\Utilities\RefineRTDCRunTimes.py" --tripid 216-05 --locoid 4015 --swversion DE.1.0.9.0 --startMP 204:232986 --initTime 2017-10-05T18:52:40 --startdatetime 2017-10-05T18:57:25 --delay 57 --endMP 204:139 --enddatetime 2017-10-05T19:35:17 --enforcementcount 0 &gt;&gt;%USERPROFILE%\Documents\GitHub\eaglep3-reporting\EC\2017-10-05-refined-times.txt</v>
      </c>
      <c r="AI132" s="96" t="str">
        <f t="shared" si="50"/>
        <v>echo {"issue":{"subject":"","project_id":79,"tracker_id":40,"status_id":1,"priority_id":2,"assigned_to_id":338,"start_date":"2017-10-05","description":"","custom_fields":[{"id":1,"name":"Subdivision","value":"EC"},{"id":4,"name":"Milepost","value":"0.0139"},{"id":17,"name":"Train ID","value":"216-05"},{"id":16,"name":"Locomotive ID","value":"4015"},{"id":130,"name":"Impact","value":""},{"id":150,"name":"Time of Event (Mountain Time)","value":"19:35:17"},{"id":151,"name":"Denver Issue ID","value":""},{"id":178,"name":"Operational Impact","value":"Yes"},{"id":179,"name":"Denver Segment Assigned","value":""}]}} | curl --insecure -X POST -H "Content-Type: application/json" -H "X-Redmine-API-Key: %REDMINEAPIKEY%" https://secure.xorail.net/redmine/issues.json --data @-</v>
      </c>
      <c r="AK132" s="47"/>
      <c r="AL132" s="47"/>
      <c r="AM132" s="142" t="str">
        <f t="shared" si="51"/>
        <v>start /low /b %USERPROFILE%\Documents\GitHub\eaglep3\Utilities\DownloadLogsFromS3.py --loco 4015 --day 2017-10-05</v>
      </c>
      <c r="AN132" s="151" t="str">
        <f t="shared" si="52"/>
        <v>echo {"issue":{"subject":"","project_id":30,"tracker_id":4,"status_id":1,"priority_id":1,"assigned_to_id":10,"start_date":"2017-10-06","description":"","custom_fields":[{"id":30,"name":"Category","value":"Issue"},{"id":3,"name":"Functional Component","value":"Onboard"},{"id":31,"name":"Version","value":"N/A"},{"id":8,"name":"Reporting RR","value":"WABTEC"},{"id":27,"name":"Locomotive ID","value":"4015"},{"id":20,"name":"RR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01:35:17"},{"id":29,"name":"Sharepoint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32" s="168" t="str">
        <f t="shared" si="53"/>
        <v>https://d0f6bd738d7f1b3e5a7ca70fe4ff75f0.us-east-1.aws.found.io/app/kibana#/discover/Steve-Slow-Train-Analysis-(2080s-and-2083s)?_g=(refreshInterval:(display:Off,pause:!f,section:0,value:0),time:(from:'2017-10-05T17:52:40-0600',mode:absolute,to:'2017-10-05T20:35:17-0600'))&amp;_a=(columns:!('Message%20ID',Summary),filters:!(),index:'emp_*',interval:auto,query:(query_string:(analyze_wildcard:!t,query:'%22rtdc.l.rtdc.4015%22')),sort:!(Time.ISO8601,asc))</v>
      </c>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row>
    <row r="133" spans="1:91" s="20" customFormat="1" x14ac:dyDescent="0.25">
      <c r="A133" s="32" t="s">
        <v>765</v>
      </c>
      <c r="B133" s="7">
        <v>4010</v>
      </c>
      <c r="C133" s="21" t="s">
        <v>194</v>
      </c>
      <c r="D133" s="21" t="s">
        <v>433</v>
      </c>
      <c r="E133" s="13">
        <v>43013.759814814817</v>
      </c>
      <c r="F133" s="13">
        <v>43013.763506944444</v>
      </c>
      <c r="G133" s="7">
        <v>235</v>
      </c>
      <c r="H133" s="21" t="s">
        <v>872</v>
      </c>
      <c r="I133" s="13">
        <v>43013.789479166669</v>
      </c>
      <c r="J133" s="7">
        <v>0</v>
      </c>
      <c r="K133" s="89" t="str">
        <f t="shared" si="82"/>
        <v>4009/4010</v>
      </c>
      <c r="L133" s="185" t="str">
        <f>VLOOKUP(A133,'Trips&amp;Operators'!$C$1:$G$99911,5,FALSE)</f>
        <v>NICHOLSON WESLEY</v>
      </c>
      <c r="M133" s="6">
        <f t="shared" si="83"/>
        <v>2.5972222225391306E-2</v>
      </c>
      <c r="N133" s="7">
        <f t="shared" si="84"/>
        <v>37.400000004563481</v>
      </c>
      <c r="O133" s="7"/>
      <c r="P133" s="7"/>
      <c r="Q133" s="22"/>
      <c r="R133" s="174"/>
      <c r="S133" s="221">
        <f t="shared" si="85"/>
        <v>1</v>
      </c>
      <c r="T133" s="174" t="str">
        <f t="shared" si="86"/>
        <v>NorthBound</v>
      </c>
      <c r="U133" s="198">
        <f>IF(AG133="EC",COUNTIFS(Variables!$M$2:$M$19,IF(T133="NorthBound","&gt;=","&lt;=")&amp;Y133,Variables!$M$2:$M$19,IF(T133="NorthBound","&lt;=","&gt;=")&amp;Z133),COUNTIFS(Variables!$P$2:$P$19,IF(T133="NorthBound","&gt;=","&lt;=")&amp;Y133,Variables!$P$2:$P$19,IF(T133="NorthBound","&lt;=","&gt;=")&amp;Z133))</f>
        <v>12</v>
      </c>
      <c r="V133" s="216" t="str">
        <f t="shared" si="40"/>
        <v>https://d0f6bd738d7f1b3e5a7ca70fe4ff75f0.us-east-1.aws.found.io/app/kibana#/discover/Steve-Slow-Train-Analysis-(2080s-and-2083s)?_g=(refreshInterval:(display:Off,pause:!f,section:0,value:0),time:(from:'2017-10-05T17:14:08-0600',mode:absolute,to:'2017-10-05T19:56:51-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133" s="204" t="str">
        <f>IF(AA133&lt;VLOOKUP(AG133,Variables!$AC$3:$AD$8,2,FALSE),"Y","N")</f>
        <v>N</v>
      </c>
      <c r="X133" s="204">
        <f t="shared" si="92"/>
        <v>1</v>
      </c>
      <c r="Y133" s="204">
        <f t="shared" si="87"/>
        <v>4.7500000000000001E-2</v>
      </c>
      <c r="Z133" s="204">
        <f t="shared" si="88"/>
        <v>23.3338</v>
      </c>
      <c r="AA133" s="204">
        <f t="shared" si="89"/>
        <v>23.286300000000001</v>
      </c>
      <c r="AB133" s="54" t="e">
        <f>VLOOKUP(A133,Enforcements!$C$7:$K$11,8,0)</f>
        <v>#N/A</v>
      </c>
      <c r="AC133" s="51" t="e">
        <f>VLOOKUP(A133,Enforcements!$C$7:$E$11,3,0)</f>
        <v>#N/A</v>
      </c>
      <c r="AD133" s="179">
        <f t="shared" si="90"/>
        <v>217</v>
      </c>
      <c r="AE133" s="77" t="str">
        <f t="shared" si="46"/>
        <v>aws s3 cp s3://rtdc.mdm.uploadarchive.raw/RTDC4010/ "%USERPROFILE%\AppData\Local\Temp\OnboardLogs"\RTDC4010\2017-10-05 --exclude "*" --recursive --include "*20171005*" &amp; "%USERPROFILE%\Documents\GitHub\mrs-test-scripts\Headless Mode &amp; Sideloading\WalkAndUnGZ.bat" "%USERPROFILE%\AppData\Local\Temp\OnboardLogs"\RTDC4010\2017-10-05 &amp; aws s3 cp s3://rtdc.mdm.uploadarchive.raw/RTDC4010/ "%USERPROFILE%\AppData\Local\Temp\OnboardLogs"\RTDC4010\2017-10-06 --exclude "*" --recursive --include "*20171006*" &amp; "%USERPROFILE%\Documents\GitHub\mrs-test-scripts\Headless Mode &amp; Sideloading\WalkAndUnGZ.bat" "%USERPROFILE%\AppData\Local\Temp\OnboardLogs"\RTDC4010\2017-10-06</v>
      </c>
      <c r="AF133" s="74" t="str">
        <f t="shared" si="47"/>
        <v>"C:\Program Files (x86)\AstroGrep\AstroGrep.exe" /e /r /s /spath="%USERPROFILE%\AppData\Local\Temp\OnboardLogs" /stypes="app*4010*20171006*" /stext=" 00:.+((SYSTEM_STATE.+slice.+state.+changed )|(ment ac)|(multiple cpu faults)|(system.+state.+changed )|(\[timeout)|(PRM\|1\|D)|(kpr)|(kdp)|(train st.+moving)|(\|lc)|(penalty))"</v>
      </c>
      <c r="AG133" s="182" t="str">
        <f t="shared" si="91"/>
        <v>EC</v>
      </c>
      <c r="AH133" s="78" t="str">
        <f t="shared" si="49"/>
        <v>"%USERPROFILE%\Documents\GitHub\eaglep3\Utilities\RefineRTDCRunTimes.py" --tripid 217-05 --locoid 4010 --swversion DE.1.0.9.0 --startMP 204:475 --initTime 2017-10-05T18:14:08 --startdatetime 2017-10-05T18:19:27 --delay 235 --endMP 204:233338 --enddatetime 2017-10-05T18:56:51 --enforcementcount 0 &gt;&gt;%USERPROFILE%\Documents\GitHub\eaglep3-reporting\EC\2017-10-05-refined-times.txt</v>
      </c>
      <c r="AI133" s="96" t="str">
        <f t="shared" si="50"/>
        <v>echo {"issue":{"subject":"","project_id":79,"tracker_id":40,"status_id":1,"priority_id":2,"assigned_to_id":338,"start_date":"2017-10-05","description":"","custom_fields":[{"id":1,"name":"Subdivision","value":"EC"},{"id":4,"name":"Milepost","value":"23.3338"},{"id":17,"name":"Train ID","value":"217-05"},{"id":16,"name":"Locomotive ID","value":"4010"},{"id":130,"name":"Impact","value":""},{"id":150,"name":"Time of Event (Mountain Time)","value":"18:56:51"},{"id":151,"name":"Denver Issue ID","value":""},{"id":178,"name":"Operational Impact","value":"Yes"},{"id":179,"name":"Denver Segment Assigned","value":""}]}} | curl --insecure -X POST -H "Content-Type: application/json" -H "X-Redmine-API-Key: %REDMINEAPIKEY%" https://secure.xorail.net/redmine/issues.json --data @-</v>
      </c>
      <c r="AK133" s="47"/>
      <c r="AL133" s="47"/>
      <c r="AM133" s="142" t="str">
        <f t="shared" si="51"/>
        <v>start /low /b %USERPROFILE%\Documents\GitHub\eaglep3\Utilities\DownloadLogsFromS3.py --loco 4010 --day 2017-10-05</v>
      </c>
      <c r="AN133" s="151" t="str">
        <f t="shared" si="52"/>
        <v>echo {"issue":{"subject":"","project_id":30,"tracker_id":4,"status_id":1,"priority_id":1,"assigned_to_id":10,"start_date":"2017-10-06","description":"","custom_fields":[{"id":30,"name":"Category","value":"Issue"},{"id":3,"name":"Functional Component","value":"Onboard"},{"id":31,"name":"Version","value":"N/A"},{"id":8,"name":"Reporting RR","value":"WABTEC"},{"id":27,"name":"Locomotive ID","value":"4010"},{"id":20,"name":"RR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00:56:51"},{"id":29,"name":"Sharepoint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33" s="168" t="str">
        <f t="shared" si="53"/>
        <v>https://d0f6bd738d7f1b3e5a7ca70fe4ff75f0.us-east-1.aws.found.io/app/kibana#/discover/Steve-Slow-Train-Analysis-(2080s-and-2083s)?_g=(refreshInterval:(display:Off,pause:!f,section:0,value:0),time:(from:'2017-10-05T17:14:08-0600',mode:absolute,to:'2017-10-05T19:56:51-0600'))&amp;_a=(columns:!('Message%20ID',Summary),filters:!(),index:'emp_*',interval:auto,query:(query_string:(analyze_wildcard:!t,query:'%22rtdc.l.rtdc.4010%22')),sort:!(Time.ISO8601,asc))</v>
      </c>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row>
    <row r="134" spans="1:91" s="20" customFormat="1" x14ac:dyDescent="0.25">
      <c r="A134" s="32" t="s">
        <v>776</v>
      </c>
      <c r="B134" s="7">
        <v>4009</v>
      </c>
      <c r="C134" s="21" t="s">
        <v>194</v>
      </c>
      <c r="D134" s="21" t="s">
        <v>486</v>
      </c>
      <c r="E134" s="13">
        <v>43013.792997685188</v>
      </c>
      <c r="F134" s="13">
        <v>43013.800324074073</v>
      </c>
      <c r="G134" s="7">
        <v>79</v>
      </c>
      <c r="H134" s="21" t="s">
        <v>852</v>
      </c>
      <c r="I134" s="13">
        <v>43013.828194444446</v>
      </c>
      <c r="J134" s="7">
        <v>0</v>
      </c>
      <c r="K134" s="89" t="str">
        <f t="shared" si="82"/>
        <v>4009/4010</v>
      </c>
      <c r="L134" s="185" t="str">
        <f>VLOOKUP(A134,'Trips&amp;Operators'!$C$1:$G$99911,5,FALSE)</f>
        <v>NICHOLSON WESLEY</v>
      </c>
      <c r="M134" s="6">
        <f t="shared" si="83"/>
        <v>2.7870370373420883E-2</v>
      </c>
      <c r="N134" s="7">
        <f t="shared" si="84"/>
        <v>40.133333337726071</v>
      </c>
      <c r="O134" s="7"/>
      <c r="P134" s="7"/>
      <c r="Q134" s="22"/>
      <c r="R134" s="174"/>
      <c r="S134" s="221">
        <f t="shared" si="85"/>
        <v>1</v>
      </c>
      <c r="T134" s="174" t="str">
        <f t="shared" si="86"/>
        <v>Southbound</v>
      </c>
      <c r="U134" s="198">
        <f>IF(AG134="EC",COUNTIFS(Variables!$M$2:$M$19,IF(T134="NorthBound","&gt;=","&lt;=")&amp;Y134,Variables!$M$2:$M$19,IF(T134="NorthBound","&lt;=","&gt;=")&amp;Z134),COUNTIFS(Variables!$P$2:$P$19,IF(T134="NorthBound","&gt;=","&lt;=")&amp;Y134,Variables!$P$2:$P$19,IF(T134="NorthBound","&lt;=","&gt;=")&amp;Z134))</f>
        <v>12</v>
      </c>
      <c r="V134" s="216" t="str">
        <f t="shared" si="40"/>
        <v>https://d0f6bd738d7f1b3e5a7ca70fe4ff75f0.us-east-1.aws.found.io/app/kibana#/discover/Steve-Slow-Train-Analysis-(2080s-and-2083s)?_g=(refreshInterval:(display:Off,pause:!f,section:0,value:0),time:(from:'2017-10-05T18:01:55-0600',mode:absolute,to:'2017-10-05T20:52:36-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134" s="204" t="str">
        <f>IF(AA134&lt;VLOOKUP(AG134,Variables!$AC$3:$AD$8,2,FALSE),"Y","N")</f>
        <v>N</v>
      </c>
      <c r="X134" s="204">
        <f t="shared" si="92"/>
        <v>1</v>
      </c>
      <c r="Y134" s="204">
        <f t="shared" si="87"/>
        <v>23.298300000000001</v>
      </c>
      <c r="Z134" s="204">
        <f t="shared" si="88"/>
        <v>1.6299999999999999E-2</v>
      </c>
      <c r="AA134" s="204">
        <f t="shared" si="89"/>
        <v>23.282</v>
      </c>
      <c r="AB134" s="54" t="e">
        <f>VLOOKUP(A134,Enforcements!$C$7:$K$11,8,0)</f>
        <v>#N/A</v>
      </c>
      <c r="AC134" s="51" t="e">
        <f>VLOOKUP(A134,Enforcements!$C$7:$E$11,3,0)</f>
        <v>#N/A</v>
      </c>
      <c r="AD134" s="179">
        <f t="shared" si="90"/>
        <v>218</v>
      </c>
      <c r="AE134" s="77" t="str">
        <f t="shared" si="46"/>
        <v>aws s3 cp s3://rtdc.mdm.uploadarchive.raw/RTDC4009/ "%USERPROFILE%\AppData\Local\Temp\OnboardLogs"\RTDC4009\2017-10-05 --exclude "*" --recursive --include "*20171005*" &amp; "%USERPROFILE%\Documents\GitHub\mrs-test-scripts\Headless Mode &amp; Sideloading\WalkAndUnGZ.bat" "%USERPROFILE%\AppData\Local\Temp\OnboardLogs"\RTDC4009\2017-10-05 &amp; aws s3 cp s3://rtdc.mdm.uploadarchive.raw/RTDC4009/ "%USERPROFILE%\AppData\Local\Temp\OnboardLogs"\RTDC4009\2017-10-06 --exclude "*" --recursive --include "*20171006*" &amp; "%USERPROFILE%\Documents\GitHub\mrs-test-scripts\Headless Mode &amp; Sideloading\WalkAndUnGZ.bat" "%USERPROFILE%\AppData\Local\Temp\OnboardLogs"\RTDC4009\2017-10-06</v>
      </c>
      <c r="AF134" s="74" t="str">
        <f t="shared" si="47"/>
        <v>"C:\Program Files (x86)\AstroGrep\AstroGrep.exe" /e /r /s /spath="%USERPROFILE%\AppData\Local\Temp\OnboardLogs" /stypes="app*4009*20171006*" /stext=" 01:.+((SYSTEM_STATE.+slice.+state.+changed )|(ment ac)|(multiple cpu faults)|(system.+state.+changed )|(\[timeout)|(PRM\|1\|D)|(kpr)|(kdp)|(train st.+moving)|(\|lc)|(penalty))"</v>
      </c>
      <c r="AG134" s="182" t="str">
        <f t="shared" si="91"/>
        <v>EC</v>
      </c>
      <c r="AH134" s="78" t="str">
        <f t="shared" si="49"/>
        <v>"%USERPROFILE%\Documents\GitHub\eaglep3\Utilities\RefineRTDCRunTimes.py" --tripid 218-05 --locoid 4009 --swversion DE.1.0.9.0 --startMP 204:232983 --initTime 2017-10-05T19:01:55 --startdatetime 2017-10-05T19:12:28 --delay 79 --endMP 204:163 --enddatetime 2017-10-05T19:52:36 --enforcementcount 0 &gt;&gt;%USERPROFILE%\Documents\GitHub\eaglep3-reporting\EC\2017-10-05-refined-times.txt</v>
      </c>
      <c r="AI134" s="96" t="str">
        <f t="shared" si="50"/>
        <v>echo {"issue":{"subject":"","project_id":79,"tracker_id":40,"status_id":1,"priority_id":2,"assigned_to_id":338,"start_date":"2017-10-05","description":"","custom_fields":[{"id":1,"name":"Subdivision","value":"EC"},{"id":4,"name":"Milepost","value":"0.0163"},{"id":17,"name":"Train ID","value":"218-05"},{"id":16,"name":"Locomotive ID","value":"4009"},{"id":130,"name":"Impact","value":""},{"id":150,"name":"Time of Event (Mountain Time)","value":"19:52:36"},{"id":151,"name":"Denver Issue ID","value":""},{"id":178,"name":"Operational Impact","value":"Yes"},{"id":179,"name":"Denver Segment Assigned","value":""}]}} | curl --insecure -X POST -H "Content-Type: application/json" -H "X-Redmine-API-Key: %REDMINEAPIKEY%" https://secure.xorail.net/redmine/issues.json --data @-</v>
      </c>
      <c r="AK134" s="47"/>
      <c r="AL134" s="47"/>
      <c r="AM134" s="142" t="str">
        <f t="shared" si="51"/>
        <v>start /low /b %USERPROFILE%\Documents\GitHub\eaglep3\Utilities\DownloadLogsFromS3.py --loco 4009 --day 2017-10-05</v>
      </c>
      <c r="AN134" s="151" t="str">
        <f t="shared" si="52"/>
        <v>echo {"issue":{"subject":"","project_id":30,"tracker_id":4,"status_id":1,"priority_id":1,"assigned_to_id":10,"start_date":"2017-10-06","description":"","custom_fields":[{"id":30,"name":"Category","value":"Issue"},{"id":3,"name":"Functional Component","value":"Onboard"},{"id":31,"name":"Version","value":"N/A"},{"id":8,"name":"Reporting RR","value":"WABTEC"},{"id":27,"name":"Locomotive ID","value":"4009"},{"id":20,"name":"RR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01:52:36"},{"id":29,"name":"Sharepoint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34" s="168" t="str">
        <f t="shared" si="53"/>
        <v>https://d0f6bd738d7f1b3e5a7ca70fe4ff75f0.us-east-1.aws.found.io/app/kibana#/discover/Steve-Slow-Train-Analysis-(2080s-and-2083s)?_g=(refreshInterval:(display:Off,pause:!f,section:0,value:0),time:(from:'2017-10-05T18:01:55-0600',mode:absolute,to:'2017-10-05T20:52:36-0600'))&amp;_a=(columns:!('Message%20ID',Summary),filters:!(),index:'emp_*',interval:auto,query:(query_string:(analyze_wildcard:!t,query:'%22rtdc.l.rtdc.4009%22')),sort:!(Time.ISO8601,asc))</v>
      </c>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row>
    <row r="135" spans="1:91" s="20" customFormat="1" x14ac:dyDescent="0.25">
      <c r="A135" s="32" t="s">
        <v>768</v>
      </c>
      <c r="B135" s="7">
        <v>4028</v>
      </c>
      <c r="C135" s="21" t="s">
        <v>194</v>
      </c>
      <c r="D135" s="21" t="s">
        <v>388</v>
      </c>
      <c r="E135" s="13">
        <v>43013.769571759258</v>
      </c>
      <c r="F135" s="13">
        <v>43013.771111111113</v>
      </c>
      <c r="G135" s="7">
        <v>74</v>
      </c>
      <c r="H135" s="21" t="s">
        <v>873</v>
      </c>
      <c r="I135" s="13">
        <v>43013.795972222222</v>
      </c>
      <c r="J135" s="7">
        <v>0</v>
      </c>
      <c r="K135" s="89" t="str">
        <f t="shared" si="82"/>
        <v>4027/4028</v>
      </c>
      <c r="L135" s="185" t="str">
        <f>VLOOKUP(A135,'Trips&amp;Operators'!$C$1:$G$99911,5,FALSE)</f>
        <v>MCREYNOLDS KYLE</v>
      </c>
      <c r="M135" s="6">
        <f t="shared" si="83"/>
        <v>2.4861111109203193E-2</v>
      </c>
      <c r="N135" s="7">
        <f t="shared" si="84"/>
        <v>35.799999997252598</v>
      </c>
      <c r="O135" s="7"/>
      <c r="P135" s="7"/>
      <c r="Q135" s="22"/>
      <c r="R135" s="174"/>
      <c r="S135" s="221">
        <f t="shared" si="85"/>
        <v>1</v>
      </c>
      <c r="T135" s="174" t="str">
        <f t="shared" si="86"/>
        <v>NorthBound</v>
      </c>
      <c r="U135" s="198">
        <f>IF(AG135="EC",COUNTIFS(Variables!$M$2:$M$19,IF(T135="NorthBound","&gt;=","&lt;=")&amp;Y135,Variables!$M$2:$M$19,IF(T135="NorthBound","&lt;=","&gt;=")&amp;Z135),COUNTIFS(Variables!$P$2:$P$19,IF(T135="NorthBound","&gt;=","&lt;=")&amp;Y135,Variables!$P$2:$P$19,IF(T135="NorthBound","&lt;=","&gt;=")&amp;Z135))</f>
        <v>12</v>
      </c>
      <c r="V135" s="216" t="str">
        <f t="shared" si="40"/>
        <v>https://d0f6bd738d7f1b3e5a7ca70fe4ff75f0.us-east-1.aws.found.io/app/kibana#/discover/Steve-Slow-Train-Analysis-(2080s-and-2083s)?_g=(refreshInterval:(display:Off,pause:!f,section:0,value:0),time:(from:'2017-10-05T17:28:11-0600',mode:absolute,to:'2017-10-05T20:06:12-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135" s="204" t="str">
        <f>IF(AA135&lt;VLOOKUP(AG135,Variables!$AC$3:$AD$8,2,FALSE),"Y","N")</f>
        <v>N</v>
      </c>
      <c r="X135" s="204">
        <f t="shared" si="92"/>
        <v>1</v>
      </c>
      <c r="Y135" s="204">
        <f t="shared" si="87"/>
        <v>4.5699999999999998E-2</v>
      </c>
      <c r="Z135" s="204">
        <f t="shared" si="88"/>
        <v>23.3383</v>
      </c>
      <c r="AA135" s="204">
        <f t="shared" si="89"/>
        <v>23.2926</v>
      </c>
      <c r="AB135" s="54" t="e">
        <f>VLOOKUP(A135,Enforcements!$C$7:$K$11,8,0)</f>
        <v>#N/A</v>
      </c>
      <c r="AC135" s="51" t="e">
        <f>VLOOKUP(A135,Enforcements!$C$7:$E$11,3,0)</f>
        <v>#N/A</v>
      </c>
      <c r="AD135" s="179">
        <f t="shared" si="90"/>
        <v>219</v>
      </c>
      <c r="AE135" s="77" t="str">
        <f t="shared" si="46"/>
        <v>aws s3 cp s3://rtdc.mdm.uploadarchive.raw/RTDC4028/ "%USERPROFILE%\AppData\Local\Temp\OnboardLogs"\RTDC4028\2017-10-05 --exclude "*" --recursive --include "*20171005*" &amp; "%USERPROFILE%\Documents\GitHub\mrs-test-scripts\Headless Mode &amp; Sideloading\WalkAndUnGZ.bat" "%USERPROFILE%\AppData\Local\Temp\OnboardLogs"\RTDC4028\2017-10-05 &amp; aws s3 cp s3://rtdc.mdm.uploadarchive.raw/RTDC4028/ "%USERPROFILE%\AppData\Local\Temp\OnboardLogs"\RTDC4028\2017-10-06 --exclude "*" --recursive --include "*20171006*" &amp; "%USERPROFILE%\Documents\GitHub\mrs-test-scripts\Headless Mode &amp; Sideloading\WalkAndUnGZ.bat" "%USERPROFILE%\AppData\Local\Temp\OnboardLogs"\RTDC4028\2017-10-06</v>
      </c>
      <c r="AF135" s="74" t="str">
        <f t="shared" si="47"/>
        <v>"C:\Program Files (x86)\AstroGrep\AstroGrep.exe" /e /r /s /spath="%USERPROFILE%\AppData\Local\Temp\OnboardLogs" /stypes="app*4028*20171006*" /stext=" 01:.+((SYSTEM_STATE.+slice.+state.+changed )|(ment ac)|(multiple cpu faults)|(system.+state.+changed )|(\[timeout)|(PRM\|1\|D)|(kpr)|(kdp)|(train st.+moving)|(\|lc)|(penalty))"</v>
      </c>
      <c r="AG135" s="182" t="str">
        <f t="shared" si="91"/>
        <v>EC</v>
      </c>
      <c r="AH135" s="78" t="str">
        <f t="shared" si="49"/>
        <v>"%USERPROFILE%\Documents\GitHub\eaglep3\Utilities\RefineRTDCRunTimes.py" --tripid 219-05 --locoid 4028 --swversion DE.1.0.9.0 --startMP 204:457 --initTime 2017-10-05T18:28:11 --startdatetime 2017-10-05T18:30:24 --delay 74 --endMP 204:233383 --enddatetime 2017-10-05T19:06:12 --enforcementcount 0 &gt;&gt;%USERPROFILE%\Documents\GitHub\eaglep3-reporting\EC\2017-10-05-refined-times.txt</v>
      </c>
      <c r="AI135" s="96" t="str">
        <f t="shared" si="50"/>
        <v>echo {"issue":{"subject":"","project_id":79,"tracker_id":40,"status_id":1,"priority_id":2,"assigned_to_id":338,"start_date":"2017-10-05","description":"","custom_fields":[{"id":1,"name":"Subdivision","value":"EC"},{"id":4,"name":"Milepost","value":"23.3383"},{"id":17,"name":"Train ID","value":"219-05"},{"id":16,"name":"Locomotive ID","value":"4028"},{"id":130,"name":"Impact","value":""},{"id":150,"name":"Time of Event (Mountain Time)","value":"19:06:12"},{"id":151,"name":"Denver Issue ID","value":""},{"id":178,"name":"Operational Impact","value":"Yes"},{"id":179,"name":"Denver Segment Assigned","value":""}]}} | curl --insecure -X POST -H "Content-Type: application/json" -H "X-Redmine-API-Key: %REDMINEAPIKEY%" https://secure.xorail.net/redmine/issues.json --data @-</v>
      </c>
      <c r="AK135" s="47"/>
      <c r="AL135" s="47"/>
      <c r="AM135" s="142" t="str">
        <f t="shared" si="51"/>
        <v>start /low /b %USERPROFILE%\Documents\GitHub\eaglep3\Utilities\DownloadLogsFromS3.py --loco 4028 --day 2017-10-05</v>
      </c>
      <c r="AN135" s="151" t="str">
        <f t="shared" si="52"/>
        <v>echo {"issue":{"subject":"","project_id":30,"tracker_id":4,"status_id":1,"priority_id":1,"assigned_to_id":10,"start_date":"2017-10-06","description":"","custom_fields":[{"id":30,"name":"Category","value":"Issue"},{"id":3,"name":"Functional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01:06:12"},{"id":29,"name":"Sharepoint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35" s="168" t="str">
        <f t="shared" si="53"/>
        <v>https://d0f6bd738d7f1b3e5a7ca70fe4ff75f0.us-east-1.aws.found.io/app/kibana#/discover/Steve-Slow-Train-Analysis-(2080s-and-2083s)?_g=(refreshInterval:(display:Off,pause:!f,section:0,value:0),time:(from:'2017-10-05T17:28:11-0600',mode:absolute,to:'2017-10-05T20:06:12-0600'))&amp;_a=(columns:!('Message%20ID',Summary),filters:!(),index:'emp_*',interval:auto,query:(query_string:(analyze_wildcard:!t,query:'%22rtdc.l.rtdc.4028%22')),sort:!(Time.ISO8601,asc))</v>
      </c>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row>
    <row r="136" spans="1:91" s="20" customFormat="1" x14ac:dyDescent="0.25">
      <c r="A136" s="32" t="s">
        <v>780</v>
      </c>
      <c r="B136" s="7">
        <v>4027</v>
      </c>
      <c r="C136" s="21" t="s">
        <v>194</v>
      </c>
      <c r="D136" s="21" t="s">
        <v>388</v>
      </c>
      <c r="E136" s="13">
        <v>43013.769571759258</v>
      </c>
      <c r="F136" s="13">
        <v>43013.810555555552</v>
      </c>
      <c r="G136" s="7">
        <v>74</v>
      </c>
      <c r="H136" s="21" t="s">
        <v>873</v>
      </c>
      <c r="I136" s="13">
        <v>43013.840601851851</v>
      </c>
      <c r="J136" s="7">
        <v>0</v>
      </c>
      <c r="K136" s="89" t="str">
        <f t="shared" si="82"/>
        <v>4027/4028</v>
      </c>
      <c r="L136" s="185" t="str">
        <f>VLOOKUP(A136,'Trips&amp;Operators'!$C$1:$G$99911,5,FALSE)</f>
        <v>MCREYNOLDS KYLE</v>
      </c>
      <c r="M136" s="6">
        <f t="shared" si="83"/>
        <v>3.0046296298678499E-2</v>
      </c>
      <c r="N136" s="7">
        <f t="shared" si="84"/>
        <v>43.266666670097038</v>
      </c>
      <c r="O136" s="7"/>
      <c r="P136" s="7"/>
      <c r="Q136" s="22"/>
      <c r="R136" s="174"/>
      <c r="S136" s="221">
        <f t="shared" si="85"/>
        <v>1</v>
      </c>
      <c r="T136" s="174" t="str">
        <f t="shared" si="86"/>
        <v>Southbound</v>
      </c>
      <c r="U136" s="198">
        <f>IF(AG136="EC",COUNTIFS(Variables!$M$2:$M$19,IF(T136="NorthBound","&gt;=","&lt;=")&amp;Y136,Variables!$M$2:$M$19,IF(T136="NorthBound","&lt;=","&gt;=")&amp;Z136),COUNTIFS(Variables!$P$2:$P$19,IF(T136="NorthBound","&gt;=","&lt;=")&amp;Y136,Variables!$P$2:$P$19,IF(T136="NorthBound","&lt;=","&gt;=")&amp;Z136))</f>
        <v>12</v>
      </c>
      <c r="V136" s="216" t="str">
        <f t="shared" si="40"/>
        <v>https://d0f6bd738d7f1b3e5a7ca70fe4ff75f0.us-east-1.aws.found.io/app/kibana#/discover/Steve-Slow-Train-Analysis-(2080s-and-2083s)?_g=(refreshInterval:(display:Off,pause:!f,section:0,value:0),time:(from:'2017-10-05T17:28:11-0600',mode:absolute,to:'2017-10-05T21:10:28-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136" s="204" t="str">
        <f>IF(AA136&lt;VLOOKUP(AG136,Variables!$AC$3:$AD$8,2,FALSE),"Y","N")</f>
        <v>N</v>
      </c>
      <c r="X136" s="204">
        <f t="shared" si="92"/>
        <v>1</v>
      </c>
      <c r="Y136" s="204">
        <v>23.298300000000001</v>
      </c>
      <c r="Z136" s="204">
        <v>1.6299999999999999E-2</v>
      </c>
      <c r="AA136" s="204">
        <f t="shared" si="89"/>
        <v>23.282</v>
      </c>
      <c r="AB136" s="54" t="e">
        <f>VLOOKUP(A136,Enforcements!$C$7:$K$11,8,0)</f>
        <v>#N/A</v>
      </c>
      <c r="AC136" s="51" t="e">
        <f>VLOOKUP(A136,Enforcements!$C$7:$E$11,3,0)</f>
        <v>#N/A</v>
      </c>
      <c r="AD136" s="179">
        <f t="shared" si="90"/>
        <v>220</v>
      </c>
      <c r="AE136" s="77" t="str">
        <f t="shared" si="46"/>
        <v>aws s3 cp s3://rtdc.mdm.uploadarchive.raw/RTDC4027/ "%USERPROFILE%\AppData\Local\Temp\OnboardLogs"\RTDC4027\2017-10-05 --exclude "*" --recursive --include "*20171005*" &amp; "%USERPROFILE%\Documents\GitHub\mrs-test-scripts\Headless Mode &amp; Sideloading\WalkAndUnGZ.bat" "%USERPROFILE%\AppData\Local\Temp\OnboardLogs"\RTDC4027\2017-10-05 &amp; aws s3 cp s3://rtdc.mdm.uploadarchive.raw/RTDC4027/ "%USERPROFILE%\AppData\Local\Temp\OnboardLogs"\RTDC4027\2017-10-06 --exclude "*" --recursive --include "*20171006*" &amp; "%USERPROFILE%\Documents\GitHub\mrs-test-scripts\Headless Mode &amp; Sideloading\WalkAndUnGZ.bat" "%USERPROFILE%\AppData\Local\Temp\OnboardLogs"\RTDC4027\2017-10-06</v>
      </c>
      <c r="AF136" s="74" t="str">
        <f t="shared" si="47"/>
        <v>"C:\Program Files (x86)\AstroGrep\AstroGrep.exe" /e /r /s /spath="%USERPROFILE%\AppData\Local\Temp\OnboardLogs" /stypes="app*4027*20171006*" /stext=" 02:.+((SYSTEM_STATE.+slice.+state.+changed )|(ment ac)|(multiple cpu faults)|(system.+state.+changed )|(\[timeout)|(PRM\|1\|D)|(kpr)|(kdp)|(train st.+moving)|(\|lc)|(penalty))"</v>
      </c>
      <c r="AG136" s="182" t="str">
        <f t="shared" si="91"/>
        <v>EC</v>
      </c>
      <c r="AH136" s="78" t="str">
        <f t="shared" ref="AH136" si="93">refinertdcruntimes&amp;" --tripid "&amp;A136&amp;" --locoid "&amp;B136&amp;" --swversion "&amp;C136&amp;" --startMP "&amp;D136&amp;" --initTime "&amp;TEXT(E136,"yyyy-mm-ddTHH:MM:SS")&amp;" --startdatetime "&amp;TEXT(F136,"yyyy-mm-ddTHH:MM:SS")&amp;" --delay "&amp;G136&amp;" --endMP "&amp;H136&amp;" --enddatetime "&amp;TEXT(I136,"yyyy-mm-ddTHH:MM:SS")&amp;" --enforcementcount "&amp;J136&amp;IF(outputrefinedruntimes," &gt;&gt;"&amp;RefinedRTDCRunTimesOutputFile,"")</f>
        <v>"%USERPROFILE%\Documents\GitHub\eaglep3\Utilities\RefineRTDCRunTimes.py" --tripid 220-05 --locoid 4027 --swversion DE.1.0.9.0 --startMP 204:457 --initTime 2017-10-05T18:28:11 --startdatetime 2017-10-05T19:27:12 --delay 74 --endMP 204:233383 --enddatetime 2017-10-05T20:10:28 --enforcementcount 0 &gt;&gt;%USERPROFILE%\Documents\GitHub\eaglep3-reporting\EC\2017-10-05-refined-times.txt</v>
      </c>
      <c r="AI136" s="96" t="str">
        <f t="shared" ref="AI136" si="94">"echo {""issue"":{""subject"":"""&amp;R136&amp;""",""project_id"":79,""tracker_id"":40,""status_id"":"&amp;redmine_status&amp;",""priority_id"":"&amp;redmine_priority&amp;",""assigned_to_id"":"&amp;redmine_assignee&amp;",""start_date"":"""&amp;TEXT(I136,"YYYY-mm-dd")&amp;""",""description"":"""&amp;AJ136&amp;""",""custom_fields"":[{""id"":1,""name"":""Subdivision"",""value"":"""&amp;AG136&amp;"""},{""id"":4,""name"":""Milepost"",""value"":"""&amp;Z136&amp;"""},{""id"":17,""name"":""Train ID"",""value"":"""&amp;A136&amp;"""},{""id"":16,""name"":""Locomotive ID"",""value"":"""&amp;B136&amp;"""},{""id"":130,""name"":""Impact"",""value"":"""&amp;AK136&amp;"""},{""id"":150,""name"":""Time of Event (Mountain Time)"",""value"":"""&amp;TEXT(I136,"hh:mm:ss")&amp;"""},{""id"":151,""name"":""Denver Issue ID"",""value"":"""&amp;"""},{""id"":178,""name"":""Operational Impact"",""value"":"""&amp;redmine_op_impact&amp;"""},{""id"":179,""name"":""Denver Segment Assigned"",""value"":"""&amp;AL136&amp;"""}]}}"&amp;" | curl --insecure -X POST -H ""Content-Type: application/json"" -H ""X-Redmine-API-Key: "&amp;redm_api_key&amp;""" "&amp;redm_url&amp;" --data @-"</f>
        <v>echo {"issue":{"subject":"","project_id":79,"tracker_id":40,"status_id":1,"priority_id":2,"assigned_to_id":338,"start_date":"2017-10-05","description":"","custom_fields":[{"id":1,"name":"Subdivision","value":"EC"},{"id":4,"name":"Milepost","value":"0.0163"},{"id":17,"name":"Train ID","value":"220-05"},{"id":16,"name":"Locomotive ID","value":"4027"},{"id":130,"name":"Impact","value":""},{"id":150,"name":"Time of Event (Mountain Time)","value":"20:10:28"},{"id":151,"name":"Denver Issue ID","value":""},{"id":178,"name":"Operational Impact","value":"Yes"},{"id":179,"name":"Denver Segment Assigned","value":""}]}} | curl --insecure -X POST -H "Content-Type: application/json" -H "X-Redmine-API-Key: %REDMINEAPIKEY%" https://secure.xorail.net/redmine/issues.json --data @-</v>
      </c>
      <c r="AK136" s="47"/>
      <c r="AL136" s="47"/>
      <c r="AM136" s="142" t="str">
        <f t="shared" ref="AM136" si="95">"start /low /b "&amp;dls3logs&amp;" --loco "&amp;B136&amp;" --day "&amp;TEXT(F136,"YYYY-MM-DD")</f>
        <v>start /low /b %USERPROFILE%\Documents\GitHub\eaglep3\Utilities\DownloadLogsFromS3.py --loco 4027 --day 2017-10-05</v>
      </c>
      <c r="AN136" s="151" t="str">
        <f t="shared" ref="AN136" si="96">"echo {""issue"":{""subject"":"""&amp;R136&amp;""",""project_id"":30,""tracker_id"":4,""status_id"":"&amp;redmine_status_wcr&amp;",""priority_id"":"&amp;redmine_priority_wcr&amp;",""assigned_to_id"":"&amp;redmine_assignee_wcr&amp;",""start_date"":"""&amp;TEXT(I136-utc_offset/24,"YYYY-mm-dd")&amp;""",""description"":"""&amp;AJ136&amp;""",""custom_fields"":[{""id"":30,""name"":""Category"",""value"":""Issue""},{""id"":3,""name"":""Functional Component"",""value"":""Onboard""},{""id"":31,""name"":""Version"",""value"":""N/A""},{""id"":8,""name"":""Reporting RR"",""value"":""WABTEC""},{""id"":27,""name"":""Locomotive ID"",""value"":"""&amp;B136&amp;"""},{""id"":20,""name"":""RR Requested Build"",""value"":""""},{""id"":1,""name"":""Build Request Notes"",""value"":"""&amp;"""},{""id"":9,""name"":""RR Assessed Issue Severity"",""value"":""4-Minor""},{""id"":10,""name"":""RR Severity Justification"",""value"":""test RR Severity Justification""}"&amp;",{""id"":11,""name"":""Wabtec Assessed Severity"",""value"":""""}"&amp;",{""id"":12,""name"":""Wabtec Severity Justification"",""value"":""""}"&amp;",{""id"":18,""name"":""RR Assessed Safety Criticality"",""value"":""Not Safety Related""}"&amp;",{""id"":19,""name"":""RR Criticality Justification"",""value"":""test RR Criticality Justification""}"&amp;",{""id"":22,""name"":""WRE Assessed Safety Critical"",""value"":""""}"&amp;",{""id"":23,""name"":""WRE Criticality Justification"",""value"":""""}"&amp;",{""id"":24,""name"":""Customer's Tracking Number"",""value"":""""}"&amp;",{""id"":28,""name"":""Date \u0026 Time of event UTC"",""value"":"""&amp;TEXT(I136-utc_offset/24,"YYYY-MM-DD hh:mm:ss")&amp;"""}"&amp;",{""id"":29,""name"":""Sharepoint Issue ID"",""value"":""""}"&amp;",{""id"":25,""name"":""Customer's Email Address"",""value"":""stu@wabtec.com""}"&amp;",{""id"":33,""name"":""Customer Call Back Number"",""value"":""904-316-8563""}"&amp;",{""id"":34,""name"":""Customer Name"",""value"":""Steve Tu""}"&amp;",{""id"":55,""name"":""WRE CR#"",""value"":""""}"&amp;",{""id"":57,""name"":""Reclassify Severity"",""value"":""""}"&amp;",{""id"":58,""name"":""Reclassify Safety"",""value"":""""}"&amp;",{""id"":59,""name"":""Environment "",""value"":""Production""}"&amp;"]}}"&amp;" | curl --insecure -X POST -H ""Content-Type: application/json"" -H ""X-Redmine-API-Key: "&amp;redmine_api_wcr&amp;""" "&amp;redmine_url_wcr&amp;" --data @-"</f>
        <v>echo {"issue":{"subject":"","project_id":30,"tracker_id":4,"status_id":1,"priority_id":1,"assigned_to_id":10,"start_date":"2017-10-06","description":"","custom_fields":[{"id":30,"name":"Category","value":"Issue"},{"id":3,"name":"Functional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02:10:28"},{"id":29,"name":"Sharepoint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36" s="168" t="str">
        <f t="shared" ref="AO136" si="97">"https://d0f6bd738d7f1b3e5a7ca70fe4ff75f0.us-east-1.aws.found.io/app/kibana#/discover/Steve-Slow-Train-Analysis-(2080s-and-2083s)?_g="&amp;"(refreshInterval:(display:Off,pause:!f,section:0,value:0),time:(from:'"&amp;TEXT(E136-1/24,"yyyy-MM-DDThh:mm:ss")&amp;utc_offset&amp;"00"&amp;"',mode:absolute,to:'"&amp;TEXT(I136+1/24,"yyyy-MM-DDThh:mm:ss")&amp;utc_offset&amp;"00"&amp;"'))&amp;_a=(columns:!('Message%20ID',Summary),filters:!(),index:'emp_*',interval:auto,query:"&amp;"(query_string:(analyze_wildcard:!t,query:'%22rtdc.l.rtdc."&amp;B136&amp;"%22')),sort:!(Time.ISO8601,asc))"</f>
        <v>https://d0f6bd738d7f1b3e5a7ca70fe4ff75f0.us-east-1.aws.found.io/app/kibana#/discover/Steve-Slow-Train-Analysis-(2080s-and-2083s)?_g=(refreshInterval:(display:Off,pause:!f,section:0,value:0),time:(from:'2017-10-05T17:28:11-0600',mode:absolute,to:'2017-10-05T21:10:28-0600'))&amp;_a=(columns:!('Message%20ID',Summary),filters:!(),index:'emp_*',interval:auto,query:(query_string:(analyze_wildcard:!t,query:'%22rtdc.l.rtdc.4027%22')),sort:!(Time.ISO8601,asc))</v>
      </c>
    </row>
    <row r="137" spans="1:91" s="20" customFormat="1" x14ac:dyDescent="0.25">
      <c r="A137" s="32" t="s">
        <v>777</v>
      </c>
      <c r="B137" s="7">
        <v>4044</v>
      </c>
      <c r="C137" s="21" t="s">
        <v>194</v>
      </c>
      <c r="D137" s="21" t="s">
        <v>458</v>
      </c>
      <c r="E137" s="13">
        <v>43013.793807870374</v>
      </c>
      <c r="F137" s="13">
        <v>43013.795254629629</v>
      </c>
      <c r="G137" s="7">
        <v>62</v>
      </c>
      <c r="H137" s="21" t="s">
        <v>832</v>
      </c>
      <c r="I137" s="13">
        <v>43013.819432870368</v>
      </c>
      <c r="J137" s="7">
        <v>0</v>
      </c>
      <c r="K137" s="89" t="str">
        <f t="shared" si="82"/>
        <v>4043/4044</v>
      </c>
      <c r="L137" s="185" t="str">
        <f>VLOOKUP(A137,'Trips&amp;Operators'!$C$1:$G$99911,5,FALSE)</f>
        <v>HART KEVIN</v>
      </c>
      <c r="M137" s="6">
        <f t="shared" si="83"/>
        <v>2.417824073927477E-2</v>
      </c>
      <c r="N137" s="7">
        <f t="shared" si="84"/>
        <v>34.816666664555669</v>
      </c>
      <c r="O137" s="7"/>
      <c r="P137" s="7"/>
      <c r="Q137" s="22"/>
      <c r="R137" s="174"/>
      <c r="S137" s="221">
        <f t="shared" si="85"/>
        <v>1</v>
      </c>
      <c r="T137" s="174" t="str">
        <f t="shared" si="86"/>
        <v>NorthBound</v>
      </c>
      <c r="U137" s="198">
        <f>IF(AG137="EC",COUNTIFS(Variables!$M$2:$M$19,IF(T137="NorthBound","&gt;=","&lt;=")&amp;Y137,Variables!$M$2:$M$19,IF(T137="NorthBound","&lt;=","&gt;=")&amp;Z137),COUNTIFS(Variables!$P$2:$P$19,IF(T137="NorthBound","&gt;=","&lt;=")&amp;Y137,Variables!$P$2:$P$19,IF(T137="NorthBound","&lt;=","&gt;=")&amp;Z137))</f>
        <v>12</v>
      </c>
      <c r="V137" s="216" t="str">
        <f t="shared" si="40"/>
        <v>https://d0f6bd738d7f1b3e5a7ca70fe4ff75f0.us-east-1.aws.found.io/app/kibana#/discover/Steve-Slow-Train-Analysis-(2080s-and-2083s)?_g=(refreshInterval:(display:Off,pause:!f,section:0,value:0),time:(from:'2017-10-05T18:03:05-0600',mode:absolute,to:'2017-10-05T20:39:59-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4044%22')),sort:!(Time.ISO8601,asc))</v>
      </c>
      <c r="W137" s="204" t="str">
        <f>IF(AA137&lt;VLOOKUP(AG137,Variables!$AC$3:$AD$8,2,FALSE),"Y","N")</f>
        <v>N</v>
      </c>
      <c r="X137" s="204">
        <f t="shared" ref="X137:X139" si="98">VALUE(LEFT(AD137,4))-VALUE(LEFT(AD136,4))</f>
        <v>1</v>
      </c>
      <c r="Y137" s="204">
        <f>RIGHT(D137,LEN(D137)-4)/10000</f>
        <v>4.3700000000000003E-2</v>
      </c>
      <c r="Z137" s="204">
        <f>RIGHT(H137,LEN(H137)-4)/10000</f>
        <v>23.329499999999999</v>
      </c>
      <c r="AA137" s="204">
        <f t="shared" si="89"/>
        <v>23.285799999999998</v>
      </c>
      <c r="AB137" s="54" t="e">
        <f>VLOOKUP(A137,Enforcements!$C$7:$K$11,8,0)</f>
        <v>#N/A</v>
      </c>
      <c r="AC137" s="51" t="e">
        <f>VLOOKUP(A137,Enforcements!$C$7:$E$11,3,0)</f>
        <v>#N/A</v>
      </c>
      <c r="AD137" s="179">
        <f t="shared" si="90"/>
        <v>221</v>
      </c>
      <c r="AE137" s="77" t="str">
        <f t="shared" si="46"/>
        <v>aws s3 cp s3://rtdc.mdm.uploadarchive.raw/RTDC4044/ "%USERPROFILE%\AppData\Local\Temp\OnboardLogs"\RTDC4044\2017-10-05 --exclude "*" --recursive --include "*20171005*" &amp; "%USERPROFILE%\Documents\GitHub\mrs-test-scripts\Headless Mode &amp; Sideloading\WalkAndUnGZ.bat" "%USERPROFILE%\AppData\Local\Temp\OnboardLogs"\RTDC4044\2017-10-05 &amp; aws s3 cp s3://rtdc.mdm.uploadarchive.raw/RTDC4044/ "%USERPROFILE%\AppData\Local\Temp\OnboardLogs"\RTDC4044\2017-10-06 --exclude "*" --recursive --include "*20171006*" &amp; "%USERPROFILE%\Documents\GitHub\mrs-test-scripts\Headless Mode &amp; Sideloading\WalkAndUnGZ.bat" "%USERPROFILE%\AppData\Local\Temp\OnboardLogs"\RTDC4044\2017-10-06</v>
      </c>
      <c r="AF137" s="74" t="str">
        <f t="shared" si="47"/>
        <v>"C:\Program Files (x86)\AstroGrep\AstroGrep.exe" /e /r /s /spath="%USERPROFILE%\AppData\Local\Temp\OnboardLogs" /stypes="app*4044*20171006*" /stext=" 01:.+((SYSTEM_STATE.+slice.+state.+changed )|(ment ac)|(multiple cpu faults)|(system.+state.+changed )|(\[timeout)|(PRM\|1\|D)|(kpr)|(kdp)|(train st.+moving)|(\|lc)|(penalty))"</v>
      </c>
      <c r="AG137" s="182" t="str">
        <f t="shared" si="91"/>
        <v>EC</v>
      </c>
      <c r="AH137" s="78" t="str">
        <f t="shared" si="49"/>
        <v>"%USERPROFILE%\Documents\GitHub\eaglep3\Utilities\RefineRTDCRunTimes.py" --tripid 221-05 --locoid 4044 --swversion DE.1.0.9.0 --startMP 204:437 --initTime 2017-10-05T19:03:05 --startdatetime 2017-10-05T19:05:10 --delay 62 --endMP 204:233295 --enddatetime 2017-10-05T19:39:59 --enforcementcount 0 &gt;&gt;%USERPROFILE%\Documents\GitHub\eaglep3-reporting\EC\2017-10-05-refined-times.txt</v>
      </c>
      <c r="AI137" s="96" t="str">
        <f t="shared" si="50"/>
        <v>echo {"issue":{"subject":"","project_id":79,"tracker_id":40,"status_id":1,"priority_id":2,"assigned_to_id":338,"start_date":"2017-10-05","description":"","custom_fields":[{"id":1,"name":"Subdivision","value":"EC"},{"id":4,"name":"Milepost","value":"23.3295"},{"id":17,"name":"Train ID","value":"221-05"},{"id":16,"name":"Locomotive ID","value":"4044"},{"id":130,"name":"Impact","value":""},{"id":150,"name":"Time of Event (Mountain Time)","value":"19:39:59"},{"id":151,"name":"Denver Issue ID","value":""},{"id":178,"name":"Operational Impact","value":"Yes"},{"id":179,"name":"Denver Segment Assigned","value":""}]}} | curl --insecure -X POST -H "Content-Type: application/json" -H "X-Redmine-API-Key: %REDMINEAPIKEY%" https://secure.xorail.net/redmine/issues.json --data @-</v>
      </c>
      <c r="AK137" s="47"/>
      <c r="AL137" s="47"/>
      <c r="AM137" s="142" t="str">
        <f t="shared" si="51"/>
        <v>start /low /b %USERPROFILE%\Documents\GitHub\eaglep3\Utilities\DownloadLogsFromS3.py --loco 4044 --day 2017-10-05</v>
      </c>
      <c r="AN137" s="151" t="str">
        <f t="shared" si="52"/>
        <v>echo {"issue":{"subject":"","project_id":30,"tracker_id":4,"status_id":1,"priority_id":1,"assigned_to_id":10,"start_date":"2017-10-06","description":"","custom_fields":[{"id":30,"name":"Category","value":"Issue"},{"id":3,"name":"Functional Component","value":"Onboard"},{"id":31,"name":"Version","value":"N/A"},{"id":8,"name":"Reporting RR","value":"WABTEC"},{"id":27,"name":"Locomotive ID","value":"4044"},{"id":20,"name":"RR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01:39:59"},{"id":29,"name":"Sharepoint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37" s="168" t="str">
        <f t="shared" si="53"/>
        <v>https://d0f6bd738d7f1b3e5a7ca70fe4ff75f0.us-east-1.aws.found.io/app/kibana#/discover/Steve-Slow-Train-Analysis-(2080s-and-2083s)?_g=(refreshInterval:(display:Off,pause:!f,section:0,value:0),time:(from:'2017-10-05T18:03:05-0600',mode:absolute,to:'2017-10-05T20:39:59-0600'))&amp;_a=(columns:!('Message%20ID',Summary),filters:!(),index:'emp_*',interval:auto,query:(query_string:(analyze_wildcard:!t,query:'%22rtdc.l.rtdc.4044%22')),sort:!(Time.ISO8601,asc))</v>
      </c>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row>
    <row r="138" spans="1:91" s="20" customFormat="1" x14ac:dyDescent="0.25">
      <c r="A138" s="32" t="s">
        <v>784</v>
      </c>
      <c r="B138" s="7">
        <v>4043</v>
      </c>
      <c r="C138" s="21" t="s">
        <v>194</v>
      </c>
      <c r="D138" s="21" t="s">
        <v>458</v>
      </c>
      <c r="E138" s="13">
        <v>43013.793807870374</v>
      </c>
      <c r="F138" s="13">
        <v>43013.831493055557</v>
      </c>
      <c r="G138" s="7">
        <v>62</v>
      </c>
      <c r="H138" s="21" t="s">
        <v>832</v>
      </c>
      <c r="I138" s="13">
        <v>43013.859398148146</v>
      </c>
      <c r="J138" s="7">
        <v>0</v>
      </c>
      <c r="K138" s="89" t="str">
        <f t="shared" si="82"/>
        <v>4043/4044</v>
      </c>
      <c r="L138" s="185" t="str">
        <f>VLOOKUP(A138,'Trips&amp;Operators'!$C$1:$G$99911,5,FALSE)</f>
        <v>HART KEVIN</v>
      </c>
      <c r="M138" s="6">
        <f t="shared" si="83"/>
        <v>2.7905092589207925E-2</v>
      </c>
      <c r="N138" s="7">
        <f t="shared" si="84"/>
        <v>40.183333328459412</v>
      </c>
      <c r="O138" s="7"/>
      <c r="P138" s="7"/>
      <c r="Q138" s="22"/>
      <c r="R138" s="174"/>
      <c r="S138" s="221">
        <f t="shared" si="85"/>
        <v>1</v>
      </c>
      <c r="T138" s="174" t="str">
        <f t="shared" si="86"/>
        <v>Southbound</v>
      </c>
      <c r="U138" s="198">
        <f>IF(AG138="EC",COUNTIFS(Variables!$M$2:$M$19,IF(T138="NorthBound","&gt;=","&lt;=")&amp;Y138,Variables!$M$2:$M$19,IF(T138="NorthBound","&lt;=","&gt;=")&amp;Z138),COUNTIFS(Variables!$P$2:$P$19,IF(T138="NorthBound","&gt;=","&lt;=")&amp;Y138,Variables!$P$2:$P$19,IF(T138="NorthBound","&lt;=","&gt;=")&amp;Z138))</f>
        <v>12</v>
      </c>
      <c r="V138" s="216" t="str">
        <f t="shared" si="40"/>
        <v>https://d0f6bd738d7f1b3e5a7ca70fe4ff75f0.us-east-1.aws.found.io/app/kibana#/discover/Steve-Slow-Train-Analysis-(2080s-and-2083s)?_g=(refreshInterval:(display:Off,pause:!f,section:0,value:0),time:(from:'2017-10-05T18:03:05-0600',mode:absolute,to:'2017-10-05T21:37:32-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4043%22')),sort:!(Time.ISO8601,asc))</v>
      </c>
      <c r="W138" s="204" t="str">
        <f>IF(AA138&lt;VLOOKUP(AG138,Variables!$AC$3:$AD$8,2,FALSE),"Y","N")</f>
        <v>N</v>
      </c>
      <c r="X138" s="204">
        <f t="shared" si="98"/>
        <v>1</v>
      </c>
      <c r="Y138" s="204">
        <v>23.298300000000001</v>
      </c>
      <c r="Z138" s="204">
        <v>1.6299999999999999E-2</v>
      </c>
      <c r="AA138" s="204">
        <f t="shared" si="89"/>
        <v>23.282</v>
      </c>
      <c r="AB138" s="54" t="e">
        <f>VLOOKUP(A138,Enforcements!$C$7:$K$11,8,0)</f>
        <v>#N/A</v>
      </c>
      <c r="AC138" s="51" t="e">
        <f>VLOOKUP(A138,Enforcements!$C$7:$E$11,3,0)</f>
        <v>#N/A</v>
      </c>
      <c r="AD138" s="179">
        <f t="shared" si="90"/>
        <v>222</v>
      </c>
      <c r="AE138" s="77" t="str">
        <f t="shared" si="46"/>
        <v>aws s3 cp s3://rtdc.mdm.uploadarchive.raw/RTDC4043/ "%USERPROFILE%\AppData\Local\Temp\OnboardLogs"\RTDC4043\2017-10-05 --exclude "*" --recursive --include "*20171005*" &amp; "%USERPROFILE%\Documents\GitHub\mrs-test-scripts\Headless Mode &amp; Sideloading\WalkAndUnGZ.bat" "%USERPROFILE%\AppData\Local\Temp\OnboardLogs"\RTDC4043\2017-10-05 &amp; aws s3 cp s3://rtdc.mdm.uploadarchive.raw/RTDC4043/ "%USERPROFILE%\AppData\Local\Temp\OnboardLogs"\RTDC4043\2017-10-06 --exclude "*" --recursive --include "*20171006*" &amp; "%USERPROFILE%\Documents\GitHub\mrs-test-scripts\Headless Mode &amp; Sideloading\WalkAndUnGZ.bat" "%USERPROFILE%\AppData\Local\Temp\OnboardLogs"\RTDC4043\2017-10-06</v>
      </c>
      <c r="AF138" s="74" t="str">
        <f t="shared" si="47"/>
        <v>"C:\Program Files (x86)\AstroGrep\AstroGrep.exe" /e /r /s /spath="%USERPROFILE%\AppData\Local\Temp\OnboardLogs" /stypes="app*4043*20171006*" /stext=" 02:.+((SYSTEM_STATE.+slice.+state.+changed )|(ment ac)|(multiple cpu faults)|(system.+state.+changed )|(\[timeout)|(PRM\|1\|D)|(kpr)|(kdp)|(train st.+moving)|(\|lc)|(penalty))"</v>
      </c>
      <c r="AG138" s="182" t="str">
        <f t="shared" si="91"/>
        <v>EC</v>
      </c>
      <c r="AH138" s="78" t="str">
        <f t="shared" ref="AH138" si="99">refinertdcruntimes&amp;" --tripid "&amp;A138&amp;" --locoid "&amp;B138&amp;" --swversion "&amp;C138&amp;" --startMP "&amp;D138&amp;" --initTime "&amp;TEXT(E138,"yyyy-mm-ddTHH:MM:SS")&amp;" --startdatetime "&amp;TEXT(F138,"yyyy-mm-ddTHH:MM:SS")&amp;" --delay "&amp;G138&amp;" --endMP "&amp;H138&amp;" --enddatetime "&amp;TEXT(I138,"yyyy-mm-ddTHH:MM:SS")&amp;" --enforcementcount "&amp;J138&amp;IF(outputrefinedruntimes," &gt;&gt;"&amp;RefinedRTDCRunTimesOutputFile,"")</f>
        <v>"%USERPROFILE%\Documents\GitHub\eaglep3\Utilities\RefineRTDCRunTimes.py" --tripid 222-05 --locoid 4043 --swversion DE.1.0.9.0 --startMP 204:437 --initTime 2017-10-05T19:03:05 --startdatetime 2017-10-05T19:57:21 --delay 62 --endMP 204:233295 --enddatetime 2017-10-05T20:37:32 --enforcementcount 0 &gt;&gt;%USERPROFILE%\Documents\GitHub\eaglep3-reporting\EC\2017-10-05-refined-times.txt</v>
      </c>
      <c r="AI138" s="96" t="str">
        <f t="shared" ref="AI138" si="100">"echo {""issue"":{""subject"":"""&amp;R138&amp;""",""project_id"":79,""tracker_id"":40,""status_id"":"&amp;redmine_status&amp;",""priority_id"":"&amp;redmine_priority&amp;",""assigned_to_id"":"&amp;redmine_assignee&amp;",""start_date"":"""&amp;TEXT(I138,"YYYY-mm-dd")&amp;""",""description"":"""&amp;AJ138&amp;""",""custom_fields"":[{""id"":1,""name"":""Subdivision"",""value"":"""&amp;AG138&amp;"""},{""id"":4,""name"":""Milepost"",""value"":"""&amp;Z138&amp;"""},{""id"":17,""name"":""Train ID"",""value"":"""&amp;A138&amp;"""},{""id"":16,""name"":""Locomotive ID"",""value"":"""&amp;B138&amp;"""},{""id"":130,""name"":""Impact"",""value"":"""&amp;AK138&amp;"""},{""id"":150,""name"":""Time of Event (Mountain Time)"",""value"":"""&amp;TEXT(I138,"hh:mm:ss")&amp;"""},{""id"":151,""name"":""Denver Issue ID"",""value"":"""&amp;"""},{""id"":178,""name"":""Operational Impact"",""value"":"""&amp;redmine_op_impact&amp;"""},{""id"":179,""name"":""Denver Segment Assigned"",""value"":"""&amp;AL138&amp;"""}]}}"&amp;" | curl --insecure -X POST -H ""Content-Type: application/json"" -H ""X-Redmine-API-Key: "&amp;redm_api_key&amp;""" "&amp;redm_url&amp;" --data @-"</f>
        <v>echo {"issue":{"subject":"","project_id":79,"tracker_id":40,"status_id":1,"priority_id":2,"assigned_to_id":338,"start_date":"2017-10-05","description":"","custom_fields":[{"id":1,"name":"Subdivision","value":"EC"},{"id":4,"name":"Milepost","value":"0.0163"},{"id":17,"name":"Train ID","value":"222-05"},{"id":16,"name":"Locomotive ID","value":"4043"},{"id":130,"name":"Impact","value":""},{"id":150,"name":"Time of Event (Mountain Time)","value":"20:37:32"},{"id":151,"name":"Denver Issue ID","value":""},{"id":178,"name":"Operational Impact","value":"Yes"},{"id":179,"name":"Denver Segment Assigned","value":""}]}} | curl --insecure -X POST -H "Content-Type: application/json" -H "X-Redmine-API-Key: %REDMINEAPIKEY%" https://secure.xorail.net/redmine/issues.json --data @-</v>
      </c>
      <c r="AK138" s="47"/>
      <c r="AL138" s="47"/>
      <c r="AM138" s="142" t="str">
        <f t="shared" ref="AM138" si="101">"start /low /b "&amp;dls3logs&amp;" --loco "&amp;B138&amp;" --day "&amp;TEXT(F138,"YYYY-MM-DD")</f>
        <v>start /low /b %USERPROFILE%\Documents\GitHub\eaglep3\Utilities\DownloadLogsFromS3.py --loco 4043 --day 2017-10-05</v>
      </c>
      <c r="AN138" s="151" t="str">
        <f t="shared" ref="AN138" si="102">"echo {""issue"":{""subject"":"""&amp;R138&amp;""",""project_id"":30,""tracker_id"":4,""status_id"":"&amp;redmine_status_wcr&amp;",""priority_id"":"&amp;redmine_priority_wcr&amp;",""assigned_to_id"":"&amp;redmine_assignee_wcr&amp;",""start_date"":"""&amp;TEXT(I138-utc_offset/24,"YYYY-mm-dd")&amp;""",""description"":"""&amp;AJ138&amp;""",""custom_fields"":[{""id"":30,""name"":""Category"",""value"":""Issue""},{""id"":3,""name"":""Functional Component"",""value"":""Onboard""},{""id"":31,""name"":""Version"",""value"":""N/A""},{""id"":8,""name"":""Reporting RR"",""value"":""WABTEC""},{""id"":27,""name"":""Locomotive ID"",""value"":"""&amp;B138&amp;"""},{""id"":20,""name"":""RR Requested Build"",""value"":""""},{""id"":1,""name"":""Build Request Notes"",""value"":"""&amp;"""},{""id"":9,""name"":""RR Assessed Issue Severity"",""value"":""4-Minor""},{""id"":10,""name"":""RR Severity Justification"",""value"":""test RR Severity Justification""}"&amp;",{""id"":11,""name"":""Wabtec Assessed Severity"",""value"":""""}"&amp;",{""id"":12,""name"":""Wabtec Severity Justification"",""value"":""""}"&amp;",{""id"":18,""name"":""RR Assessed Safety Criticality"",""value"":""Not Safety Related""}"&amp;",{""id"":19,""name"":""RR Criticality Justification"",""value"":""test RR Criticality Justification""}"&amp;",{""id"":22,""name"":""WRE Assessed Safety Critical"",""value"":""""}"&amp;",{""id"":23,""name"":""WRE Criticality Justification"",""value"":""""}"&amp;",{""id"":24,""name"":""Customer's Tracking Number"",""value"":""""}"&amp;",{""id"":28,""name"":""Date \u0026 Time of event UTC"",""value"":"""&amp;TEXT(I138-utc_offset/24,"YYYY-MM-DD hh:mm:ss")&amp;"""}"&amp;",{""id"":29,""name"":""Sharepoint Issue ID"",""value"":""""}"&amp;",{""id"":25,""name"":""Customer's Email Address"",""value"":""stu@wabtec.com""}"&amp;",{""id"":33,""name"":""Customer Call Back Number"",""value"":""904-316-8563""}"&amp;",{""id"":34,""name"":""Customer Name"",""value"":""Steve Tu""}"&amp;",{""id"":55,""name"":""WRE CR#"",""value"":""""}"&amp;",{""id"":57,""name"":""Reclassify Severity"",""value"":""""}"&amp;",{""id"":58,""name"":""Reclassify Safety"",""value"":""""}"&amp;",{""id"":59,""name"":""Environment "",""value"":""Production""}"&amp;"]}}"&amp;" | curl --insecure -X POST -H ""Content-Type: application/json"" -H ""X-Redmine-API-Key: "&amp;redmine_api_wcr&amp;""" "&amp;redmine_url_wcr&amp;" --data @-"</f>
        <v>echo {"issue":{"subject":"","project_id":30,"tracker_id":4,"status_id":1,"priority_id":1,"assigned_to_id":10,"start_date":"2017-10-06","description":"","custom_fields":[{"id":30,"name":"Category","value":"Issue"},{"id":3,"name":"Functional Component","value":"Onboard"},{"id":31,"name":"Version","value":"N/A"},{"id":8,"name":"Reporting RR","value":"WABTEC"},{"id":27,"name":"Locomotive ID","value":"4043"},{"id":20,"name":"RR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02:37:32"},{"id":29,"name":"Sharepoint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38" s="168" t="str">
        <f t="shared" ref="AO138" si="103">"https://d0f6bd738d7f1b3e5a7ca70fe4ff75f0.us-east-1.aws.found.io/app/kibana#/discover/Steve-Slow-Train-Analysis-(2080s-and-2083s)?_g="&amp;"(refreshInterval:(display:Off,pause:!f,section:0,value:0),time:(from:'"&amp;TEXT(E138-1/24,"yyyy-MM-DDThh:mm:ss")&amp;utc_offset&amp;"00"&amp;"',mode:absolute,to:'"&amp;TEXT(I138+1/24,"yyyy-MM-DDThh:mm:ss")&amp;utc_offset&amp;"00"&amp;"'))&amp;_a=(columns:!('Message%20ID',Summary),filters:!(),index:'emp_*',interval:auto,query:"&amp;"(query_string:(analyze_wildcard:!t,query:'%22rtdc.l.rtdc."&amp;B138&amp;"%22')),sort:!(Time.ISO8601,asc))"</f>
        <v>https://d0f6bd738d7f1b3e5a7ca70fe4ff75f0.us-east-1.aws.found.io/app/kibana#/discover/Steve-Slow-Train-Analysis-(2080s-and-2083s)?_g=(refreshInterval:(display:Off,pause:!f,section:0,value:0),time:(from:'2017-10-05T18:03:05-0600',mode:absolute,to:'2017-10-05T21:37:32-0600'))&amp;_a=(columns:!('Message%20ID',Summary),filters:!(),index:'emp_*',interval:auto,query:(query_string:(analyze_wildcard:!t,query:'%22rtdc.l.rtdc.4043%22')),sort:!(Time.ISO8601,asc))</v>
      </c>
    </row>
    <row r="139" spans="1:91" s="20" customFormat="1" x14ac:dyDescent="0.25">
      <c r="A139" s="32" t="s">
        <v>782</v>
      </c>
      <c r="B139" s="7">
        <v>4008</v>
      </c>
      <c r="C139" s="21" t="s">
        <v>194</v>
      </c>
      <c r="D139" s="21" t="s">
        <v>537</v>
      </c>
      <c r="E139" s="13">
        <v>43013.810428240744</v>
      </c>
      <c r="F139" s="13">
        <v>43013.812685185185</v>
      </c>
      <c r="G139" s="7">
        <v>63</v>
      </c>
      <c r="H139" s="21" t="s">
        <v>874</v>
      </c>
      <c r="I139" s="13">
        <v>43013.839247685188</v>
      </c>
      <c r="J139" s="7">
        <v>0</v>
      </c>
      <c r="K139" s="89" t="str">
        <f t="shared" si="82"/>
        <v>4007/4008</v>
      </c>
      <c r="L139" s="185" t="str">
        <f>VLOOKUP(A139,'Trips&amp;Operators'!$C$1:$G$99911,5,FALSE)</f>
        <v>LOZA FIDEL</v>
      </c>
      <c r="M139" s="6">
        <f t="shared" si="83"/>
        <v>2.6562500002910383E-2</v>
      </c>
      <c r="N139" s="7">
        <f t="shared" si="84"/>
        <v>38.250000004190952</v>
      </c>
      <c r="O139" s="7"/>
      <c r="P139" s="7"/>
      <c r="Q139" s="22"/>
      <c r="R139" s="174"/>
      <c r="S139" s="221">
        <f t="shared" si="85"/>
        <v>1</v>
      </c>
      <c r="T139" s="174" t="str">
        <f t="shared" si="86"/>
        <v>NorthBound</v>
      </c>
      <c r="U139" s="198">
        <f>IF(AG139="EC",COUNTIFS(Variables!$M$2:$M$19,IF(T139="NorthBound","&gt;=","&lt;=")&amp;Y139,Variables!$M$2:$M$19,IF(T139="NorthBound","&lt;=","&gt;=")&amp;Z139),COUNTIFS(Variables!$P$2:$P$19,IF(T139="NorthBound","&gt;=","&lt;=")&amp;Y139,Variables!$P$2:$P$19,IF(T139="NorthBound","&lt;=","&gt;=")&amp;Z139))</f>
        <v>12</v>
      </c>
      <c r="V139" s="216" t="str">
        <f t="shared" si="40"/>
        <v>https://d0f6bd738d7f1b3e5a7ca70fe4ff75f0.us-east-1.aws.found.io/app/kibana#/discover/Steve-Slow-Train-Analysis-(2080s-and-2083s)?_g=(refreshInterval:(display:Off,pause:!f,section:0,value:0),time:(from:'2017-10-05T18:27:01-0600',mode:absolute,to:'2017-10-05T21:08:31-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4008%22')),sort:!(Time.ISO8601,asc))</v>
      </c>
      <c r="W139" s="204" t="str">
        <f>IF(AA139&lt;VLOOKUP(AG139,Variables!$AC$3:$AD$8,2,FALSE),"Y","N")</f>
        <v>N</v>
      </c>
      <c r="X139" s="204">
        <f t="shared" si="98"/>
        <v>1</v>
      </c>
      <c r="Y139" s="204">
        <f t="shared" ref="Y139:Y151" si="104">RIGHT(D139,LEN(D139)-4)/10000</f>
        <v>4.6199999999999998E-2</v>
      </c>
      <c r="Z139" s="204">
        <f t="shared" ref="Z139:Z151" si="105">RIGHT(H139,LEN(H139)-4)/10000</f>
        <v>23.3399</v>
      </c>
      <c r="AA139" s="204">
        <f t="shared" si="89"/>
        <v>23.293700000000001</v>
      </c>
      <c r="AB139" s="54" t="e">
        <f>VLOOKUP(A139,Enforcements!$C$7:$K$11,8,0)</f>
        <v>#N/A</v>
      </c>
      <c r="AC139" s="51" t="e">
        <f>VLOOKUP(A139,Enforcements!$C$7:$E$11,3,0)</f>
        <v>#N/A</v>
      </c>
      <c r="AD139" s="179">
        <f t="shared" si="90"/>
        <v>223</v>
      </c>
      <c r="AE139" s="77" t="str">
        <f t="shared" si="46"/>
        <v>aws s3 cp s3://rtdc.mdm.uploadarchive.raw/RTDC4008/ "%USERPROFILE%\AppData\Local\Temp\OnboardLogs"\RTDC4008\2017-10-05 --exclude "*" --recursive --include "*20171005*" &amp; "%USERPROFILE%\Documents\GitHub\mrs-test-scripts\Headless Mode &amp; Sideloading\WalkAndUnGZ.bat" "%USERPROFILE%\AppData\Local\Temp\OnboardLogs"\RTDC4008\2017-10-05 &amp; aws s3 cp s3://rtdc.mdm.uploadarchive.raw/RTDC4008/ "%USERPROFILE%\AppData\Local\Temp\OnboardLogs"\RTDC4008\2017-10-06 --exclude "*" --recursive --include "*20171006*" &amp; "%USERPROFILE%\Documents\GitHub\mrs-test-scripts\Headless Mode &amp; Sideloading\WalkAndUnGZ.bat" "%USERPROFILE%\AppData\Local\Temp\OnboardLogs"\RTDC4008\2017-10-06</v>
      </c>
      <c r="AF139" s="74" t="str">
        <f t="shared" si="47"/>
        <v>"C:\Program Files (x86)\AstroGrep\AstroGrep.exe" /e /r /s /spath="%USERPROFILE%\AppData\Local\Temp\OnboardLogs" /stypes="app*4008*20171006*" /stext=" 02:.+((SYSTEM_STATE.+slice.+state.+changed )|(ment ac)|(multiple cpu faults)|(system.+state.+changed )|(\[timeout)|(PRM\|1\|D)|(kpr)|(kdp)|(train st.+moving)|(\|lc)|(penalty))"</v>
      </c>
      <c r="AG139" s="182" t="str">
        <f t="shared" si="91"/>
        <v>EC</v>
      </c>
      <c r="AH139" s="78" t="str">
        <f t="shared" si="49"/>
        <v>"%USERPROFILE%\Documents\GitHub\eaglep3\Utilities\RefineRTDCRunTimes.py" --tripid 223-05 --locoid 4008 --swversion DE.1.0.9.0 --startMP 204:462 --initTime 2017-10-05T19:27:01 --startdatetime 2017-10-05T19:30:16 --delay 63 --endMP 204:233399 --enddatetime 2017-10-05T20:08:31 --enforcementcount 0 &gt;&gt;%USERPROFILE%\Documents\GitHub\eaglep3-reporting\EC\2017-10-05-refined-times.txt</v>
      </c>
      <c r="AI139" s="96" t="str">
        <f t="shared" si="50"/>
        <v>echo {"issue":{"subject":"","project_id":79,"tracker_id":40,"status_id":1,"priority_id":2,"assigned_to_id":338,"start_date":"2017-10-05","description":"","custom_fields":[{"id":1,"name":"Subdivision","value":"EC"},{"id":4,"name":"Milepost","value":"23.3399"},{"id":17,"name":"Train ID","value":"223-05"},{"id":16,"name":"Locomotive ID","value":"4008"},{"id":130,"name":"Impact","value":""},{"id":150,"name":"Time of Event (Mountain Time)","value":"20:08:31"},{"id":151,"name":"Denver Issue ID","value":""},{"id":178,"name":"Operational Impact","value":"Yes"},{"id":179,"name":"Denver Segment Assigned","value":""}]}} | curl --insecure -X POST -H "Content-Type: application/json" -H "X-Redmine-API-Key: %REDMINEAPIKEY%" https://secure.xorail.net/redmine/issues.json --data @-</v>
      </c>
      <c r="AK139" s="47"/>
      <c r="AL139" s="47"/>
      <c r="AM139" s="142" t="str">
        <f t="shared" si="51"/>
        <v>start /low /b %USERPROFILE%\Documents\GitHub\eaglep3\Utilities\DownloadLogsFromS3.py --loco 4008 --day 2017-10-05</v>
      </c>
      <c r="AN139" s="151" t="str">
        <f t="shared" si="52"/>
        <v>echo {"issue":{"subject":"","project_id":30,"tracker_id":4,"status_id":1,"priority_id":1,"assigned_to_id":10,"start_date":"2017-10-06","description":"","custom_fields":[{"id":30,"name":"Category","value":"Issue"},{"id":3,"name":"Functional Component","value":"Onboard"},{"id":31,"name":"Version","value":"N/A"},{"id":8,"name":"Reporting RR","value":"WABTEC"},{"id":27,"name":"Locomotive ID","value":"4008"},{"id":20,"name":"RR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02:08:31"},{"id":29,"name":"Sharepoint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39" s="168" t="str">
        <f t="shared" si="53"/>
        <v>https://d0f6bd738d7f1b3e5a7ca70fe4ff75f0.us-east-1.aws.found.io/app/kibana#/discover/Steve-Slow-Train-Analysis-(2080s-and-2083s)?_g=(refreshInterval:(display:Off,pause:!f,section:0,value:0),time:(from:'2017-10-05T18:27:01-0600',mode:absolute,to:'2017-10-05T21:08:31-0600'))&amp;_a=(columns:!('Message%20ID',Summary),filters:!(),index:'emp_*',interval:auto,query:(query_string:(analyze_wildcard:!t,query:'%22rtdc.l.rtdc.4008%22')),sort:!(Time.ISO8601,asc))</v>
      </c>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row>
    <row r="140" spans="1:91" s="20" customFormat="1" x14ac:dyDescent="0.25">
      <c r="A140" s="32" t="s">
        <v>787</v>
      </c>
      <c r="B140" s="7">
        <v>4007</v>
      </c>
      <c r="C140" s="21" t="s">
        <v>194</v>
      </c>
      <c r="D140" s="21" t="s">
        <v>875</v>
      </c>
      <c r="E140" s="13">
        <v>43013.851631944446</v>
      </c>
      <c r="F140" s="13">
        <v>43013.853078703702</v>
      </c>
      <c r="G140" s="7">
        <v>57</v>
      </c>
      <c r="H140" s="21" t="s">
        <v>339</v>
      </c>
      <c r="I140" s="13">
        <v>43013.879236111112</v>
      </c>
      <c r="J140" s="7">
        <v>0</v>
      </c>
      <c r="K140" s="89" t="str">
        <f t="shared" si="82"/>
        <v>4007/4008</v>
      </c>
      <c r="L140" s="185" t="str">
        <f>VLOOKUP(A140,'Trips&amp;Operators'!$C$1:$G$99911,5,FALSE)</f>
        <v>LOZA FIDEL</v>
      </c>
      <c r="M140" s="6">
        <f t="shared" si="83"/>
        <v>2.6157407410209998E-2</v>
      </c>
      <c r="N140" s="7">
        <f t="shared" si="84"/>
        <v>37.666666670702398</v>
      </c>
      <c r="O140" s="7"/>
      <c r="P140" s="7"/>
      <c r="Q140" s="22"/>
      <c r="R140" s="174"/>
      <c r="S140" s="221">
        <f t="shared" si="85"/>
        <v>1</v>
      </c>
      <c r="T140" s="174" t="str">
        <f t="shared" si="86"/>
        <v>Southbound</v>
      </c>
      <c r="U140" s="198">
        <f>IF(AG140="EC",COUNTIFS(Variables!$M$2:$M$19,IF(T140="NorthBound","&gt;=","&lt;=")&amp;Y140,Variables!$M$2:$M$19,IF(T140="NorthBound","&lt;=","&gt;=")&amp;Z140),COUNTIFS(Variables!$P$2:$P$19,IF(T140="NorthBound","&gt;=","&lt;=")&amp;Y140,Variables!$P$2:$P$19,IF(T140="NorthBound","&lt;=","&gt;=")&amp;Z140))</f>
        <v>12</v>
      </c>
      <c r="V140" s="216" t="str">
        <f t="shared" si="40"/>
        <v>https://d0f6bd738d7f1b3e5a7ca70fe4ff75f0.us-east-1.aws.found.io/app/kibana#/discover/Steve-Slow-Train-Analysis-(2080s-and-2083s)?_g=(refreshInterval:(display:Off,pause:!f,section:0,value:0),time:(from:'2017-10-05T19:26:21-0600',mode:absolute,to:'2017-10-05T22:06:06-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4007%22')),sort:!(Time.ISO8601,asc))</v>
      </c>
      <c r="W140" s="204" t="str">
        <f>IF(AA140&lt;VLOOKUP(AG140,Variables!$AC$3:$AD$8,2,FALSE),"Y","N")</f>
        <v>N</v>
      </c>
      <c r="X140" s="204">
        <f t="shared" ref="X140:X152" si="106">VALUE(LEFT(AD140,4))-VALUE(LEFT(AD139,4))</f>
        <v>1</v>
      </c>
      <c r="Y140" s="204">
        <f t="shared" si="104"/>
        <v>23.3049</v>
      </c>
      <c r="Z140" s="204">
        <f t="shared" si="105"/>
        <v>1.41E-2</v>
      </c>
      <c r="AA140" s="204">
        <f t="shared" si="89"/>
        <v>23.290800000000001</v>
      </c>
      <c r="AB140" s="54" t="e">
        <f>VLOOKUP(A140,Enforcements!$C$7:$K$11,8,0)</f>
        <v>#N/A</v>
      </c>
      <c r="AC140" s="51" t="e">
        <f>VLOOKUP(A140,Enforcements!$C$7:$E$11,3,0)</f>
        <v>#N/A</v>
      </c>
      <c r="AD140" s="179">
        <f t="shared" si="90"/>
        <v>224</v>
      </c>
      <c r="AE140" s="77" t="str">
        <f t="shared" si="46"/>
        <v>aws s3 cp s3://rtdc.mdm.uploadarchive.raw/RTDC4007/ "%USERPROFILE%\AppData\Local\Temp\OnboardLogs"\RTDC4007\2017-10-05 --exclude "*" --recursive --include "*20171005*" &amp; "%USERPROFILE%\Documents\GitHub\mrs-test-scripts\Headless Mode &amp; Sideloading\WalkAndUnGZ.bat" "%USERPROFILE%\AppData\Local\Temp\OnboardLogs"\RTDC4007\2017-10-05 &amp; aws s3 cp s3://rtdc.mdm.uploadarchive.raw/RTDC4007/ "%USERPROFILE%\AppData\Local\Temp\OnboardLogs"\RTDC4007\2017-10-06 --exclude "*" --recursive --include "*20171006*" &amp; "%USERPROFILE%\Documents\GitHub\mrs-test-scripts\Headless Mode &amp; Sideloading\WalkAndUnGZ.bat" "%USERPROFILE%\AppData\Local\Temp\OnboardLogs"\RTDC4007\2017-10-06</v>
      </c>
      <c r="AF140" s="74" t="str">
        <f t="shared" si="47"/>
        <v>"C:\Program Files (x86)\AstroGrep\AstroGrep.exe" /e /r /s /spath="%USERPROFILE%\AppData\Local\Temp\OnboardLogs" /stypes="app*4007*20171006*" /stext=" 03:.+((SYSTEM_STATE.+slice.+state.+changed )|(ment ac)|(multiple cpu faults)|(system.+state.+changed )|(\[timeout)|(PRM\|1\|D)|(kpr)|(kdp)|(train st.+moving)|(\|lc)|(penalty))"</v>
      </c>
      <c r="AG140" s="182" t="str">
        <f t="shared" si="91"/>
        <v>EC</v>
      </c>
      <c r="AH140" s="78" t="str">
        <f t="shared" si="49"/>
        <v>"%USERPROFILE%\Documents\GitHub\eaglep3\Utilities\RefineRTDCRunTimes.py" --tripid 224-05 --locoid 4007 --swversion DE.1.0.9.0 --startMP 204:233049 --initTime 2017-10-05T20:26:21 --startdatetime 2017-10-05T20:28:26 --delay 57 --endMP 204:141 --enddatetime 2017-10-05T21:06:06 --enforcementcount 0 &gt;&gt;%USERPROFILE%\Documents\GitHub\eaglep3-reporting\EC\2017-10-05-refined-times.txt</v>
      </c>
      <c r="AI140" s="96" t="str">
        <f t="shared" si="50"/>
        <v>echo {"issue":{"subject":"","project_id":79,"tracker_id":40,"status_id":1,"priority_id":2,"assigned_to_id":338,"start_date":"2017-10-05","description":"","custom_fields":[{"id":1,"name":"Subdivision","value":"EC"},{"id":4,"name":"Milepost","value":"0.0141"},{"id":17,"name":"Train ID","value":"224-05"},{"id":16,"name":"Locomotive ID","value":"4007"},{"id":130,"name":"Impact","value":""},{"id":150,"name":"Time of Event (Mountain Time)","value":"21:06:06"},{"id":151,"name":"Denver Issue ID","value":""},{"id":178,"name":"Operational Impact","value":"Yes"},{"id":179,"name":"Denver Segment Assigned","value":""}]}} | curl --insecure -X POST -H "Content-Type: application/json" -H "X-Redmine-API-Key: %REDMINEAPIKEY%" https://secure.xorail.net/redmine/issues.json --data @-</v>
      </c>
      <c r="AK140" s="47"/>
      <c r="AL140" s="47"/>
      <c r="AM140" s="142" t="str">
        <f t="shared" si="51"/>
        <v>start /low /b %USERPROFILE%\Documents\GitHub\eaglep3\Utilities\DownloadLogsFromS3.py --loco 4007 --day 2017-10-05</v>
      </c>
      <c r="AN140" s="151" t="str">
        <f t="shared" si="52"/>
        <v>echo {"issue":{"subject":"","project_id":30,"tracker_id":4,"status_id":1,"priority_id":1,"assigned_to_id":10,"start_date":"2017-10-06","description":"","custom_fields":[{"id":30,"name":"Category","value":"Issue"},{"id":3,"name":"Functional Component","value":"Onboard"},{"id":31,"name":"Version","value":"N/A"},{"id":8,"name":"Reporting RR","value":"WABTEC"},{"id":27,"name":"Locomotive ID","value":"4007"},{"id":20,"name":"RR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03:06:06"},{"id":29,"name":"Sharepoint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40" s="168" t="str">
        <f t="shared" si="53"/>
        <v>https://d0f6bd738d7f1b3e5a7ca70fe4ff75f0.us-east-1.aws.found.io/app/kibana#/discover/Steve-Slow-Train-Analysis-(2080s-and-2083s)?_g=(refreshInterval:(display:Off,pause:!f,section:0,value:0),time:(from:'2017-10-05T19:26:21-0600',mode:absolute,to:'2017-10-05T22:06:06-0600'))&amp;_a=(columns:!('Message%20ID',Summary),filters:!(),index:'emp_*',interval:auto,query:(query_string:(analyze_wildcard:!t,query:'%22rtdc.l.rtdc.4007%22')),sort:!(Time.ISO8601,asc))</v>
      </c>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row>
    <row r="141" spans="1:91" s="20" customFormat="1" x14ac:dyDescent="0.25">
      <c r="A141" s="32" t="s">
        <v>616</v>
      </c>
      <c r="B141" s="7">
        <v>4010</v>
      </c>
      <c r="C141" s="21" t="s">
        <v>194</v>
      </c>
      <c r="D141" s="21" t="s">
        <v>418</v>
      </c>
      <c r="E141" s="13">
        <v>43013.831099537034</v>
      </c>
      <c r="F141" s="13">
        <v>43013.834074074075</v>
      </c>
      <c r="G141" s="7">
        <v>145</v>
      </c>
      <c r="H141" s="21" t="s">
        <v>541</v>
      </c>
      <c r="I141" s="13">
        <v>43013.860162037039</v>
      </c>
      <c r="J141" s="7">
        <v>0</v>
      </c>
      <c r="K141" s="89" t="str">
        <f t="shared" si="82"/>
        <v>4009/4010</v>
      </c>
      <c r="L141" s="185" t="str">
        <f>VLOOKUP(A141,'Trips&amp;Operators'!$C$1:$G$99911,5,FALSE)</f>
        <v>NICHOLSON WESLEY</v>
      </c>
      <c r="M141" s="6">
        <f t="shared" si="83"/>
        <v>2.6087962964083999E-2</v>
      </c>
      <c r="N141" s="7">
        <f t="shared" si="84"/>
        <v>37.566666668280959</v>
      </c>
      <c r="O141" s="7"/>
      <c r="P141" s="7"/>
      <c r="Q141" s="22"/>
      <c r="R141" s="174"/>
      <c r="S141" s="221">
        <f t="shared" si="85"/>
        <v>1</v>
      </c>
      <c r="T141" s="174" t="str">
        <f t="shared" si="86"/>
        <v>NorthBound</v>
      </c>
      <c r="U141" s="198">
        <f>IF(AG141="EC",COUNTIFS(Variables!$M$2:$M$19,IF(T141="NorthBound","&gt;=","&lt;=")&amp;Y141,Variables!$M$2:$M$19,IF(T141="NorthBound","&lt;=","&gt;=")&amp;Z141),COUNTIFS(Variables!$P$2:$P$19,IF(T141="NorthBound","&gt;=","&lt;=")&amp;Y141,Variables!$P$2:$P$19,IF(T141="NorthBound","&lt;=","&gt;=")&amp;Z141))</f>
        <v>12</v>
      </c>
      <c r="V141" s="216" t="str">
        <f t="shared" ref="V141:V204" si="107">"https://d0f6bd738d7f1b3e5a7ca70fe4ff75f0.us-east-1.aws.found.io/app/kibana#/discover/Steve-Slow-Train-Analysis-(2080s-and-2083s)?_g="&amp;"(refreshInterval:(display:Off,pause:!f,section:0,value:0),time:(from:'"&amp;TEXT(E141-1/24,"yyyy-MM-DDThh:mm:ss")&amp;utc_offset&amp;"00"&amp;"',mode:absolute,to:'"&amp;TEXT(I141+1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141&amp;"%22')),sort:!(Time.ISO8601,asc))"</f>
        <v>https://d0f6bd738d7f1b3e5a7ca70fe4ff75f0.us-east-1.aws.found.io/app/kibana#/discover/Steve-Slow-Train-Analysis-(2080s-and-2083s)?_g=(refreshInterval:(display:Off,pause:!f,section:0,value:0),time:(from:'2017-10-05T18:56:47-0600',mode:absolute,to:'2017-10-05T21:38:38-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141" s="204" t="str">
        <f>IF(AA141&lt;VLOOKUP(AG141,Variables!$AC$3:$AD$8,2,FALSE),"Y","N")</f>
        <v>N</v>
      </c>
      <c r="X141" s="204">
        <f t="shared" si="106"/>
        <v>1</v>
      </c>
      <c r="Y141" s="204">
        <f t="shared" si="104"/>
        <v>4.4900000000000002E-2</v>
      </c>
      <c r="Z141" s="204">
        <f t="shared" si="105"/>
        <v>23.330500000000001</v>
      </c>
      <c r="AA141" s="204">
        <f t="shared" si="89"/>
        <v>23.285600000000002</v>
      </c>
      <c r="AB141" s="54" t="e">
        <f>VLOOKUP(A141,Enforcements!$C$7:$K$11,8,0)</f>
        <v>#N/A</v>
      </c>
      <c r="AC141" s="51" t="e">
        <f>VLOOKUP(A141,Enforcements!$C$7:$E$11,3,0)</f>
        <v>#N/A</v>
      </c>
      <c r="AD141" s="179">
        <f t="shared" si="90"/>
        <v>225</v>
      </c>
      <c r="AE141" s="77" t="str">
        <f t="shared" ref="AE141:AE204" si="108">"aws s3 cp "&amp;s3_bucket&amp;"/RTDC"&amp;B141&amp;"/ "&amp;search_path&amp;"\RTDC"&amp;B141&amp;"\"&amp;TEXT(F141,"YYYY-MM-DD")&amp;" --exclude ""*"" --recursive --include ""*"&amp;TEXT(F141,"YYYYMMDD")&amp;"*"" &amp; """&amp;walkandungz&amp;""" "&amp;search_path&amp;"\RTDC"&amp;B141&amp;"\"&amp;TEXT(F141,"YYYY-MM-DD")
&amp;" &amp; "&amp;"aws s3 cp "&amp;s3_bucket&amp;"/RTDC"&amp;B141&amp;"/ "&amp;search_path&amp;"\RTDC"&amp;B141&amp;"\"&amp;TEXT(F141+1,"YYYY-MM-DD")&amp;" --exclude ""*"" --recursive --include ""*"&amp;TEXT(F141+1,"YYYYMMDD")&amp;"*"" &amp; """&amp;walkandungz&amp;""" "&amp;search_path&amp;"\RTDC"&amp;B141&amp;"\"&amp;TEXT(F141+1,"YYYY-MM-DD")</f>
        <v>aws s3 cp s3://rtdc.mdm.uploadarchive.raw/RTDC4010/ "%USERPROFILE%\AppData\Local\Temp\OnboardLogs"\RTDC4010\2017-10-05 --exclude "*" --recursive --include "*20171005*" &amp; "%USERPROFILE%\Documents\GitHub\mrs-test-scripts\Headless Mode &amp; Sideloading\WalkAndUnGZ.bat" "%USERPROFILE%\AppData\Local\Temp\OnboardLogs"\RTDC4010\2017-10-05 &amp; aws s3 cp s3://rtdc.mdm.uploadarchive.raw/RTDC4010/ "%USERPROFILE%\AppData\Local\Temp\OnboardLogs"\RTDC4010\2017-10-06 --exclude "*" --recursive --include "*20171006*" &amp; "%USERPROFILE%\Documents\GitHub\mrs-test-scripts\Headless Mode &amp; Sideloading\WalkAndUnGZ.bat" "%USERPROFILE%\AppData\Local\Temp\OnboardLogs"\RTDC4010\2017-10-06</v>
      </c>
      <c r="AF141" s="74" t="str">
        <f t="shared" ref="AF141:AF204" si="109">astrogrep_path&amp;" /e /r /s /spath="&amp;search_path&amp;" /stypes=""app*"&amp;B141&amp;"*"&amp;TEXT(I141-utc_offset/24,"YYYYMMDD")&amp;"*"" /stext="" "&amp;TEXT(I141-utc_offset/24,"HH")&amp;search_regexp&amp;""""</f>
        <v>"C:\Program Files (x86)\AstroGrep\AstroGrep.exe" /e /r /s /spath="%USERPROFILE%\AppData\Local\Temp\OnboardLogs" /stypes="app*4010*20171006*" /stext=" 02:.+((SYSTEM_STATE.+slice.+state.+changed )|(ment ac)|(multiple cpu faults)|(system.+state.+changed )|(\[timeout)|(PRM\|1\|D)|(kpr)|(kdp)|(train st.+moving)|(\|lc)|(penalty))"</v>
      </c>
      <c r="AG141" s="182" t="str">
        <f t="shared" si="91"/>
        <v>EC</v>
      </c>
      <c r="AH141" s="78" t="str">
        <f t="shared" si="49"/>
        <v>"%USERPROFILE%\Documents\GitHub\eaglep3\Utilities\RefineRTDCRunTimes.py" --tripid 225-05 --locoid 4010 --swversion DE.1.0.9.0 --startMP 204:449 --initTime 2017-10-05T19:56:47 --startdatetime 2017-10-05T20:01:04 --delay 145 --endMP 204:233305 --enddatetime 2017-10-05T20:38:38 --enforcementcount 0 &gt;&gt;%USERPROFILE%\Documents\GitHub\eaglep3-reporting\EC\2017-10-05-refined-times.txt</v>
      </c>
      <c r="AI141" s="96" t="str">
        <f t="shared" si="50"/>
        <v>echo {"issue":{"subject":"","project_id":79,"tracker_id":40,"status_id":1,"priority_id":2,"assigned_to_id":338,"start_date":"2017-10-05","description":"","custom_fields":[{"id":1,"name":"Subdivision","value":"EC"},{"id":4,"name":"Milepost","value":"23.3305"},{"id":17,"name":"Train ID","value":"225-05"},{"id":16,"name":"Locomotive ID","value":"4010"},{"id":130,"name":"Impact","value":""},{"id":150,"name":"Time of Event (Mountain Time)","value":"20:38:38"},{"id":151,"name":"Denver Issue ID","value":""},{"id":178,"name":"Operational Impact","value":"Yes"},{"id":179,"name":"Denver Segment Assigned","value":""}]}} | curl --insecure -X POST -H "Content-Type: application/json" -H "X-Redmine-API-Key: %REDMINEAPIKEY%" https://secure.xorail.net/redmine/issues.json --data @-</v>
      </c>
      <c r="AK141" s="47"/>
      <c r="AL141" s="47"/>
      <c r="AM141" s="142" t="str">
        <f t="shared" si="51"/>
        <v>start /low /b %USERPROFILE%\Documents\GitHub\eaglep3\Utilities\DownloadLogsFromS3.py --loco 4010 --day 2017-10-05</v>
      </c>
      <c r="AN141" s="151" t="str">
        <f t="shared" si="52"/>
        <v>echo {"issue":{"subject":"","project_id":30,"tracker_id":4,"status_id":1,"priority_id":1,"assigned_to_id":10,"start_date":"2017-10-06","description":"","custom_fields":[{"id":30,"name":"Category","value":"Issue"},{"id":3,"name":"Functional Component","value":"Onboard"},{"id":31,"name":"Version","value":"N/A"},{"id":8,"name":"Reporting RR","value":"WABTEC"},{"id":27,"name":"Locomotive ID","value":"4010"},{"id":20,"name":"RR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02:38:38"},{"id":29,"name":"Sharepoint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41" s="168" t="str">
        <f t="shared" si="53"/>
        <v>https://d0f6bd738d7f1b3e5a7ca70fe4ff75f0.us-east-1.aws.found.io/app/kibana#/discover/Steve-Slow-Train-Analysis-(2080s-and-2083s)?_g=(refreshInterval:(display:Off,pause:!f,section:0,value:0),time:(from:'2017-10-05T18:56:47-0600',mode:absolute,to:'2017-10-05T21:38:38-0600'))&amp;_a=(columns:!('Message%20ID',Summary),filters:!(),index:'emp_*',interval:auto,query:(query_string:(analyze_wildcard:!t,query:'%22rtdc.l.rtdc.4010%22')),sort:!(Time.ISO8601,asc))</v>
      </c>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row>
    <row r="142" spans="1:91" s="20" customFormat="1" x14ac:dyDescent="0.25">
      <c r="A142" s="32" t="s">
        <v>789</v>
      </c>
      <c r="B142" s="7">
        <v>4009</v>
      </c>
      <c r="C142" s="21" t="s">
        <v>194</v>
      </c>
      <c r="D142" s="21" t="s">
        <v>844</v>
      </c>
      <c r="E142" s="13">
        <v>43013.865011574075</v>
      </c>
      <c r="F142" s="13">
        <v>43013.873182870368</v>
      </c>
      <c r="G142" s="7">
        <v>73</v>
      </c>
      <c r="H142" s="21" t="s">
        <v>378</v>
      </c>
      <c r="I142" s="13">
        <v>43013.900347222225</v>
      </c>
      <c r="J142" s="7">
        <v>0</v>
      </c>
      <c r="K142" s="89" t="str">
        <f t="shared" si="82"/>
        <v>4009/4010</v>
      </c>
      <c r="L142" s="185" t="str">
        <f>VLOOKUP(A142,'Trips&amp;Operators'!$C$1:$G$99911,5,FALSE)</f>
        <v>NICHOLSON WESLEY</v>
      </c>
      <c r="M142" s="6">
        <f t="shared" si="83"/>
        <v>2.7164351857209112E-2</v>
      </c>
      <c r="N142" s="7">
        <f t="shared" si="84"/>
        <v>39.116666674381122</v>
      </c>
      <c r="O142" s="7"/>
      <c r="P142" s="7"/>
      <c r="Q142" s="22"/>
      <c r="R142" s="174"/>
      <c r="S142" s="221">
        <f t="shared" si="85"/>
        <v>1</v>
      </c>
      <c r="T142" s="174" t="str">
        <f t="shared" si="86"/>
        <v>Southbound</v>
      </c>
      <c r="U142" s="198">
        <f>IF(AG142="EC",COUNTIFS(Variables!$M$2:$M$19,IF(T142="NorthBound","&gt;=","&lt;=")&amp;Y142,Variables!$M$2:$M$19,IF(T142="NorthBound","&lt;=","&gt;=")&amp;Z142),COUNTIFS(Variables!$P$2:$P$19,IF(T142="NorthBound","&gt;=","&lt;=")&amp;Y142,Variables!$P$2:$P$19,IF(T142="NorthBound","&lt;=","&gt;=")&amp;Z142))</f>
        <v>12</v>
      </c>
      <c r="V142" s="216" t="str">
        <f t="shared" si="107"/>
        <v>https://d0f6bd738d7f1b3e5a7ca70fe4ff75f0.us-east-1.aws.found.io/app/kibana#/discover/Steve-Slow-Train-Analysis-(2080s-and-2083s)?_g=(refreshInterval:(display:Off,pause:!f,section:0,value:0),time:(from:'2017-10-05T19:45:37-0600',mode:absolute,to:'2017-10-05T22:36:30-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142" s="204" t="str">
        <f>IF(AA142&lt;VLOOKUP(AG142,Variables!$AC$3:$AD$8,2,FALSE),"Y","N")</f>
        <v>N</v>
      </c>
      <c r="X142" s="204">
        <f t="shared" si="106"/>
        <v>1</v>
      </c>
      <c r="Y142" s="204">
        <f t="shared" si="104"/>
        <v>23.297699999999999</v>
      </c>
      <c r="Z142" s="204">
        <f t="shared" si="105"/>
        <v>1.54E-2</v>
      </c>
      <c r="AA142" s="204">
        <f t="shared" si="89"/>
        <v>23.282299999999999</v>
      </c>
      <c r="AB142" s="54" t="e">
        <f>VLOOKUP(A142,Enforcements!$C$7:$K$11,8,0)</f>
        <v>#N/A</v>
      </c>
      <c r="AC142" s="51" t="e">
        <f>VLOOKUP(A142,Enforcements!$C$7:$E$11,3,0)</f>
        <v>#N/A</v>
      </c>
      <c r="AD142" s="179">
        <f t="shared" si="90"/>
        <v>226</v>
      </c>
      <c r="AE142" s="77" t="str">
        <f t="shared" si="108"/>
        <v>aws s3 cp s3://rtdc.mdm.uploadarchive.raw/RTDC4009/ "%USERPROFILE%\AppData\Local\Temp\OnboardLogs"\RTDC4009\2017-10-05 --exclude "*" --recursive --include "*20171005*" &amp; "%USERPROFILE%\Documents\GitHub\mrs-test-scripts\Headless Mode &amp; Sideloading\WalkAndUnGZ.bat" "%USERPROFILE%\AppData\Local\Temp\OnboardLogs"\RTDC4009\2017-10-05 &amp; aws s3 cp s3://rtdc.mdm.uploadarchive.raw/RTDC4009/ "%USERPROFILE%\AppData\Local\Temp\OnboardLogs"\RTDC4009\2017-10-06 --exclude "*" --recursive --include "*20171006*" &amp; "%USERPROFILE%\Documents\GitHub\mrs-test-scripts\Headless Mode &amp; Sideloading\WalkAndUnGZ.bat" "%USERPROFILE%\AppData\Local\Temp\OnboardLogs"\RTDC4009\2017-10-06</v>
      </c>
      <c r="AF142" s="74" t="str">
        <f t="shared" si="109"/>
        <v>"C:\Program Files (x86)\AstroGrep\AstroGrep.exe" /e /r /s /spath="%USERPROFILE%\AppData\Local\Temp\OnboardLogs" /stypes="app*4009*20171006*" /stext=" 03:.+((SYSTEM_STATE.+slice.+state.+changed )|(ment ac)|(multiple cpu faults)|(system.+state.+changed )|(\[timeout)|(PRM\|1\|D)|(kpr)|(kdp)|(train st.+moving)|(\|lc)|(penalty))"</v>
      </c>
      <c r="AG142" s="182" t="str">
        <f t="shared" si="91"/>
        <v>EC</v>
      </c>
      <c r="AH142" s="78" t="str">
        <f t="shared" si="49"/>
        <v>"%USERPROFILE%\Documents\GitHub\eaglep3\Utilities\RefineRTDCRunTimes.py" --tripid 226-05 --locoid 4009 --swversion DE.1.0.9.0 --startMP 204:232977 --initTime 2017-10-05T20:45:37 --startdatetime 2017-10-05T20:57:23 --delay 73 --endMP 204:154 --enddatetime 2017-10-05T21:36:30 --enforcementcount 0 &gt;&gt;%USERPROFILE%\Documents\GitHub\eaglep3-reporting\EC\2017-10-05-refined-times.txt</v>
      </c>
      <c r="AI142" s="96" t="str">
        <f t="shared" si="50"/>
        <v>echo {"issue":{"subject":"","project_id":79,"tracker_id":40,"status_id":1,"priority_id":2,"assigned_to_id":338,"start_date":"2017-10-05","description":"","custom_fields":[{"id":1,"name":"Subdivision","value":"EC"},{"id":4,"name":"Milepost","value":"0.0154"},{"id":17,"name":"Train ID","value":"226-05"},{"id":16,"name":"Locomotive ID","value":"4009"},{"id":130,"name":"Impact","value":""},{"id":150,"name":"Time of Event (Mountain Time)","value":"21:36:30"},{"id":151,"name":"Denver Issue ID","value":""},{"id":178,"name":"Operational Impact","value":"Yes"},{"id":179,"name":"Denver Segment Assigned","value":""}]}} | curl --insecure -X POST -H "Content-Type: application/json" -H "X-Redmine-API-Key: %REDMINEAPIKEY%" https://secure.xorail.net/redmine/issues.json --data @-</v>
      </c>
      <c r="AK142" s="47"/>
      <c r="AL142" s="47"/>
      <c r="AM142" s="142" t="str">
        <f t="shared" si="51"/>
        <v>start /low /b %USERPROFILE%\Documents\GitHub\eaglep3\Utilities\DownloadLogsFromS3.py --loco 4009 --day 2017-10-05</v>
      </c>
      <c r="AN142" s="151" t="str">
        <f t="shared" si="52"/>
        <v>echo {"issue":{"subject":"","project_id":30,"tracker_id":4,"status_id":1,"priority_id":1,"assigned_to_id":10,"start_date":"2017-10-06","description":"","custom_fields":[{"id":30,"name":"Category","value":"Issue"},{"id":3,"name":"Functional Component","value":"Onboard"},{"id":31,"name":"Version","value":"N/A"},{"id":8,"name":"Reporting RR","value":"WABTEC"},{"id":27,"name":"Locomotive ID","value":"4009"},{"id":20,"name":"RR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03:36:30"},{"id":29,"name":"Sharepoint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42" s="168" t="str">
        <f t="shared" si="53"/>
        <v>https://d0f6bd738d7f1b3e5a7ca70fe4ff75f0.us-east-1.aws.found.io/app/kibana#/discover/Steve-Slow-Train-Analysis-(2080s-and-2083s)?_g=(refreshInterval:(display:Off,pause:!f,section:0,value:0),time:(from:'2017-10-05T19:45:37-0600',mode:absolute,to:'2017-10-05T22:36:30-0600'))&amp;_a=(columns:!('Message%20ID',Summary),filters:!(),index:'emp_*',interval:auto,query:(query_string:(analyze_wildcard:!t,query:'%22rtdc.l.rtdc.4009%22')),sort:!(Time.ISO8601,asc))</v>
      </c>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row>
    <row r="143" spans="1:91" s="20" customFormat="1" x14ac:dyDescent="0.25">
      <c r="A143" s="32" t="s">
        <v>786</v>
      </c>
      <c r="B143" s="7">
        <v>4028</v>
      </c>
      <c r="C143" s="21" t="s">
        <v>194</v>
      </c>
      <c r="D143" s="21" t="s">
        <v>380</v>
      </c>
      <c r="E143" s="13">
        <v>43013.848877314813</v>
      </c>
      <c r="F143" s="13">
        <v>43013.854409722226</v>
      </c>
      <c r="G143" s="7">
        <v>47</v>
      </c>
      <c r="H143" s="21" t="s">
        <v>542</v>
      </c>
      <c r="I143" s="13">
        <v>43013.878460648149</v>
      </c>
      <c r="J143" s="7">
        <v>0</v>
      </c>
      <c r="K143" s="89" t="str">
        <f t="shared" si="82"/>
        <v>4027/4028</v>
      </c>
      <c r="L143" s="185" t="str">
        <f>VLOOKUP(A143,'Trips&amp;Operators'!$C$1:$G$99911,5,FALSE)</f>
        <v>MCREYNOLDS KYLE</v>
      </c>
      <c r="M143" s="6">
        <f t="shared" si="83"/>
        <v>2.4050925923802424E-2</v>
      </c>
      <c r="N143" s="7">
        <f t="shared" si="84"/>
        <v>34.633333330275491</v>
      </c>
      <c r="O143" s="7"/>
      <c r="P143" s="7"/>
      <c r="Q143" s="22"/>
      <c r="R143" s="174"/>
      <c r="S143" s="221">
        <f t="shared" si="85"/>
        <v>1</v>
      </c>
      <c r="T143" s="174" t="str">
        <f t="shared" si="86"/>
        <v>NorthBound</v>
      </c>
      <c r="U143" s="198">
        <f>IF(AG143="EC",COUNTIFS(Variables!$M$2:$M$19,IF(T143="NorthBound","&gt;=","&lt;=")&amp;Y143,Variables!$M$2:$M$19,IF(T143="NorthBound","&lt;=","&gt;=")&amp;Z143),COUNTIFS(Variables!$P$2:$P$19,IF(T143="NorthBound","&gt;=","&lt;=")&amp;Y143,Variables!$P$2:$P$19,IF(T143="NorthBound","&lt;=","&gt;=")&amp;Z143))</f>
        <v>12</v>
      </c>
      <c r="V143" s="216" t="str">
        <f t="shared" si="107"/>
        <v>https://d0f6bd738d7f1b3e5a7ca70fe4ff75f0.us-east-1.aws.found.io/app/kibana#/discover/Steve-Slow-Train-Analysis-(2080s-and-2083s)?_g=(refreshInterval:(display:Off,pause:!f,section:0,value:0),time:(from:'2017-10-05T19:22:23-0600',mode:absolute,to:'2017-10-05T22:04:59-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143" s="204" t="str">
        <f>IF(AA143&lt;VLOOKUP(AG143,Variables!$AC$3:$AD$8,2,FALSE),"Y","N")</f>
        <v>N</v>
      </c>
      <c r="X143" s="204">
        <f t="shared" si="106"/>
        <v>1</v>
      </c>
      <c r="Y143" s="204">
        <f t="shared" si="104"/>
        <v>4.6600000000000003E-2</v>
      </c>
      <c r="Z143" s="204">
        <f t="shared" si="105"/>
        <v>23.334900000000001</v>
      </c>
      <c r="AA143" s="204">
        <f t="shared" si="89"/>
        <v>23.2883</v>
      </c>
      <c r="AB143" s="54" t="e">
        <f>VLOOKUP(A143,Enforcements!$C$7:$K$11,8,0)</f>
        <v>#N/A</v>
      </c>
      <c r="AC143" s="51" t="e">
        <f>VLOOKUP(A143,Enforcements!$C$7:$E$11,3,0)</f>
        <v>#N/A</v>
      </c>
      <c r="AD143" s="179">
        <f t="shared" si="90"/>
        <v>227</v>
      </c>
      <c r="AE143" s="77" t="str">
        <f t="shared" si="108"/>
        <v>aws s3 cp s3://rtdc.mdm.uploadarchive.raw/RTDC4028/ "%USERPROFILE%\AppData\Local\Temp\OnboardLogs"\RTDC4028\2017-10-05 --exclude "*" --recursive --include "*20171005*" &amp; "%USERPROFILE%\Documents\GitHub\mrs-test-scripts\Headless Mode &amp; Sideloading\WalkAndUnGZ.bat" "%USERPROFILE%\AppData\Local\Temp\OnboardLogs"\RTDC4028\2017-10-05 &amp; aws s3 cp s3://rtdc.mdm.uploadarchive.raw/RTDC4028/ "%USERPROFILE%\AppData\Local\Temp\OnboardLogs"\RTDC4028\2017-10-06 --exclude "*" --recursive --include "*20171006*" &amp; "%USERPROFILE%\Documents\GitHub\mrs-test-scripts\Headless Mode &amp; Sideloading\WalkAndUnGZ.bat" "%USERPROFILE%\AppData\Local\Temp\OnboardLogs"\RTDC4028\2017-10-06</v>
      </c>
      <c r="AF143" s="74" t="str">
        <f t="shared" si="109"/>
        <v>"C:\Program Files (x86)\AstroGrep\AstroGrep.exe" /e /r /s /spath="%USERPROFILE%\AppData\Local\Temp\OnboardLogs" /stypes="app*4028*20171006*" /stext=" 03:.+((SYSTEM_STATE.+slice.+state.+changed )|(ment ac)|(multiple cpu faults)|(system.+state.+changed )|(\[timeout)|(PRM\|1\|D)|(kpr)|(kdp)|(train st.+moving)|(\|lc)|(penalty))"</v>
      </c>
      <c r="AG143" s="182" t="str">
        <f t="shared" si="91"/>
        <v>EC</v>
      </c>
      <c r="AH143" s="78" t="str">
        <f t="shared" si="49"/>
        <v>"%USERPROFILE%\Documents\GitHub\eaglep3\Utilities\RefineRTDCRunTimes.py" --tripid 227-05 --locoid 4028 --swversion DE.1.0.9.0 --startMP 204:466 --initTime 2017-10-05T20:22:23 --startdatetime 2017-10-05T20:30:21 --delay 47 --endMP 204:233349 --enddatetime 2017-10-05T21:04:59 --enforcementcount 0 &gt;&gt;%USERPROFILE%\Documents\GitHub\eaglep3-reporting\EC\2017-10-05-refined-times.txt</v>
      </c>
      <c r="AI143" s="96" t="str">
        <f t="shared" si="50"/>
        <v>echo {"issue":{"subject":"","project_id":79,"tracker_id":40,"status_id":1,"priority_id":2,"assigned_to_id":338,"start_date":"2017-10-05","description":"","custom_fields":[{"id":1,"name":"Subdivision","value":"EC"},{"id":4,"name":"Milepost","value":"23.3349"},{"id":17,"name":"Train ID","value":"227-05"},{"id":16,"name":"Locomotive ID","value":"4028"},{"id":130,"name":"Impact","value":""},{"id":150,"name":"Time of Event (Mountain Time)","value":"21:04:59"},{"id":151,"name":"Denver Issue ID","value":""},{"id":178,"name":"Operational Impact","value":"Yes"},{"id":179,"name":"Denver Segment Assigned","value":""}]}} | curl --insecure -X POST -H "Content-Type: application/json" -H "X-Redmine-API-Key: %REDMINEAPIKEY%" https://secure.xorail.net/redmine/issues.json --data @-</v>
      </c>
      <c r="AK143" s="47"/>
      <c r="AL143" s="47"/>
      <c r="AM143" s="142" t="str">
        <f t="shared" si="51"/>
        <v>start /low /b %USERPROFILE%\Documents\GitHub\eaglep3\Utilities\DownloadLogsFromS3.py --loco 4028 --day 2017-10-05</v>
      </c>
      <c r="AN143" s="151" t="str">
        <f t="shared" si="52"/>
        <v>echo {"issue":{"subject":"","project_id":30,"tracker_id":4,"status_id":1,"priority_id":1,"assigned_to_id":10,"start_date":"2017-10-06","description":"","custom_fields":[{"id":30,"name":"Category","value":"Issue"},{"id":3,"name":"Functional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03:04:59"},{"id":29,"name":"Sharepoint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43" s="168" t="str">
        <f t="shared" si="53"/>
        <v>https://d0f6bd738d7f1b3e5a7ca70fe4ff75f0.us-east-1.aws.found.io/app/kibana#/discover/Steve-Slow-Train-Analysis-(2080s-and-2083s)?_g=(refreshInterval:(display:Off,pause:!f,section:0,value:0),time:(from:'2017-10-05T19:22:23-0600',mode:absolute,to:'2017-10-05T22:04:59-0600'))&amp;_a=(columns:!('Message%20ID',Summary),filters:!(),index:'emp_*',interval:auto,query:(query_string:(analyze_wildcard:!t,query:'%22rtdc.l.rtdc.4028%22')),sort:!(Time.ISO8601,asc))</v>
      </c>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row>
    <row r="144" spans="1:91" s="20" customFormat="1" x14ac:dyDescent="0.25">
      <c r="A144" s="32" t="s">
        <v>793</v>
      </c>
      <c r="B144" s="7">
        <v>4027</v>
      </c>
      <c r="C144" s="21" t="s">
        <v>194</v>
      </c>
      <c r="D144" s="21" t="s">
        <v>428</v>
      </c>
      <c r="E144" s="13">
        <v>43013.887604166666</v>
      </c>
      <c r="F144" s="13">
        <v>43013.893888888888</v>
      </c>
      <c r="G144" s="7">
        <v>59</v>
      </c>
      <c r="H144" s="21" t="s">
        <v>367</v>
      </c>
      <c r="I144" s="13">
        <v>43013.920416666668</v>
      </c>
      <c r="J144" s="7">
        <v>0</v>
      </c>
      <c r="K144" s="89" t="str">
        <f t="shared" si="82"/>
        <v>4027/4028</v>
      </c>
      <c r="L144" s="185" t="str">
        <f>VLOOKUP(A144,'Trips&amp;Operators'!$C$1:$G$99911,5,FALSE)</f>
        <v>MCREYNOLDS KYLE</v>
      </c>
      <c r="M144" s="6">
        <f t="shared" si="83"/>
        <v>2.6527777779847383E-2</v>
      </c>
      <c r="N144" s="7">
        <f t="shared" si="84"/>
        <v>38.200000002980232</v>
      </c>
      <c r="O144" s="7"/>
      <c r="P144" s="7"/>
      <c r="Q144" s="22"/>
      <c r="R144" s="174"/>
      <c r="S144" s="221">
        <f t="shared" si="85"/>
        <v>1</v>
      </c>
      <c r="T144" s="174" t="str">
        <f t="shared" si="86"/>
        <v>Southbound</v>
      </c>
      <c r="U144" s="198">
        <f>IF(AG144="EC",COUNTIFS(Variables!$M$2:$M$19,IF(T144="NorthBound","&gt;=","&lt;=")&amp;Y144,Variables!$M$2:$M$19,IF(T144="NorthBound","&lt;=","&gt;=")&amp;Z144),COUNTIFS(Variables!$P$2:$P$19,IF(T144="NorthBound","&gt;=","&lt;=")&amp;Y144,Variables!$P$2:$P$19,IF(T144="NorthBound","&lt;=","&gt;=")&amp;Z144))</f>
        <v>12</v>
      </c>
      <c r="V144" s="216" t="str">
        <f t="shared" si="107"/>
        <v>https://d0f6bd738d7f1b3e5a7ca70fe4ff75f0.us-east-1.aws.found.io/app/kibana#/discover/Steve-Slow-Train-Analysis-(2080s-and-2083s)?_g=(refreshInterval:(display:Off,pause:!f,section:0,value:0),time:(from:'2017-10-05T20:18:09-0600',mode:absolute,to:'2017-10-05T23:05:24-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144" s="204" t="str">
        <f>IF(AA144&lt;VLOOKUP(AG144,Variables!$AC$3:$AD$8,2,FALSE),"Y","N")</f>
        <v>N</v>
      </c>
      <c r="X144" s="204">
        <f t="shared" si="106"/>
        <v>1</v>
      </c>
      <c r="Y144" s="204">
        <f t="shared" si="104"/>
        <v>23.3019</v>
      </c>
      <c r="Z144" s="204">
        <f t="shared" si="105"/>
        <v>1.5800000000000002E-2</v>
      </c>
      <c r="AA144" s="204">
        <f t="shared" si="89"/>
        <v>23.286100000000001</v>
      </c>
      <c r="AB144" s="54" t="e">
        <f>VLOOKUP(A144,Enforcements!$C$7:$K$11,8,0)</f>
        <v>#N/A</v>
      </c>
      <c r="AC144" s="51" t="e">
        <f>VLOOKUP(A144,Enforcements!$C$7:$E$11,3,0)</f>
        <v>#N/A</v>
      </c>
      <c r="AD144" s="179">
        <f t="shared" si="90"/>
        <v>228</v>
      </c>
      <c r="AE144" s="77" t="str">
        <f t="shared" si="108"/>
        <v>aws s3 cp s3://rtdc.mdm.uploadarchive.raw/RTDC4027/ "%USERPROFILE%\AppData\Local\Temp\OnboardLogs"\RTDC4027\2017-10-05 --exclude "*" --recursive --include "*20171005*" &amp; "%USERPROFILE%\Documents\GitHub\mrs-test-scripts\Headless Mode &amp; Sideloading\WalkAndUnGZ.bat" "%USERPROFILE%\AppData\Local\Temp\OnboardLogs"\RTDC4027\2017-10-05 &amp; aws s3 cp s3://rtdc.mdm.uploadarchive.raw/RTDC4027/ "%USERPROFILE%\AppData\Local\Temp\OnboardLogs"\RTDC4027\2017-10-06 --exclude "*" --recursive --include "*20171006*" &amp; "%USERPROFILE%\Documents\GitHub\mrs-test-scripts\Headless Mode &amp; Sideloading\WalkAndUnGZ.bat" "%USERPROFILE%\AppData\Local\Temp\OnboardLogs"\RTDC4027\2017-10-06</v>
      </c>
      <c r="AF144" s="74" t="str">
        <f t="shared" si="109"/>
        <v>"C:\Program Files (x86)\AstroGrep\AstroGrep.exe" /e /r /s /spath="%USERPROFILE%\AppData\Local\Temp\OnboardLogs" /stypes="app*4027*20171006*" /stext=" 04:.+((SYSTEM_STATE.+slice.+state.+changed )|(ment ac)|(multiple cpu faults)|(system.+state.+changed )|(\[timeout)|(PRM\|1\|D)|(kpr)|(kdp)|(train st.+moving)|(\|lc)|(penalty))"</v>
      </c>
      <c r="AG144" s="182" t="str">
        <f t="shared" si="91"/>
        <v>EC</v>
      </c>
      <c r="AH144" s="78" t="str">
        <f t="shared" ref="AH144:AH209" si="110">refinertdcruntimes&amp;" --tripid "&amp;A144&amp;" --locoid "&amp;B144&amp;" --swversion "&amp;C144&amp;" --startMP "&amp;D144&amp;" --initTime "&amp;TEXT(E144,"yyyy-mm-ddTHH:MM:SS")&amp;" --startdatetime "&amp;TEXT(F144,"yyyy-mm-ddTHH:MM:SS")&amp;" --delay "&amp;G144&amp;" --endMP "&amp;H144&amp;" --enddatetime "&amp;TEXT(I144,"yyyy-mm-ddTHH:MM:SS")&amp;" --enforcementcount "&amp;J144&amp;IF(outputrefinedruntimes," &gt;&gt;"&amp;RefinedRTDCRunTimesOutputFile,"")</f>
        <v>"%USERPROFILE%\Documents\GitHub\eaglep3\Utilities\RefineRTDCRunTimes.py" --tripid 228-05 --locoid 4027 --swversion DE.1.0.9.0 --startMP 204:233019 --initTime 2017-10-05T21:18:09 --startdatetime 2017-10-05T21:27:12 --delay 59 --endMP 204:158 --enddatetime 2017-10-05T22:05:24 --enforcementcount 0 &gt;&gt;%USERPROFILE%\Documents\GitHub\eaglep3-reporting\EC\2017-10-05-refined-times.txt</v>
      </c>
      <c r="AI144" s="96" t="str">
        <f t="shared" ref="AI144:AI209" si="111">"echo {""issue"":{""subject"":"""&amp;R144&amp;""",""project_id"":79,""tracker_id"":40,""status_id"":"&amp;redmine_status&amp;",""priority_id"":"&amp;redmine_priority&amp;",""assigned_to_id"":"&amp;redmine_assignee&amp;",""start_date"":"""&amp;TEXT(I144,"YYYY-mm-dd")&amp;""",""description"":"""&amp;AJ144&amp;""",""custom_fields"":[{""id"":1,""name"":""Subdivision"",""value"":"""&amp;AG144&amp;"""},{""id"":4,""name"":""Milepost"",""value"":"""&amp;Z144&amp;"""},{""id"":17,""name"":""Train ID"",""value"":"""&amp;A144&amp;"""},{""id"":16,""name"":""Locomotive ID"",""value"":"""&amp;B144&amp;"""},{""id"":130,""name"":""Impact"",""value"":"""&amp;AK144&amp;"""},{""id"":150,""name"":""Time of Event (Mountain Time)"",""value"":"""&amp;TEXT(I144,"hh:mm:ss")&amp;"""},{""id"":151,""name"":""Denver Issue ID"",""value"":"""&amp;"""},{""id"":178,""name"":""Operational Impact"",""value"":"""&amp;redmine_op_impact&amp;"""},{""id"":179,""name"":""Denver Segment Assigned"",""value"":"""&amp;AL144&amp;"""}]}}"&amp;" | curl --insecure -X POST -H ""Content-Type: application/json"" -H ""X-Redmine-API-Key: "&amp;redm_api_key&amp;""" "&amp;redm_url&amp;" --data @-"</f>
        <v>echo {"issue":{"subject":"","project_id":79,"tracker_id":40,"status_id":1,"priority_id":2,"assigned_to_id":338,"start_date":"2017-10-05","description":"","custom_fields":[{"id":1,"name":"Subdivision","value":"EC"},{"id":4,"name":"Milepost","value":"0.0158"},{"id":17,"name":"Train ID","value":"228-05"},{"id":16,"name":"Locomotive ID","value":"4027"},{"id":130,"name":"Impact","value":""},{"id":150,"name":"Time of Event (Mountain Time)","value":"22:05:24"},{"id":151,"name":"Denver Issue ID","value":""},{"id":178,"name":"Operational Impact","value":"Yes"},{"id":179,"name":"Denver Segment Assigned","value":""}]}} | curl --insecure -X POST -H "Content-Type: application/json" -H "X-Redmine-API-Key: %REDMINEAPIKEY%" https://secure.xorail.net/redmine/issues.json --data @-</v>
      </c>
      <c r="AK144" s="47"/>
      <c r="AL144" s="47"/>
      <c r="AM144" s="142" t="str">
        <f t="shared" ref="AM144:AM209" si="112">"start /low /b "&amp;dls3logs&amp;" --loco "&amp;B144&amp;" --day "&amp;TEXT(F144,"YYYY-MM-DD")</f>
        <v>start /low /b %USERPROFILE%\Documents\GitHub\eaglep3\Utilities\DownloadLogsFromS3.py --loco 4027 --day 2017-10-05</v>
      </c>
      <c r="AN144" s="151" t="str">
        <f t="shared" ref="AN144:AN209" si="113">"echo {""issue"":{""subject"":"""&amp;R144&amp;""",""project_id"":30,""tracker_id"":4,""status_id"":"&amp;redmine_status_wcr&amp;",""priority_id"":"&amp;redmine_priority_wcr&amp;",""assigned_to_id"":"&amp;redmine_assignee_wcr&amp;",""start_date"":"""&amp;TEXT(I144-utc_offset/24,"YYYY-mm-dd")&amp;""",""description"":"""&amp;AJ144&amp;""",""custom_fields"":[{""id"":30,""name"":""Category"",""value"":""Issue""},{""id"":3,""name"":""Functional Component"",""value"":""Onboard""},{""id"":31,""name"":""Version"",""value"":""N/A""},{""id"":8,""name"":""Reporting RR"",""value"":""WABTEC""},{""id"":27,""name"":""Locomotive ID"",""value"":"""&amp;B144&amp;"""},{""id"":20,""name"":""RR Requested Build"",""value"":""""},{""id"":1,""name"":""Build Request Notes"",""value"":"""&amp;"""},{""id"":9,""name"":""RR Assessed Issue Severity"",""value"":""4-Minor""},{""id"":10,""name"":""RR Severity Justification"",""value"":""test RR Severity Justification""}"&amp;",{""id"":11,""name"":""Wabtec Assessed Severity"",""value"":""""}"&amp;",{""id"":12,""name"":""Wabtec Severity Justification"",""value"":""""}"&amp;",{""id"":18,""name"":""RR Assessed Safety Criticality"",""value"":""Not Safety Related""}"&amp;",{""id"":19,""name"":""RR Criticality Justification"",""value"":""test RR Criticality Justification""}"&amp;",{""id"":22,""name"":""WRE Assessed Safety Critical"",""value"":""""}"&amp;",{""id"":23,""name"":""WRE Criticality Justification"",""value"":""""}"&amp;",{""id"":24,""name"":""Customer's Tracking Number"",""value"":""""}"&amp;",{""id"":28,""name"":""Date \u0026 Time of event UTC"",""value"":"""&amp;TEXT(I144-utc_offset/24,"YYYY-MM-DD hh:mm:ss")&amp;"""}"&amp;",{""id"":29,""name"":""Sharepoint Issue ID"",""value"":""""}"&amp;",{""id"":25,""name"":""Customer's Email Address"",""value"":""stu@wabtec.com""}"&amp;",{""id"":33,""name"":""Customer Call Back Number"",""value"":""904-316-8563""}"&amp;",{""id"":34,""name"":""Customer Name"",""value"":""Steve Tu""}"&amp;",{""id"":55,""name"":""WRE CR#"",""value"":""""}"&amp;",{""id"":57,""name"":""Reclassify Severity"",""value"":""""}"&amp;",{""id"":58,""name"":""Reclassify Safety"",""value"":""""}"&amp;",{""id"":59,""name"":""Environment "",""value"":""Production""}"&amp;"]}}"&amp;" | curl --insecure -X POST -H ""Content-Type: application/json"" -H ""X-Redmine-API-Key: "&amp;redmine_api_wcr&amp;""" "&amp;redmine_url_wcr&amp;" --data @-"</f>
        <v>echo {"issue":{"subject":"","project_id":30,"tracker_id":4,"status_id":1,"priority_id":1,"assigned_to_id":10,"start_date":"2017-10-06","description":"","custom_fields":[{"id":30,"name":"Category","value":"Issue"},{"id":3,"name":"Functional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04:05:24"},{"id":29,"name":"Sharepoint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44" s="168" t="str">
        <f t="shared" ref="AO144:AO209" si="114">"https://d0f6bd738d7f1b3e5a7ca70fe4ff75f0.us-east-1.aws.found.io/app/kibana#/discover/Steve-Slow-Train-Analysis-(2080s-and-2083s)?_g="&amp;"(refreshInterval:(display:Off,pause:!f,section:0,value:0),time:(from:'"&amp;TEXT(E144-1/24,"yyyy-MM-DDThh:mm:ss")&amp;utc_offset&amp;"00"&amp;"',mode:absolute,to:'"&amp;TEXT(I144+1/24,"yyyy-MM-DDThh:mm:ss")&amp;utc_offset&amp;"00"&amp;"'))&amp;_a=(columns:!('Message%20ID',Summary),filters:!(),index:'emp_*',interval:auto,query:"&amp;"(query_string:(analyze_wildcard:!t,query:'%22rtdc.l.rtdc."&amp;B144&amp;"%22')),sort:!(Time.ISO8601,asc))"</f>
        <v>https://d0f6bd738d7f1b3e5a7ca70fe4ff75f0.us-east-1.aws.found.io/app/kibana#/discover/Steve-Slow-Train-Analysis-(2080s-and-2083s)?_g=(refreshInterval:(display:Off,pause:!f,section:0,value:0),time:(from:'2017-10-05T20:18:09-0600',mode:absolute,to:'2017-10-05T23:05:24-0600'))&amp;_a=(columns:!('Message%20ID',Summary),filters:!(),index:'emp_*',interval:auto,query:(query_string:(analyze_wildcard:!t,query:'%22rtdc.l.rtdc.4027%22')),sort:!(Time.ISO8601,asc))</v>
      </c>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row>
    <row r="145" spans="1:91" s="20" customFormat="1" x14ac:dyDescent="0.25">
      <c r="A145" s="32" t="s">
        <v>790</v>
      </c>
      <c r="B145" s="7">
        <v>4044</v>
      </c>
      <c r="C145" s="21" t="s">
        <v>194</v>
      </c>
      <c r="D145" s="21" t="s">
        <v>381</v>
      </c>
      <c r="E145" s="13">
        <v>43013.87054398148</v>
      </c>
      <c r="F145" s="13">
        <v>43013.875185185185</v>
      </c>
      <c r="G145" s="7">
        <v>46</v>
      </c>
      <c r="H145" s="21" t="s">
        <v>424</v>
      </c>
      <c r="I145" s="13">
        <v>43013.898981481485</v>
      </c>
      <c r="J145" s="7">
        <v>0</v>
      </c>
      <c r="K145" s="89" t="str">
        <f t="shared" si="82"/>
        <v>4043/4044</v>
      </c>
      <c r="L145" s="185" t="str">
        <f>VLOOKUP(A145,'Trips&amp;Operators'!$C$1:$G$99911,5,FALSE)</f>
        <v>HART KEVIN</v>
      </c>
      <c r="M145" s="6">
        <f t="shared" si="83"/>
        <v>2.379629630013369E-2</v>
      </c>
      <c r="N145" s="7">
        <f t="shared" si="84"/>
        <v>34.266666672192514</v>
      </c>
      <c r="O145" s="7"/>
      <c r="P145" s="7"/>
      <c r="Q145" s="22"/>
      <c r="R145" s="174"/>
      <c r="S145" s="221">
        <f t="shared" si="85"/>
        <v>1</v>
      </c>
      <c r="T145" s="174" t="str">
        <f t="shared" si="86"/>
        <v>NorthBound</v>
      </c>
      <c r="U145" s="198">
        <f>IF(AG145="EC",COUNTIFS(Variables!$M$2:$M$19,IF(T145="NorthBound","&gt;=","&lt;=")&amp;Y145,Variables!$M$2:$M$19,IF(T145="NorthBound","&lt;=","&gt;=")&amp;Z145),COUNTIFS(Variables!$P$2:$P$19,IF(T145="NorthBound","&gt;=","&lt;=")&amp;Y145,Variables!$P$2:$P$19,IF(T145="NorthBound","&lt;=","&gt;=")&amp;Z145))</f>
        <v>12</v>
      </c>
      <c r="V145" s="216" t="str">
        <f t="shared" si="107"/>
        <v>https://d0f6bd738d7f1b3e5a7ca70fe4ff75f0.us-east-1.aws.found.io/app/kibana#/discover/Steve-Slow-Train-Analysis-(2080s-and-2083s)?_g=(refreshInterval:(display:Off,pause:!f,section:0,value:0),time:(from:'2017-10-05T19:53:35-0600',mode:absolute,to:'2017-10-05T22:34:32-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4044%22')),sort:!(Time.ISO8601,asc))</v>
      </c>
      <c r="W145" s="204" t="str">
        <f>IF(AA145&lt;VLOOKUP(AG145,Variables!$AC$3:$AD$8,2,FALSE),"Y","N")</f>
        <v>N</v>
      </c>
      <c r="X145" s="204">
        <f t="shared" si="106"/>
        <v>1</v>
      </c>
      <c r="Y145" s="204">
        <f t="shared" si="104"/>
        <v>4.4699999999999997E-2</v>
      </c>
      <c r="Z145" s="204">
        <f t="shared" si="105"/>
        <v>23.3278</v>
      </c>
      <c r="AA145" s="204">
        <f t="shared" si="89"/>
        <v>23.283100000000001</v>
      </c>
      <c r="AB145" s="54" t="e">
        <f>VLOOKUP(A145,Enforcements!$C$7:$K$11,8,0)</f>
        <v>#N/A</v>
      </c>
      <c r="AC145" s="51" t="e">
        <f>VLOOKUP(A145,Enforcements!$C$7:$E$11,3,0)</f>
        <v>#N/A</v>
      </c>
      <c r="AD145" s="179">
        <f t="shared" si="90"/>
        <v>229</v>
      </c>
      <c r="AE145" s="77" t="str">
        <f t="shared" si="108"/>
        <v>aws s3 cp s3://rtdc.mdm.uploadarchive.raw/RTDC4044/ "%USERPROFILE%\AppData\Local\Temp\OnboardLogs"\RTDC4044\2017-10-05 --exclude "*" --recursive --include "*20171005*" &amp; "%USERPROFILE%\Documents\GitHub\mrs-test-scripts\Headless Mode &amp; Sideloading\WalkAndUnGZ.bat" "%USERPROFILE%\AppData\Local\Temp\OnboardLogs"\RTDC4044\2017-10-05 &amp; aws s3 cp s3://rtdc.mdm.uploadarchive.raw/RTDC4044/ "%USERPROFILE%\AppData\Local\Temp\OnboardLogs"\RTDC4044\2017-10-06 --exclude "*" --recursive --include "*20171006*" &amp; "%USERPROFILE%\Documents\GitHub\mrs-test-scripts\Headless Mode &amp; Sideloading\WalkAndUnGZ.bat" "%USERPROFILE%\AppData\Local\Temp\OnboardLogs"\RTDC4044\2017-10-06</v>
      </c>
      <c r="AF145" s="74" t="str">
        <f t="shared" si="109"/>
        <v>"C:\Program Files (x86)\AstroGrep\AstroGrep.exe" /e /r /s /spath="%USERPROFILE%\AppData\Local\Temp\OnboardLogs" /stypes="app*4044*20171006*" /stext=" 03:.+((SYSTEM_STATE.+slice.+state.+changed )|(ment ac)|(multiple cpu faults)|(system.+state.+changed )|(\[timeout)|(PRM\|1\|D)|(kpr)|(kdp)|(train st.+moving)|(\|lc)|(penalty))"</v>
      </c>
      <c r="AG145" s="182" t="str">
        <f t="shared" si="91"/>
        <v>EC</v>
      </c>
      <c r="AH145" s="78" t="str">
        <f t="shared" si="110"/>
        <v>"%USERPROFILE%\Documents\GitHub\eaglep3\Utilities\RefineRTDCRunTimes.py" --tripid 229-05 --locoid 4044 --swversion DE.1.0.9.0 --startMP 204:447 --initTime 2017-10-05T20:53:35 --startdatetime 2017-10-05T21:00:16 --delay 46 --endMP 204:233278 --enddatetime 2017-10-05T21:34:32 --enforcementcount 0 &gt;&gt;%USERPROFILE%\Documents\GitHub\eaglep3-reporting\EC\2017-10-05-refined-times.txt</v>
      </c>
      <c r="AI145" s="96" t="str">
        <f t="shared" si="111"/>
        <v>echo {"issue":{"subject":"","project_id":79,"tracker_id":40,"status_id":1,"priority_id":2,"assigned_to_id":338,"start_date":"2017-10-05","description":"","custom_fields":[{"id":1,"name":"Subdivision","value":"EC"},{"id":4,"name":"Milepost","value":"23.3278"},{"id":17,"name":"Train ID","value":"229-05"},{"id":16,"name":"Locomotive ID","value":"4044"},{"id":130,"name":"Impact","value":""},{"id":150,"name":"Time of Event (Mountain Time)","value":"21:34:32"},{"id":151,"name":"Denver Issue ID","value":""},{"id":178,"name":"Operational Impact","value":"Yes"},{"id":179,"name":"Denver Segment Assigned","value":""}]}} | curl --insecure -X POST -H "Content-Type: application/json" -H "X-Redmine-API-Key: %REDMINEAPIKEY%" https://secure.xorail.net/redmine/issues.json --data @-</v>
      </c>
      <c r="AK145" s="47"/>
      <c r="AL145" s="47"/>
      <c r="AM145" s="142" t="str">
        <f t="shared" si="112"/>
        <v>start /low /b %USERPROFILE%\Documents\GitHub\eaglep3\Utilities\DownloadLogsFromS3.py --loco 4044 --day 2017-10-05</v>
      </c>
      <c r="AN145" s="151" t="str">
        <f t="shared" si="113"/>
        <v>echo {"issue":{"subject":"","project_id":30,"tracker_id":4,"status_id":1,"priority_id":1,"assigned_to_id":10,"start_date":"2017-10-06","description":"","custom_fields":[{"id":30,"name":"Category","value":"Issue"},{"id":3,"name":"Functional Component","value":"Onboard"},{"id":31,"name":"Version","value":"N/A"},{"id":8,"name":"Reporting RR","value":"WABTEC"},{"id":27,"name":"Locomotive ID","value":"4044"},{"id":20,"name":"RR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03:34:32"},{"id":29,"name":"Sharepoint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45" s="168" t="str">
        <f t="shared" si="114"/>
        <v>https://d0f6bd738d7f1b3e5a7ca70fe4ff75f0.us-east-1.aws.found.io/app/kibana#/discover/Steve-Slow-Train-Analysis-(2080s-and-2083s)?_g=(refreshInterval:(display:Off,pause:!f,section:0,value:0),time:(from:'2017-10-05T19:53:35-0600',mode:absolute,to:'2017-10-05T22:34:32-0600'))&amp;_a=(columns:!('Message%20ID',Summary),filters:!(),index:'emp_*',interval:auto,query:(query_string:(analyze_wildcard:!t,query:'%22rtdc.l.rtdc.4044%22')),sort:!(Time.ISO8601,asc))</v>
      </c>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row>
    <row r="146" spans="1:91" s="20" customFormat="1" x14ac:dyDescent="0.25">
      <c r="A146" s="32" t="s">
        <v>796</v>
      </c>
      <c r="B146" s="7">
        <v>4043</v>
      </c>
      <c r="C146" s="21" t="s">
        <v>194</v>
      </c>
      <c r="D146" s="21" t="s">
        <v>844</v>
      </c>
      <c r="E146" s="13">
        <v>43013.911944444444</v>
      </c>
      <c r="F146" s="13">
        <v>43013.914780092593</v>
      </c>
      <c r="G146" s="7">
        <v>54</v>
      </c>
      <c r="H146" s="21" t="s">
        <v>339</v>
      </c>
      <c r="I146" s="13">
        <v>43013.940162037034</v>
      </c>
      <c r="J146" s="7">
        <v>0</v>
      </c>
      <c r="K146" s="89" t="str">
        <f t="shared" si="82"/>
        <v>4043/4044</v>
      </c>
      <c r="L146" s="185" t="str">
        <f>VLOOKUP(A146,'Trips&amp;Operators'!$C$1:$G$99911,5,FALSE)</f>
        <v>HART KEVIN</v>
      </c>
      <c r="M146" s="6">
        <f t="shared" si="83"/>
        <v>2.5381944440596271E-2</v>
      </c>
      <c r="N146" s="7">
        <f t="shared" si="84"/>
        <v>36.549999994458631</v>
      </c>
      <c r="O146" s="7"/>
      <c r="P146" s="7"/>
      <c r="Q146" s="22"/>
      <c r="R146" s="174"/>
      <c r="S146" s="221">
        <f t="shared" si="85"/>
        <v>1</v>
      </c>
      <c r="T146" s="174" t="str">
        <f t="shared" si="86"/>
        <v>Southbound</v>
      </c>
      <c r="U146" s="198">
        <f>IF(AG146="EC",COUNTIFS(Variables!$M$2:$M$19,IF(T146="NorthBound","&gt;=","&lt;=")&amp;Y146,Variables!$M$2:$M$19,IF(T146="NorthBound","&lt;=","&gt;=")&amp;Z146),COUNTIFS(Variables!$P$2:$P$19,IF(T146="NorthBound","&gt;=","&lt;=")&amp;Y146,Variables!$P$2:$P$19,IF(T146="NorthBound","&lt;=","&gt;=")&amp;Z146))</f>
        <v>12</v>
      </c>
      <c r="V146" s="216" t="str">
        <f t="shared" si="107"/>
        <v>https://d0f6bd738d7f1b3e5a7ca70fe4ff75f0.us-east-1.aws.found.io/app/kibana#/discover/Steve-Slow-Train-Analysis-(2080s-and-2083s)?_g=(refreshInterval:(display:Off,pause:!f,section:0,value:0),time:(from:'2017-10-05T20:53:12-0600',mode:absolute,to:'2017-10-05T23:33:50-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4043%22')),sort:!(Time.ISO8601,asc))</v>
      </c>
      <c r="W146" s="204" t="str">
        <f>IF(AA146&lt;VLOOKUP(AG146,Variables!$AC$3:$AD$8,2,FALSE),"Y","N")</f>
        <v>N</v>
      </c>
      <c r="X146" s="204">
        <f t="shared" si="106"/>
        <v>1</v>
      </c>
      <c r="Y146" s="204">
        <f t="shared" si="104"/>
        <v>23.297699999999999</v>
      </c>
      <c r="Z146" s="204">
        <f t="shared" si="105"/>
        <v>1.41E-2</v>
      </c>
      <c r="AA146" s="204">
        <f t="shared" si="89"/>
        <v>23.2836</v>
      </c>
      <c r="AB146" s="54" t="e">
        <f>VLOOKUP(A146,Enforcements!$C$7:$K$11,8,0)</f>
        <v>#N/A</v>
      </c>
      <c r="AC146" s="51" t="e">
        <f>VLOOKUP(A146,Enforcements!$C$7:$E$11,3,0)</f>
        <v>#N/A</v>
      </c>
      <c r="AD146" s="179">
        <f t="shared" si="90"/>
        <v>230</v>
      </c>
      <c r="AE146" s="77" t="str">
        <f t="shared" si="108"/>
        <v>aws s3 cp s3://rtdc.mdm.uploadarchive.raw/RTDC4043/ "%USERPROFILE%\AppData\Local\Temp\OnboardLogs"\RTDC4043\2017-10-05 --exclude "*" --recursive --include "*20171005*" &amp; "%USERPROFILE%\Documents\GitHub\mrs-test-scripts\Headless Mode &amp; Sideloading\WalkAndUnGZ.bat" "%USERPROFILE%\AppData\Local\Temp\OnboardLogs"\RTDC4043\2017-10-05 &amp; aws s3 cp s3://rtdc.mdm.uploadarchive.raw/RTDC4043/ "%USERPROFILE%\AppData\Local\Temp\OnboardLogs"\RTDC4043\2017-10-06 --exclude "*" --recursive --include "*20171006*" &amp; "%USERPROFILE%\Documents\GitHub\mrs-test-scripts\Headless Mode &amp; Sideloading\WalkAndUnGZ.bat" "%USERPROFILE%\AppData\Local\Temp\OnboardLogs"\RTDC4043\2017-10-06</v>
      </c>
      <c r="AF146" s="74" t="str">
        <f t="shared" si="109"/>
        <v>"C:\Program Files (x86)\AstroGrep\AstroGrep.exe" /e /r /s /spath="%USERPROFILE%\AppData\Local\Temp\OnboardLogs" /stypes="app*4043*20171006*" /stext=" 04:.+((SYSTEM_STATE.+slice.+state.+changed )|(ment ac)|(multiple cpu faults)|(system.+state.+changed )|(\[timeout)|(PRM\|1\|D)|(kpr)|(kdp)|(train st.+moving)|(\|lc)|(penalty))"</v>
      </c>
      <c r="AG146" s="182" t="str">
        <f t="shared" si="91"/>
        <v>EC</v>
      </c>
      <c r="AH146" s="78" t="str">
        <f t="shared" si="110"/>
        <v>"%USERPROFILE%\Documents\GitHub\eaglep3\Utilities\RefineRTDCRunTimes.py" --tripid 230-05 --locoid 4043 --swversion DE.1.0.9.0 --startMP 204:232977 --initTime 2017-10-05T21:53:12 --startdatetime 2017-10-05T21:57:17 --delay 54 --endMP 204:141 --enddatetime 2017-10-05T22:33:50 --enforcementcount 0 &gt;&gt;%USERPROFILE%\Documents\GitHub\eaglep3-reporting\EC\2017-10-05-refined-times.txt</v>
      </c>
      <c r="AI146" s="96" t="str">
        <f t="shared" si="111"/>
        <v>echo {"issue":{"subject":"","project_id":79,"tracker_id":40,"status_id":1,"priority_id":2,"assigned_to_id":338,"start_date":"2017-10-05","description":"","custom_fields":[{"id":1,"name":"Subdivision","value":"EC"},{"id":4,"name":"Milepost","value":"0.0141"},{"id":17,"name":"Train ID","value":"230-05"},{"id":16,"name":"Locomotive ID","value":"4043"},{"id":130,"name":"Impact","value":""},{"id":150,"name":"Time of Event (Mountain Time)","value":"22:33:50"},{"id":151,"name":"Denver Issue ID","value":""},{"id":178,"name":"Operational Impact","value":"Yes"},{"id":179,"name":"Denver Segment Assigned","value":""}]}} | curl --insecure -X POST -H "Content-Type: application/json" -H "X-Redmine-API-Key: %REDMINEAPIKEY%" https://secure.xorail.net/redmine/issues.json --data @-</v>
      </c>
      <c r="AK146" s="47"/>
      <c r="AL146" s="47"/>
      <c r="AM146" s="142" t="str">
        <f t="shared" si="112"/>
        <v>start /low /b %USERPROFILE%\Documents\GitHub\eaglep3\Utilities\DownloadLogsFromS3.py --loco 4043 --day 2017-10-05</v>
      </c>
      <c r="AN146" s="151" t="str">
        <f t="shared" si="113"/>
        <v>echo {"issue":{"subject":"","project_id":30,"tracker_id":4,"status_id":1,"priority_id":1,"assigned_to_id":10,"start_date":"2017-10-06","description":"","custom_fields":[{"id":30,"name":"Category","value":"Issue"},{"id":3,"name":"Functional Component","value":"Onboard"},{"id":31,"name":"Version","value":"N/A"},{"id":8,"name":"Reporting RR","value":"WABTEC"},{"id":27,"name":"Locomotive ID","value":"4043"},{"id":20,"name":"RR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04:33:50"},{"id":29,"name":"Sharepoint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46" s="168" t="str">
        <f t="shared" si="114"/>
        <v>https://d0f6bd738d7f1b3e5a7ca70fe4ff75f0.us-east-1.aws.found.io/app/kibana#/discover/Steve-Slow-Train-Analysis-(2080s-and-2083s)?_g=(refreshInterval:(display:Off,pause:!f,section:0,value:0),time:(from:'2017-10-05T20:53:12-0600',mode:absolute,to:'2017-10-05T23:33:50-0600'))&amp;_a=(columns:!('Message%20ID',Summary),filters:!(),index:'emp_*',interval:auto,query:(query_string:(analyze_wildcard:!t,query:'%22rtdc.l.rtdc.4043%22')),sort:!(Time.ISO8601,asc))</v>
      </c>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row>
    <row r="147" spans="1:91" s="20" customFormat="1" x14ac:dyDescent="0.25">
      <c r="A147" s="32" t="s">
        <v>792</v>
      </c>
      <c r="B147" s="7">
        <v>4008</v>
      </c>
      <c r="C147" s="21" t="s">
        <v>194</v>
      </c>
      <c r="D147" s="21" t="s">
        <v>346</v>
      </c>
      <c r="E147" s="13">
        <v>43013.886550925927</v>
      </c>
      <c r="F147" s="13">
        <v>43013.896087962959</v>
      </c>
      <c r="G147" s="7">
        <v>64</v>
      </c>
      <c r="H147" s="21" t="s">
        <v>876</v>
      </c>
      <c r="I147" s="13">
        <v>43013.920393518521</v>
      </c>
      <c r="J147" s="7">
        <v>0</v>
      </c>
      <c r="K147" s="89" t="str">
        <f t="shared" si="82"/>
        <v>4007/4008</v>
      </c>
      <c r="L147" s="185" t="str">
        <f>VLOOKUP(A147,'Trips&amp;Operators'!$C$1:$G$99911,5,FALSE)</f>
        <v>LOZA FIDEL</v>
      </c>
      <c r="M147" s="6">
        <f t="shared" si="83"/>
        <v>2.4305555562023073E-2</v>
      </c>
      <c r="N147" s="7">
        <f t="shared" si="84"/>
        <v>35.000000009313226</v>
      </c>
      <c r="O147" s="7"/>
      <c r="P147" s="7"/>
      <c r="Q147" s="22"/>
      <c r="R147" s="174"/>
      <c r="S147" s="221">
        <f t="shared" si="85"/>
        <v>1</v>
      </c>
      <c r="T147" s="174" t="str">
        <f t="shared" si="86"/>
        <v>NorthBound</v>
      </c>
      <c r="U147" s="198">
        <f>IF(AG147="EC",COUNTIFS(Variables!$M$2:$M$19,IF(T147="NorthBound","&gt;=","&lt;=")&amp;Y147,Variables!$M$2:$M$19,IF(T147="NorthBound","&lt;=","&gt;=")&amp;Z147),COUNTIFS(Variables!$P$2:$P$19,IF(T147="NorthBound","&gt;=","&lt;=")&amp;Y147,Variables!$P$2:$P$19,IF(T147="NorthBound","&lt;=","&gt;=")&amp;Z147))</f>
        <v>12</v>
      </c>
      <c r="V147" s="216" t="str">
        <f t="shared" si="107"/>
        <v>https://d0f6bd738d7f1b3e5a7ca70fe4ff75f0.us-east-1.aws.found.io/app/kibana#/discover/Steve-Slow-Train-Analysis-(2080s-and-2083s)?_g=(refreshInterval:(display:Off,pause:!f,section:0,value:0),time:(from:'2017-10-05T20:16:38-0600',mode:absolute,to:'2017-10-05T23:05:22-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4008%22')),sort:!(Time.ISO8601,asc))</v>
      </c>
      <c r="W147" s="204" t="str">
        <f>IF(AA147&lt;VLOOKUP(AG147,Variables!$AC$3:$AD$8,2,FALSE),"Y","N")</f>
        <v>N</v>
      </c>
      <c r="X147" s="204">
        <f t="shared" si="106"/>
        <v>1</v>
      </c>
      <c r="Y147" s="204">
        <f t="shared" si="104"/>
        <v>4.5499999999999999E-2</v>
      </c>
      <c r="Z147" s="204">
        <f t="shared" si="105"/>
        <v>23.340800000000002</v>
      </c>
      <c r="AA147" s="204">
        <f t="shared" si="89"/>
        <v>23.295300000000001</v>
      </c>
      <c r="AB147" s="54" t="e">
        <f>VLOOKUP(A147,Enforcements!$C$7:$K$11,8,0)</f>
        <v>#N/A</v>
      </c>
      <c r="AC147" s="51" t="e">
        <f>VLOOKUP(A147,Enforcements!$C$7:$E$11,3,0)</f>
        <v>#N/A</v>
      </c>
      <c r="AD147" s="179">
        <f t="shared" si="90"/>
        <v>231</v>
      </c>
      <c r="AE147" s="77" t="str">
        <f t="shared" si="108"/>
        <v>aws s3 cp s3://rtdc.mdm.uploadarchive.raw/RTDC4008/ "%USERPROFILE%\AppData\Local\Temp\OnboardLogs"\RTDC4008\2017-10-05 --exclude "*" --recursive --include "*20171005*" &amp; "%USERPROFILE%\Documents\GitHub\mrs-test-scripts\Headless Mode &amp; Sideloading\WalkAndUnGZ.bat" "%USERPROFILE%\AppData\Local\Temp\OnboardLogs"\RTDC4008\2017-10-05 &amp; aws s3 cp s3://rtdc.mdm.uploadarchive.raw/RTDC4008/ "%USERPROFILE%\AppData\Local\Temp\OnboardLogs"\RTDC4008\2017-10-06 --exclude "*" --recursive --include "*20171006*" &amp; "%USERPROFILE%\Documents\GitHub\mrs-test-scripts\Headless Mode &amp; Sideloading\WalkAndUnGZ.bat" "%USERPROFILE%\AppData\Local\Temp\OnboardLogs"\RTDC4008\2017-10-06</v>
      </c>
      <c r="AF147" s="74" t="str">
        <f t="shared" si="109"/>
        <v>"C:\Program Files (x86)\AstroGrep\AstroGrep.exe" /e /r /s /spath="%USERPROFILE%\AppData\Local\Temp\OnboardLogs" /stypes="app*4008*20171006*" /stext=" 04:.+((SYSTEM_STATE.+slice.+state.+changed )|(ment ac)|(multiple cpu faults)|(system.+state.+changed )|(\[timeout)|(PRM\|1\|D)|(kpr)|(kdp)|(train st.+moving)|(\|lc)|(penalty))"</v>
      </c>
      <c r="AG147" s="182" t="str">
        <f t="shared" si="91"/>
        <v>EC</v>
      </c>
      <c r="AH147" s="78" t="str">
        <f t="shared" si="110"/>
        <v>"%USERPROFILE%\Documents\GitHub\eaglep3\Utilities\RefineRTDCRunTimes.py" --tripid 231-05 --locoid 4008 --swversion DE.1.0.9.0 --startMP 204:455 --initTime 2017-10-05T21:16:38 --startdatetime 2017-10-05T21:30:22 --delay 64 --endMP 204:233408 --enddatetime 2017-10-05T22:05:22 --enforcementcount 0 &gt;&gt;%USERPROFILE%\Documents\GitHub\eaglep3-reporting\EC\2017-10-05-refined-times.txt</v>
      </c>
      <c r="AI147" s="96" t="str">
        <f t="shared" si="111"/>
        <v>echo {"issue":{"subject":"","project_id":79,"tracker_id":40,"status_id":1,"priority_id":2,"assigned_to_id":338,"start_date":"2017-10-05","description":"","custom_fields":[{"id":1,"name":"Subdivision","value":"EC"},{"id":4,"name":"Milepost","value":"23.3408"},{"id":17,"name":"Train ID","value":"231-05"},{"id":16,"name":"Locomotive ID","value":"4008"},{"id":130,"name":"Impact","value":""},{"id":150,"name":"Time of Event (Mountain Time)","value":"22:05:22"},{"id":151,"name":"Denver Issue ID","value":""},{"id":178,"name":"Operational Impact","value":"Yes"},{"id":179,"name":"Denver Segment Assigned","value":""}]}} | curl --insecure -X POST -H "Content-Type: application/json" -H "X-Redmine-API-Key: %REDMINEAPIKEY%" https://secure.xorail.net/redmine/issues.json --data @-</v>
      </c>
      <c r="AK147" s="47"/>
      <c r="AL147" s="47"/>
      <c r="AM147" s="142" t="str">
        <f t="shared" si="112"/>
        <v>start /low /b %USERPROFILE%\Documents\GitHub\eaglep3\Utilities\DownloadLogsFromS3.py --loco 4008 --day 2017-10-05</v>
      </c>
      <c r="AN147" s="151" t="str">
        <f t="shared" si="113"/>
        <v>echo {"issue":{"subject":"","project_id":30,"tracker_id":4,"status_id":1,"priority_id":1,"assigned_to_id":10,"start_date":"2017-10-06","description":"","custom_fields":[{"id":30,"name":"Category","value":"Issue"},{"id":3,"name":"Functional Component","value":"Onboard"},{"id":31,"name":"Version","value":"N/A"},{"id":8,"name":"Reporting RR","value":"WABTEC"},{"id":27,"name":"Locomotive ID","value":"4008"},{"id":20,"name":"RR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04:05:22"},{"id":29,"name":"Sharepoint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47" s="168" t="str">
        <f t="shared" si="114"/>
        <v>https://d0f6bd738d7f1b3e5a7ca70fe4ff75f0.us-east-1.aws.found.io/app/kibana#/discover/Steve-Slow-Train-Analysis-(2080s-and-2083s)?_g=(refreshInterval:(display:Off,pause:!f,section:0,value:0),time:(from:'2017-10-05T20:16:38-0600',mode:absolute,to:'2017-10-05T23:05:22-0600'))&amp;_a=(columns:!('Message%20ID',Summary),filters:!(),index:'emp_*',interval:auto,query:(query_string:(analyze_wildcard:!t,query:'%22rtdc.l.rtdc.4008%22')),sort:!(Time.ISO8601,asc))</v>
      </c>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row>
    <row r="148" spans="1:91" s="20" customFormat="1" x14ac:dyDescent="0.25">
      <c r="A148" s="32" t="s">
        <v>799</v>
      </c>
      <c r="B148" s="7">
        <v>4007</v>
      </c>
      <c r="C148" s="21" t="s">
        <v>194</v>
      </c>
      <c r="D148" s="21" t="s">
        <v>877</v>
      </c>
      <c r="E148" s="13">
        <v>43013.933229166665</v>
      </c>
      <c r="F148" s="13">
        <v>43013.935636574075</v>
      </c>
      <c r="G148" s="7">
        <v>62</v>
      </c>
      <c r="H148" s="21" t="s">
        <v>359</v>
      </c>
      <c r="I148" s="13">
        <v>43013.961689814816</v>
      </c>
      <c r="J148" s="7">
        <v>0</v>
      </c>
      <c r="K148" s="89" t="str">
        <f t="shared" si="82"/>
        <v>4007/4008</v>
      </c>
      <c r="L148" s="185" t="str">
        <f>VLOOKUP(A148,'Trips&amp;Operators'!$C$1:$G$99911,5,FALSE)</f>
        <v>LOZA FIDEL</v>
      </c>
      <c r="M148" s="6">
        <f t="shared" si="83"/>
        <v>2.6053240741021E-2</v>
      </c>
      <c r="N148" s="7">
        <f t="shared" si="84"/>
        <v>37.51666666707024</v>
      </c>
      <c r="O148" s="7"/>
      <c r="P148" s="7"/>
      <c r="Q148" s="22"/>
      <c r="R148" s="174"/>
      <c r="S148" s="221">
        <f t="shared" si="85"/>
        <v>1</v>
      </c>
      <c r="T148" s="174" t="str">
        <f t="shared" si="86"/>
        <v>Southbound</v>
      </c>
      <c r="U148" s="198">
        <f>IF(AG148="EC",COUNTIFS(Variables!$M$2:$M$19,IF(T148="NorthBound","&gt;=","&lt;=")&amp;Y148,Variables!$M$2:$M$19,IF(T148="NorthBound","&lt;=","&gt;=")&amp;Z148),COUNTIFS(Variables!$P$2:$P$19,IF(T148="NorthBound","&gt;=","&lt;=")&amp;Y148,Variables!$P$2:$P$19,IF(T148="NorthBound","&lt;=","&gt;=")&amp;Z148))</f>
        <v>12</v>
      </c>
      <c r="V148" s="216" t="str">
        <f t="shared" si="107"/>
        <v>https://d0f6bd738d7f1b3e5a7ca70fe4ff75f0.us-east-1.aws.found.io/app/kibana#/discover/Steve-Slow-Train-Analysis-(2080s-and-2083s)?_g=(refreshInterval:(display:Off,pause:!f,section:0,value:0),time:(from:'2017-10-05T21:23:51-0600',mode:absolute,to:'2017-10-06T00:04:50-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4007%22')),sort:!(Time.ISO8601,asc))</v>
      </c>
      <c r="W148" s="204" t="str">
        <f>IF(AA148&lt;VLOOKUP(AG148,Variables!$AC$3:$AD$8,2,FALSE),"Y","N")</f>
        <v>N</v>
      </c>
      <c r="X148" s="204">
        <f t="shared" si="106"/>
        <v>1</v>
      </c>
      <c r="Y148" s="204">
        <f t="shared" si="104"/>
        <v>23.302299999999999</v>
      </c>
      <c r="Z148" s="204">
        <f t="shared" si="105"/>
        <v>1.4500000000000001E-2</v>
      </c>
      <c r="AA148" s="204">
        <f t="shared" si="89"/>
        <v>23.287799999999997</v>
      </c>
      <c r="AB148" s="54" t="e">
        <f>VLOOKUP(A148,Enforcements!$C$7:$K$11,8,0)</f>
        <v>#N/A</v>
      </c>
      <c r="AC148" s="51" t="e">
        <f>VLOOKUP(A148,Enforcements!$C$7:$E$11,3,0)</f>
        <v>#N/A</v>
      </c>
      <c r="AD148" s="179">
        <f t="shared" si="90"/>
        <v>232</v>
      </c>
      <c r="AE148" s="77" t="str">
        <f t="shared" si="108"/>
        <v>aws s3 cp s3://rtdc.mdm.uploadarchive.raw/RTDC4007/ "%USERPROFILE%\AppData\Local\Temp\OnboardLogs"\RTDC4007\2017-10-05 --exclude "*" --recursive --include "*20171005*" &amp; "%USERPROFILE%\Documents\GitHub\mrs-test-scripts\Headless Mode &amp; Sideloading\WalkAndUnGZ.bat" "%USERPROFILE%\AppData\Local\Temp\OnboardLogs"\RTDC4007\2017-10-05 &amp; aws s3 cp s3://rtdc.mdm.uploadarchive.raw/RTDC4007/ "%USERPROFILE%\AppData\Local\Temp\OnboardLogs"\RTDC4007\2017-10-06 --exclude "*" --recursive --include "*20171006*" &amp; "%USERPROFILE%\Documents\GitHub\mrs-test-scripts\Headless Mode &amp; Sideloading\WalkAndUnGZ.bat" "%USERPROFILE%\AppData\Local\Temp\OnboardLogs"\RTDC4007\2017-10-06</v>
      </c>
      <c r="AF148" s="74" t="str">
        <f t="shared" si="109"/>
        <v>"C:\Program Files (x86)\AstroGrep\AstroGrep.exe" /e /r /s /spath="%USERPROFILE%\AppData\Local\Temp\OnboardLogs" /stypes="app*4007*20171006*" /stext=" 05:.+((SYSTEM_STATE.+slice.+state.+changed )|(ment ac)|(multiple cpu faults)|(system.+state.+changed )|(\[timeout)|(PRM\|1\|D)|(kpr)|(kdp)|(train st.+moving)|(\|lc)|(penalty))"</v>
      </c>
      <c r="AG148" s="182" t="str">
        <f t="shared" si="91"/>
        <v>EC</v>
      </c>
      <c r="AH148" s="78" t="str">
        <f t="shared" si="110"/>
        <v>"%USERPROFILE%\Documents\GitHub\eaglep3\Utilities\RefineRTDCRunTimes.py" --tripid 232-05 --locoid 4007 --swversion DE.1.0.9.0 --startMP 204:233023 --initTime 2017-10-05T22:23:51 --startdatetime 2017-10-05T22:27:19 --delay 62 --endMP 204:145 --enddatetime 2017-10-05T23:04:50 --enforcementcount 0 &gt;&gt;%USERPROFILE%\Documents\GitHub\eaglep3-reporting\EC\2017-10-05-refined-times.txt</v>
      </c>
      <c r="AI148" s="96" t="str">
        <f t="shared" si="111"/>
        <v>echo {"issue":{"subject":"","project_id":79,"tracker_id":40,"status_id":1,"priority_id":2,"assigned_to_id":338,"start_date":"2017-10-05","description":"","custom_fields":[{"id":1,"name":"Subdivision","value":"EC"},{"id":4,"name":"Milepost","value":"0.0145"},{"id":17,"name":"Train ID","value":"232-05"},{"id":16,"name":"Locomotive ID","value":"4007"},{"id":130,"name":"Impact","value":""},{"id":150,"name":"Time of Event (Mountain Time)","value":"23:04:50"},{"id":151,"name":"Denver Issue ID","value":""},{"id":178,"name":"Operational Impact","value":"Yes"},{"id":179,"name":"Denver Segment Assigned","value":""}]}} | curl --insecure -X POST -H "Content-Type: application/json" -H "X-Redmine-API-Key: %REDMINEAPIKEY%" https://secure.xorail.net/redmine/issues.json --data @-</v>
      </c>
      <c r="AK148" s="47"/>
      <c r="AL148" s="47"/>
      <c r="AM148" s="142" t="str">
        <f t="shared" si="112"/>
        <v>start /low /b %USERPROFILE%\Documents\GitHub\eaglep3\Utilities\DownloadLogsFromS3.py --loco 4007 --day 2017-10-05</v>
      </c>
      <c r="AN148" s="151" t="str">
        <f t="shared" si="113"/>
        <v>echo {"issue":{"subject":"","project_id":30,"tracker_id":4,"status_id":1,"priority_id":1,"assigned_to_id":10,"start_date":"2017-10-06","description":"","custom_fields":[{"id":30,"name":"Category","value":"Issue"},{"id":3,"name":"Functional Component","value":"Onboard"},{"id":31,"name":"Version","value":"N/A"},{"id":8,"name":"Reporting RR","value":"WABTEC"},{"id":27,"name":"Locomotive ID","value":"4007"},{"id":20,"name":"RR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05:04:50"},{"id":29,"name":"Sharepoint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48" s="168" t="str">
        <f t="shared" si="114"/>
        <v>https://d0f6bd738d7f1b3e5a7ca70fe4ff75f0.us-east-1.aws.found.io/app/kibana#/discover/Steve-Slow-Train-Analysis-(2080s-and-2083s)?_g=(refreshInterval:(display:Off,pause:!f,section:0,value:0),time:(from:'2017-10-05T21:23:51-0600',mode:absolute,to:'2017-10-06T00:04:50-0600'))&amp;_a=(columns:!('Message%20ID',Summary),filters:!(),index:'emp_*',interval:auto,query:(query_string:(analyze_wildcard:!t,query:'%22rtdc.l.rtdc.4007%22')),sort:!(Time.ISO8601,asc))</v>
      </c>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row>
    <row r="149" spans="1:91" s="20" customFormat="1" x14ac:dyDescent="0.25">
      <c r="A149" s="32" t="s">
        <v>795</v>
      </c>
      <c r="B149" s="7">
        <v>4010</v>
      </c>
      <c r="C149" s="21" t="s">
        <v>194</v>
      </c>
      <c r="D149" s="21" t="s">
        <v>375</v>
      </c>
      <c r="E149" s="13">
        <v>43013.903611111113</v>
      </c>
      <c r="F149" s="13">
        <v>43013.916898148149</v>
      </c>
      <c r="G149" s="7">
        <v>98</v>
      </c>
      <c r="H149" s="21" t="s">
        <v>839</v>
      </c>
      <c r="I149" s="13">
        <v>43013.942372685182</v>
      </c>
      <c r="J149" s="7">
        <v>0</v>
      </c>
      <c r="K149" s="89" t="str">
        <f t="shared" si="82"/>
        <v>4009/4010</v>
      </c>
      <c r="L149" s="185" t="str">
        <f>VLOOKUP(A149,'Trips&amp;Operators'!$C$1:$G$99911,5,FALSE)</f>
        <v>NICHOLSON WESLEY</v>
      </c>
      <c r="M149" s="6">
        <f t="shared" si="83"/>
        <v>2.5474537033005618E-2</v>
      </c>
      <c r="N149" s="7">
        <f t="shared" si="84"/>
        <v>36.683333327528089</v>
      </c>
      <c r="O149" s="7"/>
      <c r="P149" s="7"/>
      <c r="Q149" s="22"/>
      <c r="R149" s="174"/>
      <c r="S149" s="221">
        <f t="shared" si="85"/>
        <v>1</v>
      </c>
      <c r="T149" s="174" t="str">
        <f t="shared" si="86"/>
        <v>NorthBound</v>
      </c>
      <c r="U149" s="198">
        <f>IF(AG149="EC",COUNTIFS(Variables!$M$2:$M$19,IF(T149="NorthBound","&gt;=","&lt;=")&amp;Y149,Variables!$M$2:$M$19,IF(T149="NorthBound","&lt;=","&gt;=")&amp;Z149),COUNTIFS(Variables!$P$2:$P$19,IF(T149="NorthBound","&gt;=","&lt;=")&amp;Y149,Variables!$P$2:$P$19,IF(T149="NorthBound","&lt;=","&gt;=")&amp;Z149))</f>
        <v>12</v>
      </c>
      <c r="V149" s="216" t="str">
        <f t="shared" si="107"/>
        <v>https://d0f6bd738d7f1b3e5a7ca70fe4ff75f0.us-east-1.aws.found.io/app/kibana#/discover/Steve-Slow-Train-Analysis-(2080s-and-2083s)?_g=(refreshInterval:(display:Off,pause:!f,section:0,value:0),time:(from:'2017-10-05T20:41:12-0600',mode:absolute,to:'2017-10-05T23:37:01-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149" s="204" t="str">
        <f>IF(AA149&lt;VLOOKUP(AG149,Variables!$AC$3:$AD$8,2,FALSE),"Y","N")</f>
        <v>N</v>
      </c>
      <c r="X149" s="204">
        <f t="shared" si="106"/>
        <v>1</v>
      </c>
      <c r="Y149" s="204">
        <f t="shared" si="104"/>
        <v>4.5100000000000001E-2</v>
      </c>
      <c r="Z149" s="204">
        <f t="shared" si="105"/>
        <v>23.3309</v>
      </c>
      <c r="AA149" s="204">
        <f t="shared" si="89"/>
        <v>23.285799999999998</v>
      </c>
      <c r="AB149" s="54" t="e">
        <f>VLOOKUP(A149,Enforcements!$C$7:$K$11,8,0)</f>
        <v>#N/A</v>
      </c>
      <c r="AC149" s="51" t="e">
        <f>VLOOKUP(A149,Enforcements!$C$7:$E$11,3,0)</f>
        <v>#N/A</v>
      </c>
      <c r="AD149" s="179">
        <f t="shared" si="90"/>
        <v>233</v>
      </c>
      <c r="AE149" s="77" t="str">
        <f t="shared" si="108"/>
        <v>aws s3 cp s3://rtdc.mdm.uploadarchive.raw/RTDC4010/ "%USERPROFILE%\AppData\Local\Temp\OnboardLogs"\RTDC4010\2017-10-05 --exclude "*" --recursive --include "*20171005*" &amp; "%USERPROFILE%\Documents\GitHub\mrs-test-scripts\Headless Mode &amp; Sideloading\WalkAndUnGZ.bat" "%USERPROFILE%\AppData\Local\Temp\OnboardLogs"\RTDC4010\2017-10-05 &amp; aws s3 cp s3://rtdc.mdm.uploadarchive.raw/RTDC4010/ "%USERPROFILE%\AppData\Local\Temp\OnboardLogs"\RTDC4010\2017-10-06 --exclude "*" --recursive --include "*20171006*" &amp; "%USERPROFILE%\Documents\GitHub\mrs-test-scripts\Headless Mode &amp; Sideloading\WalkAndUnGZ.bat" "%USERPROFILE%\AppData\Local\Temp\OnboardLogs"\RTDC4010\2017-10-06</v>
      </c>
      <c r="AF149" s="74" t="str">
        <f t="shared" si="109"/>
        <v>"C:\Program Files (x86)\AstroGrep\AstroGrep.exe" /e /r /s /spath="%USERPROFILE%\AppData\Local\Temp\OnboardLogs" /stypes="app*4010*20171006*" /stext=" 04:.+((SYSTEM_STATE.+slice.+state.+changed )|(ment ac)|(multiple cpu faults)|(system.+state.+changed )|(\[timeout)|(PRM\|1\|D)|(kpr)|(kdp)|(train st.+moving)|(\|lc)|(penalty))"</v>
      </c>
      <c r="AG149" s="182" t="str">
        <f t="shared" si="91"/>
        <v>EC</v>
      </c>
      <c r="AH149" s="78" t="str">
        <f t="shared" si="110"/>
        <v>"%USERPROFILE%\Documents\GitHub\eaglep3\Utilities\RefineRTDCRunTimes.py" --tripid 233-05 --locoid 4010 --swversion DE.1.0.9.0 --startMP 204:451 --initTime 2017-10-05T21:41:12 --startdatetime 2017-10-05T22:00:20 --delay 98 --endMP 204:233309 --enddatetime 2017-10-05T22:37:01 --enforcementcount 0 &gt;&gt;%USERPROFILE%\Documents\GitHub\eaglep3-reporting\EC\2017-10-05-refined-times.txt</v>
      </c>
      <c r="AI149" s="96" t="str">
        <f t="shared" si="111"/>
        <v>echo {"issue":{"subject":"","project_id":79,"tracker_id":40,"status_id":1,"priority_id":2,"assigned_to_id":338,"start_date":"2017-10-05","description":"","custom_fields":[{"id":1,"name":"Subdivision","value":"EC"},{"id":4,"name":"Milepost","value":"23.3309"},{"id":17,"name":"Train ID","value":"233-05"},{"id":16,"name":"Locomotive ID","value":"4010"},{"id":130,"name":"Impact","value":""},{"id":150,"name":"Time of Event (Mountain Time)","value":"22:37:01"},{"id":151,"name":"Denver Issue ID","value":""},{"id":178,"name":"Operational Impact","value":"Yes"},{"id":179,"name":"Denver Segment Assigned","value":""}]}} | curl --insecure -X POST -H "Content-Type: application/json" -H "X-Redmine-API-Key: %REDMINEAPIKEY%" https://secure.xorail.net/redmine/issues.json --data @-</v>
      </c>
      <c r="AK149" s="47"/>
      <c r="AL149" s="47"/>
      <c r="AM149" s="142" t="str">
        <f t="shared" si="112"/>
        <v>start /low /b %USERPROFILE%\Documents\GitHub\eaglep3\Utilities\DownloadLogsFromS3.py --loco 4010 --day 2017-10-05</v>
      </c>
      <c r="AN149" s="151" t="str">
        <f t="shared" si="113"/>
        <v>echo {"issue":{"subject":"","project_id":30,"tracker_id":4,"status_id":1,"priority_id":1,"assigned_to_id":10,"start_date":"2017-10-06","description":"","custom_fields":[{"id":30,"name":"Category","value":"Issue"},{"id":3,"name":"Functional Component","value":"Onboard"},{"id":31,"name":"Version","value":"N/A"},{"id":8,"name":"Reporting RR","value":"WABTEC"},{"id":27,"name":"Locomotive ID","value":"4010"},{"id":20,"name":"RR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04:37:01"},{"id":29,"name":"Sharepoint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49" s="168" t="str">
        <f t="shared" si="114"/>
        <v>https://d0f6bd738d7f1b3e5a7ca70fe4ff75f0.us-east-1.aws.found.io/app/kibana#/discover/Steve-Slow-Train-Analysis-(2080s-and-2083s)?_g=(refreshInterval:(display:Off,pause:!f,section:0,value:0),time:(from:'2017-10-05T20:41:12-0600',mode:absolute,to:'2017-10-05T23:37:01-0600'))&amp;_a=(columns:!('Message%20ID',Summary),filters:!(),index:'emp_*',interval:auto,query:(query_string:(analyze_wildcard:!t,query:'%22rtdc.l.rtdc.4010%22')),sort:!(Time.ISO8601,asc))</v>
      </c>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row>
    <row r="150" spans="1:91" s="20" customFormat="1" x14ac:dyDescent="0.25">
      <c r="A150" s="32" t="s">
        <v>801</v>
      </c>
      <c r="B150" s="7">
        <v>4009</v>
      </c>
      <c r="C150" s="21" t="s">
        <v>194</v>
      </c>
      <c r="D150" s="21" t="s">
        <v>454</v>
      </c>
      <c r="E150" s="13">
        <v>43013.948657407411</v>
      </c>
      <c r="F150" s="13">
        <v>43013.956712962965</v>
      </c>
      <c r="G150" s="7">
        <v>95</v>
      </c>
      <c r="H150" s="21" t="s">
        <v>356</v>
      </c>
      <c r="I150" s="13">
        <v>43013.984363425923</v>
      </c>
      <c r="J150" s="7">
        <v>0</v>
      </c>
      <c r="K150" s="89" t="str">
        <f t="shared" si="82"/>
        <v>4009/4010</v>
      </c>
      <c r="L150" s="185" t="str">
        <f>VLOOKUP(A150,'Trips&amp;Operators'!$C$1:$G$99911,5,FALSE)</f>
        <v>NICHOLSON WESLEY</v>
      </c>
      <c r="M150" s="6">
        <f t="shared" si="83"/>
        <v>2.7650462958263233E-2</v>
      </c>
      <c r="N150" s="7">
        <f t="shared" si="84"/>
        <v>39.816666659899056</v>
      </c>
      <c r="O150" s="7"/>
      <c r="P150" s="7"/>
      <c r="Q150" s="22"/>
      <c r="R150" s="174"/>
      <c r="S150" s="221">
        <f t="shared" si="85"/>
        <v>1</v>
      </c>
      <c r="T150" s="174" t="str">
        <f t="shared" si="86"/>
        <v>Southbound</v>
      </c>
      <c r="U150" s="198">
        <f>IF(AG150="EC",COUNTIFS(Variables!$M$2:$M$19,IF(T150="NorthBound","&gt;=","&lt;=")&amp;Y150,Variables!$M$2:$M$19,IF(T150="NorthBound","&lt;=","&gt;=")&amp;Z150),COUNTIFS(Variables!$P$2:$P$19,IF(T150="NorthBound","&gt;=","&lt;=")&amp;Y150,Variables!$P$2:$P$19,IF(T150="NorthBound","&lt;=","&gt;=")&amp;Z150))</f>
        <v>12</v>
      </c>
      <c r="V150" s="216" t="str">
        <f t="shared" si="107"/>
        <v>https://d0f6bd738d7f1b3e5a7ca70fe4ff75f0.us-east-1.aws.found.io/app/kibana#/discover/Steve-Slow-Train-Analysis-(2080s-and-2083s)?_g=(refreshInterval:(display:Off,pause:!f,section:0,value:0),time:(from:'2017-10-05T21:46:04-0600',mode:absolute,to:'2017-10-06T00:37:29-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150" s="204" t="str">
        <f>IF(AA150&lt;VLOOKUP(AG150,Variables!$AC$3:$AD$8,2,FALSE),"Y","N")</f>
        <v>N</v>
      </c>
      <c r="X150" s="204">
        <f t="shared" si="106"/>
        <v>1</v>
      </c>
      <c r="Y150" s="204">
        <f t="shared" si="104"/>
        <v>23.297799999999999</v>
      </c>
      <c r="Z150" s="204">
        <f t="shared" si="105"/>
        <v>1.52E-2</v>
      </c>
      <c r="AA150" s="204">
        <f t="shared" si="89"/>
        <v>23.282599999999999</v>
      </c>
      <c r="AB150" s="54" t="e">
        <f>VLOOKUP(A150,Enforcements!$C$7:$K$11,8,0)</f>
        <v>#N/A</v>
      </c>
      <c r="AC150" s="51" t="e">
        <f>VLOOKUP(A150,Enforcements!$C$7:$E$11,3,0)</f>
        <v>#N/A</v>
      </c>
      <c r="AD150" s="179">
        <f t="shared" si="90"/>
        <v>234</v>
      </c>
      <c r="AE150" s="77" t="str">
        <f t="shared" si="108"/>
        <v>aws s3 cp s3://rtdc.mdm.uploadarchive.raw/RTDC4009/ "%USERPROFILE%\AppData\Local\Temp\OnboardLogs"\RTDC4009\2017-10-05 --exclude "*" --recursive --include "*20171005*" &amp; "%USERPROFILE%\Documents\GitHub\mrs-test-scripts\Headless Mode &amp; Sideloading\WalkAndUnGZ.bat" "%USERPROFILE%\AppData\Local\Temp\OnboardLogs"\RTDC4009\2017-10-05 &amp; aws s3 cp s3://rtdc.mdm.uploadarchive.raw/RTDC4009/ "%USERPROFILE%\AppData\Local\Temp\OnboardLogs"\RTDC4009\2017-10-06 --exclude "*" --recursive --include "*20171006*" &amp; "%USERPROFILE%\Documents\GitHub\mrs-test-scripts\Headless Mode &amp; Sideloading\WalkAndUnGZ.bat" "%USERPROFILE%\AppData\Local\Temp\OnboardLogs"\RTDC4009\2017-10-06</v>
      </c>
      <c r="AF150" s="74" t="str">
        <f t="shared" si="109"/>
        <v>"C:\Program Files (x86)\AstroGrep\AstroGrep.exe" /e /r /s /spath="%USERPROFILE%\AppData\Local\Temp\OnboardLogs" /stypes="app*4009*20171006*" /stext=" 05:.+((SYSTEM_STATE.+slice.+state.+changed )|(ment ac)|(multiple cpu faults)|(system.+state.+changed )|(\[timeout)|(PRM\|1\|D)|(kpr)|(kdp)|(train st.+moving)|(\|lc)|(penalty))"</v>
      </c>
      <c r="AG150" s="182" t="str">
        <f t="shared" si="91"/>
        <v>EC</v>
      </c>
      <c r="AH150" s="78" t="str">
        <f t="shared" si="110"/>
        <v>"%USERPROFILE%\Documents\GitHub\eaglep3\Utilities\RefineRTDCRunTimes.py" --tripid 234-05 --locoid 4009 --swversion DE.1.0.9.0 --startMP 204:232978 --initTime 2017-10-05T22:46:04 --startdatetime 2017-10-05T22:57:40 --delay 95 --endMP 204:152 --enddatetime 2017-10-05T23:37:29 --enforcementcount 0 &gt;&gt;%USERPROFILE%\Documents\GitHub\eaglep3-reporting\EC\2017-10-05-refined-times.txt</v>
      </c>
      <c r="AI150" s="96" t="str">
        <f t="shared" si="111"/>
        <v>echo {"issue":{"subject":"","project_id":79,"tracker_id":40,"status_id":1,"priority_id":2,"assigned_to_id":338,"start_date":"2017-10-05","description":"","custom_fields":[{"id":1,"name":"Subdivision","value":"EC"},{"id":4,"name":"Milepost","value":"0.0152"},{"id":17,"name":"Train ID","value":"234-05"},{"id":16,"name":"Locomotive ID","value":"4009"},{"id":130,"name":"Impact","value":""},{"id":150,"name":"Time of Event (Mountain Time)","value":"23:37:29"},{"id":151,"name":"Denver Issue ID","value":""},{"id":178,"name":"Operational Impact","value":"Yes"},{"id":179,"name":"Denver Segment Assigned","value":""}]}} | curl --insecure -X POST -H "Content-Type: application/json" -H "X-Redmine-API-Key: %REDMINEAPIKEY%" https://secure.xorail.net/redmine/issues.json --data @-</v>
      </c>
      <c r="AK150" s="47"/>
      <c r="AL150" s="47"/>
      <c r="AM150" s="142" t="str">
        <f t="shared" si="112"/>
        <v>start /low /b %USERPROFILE%\Documents\GitHub\eaglep3\Utilities\DownloadLogsFromS3.py --loco 4009 --day 2017-10-05</v>
      </c>
      <c r="AN150" s="151" t="str">
        <f t="shared" si="113"/>
        <v>echo {"issue":{"subject":"","project_id":30,"tracker_id":4,"status_id":1,"priority_id":1,"assigned_to_id":10,"start_date":"2017-10-06","description":"","custom_fields":[{"id":30,"name":"Category","value":"Issue"},{"id":3,"name":"Functional Component","value":"Onboard"},{"id":31,"name":"Version","value":"N/A"},{"id":8,"name":"Reporting RR","value":"WABTEC"},{"id":27,"name":"Locomotive ID","value":"4009"},{"id":20,"name":"RR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05:37:29"},{"id":29,"name":"Sharepoint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50" s="168" t="str">
        <f t="shared" si="114"/>
        <v>https://d0f6bd738d7f1b3e5a7ca70fe4ff75f0.us-east-1.aws.found.io/app/kibana#/discover/Steve-Slow-Train-Analysis-(2080s-and-2083s)?_g=(refreshInterval:(display:Off,pause:!f,section:0,value:0),time:(from:'2017-10-05T21:46:04-0600',mode:absolute,to:'2017-10-06T00:37:29-0600'))&amp;_a=(columns:!('Message%20ID',Summary),filters:!(),index:'emp_*',interval:auto,query:(query_string:(analyze_wildcard:!t,query:'%22rtdc.l.rtdc.4009%22')),sort:!(Time.ISO8601,asc))</v>
      </c>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row>
    <row r="151" spans="1:91" s="20" customFormat="1" x14ac:dyDescent="0.25">
      <c r="A151" s="32" t="s">
        <v>798</v>
      </c>
      <c r="B151" s="7">
        <v>4028</v>
      </c>
      <c r="C151" s="21" t="s">
        <v>194</v>
      </c>
      <c r="D151" s="21" t="s">
        <v>366</v>
      </c>
      <c r="E151" s="13">
        <v>43013.929988425924</v>
      </c>
      <c r="F151" s="13">
        <v>43013.937638888892</v>
      </c>
      <c r="G151" s="7">
        <v>100</v>
      </c>
      <c r="H151" s="21" t="s">
        <v>841</v>
      </c>
      <c r="I151" s="13">
        <v>43013.961828703701</v>
      </c>
      <c r="J151" s="7">
        <v>0</v>
      </c>
      <c r="K151" s="89" t="str">
        <f t="shared" si="82"/>
        <v>4027/4028</v>
      </c>
      <c r="L151" s="185" t="str">
        <f>VLOOKUP(A151,'Trips&amp;Operators'!$C$1:$G$99911,5,FALSE)</f>
        <v>MCREYNOLDS KYLE</v>
      </c>
      <c r="M151" s="6">
        <f t="shared" si="83"/>
        <v>2.4189814808778465E-2</v>
      </c>
      <c r="N151" s="7">
        <f t="shared" si="84"/>
        <v>34.833333324640989</v>
      </c>
      <c r="O151" s="7"/>
      <c r="P151" s="7"/>
      <c r="Q151" s="22"/>
      <c r="R151" s="174"/>
      <c r="S151" s="221">
        <f t="shared" si="85"/>
        <v>1</v>
      </c>
      <c r="T151" s="174" t="str">
        <f t="shared" si="86"/>
        <v>NorthBound</v>
      </c>
      <c r="U151" s="198">
        <f>IF(AG151="EC",COUNTIFS(Variables!$M$2:$M$19,IF(T151="NorthBound","&gt;=","&lt;=")&amp;Y151,Variables!$M$2:$M$19,IF(T151="NorthBound","&lt;=","&gt;=")&amp;Z151),COUNTIFS(Variables!$P$2:$P$19,IF(T151="NorthBound","&gt;=","&lt;=")&amp;Y151,Variables!$P$2:$P$19,IF(T151="NorthBound","&lt;=","&gt;=")&amp;Z151))</f>
        <v>12</v>
      </c>
      <c r="V151" s="216" t="str">
        <f t="shared" si="107"/>
        <v>https://d0f6bd738d7f1b3e5a7ca70fe4ff75f0.us-east-1.aws.found.io/app/kibana#/discover/Steve-Slow-Train-Analysis-(2080s-and-2083s)?_g=(refreshInterval:(display:Off,pause:!f,section:0,value:0),time:(from:'2017-10-05T21:19:11-0600',mode:absolute,to:'2017-10-06T00:05:02-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151" s="204" t="str">
        <f>IF(AA151&lt;VLOOKUP(AG151,Variables!$AC$3:$AD$8,2,FALSE),"Y","N")</f>
        <v>N</v>
      </c>
      <c r="X151" s="204">
        <f t="shared" si="106"/>
        <v>1</v>
      </c>
      <c r="Y151" s="204">
        <f t="shared" si="104"/>
        <v>4.5999999999999999E-2</v>
      </c>
      <c r="Z151" s="204">
        <f t="shared" si="105"/>
        <v>23.337199999999999</v>
      </c>
      <c r="AA151" s="204">
        <f t="shared" si="89"/>
        <v>23.2912</v>
      </c>
      <c r="AB151" s="54" t="e">
        <f>VLOOKUP(A151,Enforcements!$C$7:$K$11,8,0)</f>
        <v>#N/A</v>
      </c>
      <c r="AC151" s="51" t="e">
        <f>VLOOKUP(A151,Enforcements!$C$7:$E$11,3,0)</f>
        <v>#N/A</v>
      </c>
      <c r="AD151" s="179">
        <f t="shared" si="90"/>
        <v>235</v>
      </c>
      <c r="AE151" s="77" t="str">
        <f t="shared" si="108"/>
        <v>aws s3 cp s3://rtdc.mdm.uploadarchive.raw/RTDC4028/ "%USERPROFILE%\AppData\Local\Temp\OnboardLogs"\RTDC4028\2017-10-05 --exclude "*" --recursive --include "*20171005*" &amp; "%USERPROFILE%\Documents\GitHub\mrs-test-scripts\Headless Mode &amp; Sideloading\WalkAndUnGZ.bat" "%USERPROFILE%\AppData\Local\Temp\OnboardLogs"\RTDC4028\2017-10-05 &amp; aws s3 cp s3://rtdc.mdm.uploadarchive.raw/RTDC4028/ "%USERPROFILE%\AppData\Local\Temp\OnboardLogs"\RTDC4028\2017-10-06 --exclude "*" --recursive --include "*20171006*" &amp; "%USERPROFILE%\Documents\GitHub\mrs-test-scripts\Headless Mode &amp; Sideloading\WalkAndUnGZ.bat" "%USERPROFILE%\AppData\Local\Temp\OnboardLogs"\RTDC4028\2017-10-06</v>
      </c>
      <c r="AF151" s="74" t="str">
        <f t="shared" si="109"/>
        <v>"C:\Program Files (x86)\AstroGrep\AstroGrep.exe" /e /r /s /spath="%USERPROFILE%\AppData\Local\Temp\OnboardLogs" /stypes="app*4028*20171006*" /stext=" 05:.+((SYSTEM_STATE.+slice.+state.+changed )|(ment ac)|(multiple cpu faults)|(system.+state.+changed )|(\[timeout)|(PRM\|1\|D)|(kpr)|(kdp)|(train st.+moving)|(\|lc)|(penalty))"</v>
      </c>
      <c r="AG151" s="182" t="str">
        <f t="shared" si="91"/>
        <v>EC</v>
      </c>
      <c r="AH151" s="78" t="str">
        <f t="shared" si="110"/>
        <v>"%USERPROFILE%\Documents\GitHub\eaglep3\Utilities\RefineRTDCRunTimes.py" --tripid 235-05 --locoid 4028 --swversion DE.1.0.9.0 --startMP 204:460 --initTime 2017-10-05T22:19:11 --startdatetime 2017-10-05T22:30:12 --delay 100 --endMP 204:233372 --enddatetime 2017-10-05T23:05:02 --enforcementcount 0 &gt;&gt;%USERPROFILE%\Documents\GitHub\eaglep3-reporting\EC\2017-10-05-refined-times.txt</v>
      </c>
      <c r="AI151" s="96" t="str">
        <f t="shared" si="111"/>
        <v>echo {"issue":{"subject":"","project_id":79,"tracker_id":40,"status_id":1,"priority_id":2,"assigned_to_id":338,"start_date":"2017-10-05","description":"","custom_fields":[{"id":1,"name":"Subdivision","value":"EC"},{"id":4,"name":"Milepost","value":"23.3372"},{"id":17,"name":"Train ID","value":"235-05"},{"id":16,"name":"Locomotive ID","value":"4028"},{"id":130,"name":"Impact","value":""},{"id":150,"name":"Time of Event (Mountain Time)","value":"23:05:02"},{"id":151,"name":"Denver Issue ID","value":""},{"id":178,"name":"Operational Impact","value":"Yes"},{"id":179,"name":"Denver Segment Assigned","value":""}]}} | curl --insecure -X POST -H "Content-Type: application/json" -H "X-Redmine-API-Key: %REDMINEAPIKEY%" https://secure.xorail.net/redmine/issues.json --data @-</v>
      </c>
      <c r="AK151" s="47"/>
      <c r="AL151" s="47"/>
      <c r="AM151" s="142" t="str">
        <f t="shared" si="112"/>
        <v>start /low /b %USERPROFILE%\Documents\GitHub\eaglep3\Utilities\DownloadLogsFromS3.py --loco 4028 --day 2017-10-05</v>
      </c>
      <c r="AN151" s="151" t="str">
        <f t="shared" si="113"/>
        <v>echo {"issue":{"subject":"","project_id":30,"tracker_id":4,"status_id":1,"priority_id":1,"assigned_to_id":10,"start_date":"2017-10-06","description":"","custom_fields":[{"id":30,"name":"Category","value":"Issue"},{"id":3,"name":"Functional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05:05:02"},{"id":29,"name":"Sharepoint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51" s="168" t="str">
        <f t="shared" si="114"/>
        <v>https://d0f6bd738d7f1b3e5a7ca70fe4ff75f0.us-east-1.aws.found.io/app/kibana#/discover/Steve-Slow-Train-Analysis-(2080s-and-2083s)?_g=(refreshInterval:(display:Off,pause:!f,section:0,value:0),time:(from:'2017-10-05T21:19:11-0600',mode:absolute,to:'2017-10-06T00:05:02-0600'))&amp;_a=(columns:!('Message%20ID',Summary),filters:!(),index:'emp_*',interval:auto,query:(query_string:(analyze_wildcard:!t,query:'%22rtdc.l.rtdc.4028%22')),sort:!(Time.ISO8601,asc))</v>
      </c>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row>
    <row r="152" spans="1:91" s="20" customFormat="1" x14ac:dyDescent="0.25">
      <c r="A152" s="32" t="s">
        <v>804</v>
      </c>
      <c r="B152" s="7">
        <v>4027</v>
      </c>
      <c r="C152" s="21" t="s">
        <v>194</v>
      </c>
      <c r="D152" s="21" t="s">
        <v>366</v>
      </c>
      <c r="E152" s="13">
        <v>43013.929988425924</v>
      </c>
      <c r="F152" s="13">
        <v>43013.977233796293</v>
      </c>
      <c r="G152" s="7">
        <v>100</v>
      </c>
      <c r="H152" s="21" t="s">
        <v>841</v>
      </c>
      <c r="I152" s="13">
        <v>43014.003483796296</v>
      </c>
      <c r="J152" s="7">
        <v>0</v>
      </c>
      <c r="K152" s="89" t="str">
        <f t="shared" si="82"/>
        <v>4027/4028</v>
      </c>
      <c r="L152" s="185" t="str">
        <f>VLOOKUP(A152,'Trips&amp;Operators'!$C$1:$G$99911,5,FALSE)</f>
        <v>MCREYNOLDS KYLE</v>
      </c>
      <c r="M152" s="6">
        <f t="shared" si="83"/>
        <v>2.6250000002619345E-2</v>
      </c>
      <c r="N152" s="7">
        <f t="shared" si="84"/>
        <v>37.800000003771856</v>
      </c>
      <c r="O152" s="7"/>
      <c r="P152" s="7"/>
      <c r="Q152" s="22"/>
      <c r="R152" s="174"/>
      <c r="S152" s="221">
        <f t="shared" si="85"/>
        <v>1</v>
      </c>
      <c r="T152" s="174" t="str">
        <f t="shared" si="86"/>
        <v>Southbound</v>
      </c>
      <c r="U152" s="198">
        <f>IF(AG152="EC",COUNTIFS(Variables!$M$2:$M$19,IF(T152="NorthBound","&gt;=","&lt;=")&amp;Y152,Variables!$M$2:$M$19,IF(T152="NorthBound","&lt;=","&gt;=")&amp;Z152),COUNTIFS(Variables!$P$2:$P$19,IF(T152="NorthBound","&gt;=","&lt;=")&amp;Y152,Variables!$P$2:$P$19,IF(T152="NorthBound","&lt;=","&gt;=")&amp;Z152))</f>
        <v>12</v>
      </c>
      <c r="V152" s="216" t="str">
        <f t="shared" si="107"/>
        <v>https://d0f6bd738d7f1b3e5a7ca70fe4ff75f0.us-east-1.aws.found.io/app/kibana#/discover/Steve-Slow-Train-Analysis-(2080s-and-2083s)?_g=(refreshInterval:(display:Off,pause:!f,section:0,value:0),time:(from:'2017-10-05T21:19:11-0600',mode:absolute,to:'2017-10-06T01:05:01-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152" s="204" t="str">
        <f>IF(AA152&lt;VLOOKUP(AG152,Variables!$AC$3:$AD$8,2,FALSE),"Y","N")</f>
        <v>N</v>
      </c>
      <c r="X152" s="204">
        <f t="shared" si="106"/>
        <v>1</v>
      </c>
      <c r="Y152" s="204">
        <v>23.297799999999999</v>
      </c>
      <c r="Z152" s="204">
        <v>1.52E-2</v>
      </c>
      <c r="AA152" s="204">
        <f t="shared" si="89"/>
        <v>23.282599999999999</v>
      </c>
      <c r="AB152" s="54" t="e">
        <f>VLOOKUP(A152,Enforcements!$C$7:$K$11,8,0)</f>
        <v>#N/A</v>
      </c>
      <c r="AC152" s="51" t="e">
        <f>VLOOKUP(A152,Enforcements!$C$7:$E$11,3,0)</f>
        <v>#N/A</v>
      </c>
      <c r="AD152" s="179">
        <f t="shared" si="90"/>
        <v>236</v>
      </c>
      <c r="AE152" s="77" t="str">
        <f t="shared" si="108"/>
        <v>aws s3 cp s3://rtdc.mdm.uploadarchive.raw/RTDC4027/ "%USERPROFILE%\AppData\Local\Temp\OnboardLogs"\RTDC4027\2017-10-05 --exclude "*" --recursive --include "*20171005*" &amp; "%USERPROFILE%\Documents\GitHub\mrs-test-scripts\Headless Mode &amp; Sideloading\WalkAndUnGZ.bat" "%USERPROFILE%\AppData\Local\Temp\OnboardLogs"\RTDC4027\2017-10-05 &amp; aws s3 cp s3://rtdc.mdm.uploadarchive.raw/RTDC4027/ "%USERPROFILE%\AppData\Local\Temp\OnboardLogs"\RTDC4027\2017-10-06 --exclude "*" --recursive --include "*20171006*" &amp; "%USERPROFILE%\Documents\GitHub\mrs-test-scripts\Headless Mode &amp; Sideloading\WalkAndUnGZ.bat" "%USERPROFILE%\AppData\Local\Temp\OnboardLogs"\RTDC4027\2017-10-06</v>
      </c>
      <c r="AF152" s="74" t="str">
        <f t="shared" si="109"/>
        <v>"C:\Program Files (x86)\AstroGrep\AstroGrep.exe" /e /r /s /spath="%USERPROFILE%\AppData\Local\Temp\OnboardLogs" /stypes="app*4027*20171006*" /stext=" 06:.+((SYSTEM_STATE.+slice.+state.+changed )|(ment ac)|(multiple cpu faults)|(system.+state.+changed )|(\[timeout)|(PRM\|1\|D)|(kpr)|(kdp)|(train st.+moving)|(\|lc)|(penalty))"</v>
      </c>
      <c r="AG152" s="182" t="str">
        <f t="shared" si="91"/>
        <v>EC</v>
      </c>
      <c r="AH152" s="78" t="str">
        <f t="shared" ref="AH152" si="115">refinertdcruntimes&amp;" --tripid "&amp;A152&amp;" --locoid "&amp;B152&amp;" --swversion "&amp;C152&amp;" --startMP "&amp;D152&amp;" --initTime "&amp;TEXT(E152,"yyyy-mm-ddTHH:MM:SS")&amp;" --startdatetime "&amp;TEXT(F152,"yyyy-mm-ddTHH:MM:SS")&amp;" --delay "&amp;G152&amp;" --endMP "&amp;H152&amp;" --enddatetime "&amp;TEXT(I152,"yyyy-mm-ddTHH:MM:SS")&amp;" --enforcementcount "&amp;J152&amp;IF(outputrefinedruntimes," &gt;&gt;"&amp;RefinedRTDCRunTimesOutputFile,"")</f>
        <v>"%USERPROFILE%\Documents\GitHub\eaglep3\Utilities\RefineRTDCRunTimes.py" --tripid 236-05 --locoid 4027 --swversion DE.1.0.9.0 --startMP 204:460 --initTime 2017-10-05T22:19:11 --startdatetime 2017-10-05T23:27:13 --delay 100 --endMP 204:233372 --enddatetime 2017-10-06T00:05:01 --enforcementcount 0 &gt;&gt;%USERPROFILE%\Documents\GitHub\eaglep3-reporting\EC\2017-10-05-refined-times.txt</v>
      </c>
      <c r="AI152" s="96" t="str">
        <f t="shared" ref="AI152" si="116">"echo {""issue"":{""subject"":"""&amp;R152&amp;""",""project_id"":79,""tracker_id"":40,""status_id"":"&amp;redmine_status&amp;",""priority_id"":"&amp;redmine_priority&amp;",""assigned_to_id"":"&amp;redmine_assignee&amp;",""start_date"":"""&amp;TEXT(I152,"YYYY-mm-dd")&amp;""",""description"":"""&amp;AJ152&amp;""",""custom_fields"":[{""id"":1,""name"":""Subdivision"",""value"":"""&amp;AG152&amp;"""},{""id"":4,""name"":""Milepost"",""value"":"""&amp;Z152&amp;"""},{""id"":17,""name"":""Train ID"",""value"":"""&amp;A152&amp;"""},{""id"":16,""name"":""Locomotive ID"",""value"":"""&amp;B152&amp;"""},{""id"":130,""name"":""Impact"",""value"":"""&amp;AK152&amp;"""},{""id"":150,""name"":""Time of Event (Mountain Time)"",""value"":"""&amp;TEXT(I152,"hh:mm:ss")&amp;"""},{""id"":151,""name"":""Denver Issue ID"",""value"":"""&amp;"""},{""id"":178,""name"":""Operational Impact"",""value"":"""&amp;redmine_op_impact&amp;"""},{""id"":179,""name"":""Denver Segment Assigned"",""value"":"""&amp;AL152&amp;"""}]}}"&amp;" | curl --insecure -X POST -H ""Content-Type: application/json"" -H ""X-Redmine-API-Key: "&amp;redm_api_key&amp;""" "&amp;redm_url&amp;" --data @-"</f>
        <v>echo {"issue":{"subject":"","project_id":79,"tracker_id":40,"status_id":1,"priority_id":2,"assigned_to_id":338,"start_date":"2017-10-06","description":"","custom_fields":[{"id":1,"name":"Subdivision","value":"EC"},{"id":4,"name":"Milepost","value":"0.0152"},{"id":17,"name":"Train ID","value":"236-05"},{"id":16,"name":"Locomotive ID","value":"4027"},{"id":130,"name":"Impact","value":""},{"id":150,"name":"Time of Event (Mountain Time)","value":"00:05:01"},{"id":151,"name":"Denver Issue ID","value":""},{"id":178,"name":"Operational Impact","value":"Yes"},{"id":179,"name":"Denver Segment Assigned","value":""}]}} | curl --insecure -X POST -H "Content-Type: application/json" -H "X-Redmine-API-Key: %REDMINEAPIKEY%" https://secure.xorail.net/redmine/issues.json --data @-</v>
      </c>
      <c r="AK152" s="47"/>
      <c r="AL152" s="47"/>
      <c r="AM152" s="142" t="str">
        <f t="shared" ref="AM152" si="117">"start /low /b "&amp;dls3logs&amp;" --loco "&amp;B152&amp;" --day "&amp;TEXT(F152,"YYYY-MM-DD")</f>
        <v>start /low /b %USERPROFILE%\Documents\GitHub\eaglep3\Utilities\DownloadLogsFromS3.py --loco 4027 --day 2017-10-05</v>
      </c>
      <c r="AN152" s="151" t="str">
        <f t="shared" ref="AN152" si="118">"echo {""issue"":{""subject"":"""&amp;R152&amp;""",""project_id"":30,""tracker_id"":4,""status_id"":"&amp;redmine_status_wcr&amp;",""priority_id"":"&amp;redmine_priority_wcr&amp;",""assigned_to_id"":"&amp;redmine_assignee_wcr&amp;",""start_date"":"""&amp;TEXT(I152-utc_offset/24,"YYYY-mm-dd")&amp;""",""description"":"""&amp;AJ152&amp;""",""custom_fields"":[{""id"":30,""name"":""Category"",""value"":""Issue""},{""id"":3,""name"":""Functional Component"",""value"":""Onboard""},{""id"":31,""name"":""Version"",""value"":""N/A""},{""id"":8,""name"":""Reporting RR"",""value"":""WABTEC""},{""id"":27,""name"":""Locomotive ID"",""value"":"""&amp;B152&amp;"""},{""id"":20,""name"":""RR Requested Build"",""value"":""""},{""id"":1,""name"":""Build Request Notes"",""value"":"""&amp;"""},{""id"":9,""name"":""RR Assessed Issue Severity"",""value"":""4-Minor""},{""id"":10,""name"":""RR Severity Justification"",""value"":""test RR Severity Justification""}"&amp;",{""id"":11,""name"":""Wabtec Assessed Severity"",""value"":""""}"&amp;",{""id"":12,""name"":""Wabtec Severity Justification"",""value"":""""}"&amp;",{""id"":18,""name"":""RR Assessed Safety Criticality"",""value"":""Not Safety Related""}"&amp;",{""id"":19,""name"":""RR Criticality Justification"",""value"":""test RR Criticality Justification""}"&amp;",{""id"":22,""name"":""WRE Assessed Safety Critical"",""value"":""""}"&amp;",{""id"":23,""name"":""WRE Criticality Justification"",""value"":""""}"&amp;",{""id"":24,""name"":""Customer's Tracking Number"",""value"":""""}"&amp;",{""id"":28,""name"":""Date \u0026 Time of event UTC"",""value"":"""&amp;TEXT(I152-utc_offset/24,"YYYY-MM-DD hh:mm:ss")&amp;"""}"&amp;",{""id"":29,""name"":""Sharepoint Issue ID"",""value"":""""}"&amp;",{""id"":25,""name"":""Customer's Email Address"",""value"":""stu@wabtec.com""}"&amp;",{""id"":33,""name"":""Customer Call Back Number"",""value"":""904-316-8563""}"&amp;",{""id"":34,""name"":""Customer Name"",""value"":""Steve Tu""}"&amp;",{""id"":55,""name"":""WRE CR#"",""value"":""""}"&amp;",{""id"":57,""name"":""Reclassify Severity"",""value"":""""}"&amp;",{""id"":58,""name"":""Reclassify Safety"",""value"":""""}"&amp;",{""id"":59,""name"":""Environment "",""value"":""Production""}"&amp;"]}}"&amp;" | curl --insecure -X POST -H ""Content-Type: application/json"" -H ""X-Redmine-API-Key: "&amp;redmine_api_wcr&amp;""" "&amp;redmine_url_wcr&amp;" --data @-"</f>
        <v>echo {"issue":{"subject":"","project_id":30,"tracker_id":4,"status_id":1,"priority_id":1,"assigned_to_id":10,"start_date":"2017-10-06","description":"","custom_fields":[{"id":30,"name":"Category","value":"Issue"},{"id":3,"name":"Functional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06:05:01"},{"id":29,"name":"Sharepoint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52" s="168" t="str">
        <f t="shared" ref="AO152" si="119">"https://d0f6bd738d7f1b3e5a7ca70fe4ff75f0.us-east-1.aws.found.io/app/kibana#/discover/Steve-Slow-Train-Analysis-(2080s-and-2083s)?_g="&amp;"(refreshInterval:(display:Off,pause:!f,section:0,value:0),time:(from:'"&amp;TEXT(E152-1/24,"yyyy-MM-DDThh:mm:ss")&amp;utc_offset&amp;"00"&amp;"',mode:absolute,to:'"&amp;TEXT(I152+1/24,"yyyy-MM-DDThh:mm:ss")&amp;utc_offset&amp;"00"&amp;"'))&amp;_a=(columns:!('Message%20ID',Summary),filters:!(),index:'emp_*',interval:auto,query:"&amp;"(query_string:(analyze_wildcard:!t,query:'%22rtdc.l.rtdc."&amp;B152&amp;"%22')),sort:!(Time.ISO8601,asc))"</f>
        <v>https://d0f6bd738d7f1b3e5a7ca70fe4ff75f0.us-east-1.aws.found.io/app/kibana#/discover/Steve-Slow-Train-Analysis-(2080s-and-2083s)?_g=(refreshInterval:(display:Off,pause:!f,section:0,value:0),time:(from:'2017-10-05T21:19:11-0600',mode:absolute,to:'2017-10-06T01:05:01-0600'))&amp;_a=(columns:!('Message%20ID',Summary),filters:!(),index:'emp_*',interval:auto,query:(query_string:(analyze_wildcard:!t,query:'%22rtdc.l.rtdc.4027%22')),sort:!(Time.ISO8601,asc))</v>
      </c>
    </row>
    <row r="153" spans="1:91" s="20" customFormat="1" x14ac:dyDescent="0.25">
      <c r="A153" s="32" t="s">
        <v>802</v>
      </c>
      <c r="B153" s="7">
        <v>4044</v>
      </c>
      <c r="C153" s="21" t="s">
        <v>194</v>
      </c>
      <c r="D153" s="21" t="s">
        <v>388</v>
      </c>
      <c r="E153" s="13">
        <v>43013.954606481479</v>
      </c>
      <c r="F153" s="13">
        <v>43013.958541666667</v>
      </c>
      <c r="G153" s="7">
        <v>72</v>
      </c>
      <c r="H153" s="21" t="s">
        <v>545</v>
      </c>
      <c r="I153" s="13">
        <v>43013.98332175926</v>
      </c>
      <c r="J153" s="7">
        <v>0</v>
      </c>
      <c r="K153" s="89" t="str">
        <f t="shared" si="82"/>
        <v>4043/4044</v>
      </c>
      <c r="L153" s="185" t="str">
        <f>VLOOKUP(A153,'Trips&amp;Operators'!$C$1:$G$99911,5,FALSE)</f>
        <v>HART KEVIN</v>
      </c>
      <c r="M153" s="6">
        <f t="shared" si="83"/>
        <v>2.4780092593573499E-2</v>
      </c>
      <c r="N153" s="7">
        <f t="shared" si="84"/>
        <v>35.683333334745839</v>
      </c>
      <c r="O153" s="7"/>
      <c r="P153" s="7"/>
      <c r="Q153" s="22"/>
      <c r="R153" s="174"/>
      <c r="S153" s="221">
        <f t="shared" si="85"/>
        <v>1</v>
      </c>
      <c r="T153" s="174" t="str">
        <f t="shared" si="86"/>
        <v>NorthBound</v>
      </c>
      <c r="U153" s="198">
        <f>IF(AG153="EC",COUNTIFS(Variables!$M$2:$M$19,IF(T153="NorthBound","&gt;=","&lt;=")&amp;Y153,Variables!$M$2:$M$19,IF(T153="NorthBound","&lt;=","&gt;=")&amp;Z153),COUNTIFS(Variables!$P$2:$P$19,IF(T153="NorthBound","&gt;=","&lt;=")&amp;Y153,Variables!$P$2:$P$19,IF(T153="NorthBound","&lt;=","&gt;=")&amp;Z153))</f>
        <v>12</v>
      </c>
      <c r="V153" s="216" t="str">
        <f t="shared" si="107"/>
        <v>https://d0f6bd738d7f1b3e5a7ca70fe4ff75f0.us-east-1.aws.found.io/app/kibana#/discover/Steve-Slow-Train-Analysis-(2080s-and-2083s)?_g=(refreshInterval:(display:Off,pause:!f,section:0,value:0),time:(from:'2017-10-05T21:54:38-0600',mode:absolute,to:'2017-10-06T00:35:59-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4044%22')),sort:!(Time.ISO8601,asc))</v>
      </c>
      <c r="W153" s="204" t="str">
        <f>IF(AA153&lt;VLOOKUP(AG153,Variables!$AC$3:$AD$8,2,FALSE),"Y","N")</f>
        <v>N</v>
      </c>
      <c r="X153" s="204">
        <f t="shared" ref="X153:X155" si="120">VALUE(LEFT(AD153,4))-VALUE(LEFT(AD152,4))</f>
        <v>1</v>
      </c>
      <c r="Y153" s="204">
        <f>RIGHT(D153,LEN(D153)-4)/10000</f>
        <v>4.5699999999999998E-2</v>
      </c>
      <c r="Z153" s="204">
        <f>RIGHT(H153,LEN(H153)-4)/10000</f>
        <v>23.326799999999999</v>
      </c>
      <c r="AA153" s="204">
        <f t="shared" si="89"/>
        <v>23.281099999999999</v>
      </c>
      <c r="AB153" s="54" t="e">
        <f>VLOOKUP(A153,Enforcements!$C$7:$K$11,8,0)</f>
        <v>#N/A</v>
      </c>
      <c r="AC153" s="51" t="e">
        <f>VLOOKUP(A153,Enforcements!$C$7:$E$11,3,0)</f>
        <v>#N/A</v>
      </c>
      <c r="AD153" s="179">
        <f t="shared" si="90"/>
        <v>237</v>
      </c>
      <c r="AE153" s="77" t="str">
        <f t="shared" si="108"/>
        <v>aws s3 cp s3://rtdc.mdm.uploadarchive.raw/RTDC4044/ "%USERPROFILE%\AppData\Local\Temp\OnboardLogs"\RTDC4044\2017-10-05 --exclude "*" --recursive --include "*20171005*" &amp; "%USERPROFILE%\Documents\GitHub\mrs-test-scripts\Headless Mode &amp; Sideloading\WalkAndUnGZ.bat" "%USERPROFILE%\AppData\Local\Temp\OnboardLogs"\RTDC4044\2017-10-05 &amp; aws s3 cp s3://rtdc.mdm.uploadarchive.raw/RTDC4044/ "%USERPROFILE%\AppData\Local\Temp\OnboardLogs"\RTDC4044\2017-10-06 --exclude "*" --recursive --include "*20171006*" &amp; "%USERPROFILE%\Documents\GitHub\mrs-test-scripts\Headless Mode &amp; Sideloading\WalkAndUnGZ.bat" "%USERPROFILE%\AppData\Local\Temp\OnboardLogs"\RTDC4044\2017-10-06</v>
      </c>
      <c r="AF153" s="74" t="str">
        <f t="shared" si="109"/>
        <v>"C:\Program Files (x86)\AstroGrep\AstroGrep.exe" /e /r /s /spath="%USERPROFILE%\AppData\Local\Temp\OnboardLogs" /stypes="app*4044*20171006*" /stext=" 05:.+((SYSTEM_STATE.+slice.+state.+changed )|(ment ac)|(multiple cpu faults)|(system.+state.+changed )|(\[timeout)|(PRM\|1\|D)|(kpr)|(kdp)|(train st.+moving)|(\|lc)|(penalty))"</v>
      </c>
      <c r="AG153" s="182" t="str">
        <f t="shared" si="91"/>
        <v>EC</v>
      </c>
      <c r="AH153" s="78" t="str">
        <f t="shared" si="110"/>
        <v>"%USERPROFILE%\Documents\GitHub\eaglep3\Utilities\RefineRTDCRunTimes.py" --tripid 237-05 --locoid 4044 --swversion DE.1.0.9.0 --startMP 204:457 --initTime 2017-10-05T22:54:38 --startdatetime 2017-10-05T23:00:18 --delay 72 --endMP 204:233268 --enddatetime 2017-10-05T23:35:59 --enforcementcount 0 &gt;&gt;%USERPROFILE%\Documents\GitHub\eaglep3-reporting\EC\2017-10-05-refined-times.txt</v>
      </c>
      <c r="AI153" s="96" t="str">
        <f t="shared" si="111"/>
        <v>echo {"issue":{"subject":"","project_id":79,"tracker_id":40,"status_id":1,"priority_id":2,"assigned_to_id":338,"start_date":"2017-10-05","description":"","custom_fields":[{"id":1,"name":"Subdivision","value":"EC"},{"id":4,"name":"Milepost","value":"23.3268"},{"id":17,"name":"Train ID","value":"237-05"},{"id":16,"name":"Locomotive ID","value":"4044"},{"id":130,"name":"Impact","value":""},{"id":150,"name":"Time of Event (Mountain Time)","value":"23:35:59"},{"id":151,"name":"Denver Issue ID","value":""},{"id":178,"name":"Operational Impact","value":"Yes"},{"id":179,"name":"Denver Segment Assigned","value":""}]}} | curl --insecure -X POST -H "Content-Type: application/json" -H "X-Redmine-API-Key: %REDMINEAPIKEY%" https://secure.xorail.net/redmine/issues.json --data @-</v>
      </c>
      <c r="AK153" s="47"/>
      <c r="AL153" s="47"/>
      <c r="AM153" s="142" t="str">
        <f t="shared" si="112"/>
        <v>start /low /b %USERPROFILE%\Documents\GitHub\eaglep3\Utilities\DownloadLogsFromS3.py --loco 4044 --day 2017-10-05</v>
      </c>
      <c r="AN153" s="151" t="str">
        <f t="shared" si="113"/>
        <v>echo {"issue":{"subject":"","project_id":30,"tracker_id":4,"status_id":1,"priority_id":1,"assigned_to_id":10,"start_date":"2017-10-06","description":"","custom_fields":[{"id":30,"name":"Category","value":"Issue"},{"id":3,"name":"Functional Component","value":"Onboard"},{"id":31,"name":"Version","value":"N/A"},{"id":8,"name":"Reporting RR","value":"WABTEC"},{"id":27,"name":"Locomotive ID","value":"4044"},{"id":20,"name":"RR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05:35:59"},{"id":29,"name":"Sharepoint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53" s="168" t="str">
        <f t="shared" si="114"/>
        <v>https://d0f6bd738d7f1b3e5a7ca70fe4ff75f0.us-east-1.aws.found.io/app/kibana#/discover/Steve-Slow-Train-Analysis-(2080s-and-2083s)?_g=(refreshInterval:(display:Off,pause:!f,section:0,value:0),time:(from:'2017-10-05T21:54:38-0600',mode:absolute,to:'2017-10-06T00:35:59-0600'))&amp;_a=(columns:!('Message%20ID',Summary),filters:!(),index:'emp_*',interval:auto,query:(query_string:(analyze_wildcard:!t,query:'%22rtdc.l.rtdc.4044%22')),sort:!(Time.ISO8601,asc))</v>
      </c>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row>
    <row r="154" spans="1:91" s="20" customFormat="1" x14ac:dyDescent="0.25">
      <c r="A154" s="32" t="s">
        <v>807</v>
      </c>
      <c r="B154" s="7">
        <v>4043</v>
      </c>
      <c r="C154" s="21" t="s">
        <v>194</v>
      </c>
      <c r="D154" s="21" t="s">
        <v>388</v>
      </c>
      <c r="E154" s="13">
        <v>43013.954606481479</v>
      </c>
      <c r="F154" s="13">
        <v>43013.998101851852</v>
      </c>
      <c r="G154" s="7">
        <v>72</v>
      </c>
      <c r="H154" s="21" t="s">
        <v>545</v>
      </c>
      <c r="I154" s="13">
        <v>43014.023668981485</v>
      </c>
      <c r="J154" s="7">
        <v>0</v>
      </c>
      <c r="K154" s="89" t="str">
        <f t="shared" si="82"/>
        <v>4043/4044</v>
      </c>
      <c r="L154" s="185" t="str">
        <f>VLOOKUP(A154,'Trips&amp;Operators'!$C$1:$G$99911,5,FALSE)</f>
        <v>HART KEVIN</v>
      </c>
      <c r="M154" s="6">
        <f t="shared" si="83"/>
        <v>2.5567129632690921E-2</v>
      </c>
      <c r="N154" s="7">
        <f t="shared" si="84"/>
        <v>36.816666671074927</v>
      </c>
      <c r="O154" s="7"/>
      <c r="P154" s="7"/>
      <c r="Q154" s="22"/>
      <c r="R154" s="174"/>
      <c r="S154" s="221">
        <f t="shared" si="85"/>
        <v>1</v>
      </c>
      <c r="T154" s="174" t="str">
        <f t="shared" si="86"/>
        <v>Southbound</v>
      </c>
      <c r="U154" s="198">
        <f>IF(AG154="EC",COUNTIFS(Variables!$M$2:$M$19,IF(T154="NorthBound","&gt;=","&lt;=")&amp;Y154,Variables!$M$2:$M$19,IF(T154="NorthBound","&lt;=","&gt;=")&amp;Z154),COUNTIFS(Variables!$P$2:$P$19,IF(T154="NorthBound","&gt;=","&lt;=")&amp;Y154,Variables!$P$2:$P$19,IF(T154="NorthBound","&lt;=","&gt;=")&amp;Z154))</f>
        <v>12</v>
      </c>
      <c r="V154" s="216" t="str">
        <f t="shared" si="107"/>
        <v>https://d0f6bd738d7f1b3e5a7ca70fe4ff75f0.us-east-1.aws.found.io/app/kibana#/discover/Steve-Slow-Train-Analysis-(2080s-and-2083s)?_g=(refreshInterval:(display:Off,pause:!f,section:0,value:0),time:(from:'2017-10-05T21:54:38-0600',mode:absolute,to:'2017-10-06T01:34:05-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4043%22')),sort:!(Time.ISO8601,asc))</v>
      </c>
      <c r="W154" s="204" t="str">
        <f>IF(AA154&lt;VLOOKUP(AG154,Variables!$AC$3:$AD$8,2,FALSE),"Y","N")</f>
        <v>N</v>
      </c>
      <c r="X154" s="204">
        <f t="shared" si="120"/>
        <v>1</v>
      </c>
      <c r="Y154" s="204">
        <v>23.297799999999999</v>
      </c>
      <c r="Z154" s="204">
        <v>1.52E-2</v>
      </c>
      <c r="AA154" s="204">
        <f t="shared" si="89"/>
        <v>23.282599999999999</v>
      </c>
      <c r="AB154" s="54" t="e">
        <f>VLOOKUP(A154,Enforcements!$C$7:$K$11,8,0)</f>
        <v>#N/A</v>
      </c>
      <c r="AC154" s="51" t="e">
        <f>VLOOKUP(A154,Enforcements!$C$7:$E$11,3,0)</f>
        <v>#N/A</v>
      </c>
      <c r="AD154" s="179">
        <f t="shared" si="90"/>
        <v>238</v>
      </c>
      <c r="AE154" s="77" t="str">
        <f t="shared" si="108"/>
        <v>aws s3 cp s3://rtdc.mdm.uploadarchive.raw/RTDC4043/ "%USERPROFILE%\AppData\Local\Temp\OnboardLogs"\RTDC4043\2017-10-05 --exclude "*" --recursive --include "*20171005*" &amp; "%USERPROFILE%\Documents\GitHub\mrs-test-scripts\Headless Mode &amp; Sideloading\WalkAndUnGZ.bat" "%USERPROFILE%\AppData\Local\Temp\OnboardLogs"\RTDC4043\2017-10-05 &amp; aws s3 cp s3://rtdc.mdm.uploadarchive.raw/RTDC4043/ "%USERPROFILE%\AppData\Local\Temp\OnboardLogs"\RTDC4043\2017-10-06 --exclude "*" --recursive --include "*20171006*" &amp; "%USERPROFILE%\Documents\GitHub\mrs-test-scripts\Headless Mode &amp; Sideloading\WalkAndUnGZ.bat" "%USERPROFILE%\AppData\Local\Temp\OnboardLogs"\RTDC4043\2017-10-06</v>
      </c>
      <c r="AF154" s="74" t="str">
        <f t="shared" si="109"/>
        <v>"C:\Program Files (x86)\AstroGrep\AstroGrep.exe" /e /r /s /spath="%USERPROFILE%\AppData\Local\Temp\OnboardLogs" /stypes="app*4043*20171006*" /stext=" 06:.+((SYSTEM_STATE.+slice.+state.+changed )|(ment ac)|(multiple cpu faults)|(system.+state.+changed )|(\[timeout)|(PRM\|1\|D)|(kpr)|(kdp)|(train st.+moving)|(\|lc)|(penalty))"</v>
      </c>
      <c r="AG154" s="182" t="str">
        <f t="shared" si="91"/>
        <v>EC</v>
      </c>
      <c r="AH154" s="78" t="str">
        <f t="shared" ref="AH154" si="121">refinertdcruntimes&amp;" --tripid "&amp;A154&amp;" --locoid "&amp;B154&amp;" --swversion "&amp;C154&amp;" --startMP "&amp;D154&amp;" --initTime "&amp;TEXT(E154,"yyyy-mm-ddTHH:MM:SS")&amp;" --startdatetime "&amp;TEXT(F154,"yyyy-mm-ddTHH:MM:SS")&amp;" --delay "&amp;G154&amp;" --endMP "&amp;H154&amp;" --enddatetime "&amp;TEXT(I154,"yyyy-mm-ddTHH:MM:SS")&amp;" --enforcementcount "&amp;J154&amp;IF(outputrefinedruntimes," &gt;&gt;"&amp;RefinedRTDCRunTimesOutputFile,"")</f>
        <v>"%USERPROFILE%\Documents\GitHub\eaglep3\Utilities\RefineRTDCRunTimes.py" --tripid 238-05 --locoid 4043 --swversion DE.1.0.9.0 --startMP 204:457 --initTime 2017-10-05T22:54:38 --startdatetime 2017-10-05T23:57:16 --delay 72 --endMP 204:233268 --enddatetime 2017-10-06T00:34:05 --enforcementcount 0 &gt;&gt;%USERPROFILE%\Documents\GitHub\eaglep3-reporting\EC\2017-10-05-refined-times.txt</v>
      </c>
      <c r="AI154" s="96" t="str">
        <f t="shared" ref="AI154" si="122">"echo {""issue"":{""subject"":"""&amp;R154&amp;""",""project_id"":79,""tracker_id"":40,""status_id"":"&amp;redmine_status&amp;",""priority_id"":"&amp;redmine_priority&amp;",""assigned_to_id"":"&amp;redmine_assignee&amp;",""start_date"":"""&amp;TEXT(I154,"YYYY-mm-dd")&amp;""",""description"":"""&amp;AJ154&amp;""",""custom_fields"":[{""id"":1,""name"":""Subdivision"",""value"":"""&amp;AG154&amp;"""},{""id"":4,""name"":""Milepost"",""value"":"""&amp;Z154&amp;"""},{""id"":17,""name"":""Train ID"",""value"":"""&amp;A154&amp;"""},{""id"":16,""name"":""Locomotive ID"",""value"":"""&amp;B154&amp;"""},{""id"":130,""name"":""Impact"",""value"":"""&amp;AK154&amp;"""},{""id"":150,""name"":""Time of Event (Mountain Time)"",""value"":"""&amp;TEXT(I154,"hh:mm:ss")&amp;"""},{""id"":151,""name"":""Denver Issue ID"",""value"":"""&amp;"""},{""id"":178,""name"":""Operational Impact"",""value"":"""&amp;redmine_op_impact&amp;"""},{""id"":179,""name"":""Denver Segment Assigned"",""value"":"""&amp;AL154&amp;"""}]}}"&amp;" | curl --insecure -X POST -H ""Content-Type: application/json"" -H ""X-Redmine-API-Key: "&amp;redm_api_key&amp;""" "&amp;redm_url&amp;" --data @-"</f>
        <v>echo {"issue":{"subject":"","project_id":79,"tracker_id":40,"status_id":1,"priority_id":2,"assigned_to_id":338,"start_date":"2017-10-06","description":"","custom_fields":[{"id":1,"name":"Subdivision","value":"EC"},{"id":4,"name":"Milepost","value":"0.0152"},{"id":17,"name":"Train ID","value":"238-05"},{"id":16,"name":"Locomotive ID","value":"4043"},{"id":130,"name":"Impact","value":""},{"id":150,"name":"Time of Event (Mountain Time)","value":"00:34:05"},{"id":151,"name":"Denver Issue ID","value":""},{"id":178,"name":"Operational Impact","value":"Yes"},{"id":179,"name":"Denver Segment Assigned","value":""}]}} | curl --insecure -X POST -H "Content-Type: application/json" -H "X-Redmine-API-Key: %REDMINEAPIKEY%" https://secure.xorail.net/redmine/issues.json --data @-</v>
      </c>
      <c r="AK154" s="47"/>
      <c r="AL154" s="47"/>
      <c r="AM154" s="142" t="str">
        <f t="shared" ref="AM154" si="123">"start /low /b "&amp;dls3logs&amp;" --loco "&amp;B154&amp;" --day "&amp;TEXT(F154,"YYYY-MM-DD")</f>
        <v>start /low /b %USERPROFILE%\Documents\GitHub\eaglep3\Utilities\DownloadLogsFromS3.py --loco 4043 --day 2017-10-05</v>
      </c>
      <c r="AN154" s="151" t="str">
        <f t="shared" ref="AN154" si="124">"echo {""issue"":{""subject"":"""&amp;R154&amp;""",""project_id"":30,""tracker_id"":4,""status_id"":"&amp;redmine_status_wcr&amp;",""priority_id"":"&amp;redmine_priority_wcr&amp;",""assigned_to_id"":"&amp;redmine_assignee_wcr&amp;",""start_date"":"""&amp;TEXT(I154-utc_offset/24,"YYYY-mm-dd")&amp;""",""description"":"""&amp;AJ154&amp;""",""custom_fields"":[{""id"":30,""name"":""Category"",""value"":""Issue""},{""id"":3,""name"":""Functional Component"",""value"":""Onboard""},{""id"":31,""name"":""Version"",""value"":""N/A""},{""id"":8,""name"":""Reporting RR"",""value"":""WABTEC""},{""id"":27,""name"":""Locomotive ID"",""value"":"""&amp;B154&amp;"""},{""id"":20,""name"":""RR Requested Build"",""value"":""""},{""id"":1,""name"":""Build Request Notes"",""value"":"""&amp;"""},{""id"":9,""name"":""RR Assessed Issue Severity"",""value"":""4-Minor""},{""id"":10,""name"":""RR Severity Justification"",""value"":""test RR Severity Justification""}"&amp;",{""id"":11,""name"":""Wabtec Assessed Severity"",""value"":""""}"&amp;",{""id"":12,""name"":""Wabtec Severity Justification"",""value"":""""}"&amp;",{""id"":18,""name"":""RR Assessed Safety Criticality"",""value"":""Not Safety Related""}"&amp;",{""id"":19,""name"":""RR Criticality Justification"",""value"":""test RR Criticality Justification""}"&amp;",{""id"":22,""name"":""WRE Assessed Safety Critical"",""value"":""""}"&amp;",{""id"":23,""name"":""WRE Criticality Justification"",""value"":""""}"&amp;",{""id"":24,""name"":""Customer's Tracking Number"",""value"":""""}"&amp;",{""id"":28,""name"":""Date \u0026 Time of event UTC"",""value"":"""&amp;TEXT(I154-utc_offset/24,"YYYY-MM-DD hh:mm:ss")&amp;"""}"&amp;",{""id"":29,""name"":""Sharepoint Issue ID"",""value"":""""}"&amp;",{""id"":25,""name"":""Customer's Email Address"",""value"":""stu@wabtec.com""}"&amp;",{""id"":33,""name"":""Customer Call Back Number"",""value"":""904-316-8563""}"&amp;",{""id"":34,""name"":""Customer Name"",""value"":""Steve Tu""}"&amp;",{""id"":55,""name"":""WRE CR#"",""value"":""""}"&amp;",{""id"":57,""name"":""Reclassify Severity"",""value"":""""}"&amp;",{""id"":58,""name"":""Reclassify Safety"",""value"":""""}"&amp;",{""id"":59,""name"":""Environment "",""value"":""Production""}"&amp;"]}}"&amp;" | curl --insecure -X POST -H ""Content-Type: application/json"" -H ""X-Redmine-API-Key: "&amp;redmine_api_wcr&amp;""" "&amp;redmine_url_wcr&amp;" --data @-"</f>
        <v>echo {"issue":{"subject":"","project_id":30,"tracker_id":4,"status_id":1,"priority_id":1,"assigned_to_id":10,"start_date":"2017-10-06","description":"","custom_fields":[{"id":30,"name":"Category","value":"Issue"},{"id":3,"name":"Functional Component","value":"Onboard"},{"id":31,"name":"Version","value":"N/A"},{"id":8,"name":"Reporting RR","value":"WABTEC"},{"id":27,"name":"Locomotive ID","value":"4043"},{"id":20,"name":"RR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06:34:05"},{"id":29,"name":"Sharepoint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54" s="168" t="str">
        <f t="shared" ref="AO154" si="125">"https://d0f6bd738d7f1b3e5a7ca70fe4ff75f0.us-east-1.aws.found.io/app/kibana#/discover/Steve-Slow-Train-Analysis-(2080s-and-2083s)?_g="&amp;"(refreshInterval:(display:Off,pause:!f,section:0,value:0),time:(from:'"&amp;TEXT(E154-1/24,"yyyy-MM-DDThh:mm:ss")&amp;utc_offset&amp;"00"&amp;"',mode:absolute,to:'"&amp;TEXT(I154+1/24,"yyyy-MM-DDThh:mm:ss")&amp;utc_offset&amp;"00"&amp;"'))&amp;_a=(columns:!('Message%20ID',Summary),filters:!(),index:'emp_*',interval:auto,query:"&amp;"(query_string:(analyze_wildcard:!t,query:'%22rtdc.l.rtdc."&amp;B154&amp;"%22')),sort:!(Time.ISO8601,asc))"</f>
        <v>https://d0f6bd738d7f1b3e5a7ca70fe4ff75f0.us-east-1.aws.found.io/app/kibana#/discover/Steve-Slow-Train-Analysis-(2080s-and-2083s)?_g=(refreshInterval:(display:Off,pause:!f,section:0,value:0),time:(from:'2017-10-05T21:54:38-0600',mode:absolute,to:'2017-10-06T01:34:05-0600'))&amp;_a=(columns:!('Message%20ID',Summary),filters:!(),index:'emp_*',interval:auto,query:(query_string:(analyze_wildcard:!t,query:'%22rtdc.l.rtdc.4043%22')),sort:!(Time.ISO8601,asc))</v>
      </c>
    </row>
    <row r="155" spans="1:91" s="20" customFormat="1" x14ac:dyDescent="0.25">
      <c r="A155" s="32" t="s">
        <v>803</v>
      </c>
      <c r="B155" s="7">
        <v>4008</v>
      </c>
      <c r="C155" s="21" t="s">
        <v>194</v>
      </c>
      <c r="D155" s="21" t="s">
        <v>346</v>
      </c>
      <c r="E155" s="13">
        <v>43013.966365740744</v>
      </c>
      <c r="F155" s="13">
        <v>43013.979386574072</v>
      </c>
      <c r="G155" s="7">
        <v>59</v>
      </c>
      <c r="H155" s="21" t="s">
        <v>484</v>
      </c>
      <c r="I155" s="13">
        <v>43014.003333333334</v>
      </c>
      <c r="J155" s="7">
        <v>0</v>
      </c>
      <c r="K155" s="89" t="str">
        <f t="shared" si="82"/>
        <v>4007/4008</v>
      </c>
      <c r="L155" s="185" t="str">
        <f>VLOOKUP(A155,'Trips&amp;Operators'!$C$1:$G$99911,5,FALSE)</f>
        <v>LOZA FIDEL</v>
      </c>
      <c r="M155" s="6">
        <f t="shared" si="83"/>
        <v>2.3946759261889383E-2</v>
      </c>
      <c r="N155" s="7">
        <f t="shared" si="84"/>
        <v>34.483333337120712</v>
      </c>
      <c r="O155" s="7"/>
      <c r="P155" s="7"/>
      <c r="Q155" s="22"/>
      <c r="R155" s="174"/>
      <c r="S155" s="221">
        <f t="shared" si="85"/>
        <v>1</v>
      </c>
      <c r="T155" s="174" t="str">
        <f t="shared" si="86"/>
        <v>NorthBound</v>
      </c>
      <c r="U155" s="198">
        <f>IF(AG155="EC",COUNTIFS(Variables!$M$2:$M$19,IF(T155="NorthBound","&gt;=","&lt;=")&amp;Y155,Variables!$M$2:$M$19,IF(T155="NorthBound","&lt;=","&gt;=")&amp;Z155),COUNTIFS(Variables!$P$2:$P$19,IF(T155="NorthBound","&gt;=","&lt;=")&amp;Y155,Variables!$P$2:$P$19,IF(T155="NorthBound","&lt;=","&gt;=")&amp;Z155))</f>
        <v>12</v>
      </c>
      <c r="V155" s="216" t="str">
        <f t="shared" si="107"/>
        <v>https://d0f6bd738d7f1b3e5a7ca70fe4ff75f0.us-east-1.aws.found.io/app/kibana#/discover/Steve-Slow-Train-Analysis-(2080s-and-2083s)?_g=(refreshInterval:(display:Off,pause:!f,section:0,value:0),time:(from:'2017-10-05T22:11:34-0600',mode:absolute,to:'2017-10-06T01:04:48-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4008%22')),sort:!(Time.ISO8601,asc))</v>
      </c>
      <c r="W155" s="204" t="str">
        <f>IF(AA155&lt;VLOOKUP(AG155,Variables!$AC$3:$AD$8,2,FALSE),"Y","N")</f>
        <v>N</v>
      </c>
      <c r="X155" s="204">
        <f t="shared" si="120"/>
        <v>1</v>
      </c>
      <c r="Y155" s="204">
        <f t="shared" ref="Y155:Y186" si="126">RIGHT(D155,LEN(D155)-4)/10000</f>
        <v>4.5499999999999999E-2</v>
      </c>
      <c r="Z155" s="204">
        <f t="shared" ref="Z155:Z186" si="127">RIGHT(H155,LEN(H155)-4)/10000</f>
        <v>23.335699999999999</v>
      </c>
      <c r="AA155" s="204">
        <f t="shared" si="89"/>
        <v>23.290199999999999</v>
      </c>
      <c r="AB155" s="54" t="e">
        <f>VLOOKUP(A155,Enforcements!$C$7:$K$11,8,0)</f>
        <v>#N/A</v>
      </c>
      <c r="AC155" s="51" t="e">
        <f>VLOOKUP(A155,Enforcements!$C$7:$E$11,3,0)</f>
        <v>#N/A</v>
      </c>
      <c r="AD155" s="179">
        <f t="shared" si="90"/>
        <v>239</v>
      </c>
      <c r="AE155" s="77" t="str">
        <f t="shared" si="108"/>
        <v>aws s3 cp s3://rtdc.mdm.uploadarchive.raw/RTDC4008/ "%USERPROFILE%\AppData\Local\Temp\OnboardLogs"\RTDC4008\2017-10-05 --exclude "*" --recursive --include "*20171005*" &amp; "%USERPROFILE%\Documents\GitHub\mrs-test-scripts\Headless Mode &amp; Sideloading\WalkAndUnGZ.bat" "%USERPROFILE%\AppData\Local\Temp\OnboardLogs"\RTDC4008\2017-10-05 &amp; aws s3 cp s3://rtdc.mdm.uploadarchive.raw/RTDC4008/ "%USERPROFILE%\AppData\Local\Temp\OnboardLogs"\RTDC4008\2017-10-06 --exclude "*" --recursive --include "*20171006*" &amp; "%USERPROFILE%\Documents\GitHub\mrs-test-scripts\Headless Mode &amp; Sideloading\WalkAndUnGZ.bat" "%USERPROFILE%\AppData\Local\Temp\OnboardLogs"\RTDC4008\2017-10-06</v>
      </c>
      <c r="AF155" s="74" t="str">
        <f t="shared" si="109"/>
        <v>"C:\Program Files (x86)\AstroGrep\AstroGrep.exe" /e /r /s /spath="%USERPROFILE%\AppData\Local\Temp\OnboardLogs" /stypes="app*4008*20171006*" /stext=" 06:.+((SYSTEM_STATE.+slice.+state.+changed )|(ment ac)|(multiple cpu faults)|(system.+state.+changed )|(\[timeout)|(PRM\|1\|D)|(kpr)|(kdp)|(train st.+moving)|(\|lc)|(penalty))"</v>
      </c>
      <c r="AG155" s="182" t="str">
        <f t="shared" si="91"/>
        <v>EC</v>
      </c>
      <c r="AH155" s="78" t="str">
        <f t="shared" si="110"/>
        <v>"%USERPROFILE%\Documents\GitHub\eaglep3\Utilities\RefineRTDCRunTimes.py" --tripid 239-05 --locoid 4008 --swversion DE.1.0.9.0 --startMP 204:455 --initTime 2017-10-05T23:11:34 --startdatetime 2017-10-05T23:30:19 --delay 59 --endMP 204:233357 --enddatetime 2017-10-06T00:04:48 --enforcementcount 0 &gt;&gt;%USERPROFILE%\Documents\GitHub\eaglep3-reporting\EC\2017-10-05-refined-times.txt</v>
      </c>
      <c r="AI155" s="96" t="str">
        <f t="shared" si="111"/>
        <v>echo {"issue":{"subject":"","project_id":79,"tracker_id":40,"status_id":1,"priority_id":2,"assigned_to_id":338,"start_date":"2017-10-06","description":"","custom_fields":[{"id":1,"name":"Subdivision","value":"EC"},{"id":4,"name":"Milepost","value":"23.3357"},{"id":17,"name":"Train ID","value":"239-05"},{"id":16,"name":"Locomotive ID","value":"4008"},{"id":130,"name":"Impact","value":""},{"id":150,"name":"Time of Event (Mountain Time)","value":"00:04:48"},{"id":151,"name":"Denver Issue ID","value":""},{"id":178,"name":"Operational Impact","value":"Yes"},{"id":179,"name":"Denver Segment Assigned","value":""}]}} | curl --insecure -X POST -H "Content-Type: application/json" -H "X-Redmine-API-Key: %REDMINEAPIKEY%" https://secure.xorail.net/redmine/issues.json --data @-</v>
      </c>
      <c r="AK155" s="47"/>
      <c r="AL155" s="47"/>
      <c r="AM155" s="142" t="str">
        <f t="shared" si="112"/>
        <v>start /low /b %USERPROFILE%\Documents\GitHub\eaglep3\Utilities\DownloadLogsFromS3.py --loco 4008 --day 2017-10-05</v>
      </c>
      <c r="AN155" s="151" t="str">
        <f t="shared" si="113"/>
        <v>echo {"issue":{"subject":"","project_id":30,"tracker_id":4,"status_id":1,"priority_id":1,"assigned_to_id":10,"start_date":"2017-10-06","description":"","custom_fields":[{"id":30,"name":"Category","value":"Issue"},{"id":3,"name":"Functional Component","value":"Onboard"},{"id":31,"name":"Version","value":"N/A"},{"id":8,"name":"Reporting RR","value":"WABTEC"},{"id":27,"name":"Locomotive ID","value":"4008"},{"id":20,"name":"RR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06:04:48"},{"id":29,"name":"Sharepoint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55" s="168" t="str">
        <f t="shared" si="114"/>
        <v>https://d0f6bd738d7f1b3e5a7ca70fe4ff75f0.us-east-1.aws.found.io/app/kibana#/discover/Steve-Slow-Train-Analysis-(2080s-and-2083s)?_g=(refreshInterval:(display:Off,pause:!f,section:0,value:0),time:(from:'2017-10-05T22:11:34-0600',mode:absolute,to:'2017-10-06T01:04:48-0600'))&amp;_a=(columns:!('Message%20ID',Summary),filters:!(),index:'emp_*',interval:auto,query:(query_string:(analyze_wildcard:!t,query:'%22rtdc.l.rtdc.4008%22')),sort:!(Time.ISO8601,asc))</v>
      </c>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row>
    <row r="156" spans="1:91" s="20" customFormat="1" x14ac:dyDescent="0.25">
      <c r="A156" s="32" t="s">
        <v>809</v>
      </c>
      <c r="B156" s="7">
        <v>4007</v>
      </c>
      <c r="C156" s="21" t="s">
        <v>194</v>
      </c>
      <c r="D156" s="21" t="s">
        <v>487</v>
      </c>
      <c r="E156" s="13">
        <v>43014.016782407409</v>
      </c>
      <c r="F156" s="13">
        <v>43014.018958333334</v>
      </c>
      <c r="G156" s="7">
        <v>68</v>
      </c>
      <c r="H156" s="21" t="s">
        <v>372</v>
      </c>
      <c r="I156" s="13">
        <v>43014.045370370368</v>
      </c>
      <c r="J156" s="7">
        <v>0</v>
      </c>
      <c r="K156" s="89" t="str">
        <f t="shared" si="82"/>
        <v>4007/4008</v>
      </c>
      <c r="L156" s="185" t="str">
        <f>VLOOKUP(A156,'Trips&amp;Operators'!$C$1:$G$99911,5,FALSE)</f>
        <v>LOZA FIDEL</v>
      </c>
      <c r="M156" s="6">
        <f t="shared" si="83"/>
        <v>2.6412037033878732E-2</v>
      </c>
      <c r="N156" s="7">
        <f t="shared" si="84"/>
        <v>38.033333328785375</v>
      </c>
      <c r="O156" s="7"/>
      <c r="P156" s="7"/>
      <c r="Q156" s="22"/>
      <c r="R156" s="174"/>
      <c r="S156" s="221">
        <f t="shared" si="85"/>
        <v>1</v>
      </c>
      <c r="T156" s="174" t="str">
        <f t="shared" si="86"/>
        <v>Southbound</v>
      </c>
      <c r="U156" s="198">
        <f>IF(AG156="EC",COUNTIFS(Variables!$M$2:$M$19,IF(T156="NorthBound","&gt;=","&lt;=")&amp;Y156,Variables!$M$2:$M$19,IF(T156="NorthBound","&lt;=","&gt;=")&amp;Z156),COUNTIFS(Variables!$P$2:$P$19,IF(T156="NorthBound","&gt;=","&lt;=")&amp;Y156,Variables!$P$2:$P$19,IF(T156="NorthBound","&lt;=","&gt;=")&amp;Z156))</f>
        <v>12</v>
      </c>
      <c r="V156" s="216" t="str">
        <f t="shared" si="107"/>
        <v>https://d0f6bd738d7f1b3e5a7ca70fe4ff75f0.us-east-1.aws.found.io/app/kibana#/discover/Steve-Slow-Train-Analysis-(2080s-and-2083s)?_g=(refreshInterval:(display:Off,pause:!f,section:0,value:0),time:(from:'2017-10-05T23:24:10-0600',mode:absolute,to:'2017-10-06T02:05:20-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4007%22')),sort:!(Time.ISO8601,asc))</v>
      </c>
      <c r="W156" s="204" t="str">
        <f>IF(AA156&lt;VLOOKUP(AG156,Variables!$AC$3:$AD$8,2,FALSE),"Y","N")</f>
        <v>N</v>
      </c>
      <c r="X156" s="204">
        <f t="shared" ref="X156:X187" si="128">VALUE(LEFT(AD156,4))-VALUE(LEFT(AD155,4))</f>
        <v>1</v>
      </c>
      <c r="Y156" s="204">
        <f t="shared" si="126"/>
        <v>23.302099999999999</v>
      </c>
      <c r="Z156" s="204">
        <f t="shared" si="127"/>
        <v>1.3899999999999999E-2</v>
      </c>
      <c r="AA156" s="204">
        <f t="shared" si="89"/>
        <v>23.2882</v>
      </c>
      <c r="AB156" s="54" t="e">
        <f>VLOOKUP(A156,Enforcements!$C$7:$K$11,8,0)</f>
        <v>#N/A</v>
      </c>
      <c r="AC156" s="51" t="e">
        <f>VLOOKUP(A156,Enforcements!$C$7:$E$11,3,0)</f>
        <v>#N/A</v>
      </c>
      <c r="AD156" s="179">
        <f t="shared" si="90"/>
        <v>240</v>
      </c>
      <c r="AE156" s="77" t="str">
        <f t="shared" si="108"/>
        <v>aws s3 cp s3://rtdc.mdm.uploadarchive.raw/RTDC4007/ "%USERPROFILE%\AppData\Local\Temp\OnboardLogs"\RTDC4007\2017-10-06 --exclude "*" --recursive --include "*20171006*" &amp; "%USERPROFILE%\Documents\GitHub\mrs-test-scripts\Headless Mode &amp; Sideloading\WalkAndUnGZ.bat" "%USERPROFILE%\AppData\Local\Temp\OnboardLogs"\RTDC4007\2017-10-06 &amp; aws s3 cp s3://rtdc.mdm.uploadarchive.raw/RTDC4007/ "%USERPROFILE%\AppData\Local\Temp\OnboardLogs"\RTDC4007\2017-10-07 --exclude "*" --recursive --include "*20171007*" &amp; "%USERPROFILE%\Documents\GitHub\mrs-test-scripts\Headless Mode &amp; Sideloading\WalkAndUnGZ.bat" "%USERPROFILE%\AppData\Local\Temp\OnboardLogs"\RTDC4007\2017-10-07</v>
      </c>
      <c r="AF156" s="74" t="str">
        <f t="shared" si="109"/>
        <v>"C:\Program Files (x86)\AstroGrep\AstroGrep.exe" /e /r /s /spath="%USERPROFILE%\AppData\Local\Temp\OnboardLogs" /stypes="app*4007*20171006*" /stext=" 07:.+((SYSTEM_STATE.+slice.+state.+changed )|(ment ac)|(multiple cpu faults)|(system.+state.+changed )|(\[timeout)|(PRM\|1\|D)|(kpr)|(kdp)|(train st.+moving)|(\|lc)|(penalty))"</v>
      </c>
      <c r="AG156" s="182" t="str">
        <f t="shared" si="91"/>
        <v>EC</v>
      </c>
      <c r="AH156" s="78" t="str">
        <f t="shared" si="110"/>
        <v>"%USERPROFILE%\Documents\GitHub\eaglep3\Utilities\RefineRTDCRunTimes.py" --tripid 240-05 --locoid 4007 --swversion DE.1.0.9.0 --startMP 204:233021 --initTime 2017-10-06T00:24:10 --startdatetime 2017-10-06T00:27:18 --delay 68 --endMP 204:139 --enddatetime 2017-10-06T01:05:20 --enforcementcount 0 &gt;&gt;%USERPROFILE%\Documents\GitHub\eaglep3-reporting\EC\2017-10-05-refined-times.txt</v>
      </c>
      <c r="AI156" s="96" t="str">
        <f t="shared" si="111"/>
        <v>echo {"issue":{"subject":"","project_id":79,"tracker_id":40,"status_id":1,"priority_id":2,"assigned_to_id":338,"start_date":"2017-10-06","description":"","custom_fields":[{"id":1,"name":"Subdivision","value":"EC"},{"id":4,"name":"Milepost","value":"0.0139"},{"id":17,"name":"Train ID","value":"240-05"},{"id":16,"name":"Locomotive ID","value":"4007"},{"id":130,"name":"Impact","value":""},{"id":150,"name":"Time of Event (Mountain Time)","value":"01:05:20"},{"id":151,"name":"Denver Issue ID","value":""},{"id":178,"name":"Operational Impact","value":"Yes"},{"id":179,"name":"Denver Segment Assigned","value":""}]}} | curl --insecure -X POST -H "Content-Type: application/json" -H "X-Redmine-API-Key: %REDMINEAPIKEY%" https://secure.xorail.net/redmine/issues.json --data @-</v>
      </c>
      <c r="AK156" s="47"/>
      <c r="AL156" s="47"/>
      <c r="AM156" s="142" t="str">
        <f t="shared" si="112"/>
        <v>start /low /b %USERPROFILE%\Documents\GitHub\eaglep3\Utilities\DownloadLogsFromS3.py --loco 4007 --day 2017-10-06</v>
      </c>
      <c r="AN156" s="151" t="str">
        <f t="shared" si="113"/>
        <v>echo {"issue":{"subject":"","project_id":30,"tracker_id":4,"status_id":1,"priority_id":1,"assigned_to_id":10,"start_date":"2017-10-06","description":"","custom_fields":[{"id":30,"name":"Category","value":"Issue"},{"id":3,"name":"Functional Component","value":"Onboard"},{"id":31,"name":"Version","value":"N/A"},{"id":8,"name":"Reporting RR","value":"WABTEC"},{"id":27,"name":"Locomotive ID","value":"4007"},{"id":20,"name":"RR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07:05:20"},{"id":29,"name":"Sharepoint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56" s="168" t="str">
        <f t="shared" si="114"/>
        <v>https://d0f6bd738d7f1b3e5a7ca70fe4ff75f0.us-east-1.aws.found.io/app/kibana#/discover/Steve-Slow-Train-Analysis-(2080s-and-2083s)?_g=(refreshInterval:(display:Off,pause:!f,section:0,value:0),time:(from:'2017-10-05T23:24:10-0600',mode:absolute,to:'2017-10-06T02:05:20-0600'))&amp;_a=(columns:!('Message%20ID',Summary),filters:!(),index:'emp_*',interval:auto,query:(query_string:(analyze_wildcard:!t,query:'%22rtdc.l.rtdc.4007%22')),sort:!(Time.ISO8601,asc))</v>
      </c>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row>
    <row r="157" spans="1:91" s="20" customFormat="1" x14ac:dyDescent="0.25">
      <c r="A157" s="32" t="s">
        <v>806</v>
      </c>
      <c r="B157" s="7">
        <v>4010</v>
      </c>
      <c r="C157" s="21" t="s">
        <v>194</v>
      </c>
      <c r="D157" s="21" t="s">
        <v>413</v>
      </c>
      <c r="E157" s="13">
        <v>43013.993159722224</v>
      </c>
      <c r="F157" s="13">
        <v>43014.000196759262</v>
      </c>
      <c r="G157" s="7">
        <v>78</v>
      </c>
      <c r="H157" s="21" t="s">
        <v>878</v>
      </c>
      <c r="I157" s="13">
        <v>43014.026030092595</v>
      </c>
      <c r="J157" s="7">
        <v>0</v>
      </c>
      <c r="K157" s="89" t="str">
        <f t="shared" si="82"/>
        <v>4009/4010</v>
      </c>
      <c r="L157" s="185" t="str">
        <f>VLOOKUP(A157,'Trips&amp;Operators'!$C$1:$G$99911,5,FALSE)</f>
        <v>NICHOLSON WESLEY</v>
      </c>
      <c r="M157" s="6">
        <f t="shared" si="83"/>
        <v>2.5833333333139308E-2</v>
      </c>
      <c r="N157" s="7">
        <f t="shared" si="84"/>
        <v>37.199999999720603</v>
      </c>
      <c r="O157" s="7"/>
      <c r="P157" s="7"/>
      <c r="Q157" s="22"/>
      <c r="R157" s="174"/>
      <c r="S157" s="221">
        <f t="shared" si="85"/>
        <v>1</v>
      </c>
      <c r="T157" s="174" t="str">
        <f t="shared" si="86"/>
        <v>NorthBound</v>
      </c>
      <c r="U157" s="198">
        <f>IF(AG157="EC",COUNTIFS(Variables!$M$2:$M$19,IF(T157="NorthBound","&gt;=","&lt;=")&amp;Y157,Variables!$M$2:$M$19,IF(T157="NorthBound","&lt;=","&gt;=")&amp;Z157),COUNTIFS(Variables!$P$2:$P$19,IF(T157="NorthBound","&gt;=","&lt;=")&amp;Y157,Variables!$P$2:$P$19,IF(T157="NorthBound","&lt;=","&gt;=")&amp;Z157))</f>
        <v>12</v>
      </c>
      <c r="V157" s="216" t="str">
        <f t="shared" si="107"/>
        <v>https://d0f6bd738d7f1b3e5a7ca70fe4ff75f0.us-east-1.aws.found.io/app/kibana#/discover/Steve-Slow-Train-Analysis-(2080s-and-2083s)?_g=(refreshInterval:(display:Off,pause:!f,section:0,value:0),time:(from:'2017-10-05T22:50:09-0600',mode:absolute,to:'2017-10-06T01:37:29-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157" s="204" t="str">
        <f>IF(AA157&lt;VLOOKUP(AG157,Variables!$AC$3:$AD$8,2,FALSE),"Y","N")</f>
        <v>N</v>
      </c>
      <c r="X157" s="204">
        <f t="shared" si="128"/>
        <v>1</v>
      </c>
      <c r="Y157" s="204">
        <f t="shared" si="126"/>
        <v>4.6699999999999998E-2</v>
      </c>
      <c r="Z157" s="204">
        <f t="shared" si="127"/>
        <v>23.325099999999999</v>
      </c>
      <c r="AA157" s="204">
        <f t="shared" si="89"/>
        <v>23.278399999999998</v>
      </c>
      <c r="AB157" s="54" t="e">
        <f>VLOOKUP(A157,Enforcements!$C$7:$K$11,8,0)</f>
        <v>#N/A</v>
      </c>
      <c r="AC157" s="51" t="e">
        <f>VLOOKUP(A157,Enforcements!$C$7:$E$11,3,0)</f>
        <v>#N/A</v>
      </c>
      <c r="AD157" s="179">
        <f t="shared" si="90"/>
        <v>241</v>
      </c>
      <c r="AE157" s="77" t="str">
        <f t="shared" si="108"/>
        <v>aws s3 cp s3://rtdc.mdm.uploadarchive.raw/RTDC4010/ "%USERPROFILE%\AppData\Local\Temp\OnboardLogs"\RTDC4010\2017-10-06 --exclude "*" --recursive --include "*20171006*" &amp; "%USERPROFILE%\Documents\GitHub\mrs-test-scripts\Headless Mode &amp; Sideloading\WalkAndUnGZ.bat" "%USERPROFILE%\AppData\Local\Temp\OnboardLogs"\RTDC4010\2017-10-06 &amp; aws s3 cp s3://rtdc.mdm.uploadarchive.raw/RTDC4010/ "%USERPROFILE%\AppData\Local\Temp\OnboardLogs"\RTDC4010\2017-10-07 --exclude "*" --recursive --include "*20171007*" &amp; "%USERPROFILE%\Documents\GitHub\mrs-test-scripts\Headless Mode &amp; Sideloading\WalkAndUnGZ.bat" "%USERPROFILE%\AppData\Local\Temp\OnboardLogs"\RTDC4010\2017-10-07</v>
      </c>
      <c r="AF157" s="74" t="str">
        <f t="shared" si="109"/>
        <v>"C:\Program Files (x86)\AstroGrep\AstroGrep.exe" /e /r /s /spath="%USERPROFILE%\AppData\Local\Temp\OnboardLogs" /stypes="app*4010*20171006*" /stext=" 06:.+((SYSTEM_STATE.+slice.+state.+changed )|(ment ac)|(multiple cpu faults)|(system.+state.+changed )|(\[timeout)|(PRM\|1\|D)|(kpr)|(kdp)|(train st.+moving)|(\|lc)|(penalty))"</v>
      </c>
      <c r="AG157" s="182" t="str">
        <f t="shared" si="91"/>
        <v>EC</v>
      </c>
      <c r="AH157" s="78" t="str">
        <f t="shared" si="110"/>
        <v>"%USERPROFILE%\Documents\GitHub\eaglep3\Utilities\RefineRTDCRunTimes.py" --tripid 241-05 --locoid 4010 --swversion DE.1.0.9.0 --startMP 204:467 --initTime 2017-10-05T23:50:09 --startdatetime 2017-10-06T00:00:17 --delay 78 --endMP 204:233251 --enddatetime 2017-10-06T00:37:29 --enforcementcount 0 &gt;&gt;%USERPROFILE%\Documents\GitHub\eaglep3-reporting\EC\2017-10-05-refined-times.txt</v>
      </c>
      <c r="AI157" s="96" t="str">
        <f t="shared" si="111"/>
        <v>echo {"issue":{"subject":"","project_id":79,"tracker_id":40,"status_id":1,"priority_id":2,"assigned_to_id":338,"start_date":"2017-10-06","description":"","custom_fields":[{"id":1,"name":"Subdivision","value":"EC"},{"id":4,"name":"Milepost","value":"23.3251"},{"id":17,"name":"Train ID","value":"241-05"},{"id":16,"name":"Locomotive ID","value":"4010"},{"id":130,"name":"Impact","value":""},{"id":150,"name":"Time of Event (Mountain Time)","value":"00:37:29"},{"id":151,"name":"Denver Issue ID","value":""},{"id":178,"name":"Operational Impact","value":"Yes"},{"id":179,"name":"Denver Segment Assigned","value":""}]}} | curl --insecure -X POST -H "Content-Type: application/json" -H "X-Redmine-API-Key: %REDMINEAPIKEY%" https://secure.xorail.net/redmine/issues.json --data @-</v>
      </c>
      <c r="AK157" s="47"/>
      <c r="AL157" s="47"/>
      <c r="AM157" s="142" t="str">
        <f t="shared" si="112"/>
        <v>start /low /b %USERPROFILE%\Documents\GitHub\eaglep3\Utilities\DownloadLogsFromS3.py --loco 4010 --day 2017-10-06</v>
      </c>
      <c r="AN157" s="151" t="str">
        <f t="shared" si="113"/>
        <v>echo {"issue":{"subject":"","project_id":30,"tracker_id":4,"status_id":1,"priority_id":1,"assigned_to_id":10,"start_date":"2017-10-06","description":"","custom_fields":[{"id":30,"name":"Category","value":"Issue"},{"id":3,"name":"Functional Component","value":"Onboard"},{"id":31,"name":"Version","value":"N/A"},{"id":8,"name":"Reporting RR","value":"WABTEC"},{"id":27,"name":"Locomotive ID","value":"4010"},{"id":20,"name":"RR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06:37:29"},{"id":29,"name":"Sharepoint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57" s="168" t="str">
        <f t="shared" si="114"/>
        <v>https://d0f6bd738d7f1b3e5a7ca70fe4ff75f0.us-east-1.aws.found.io/app/kibana#/discover/Steve-Slow-Train-Analysis-(2080s-and-2083s)?_g=(refreshInterval:(display:Off,pause:!f,section:0,value:0),time:(from:'2017-10-05T22:50:09-0600',mode:absolute,to:'2017-10-06T01:37:29-0600'))&amp;_a=(columns:!('Message%20ID',Summary),filters:!(),index:'emp_*',interval:auto,query:(query_string:(analyze_wildcard:!t,query:'%22rtdc.l.rtdc.4010%22')),sort:!(Time.ISO8601,asc))</v>
      </c>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row>
    <row r="158" spans="1:91" s="20" customFormat="1" x14ac:dyDescent="0.25">
      <c r="A158" s="32" t="s">
        <v>811</v>
      </c>
      <c r="B158" s="7">
        <v>4009</v>
      </c>
      <c r="C158" s="21" t="s">
        <v>194</v>
      </c>
      <c r="D158" s="21" t="s">
        <v>546</v>
      </c>
      <c r="E158" s="13">
        <v>43014.033715277779</v>
      </c>
      <c r="F158" s="13">
        <v>43014.039907407408</v>
      </c>
      <c r="G158" s="7">
        <v>102</v>
      </c>
      <c r="H158" s="21" t="s">
        <v>337</v>
      </c>
      <c r="I158" s="13">
        <v>43014.067256944443</v>
      </c>
      <c r="J158" s="7">
        <v>0</v>
      </c>
      <c r="K158" s="89" t="str">
        <f t="shared" si="82"/>
        <v>4009/4010</v>
      </c>
      <c r="L158" s="185" t="str">
        <f>VLOOKUP(A158,'Trips&amp;Operators'!$C$1:$G$99911,5,FALSE)</f>
        <v>NICHOLSON WESLEY</v>
      </c>
      <c r="M158" s="6">
        <f t="shared" si="83"/>
        <v>2.7349537034751847E-2</v>
      </c>
      <c r="N158" s="7">
        <f t="shared" si="84"/>
        <v>39.38333333004266</v>
      </c>
      <c r="O158" s="7"/>
      <c r="P158" s="7"/>
      <c r="Q158" s="22"/>
      <c r="R158" s="174"/>
      <c r="S158" s="221">
        <f t="shared" si="85"/>
        <v>1</v>
      </c>
      <c r="T158" s="174" t="str">
        <f t="shared" si="86"/>
        <v>Southbound</v>
      </c>
      <c r="U158" s="198">
        <f>IF(AG158="EC",COUNTIFS(Variables!$M$2:$M$19,IF(T158="NorthBound","&gt;=","&lt;=")&amp;Y158,Variables!$M$2:$M$19,IF(T158="NorthBound","&lt;=","&gt;=")&amp;Z158),COUNTIFS(Variables!$P$2:$P$19,IF(T158="NorthBound","&gt;=","&lt;=")&amp;Y158,Variables!$P$2:$P$19,IF(T158="NorthBound","&lt;=","&gt;=")&amp;Z158))</f>
        <v>12</v>
      </c>
      <c r="V158" s="216" t="str">
        <f t="shared" si="107"/>
        <v>https://d0f6bd738d7f1b3e5a7ca70fe4ff75f0.us-east-1.aws.found.io/app/kibana#/discover/Steve-Slow-Train-Analysis-(2080s-and-2083s)?_g=(refreshInterval:(display:Off,pause:!f,section:0,value:0),time:(from:'2017-10-05T23:48:33-0600',mode:absolute,to:'2017-10-06T02:36:51-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158" s="204" t="str">
        <f>IF(AA158&lt;VLOOKUP(AG158,Variables!$AC$3:$AD$8,2,FALSE),"Y","N")</f>
        <v>N</v>
      </c>
      <c r="X158" s="204">
        <f t="shared" si="128"/>
        <v>1</v>
      </c>
      <c r="Y158" s="204">
        <f t="shared" si="126"/>
        <v>23.296800000000001</v>
      </c>
      <c r="Z158" s="204">
        <f t="shared" si="127"/>
        <v>1.43E-2</v>
      </c>
      <c r="AA158" s="204">
        <f t="shared" si="89"/>
        <v>23.282500000000002</v>
      </c>
      <c r="AB158" s="54" t="e">
        <f>VLOOKUP(A158,Enforcements!$C$7:$K$11,8,0)</f>
        <v>#N/A</v>
      </c>
      <c r="AC158" s="51" t="e">
        <f>VLOOKUP(A158,Enforcements!$C$7:$E$11,3,0)</f>
        <v>#N/A</v>
      </c>
      <c r="AD158" s="179">
        <f t="shared" si="90"/>
        <v>242</v>
      </c>
      <c r="AE158" s="77" t="str">
        <f t="shared" si="108"/>
        <v>aws s3 cp s3://rtdc.mdm.uploadarchive.raw/RTDC4009/ "%USERPROFILE%\AppData\Local\Temp\OnboardLogs"\RTDC4009\2017-10-06 --exclude "*" --recursive --include "*20171006*" &amp; "%USERPROFILE%\Documents\GitHub\mrs-test-scripts\Headless Mode &amp; Sideloading\WalkAndUnGZ.bat" "%USERPROFILE%\AppData\Local\Temp\OnboardLogs"\RTDC4009\2017-10-06 &amp; aws s3 cp s3://rtdc.mdm.uploadarchive.raw/RTDC4009/ "%USERPROFILE%\AppData\Local\Temp\OnboardLogs"\RTDC4009\2017-10-07 --exclude "*" --recursive --include "*20171007*" &amp; "%USERPROFILE%\Documents\GitHub\mrs-test-scripts\Headless Mode &amp; Sideloading\WalkAndUnGZ.bat" "%USERPROFILE%\AppData\Local\Temp\OnboardLogs"\RTDC4009\2017-10-07</v>
      </c>
      <c r="AF158" s="74" t="str">
        <f t="shared" si="109"/>
        <v>"C:\Program Files (x86)\AstroGrep\AstroGrep.exe" /e /r /s /spath="%USERPROFILE%\AppData\Local\Temp\OnboardLogs" /stypes="app*4009*20171006*" /stext=" 07:.+((SYSTEM_STATE.+slice.+state.+changed )|(ment ac)|(multiple cpu faults)|(system.+state.+changed )|(\[timeout)|(PRM\|1\|D)|(kpr)|(kdp)|(train st.+moving)|(\|lc)|(penalty))"</v>
      </c>
      <c r="AG158" s="182" t="str">
        <f t="shared" si="91"/>
        <v>EC</v>
      </c>
      <c r="AH158" s="78" t="str">
        <f t="shared" si="110"/>
        <v>"%USERPROFILE%\Documents\GitHub\eaglep3\Utilities\RefineRTDCRunTimes.py" --tripid 242-05 --locoid 4009 --swversion DE.1.0.9.0 --startMP 204:232968 --initTime 2017-10-06T00:48:33 --startdatetime 2017-10-06T00:57:28 --delay 102 --endMP 204:143 --enddatetime 2017-10-06T01:36:51 --enforcementcount 0 &gt;&gt;%USERPROFILE%\Documents\GitHub\eaglep3-reporting\EC\2017-10-05-refined-times.txt</v>
      </c>
      <c r="AI158" s="96" t="str">
        <f t="shared" si="111"/>
        <v>echo {"issue":{"subject":"","project_id":79,"tracker_id":40,"status_id":1,"priority_id":2,"assigned_to_id":338,"start_date":"2017-10-06","description":"","custom_fields":[{"id":1,"name":"Subdivision","value":"EC"},{"id":4,"name":"Milepost","value":"0.0143"},{"id":17,"name":"Train ID","value":"242-05"},{"id":16,"name":"Locomotive ID","value":"4009"},{"id":130,"name":"Impact","value":""},{"id":150,"name":"Time of Event (Mountain Time)","value":"01:36:51"},{"id":151,"name":"Denver Issue ID","value":""},{"id":178,"name":"Operational Impact","value":"Yes"},{"id":179,"name":"Denver Segment Assigned","value":""}]}} | curl --insecure -X POST -H "Content-Type: application/json" -H "X-Redmine-API-Key: %REDMINEAPIKEY%" https://secure.xorail.net/redmine/issues.json --data @-</v>
      </c>
      <c r="AK158" s="47"/>
      <c r="AL158" s="47"/>
      <c r="AM158" s="142" t="str">
        <f t="shared" si="112"/>
        <v>start /low /b %USERPROFILE%\Documents\GitHub\eaglep3\Utilities\DownloadLogsFromS3.py --loco 4009 --day 2017-10-06</v>
      </c>
      <c r="AN158" s="151" t="str">
        <f t="shared" si="113"/>
        <v>echo {"issue":{"subject":"","project_id":30,"tracker_id":4,"status_id":1,"priority_id":1,"assigned_to_id":10,"start_date":"2017-10-06","description":"","custom_fields":[{"id":30,"name":"Category","value":"Issue"},{"id":3,"name":"Functional Component","value":"Onboard"},{"id":31,"name":"Version","value":"N/A"},{"id":8,"name":"Reporting RR","value":"WABTEC"},{"id":27,"name":"Locomotive ID","value":"4009"},{"id":20,"name":"RR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07:36:51"},{"id":29,"name":"Sharepoint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58" s="168" t="str">
        <f t="shared" si="114"/>
        <v>https://d0f6bd738d7f1b3e5a7ca70fe4ff75f0.us-east-1.aws.found.io/app/kibana#/discover/Steve-Slow-Train-Analysis-(2080s-and-2083s)?_g=(refreshInterval:(display:Off,pause:!f,section:0,value:0),time:(from:'2017-10-05T23:48:33-0600',mode:absolute,to:'2017-10-06T02:36:51-0600'))&amp;_a=(columns:!('Message%20ID',Summary),filters:!(),index:'emp_*',interval:auto,query:(query_string:(analyze_wildcard:!t,query:'%22rtdc.l.rtdc.4009%22')),sort:!(Time.ISO8601,asc))</v>
      </c>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row>
    <row r="159" spans="1:91" s="20" customFormat="1" x14ac:dyDescent="0.25">
      <c r="A159" s="32" t="s">
        <v>808</v>
      </c>
      <c r="B159" s="7">
        <v>4028</v>
      </c>
      <c r="C159" s="21" t="s">
        <v>194</v>
      </c>
      <c r="D159" s="21" t="s">
        <v>405</v>
      </c>
      <c r="E159" s="13">
        <v>43014.0158912037</v>
      </c>
      <c r="F159" s="13">
        <v>43014.020983796298</v>
      </c>
      <c r="G159" s="7">
        <v>57</v>
      </c>
      <c r="H159" s="21" t="s">
        <v>459</v>
      </c>
      <c r="I159" s="13">
        <v>43014.045069444444</v>
      </c>
      <c r="J159" s="7">
        <v>0</v>
      </c>
      <c r="K159" s="89" t="str">
        <f t="shared" ref="K159:K190" si="129">IF(ISEVEN(B159),(B159-1)&amp;"/"&amp;B159,B159&amp;"/"&amp;(B159+1))</f>
        <v>4027/4028</v>
      </c>
      <c r="L159" s="185" t="str">
        <f>VLOOKUP(A159,'Trips&amp;Operators'!$C$1:$G$99911,5,FALSE)</f>
        <v>MCREYNOLDS KYLE</v>
      </c>
      <c r="M159" s="6">
        <f t="shared" ref="M159:M190" si="130">I159-F159</f>
        <v>2.4085648146865424E-2</v>
      </c>
      <c r="N159" s="7">
        <f t="shared" si="84"/>
        <v>34.68333333148621</v>
      </c>
      <c r="O159" s="7"/>
      <c r="P159" s="7"/>
      <c r="Q159" s="22"/>
      <c r="R159" s="174"/>
      <c r="S159" s="221">
        <f t="shared" ref="S159:S180" si="131">1/IF(AG159="EC",12,1)*SUM(U159:U159)</f>
        <v>1</v>
      </c>
      <c r="T159" s="174" t="str">
        <f t="shared" ref="T159:T190" si="132">IF(ISEVEN(LEFT(AD159,4)),"Southbound","NorthBound")</f>
        <v>NorthBound</v>
      </c>
      <c r="U159" s="198">
        <f>IF(AG159="EC",COUNTIFS(Variables!$M$2:$M$19,IF(T159="NorthBound","&gt;=","&lt;=")&amp;Y159,Variables!$M$2:$M$19,IF(T159="NorthBound","&lt;=","&gt;=")&amp;Z159),COUNTIFS(Variables!$P$2:$P$19,IF(T159="NorthBound","&gt;=","&lt;=")&amp;Y159,Variables!$P$2:$P$19,IF(T159="NorthBound","&lt;=","&gt;=")&amp;Z159))</f>
        <v>12</v>
      </c>
      <c r="V159" s="216" t="str">
        <f t="shared" si="107"/>
        <v>https://d0f6bd738d7f1b3e5a7ca70fe4ff75f0.us-east-1.aws.found.io/app/kibana#/discover/Steve-Slow-Train-Analysis-(2080s-and-2083s)?_g=(refreshInterval:(display:Off,pause:!f,section:0,value:0),time:(from:'2017-10-05T23:22:53-0600',mode:absolute,to:'2017-10-06T02:04:54-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159" s="204" t="str">
        <f>IF(AA159&lt;VLOOKUP(AG159,Variables!$AC$3:$AD$8,2,FALSE),"Y","N")</f>
        <v>N</v>
      </c>
      <c r="X159" s="204">
        <f t="shared" si="128"/>
        <v>1</v>
      </c>
      <c r="Y159" s="204">
        <f t="shared" si="126"/>
        <v>4.4400000000000002E-2</v>
      </c>
      <c r="Z159" s="204">
        <f t="shared" si="127"/>
        <v>23.330300000000001</v>
      </c>
      <c r="AA159" s="204">
        <f t="shared" ref="AA159:AA190" si="133">ABS(Z159-Y159)</f>
        <v>23.285900000000002</v>
      </c>
      <c r="AB159" s="54" t="e">
        <f>VLOOKUP(A159,Enforcements!$C$7:$K$11,8,0)</f>
        <v>#N/A</v>
      </c>
      <c r="AC159" s="51" t="e">
        <f>VLOOKUP(A159,Enforcements!$C$7:$E$11,3,0)</f>
        <v>#N/A</v>
      </c>
      <c r="AD159" s="179">
        <f t="shared" ref="AD159:AD190" si="134">VALUE(LEFT(A159,LEN(A159)-3))</f>
        <v>243</v>
      </c>
      <c r="AE159" s="77" t="str">
        <f t="shared" si="108"/>
        <v>aws s3 cp s3://rtdc.mdm.uploadarchive.raw/RTDC4028/ "%USERPROFILE%\AppData\Local\Temp\OnboardLogs"\RTDC4028\2017-10-06 --exclude "*" --recursive --include "*20171006*" &amp; "%USERPROFILE%\Documents\GitHub\mrs-test-scripts\Headless Mode &amp; Sideloading\WalkAndUnGZ.bat" "%USERPROFILE%\AppData\Local\Temp\OnboardLogs"\RTDC4028\2017-10-06 &amp; aws s3 cp s3://rtdc.mdm.uploadarchive.raw/RTDC4028/ "%USERPROFILE%\AppData\Local\Temp\OnboardLogs"\RTDC4028\2017-10-07 --exclude "*" --recursive --include "*20171007*" &amp; "%USERPROFILE%\Documents\GitHub\mrs-test-scripts\Headless Mode &amp; Sideloading\WalkAndUnGZ.bat" "%USERPROFILE%\AppData\Local\Temp\OnboardLogs"\RTDC4028\2017-10-07</v>
      </c>
      <c r="AF159" s="74" t="str">
        <f t="shared" si="109"/>
        <v>"C:\Program Files (x86)\AstroGrep\AstroGrep.exe" /e /r /s /spath="%USERPROFILE%\AppData\Local\Temp\OnboardLogs" /stypes="app*4028*20171006*" /stext=" 07:.+((SYSTEM_STATE.+slice.+state.+changed )|(ment ac)|(multiple cpu faults)|(system.+state.+changed )|(\[timeout)|(PRM\|1\|D)|(kpr)|(kdp)|(train st.+moving)|(\|lc)|(penalty))"</v>
      </c>
      <c r="AG159" s="182" t="str">
        <f t="shared" ref="AG159:AG190" si="135">DetSubdiv(A159)</f>
        <v>EC</v>
      </c>
      <c r="AH159" s="78" t="str">
        <f t="shared" si="110"/>
        <v>"%USERPROFILE%\Documents\GitHub\eaglep3\Utilities\RefineRTDCRunTimes.py" --tripid 243-05 --locoid 4028 --swversion DE.1.0.9.0 --startMP 204:444 --initTime 2017-10-06T00:22:53 --startdatetime 2017-10-06T00:30:13 --delay 57 --endMP 204:233303 --enddatetime 2017-10-06T01:04:54 --enforcementcount 0 &gt;&gt;%USERPROFILE%\Documents\GitHub\eaglep3-reporting\EC\2017-10-05-refined-times.txt</v>
      </c>
      <c r="AI159" s="96" t="str">
        <f t="shared" si="111"/>
        <v>echo {"issue":{"subject":"","project_id":79,"tracker_id":40,"status_id":1,"priority_id":2,"assigned_to_id":338,"start_date":"2017-10-06","description":"","custom_fields":[{"id":1,"name":"Subdivision","value":"EC"},{"id":4,"name":"Milepost","value":"23.3303"},{"id":17,"name":"Train ID","value":"243-05"},{"id":16,"name":"Locomotive ID","value":"4028"},{"id":130,"name":"Impact","value":""},{"id":150,"name":"Time of Event (Mountain Time)","value":"01:04:54"},{"id":151,"name":"Denver Issue ID","value":""},{"id":178,"name":"Operational Impact","value":"Yes"},{"id":179,"name":"Denver Segment Assigned","value":""}]}} | curl --insecure -X POST -H "Content-Type: application/json" -H "X-Redmine-API-Key: %REDMINEAPIKEY%" https://secure.xorail.net/redmine/issues.json --data @-</v>
      </c>
      <c r="AK159" s="47"/>
      <c r="AL159" s="47"/>
      <c r="AM159" s="142" t="str">
        <f t="shared" si="112"/>
        <v>start /low /b %USERPROFILE%\Documents\GitHub\eaglep3\Utilities\DownloadLogsFromS3.py --loco 4028 --day 2017-10-06</v>
      </c>
      <c r="AN159" s="151" t="str">
        <f t="shared" si="113"/>
        <v>echo {"issue":{"subject":"","project_id":30,"tracker_id":4,"status_id":1,"priority_id":1,"assigned_to_id":10,"start_date":"2017-10-06","description":"","custom_fields":[{"id":30,"name":"Category","value":"Issue"},{"id":3,"name":"Functional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07:04:54"},{"id":29,"name":"Sharepoint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59" s="168" t="str">
        <f t="shared" si="114"/>
        <v>https://d0f6bd738d7f1b3e5a7ca70fe4ff75f0.us-east-1.aws.found.io/app/kibana#/discover/Steve-Slow-Train-Analysis-(2080s-and-2083s)?_g=(refreshInterval:(display:Off,pause:!f,section:0,value:0),time:(from:'2017-10-05T23:22:53-0600',mode:absolute,to:'2017-10-06T02:04:54-0600'))&amp;_a=(columns:!('Message%20ID',Summary),filters:!(),index:'emp_*',interval:auto,query:(query_string:(analyze_wildcard:!t,query:'%22rtdc.l.rtdc.4028%22')),sort:!(Time.ISO8601,asc))</v>
      </c>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row>
    <row r="160" spans="1:91" s="20" customFormat="1" x14ac:dyDescent="0.25">
      <c r="A160" s="32" t="s">
        <v>813</v>
      </c>
      <c r="B160" s="7">
        <v>4027</v>
      </c>
      <c r="C160" s="21" t="s">
        <v>194</v>
      </c>
      <c r="D160" s="21" t="s">
        <v>543</v>
      </c>
      <c r="E160" s="13">
        <v>43014.055185185185</v>
      </c>
      <c r="F160" s="13">
        <v>43014.060729166667</v>
      </c>
      <c r="G160" s="7">
        <v>51</v>
      </c>
      <c r="H160" s="21" t="s">
        <v>361</v>
      </c>
      <c r="I160" s="13">
        <v>43014.085925925923</v>
      </c>
      <c r="J160" s="7">
        <v>0</v>
      </c>
      <c r="K160" s="89" t="str">
        <f t="shared" si="129"/>
        <v>4027/4028</v>
      </c>
      <c r="L160" s="185" t="str">
        <f>VLOOKUP(A160,'Trips&amp;Operators'!$C$1:$G$99911,5,FALSE)</f>
        <v>MCREYNOLDS KYLE</v>
      </c>
      <c r="M160" s="6">
        <f t="shared" si="130"/>
        <v>2.5196759255777579E-2</v>
      </c>
      <c r="N160" s="7">
        <f t="shared" si="84"/>
        <v>36.283333328319713</v>
      </c>
      <c r="O160" s="7"/>
      <c r="P160" s="7"/>
      <c r="Q160" s="22"/>
      <c r="R160" s="174"/>
      <c r="S160" s="221">
        <f t="shared" si="131"/>
        <v>1</v>
      </c>
      <c r="T160" s="174" t="str">
        <f t="shared" si="132"/>
        <v>Southbound</v>
      </c>
      <c r="U160" s="198">
        <f>IF(AG160="EC",COUNTIFS(Variables!$M$2:$M$19,IF(T160="NorthBound","&gt;=","&lt;=")&amp;Y160,Variables!$M$2:$M$19,IF(T160="NorthBound","&lt;=","&gt;=")&amp;Z160),COUNTIFS(Variables!$P$2:$P$19,IF(T160="NorthBound","&gt;=","&lt;=")&amp;Y160,Variables!$P$2:$P$19,IF(T160="NorthBound","&lt;=","&gt;=")&amp;Z160))</f>
        <v>12</v>
      </c>
      <c r="V160" s="216" t="str">
        <f t="shared" si="107"/>
        <v>https://d0f6bd738d7f1b3e5a7ca70fe4ff75f0.us-east-1.aws.found.io/app/kibana#/discover/Steve-Slow-Train-Analysis-(2080s-and-2083s)?_g=(refreshInterval:(display:Off,pause:!f,section:0,value:0),time:(from:'2017-10-06T00:19:28-0600',mode:absolute,to:'2017-10-06T03:03:44-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160" s="204" t="str">
        <f>IF(AA160&lt;VLOOKUP(AG160,Variables!$AC$3:$AD$8,2,FALSE),"Y","N")</f>
        <v>N</v>
      </c>
      <c r="X160" s="204">
        <f t="shared" si="128"/>
        <v>1</v>
      </c>
      <c r="Y160" s="204">
        <f t="shared" si="126"/>
        <v>23.2988</v>
      </c>
      <c r="Z160" s="204">
        <f t="shared" si="127"/>
        <v>1.5599999999999999E-2</v>
      </c>
      <c r="AA160" s="204">
        <f t="shared" si="133"/>
        <v>23.283200000000001</v>
      </c>
      <c r="AB160" s="54" t="e">
        <f>VLOOKUP(A160,Enforcements!$C$7:$K$11,8,0)</f>
        <v>#N/A</v>
      </c>
      <c r="AC160" s="51" t="e">
        <f>VLOOKUP(A160,Enforcements!$C$7:$E$11,3,0)</f>
        <v>#N/A</v>
      </c>
      <c r="AD160" s="179">
        <f t="shared" si="134"/>
        <v>244</v>
      </c>
      <c r="AE160" s="77" t="str">
        <f t="shared" si="108"/>
        <v>aws s3 cp s3://rtdc.mdm.uploadarchive.raw/RTDC4027/ "%USERPROFILE%\AppData\Local\Temp\OnboardLogs"\RTDC4027\2017-10-06 --exclude "*" --recursive --include "*20171006*" &amp; "%USERPROFILE%\Documents\GitHub\mrs-test-scripts\Headless Mode &amp; Sideloading\WalkAndUnGZ.bat" "%USERPROFILE%\AppData\Local\Temp\OnboardLogs"\RTDC4027\2017-10-06 &amp; aws s3 cp s3://rtdc.mdm.uploadarchive.raw/RTDC4027/ "%USERPROFILE%\AppData\Local\Temp\OnboardLogs"\RTDC4027\2017-10-07 --exclude "*" --recursive --include "*20171007*" &amp; "%USERPROFILE%\Documents\GitHub\mrs-test-scripts\Headless Mode &amp; Sideloading\WalkAndUnGZ.bat" "%USERPROFILE%\AppData\Local\Temp\OnboardLogs"\RTDC4027\2017-10-07</v>
      </c>
      <c r="AF160" s="74" t="str">
        <f t="shared" si="109"/>
        <v>"C:\Program Files (x86)\AstroGrep\AstroGrep.exe" /e /r /s /spath="%USERPROFILE%\AppData\Local\Temp\OnboardLogs" /stypes="app*4027*20171006*" /stext=" 08:.+((SYSTEM_STATE.+slice.+state.+changed )|(ment ac)|(multiple cpu faults)|(system.+state.+changed )|(\[timeout)|(PRM\|1\|D)|(kpr)|(kdp)|(train st.+moving)|(\|lc)|(penalty))"</v>
      </c>
      <c r="AG160" s="182" t="str">
        <f t="shared" si="135"/>
        <v>EC</v>
      </c>
      <c r="AH160" s="78" t="str">
        <f t="shared" si="110"/>
        <v>"%USERPROFILE%\Documents\GitHub\eaglep3\Utilities\RefineRTDCRunTimes.py" --tripid 244-05 --locoid 4027 --swversion DE.1.0.9.0 --startMP 204:232988 --initTime 2017-10-06T01:19:28 --startdatetime 2017-10-06T01:27:27 --delay 51 --endMP 204:156 --enddatetime 2017-10-06T02:03:44 --enforcementcount 0 &gt;&gt;%USERPROFILE%\Documents\GitHub\eaglep3-reporting\EC\2017-10-05-refined-times.txt</v>
      </c>
      <c r="AI160" s="96" t="str">
        <f t="shared" si="111"/>
        <v>echo {"issue":{"subject":"","project_id":79,"tracker_id":40,"status_id":1,"priority_id":2,"assigned_to_id":338,"start_date":"2017-10-06","description":"","custom_fields":[{"id":1,"name":"Subdivision","value":"EC"},{"id":4,"name":"Milepost","value":"0.0156"},{"id":17,"name":"Train ID","value":"244-05"},{"id":16,"name":"Locomotive ID","value":"4027"},{"id":130,"name":"Impact","value":""},{"id":150,"name":"Time of Event (Mountain Time)","value":"02:03:44"},{"id":151,"name":"Denver Issue ID","value":""},{"id":178,"name":"Operational Impact","value":"Yes"},{"id":179,"name":"Denver Segment Assigned","value":""}]}} | curl --insecure -X POST -H "Content-Type: application/json" -H "X-Redmine-API-Key: %REDMINEAPIKEY%" https://secure.xorail.net/redmine/issues.json --data @-</v>
      </c>
      <c r="AK160" s="47"/>
      <c r="AL160" s="47"/>
      <c r="AM160" s="142" t="str">
        <f t="shared" si="112"/>
        <v>start /low /b %USERPROFILE%\Documents\GitHub\eaglep3\Utilities\DownloadLogsFromS3.py --loco 4027 --day 2017-10-06</v>
      </c>
      <c r="AN160" s="151" t="str">
        <f t="shared" si="113"/>
        <v>echo {"issue":{"subject":"","project_id":30,"tracker_id":4,"status_id":1,"priority_id":1,"assigned_to_id":10,"start_date":"2017-10-06","description":"","custom_fields":[{"id":30,"name":"Category","value":"Issue"},{"id":3,"name":"Functional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08:03:44"},{"id":29,"name":"Sharepoint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60" s="168" t="str">
        <f t="shared" si="114"/>
        <v>https://d0f6bd738d7f1b3e5a7ca70fe4ff75f0.us-east-1.aws.found.io/app/kibana#/discover/Steve-Slow-Train-Analysis-(2080s-and-2083s)?_g=(refreshInterval:(display:Off,pause:!f,section:0,value:0),time:(from:'2017-10-06T00:19:28-0600',mode:absolute,to:'2017-10-06T03:03:44-0600'))&amp;_a=(columns:!('Message%20ID',Summary),filters:!(),index:'emp_*',interval:auto,query:(query_string:(analyze_wildcard:!t,query:'%22rtdc.l.rtdc.4027%22')),sort:!(Time.ISO8601,asc))</v>
      </c>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row>
    <row r="161" spans="1:91" s="20" customFormat="1" x14ac:dyDescent="0.25">
      <c r="A161" s="32" t="s">
        <v>577</v>
      </c>
      <c r="B161" s="7">
        <v>4001</v>
      </c>
      <c r="C161" s="21" t="s">
        <v>194</v>
      </c>
      <c r="D161" s="21" t="s">
        <v>919</v>
      </c>
      <c r="E161" s="13">
        <v>43013.216689814813</v>
      </c>
      <c r="F161" s="13">
        <v>43013.217997685184</v>
      </c>
      <c r="G161" s="7">
        <v>61</v>
      </c>
      <c r="H161" s="21" t="s">
        <v>920</v>
      </c>
      <c r="I161" s="13">
        <v>43013.227569444447</v>
      </c>
      <c r="J161" s="7">
        <v>0</v>
      </c>
      <c r="K161" s="89" t="str">
        <f t="shared" si="129"/>
        <v>4001/4002</v>
      </c>
      <c r="L161" s="185" t="str">
        <f>VLOOKUP(A161,'Trips&amp;Operators'!$C$1:$G$99911,5,FALSE)</f>
        <v>DAVIS WENDY</v>
      </c>
      <c r="M161" s="6">
        <f t="shared" si="130"/>
        <v>9.5717592630535364E-3</v>
      </c>
      <c r="N161" s="7">
        <f t="shared" si="84"/>
        <v>13.783333338797092</v>
      </c>
      <c r="O161" s="7"/>
      <c r="P161" s="7"/>
      <c r="Q161" s="22"/>
      <c r="R161" s="174"/>
      <c r="S161" s="221">
        <f t="shared" si="131"/>
        <v>1</v>
      </c>
      <c r="T161" s="174" t="str">
        <f t="shared" si="132"/>
        <v>Southbound</v>
      </c>
      <c r="U161" s="198">
        <f>IF(AG161="EC",COUNTIFS(Variables!$M$2:$M$19,IF(T161="NorthBound","&gt;=","&lt;=")&amp;Y161,Variables!$M$2:$M$19,IF(T161="NorthBound","&lt;=","&gt;=")&amp;Z161),COUNTIFS(Variables!$P$2:$P$19,IF(T161="NorthBound","&gt;=","&lt;=")&amp;Y161,Variables!$P$2:$P$19,IF(T161="NorthBound","&lt;=","&gt;=")&amp;Z161))</f>
        <v>1</v>
      </c>
      <c r="V161" s="216" t="str">
        <f t="shared" si="107"/>
        <v>https://d0f6bd738d7f1b3e5a7ca70fe4ff75f0.us-east-1.aws.found.io/app/kibana#/discover/Steve-Slow-Train-Analysis-(2080s-and-2083s)?_g=(refreshInterval:(display:Off,pause:!f,section:0,value:0),time:(from:'2017-10-05T04:12:02-0600',mode:absolute,to:'2017-10-05T06:27:42-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W161" s="204" t="str">
        <f>IF(AA161&lt;VLOOKUP(AG161,Variables!$AC$3:$AD$8,2,FALSE),"Y","N")</f>
        <v>N</v>
      </c>
      <c r="X161" s="204">
        <f t="shared" si="128"/>
        <v>556</v>
      </c>
      <c r="Y161" s="204">
        <f t="shared" si="126"/>
        <v>5.8701999999999996</v>
      </c>
      <c r="Z161" s="204">
        <f t="shared" si="127"/>
        <v>6.3600000000000004E-2</v>
      </c>
      <c r="AA161" s="204">
        <f t="shared" si="133"/>
        <v>5.8065999999999995</v>
      </c>
      <c r="AB161" s="54" t="e">
        <f>VLOOKUP(A161,Enforcements!$C$7:$K$11,8,0)</f>
        <v>#N/A</v>
      </c>
      <c r="AC161" s="51" t="e">
        <f>VLOOKUP(A161,Enforcements!$C$7:$E$11,3,0)</f>
        <v>#N/A</v>
      </c>
      <c r="AD161" s="179">
        <f t="shared" si="134"/>
        <v>800</v>
      </c>
      <c r="AE161" s="77" t="str">
        <f t="shared" si="108"/>
        <v>aws s3 cp s3://rtdc.mdm.uploadarchive.raw/RTDC4001/ "%USERPROFILE%\AppData\Local\Temp\OnboardLogs"\RTDC4001\2017-10-05 --exclude "*" --recursive --include "*20171005*" &amp; "%USERPROFILE%\Documents\GitHub\mrs-test-scripts\Headless Mode &amp; Sideloading\WalkAndUnGZ.bat" "%USERPROFILE%\AppData\Local\Temp\OnboardLogs"\RTDC4001\2017-10-05 &amp; aws s3 cp s3://rtdc.mdm.uploadarchive.raw/RTDC4001/ "%USERPROFILE%\AppData\Local\Temp\OnboardLogs"\RTDC4001\2017-10-06 --exclude "*" --recursive --include "*20171006*" &amp; "%USERPROFILE%\Documents\GitHub\mrs-test-scripts\Headless Mode &amp; Sideloading\WalkAndUnGZ.bat" "%USERPROFILE%\AppData\Local\Temp\OnboardLogs"\RTDC4001\2017-10-06</v>
      </c>
      <c r="AF161" s="74" t="str">
        <f t="shared" si="109"/>
        <v>"C:\Program Files (x86)\AstroGrep\AstroGrep.exe" /e /r /s /spath="%USERPROFILE%\AppData\Local\Temp\OnboardLogs" /stypes="app*4001*20171005*" /stext=" 11:.+((SYSTEM_STATE.+slice.+state.+changed )|(ment ac)|(multiple cpu faults)|(system.+state.+changed )|(\[timeout)|(PRM\|1\|D)|(kpr)|(kdp)|(train st.+moving)|(\|lc)|(penalty))"</v>
      </c>
      <c r="AG161" s="182" t="str">
        <f t="shared" si="135"/>
        <v>NW</v>
      </c>
      <c r="AH161" s="78" t="str">
        <f t="shared" si="110"/>
        <v>"%USERPROFILE%\Documents\GitHub\eaglep3\Utilities\RefineRTDCRunTimes.py" --tripid 800-05 --locoid 4001 --swversion DE.1.0.9.0 --startMP 300:58702 --initTime 2017-10-05T05:12:02 --startdatetime 2017-10-05T05:13:55 --delay 61 --endMP 204:636 --enddatetime 2017-10-05T05:27:42 --enforcementcount 0 &gt;&gt;%USERPROFILE%\Documents\GitHub\eaglep3-reporting\EC\2017-10-05-refined-times.txt</v>
      </c>
      <c r="AI161" s="96" t="str">
        <f t="shared" si="111"/>
        <v>echo {"issue":{"subject":"","project_id":79,"tracker_id":40,"status_id":1,"priority_id":2,"assigned_to_id":338,"start_date":"2017-10-05","description":"","custom_fields":[{"id":1,"name":"Subdivision","value":"NW"},{"id":4,"name":"Milepost","value":"0.0636"},{"id":17,"name":"Train ID","value":"800-05"},{"id":16,"name":"Locomotive ID","value":"4001"},{"id":130,"name":"Impact","value":""},{"id":150,"name":"Time of Event (Mountain Time)","value":"05:27:42"},{"id":151,"name":"Denver Issue ID","value":""},{"id":178,"name":"Operational Impact","value":"Yes"},{"id":179,"name":"Denver Segment Assigned","value":""}]}} | curl --insecure -X POST -H "Content-Type: application/json" -H "X-Redmine-API-Key: %REDMINEAPIKEY%" https://secure.xorail.net/redmine/issues.json --data @-</v>
      </c>
      <c r="AK161" s="47"/>
      <c r="AL161" s="47"/>
      <c r="AM161" s="142" t="str">
        <f t="shared" si="112"/>
        <v>start /low /b %USERPROFILE%\Documents\GitHub\eaglep3\Utilities\DownloadLogsFromS3.py --loco 4001 --day 2017-10-05</v>
      </c>
      <c r="AN161" s="151" t="str">
        <f t="shared" si="113"/>
        <v>echo {"issue":{"subject":"","project_id":30,"tracker_id":4,"status_id":1,"priority_id":1,"assigned_to_id":10,"start_date":"2017-10-05","description":"","custom_fields":[{"id":30,"name":"Category","value":"Issue"},{"id":3,"name":"Functional Component","value":"Onboard"},{"id":31,"name":"Version","value":"N/A"},{"id":8,"name":"Reporting RR","value":"WABTEC"},{"id":27,"name":"Locomotive ID","value":"4001"},{"id":20,"name":"RR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11:27:42"},{"id":29,"name":"Sharepoint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61" s="168" t="str">
        <f t="shared" si="114"/>
        <v>https://d0f6bd738d7f1b3e5a7ca70fe4ff75f0.us-east-1.aws.found.io/app/kibana#/discover/Steve-Slow-Train-Analysis-(2080s-and-2083s)?_g=(refreshInterval:(display:Off,pause:!f,section:0,value:0),time:(from:'2017-10-05T04:12:02-0600',mode:absolute,to:'2017-10-05T06:27:42-0600'))&amp;_a=(columns:!('Message%20ID',Summary),filters:!(),index:'emp_*',interval:auto,query:(query_string:(analyze_wildcard:!t,query:'%22rtdc.l.rtdc.4001%22')),sort:!(Time.ISO8601,asc))</v>
      </c>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row>
    <row r="162" spans="1:91" s="20" customFormat="1" x14ac:dyDescent="0.25">
      <c r="A162" s="32" t="s">
        <v>578</v>
      </c>
      <c r="B162" s="7">
        <v>4002</v>
      </c>
      <c r="C162" s="21" t="s">
        <v>194</v>
      </c>
      <c r="D162" s="21" t="s">
        <v>556</v>
      </c>
      <c r="E162" s="13">
        <v>43013.231168981481</v>
      </c>
      <c r="F162" s="13">
        <v>43013.235590277778</v>
      </c>
      <c r="G162" s="7">
        <v>70</v>
      </c>
      <c r="H162" s="21" t="s">
        <v>921</v>
      </c>
      <c r="I162" s="13">
        <v>43013.246076388888</v>
      </c>
      <c r="J162" s="7">
        <v>0</v>
      </c>
      <c r="K162" s="89" t="str">
        <f t="shared" si="129"/>
        <v>4001/4002</v>
      </c>
      <c r="L162" s="185" t="str">
        <f>VLOOKUP(A162,'Trips&amp;Operators'!$C$1:$G$99911,5,FALSE)</f>
        <v>DAVIS WENDY</v>
      </c>
      <c r="M162" s="6">
        <f t="shared" si="130"/>
        <v>1.0486111110367347E-2</v>
      </c>
      <c r="N162" s="7">
        <f t="shared" si="84"/>
        <v>15.099999998928979</v>
      </c>
      <c r="O162" s="7"/>
      <c r="P162" s="7"/>
      <c r="Q162" s="22"/>
      <c r="R162" s="174"/>
      <c r="S162" s="221">
        <f t="shared" si="131"/>
        <v>1</v>
      </c>
      <c r="T162" s="174" t="str">
        <f t="shared" si="132"/>
        <v>NorthBound</v>
      </c>
      <c r="U162" s="198">
        <f>IF(AG162="EC",COUNTIFS(Variables!$M$2:$M$19,IF(T162="NorthBound","&gt;=","&lt;=")&amp;Y162,Variables!$M$2:$M$19,IF(T162="NorthBound","&lt;=","&gt;=")&amp;Z162),COUNTIFS(Variables!$P$2:$P$19,IF(T162="NorthBound","&gt;=","&lt;=")&amp;Y162,Variables!$P$2:$P$19,IF(T162="NorthBound","&lt;=","&gt;=")&amp;Z162))</f>
        <v>1</v>
      </c>
      <c r="V162" s="216" t="str">
        <f t="shared" si="107"/>
        <v>https://d0f6bd738d7f1b3e5a7ca70fe4ff75f0.us-east-1.aws.found.io/app/kibana#/discover/Steve-Slow-Train-Analysis-(2080s-and-2083s)?_g=(refreshInterval:(display:Off,pause:!f,section:0,value:0),time:(from:'2017-10-05T04:32:53-0600',mode:absolute,to:'2017-10-05T06:54:21-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W162" s="204" t="str">
        <f>IF(AA162&lt;VLOOKUP(AG162,Variables!$AC$3:$AD$8,2,FALSE),"Y","N")</f>
        <v>N</v>
      </c>
      <c r="X162" s="204">
        <f t="shared" si="128"/>
        <v>1</v>
      </c>
      <c r="Y162" s="204">
        <f t="shared" si="126"/>
        <v>9.3600000000000003E-2</v>
      </c>
      <c r="Z162" s="204">
        <f t="shared" si="127"/>
        <v>5.9016000000000002</v>
      </c>
      <c r="AA162" s="204">
        <f t="shared" si="133"/>
        <v>5.8079999999999998</v>
      </c>
      <c r="AB162" s="54" t="e">
        <f>VLOOKUP(A162,Enforcements!$C$7:$K$11,8,0)</f>
        <v>#N/A</v>
      </c>
      <c r="AC162" s="51" t="e">
        <f>VLOOKUP(A162,Enforcements!$C$7:$E$11,3,0)</f>
        <v>#N/A</v>
      </c>
      <c r="AD162" s="179">
        <f t="shared" si="134"/>
        <v>801</v>
      </c>
      <c r="AE162" s="77" t="str">
        <f t="shared" si="108"/>
        <v>aws s3 cp s3://rtdc.mdm.uploadarchive.raw/RTDC4002/ "%USERPROFILE%\AppData\Local\Temp\OnboardLogs"\RTDC4002\2017-10-05 --exclude "*" --recursive --include "*20171005*" &amp; "%USERPROFILE%\Documents\GitHub\mrs-test-scripts\Headless Mode &amp; Sideloading\WalkAndUnGZ.bat" "%USERPROFILE%\AppData\Local\Temp\OnboardLogs"\RTDC4002\2017-10-05 &amp; aws s3 cp s3://rtdc.mdm.uploadarchive.raw/RTDC4002/ "%USERPROFILE%\AppData\Local\Temp\OnboardLogs"\RTDC4002\2017-10-06 --exclude "*" --recursive --include "*20171006*" &amp; "%USERPROFILE%\Documents\GitHub\mrs-test-scripts\Headless Mode &amp; Sideloading\WalkAndUnGZ.bat" "%USERPROFILE%\AppData\Local\Temp\OnboardLogs"\RTDC4002\2017-10-06</v>
      </c>
      <c r="AF162" s="74" t="str">
        <f t="shared" si="109"/>
        <v>"C:\Program Files (x86)\AstroGrep\AstroGrep.exe" /e /r /s /spath="%USERPROFILE%\AppData\Local\Temp\OnboardLogs" /stypes="app*4002*20171005*" /stext=" 11:.+((SYSTEM_STATE.+slice.+state.+changed )|(ment ac)|(multiple cpu faults)|(system.+state.+changed )|(\[timeout)|(PRM\|1\|D)|(kpr)|(kdp)|(train st.+moving)|(\|lc)|(penalty))"</v>
      </c>
      <c r="AG162" s="182" t="str">
        <f t="shared" si="135"/>
        <v>NW</v>
      </c>
      <c r="AH162" s="78" t="str">
        <f t="shared" si="110"/>
        <v>"%USERPROFILE%\Documents\GitHub\eaglep3\Utilities\RefineRTDCRunTimes.py" --tripid 801-05 --locoid 4002 --swversion DE.1.0.9.0 --startMP 204:936 --initTime 2017-10-05T05:32:53 --startdatetime 2017-10-05T05:39:15 --delay 70 --endMP 300:59016 --enddatetime 2017-10-05T05:54:21 --enforcementcount 0 &gt;&gt;%USERPROFILE%\Documents\GitHub\eaglep3-reporting\EC\2017-10-05-refined-times.txt</v>
      </c>
      <c r="AI162" s="96" t="str">
        <f t="shared" si="111"/>
        <v>echo {"issue":{"subject":"","project_id":79,"tracker_id":40,"status_id":1,"priority_id":2,"assigned_to_id":338,"start_date":"2017-10-05","description":"","custom_fields":[{"id":1,"name":"Subdivision","value":"NW"},{"id":4,"name":"Milepost","value":"5.9016"},{"id":17,"name":"Train ID","value":"801-05"},{"id":16,"name":"Locomotive ID","value":"4002"},{"id":130,"name":"Impact","value":""},{"id":150,"name":"Time of Event (Mountain Time)","value":"05:54:21"},{"id":151,"name":"Denver Issue ID","value":""},{"id":178,"name":"Operational Impact","value":"Yes"},{"id":179,"name":"Denver Segment Assigned","value":""}]}} | curl --insecure -X POST -H "Content-Type: application/json" -H "X-Redmine-API-Key: %REDMINEAPIKEY%" https://secure.xorail.net/redmine/issues.json --data @-</v>
      </c>
      <c r="AK162" s="47"/>
      <c r="AL162" s="47"/>
      <c r="AM162" s="142" t="str">
        <f t="shared" si="112"/>
        <v>start /low /b %USERPROFILE%\Documents\GitHub\eaglep3\Utilities\DownloadLogsFromS3.py --loco 4002 --day 2017-10-05</v>
      </c>
      <c r="AN162" s="151" t="str">
        <f t="shared" si="113"/>
        <v>echo {"issue":{"subject":"","project_id":30,"tracker_id":4,"status_id":1,"priority_id":1,"assigned_to_id":10,"start_date":"2017-10-05","description":"","custom_fields":[{"id":30,"name":"Category","value":"Issue"},{"id":3,"name":"Functional Component","value":"Onboard"},{"id":31,"name":"Version","value":"N/A"},{"id":8,"name":"Reporting RR","value":"WABTEC"},{"id":27,"name":"Locomotive ID","value":"4002"},{"id":20,"name":"RR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11:54:21"},{"id":29,"name":"Sharepoint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62" s="168" t="str">
        <f t="shared" si="114"/>
        <v>https://d0f6bd738d7f1b3e5a7ca70fe4ff75f0.us-east-1.aws.found.io/app/kibana#/discover/Steve-Slow-Train-Analysis-(2080s-and-2083s)?_g=(refreshInterval:(display:Off,pause:!f,section:0,value:0),time:(from:'2017-10-05T04:32:53-0600',mode:absolute,to:'2017-10-05T06:54:21-0600'))&amp;_a=(columns:!('Message%20ID',Summary),filters:!(),index:'emp_*',interval:auto,query:(query_string:(analyze_wildcard:!t,query:'%22rtdc.l.rtdc.4002%22')),sort:!(Time.ISO8601,asc))</v>
      </c>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row>
    <row r="163" spans="1:91" s="20" customFormat="1" x14ac:dyDescent="0.25">
      <c r="A163" s="32" t="s">
        <v>579</v>
      </c>
      <c r="B163" s="7">
        <v>4001</v>
      </c>
      <c r="C163" s="21" t="s">
        <v>194</v>
      </c>
      <c r="D163" s="21" t="s">
        <v>919</v>
      </c>
      <c r="E163" s="13">
        <v>43013.247453703705</v>
      </c>
      <c r="F163" s="13">
        <v>43013.259687500002</v>
      </c>
      <c r="G163" s="7">
        <v>57</v>
      </c>
      <c r="H163" s="21" t="s">
        <v>922</v>
      </c>
      <c r="I163" s="13">
        <v>43013.266446759262</v>
      </c>
      <c r="J163" s="7">
        <v>0</v>
      </c>
      <c r="K163" s="89" t="str">
        <f t="shared" si="129"/>
        <v>4001/4002</v>
      </c>
      <c r="L163" s="185" t="str">
        <f>VLOOKUP(A163,'Trips&amp;Operators'!$C$1:$G$99911,5,FALSE)</f>
        <v>DAVIS WENDY</v>
      </c>
      <c r="M163" s="6">
        <f t="shared" si="130"/>
        <v>6.7592592604341917E-3</v>
      </c>
      <c r="N163" s="7">
        <f t="shared" si="84"/>
        <v>9.733333335025236</v>
      </c>
      <c r="O163" s="7"/>
      <c r="P163" s="7"/>
      <c r="Q163" s="22"/>
      <c r="R163" s="174"/>
      <c r="S163" s="221">
        <f t="shared" si="131"/>
        <v>1</v>
      </c>
      <c r="T163" s="174" t="str">
        <f t="shared" si="132"/>
        <v>Southbound</v>
      </c>
      <c r="U163" s="198">
        <f>IF(AG163="EC",COUNTIFS(Variables!$M$2:$M$19,IF(T163="NorthBound","&gt;=","&lt;=")&amp;Y163,Variables!$M$2:$M$19,IF(T163="NorthBound","&lt;=","&gt;=")&amp;Z163),COUNTIFS(Variables!$P$2:$P$19,IF(T163="NorthBound","&gt;=","&lt;=")&amp;Y163,Variables!$P$2:$P$19,IF(T163="NorthBound","&lt;=","&gt;=")&amp;Z163))</f>
        <v>1</v>
      </c>
      <c r="V163" s="216" t="str">
        <f t="shared" si="107"/>
        <v>https://d0f6bd738d7f1b3e5a7ca70fe4ff75f0.us-east-1.aws.found.io/app/kibana#/discover/Steve-Slow-Train-Analysis-(2080s-and-2083s)?_g=(refreshInterval:(display:Off,pause:!f,section:0,value:0),time:(from:'2017-10-05T04:56:20-0600',mode:absolute,to:'2017-10-05T07:23:41-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W163" s="204" t="str">
        <f>IF(AA163&lt;VLOOKUP(AG163,Variables!$AC$3:$AD$8,2,FALSE),"Y","N")</f>
        <v>Y</v>
      </c>
      <c r="X163" s="204">
        <f t="shared" si="128"/>
        <v>1</v>
      </c>
      <c r="Y163" s="204">
        <f t="shared" si="126"/>
        <v>5.8701999999999996</v>
      </c>
      <c r="Z163" s="204">
        <f t="shared" si="127"/>
        <v>0.45090000000000002</v>
      </c>
      <c r="AA163" s="204">
        <f t="shared" si="133"/>
        <v>5.4192999999999998</v>
      </c>
      <c r="AB163" s="54" t="e">
        <f>VLOOKUP(A163,Enforcements!$C$7:$K$11,8,0)</f>
        <v>#N/A</v>
      </c>
      <c r="AC163" s="51" t="e">
        <f>VLOOKUP(A163,Enforcements!$C$7:$E$11,3,0)</f>
        <v>#N/A</v>
      </c>
      <c r="AD163" s="179">
        <f t="shared" si="134"/>
        <v>802</v>
      </c>
      <c r="AE163" s="77" t="str">
        <f t="shared" si="108"/>
        <v>aws s3 cp s3://rtdc.mdm.uploadarchive.raw/RTDC4001/ "%USERPROFILE%\AppData\Local\Temp\OnboardLogs"\RTDC4001\2017-10-05 --exclude "*" --recursive --include "*20171005*" &amp; "%USERPROFILE%\Documents\GitHub\mrs-test-scripts\Headless Mode &amp; Sideloading\WalkAndUnGZ.bat" "%USERPROFILE%\AppData\Local\Temp\OnboardLogs"\RTDC4001\2017-10-05 &amp; aws s3 cp s3://rtdc.mdm.uploadarchive.raw/RTDC4001/ "%USERPROFILE%\AppData\Local\Temp\OnboardLogs"\RTDC4001\2017-10-06 --exclude "*" --recursive --include "*20171006*" &amp; "%USERPROFILE%\Documents\GitHub\mrs-test-scripts\Headless Mode &amp; Sideloading\WalkAndUnGZ.bat" "%USERPROFILE%\AppData\Local\Temp\OnboardLogs"\RTDC4001\2017-10-06</v>
      </c>
      <c r="AF163" s="74" t="str">
        <f t="shared" si="109"/>
        <v>"C:\Program Files (x86)\AstroGrep\AstroGrep.exe" /e /r /s /spath="%USERPROFILE%\AppData\Local\Temp\OnboardLogs" /stypes="app*4001*20171005*" /stext=" 12:.+((SYSTEM_STATE.+slice.+state.+changed )|(ment ac)|(multiple cpu faults)|(system.+state.+changed )|(\[timeout)|(PRM\|1\|D)|(kpr)|(kdp)|(train st.+moving)|(\|lc)|(penalty))"</v>
      </c>
      <c r="AG163" s="182" t="str">
        <f t="shared" si="135"/>
        <v>NW</v>
      </c>
      <c r="AH163" s="78" t="str">
        <f t="shared" si="110"/>
        <v>"%USERPROFILE%\Documents\GitHub\eaglep3\Utilities\RefineRTDCRunTimes.py" --tripid 802-05 --locoid 4001 --swversion DE.1.0.9.0 --startMP 300:58702 --initTime 2017-10-05T05:56:20 --startdatetime 2017-10-05T06:13:57 --delay 57 --endMP 204:4509 --enddatetime 2017-10-05T06:23:41 --enforcementcount 0 &gt;&gt;%USERPROFILE%\Documents\GitHub\eaglep3-reporting\EC\2017-10-05-refined-times.txt</v>
      </c>
      <c r="AI163" s="96" t="str">
        <f t="shared" si="111"/>
        <v>echo {"issue":{"subject":"","project_id":79,"tracker_id":40,"status_id":1,"priority_id":2,"assigned_to_id":338,"start_date":"2017-10-05","description":"","custom_fields":[{"id":1,"name":"Subdivision","value":"NW"},{"id":4,"name":"Milepost","value":"0.4509"},{"id":17,"name":"Train ID","value":"802-05"},{"id":16,"name":"Locomotive ID","value":"4001"},{"id":130,"name":"Impact","value":""},{"id":150,"name":"Time of Event (Mountain Time)","value":"06:23:41"},{"id":151,"name":"Denver Issue ID","value":""},{"id":178,"name":"Operational Impact","value":"Yes"},{"id":179,"name":"Denver Segment Assigned","value":""}]}} | curl --insecure -X POST -H "Content-Type: application/json" -H "X-Redmine-API-Key: %REDMINEAPIKEY%" https://secure.xorail.net/redmine/issues.json --data @-</v>
      </c>
      <c r="AK163" s="47"/>
      <c r="AL163" s="47"/>
      <c r="AM163" s="142" t="str">
        <f t="shared" si="112"/>
        <v>start /low /b %USERPROFILE%\Documents\GitHub\eaglep3\Utilities\DownloadLogsFromS3.py --loco 4001 --day 2017-10-05</v>
      </c>
      <c r="AN163" s="151" t="str">
        <f t="shared" si="113"/>
        <v>echo {"issue":{"subject":"","project_id":30,"tracker_id":4,"status_id":1,"priority_id":1,"assigned_to_id":10,"start_date":"2017-10-05","description":"","custom_fields":[{"id":30,"name":"Category","value":"Issue"},{"id":3,"name":"Functional Component","value":"Onboard"},{"id":31,"name":"Version","value":"N/A"},{"id":8,"name":"Reporting RR","value":"WABTEC"},{"id":27,"name":"Locomotive ID","value":"4001"},{"id":20,"name":"RR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12:23:41"},{"id":29,"name":"Sharepoint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63" s="168" t="str">
        <f t="shared" si="114"/>
        <v>https://d0f6bd738d7f1b3e5a7ca70fe4ff75f0.us-east-1.aws.found.io/app/kibana#/discover/Steve-Slow-Train-Analysis-(2080s-and-2083s)?_g=(refreshInterval:(display:Off,pause:!f,section:0,value:0),time:(from:'2017-10-05T04:56:20-0600',mode:absolute,to:'2017-10-05T07:23:41-0600'))&amp;_a=(columns:!('Message%20ID',Summary),filters:!(),index:'emp_*',interval:auto,query:(query_string:(analyze_wildcard:!t,query:'%22rtdc.l.rtdc.4001%22')),sort:!(Time.ISO8601,asc))</v>
      </c>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row>
    <row r="164" spans="1:91" s="20" customFormat="1" x14ac:dyDescent="0.25">
      <c r="A164" s="32" t="s">
        <v>649</v>
      </c>
      <c r="B164" s="7">
        <v>4018</v>
      </c>
      <c r="C164" s="21" t="s">
        <v>194</v>
      </c>
      <c r="D164" s="21" t="s">
        <v>498</v>
      </c>
      <c r="E164" s="13">
        <v>43013.248506944445</v>
      </c>
      <c r="F164" s="13">
        <v>43013.256481481483</v>
      </c>
      <c r="G164" s="7">
        <v>77</v>
      </c>
      <c r="H164" s="21" t="s">
        <v>923</v>
      </c>
      <c r="I164" s="13">
        <v>43013.266608796293</v>
      </c>
      <c r="J164" s="7">
        <v>0</v>
      </c>
      <c r="K164" s="89" t="str">
        <f t="shared" si="129"/>
        <v>4017/4018</v>
      </c>
      <c r="L164" s="185" t="str">
        <f>VLOOKUP(A164,'Trips&amp;Operators'!$C$1:$G$99911,5,FALSE)</f>
        <v>FORTUNATO FRANK</v>
      </c>
      <c r="M164" s="6">
        <f t="shared" si="130"/>
        <v>1.0127314810233656E-2</v>
      </c>
      <c r="N164" s="7">
        <f t="shared" si="84"/>
        <v>14.583333326736465</v>
      </c>
      <c r="O164" s="7"/>
      <c r="P164" s="7"/>
      <c r="Q164" s="22"/>
      <c r="R164" s="174"/>
      <c r="S164" s="221">
        <f t="shared" si="131"/>
        <v>1</v>
      </c>
      <c r="T164" s="174" t="str">
        <f t="shared" si="132"/>
        <v>NorthBound</v>
      </c>
      <c r="U164" s="198">
        <f>IF(AG164="EC",COUNTIFS(Variables!$M$2:$M$19,IF(T164="NorthBound","&gt;=","&lt;=")&amp;Y164,Variables!$M$2:$M$19,IF(T164="NorthBound","&lt;=","&gt;=")&amp;Z164),COUNTIFS(Variables!$P$2:$P$19,IF(T164="NorthBound","&gt;=","&lt;=")&amp;Y164,Variables!$P$2:$P$19,IF(T164="NorthBound","&lt;=","&gt;=")&amp;Z164))</f>
        <v>1</v>
      </c>
      <c r="V164" s="216" t="str">
        <f t="shared" si="107"/>
        <v>https://d0f6bd738d7f1b3e5a7ca70fe4ff75f0.us-east-1.aws.found.io/app/kibana#/discover/Steve-Slow-Train-Analysis-(2080s-and-2083s)?_g=(refreshInterval:(display:Off,pause:!f,section:0,value:0),time:(from:'2017-10-05T04:57:51-0600',mode:absolute,to:'2017-10-05T07:23:55-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4018%22')),sort:!(Time.ISO8601,asc))</v>
      </c>
      <c r="W164" s="204" t="str">
        <f>IF(AA164&lt;VLOOKUP(AG164,Variables!$AC$3:$AD$8,2,FALSE),"Y","N")</f>
        <v>N</v>
      </c>
      <c r="X164" s="204">
        <f t="shared" si="128"/>
        <v>1</v>
      </c>
      <c r="Y164" s="204">
        <f t="shared" si="126"/>
        <v>9.7799999999999998E-2</v>
      </c>
      <c r="Z164" s="204">
        <f t="shared" si="127"/>
        <v>5.8982000000000001</v>
      </c>
      <c r="AA164" s="204">
        <f t="shared" si="133"/>
        <v>5.8003999999999998</v>
      </c>
      <c r="AB164" s="54" t="e">
        <f>VLOOKUP(A164,Enforcements!$C$7:$K$11,8,0)</f>
        <v>#N/A</v>
      </c>
      <c r="AC164" s="51" t="e">
        <f>VLOOKUP(A164,Enforcements!$C$7:$E$11,3,0)</f>
        <v>#N/A</v>
      </c>
      <c r="AD164" s="179">
        <f t="shared" si="134"/>
        <v>803</v>
      </c>
      <c r="AE164" s="77" t="str">
        <f t="shared" si="108"/>
        <v>aws s3 cp s3://rtdc.mdm.uploadarchive.raw/RTDC4018/ "%USERPROFILE%\AppData\Local\Temp\OnboardLogs"\RTDC4018\2017-10-05 --exclude "*" --recursive --include "*20171005*" &amp; "%USERPROFILE%\Documents\GitHub\mrs-test-scripts\Headless Mode &amp; Sideloading\WalkAndUnGZ.bat" "%USERPROFILE%\AppData\Local\Temp\OnboardLogs"\RTDC4018\2017-10-05 &amp; aws s3 cp s3://rtdc.mdm.uploadarchive.raw/RTDC4018/ "%USERPROFILE%\AppData\Local\Temp\OnboardLogs"\RTDC4018\2017-10-06 --exclude "*" --recursive --include "*20171006*" &amp; "%USERPROFILE%\Documents\GitHub\mrs-test-scripts\Headless Mode &amp; Sideloading\WalkAndUnGZ.bat" "%USERPROFILE%\AppData\Local\Temp\OnboardLogs"\RTDC4018\2017-10-06</v>
      </c>
      <c r="AF164" s="74" t="str">
        <f t="shared" si="109"/>
        <v>"C:\Program Files (x86)\AstroGrep\AstroGrep.exe" /e /r /s /spath="%USERPROFILE%\AppData\Local\Temp\OnboardLogs" /stypes="app*4018*20171005*" /stext=" 12:.+((SYSTEM_STATE.+slice.+state.+changed )|(ment ac)|(multiple cpu faults)|(system.+state.+changed )|(\[timeout)|(PRM\|1\|D)|(kpr)|(kdp)|(train st.+moving)|(\|lc)|(penalty))"</v>
      </c>
      <c r="AG164" s="182" t="str">
        <f t="shared" si="135"/>
        <v>NW</v>
      </c>
      <c r="AH164" s="78" t="str">
        <f t="shared" si="110"/>
        <v>"%USERPROFILE%\Documents\GitHub\eaglep3\Utilities\RefineRTDCRunTimes.py" --tripid 803-05 --locoid 4018 --swversion DE.1.0.9.0 --startMP 204:978 --initTime 2017-10-05T05:57:51 --startdatetime 2017-10-05T06:09:20 --delay 77 --endMP 300:58982 --enddatetime 2017-10-05T06:23:55 --enforcementcount 0 &gt;&gt;%USERPROFILE%\Documents\GitHub\eaglep3-reporting\EC\2017-10-05-refined-times.txt</v>
      </c>
      <c r="AI164" s="96" t="str">
        <f t="shared" si="111"/>
        <v>echo {"issue":{"subject":"","project_id":79,"tracker_id":40,"status_id":1,"priority_id":2,"assigned_to_id":338,"start_date":"2017-10-05","description":"","custom_fields":[{"id":1,"name":"Subdivision","value":"NW"},{"id":4,"name":"Milepost","value":"5.8982"},{"id":17,"name":"Train ID","value":"803-05"},{"id":16,"name":"Locomotive ID","value":"4018"},{"id":130,"name":"Impact","value":""},{"id":150,"name":"Time of Event (Mountain Time)","value":"06:23:55"},{"id":151,"name":"Denver Issue ID","value":""},{"id":178,"name":"Operational Impact","value":"Yes"},{"id":179,"name":"Denver Segment Assigned","value":""}]}} | curl --insecure -X POST -H "Content-Type: application/json" -H "X-Redmine-API-Key: %REDMINEAPIKEY%" https://secure.xorail.net/redmine/issues.json --data @-</v>
      </c>
      <c r="AK164" s="47"/>
      <c r="AL164" s="47"/>
      <c r="AM164" s="142" t="str">
        <f t="shared" si="112"/>
        <v>start /low /b %USERPROFILE%\Documents\GitHub\eaglep3\Utilities\DownloadLogsFromS3.py --loco 4018 --day 2017-10-05</v>
      </c>
      <c r="AN164" s="151" t="str">
        <f t="shared" si="113"/>
        <v>echo {"issue":{"subject":"","project_id":30,"tracker_id":4,"status_id":1,"priority_id":1,"assigned_to_id":10,"start_date":"2017-10-05","description":"","custom_fields":[{"id":30,"name":"Category","value":"Issue"},{"id":3,"name":"Functional Component","value":"Onboard"},{"id":31,"name":"Version","value":"N/A"},{"id":8,"name":"Reporting RR","value":"WABTEC"},{"id":27,"name":"Locomotive ID","value":"4018"},{"id":20,"name":"RR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12:23:55"},{"id":29,"name":"Sharepoint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64" s="168" t="str">
        <f t="shared" si="114"/>
        <v>https://d0f6bd738d7f1b3e5a7ca70fe4ff75f0.us-east-1.aws.found.io/app/kibana#/discover/Steve-Slow-Train-Analysis-(2080s-and-2083s)?_g=(refreshInterval:(display:Off,pause:!f,section:0,value:0),time:(from:'2017-10-05T04:57:51-0600',mode:absolute,to:'2017-10-05T07:23:55-0600'))&amp;_a=(columns:!('Message%20ID',Summary),filters:!(),index:'emp_*',interval:auto,query:(query_string:(analyze_wildcard:!t,query:'%22rtdc.l.rtdc.4018%22')),sort:!(Time.ISO8601,asc))</v>
      </c>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row>
    <row r="165" spans="1:91" s="20" customFormat="1" x14ac:dyDescent="0.25">
      <c r="A165" s="32" t="s">
        <v>580</v>
      </c>
      <c r="B165" s="7">
        <v>4017</v>
      </c>
      <c r="C165" s="21" t="s">
        <v>194</v>
      </c>
      <c r="D165" s="21" t="s">
        <v>924</v>
      </c>
      <c r="E165" s="13">
        <v>43013.268067129633</v>
      </c>
      <c r="F165" s="13">
        <v>43013.279872685183</v>
      </c>
      <c r="G165" s="7">
        <v>60</v>
      </c>
      <c r="H165" s="21" t="s">
        <v>565</v>
      </c>
      <c r="I165" s="13">
        <v>43013.288310185184</v>
      </c>
      <c r="J165" s="7">
        <v>0</v>
      </c>
      <c r="K165" s="89" t="str">
        <f t="shared" si="129"/>
        <v>4017/4018</v>
      </c>
      <c r="L165" s="185" t="str">
        <f>VLOOKUP(A165,'Trips&amp;Operators'!$C$1:$G$99911,5,FALSE)</f>
        <v>FORTUNATO FRANK</v>
      </c>
      <c r="M165" s="6">
        <f t="shared" si="130"/>
        <v>8.4375000005820766E-3</v>
      </c>
      <c r="N165" s="7">
        <f t="shared" si="84"/>
        <v>12.15000000083819</v>
      </c>
      <c r="O165" s="7"/>
      <c r="P165" s="7"/>
      <c r="Q165" s="22"/>
      <c r="R165" s="174"/>
      <c r="S165" s="221">
        <f t="shared" si="131"/>
        <v>1</v>
      </c>
      <c r="T165" s="174" t="str">
        <f t="shared" si="132"/>
        <v>Southbound</v>
      </c>
      <c r="U165" s="198">
        <f>IF(AG165="EC",COUNTIFS(Variables!$M$2:$M$19,IF(T165="NorthBound","&gt;=","&lt;=")&amp;Y165,Variables!$M$2:$M$19,IF(T165="NorthBound","&lt;=","&gt;=")&amp;Z165),COUNTIFS(Variables!$P$2:$P$19,IF(T165="NorthBound","&gt;=","&lt;=")&amp;Y165,Variables!$P$2:$P$19,IF(T165="NorthBound","&lt;=","&gt;=")&amp;Z165))</f>
        <v>1</v>
      </c>
      <c r="V165" s="216" t="str">
        <f t="shared" si="107"/>
        <v>https://d0f6bd738d7f1b3e5a7ca70fe4ff75f0.us-east-1.aws.found.io/app/kibana#/discover/Steve-Slow-Train-Analysis-(2080s-and-2083s)?_g=(refreshInterval:(display:Off,pause:!f,section:0,value:0),time:(from:'2017-10-05T05:26:01-0600',mode:absolute,to:'2017-10-05T07:55:10-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4017%22')),sort:!(Time.ISO8601,asc))</v>
      </c>
      <c r="W165" s="204" t="str">
        <f>IF(AA165&lt;VLOOKUP(AG165,Variables!$AC$3:$AD$8,2,FALSE),"Y","N")</f>
        <v>N</v>
      </c>
      <c r="X165" s="204">
        <f t="shared" si="128"/>
        <v>1</v>
      </c>
      <c r="Y165" s="204">
        <f t="shared" si="126"/>
        <v>5.8663999999999996</v>
      </c>
      <c r="Z165" s="204">
        <f t="shared" si="127"/>
        <v>7.0099999999999996E-2</v>
      </c>
      <c r="AA165" s="204">
        <f t="shared" si="133"/>
        <v>5.7962999999999996</v>
      </c>
      <c r="AB165" s="54" t="e">
        <f>VLOOKUP(A165,Enforcements!$C$7:$K$11,8,0)</f>
        <v>#N/A</v>
      </c>
      <c r="AC165" s="51" t="e">
        <f>VLOOKUP(A165,Enforcements!$C$7:$E$11,3,0)</f>
        <v>#N/A</v>
      </c>
      <c r="AD165" s="179">
        <f t="shared" si="134"/>
        <v>804</v>
      </c>
      <c r="AE165" s="77" t="str">
        <f t="shared" si="108"/>
        <v>aws s3 cp s3://rtdc.mdm.uploadarchive.raw/RTDC4017/ "%USERPROFILE%\AppData\Local\Temp\OnboardLogs"\RTDC4017\2017-10-05 --exclude "*" --recursive --include "*20171005*" &amp; "%USERPROFILE%\Documents\GitHub\mrs-test-scripts\Headless Mode &amp; Sideloading\WalkAndUnGZ.bat" "%USERPROFILE%\AppData\Local\Temp\OnboardLogs"\RTDC4017\2017-10-05 &amp; aws s3 cp s3://rtdc.mdm.uploadarchive.raw/RTDC4017/ "%USERPROFILE%\AppData\Local\Temp\OnboardLogs"\RTDC4017\2017-10-06 --exclude "*" --recursive --include "*20171006*" &amp; "%USERPROFILE%\Documents\GitHub\mrs-test-scripts\Headless Mode &amp; Sideloading\WalkAndUnGZ.bat" "%USERPROFILE%\AppData\Local\Temp\OnboardLogs"\RTDC4017\2017-10-06</v>
      </c>
      <c r="AF165" s="74" t="str">
        <f t="shared" si="109"/>
        <v>"C:\Program Files (x86)\AstroGrep\AstroGrep.exe" /e /r /s /spath="%USERPROFILE%\AppData\Local\Temp\OnboardLogs" /stypes="app*4017*20171005*" /stext=" 12:.+((SYSTEM_STATE.+slice.+state.+changed )|(ment ac)|(multiple cpu faults)|(system.+state.+changed )|(\[timeout)|(PRM\|1\|D)|(kpr)|(kdp)|(train st.+moving)|(\|lc)|(penalty))"</v>
      </c>
      <c r="AG165" s="182" t="str">
        <f t="shared" si="135"/>
        <v>NW</v>
      </c>
      <c r="AH165" s="78" t="str">
        <f t="shared" si="110"/>
        <v>"%USERPROFILE%\Documents\GitHub\eaglep3\Utilities\RefineRTDCRunTimes.py" --tripid 804-05 --locoid 4017 --swversion DE.1.0.9.0 --startMP 300:58664 --initTime 2017-10-05T06:26:01 --startdatetime 2017-10-05T06:43:01 --delay 60 --endMP 204:701 --enddatetime 2017-10-05T06:55:10 --enforcementcount 0 &gt;&gt;%USERPROFILE%\Documents\GitHub\eaglep3-reporting\EC\2017-10-05-refined-times.txt</v>
      </c>
      <c r="AI165" s="96" t="str">
        <f t="shared" si="111"/>
        <v>echo {"issue":{"subject":"","project_id":79,"tracker_id":40,"status_id":1,"priority_id":2,"assigned_to_id":338,"start_date":"2017-10-05","description":"","custom_fields":[{"id":1,"name":"Subdivision","value":"NW"},{"id":4,"name":"Milepost","value":"0.0701"},{"id":17,"name":"Train ID","value":"804-05"},{"id":16,"name":"Locomotive ID","value":"4017"},{"id":130,"name":"Impact","value":""},{"id":150,"name":"Time of Event (Mountain Time)","value":"06:55:10"},{"id":151,"name":"Denver Issue ID","value":""},{"id":178,"name":"Operational Impact","value":"Yes"},{"id":179,"name":"Denver Segment Assigned","value":""}]}} | curl --insecure -X POST -H "Content-Type: application/json" -H "X-Redmine-API-Key: %REDMINEAPIKEY%" https://secure.xorail.net/redmine/issues.json --data @-</v>
      </c>
      <c r="AK165" s="47"/>
      <c r="AL165" s="47"/>
      <c r="AM165" s="142" t="str">
        <f t="shared" si="112"/>
        <v>start /low /b %USERPROFILE%\Documents\GitHub\eaglep3\Utilities\DownloadLogsFromS3.py --loco 4017 --day 2017-10-05</v>
      </c>
      <c r="AN165" s="151" t="str">
        <f t="shared" si="113"/>
        <v>echo {"issue":{"subject":"","project_id":30,"tracker_id":4,"status_id":1,"priority_id":1,"assigned_to_id":10,"start_date":"2017-10-05","description":"","custom_fields":[{"id":30,"name":"Category","value":"Issue"},{"id":3,"name":"Functional Component","value":"Onboard"},{"id":31,"name":"Version","value":"N/A"},{"id":8,"name":"Reporting RR","value":"WABTEC"},{"id":27,"name":"Locomotive ID","value":"4017"},{"id":20,"name":"RR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12:55:10"},{"id":29,"name":"Sharepoint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65" s="168" t="str">
        <f t="shared" si="114"/>
        <v>https://d0f6bd738d7f1b3e5a7ca70fe4ff75f0.us-east-1.aws.found.io/app/kibana#/discover/Steve-Slow-Train-Analysis-(2080s-and-2083s)?_g=(refreshInterval:(display:Off,pause:!f,section:0,value:0),time:(from:'2017-10-05T05:26:01-0600',mode:absolute,to:'2017-10-05T07:55:10-0600'))&amp;_a=(columns:!('Message%20ID',Summary),filters:!(),index:'emp_*',interval:auto,query:(query_string:(analyze_wildcard:!t,query:'%22rtdc.l.rtdc.4017%22')),sort:!(Time.ISO8601,asc))</v>
      </c>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row>
    <row r="166" spans="1:91" s="20" customFormat="1" x14ac:dyDescent="0.25">
      <c r="A166" s="32" t="s">
        <v>581</v>
      </c>
      <c r="B166" s="7">
        <v>4002</v>
      </c>
      <c r="C166" s="21" t="s">
        <v>194</v>
      </c>
      <c r="D166" s="21" t="s">
        <v>925</v>
      </c>
      <c r="E166" s="13">
        <v>43013.270428240743</v>
      </c>
      <c r="F166" s="13">
        <v>43013.277349537035</v>
      </c>
      <c r="G166" s="7">
        <v>66</v>
      </c>
      <c r="H166" s="21" t="s">
        <v>926</v>
      </c>
      <c r="I166" s="13">
        <v>43013.288460648146</v>
      </c>
      <c r="J166" s="7">
        <v>0</v>
      </c>
      <c r="K166" s="89" t="str">
        <f t="shared" si="129"/>
        <v>4001/4002</v>
      </c>
      <c r="L166" s="185" t="str">
        <f>VLOOKUP(A166,'Trips&amp;Operators'!$C$1:$G$99911,5,FALSE)</f>
        <v>DAVIS WENDY</v>
      </c>
      <c r="M166" s="6">
        <f t="shared" si="130"/>
        <v>1.1111111110949423E-2</v>
      </c>
      <c r="N166" s="7">
        <f t="shared" si="84"/>
        <v>15.999999999767169</v>
      </c>
      <c r="O166" s="7"/>
      <c r="P166" s="7"/>
      <c r="Q166" s="22"/>
      <c r="R166" s="174"/>
      <c r="S166" s="221">
        <f t="shared" si="131"/>
        <v>1</v>
      </c>
      <c r="T166" s="174" t="str">
        <f t="shared" si="132"/>
        <v>NorthBound</v>
      </c>
      <c r="U166" s="198">
        <f>IF(AG166="EC",COUNTIFS(Variables!$M$2:$M$19,IF(T166="NorthBound","&gt;=","&lt;=")&amp;Y166,Variables!$M$2:$M$19,IF(T166="NorthBound","&lt;=","&gt;=")&amp;Z166),COUNTIFS(Variables!$P$2:$P$19,IF(T166="NorthBound","&gt;=","&lt;=")&amp;Y166,Variables!$P$2:$P$19,IF(T166="NorthBound","&lt;=","&gt;=")&amp;Z166))</f>
        <v>1</v>
      </c>
      <c r="V166" s="216" t="str">
        <f t="shared" si="107"/>
        <v>https://d0f6bd738d7f1b3e5a7ca70fe4ff75f0.us-east-1.aws.found.io/app/kibana#/discover/Steve-Slow-Train-Analysis-(2080s-and-2083s)?_g=(refreshInterval:(display:Off,pause:!f,section:0,value:0),time:(from:'2017-10-05T05:29:25-0600',mode:absolute,to:'2017-10-05T07:55:23-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W166" s="204" t="str">
        <f>IF(AA166&lt;VLOOKUP(AG166,Variables!$AC$3:$AD$8,2,FALSE),"Y","N")</f>
        <v>N</v>
      </c>
      <c r="X166" s="204">
        <f t="shared" si="128"/>
        <v>1</v>
      </c>
      <c r="Y166" s="204">
        <f t="shared" si="126"/>
        <v>9.1999999999999998E-2</v>
      </c>
      <c r="Z166" s="204">
        <f t="shared" si="127"/>
        <v>5.9013999999999998</v>
      </c>
      <c r="AA166" s="204">
        <f t="shared" si="133"/>
        <v>5.8094000000000001</v>
      </c>
      <c r="AB166" s="54" t="e">
        <f>VLOOKUP(A166,Enforcements!$C$7:$K$11,8,0)</f>
        <v>#N/A</v>
      </c>
      <c r="AC166" s="51" t="e">
        <f>VLOOKUP(A166,Enforcements!$C$7:$E$11,3,0)</f>
        <v>#N/A</v>
      </c>
      <c r="AD166" s="179">
        <f t="shared" si="134"/>
        <v>805</v>
      </c>
      <c r="AE166" s="77" t="str">
        <f t="shared" si="108"/>
        <v>aws s3 cp s3://rtdc.mdm.uploadarchive.raw/RTDC4002/ "%USERPROFILE%\AppData\Local\Temp\OnboardLogs"\RTDC4002\2017-10-05 --exclude "*" --recursive --include "*20171005*" &amp; "%USERPROFILE%\Documents\GitHub\mrs-test-scripts\Headless Mode &amp; Sideloading\WalkAndUnGZ.bat" "%USERPROFILE%\AppData\Local\Temp\OnboardLogs"\RTDC4002\2017-10-05 &amp; aws s3 cp s3://rtdc.mdm.uploadarchive.raw/RTDC4002/ "%USERPROFILE%\AppData\Local\Temp\OnboardLogs"\RTDC4002\2017-10-06 --exclude "*" --recursive --include "*20171006*" &amp; "%USERPROFILE%\Documents\GitHub\mrs-test-scripts\Headless Mode &amp; Sideloading\WalkAndUnGZ.bat" "%USERPROFILE%\AppData\Local\Temp\OnboardLogs"\RTDC4002\2017-10-06</v>
      </c>
      <c r="AF166" s="74" t="str">
        <f t="shared" si="109"/>
        <v>"C:\Program Files (x86)\AstroGrep\AstroGrep.exe" /e /r /s /spath="%USERPROFILE%\AppData\Local\Temp\OnboardLogs" /stypes="app*4002*20171005*" /stext=" 12:.+((SYSTEM_STATE.+slice.+state.+changed )|(ment ac)|(multiple cpu faults)|(system.+state.+changed )|(\[timeout)|(PRM\|1\|D)|(kpr)|(kdp)|(train st.+moving)|(\|lc)|(penalty))"</v>
      </c>
      <c r="AG166" s="182" t="str">
        <f t="shared" si="135"/>
        <v>NW</v>
      </c>
      <c r="AH166" s="78" t="str">
        <f t="shared" si="110"/>
        <v>"%USERPROFILE%\Documents\GitHub\eaglep3\Utilities\RefineRTDCRunTimes.py" --tripid 805-05 --locoid 4002 --swversion DE.1.0.9.0 --startMP 204:920 --initTime 2017-10-05T06:29:25 --startdatetime 2017-10-05T06:39:23 --delay 66 --endMP 300:59014 --enddatetime 2017-10-05T06:55:23 --enforcementcount 0 &gt;&gt;%USERPROFILE%\Documents\GitHub\eaglep3-reporting\EC\2017-10-05-refined-times.txt</v>
      </c>
      <c r="AI166" s="96" t="str">
        <f t="shared" si="111"/>
        <v>echo {"issue":{"subject":"","project_id":79,"tracker_id":40,"status_id":1,"priority_id":2,"assigned_to_id":338,"start_date":"2017-10-05","description":"","custom_fields":[{"id":1,"name":"Subdivision","value":"NW"},{"id":4,"name":"Milepost","value":"5.9014"},{"id":17,"name":"Train ID","value":"805-05"},{"id":16,"name":"Locomotive ID","value":"4002"},{"id":130,"name":"Impact","value":""},{"id":150,"name":"Time of Event (Mountain Time)","value":"06:55:23"},{"id":151,"name":"Denver Issue ID","value":""},{"id":178,"name":"Operational Impact","value":"Yes"},{"id":179,"name":"Denver Segment Assigned","value":""}]}} | curl --insecure -X POST -H "Content-Type: application/json" -H "X-Redmine-API-Key: %REDMINEAPIKEY%" https://secure.xorail.net/redmine/issues.json --data @-</v>
      </c>
      <c r="AK166" s="47"/>
      <c r="AL166" s="47"/>
      <c r="AM166" s="142" t="str">
        <f t="shared" si="112"/>
        <v>start /low /b %USERPROFILE%\Documents\GitHub\eaglep3\Utilities\DownloadLogsFromS3.py --loco 4002 --day 2017-10-05</v>
      </c>
      <c r="AN166" s="151" t="str">
        <f t="shared" si="113"/>
        <v>echo {"issue":{"subject":"","project_id":30,"tracker_id":4,"status_id":1,"priority_id":1,"assigned_to_id":10,"start_date":"2017-10-05","description":"","custom_fields":[{"id":30,"name":"Category","value":"Issue"},{"id":3,"name":"Functional Component","value":"Onboard"},{"id":31,"name":"Version","value":"N/A"},{"id":8,"name":"Reporting RR","value":"WABTEC"},{"id":27,"name":"Locomotive ID","value":"4002"},{"id":20,"name":"RR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12:55:23"},{"id":29,"name":"Sharepoint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66" s="168" t="str">
        <f t="shared" si="114"/>
        <v>https://d0f6bd738d7f1b3e5a7ca70fe4ff75f0.us-east-1.aws.found.io/app/kibana#/discover/Steve-Slow-Train-Analysis-(2080s-and-2083s)?_g=(refreshInterval:(display:Off,pause:!f,section:0,value:0),time:(from:'2017-10-05T05:29:25-0600',mode:absolute,to:'2017-10-05T07:55:23-0600'))&amp;_a=(columns:!('Message%20ID',Summary),filters:!(),index:'emp_*',interval:auto,query:(query_string:(analyze_wildcard:!t,query:'%22rtdc.l.rtdc.4002%22')),sort:!(Time.ISO8601,asc))</v>
      </c>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row>
    <row r="167" spans="1:91" s="20" customFormat="1" x14ac:dyDescent="0.25">
      <c r="A167" s="32" t="s">
        <v>583</v>
      </c>
      <c r="B167" s="7">
        <v>4001</v>
      </c>
      <c r="C167" s="21" t="s">
        <v>194</v>
      </c>
      <c r="D167" s="21" t="s">
        <v>927</v>
      </c>
      <c r="E167" s="13">
        <v>43013.289398148147</v>
      </c>
      <c r="F167" s="13">
        <v>43013.300763888888</v>
      </c>
      <c r="G167" s="7">
        <v>63</v>
      </c>
      <c r="H167" s="21" t="s">
        <v>892</v>
      </c>
      <c r="I167" s="13">
        <v>43013.310127314813</v>
      </c>
      <c r="J167" s="7">
        <v>0</v>
      </c>
      <c r="K167" s="89" t="str">
        <f t="shared" si="129"/>
        <v>4001/4002</v>
      </c>
      <c r="L167" s="185" t="str">
        <f>VLOOKUP(A167,'Trips&amp;Operators'!$C$1:$G$99911,5,FALSE)</f>
        <v>DAVIS WENDY</v>
      </c>
      <c r="M167" s="6">
        <f t="shared" si="130"/>
        <v>9.3634259246755391E-3</v>
      </c>
      <c r="N167" s="7">
        <f t="shared" si="84"/>
        <v>13.483333331532776</v>
      </c>
      <c r="O167" s="7"/>
      <c r="P167" s="7"/>
      <c r="Q167" s="22"/>
      <c r="R167" s="174"/>
      <c r="S167" s="221">
        <f t="shared" si="131"/>
        <v>1</v>
      </c>
      <c r="T167" s="174" t="str">
        <f t="shared" si="132"/>
        <v>Southbound</v>
      </c>
      <c r="U167" s="198">
        <f>IF(AG167="EC",COUNTIFS(Variables!$M$2:$M$19,IF(T167="NorthBound","&gt;=","&lt;=")&amp;Y167,Variables!$M$2:$M$19,IF(T167="NorthBound","&lt;=","&gt;=")&amp;Z167),COUNTIFS(Variables!$P$2:$P$19,IF(T167="NorthBound","&gt;=","&lt;=")&amp;Y167,Variables!$P$2:$P$19,IF(T167="NorthBound","&lt;=","&gt;=")&amp;Z167))</f>
        <v>1</v>
      </c>
      <c r="V167" s="216" t="str">
        <f t="shared" si="107"/>
        <v>https://d0f6bd738d7f1b3e5a7ca70fe4ff75f0.us-east-1.aws.found.io/app/kibana#/discover/Steve-Slow-Train-Analysis-(2080s-and-2083s)?_g=(refreshInterval:(display:Off,pause:!f,section:0,value:0),time:(from:'2017-10-05T05:56:44-0600',mode:absolute,to:'2017-10-05T08:26:35-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W167" s="204" t="str">
        <f>IF(AA167&lt;VLOOKUP(AG167,Variables!$AC$3:$AD$8,2,FALSE),"Y","N")</f>
        <v>N</v>
      </c>
      <c r="X167" s="204">
        <f t="shared" si="128"/>
        <v>1</v>
      </c>
      <c r="Y167" s="204">
        <f t="shared" si="126"/>
        <v>5.8707000000000003</v>
      </c>
      <c r="Z167" s="204">
        <f t="shared" si="127"/>
        <v>6.6100000000000006E-2</v>
      </c>
      <c r="AA167" s="204">
        <f t="shared" si="133"/>
        <v>5.8046000000000006</v>
      </c>
      <c r="AB167" s="54" t="e">
        <f>VLOOKUP(A167,Enforcements!$C$7:$K$11,8,0)</f>
        <v>#N/A</v>
      </c>
      <c r="AC167" s="51" t="e">
        <f>VLOOKUP(A167,Enforcements!$C$7:$E$11,3,0)</f>
        <v>#N/A</v>
      </c>
      <c r="AD167" s="179">
        <f t="shared" si="134"/>
        <v>806</v>
      </c>
      <c r="AE167" s="77" t="str">
        <f t="shared" si="108"/>
        <v>aws s3 cp s3://rtdc.mdm.uploadarchive.raw/RTDC4001/ "%USERPROFILE%\AppData\Local\Temp\OnboardLogs"\RTDC4001\2017-10-05 --exclude "*" --recursive --include "*20171005*" &amp; "%USERPROFILE%\Documents\GitHub\mrs-test-scripts\Headless Mode &amp; Sideloading\WalkAndUnGZ.bat" "%USERPROFILE%\AppData\Local\Temp\OnboardLogs"\RTDC4001\2017-10-05 &amp; aws s3 cp s3://rtdc.mdm.uploadarchive.raw/RTDC4001/ "%USERPROFILE%\AppData\Local\Temp\OnboardLogs"\RTDC4001\2017-10-06 --exclude "*" --recursive --include "*20171006*" &amp; "%USERPROFILE%\Documents\GitHub\mrs-test-scripts\Headless Mode &amp; Sideloading\WalkAndUnGZ.bat" "%USERPROFILE%\AppData\Local\Temp\OnboardLogs"\RTDC4001\2017-10-06</v>
      </c>
      <c r="AF167" s="74" t="str">
        <f t="shared" si="109"/>
        <v>"C:\Program Files (x86)\AstroGrep\AstroGrep.exe" /e /r /s /spath="%USERPROFILE%\AppData\Local\Temp\OnboardLogs" /stypes="app*4001*20171005*" /stext=" 13:.+((SYSTEM_STATE.+slice.+state.+changed )|(ment ac)|(multiple cpu faults)|(system.+state.+changed )|(\[timeout)|(PRM\|1\|D)|(kpr)|(kdp)|(train st.+moving)|(\|lc)|(penalty))"</v>
      </c>
      <c r="AG167" s="182" t="str">
        <f t="shared" si="135"/>
        <v>NW</v>
      </c>
      <c r="AH167" s="78" t="str">
        <f t="shared" si="110"/>
        <v>"%USERPROFILE%\Documents\GitHub\eaglep3\Utilities\RefineRTDCRunTimes.py" --tripid 806-05 --locoid 4001 --swversion DE.1.0.9.0 --startMP 300:58707 --initTime 2017-10-05T06:56:44 --startdatetime 2017-10-05T07:13:06 --delay 63 --endMP 204:661 --enddatetime 2017-10-05T07:26:35 --enforcementcount 0 &gt;&gt;%USERPROFILE%\Documents\GitHub\eaglep3-reporting\EC\2017-10-05-refined-times.txt</v>
      </c>
      <c r="AI167" s="96" t="str">
        <f t="shared" si="111"/>
        <v>echo {"issue":{"subject":"","project_id":79,"tracker_id":40,"status_id":1,"priority_id":2,"assigned_to_id":338,"start_date":"2017-10-05","description":"","custom_fields":[{"id":1,"name":"Subdivision","value":"NW"},{"id":4,"name":"Milepost","value":"0.0661"},{"id":17,"name":"Train ID","value":"806-05"},{"id":16,"name":"Locomotive ID","value":"4001"},{"id":130,"name":"Impact","value":""},{"id":150,"name":"Time of Event (Mountain Time)","value":"07:26:35"},{"id":151,"name":"Denver Issue ID","value":""},{"id":178,"name":"Operational Impact","value":"Yes"},{"id":179,"name":"Denver Segment Assigned","value":""}]}} | curl --insecure -X POST -H "Content-Type: application/json" -H "X-Redmine-API-Key: %REDMINEAPIKEY%" https://secure.xorail.net/redmine/issues.json --data @-</v>
      </c>
      <c r="AK167" s="47"/>
      <c r="AL167" s="47"/>
      <c r="AM167" s="142" t="str">
        <f t="shared" si="112"/>
        <v>start /low /b %USERPROFILE%\Documents\GitHub\eaglep3\Utilities\DownloadLogsFromS3.py --loco 4001 --day 2017-10-05</v>
      </c>
      <c r="AN167" s="151" t="str">
        <f t="shared" si="113"/>
        <v>echo {"issue":{"subject":"","project_id":30,"tracker_id":4,"status_id":1,"priority_id":1,"assigned_to_id":10,"start_date":"2017-10-05","description":"","custom_fields":[{"id":30,"name":"Category","value":"Issue"},{"id":3,"name":"Functional Component","value":"Onboard"},{"id":31,"name":"Version","value":"N/A"},{"id":8,"name":"Reporting RR","value":"WABTEC"},{"id":27,"name":"Locomotive ID","value":"4001"},{"id":20,"name":"RR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13:26:35"},{"id":29,"name":"Sharepoint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67" s="168" t="str">
        <f t="shared" si="114"/>
        <v>https://d0f6bd738d7f1b3e5a7ca70fe4ff75f0.us-east-1.aws.found.io/app/kibana#/discover/Steve-Slow-Train-Analysis-(2080s-and-2083s)?_g=(refreshInterval:(display:Off,pause:!f,section:0,value:0),time:(from:'2017-10-05T05:56:44-0600',mode:absolute,to:'2017-10-05T08:26:35-0600'))&amp;_a=(columns:!('Message%20ID',Summary),filters:!(),index:'emp_*',interval:auto,query:(query_string:(analyze_wildcard:!t,query:'%22rtdc.l.rtdc.4001%22')),sort:!(Time.ISO8601,asc))</v>
      </c>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row>
    <row r="168" spans="1:91" s="20" customFormat="1" x14ac:dyDescent="0.25">
      <c r="A168" s="32" t="s">
        <v>657</v>
      </c>
      <c r="B168" s="7">
        <v>4018</v>
      </c>
      <c r="C168" s="21" t="s">
        <v>194</v>
      </c>
      <c r="D168" s="21" t="s">
        <v>555</v>
      </c>
      <c r="E168" s="13">
        <v>43013.290914351855</v>
      </c>
      <c r="F168" s="13">
        <v>43013.298090277778</v>
      </c>
      <c r="G168" s="7">
        <v>51</v>
      </c>
      <c r="H168" s="21" t="s">
        <v>928</v>
      </c>
      <c r="I168" s="13">
        <v>43013.308680555558</v>
      </c>
      <c r="J168" s="7">
        <v>0</v>
      </c>
      <c r="K168" s="89" t="str">
        <f t="shared" si="129"/>
        <v>4017/4018</v>
      </c>
      <c r="L168" s="185" t="str">
        <f>VLOOKUP(A168,'Trips&amp;Operators'!$C$1:$G$99911,5,FALSE)</f>
        <v>FORTUNATO FRANK</v>
      </c>
      <c r="M168" s="6">
        <f t="shared" si="130"/>
        <v>1.0590277779556345E-2</v>
      </c>
      <c r="N168" s="7">
        <f t="shared" si="84"/>
        <v>15.250000002561137</v>
      </c>
      <c r="O168" s="7"/>
      <c r="P168" s="7"/>
      <c r="Q168" s="22"/>
      <c r="R168" s="174"/>
      <c r="S168" s="221">
        <f t="shared" si="131"/>
        <v>1</v>
      </c>
      <c r="T168" s="174" t="str">
        <f t="shared" si="132"/>
        <v>NorthBound</v>
      </c>
      <c r="U168" s="198">
        <f>IF(AG168="EC",COUNTIFS(Variables!$M$2:$M$19,IF(T168="NorthBound","&gt;=","&lt;=")&amp;Y168,Variables!$M$2:$M$19,IF(T168="NorthBound","&lt;=","&gt;=")&amp;Z168),COUNTIFS(Variables!$P$2:$P$19,IF(T168="NorthBound","&gt;=","&lt;=")&amp;Y168,Variables!$P$2:$P$19,IF(T168="NorthBound","&lt;=","&gt;=")&amp;Z168))</f>
        <v>1</v>
      </c>
      <c r="V168" s="216" t="str">
        <f t="shared" si="107"/>
        <v>https://d0f6bd738d7f1b3e5a7ca70fe4ff75f0.us-east-1.aws.found.io/app/kibana#/discover/Steve-Slow-Train-Analysis-(2080s-and-2083s)?_g=(refreshInterval:(display:Off,pause:!f,section:0,value:0),time:(from:'2017-10-05T05:58:55-0600',mode:absolute,to:'2017-10-05T08:24:30-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4018%22')),sort:!(Time.ISO8601,asc))</v>
      </c>
      <c r="W168" s="204" t="str">
        <f>IF(AA168&lt;VLOOKUP(AG168,Variables!$AC$3:$AD$8,2,FALSE),"Y","N")</f>
        <v>N</v>
      </c>
      <c r="X168" s="204">
        <f t="shared" si="128"/>
        <v>1</v>
      </c>
      <c r="Y168" s="204">
        <f t="shared" si="126"/>
        <v>9.6199999999999994E-2</v>
      </c>
      <c r="Z168" s="204">
        <f t="shared" si="127"/>
        <v>5.899</v>
      </c>
      <c r="AA168" s="204">
        <f t="shared" si="133"/>
        <v>5.8028000000000004</v>
      </c>
      <c r="AB168" s="54" t="e">
        <f>VLOOKUP(A168,Enforcements!$C$7:$K$11,8,0)</f>
        <v>#N/A</v>
      </c>
      <c r="AC168" s="51" t="e">
        <f>VLOOKUP(A168,Enforcements!$C$7:$E$11,3,0)</f>
        <v>#N/A</v>
      </c>
      <c r="AD168" s="179">
        <f t="shared" si="134"/>
        <v>807</v>
      </c>
      <c r="AE168" s="77" t="str">
        <f t="shared" si="108"/>
        <v>aws s3 cp s3://rtdc.mdm.uploadarchive.raw/RTDC4018/ "%USERPROFILE%\AppData\Local\Temp\OnboardLogs"\RTDC4018\2017-10-05 --exclude "*" --recursive --include "*20171005*" &amp; "%USERPROFILE%\Documents\GitHub\mrs-test-scripts\Headless Mode &amp; Sideloading\WalkAndUnGZ.bat" "%USERPROFILE%\AppData\Local\Temp\OnboardLogs"\RTDC4018\2017-10-05 &amp; aws s3 cp s3://rtdc.mdm.uploadarchive.raw/RTDC4018/ "%USERPROFILE%\AppData\Local\Temp\OnboardLogs"\RTDC4018\2017-10-06 --exclude "*" --recursive --include "*20171006*" &amp; "%USERPROFILE%\Documents\GitHub\mrs-test-scripts\Headless Mode &amp; Sideloading\WalkAndUnGZ.bat" "%USERPROFILE%\AppData\Local\Temp\OnboardLogs"\RTDC4018\2017-10-06</v>
      </c>
      <c r="AF168" s="74" t="str">
        <f t="shared" si="109"/>
        <v>"C:\Program Files (x86)\AstroGrep\AstroGrep.exe" /e /r /s /spath="%USERPROFILE%\AppData\Local\Temp\OnboardLogs" /stypes="app*4018*20171005*" /stext=" 13:.+((SYSTEM_STATE.+slice.+state.+changed )|(ment ac)|(multiple cpu faults)|(system.+state.+changed )|(\[timeout)|(PRM\|1\|D)|(kpr)|(kdp)|(train st.+moving)|(\|lc)|(penalty))"</v>
      </c>
      <c r="AG168" s="182" t="str">
        <f t="shared" si="135"/>
        <v>NW</v>
      </c>
      <c r="AH168" s="78" t="str">
        <f t="shared" si="110"/>
        <v>"%USERPROFILE%\Documents\GitHub\eaglep3\Utilities\RefineRTDCRunTimes.py" --tripid 807-05 --locoid 4018 --swversion DE.1.0.9.0 --startMP 204:962 --initTime 2017-10-05T06:58:55 --startdatetime 2017-10-05T07:09:15 --delay 51 --endMP 300:58990 --enddatetime 2017-10-05T07:24:30 --enforcementcount 0 &gt;&gt;%USERPROFILE%\Documents\GitHub\eaglep3-reporting\EC\2017-10-05-refined-times.txt</v>
      </c>
      <c r="AI168" s="96" t="str">
        <f t="shared" si="111"/>
        <v>echo {"issue":{"subject":"","project_id":79,"tracker_id":40,"status_id":1,"priority_id":2,"assigned_to_id":338,"start_date":"2017-10-05","description":"","custom_fields":[{"id":1,"name":"Subdivision","value":"NW"},{"id":4,"name":"Milepost","value":"5.899"},{"id":17,"name":"Train ID","value":"807-05"},{"id":16,"name":"Locomotive ID","value":"4018"},{"id":130,"name":"Impact","value":""},{"id":150,"name":"Time of Event (Mountain Time)","value":"07:24:30"},{"id":151,"name":"Denver Issue ID","value":""},{"id":178,"name":"Operational Impact","value":"Yes"},{"id":179,"name":"Denver Segment Assigned","value":""}]}} | curl --insecure -X POST -H "Content-Type: application/json" -H "X-Redmine-API-Key: %REDMINEAPIKEY%" https://secure.xorail.net/redmine/issues.json --data @-</v>
      </c>
      <c r="AK168" s="47"/>
      <c r="AL168" s="47"/>
      <c r="AM168" s="142" t="str">
        <f t="shared" si="112"/>
        <v>start /low /b %USERPROFILE%\Documents\GitHub\eaglep3\Utilities\DownloadLogsFromS3.py --loco 4018 --day 2017-10-05</v>
      </c>
      <c r="AN168" s="151" t="str">
        <f t="shared" si="113"/>
        <v>echo {"issue":{"subject":"","project_id":30,"tracker_id":4,"status_id":1,"priority_id":1,"assigned_to_id":10,"start_date":"2017-10-05","description":"","custom_fields":[{"id":30,"name":"Category","value":"Issue"},{"id":3,"name":"Functional Component","value":"Onboard"},{"id":31,"name":"Version","value":"N/A"},{"id":8,"name":"Reporting RR","value":"WABTEC"},{"id":27,"name":"Locomotive ID","value":"4018"},{"id":20,"name":"RR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13:24:30"},{"id":29,"name":"Sharepoint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68" s="168" t="str">
        <f t="shared" si="114"/>
        <v>https://d0f6bd738d7f1b3e5a7ca70fe4ff75f0.us-east-1.aws.found.io/app/kibana#/discover/Steve-Slow-Train-Analysis-(2080s-and-2083s)?_g=(refreshInterval:(display:Off,pause:!f,section:0,value:0),time:(from:'2017-10-05T05:58:55-0600',mode:absolute,to:'2017-10-05T08:24:30-0600'))&amp;_a=(columns:!('Message%20ID',Summary),filters:!(),index:'emp_*',interval:auto,query:(query_string:(analyze_wildcard:!t,query:'%22rtdc.l.rtdc.4018%22')),sort:!(Time.ISO8601,asc))</v>
      </c>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row>
    <row r="169" spans="1:91" s="20" customFormat="1" x14ac:dyDescent="0.25">
      <c r="A169" s="32" t="s">
        <v>661</v>
      </c>
      <c r="B169" s="7">
        <v>4017</v>
      </c>
      <c r="C169" s="21" t="s">
        <v>194</v>
      </c>
      <c r="D169" s="21" t="s">
        <v>929</v>
      </c>
      <c r="E169" s="13">
        <v>43013.309965277775</v>
      </c>
      <c r="F169" s="13">
        <v>43013.321712962963</v>
      </c>
      <c r="G169" s="7">
        <v>53</v>
      </c>
      <c r="H169" s="21" t="s">
        <v>565</v>
      </c>
      <c r="I169" s="13">
        <v>43013.329918981479</v>
      </c>
      <c r="J169" s="7">
        <v>0</v>
      </c>
      <c r="K169" s="89" t="str">
        <f t="shared" si="129"/>
        <v>4017/4018</v>
      </c>
      <c r="L169" s="185" t="str">
        <f>VLOOKUP(A169,'Trips&amp;Operators'!$C$1:$G$99911,5,FALSE)</f>
        <v>FORTUNATO FRANK</v>
      </c>
      <c r="M169" s="6">
        <f t="shared" si="130"/>
        <v>8.2060185159207322E-3</v>
      </c>
      <c r="N169" s="7">
        <f t="shared" si="84"/>
        <v>11.816666662925854</v>
      </c>
      <c r="O169" s="7"/>
      <c r="P169" s="7"/>
      <c r="Q169" s="22"/>
      <c r="R169" s="174"/>
      <c r="S169" s="221">
        <f t="shared" si="131"/>
        <v>1</v>
      </c>
      <c r="T169" s="174" t="str">
        <f t="shared" si="132"/>
        <v>Southbound</v>
      </c>
      <c r="U169" s="198">
        <f>IF(AG169="EC",COUNTIFS(Variables!$M$2:$M$19,IF(T169="NorthBound","&gt;=","&lt;=")&amp;Y169,Variables!$M$2:$M$19,IF(T169="NorthBound","&lt;=","&gt;=")&amp;Z169),COUNTIFS(Variables!$P$2:$P$19,IF(T169="NorthBound","&gt;=","&lt;=")&amp;Y169,Variables!$P$2:$P$19,IF(T169="NorthBound","&lt;=","&gt;=")&amp;Z169))</f>
        <v>1</v>
      </c>
      <c r="V169" s="216" t="str">
        <f t="shared" si="107"/>
        <v>https://d0f6bd738d7f1b3e5a7ca70fe4ff75f0.us-east-1.aws.found.io/app/kibana#/discover/Steve-Slow-Train-Analysis-(2080s-and-2083s)?_g=(refreshInterval:(display:Off,pause:!f,section:0,value:0),time:(from:'2017-10-05T06:26:21-0600',mode:absolute,to:'2017-10-05T08:55:05-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4017%22')),sort:!(Time.ISO8601,asc))</v>
      </c>
      <c r="W169" s="204" t="str">
        <f>IF(AA169&lt;VLOOKUP(AG169,Variables!$AC$3:$AD$8,2,FALSE),"Y","N")</f>
        <v>N</v>
      </c>
      <c r="X169" s="204">
        <f t="shared" si="128"/>
        <v>1</v>
      </c>
      <c r="Y169" s="204">
        <f t="shared" si="126"/>
        <v>5.867</v>
      </c>
      <c r="Z169" s="204">
        <f t="shared" si="127"/>
        <v>7.0099999999999996E-2</v>
      </c>
      <c r="AA169" s="204">
        <f t="shared" si="133"/>
        <v>5.7968999999999999</v>
      </c>
      <c r="AB169" s="54" t="e">
        <f>VLOOKUP(A169,Enforcements!$C$7:$K$11,8,0)</f>
        <v>#N/A</v>
      </c>
      <c r="AC169" s="51" t="e">
        <f>VLOOKUP(A169,Enforcements!$C$7:$E$11,3,0)</f>
        <v>#N/A</v>
      </c>
      <c r="AD169" s="179">
        <f t="shared" si="134"/>
        <v>808</v>
      </c>
      <c r="AE169" s="77" t="str">
        <f t="shared" si="108"/>
        <v>aws s3 cp s3://rtdc.mdm.uploadarchive.raw/RTDC4017/ "%USERPROFILE%\AppData\Local\Temp\OnboardLogs"\RTDC4017\2017-10-05 --exclude "*" --recursive --include "*20171005*" &amp; "%USERPROFILE%\Documents\GitHub\mrs-test-scripts\Headless Mode &amp; Sideloading\WalkAndUnGZ.bat" "%USERPROFILE%\AppData\Local\Temp\OnboardLogs"\RTDC4017\2017-10-05 &amp; aws s3 cp s3://rtdc.mdm.uploadarchive.raw/RTDC4017/ "%USERPROFILE%\AppData\Local\Temp\OnboardLogs"\RTDC4017\2017-10-06 --exclude "*" --recursive --include "*20171006*" &amp; "%USERPROFILE%\Documents\GitHub\mrs-test-scripts\Headless Mode &amp; Sideloading\WalkAndUnGZ.bat" "%USERPROFILE%\AppData\Local\Temp\OnboardLogs"\RTDC4017\2017-10-06</v>
      </c>
      <c r="AF169" s="74" t="str">
        <f t="shared" si="109"/>
        <v>"C:\Program Files (x86)\AstroGrep\AstroGrep.exe" /e /r /s /spath="%USERPROFILE%\AppData\Local\Temp\OnboardLogs" /stypes="app*4017*20171005*" /stext=" 13:.+((SYSTEM_STATE.+slice.+state.+changed )|(ment ac)|(multiple cpu faults)|(system.+state.+changed )|(\[timeout)|(PRM\|1\|D)|(kpr)|(kdp)|(train st.+moving)|(\|lc)|(penalty))"</v>
      </c>
      <c r="AG169" s="182" t="str">
        <f t="shared" si="135"/>
        <v>NW</v>
      </c>
      <c r="AH169" s="78" t="str">
        <f t="shared" si="110"/>
        <v>"%USERPROFILE%\Documents\GitHub\eaglep3\Utilities\RefineRTDCRunTimes.py" --tripid 808-05 --locoid 4017 --swversion DE.1.0.9.0 --startMP 300:58670 --initTime 2017-10-05T07:26:21 --startdatetime 2017-10-05T07:43:16 --delay 53 --endMP 204:701 --enddatetime 2017-10-05T07:55:05 --enforcementcount 0 &gt;&gt;%USERPROFILE%\Documents\GitHub\eaglep3-reporting\EC\2017-10-05-refined-times.txt</v>
      </c>
      <c r="AI169" s="96" t="str">
        <f t="shared" si="111"/>
        <v>echo {"issue":{"subject":"","project_id":79,"tracker_id":40,"status_id":1,"priority_id":2,"assigned_to_id":338,"start_date":"2017-10-05","description":"","custom_fields":[{"id":1,"name":"Subdivision","value":"NW"},{"id":4,"name":"Milepost","value":"0.0701"},{"id":17,"name":"Train ID","value":"808-05"},{"id":16,"name":"Locomotive ID","value":"4017"},{"id":130,"name":"Impact","value":""},{"id":150,"name":"Time of Event (Mountain Time)","value":"07:55:05"},{"id":151,"name":"Denver Issue ID","value":""},{"id":178,"name":"Operational Impact","value":"Yes"},{"id":179,"name":"Denver Segment Assigned","value":""}]}} | curl --insecure -X POST -H "Content-Type: application/json" -H "X-Redmine-API-Key: %REDMINEAPIKEY%" https://secure.xorail.net/redmine/issues.json --data @-</v>
      </c>
      <c r="AK169" s="47"/>
      <c r="AL169" s="47"/>
      <c r="AM169" s="142" t="str">
        <f t="shared" si="112"/>
        <v>start /low /b %USERPROFILE%\Documents\GitHub\eaglep3\Utilities\DownloadLogsFromS3.py --loco 4017 --day 2017-10-05</v>
      </c>
      <c r="AN169" s="151" t="str">
        <f t="shared" si="113"/>
        <v>echo {"issue":{"subject":"","project_id":30,"tracker_id":4,"status_id":1,"priority_id":1,"assigned_to_id":10,"start_date":"2017-10-05","description":"","custom_fields":[{"id":30,"name":"Category","value":"Issue"},{"id":3,"name":"Functional Component","value":"Onboard"},{"id":31,"name":"Version","value":"N/A"},{"id":8,"name":"Reporting RR","value":"WABTEC"},{"id":27,"name":"Locomotive ID","value":"4017"},{"id":20,"name":"RR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13:55:05"},{"id":29,"name":"Sharepoint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69" s="168" t="str">
        <f t="shared" si="114"/>
        <v>https://d0f6bd738d7f1b3e5a7ca70fe4ff75f0.us-east-1.aws.found.io/app/kibana#/discover/Steve-Slow-Train-Analysis-(2080s-and-2083s)?_g=(refreshInterval:(display:Off,pause:!f,section:0,value:0),time:(from:'2017-10-05T06:26:21-0600',mode:absolute,to:'2017-10-05T08:55:05-0600'))&amp;_a=(columns:!('Message%20ID',Summary),filters:!(),index:'emp_*',interval:auto,query:(query_string:(analyze_wildcard:!t,query:'%22rtdc.l.rtdc.4017%22')),sort:!(Time.ISO8601,asc))</v>
      </c>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row>
    <row r="170" spans="1:91" s="20" customFormat="1" x14ac:dyDescent="0.25">
      <c r="A170" s="32" t="s">
        <v>663</v>
      </c>
      <c r="B170" s="7">
        <v>4002</v>
      </c>
      <c r="C170" s="21" t="s">
        <v>194</v>
      </c>
      <c r="D170" s="21" t="s">
        <v>569</v>
      </c>
      <c r="E170" s="13">
        <v>43013.311527777776</v>
      </c>
      <c r="F170" s="13">
        <v>43013.318981481483</v>
      </c>
      <c r="G170" s="7">
        <v>57</v>
      </c>
      <c r="H170" s="21" t="s">
        <v>926</v>
      </c>
      <c r="I170" s="13">
        <v>43013.329641203702</v>
      </c>
      <c r="J170" s="7">
        <v>0</v>
      </c>
      <c r="K170" s="89" t="str">
        <f t="shared" si="129"/>
        <v>4001/4002</v>
      </c>
      <c r="L170" s="185" t="str">
        <f>VLOOKUP(A170,'Trips&amp;Operators'!$C$1:$G$99911,5,FALSE)</f>
        <v>DAVIS WENDY</v>
      </c>
      <c r="M170" s="6">
        <f t="shared" si="130"/>
        <v>1.0659722218406387E-2</v>
      </c>
      <c r="N170" s="7">
        <f t="shared" si="84"/>
        <v>15.349999994505197</v>
      </c>
      <c r="O170" s="7"/>
      <c r="P170" s="7"/>
      <c r="Q170" s="22"/>
      <c r="R170" s="174"/>
      <c r="S170" s="221">
        <f t="shared" si="131"/>
        <v>1</v>
      </c>
      <c r="T170" s="174" t="str">
        <f t="shared" si="132"/>
        <v>NorthBound</v>
      </c>
      <c r="U170" s="198">
        <f>IF(AG170="EC",COUNTIFS(Variables!$M$2:$M$19,IF(T170="NorthBound","&gt;=","&lt;=")&amp;Y170,Variables!$M$2:$M$19,IF(T170="NorthBound","&lt;=","&gt;=")&amp;Z170),COUNTIFS(Variables!$P$2:$P$19,IF(T170="NorthBound","&gt;=","&lt;=")&amp;Y170,Variables!$P$2:$P$19,IF(T170="NorthBound","&lt;=","&gt;=")&amp;Z170))</f>
        <v>1</v>
      </c>
      <c r="V170" s="216" t="str">
        <f t="shared" si="107"/>
        <v>https://d0f6bd738d7f1b3e5a7ca70fe4ff75f0.us-east-1.aws.found.io/app/kibana#/discover/Steve-Slow-Train-Analysis-(2080s-and-2083s)?_g=(refreshInterval:(display:Off,pause:!f,section:0,value:0),time:(from:'2017-10-05T06:28:36-0600',mode:absolute,to:'2017-10-05T08:54:41-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W170" s="204" t="str">
        <f>IF(AA170&lt;VLOOKUP(AG170,Variables!$AC$3:$AD$8,2,FALSE),"Y","N")</f>
        <v>N</v>
      </c>
      <c r="X170" s="204">
        <f t="shared" si="128"/>
        <v>1</v>
      </c>
      <c r="Y170" s="204">
        <f t="shared" si="126"/>
        <v>9.9699999999999997E-2</v>
      </c>
      <c r="Z170" s="204">
        <f t="shared" si="127"/>
        <v>5.9013999999999998</v>
      </c>
      <c r="AA170" s="204">
        <f t="shared" si="133"/>
        <v>5.8016999999999994</v>
      </c>
      <c r="AB170" s="54" t="e">
        <f>VLOOKUP(A170,Enforcements!$C$7:$K$11,8,0)</f>
        <v>#N/A</v>
      </c>
      <c r="AC170" s="51" t="e">
        <f>VLOOKUP(A170,Enforcements!$C$7:$E$11,3,0)</f>
        <v>#N/A</v>
      </c>
      <c r="AD170" s="179">
        <f t="shared" si="134"/>
        <v>809</v>
      </c>
      <c r="AE170" s="77" t="str">
        <f t="shared" si="108"/>
        <v>aws s3 cp s3://rtdc.mdm.uploadarchive.raw/RTDC4002/ "%USERPROFILE%\AppData\Local\Temp\OnboardLogs"\RTDC4002\2017-10-05 --exclude "*" --recursive --include "*20171005*" &amp; "%USERPROFILE%\Documents\GitHub\mrs-test-scripts\Headless Mode &amp; Sideloading\WalkAndUnGZ.bat" "%USERPROFILE%\AppData\Local\Temp\OnboardLogs"\RTDC4002\2017-10-05 &amp; aws s3 cp s3://rtdc.mdm.uploadarchive.raw/RTDC4002/ "%USERPROFILE%\AppData\Local\Temp\OnboardLogs"\RTDC4002\2017-10-06 --exclude "*" --recursive --include "*20171006*" &amp; "%USERPROFILE%\Documents\GitHub\mrs-test-scripts\Headless Mode &amp; Sideloading\WalkAndUnGZ.bat" "%USERPROFILE%\AppData\Local\Temp\OnboardLogs"\RTDC4002\2017-10-06</v>
      </c>
      <c r="AF170" s="74" t="str">
        <f t="shared" si="109"/>
        <v>"C:\Program Files (x86)\AstroGrep\AstroGrep.exe" /e /r /s /spath="%USERPROFILE%\AppData\Local\Temp\OnboardLogs" /stypes="app*4002*20171005*" /stext=" 13:.+((SYSTEM_STATE.+slice.+state.+changed )|(ment ac)|(multiple cpu faults)|(system.+state.+changed )|(\[timeout)|(PRM\|1\|D)|(kpr)|(kdp)|(train st.+moving)|(\|lc)|(penalty))"</v>
      </c>
      <c r="AG170" s="182" t="str">
        <f t="shared" si="135"/>
        <v>NW</v>
      </c>
      <c r="AH170" s="78" t="str">
        <f t="shared" si="110"/>
        <v>"%USERPROFILE%\Documents\GitHub\eaglep3\Utilities\RefineRTDCRunTimes.py" --tripid 809-05 --locoid 4002 --swversion DE.1.0.9.0 --startMP 204:997 --initTime 2017-10-05T07:28:36 --startdatetime 2017-10-05T07:39:20 --delay 57 --endMP 300:59014 --enddatetime 2017-10-05T07:54:41 --enforcementcount 0 &gt;&gt;%USERPROFILE%\Documents\GitHub\eaglep3-reporting\EC\2017-10-05-refined-times.txt</v>
      </c>
      <c r="AI170" s="96" t="str">
        <f t="shared" si="111"/>
        <v>echo {"issue":{"subject":"","project_id":79,"tracker_id":40,"status_id":1,"priority_id":2,"assigned_to_id":338,"start_date":"2017-10-05","description":"","custom_fields":[{"id":1,"name":"Subdivision","value":"NW"},{"id":4,"name":"Milepost","value":"5.9014"},{"id":17,"name":"Train ID","value":"809-05"},{"id":16,"name":"Locomotive ID","value":"4002"},{"id":130,"name":"Impact","value":""},{"id":150,"name":"Time of Event (Mountain Time)","value":"07:54:41"},{"id":151,"name":"Denver Issue ID","value":""},{"id":178,"name":"Operational Impact","value":"Yes"},{"id":179,"name":"Denver Segment Assigned","value":""}]}} | curl --insecure -X POST -H "Content-Type: application/json" -H "X-Redmine-API-Key: %REDMINEAPIKEY%" https://secure.xorail.net/redmine/issues.json --data @-</v>
      </c>
      <c r="AK170" s="47"/>
      <c r="AL170" s="47"/>
      <c r="AM170" s="142" t="str">
        <f t="shared" si="112"/>
        <v>start /low /b %USERPROFILE%\Documents\GitHub\eaglep3\Utilities\DownloadLogsFromS3.py --loco 4002 --day 2017-10-05</v>
      </c>
      <c r="AN170" s="151" t="str">
        <f t="shared" si="113"/>
        <v>echo {"issue":{"subject":"","project_id":30,"tracker_id":4,"status_id":1,"priority_id":1,"assigned_to_id":10,"start_date":"2017-10-05","description":"","custom_fields":[{"id":30,"name":"Category","value":"Issue"},{"id":3,"name":"Functional Component","value":"Onboard"},{"id":31,"name":"Version","value":"N/A"},{"id":8,"name":"Reporting RR","value":"WABTEC"},{"id":27,"name":"Locomotive ID","value":"4002"},{"id":20,"name":"RR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13:54:41"},{"id":29,"name":"Sharepoint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70" s="168" t="str">
        <f t="shared" si="114"/>
        <v>https://d0f6bd738d7f1b3e5a7ca70fe4ff75f0.us-east-1.aws.found.io/app/kibana#/discover/Steve-Slow-Train-Analysis-(2080s-and-2083s)?_g=(refreshInterval:(display:Off,pause:!f,section:0,value:0),time:(from:'2017-10-05T06:28:36-0600',mode:absolute,to:'2017-10-05T08:54:41-0600'))&amp;_a=(columns:!('Message%20ID',Summary),filters:!(),index:'emp_*',interval:auto,query:(query_string:(analyze_wildcard:!t,query:'%22rtdc.l.rtdc.4002%22')),sort:!(Time.ISO8601,asc))</v>
      </c>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row>
    <row r="171" spans="1:91" s="20" customFormat="1" x14ac:dyDescent="0.25">
      <c r="A171" s="32" t="s">
        <v>667</v>
      </c>
      <c r="B171" s="7">
        <v>4001</v>
      </c>
      <c r="C171" s="21" t="s">
        <v>194</v>
      </c>
      <c r="D171" s="21" t="s">
        <v>927</v>
      </c>
      <c r="E171" s="13">
        <v>43013.330752314818</v>
      </c>
      <c r="F171" s="13">
        <v>43013.342534722222</v>
      </c>
      <c r="G171" s="7">
        <v>54</v>
      </c>
      <c r="H171" s="21" t="s">
        <v>931</v>
      </c>
      <c r="I171" s="13">
        <v>43013.351331018515</v>
      </c>
      <c r="J171" s="7">
        <v>0</v>
      </c>
      <c r="K171" s="89" t="str">
        <f t="shared" si="129"/>
        <v>4001/4002</v>
      </c>
      <c r="L171" s="185" t="str">
        <f>VLOOKUP(A171,'Trips&amp;Operators'!$C$1:$G$99911,5,FALSE)</f>
        <v>DAVIS WENDY</v>
      </c>
      <c r="M171" s="6">
        <f t="shared" si="130"/>
        <v>8.7962962934398092E-3</v>
      </c>
      <c r="N171" s="7">
        <f t="shared" si="84"/>
        <v>12.666666662553325</v>
      </c>
      <c r="O171" s="7"/>
      <c r="P171" s="7"/>
      <c r="Q171" s="22"/>
      <c r="R171" s="174"/>
      <c r="S171" s="221">
        <f t="shared" si="131"/>
        <v>1</v>
      </c>
      <c r="T171" s="174" t="str">
        <f t="shared" si="132"/>
        <v>Southbound</v>
      </c>
      <c r="U171" s="198">
        <f>IF(AG171="EC",COUNTIFS(Variables!$M$2:$M$19,IF(T171="NorthBound","&gt;=","&lt;=")&amp;Y171,Variables!$M$2:$M$19,IF(T171="NorthBound","&lt;=","&gt;=")&amp;Z171),COUNTIFS(Variables!$P$2:$P$19,IF(T171="NorthBound","&gt;=","&lt;=")&amp;Y171,Variables!$P$2:$P$19,IF(T171="NorthBound","&lt;=","&gt;=")&amp;Z171))</f>
        <v>1</v>
      </c>
      <c r="V171" s="216" t="str">
        <f t="shared" si="107"/>
        <v>https://d0f6bd738d7f1b3e5a7ca70fe4ff75f0.us-east-1.aws.found.io/app/kibana#/discover/Steve-Slow-Train-Analysis-(2080s-and-2083s)?_g=(refreshInterval:(display:Off,pause:!f,section:0,value:0),time:(from:'2017-10-05T06:56:17-0600',mode:absolute,to:'2017-10-05T09:25:55-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W171" s="204" t="str">
        <f>IF(AA171&lt;VLOOKUP(AG171,Variables!$AC$3:$AD$8,2,FALSE),"Y","N")</f>
        <v>N</v>
      </c>
      <c r="X171" s="204">
        <f t="shared" si="128"/>
        <v>1</v>
      </c>
      <c r="Y171" s="204">
        <f t="shared" si="126"/>
        <v>5.8707000000000003</v>
      </c>
      <c r="Z171" s="204">
        <f t="shared" si="127"/>
        <v>1.6400000000000001E-2</v>
      </c>
      <c r="AA171" s="204">
        <f t="shared" si="133"/>
        <v>5.8543000000000003</v>
      </c>
      <c r="AB171" s="54" t="e">
        <f>VLOOKUP(A171,Enforcements!$C$7:$K$11,8,0)</f>
        <v>#N/A</v>
      </c>
      <c r="AC171" s="51" t="e">
        <f>VLOOKUP(A171,Enforcements!$C$7:$E$11,3,0)</f>
        <v>#N/A</v>
      </c>
      <c r="AD171" s="179">
        <f t="shared" si="134"/>
        <v>810</v>
      </c>
      <c r="AE171" s="77" t="str">
        <f t="shared" si="108"/>
        <v>aws s3 cp s3://rtdc.mdm.uploadarchive.raw/RTDC4001/ "%USERPROFILE%\AppData\Local\Temp\OnboardLogs"\RTDC4001\2017-10-05 --exclude "*" --recursive --include "*20171005*" &amp; "%USERPROFILE%\Documents\GitHub\mrs-test-scripts\Headless Mode &amp; Sideloading\WalkAndUnGZ.bat" "%USERPROFILE%\AppData\Local\Temp\OnboardLogs"\RTDC4001\2017-10-05 &amp; aws s3 cp s3://rtdc.mdm.uploadarchive.raw/RTDC4001/ "%USERPROFILE%\AppData\Local\Temp\OnboardLogs"\RTDC4001\2017-10-06 --exclude "*" --recursive --include "*20171006*" &amp; "%USERPROFILE%\Documents\GitHub\mrs-test-scripts\Headless Mode &amp; Sideloading\WalkAndUnGZ.bat" "%USERPROFILE%\AppData\Local\Temp\OnboardLogs"\RTDC4001\2017-10-06</v>
      </c>
      <c r="AF171" s="74" t="str">
        <f t="shared" si="109"/>
        <v>"C:\Program Files (x86)\AstroGrep\AstroGrep.exe" /e /r /s /spath="%USERPROFILE%\AppData\Local\Temp\OnboardLogs" /stypes="app*4001*20171005*" /stext=" 14:.+((SYSTEM_STATE.+slice.+state.+changed )|(ment ac)|(multiple cpu faults)|(system.+state.+changed )|(\[timeout)|(PRM\|1\|D)|(kpr)|(kdp)|(train st.+moving)|(\|lc)|(penalty))"</v>
      </c>
      <c r="AG171" s="182" t="str">
        <f t="shared" si="135"/>
        <v>NW</v>
      </c>
      <c r="AH171" s="78" t="str">
        <f t="shared" si="110"/>
        <v>"%USERPROFILE%\Documents\GitHub\eaglep3\Utilities\RefineRTDCRunTimes.py" --tripid 810-05 --locoid 4001 --swversion DE.1.0.9.0 --startMP 300:58707 --initTime 2017-10-05T07:56:17 --startdatetime 2017-10-05T08:13:15 --delay 54 --endMP 204:164 --enddatetime 2017-10-05T08:25:55 --enforcementcount 0 &gt;&gt;%USERPROFILE%\Documents\GitHub\eaglep3-reporting\EC\2017-10-05-refined-times.txt</v>
      </c>
      <c r="AI171" s="96" t="str">
        <f t="shared" si="111"/>
        <v>echo {"issue":{"subject":"","project_id":79,"tracker_id":40,"status_id":1,"priority_id":2,"assigned_to_id":338,"start_date":"2017-10-05","description":"","custom_fields":[{"id":1,"name":"Subdivision","value":"NW"},{"id":4,"name":"Milepost","value":"0.0164"},{"id":17,"name":"Train ID","value":"810-05"},{"id":16,"name":"Locomotive ID","value":"4001"},{"id":130,"name":"Impact","value":""},{"id":150,"name":"Time of Event (Mountain Time)","value":"08:25:55"},{"id":151,"name":"Denver Issue ID","value":""},{"id":178,"name":"Operational Impact","value":"Yes"},{"id":179,"name":"Denver Segment Assigned","value":""}]}} | curl --insecure -X POST -H "Content-Type: application/json" -H "X-Redmine-API-Key: %REDMINEAPIKEY%" https://secure.xorail.net/redmine/issues.json --data @-</v>
      </c>
      <c r="AK171" s="47"/>
      <c r="AL171" s="47"/>
      <c r="AM171" s="142" t="str">
        <f t="shared" si="112"/>
        <v>start /low /b %USERPROFILE%\Documents\GitHub\eaglep3\Utilities\DownloadLogsFromS3.py --loco 4001 --day 2017-10-05</v>
      </c>
      <c r="AN171" s="151" t="str">
        <f t="shared" si="113"/>
        <v>echo {"issue":{"subject":"","project_id":30,"tracker_id":4,"status_id":1,"priority_id":1,"assigned_to_id":10,"start_date":"2017-10-05","description":"","custom_fields":[{"id":30,"name":"Category","value":"Issue"},{"id":3,"name":"Functional Component","value":"Onboard"},{"id":31,"name":"Version","value":"N/A"},{"id":8,"name":"Reporting RR","value":"WABTEC"},{"id":27,"name":"Locomotive ID","value":"4001"},{"id":20,"name":"RR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14:25:55"},{"id":29,"name":"Sharepoint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71" s="168" t="str">
        <f t="shared" si="114"/>
        <v>https://d0f6bd738d7f1b3e5a7ca70fe4ff75f0.us-east-1.aws.found.io/app/kibana#/discover/Steve-Slow-Train-Analysis-(2080s-and-2083s)?_g=(refreshInterval:(display:Off,pause:!f,section:0,value:0),time:(from:'2017-10-05T06:56:17-0600',mode:absolute,to:'2017-10-05T09:25:55-0600'))&amp;_a=(columns:!('Message%20ID',Summary),filters:!(),index:'emp_*',interval:auto,query:(query_string:(analyze_wildcard:!t,query:'%22rtdc.l.rtdc.4001%22')),sort:!(Time.ISO8601,asc))</v>
      </c>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row>
    <row r="172" spans="1:91" s="20" customFormat="1" x14ac:dyDescent="0.25">
      <c r="A172" s="32" t="s">
        <v>668</v>
      </c>
      <c r="B172" s="7">
        <v>4018</v>
      </c>
      <c r="C172" s="21" t="s">
        <v>194</v>
      </c>
      <c r="D172" s="21" t="s">
        <v>932</v>
      </c>
      <c r="E172" s="13">
        <v>43013.33153935185</v>
      </c>
      <c r="F172" s="13">
        <v>43013.340069444443</v>
      </c>
      <c r="G172" s="7">
        <v>54</v>
      </c>
      <c r="H172" s="21" t="s">
        <v>933</v>
      </c>
      <c r="I172" s="13">
        <v>43013.350057870368</v>
      </c>
      <c r="J172" s="7">
        <v>0</v>
      </c>
      <c r="K172" s="89" t="str">
        <f t="shared" si="129"/>
        <v>4017/4018</v>
      </c>
      <c r="L172" s="185" t="str">
        <f>VLOOKUP(A172,'Trips&amp;Operators'!$C$1:$G$99911,5,FALSE)</f>
        <v>FORTUNATO FRANK</v>
      </c>
      <c r="M172" s="6">
        <f t="shared" si="130"/>
        <v>9.9884259252576157E-3</v>
      </c>
      <c r="N172" s="7">
        <f t="shared" si="84"/>
        <v>14.383333332370967</v>
      </c>
      <c r="O172" s="7"/>
      <c r="P172" s="7"/>
      <c r="Q172" s="22"/>
      <c r="R172" s="174"/>
      <c r="S172" s="221">
        <f t="shared" si="131"/>
        <v>1</v>
      </c>
      <c r="T172" s="174" t="str">
        <f t="shared" si="132"/>
        <v>NorthBound</v>
      </c>
      <c r="U172" s="198">
        <f>IF(AG172="EC",COUNTIFS(Variables!$M$2:$M$19,IF(T172="NorthBound","&gt;=","&lt;=")&amp;Y172,Variables!$M$2:$M$19,IF(T172="NorthBound","&lt;=","&gt;=")&amp;Z172),COUNTIFS(Variables!$P$2:$P$19,IF(T172="NorthBound","&gt;=","&lt;=")&amp;Y172,Variables!$P$2:$P$19,IF(T172="NorthBound","&lt;=","&gt;=")&amp;Z172))</f>
        <v>1</v>
      </c>
      <c r="V172" s="216" t="str">
        <f t="shared" si="107"/>
        <v>https://d0f6bd738d7f1b3e5a7ca70fe4ff75f0.us-east-1.aws.found.io/app/kibana#/discover/Steve-Slow-Train-Analysis-(2080s-and-2083s)?_g=(refreshInterval:(display:Off,pause:!f,section:0,value:0),time:(from:'2017-10-05T06:57:25-0600',mode:absolute,to:'2017-10-05T09:24:05-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4018%22')),sort:!(Time.ISO8601,asc))</v>
      </c>
      <c r="W172" s="204" t="str">
        <f>IF(AA172&lt;VLOOKUP(AG172,Variables!$AC$3:$AD$8,2,FALSE),"Y","N")</f>
        <v>N</v>
      </c>
      <c r="X172" s="204">
        <f t="shared" si="128"/>
        <v>1</v>
      </c>
      <c r="Y172" s="204">
        <f t="shared" si="126"/>
        <v>9.64E-2</v>
      </c>
      <c r="Z172" s="204">
        <f t="shared" si="127"/>
        <v>5.9001000000000001</v>
      </c>
      <c r="AA172" s="204">
        <f t="shared" si="133"/>
        <v>5.8037000000000001</v>
      </c>
      <c r="AB172" s="54" t="e">
        <f>VLOOKUP(A172,Enforcements!$C$7:$K$11,8,0)</f>
        <v>#N/A</v>
      </c>
      <c r="AC172" s="51" t="e">
        <f>VLOOKUP(A172,Enforcements!$C$7:$E$11,3,0)</f>
        <v>#N/A</v>
      </c>
      <c r="AD172" s="179">
        <f t="shared" si="134"/>
        <v>811</v>
      </c>
      <c r="AE172" s="77" t="str">
        <f t="shared" si="108"/>
        <v>aws s3 cp s3://rtdc.mdm.uploadarchive.raw/RTDC4018/ "%USERPROFILE%\AppData\Local\Temp\OnboardLogs"\RTDC4018\2017-10-05 --exclude "*" --recursive --include "*20171005*" &amp; "%USERPROFILE%\Documents\GitHub\mrs-test-scripts\Headless Mode &amp; Sideloading\WalkAndUnGZ.bat" "%USERPROFILE%\AppData\Local\Temp\OnboardLogs"\RTDC4018\2017-10-05 &amp; aws s3 cp s3://rtdc.mdm.uploadarchive.raw/RTDC4018/ "%USERPROFILE%\AppData\Local\Temp\OnboardLogs"\RTDC4018\2017-10-06 --exclude "*" --recursive --include "*20171006*" &amp; "%USERPROFILE%\Documents\GitHub\mrs-test-scripts\Headless Mode &amp; Sideloading\WalkAndUnGZ.bat" "%USERPROFILE%\AppData\Local\Temp\OnboardLogs"\RTDC4018\2017-10-06</v>
      </c>
      <c r="AF172" s="74" t="str">
        <f t="shared" si="109"/>
        <v>"C:\Program Files (x86)\AstroGrep\AstroGrep.exe" /e /r /s /spath="%USERPROFILE%\AppData\Local\Temp\OnboardLogs" /stypes="app*4018*20171005*" /stext=" 14:.+((SYSTEM_STATE.+slice.+state.+changed )|(ment ac)|(multiple cpu faults)|(system.+state.+changed )|(\[timeout)|(PRM\|1\|D)|(kpr)|(kdp)|(train st.+moving)|(\|lc)|(penalty))"</v>
      </c>
      <c r="AG172" s="182" t="str">
        <f t="shared" si="135"/>
        <v>NW</v>
      </c>
      <c r="AH172" s="78" t="str">
        <f t="shared" si="110"/>
        <v>"%USERPROFILE%\Documents\GitHub\eaglep3\Utilities\RefineRTDCRunTimes.py" --tripid 811-05 --locoid 4018 --swversion DE.1.0.9.0 --startMP 204:964 --initTime 2017-10-05T07:57:25 --startdatetime 2017-10-05T08:09:42 --delay 54 --endMP 300:59001 --enddatetime 2017-10-05T08:24:05 --enforcementcount 0 &gt;&gt;%USERPROFILE%\Documents\GitHub\eaglep3-reporting\EC\2017-10-05-refined-times.txt</v>
      </c>
      <c r="AI172" s="96" t="str">
        <f t="shared" si="111"/>
        <v>echo {"issue":{"subject":"","project_id":79,"tracker_id":40,"status_id":1,"priority_id":2,"assigned_to_id":338,"start_date":"2017-10-05","description":"","custom_fields":[{"id":1,"name":"Subdivision","value":"NW"},{"id":4,"name":"Milepost","value":"5.9001"},{"id":17,"name":"Train ID","value":"811-05"},{"id":16,"name":"Locomotive ID","value":"4018"},{"id":130,"name":"Impact","value":""},{"id":150,"name":"Time of Event (Mountain Time)","value":"08:24:05"},{"id":151,"name":"Denver Issue ID","value":""},{"id":178,"name":"Operational Impact","value":"Yes"},{"id":179,"name":"Denver Segment Assigned","value":""}]}} | curl --insecure -X POST -H "Content-Type: application/json" -H "X-Redmine-API-Key: %REDMINEAPIKEY%" https://secure.xorail.net/redmine/issues.json --data @-</v>
      </c>
      <c r="AK172" s="47"/>
      <c r="AL172" s="47"/>
      <c r="AM172" s="142" t="str">
        <f t="shared" si="112"/>
        <v>start /low /b %USERPROFILE%\Documents\GitHub\eaglep3\Utilities\DownloadLogsFromS3.py --loco 4018 --day 2017-10-05</v>
      </c>
      <c r="AN172" s="151" t="str">
        <f t="shared" si="113"/>
        <v>echo {"issue":{"subject":"","project_id":30,"tracker_id":4,"status_id":1,"priority_id":1,"assigned_to_id":10,"start_date":"2017-10-05","description":"","custom_fields":[{"id":30,"name":"Category","value":"Issue"},{"id":3,"name":"Functional Component","value":"Onboard"},{"id":31,"name":"Version","value":"N/A"},{"id":8,"name":"Reporting RR","value":"WABTEC"},{"id":27,"name":"Locomotive ID","value":"4018"},{"id":20,"name":"RR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14:24:05"},{"id":29,"name":"Sharepoint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72" s="168" t="str">
        <f t="shared" si="114"/>
        <v>https://d0f6bd738d7f1b3e5a7ca70fe4ff75f0.us-east-1.aws.found.io/app/kibana#/discover/Steve-Slow-Train-Analysis-(2080s-and-2083s)?_g=(refreshInterval:(display:Off,pause:!f,section:0,value:0),time:(from:'2017-10-05T06:57:25-0600',mode:absolute,to:'2017-10-05T09:24:05-0600'))&amp;_a=(columns:!('Message%20ID',Summary),filters:!(),index:'emp_*',interval:auto,query:(query_string:(analyze_wildcard:!t,query:'%22rtdc.l.rtdc.4018%22')),sort:!(Time.ISO8601,asc))</v>
      </c>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row>
    <row r="173" spans="1:91" s="20" customFormat="1" x14ac:dyDescent="0.25">
      <c r="A173" s="32" t="s">
        <v>673</v>
      </c>
      <c r="B173" s="7">
        <v>4017</v>
      </c>
      <c r="C173" s="21" t="s">
        <v>194</v>
      </c>
      <c r="D173" s="21" t="s">
        <v>934</v>
      </c>
      <c r="E173" s="13">
        <v>43013.3518287037</v>
      </c>
      <c r="F173" s="13">
        <v>43013.363680555558</v>
      </c>
      <c r="G173" s="7">
        <v>56</v>
      </c>
      <c r="H173" s="21" t="s">
        <v>554</v>
      </c>
      <c r="I173" s="13">
        <v>43013.371689814812</v>
      </c>
      <c r="J173" s="7">
        <v>0</v>
      </c>
      <c r="K173" s="89" t="str">
        <f t="shared" si="129"/>
        <v>4017/4018</v>
      </c>
      <c r="L173" s="185" t="str">
        <f>VLOOKUP(A173,'Trips&amp;Operators'!$C$1:$G$99911,5,FALSE)</f>
        <v>FORTUNATO FRANK</v>
      </c>
      <c r="M173" s="6">
        <f t="shared" si="130"/>
        <v>8.0092592543223873E-3</v>
      </c>
      <c r="N173" s="7">
        <f t="shared" si="84"/>
        <v>11.533333326224238</v>
      </c>
      <c r="O173" s="7"/>
      <c r="P173" s="7"/>
      <c r="Q173" s="22"/>
      <c r="R173" s="174"/>
      <c r="S173" s="221">
        <f t="shared" si="131"/>
        <v>1</v>
      </c>
      <c r="T173" s="174" t="str">
        <f t="shared" si="132"/>
        <v>Southbound</v>
      </c>
      <c r="U173" s="198">
        <f>IF(AG173="EC",COUNTIFS(Variables!$M$2:$M$19,IF(T173="NorthBound","&gt;=","&lt;=")&amp;Y173,Variables!$M$2:$M$19,IF(T173="NorthBound","&lt;=","&gt;=")&amp;Z173),COUNTIFS(Variables!$P$2:$P$19,IF(T173="NorthBound","&gt;=","&lt;=")&amp;Y173,Variables!$P$2:$P$19,IF(T173="NorthBound","&lt;=","&gt;=")&amp;Z173))</f>
        <v>1</v>
      </c>
      <c r="V173" s="216" t="str">
        <f t="shared" si="107"/>
        <v>https://d0f6bd738d7f1b3e5a7ca70fe4ff75f0.us-east-1.aws.found.io/app/kibana#/discover/Steve-Slow-Train-Analysis-(2080s-and-2083s)?_g=(refreshInterval:(display:Off,pause:!f,section:0,value:0),time:(from:'2017-10-05T07:26:38-0600',mode:absolute,to:'2017-10-05T09:55:14-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4017%22')),sort:!(Time.ISO8601,asc))</v>
      </c>
      <c r="W173" s="204" t="str">
        <f>IF(AA173&lt;VLOOKUP(AG173,Variables!$AC$3:$AD$8,2,FALSE),"Y","N")</f>
        <v>N</v>
      </c>
      <c r="X173" s="204">
        <f t="shared" si="128"/>
        <v>1</v>
      </c>
      <c r="Y173" s="204">
        <f t="shared" si="126"/>
        <v>5.8678999999999997</v>
      </c>
      <c r="Z173" s="204">
        <f t="shared" si="127"/>
        <v>7.0999999999999994E-2</v>
      </c>
      <c r="AA173" s="204">
        <f t="shared" si="133"/>
        <v>5.7968999999999999</v>
      </c>
      <c r="AB173" s="54" t="e">
        <f>VLOOKUP(A173,Enforcements!$C$7:$K$11,8,0)</f>
        <v>#N/A</v>
      </c>
      <c r="AC173" s="51" t="e">
        <f>VLOOKUP(A173,Enforcements!$C$7:$E$11,3,0)</f>
        <v>#N/A</v>
      </c>
      <c r="AD173" s="179">
        <f t="shared" si="134"/>
        <v>812</v>
      </c>
      <c r="AE173" s="77" t="str">
        <f t="shared" si="108"/>
        <v>aws s3 cp s3://rtdc.mdm.uploadarchive.raw/RTDC4017/ "%USERPROFILE%\AppData\Local\Temp\OnboardLogs"\RTDC4017\2017-10-05 --exclude "*" --recursive --include "*20171005*" &amp; "%USERPROFILE%\Documents\GitHub\mrs-test-scripts\Headless Mode &amp; Sideloading\WalkAndUnGZ.bat" "%USERPROFILE%\AppData\Local\Temp\OnboardLogs"\RTDC4017\2017-10-05 &amp; aws s3 cp s3://rtdc.mdm.uploadarchive.raw/RTDC4017/ "%USERPROFILE%\AppData\Local\Temp\OnboardLogs"\RTDC4017\2017-10-06 --exclude "*" --recursive --include "*20171006*" &amp; "%USERPROFILE%\Documents\GitHub\mrs-test-scripts\Headless Mode &amp; Sideloading\WalkAndUnGZ.bat" "%USERPROFILE%\AppData\Local\Temp\OnboardLogs"\RTDC4017\2017-10-06</v>
      </c>
      <c r="AF173" s="74" t="str">
        <f t="shared" si="109"/>
        <v>"C:\Program Files (x86)\AstroGrep\AstroGrep.exe" /e /r /s /spath="%USERPROFILE%\AppData\Local\Temp\OnboardLogs" /stypes="app*4017*20171005*" /stext=" 14:.+((SYSTEM_STATE.+slice.+state.+changed )|(ment ac)|(multiple cpu faults)|(system.+state.+changed )|(\[timeout)|(PRM\|1\|D)|(kpr)|(kdp)|(train st.+moving)|(\|lc)|(penalty))"</v>
      </c>
      <c r="AG173" s="182" t="str">
        <f t="shared" si="135"/>
        <v>NW</v>
      </c>
      <c r="AH173" s="78" t="str">
        <f t="shared" si="110"/>
        <v>"%USERPROFILE%\Documents\GitHub\eaglep3\Utilities\RefineRTDCRunTimes.py" --tripid 812-05 --locoid 4017 --swversion DE.1.0.9.0 --startMP 300:58679 --initTime 2017-10-05T08:26:38 --startdatetime 2017-10-05T08:43:42 --delay 56 --endMP 204:710 --enddatetime 2017-10-05T08:55:14 --enforcementcount 0 &gt;&gt;%USERPROFILE%\Documents\GitHub\eaglep3-reporting\EC\2017-10-05-refined-times.txt</v>
      </c>
      <c r="AI173" s="96" t="str">
        <f t="shared" si="111"/>
        <v>echo {"issue":{"subject":"","project_id":79,"tracker_id":40,"status_id":1,"priority_id":2,"assigned_to_id":338,"start_date":"2017-10-05","description":"","custom_fields":[{"id":1,"name":"Subdivision","value":"NW"},{"id":4,"name":"Milepost","value":"0.071"},{"id":17,"name":"Train ID","value":"812-05"},{"id":16,"name":"Locomotive ID","value":"4017"},{"id":130,"name":"Impact","value":""},{"id":150,"name":"Time of Event (Mountain Time)","value":"08:55:14"},{"id":151,"name":"Denver Issue ID","value":""},{"id":178,"name":"Operational Impact","value":"Yes"},{"id":179,"name":"Denver Segment Assigned","value":""}]}} | curl --insecure -X POST -H "Content-Type: application/json" -H "X-Redmine-API-Key: %REDMINEAPIKEY%" https://secure.xorail.net/redmine/issues.json --data @-</v>
      </c>
      <c r="AK173" s="47"/>
      <c r="AL173" s="47"/>
      <c r="AM173" s="142" t="str">
        <f t="shared" si="112"/>
        <v>start /low /b %USERPROFILE%\Documents\GitHub\eaglep3\Utilities\DownloadLogsFromS3.py --loco 4017 --day 2017-10-05</v>
      </c>
      <c r="AN173" s="151" t="str">
        <f t="shared" si="113"/>
        <v>echo {"issue":{"subject":"","project_id":30,"tracker_id":4,"status_id":1,"priority_id":1,"assigned_to_id":10,"start_date":"2017-10-05","description":"","custom_fields":[{"id":30,"name":"Category","value":"Issue"},{"id":3,"name":"Functional Component","value":"Onboard"},{"id":31,"name":"Version","value":"N/A"},{"id":8,"name":"Reporting RR","value":"WABTEC"},{"id":27,"name":"Locomotive ID","value":"4017"},{"id":20,"name":"RR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14:55:14"},{"id":29,"name":"Sharepoint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73" s="168" t="str">
        <f t="shared" si="114"/>
        <v>https://d0f6bd738d7f1b3e5a7ca70fe4ff75f0.us-east-1.aws.found.io/app/kibana#/discover/Steve-Slow-Train-Analysis-(2080s-and-2083s)?_g=(refreshInterval:(display:Off,pause:!f,section:0,value:0),time:(from:'2017-10-05T07:26:38-0600',mode:absolute,to:'2017-10-05T09:55:14-0600'))&amp;_a=(columns:!('Message%20ID',Summary),filters:!(),index:'emp_*',interval:auto,query:(query_string:(analyze_wildcard:!t,query:'%22rtdc.l.rtdc.4017%22')),sort:!(Time.ISO8601,asc))</v>
      </c>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row>
    <row r="174" spans="1:91" s="20" customFormat="1" x14ac:dyDescent="0.25">
      <c r="A174" s="32" t="s">
        <v>587</v>
      </c>
      <c r="B174" s="7">
        <v>4018</v>
      </c>
      <c r="C174" s="21" t="s">
        <v>194</v>
      </c>
      <c r="D174" s="21" t="s">
        <v>935</v>
      </c>
      <c r="E174" s="13">
        <v>43013.374039351853</v>
      </c>
      <c r="F174" s="13">
        <v>43013.381631944445</v>
      </c>
      <c r="G174" s="7">
        <v>51</v>
      </c>
      <c r="H174" s="21" t="s">
        <v>936</v>
      </c>
      <c r="I174" s="13">
        <v>43013.38175925926</v>
      </c>
      <c r="J174" s="7">
        <v>0</v>
      </c>
      <c r="K174" s="89" t="str">
        <f t="shared" si="129"/>
        <v>4017/4018</v>
      </c>
      <c r="L174" s="185" t="str">
        <f>VLOOKUP(A174,'Trips&amp;Operators'!$C$1:$G$99911,5,FALSE)</f>
        <v>FORTUNATO FRANK</v>
      </c>
      <c r="M174" s="6">
        <f t="shared" si="130"/>
        <v>1.273148154723458E-4</v>
      </c>
      <c r="N174" s="7"/>
      <c r="O174" s="7"/>
      <c r="P174" s="7">
        <f>24*60*SUM($M174:$M174)</f>
        <v>0.18333333428017795</v>
      </c>
      <c r="Q174" s="22"/>
      <c r="R174" s="174" t="s">
        <v>1004</v>
      </c>
      <c r="S174" s="221">
        <f t="shared" si="131"/>
        <v>0</v>
      </c>
      <c r="T174" s="174" t="str">
        <f t="shared" si="132"/>
        <v>NorthBound</v>
      </c>
      <c r="U174" s="198">
        <f>IF(AG174="EC",COUNTIFS(Variables!$M$2:$M$19,IF(T174="NorthBound","&gt;=","&lt;=")&amp;Y174,Variables!$M$2:$M$19,IF(T174="NorthBound","&lt;=","&gt;=")&amp;Z174),COUNTIFS(Variables!$P$2:$P$19,IF(T174="NorthBound","&gt;=","&lt;=")&amp;Y174,Variables!$P$2:$P$19,IF(T174="NorthBound","&lt;=","&gt;=")&amp;Z174))</f>
        <v>0</v>
      </c>
      <c r="V174" s="216" t="str">
        <f t="shared" si="107"/>
        <v>https://d0f6bd738d7f1b3e5a7ca70fe4ff75f0.us-east-1.aws.found.io/app/kibana#/discover/Steve-Slow-Train-Analysis-(2080s-and-2083s)?_g=(refreshInterval:(display:Off,pause:!f,section:0,value:0),time:(from:'2017-10-05T07:58:37-0600',mode:absolute,to:'2017-10-05T10:09:44-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4018%22')),sort:!(Time.ISO8601,asc))</v>
      </c>
      <c r="W174" s="204" t="str">
        <f>IF(AA174&lt;VLOOKUP(AG174,Variables!$AC$3:$AD$8,2,FALSE),"Y","N")</f>
        <v>Y</v>
      </c>
      <c r="X174" s="204">
        <f t="shared" si="128"/>
        <v>1</v>
      </c>
      <c r="Y174" s="204">
        <f t="shared" si="126"/>
        <v>0.1492</v>
      </c>
      <c r="Z174" s="204">
        <f t="shared" si="127"/>
        <v>0.1988</v>
      </c>
      <c r="AA174" s="204">
        <f t="shared" si="133"/>
        <v>4.9600000000000005E-2</v>
      </c>
      <c r="AB174" s="54" t="e">
        <f>VLOOKUP(A174,Enforcements!$C$7:$K$11,8,0)</f>
        <v>#N/A</v>
      </c>
      <c r="AC174" s="51" t="e">
        <f>VLOOKUP(A174,Enforcements!$C$7:$E$11,3,0)</f>
        <v>#N/A</v>
      </c>
      <c r="AD174" s="179">
        <f t="shared" si="134"/>
        <v>813</v>
      </c>
      <c r="AE174" s="77" t="str">
        <f t="shared" si="108"/>
        <v>aws s3 cp s3://rtdc.mdm.uploadarchive.raw/RTDC4018/ "%USERPROFILE%\AppData\Local\Temp\OnboardLogs"\RTDC4018\2017-10-05 --exclude "*" --recursive --include "*20171005*" &amp; "%USERPROFILE%\Documents\GitHub\mrs-test-scripts\Headless Mode &amp; Sideloading\WalkAndUnGZ.bat" "%USERPROFILE%\AppData\Local\Temp\OnboardLogs"\RTDC4018\2017-10-05 &amp; aws s3 cp s3://rtdc.mdm.uploadarchive.raw/RTDC4018/ "%USERPROFILE%\AppData\Local\Temp\OnboardLogs"\RTDC4018\2017-10-06 --exclude "*" --recursive --include "*20171006*" &amp; "%USERPROFILE%\Documents\GitHub\mrs-test-scripts\Headless Mode &amp; Sideloading\WalkAndUnGZ.bat" "%USERPROFILE%\AppData\Local\Temp\OnboardLogs"\RTDC4018\2017-10-06</v>
      </c>
      <c r="AF174" s="74" t="str">
        <f t="shared" si="109"/>
        <v>"C:\Program Files (x86)\AstroGrep\AstroGrep.exe" /e /r /s /spath="%USERPROFILE%\AppData\Local\Temp\OnboardLogs" /stypes="app*4018*20171005*" /stext=" 15:.+((SYSTEM_STATE.+slice.+state.+changed )|(ment ac)|(multiple cpu faults)|(system.+state.+changed )|(\[timeout)|(PRM\|1\|D)|(kpr)|(kdp)|(train st.+moving)|(\|lc)|(penalty))"</v>
      </c>
      <c r="AG174" s="182" t="str">
        <f t="shared" si="135"/>
        <v>NW</v>
      </c>
      <c r="AH174" s="78" t="str">
        <f t="shared" si="110"/>
        <v>"%USERPROFILE%\Documents\GitHub\eaglep3\Utilities\RefineRTDCRunTimes.py" --tripid 813-05 --locoid 4018 --swversion DE.1.0.9.0 --startMP 204:1492 --initTime 2017-10-05T08:58:37 --startdatetime 2017-10-05T09:09:33 --delay 51 --endMP 204:1988 --enddatetime 2017-10-05T09:09:44 --enforcementcount 0 &gt;&gt;%USERPROFILE%\Documents\GitHub\eaglep3-reporting\EC\2017-10-05-refined-times.txt</v>
      </c>
      <c r="AI174" s="96" t="str">
        <f t="shared" si="111"/>
        <v>echo {"issue":{"subject":"Poor GPS at DUS","project_id":79,"tracker_id":40,"status_id":1,"priority_id":2,"assigned_to_id":338,"start_date":"2017-10-05","description":"","custom_fields":[{"id":1,"name":"Subdivision","value":"NW"},{"id":4,"name":"Milepost","value":"0.1988"},{"id":17,"name":"Train ID","value":"813-05"},{"id":16,"name":"Locomotive ID","value":"4018"},{"id":130,"name":"Impact","value":""},{"id":150,"name":"Time of Event (Mountain Time)","value":"09:09:44"},{"id":151,"name":"Denver Issue ID","value":""},{"id":178,"name":"Operational Impact","value":"Yes"},{"id":179,"name":"Denver Segment Assigned","value":""}]}} | curl --insecure -X POST -H "Content-Type: application/json" -H "X-Redmine-API-Key: %REDMINEAPIKEY%" https://secure.xorail.net/redmine/issues.json --data @-</v>
      </c>
      <c r="AK174" s="47"/>
      <c r="AL174" s="47"/>
      <c r="AM174" s="142" t="str">
        <f t="shared" si="112"/>
        <v>start /low /b %USERPROFILE%\Documents\GitHub\eaglep3\Utilities\DownloadLogsFromS3.py --loco 4018 --day 2017-10-05</v>
      </c>
      <c r="AN174" s="151" t="str">
        <f t="shared" si="113"/>
        <v>echo {"issue":{"subject":"Poor GPS at DUS","project_id":30,"tracker_id":4,"status_id":1,"priority_id":1,"assigned_to_id":10,"start_date":"2017-10-05","description":"","custom_fields":[{"id":30,"name":"Category","value":"Issue"},{"id":3,"name":"Functional Component","value":"Onboard"},{"id":31,"name":"Version","value":"N/A"},{"id":8,"name":"Reporting RR","value":"WABTEC"},{"id":27,"name":"Locomotive ID","value":"4018"},{"id":20,"name":"RR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15:09:44"},{"id":29,"name":"Sharepoint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74" s="168" t="str">
        <f t="shared" si="114"/>
        <v>https://d0f6bd738d7f1b3e5a7ca70fe4ff75f0.us-east-1.aws.found.io/app/kibana#/discover/Steve-Slow-Train-Analysis-(2080s-and-2083s)?_g=(refreshInterval:(display:Off,pause:!f,section:0,value:0),time:(from:'2017-10-05T07:58:37-0600',mode:absolute,to:'2017-10-05T10:09:44-0600'))&amp;_a=(columns:!('Message%20ID',Summary),filters:!(),index:'emp_*',interval:auto,query:(query_string:(analyze_wildcard:!t,query:'%22rtdc.l.rtdc.4018%22')),sort:!(Time.ISO8601,asc))</v>
      </c>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row>
    <row r="175" spans="1:91" s="20" customFormat="1" x14ac:dyDescent="0.25">
      <c r="A175" s="32" t="s">
        <v>589</v>
      </c>
      <c r="B175" s="7">
        <v>4017</v>
      </c>
      <c r="C175" s="21" t="s">
        <v>194</v>
      </c>
      <c r="D175" s="21" t="s">
        <v>937</v>
      </c>
      <c r="E175" s="13">
        <v>43013.393194444441</v>
      </c>
      <c r="F175" s="13">
        <v>43013.405462962961</v>
      </c>
      <c r="G175" s="7">
        <v>50</v>
      </c>
      <c r="H175" s="21" t="s">
        <v>938</v>
      </c>
      <c r="I175" s="13">
        <v>43013.413437499999</v>
      </c>
      <c r="J175" s="7">
        <v>0</v>
      </c>
      <c r="K175" s="89" t="str">
        <f t="shared" si="129"/>
        <v>4017/4018</v>
      </c>
      <c r="L175" s="185" t="str">
        <f>VLOOKUP(A175,'Trips&amp;Operators'!$C$1:$G$99911,5,FALSE)</f>
        <v>FORTUNATO FRANK</v>
      </c>
      <c r="M175" s="6">
        <f t="shared" si="130"/>
        <v>7.9745370385353453E-3</v>
      </c>
      <c r="N175" s="7">
        <f t="shared" ref="N175:N180" si="136">24*60*SUM($M175:$M175)</f>
        <v>11.483333335490897</v>
      </c>
      <c r="O175" s="7"/>
      <c r="P175" s="7"/>
      <c r="Q175" s="22"/>
      <c r="R175" s="174"/>
      <c r="S175" s="221">
        <f t="shared" si="131"/>
        <v>1</v>
      </c>
      <c r="T175" s="174" t="str">
        <f t="shared" si="132"/>
        <v>Southbound</v>
      </c>
      <c r="U175" s="198">
        <f>IF(AG175="EC",COUNTIFS(Variables!$M$2:$M$19,IF(T175="NorthBound","&gt;=","&lt;=")&amp;Y175,Variables!$M$2:$M$19,IF(T175="NorthBound","&lt;=","&gt;=")&amp;Z175),COUNTIFS(Variables!$P$2:$P$19,IF(T175="NorthBound","&gt;=","&lt;=")&amp;Y175,Variables!$P$2:$P$19,IF(T175="NorthBound","&lt;=","&gt;=")&amp;Z175))</f>
        <v>1</v>
      </c>
      <c r="V175" s="216" t="str">
        <f t="shared" si="107"/>
        <v>https://d0f6bd738d7f1b3e5a7ca70fe4ff75f0.us-east-1.aws.found.io/app/kibana#/discover/Steve-Slow-Train-Analysis-(2080s-and-2083s)?_g=(refreshInterval:(display:Off,pause:!f,section:0,value:0),time:(from:'2017-10-05T08:26:12-0600',mode:absolute,to:'2017-10-05T10:55:21-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4017%22')),sort:!(Time.ISO8601,asc))</v>
      </c>
      <c r="W175" s="204" t="str">
        <f>IF(AA175&lt;VLOOKUP(AG175,Variables!$AC$3:$AD$8,2,FALSE),"Y","N")</f>
        <v>N</v>
      </c>
      <c r="X175" s="204">
        <f t="shared" si="128"/>
        <v>1</v>
      </c>
      <c r="Y175" s="204">
        <f t="shared" si="126"/>
        <v>5.8689999999999998</v>
      </c>
      <c r="Z175" s="204">
        <f t="shared" si="127"/>
        <v>1.6899999999999998E-2</v>
      </c>
      <c r="AA175" s="204">
        <f t="shared" si="133"/>
        <v>5.8521000000000001</v>
      </c>
      <c r="AB175" s="54" t="e">
        <f>VLOOKUP(A175,Enforcements!$C$7:$K$11,8,0)</f>
        <v>#N/A</v>
      </c>
      <c r="AC175" s="51" t="e">
        <f>VLOOKUP(A175,Enforcements!$C$7:$E$11,3,0)</f>
        <v>#N/A</v>
      </c>
      <c r="AD175" s="179">
        <f t="shared" si="134"/>
        <v>814</v>
      </c>
      <c r="AE175" s="77" t="str">
        <f t="shared" si="108"/>
        <v>aws s3 cp s3://rtdc.mdm.uploadarchive.raw/RTDC4017/ "%USERPROFILE%\AppData\Local\Temp\OnboardLogs"\RTDC4017\2017-10-05 --exclude "*" --recursive --include "*20171005*" &amp; "%USERPROFILE%\Documents\GitHub\mrs-test-scripts\Headless Mode &amp; Sideloading\WalkAndUnGZ.bat" "%USERPROFILE%\AppData\Local\Temp\OnboardLogs"\RTDC4017\2017-10-05 &amp; aws s3 cp s3://rtdc.mdm.uploadarchive.raw/RTDC4017/ "%USERPROFILE%\AppData\Local\Temp\OnboardLogs"\RTDC4017\2017-10-06 --exclude "*" --recursive --include "*20171006*" &amp; "%USERPROFILE%\Documents\GitHub\mrs-test-scripts\Headless Mode &amp; Sideloading\WalkAndUnGZ.bat" "%USERPROFILE%\AppData\Local\Temp\OnboardLogs"\RTDC4017\2017-10-06</v>
      </c>
      <c r="AF175" s="74" t="str">
        <f t="shared" si="109"/>
        <v>"C:\Program Files (x86)\AstroGrep\AstroGrep.exe" /e /r /s /spath="%USERPROFILE%\AppData\Local\Temp\OnboardLogs" /stypes="app*4017*20171005*" /stext=" 15:.+((SYSTEM_STATE.+slice.+state.+changed )|(ment ac)|(multiple cpu faults)|(system.+state.+changed )|(\[timeout)|(PRM\|1\|D)|(kpr)|(kdp)|(train st.+moving)|(\|lc)|(penalty))"</v>
      </c>
      <c r="AG175" s="182" t="str">
        <f t="shared" si="135"/>
        <v>NW</v>
      </c>
      <c r="AH175" s="78" t="str">
        <f t="shared" si="110"/>
        <v>"%USERPROFILE%\Documents\GitHub\eaglep3\Utilities\RefineRTDCRunTimes.py" --tripid 814-05 --locoid 4017 --swversion DE.1.0.9.0 --startMP 300:58690 --initTime 2017-10-05T09:26:12 --startdatetime 2017-10-05T09:43:52 --delay 50 --endMP 204:169 --enddatetime 2017-10-05T09:55:21 --enforcementcount 0 &gt;&gt;%USERPROFILE%\Documents\GitHub\eaglep3-reporting\EC\2017-10-05-refined-times.txt</v>
      </c>
      <c r="AI175" s="96" t="str">
        <f t="shared" si="111"/>
        <v>echo {"issue":{"subject":"","project_id":79,"tracker_id":40,"status_id":1,"priority_id":2,"assigned_to_id":338,"start_date":"2017-10-05","description":"","custom_fields":[{"id":1,"name":"Subdivision","value":"NW"},{"id":4,"name":"Milepost","value":"0.0169"},{"id":17,"name":"Train ID","value":"814-05"},{"id":16,"name":"Locomotive ID","value":"4017"},{"id":130,"name":"Impact","value":""},{"id":150,"name":"Time of Event (Mountain Time)","value":"09:55:21"},{"id":151,"name":"Denver Issue ID","value":""},{"id":178,"name":"Operational Impact","value":"Yes"},{"id":179,"name":"Denver Segment Assigned","value":""}]}} | curl --insecure -X POST -H "Content-Type: application/json" -H "X-Redmine-API-Key: %REDMINEAPIKEY%" https://secure.xorail.net/redmine/issues.json --data @-</v>
      </c>
      <c r="AK175" s="47"/>
      <c r="AL175" s="47"/>
      <c r="AM175" s="142" t="str">
        <f t="shared" si="112"/>
        <v>start /low /b %USERPROFILE%\Documents\GitHub\eaglep3\Utilities\DownloadLogsFromS3.py --loco 4017 --day 2017-10-05</v>
      </c>
      <c r="AN175" s="151" t="str">
        <f t="shared" si="113"/>
        <v>echo {"issue":{"subject":"","project_id":30,"tracker_id":4,"status_id":1,"priority_id":1,"assigned_to_id":10,"start_date":"2017-10-05","description":"","custom_fields":[{"id":30,"name":"Category","value":"Issue"},{"id":3,"name":"Functional Component","value":"Onboard"},{"id":31,"name":"Version","value":"N/A"},{"id":8,"name":"Reporting RR","value":"WABTEC"},{"id":27,"name":"Locomotive ID","value":"4017"},{"id":20,"name":"RR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15:55:21"},{"id":29,"name":"Sharepoint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75" s="168" t="str">
        <f t="shared" si="114"/>
        <v>https://d0f6bd738d7f1b3e5a7ca70fe4ff75f0.us-east-1.aws.found.io/app/kibana#/discover/Steve-Slow-Train-Analysis-(2080s-and-2083s)?_g=(refreshInterval:(display:Off,pause:!f,section:0,value:0),time:(from:'2017-10-05T08:26:12-0600',mode:absolute,to:'2017-10-05T10:55:21-0600'))&amp;_a=(columns:!('Message%20ID',Summary),filters:!(),index:'emp_*',interval:auto,query:(query_string:(analyze_wildcard:!t,query:'%22rtdc.l.rtdc.4017%22')),sort:!(Time.ISO8601,asc))</v>
      </c>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row>
    <row r="176" spans="1:91" s="20" customFormat="1" x14ac:dyDescent="0.25">
      <c r="A176" s="32" t="s">
        <v>684</v>
      </c>
      <c r="B176" s="7">
        <v>4002</v>
      </c>
      <c r="C176" s="21" t="s">
        <v>194</v>
      </c>
      <c r="D176" s="21" t="s">
        <v>499</v>
      </c>
      <c r="E176" s="13">
        <v>43013.422083333331</v>
      </c>
      <c r="F176" s="13">
        <v>43013.423773148148</v>
      </c>
      <c r="G176" s="7">
        <v>80</v>
      </c>
      <c r="H176" s="21" t="s">
        <v>563</v>
      </c>
      <c r="I176" s="13">
        <v>43013.434293981481</v>
      </c>
      <c r="J176" s="7">
        <v>0</v>
      </c>
      <c r="K176" s="89" t="str">
        <f t="shared" si="129"/>
        <v>4001/4002</v>
      </c>
      <c r="L176" s="185" t="str">
        <f>VLOOKUP(A176,'Trips&amp;Operators'!$C$1:$G$99911,5,FALSE)</f>
        <v>FORTUNATO FRANK</v>
      </c>
      <c r="M176" s="6">
        <f t="shared" si="130"/>
        <v>1.0520833333430346E-2</v>
      </c>
      <c r="N176" s="7">
        <f t="shared" si="136"/>
        <v>15.150000000139698</v>
      </c>
      <c r="O176" s="7"/>
      <c r="P176" s="7"/>
      <c r="Q176" s="22"/>
      <c r="R176" s="174"/>
      <c r="S176" s="221">
        <f t="shared" si="131"/>
        <v>1</v>
      </c>
      <c r="T176" s="174" t="str">
        <f t="shared" si="132"/>
        <v>NorthBound</v>
      </c>
      <c r="U176" s="198">
        <f>IF(AG176="EC",COUNTIFS(Variables!$M$2:$M$19,IF(T176="NorthBound","&gt;=","&lt;=")&amp;Y176,Variables!$M$2:$M$19,IF(T176="NorthBound","&lt;=","&gt;=")&amp;Z176),COUNTIFS(Variables!$P$2:$P$19,IF(T176="NorthBound","&gt;=","&lt;=")&amp;Y176,Variables!$P$2:$P$19,IF(T176="NorthBound","&lt;=","&gt;=")&amp;Z176))</f>
        <v>1</v>
      </c>
      <c r="V176" s="216" t="str">
        <f t="shared" si="107"/>
        <v>https://d0f6bd738d7f1b3e5a7ca70fe4ff75f0.us-east-1.aws.found.io/app/kibana#/discover/Steve-Slow-Train-Analysis-(2080s-and-2083s)?_g=(refreshInterval:(display:Off,pause:!f,section:0,value:0),time:(from:'2017-10-05T09:07:48-0600',mode:absolute,to:'2017-10-05T11:25:23-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W176" s="204" t="str">
        <f>IF(AA176&lt;VLOOKUP(AG176,Variables!$AC$3:$AD$8,2,FALSE),"Y","N")</f>
        <v>N</v>
      </c>
      <c r="X176" s="204">
        <f t="shared" si="128"/>
        <v>1</v>
      </c>
      <c r="Y176" s="204">
        <f t="shared" si="126"/>
        <v>9.5699999999999993E-2</v>
      </c>
      <c r="Z176" s="204">
        <f t="shared" si="127"/>
        <v>5.8964999999999996</v>
      </c>
      <c r="AA176" s="204">
        <f t="shared" si="133"/>
        <v>5.8007999999999997</v>
      </c>
      <c r="AB176" s="54" t="e">
        <f>VLOOKUP(A176,Enforcements!$C$7:$K$11,8,0)</f>
        <v>#N/A</v>
      </c>
      <c r="AC176" s="51" t="e">
        <f>VLOOKUP(A176,Enforcements!$C$7:$E$11,3,0)</f>
        <v>#N/A</v>
      </c>
      <c r="AD176" s="179">
        <f t="shared" si="134"/>
        <v>815</v>
      </c>
      <c r="AE176" s="77" t="str">
        <f t="shared" si="108"/>
        <v>aws s3 cp s3://rtdc.mdm.uploadarchive.raw/RTDC4002/ "%USERPROFILE%\AppData\Local\Temp\OnboardLogs"\RTDC4002\2017-10-05 --exclude "*" --recursive --include "*20171005*" &amp; "%USERPROFILE%\Documents\GitHub\mrs-test-scripts\Headless Mode &amp; Sideloading\WalkAndUnGZ.bat" "%USERPROFILE%\AppData\Local\Temp\OnboardLogs"\RTDC4002\2017-10-05 &amp; aws s3 cp s3://rtdc.mdm.uploadarchive.raw/RTDC4002/ "%USERPROFILE%\AppData\Local\Temp\OnboardLogs"\RTDC4002\2017-10-06 --exclude "*" --recursive --include "*20171006*" &amp; "%USERPROFILE%\Documents\GitHub\mrs-test-scripts\Headless Mode &amp; Sideloading\WalkAndUnGZ.bat" "%USERPROFILE%\AppData\Local\Temp\OnboardLogs"\RTDC4002\2017-10-06</v>
      </c>
      <c r="AF176" s="74" t="str">
        <f t="shared" si="109"/>
        <v>"C:\Program Files (x86)\AstroGrep\AstroGrep.exe" /e /r /s /spath="%USERPROFILE%\AppData\Local\Temp\OnboardLogs" /stypes="app*4002*20171005*" /stext=" 16:.+((SYSTEM_STATE.+slice.+state.+changed )|(ment ac)|(multiple cpu faults)|(system.+state.+changed )|(\[timeout)|(PRM\|1\|D)|(kpr)|(kdp)|(train st.+moving)|(\|lc)|(penalty))"</v>
      </c>
      <c r="AG176" s="182" t="str">
        <f t="shared" si="135"/>
        <v>NW</v>
      </c>
      <c r="AH176" s="78" t="str">
        <f t="shared" si="110"/>
        <v>"%USERPROFILE%\Documents\GitHub\eaglep3\Utilities\RefineRTDCRunTimes.py" --tripid 815-05 --locoid 4002 --swversion DE.1.0.9.0 --startMP 204:957 --initTime 2017-10-05T10:07:48 --startdatetime 2017-10-05T10:10:14 --delay 80 --endMP 300:58965 --enddatetime 2017-10-05T10:25:23 --enforcementcount 0 &gt;&gt;%USERPROFILE%\Documents\GitHub\eaglep3-reporting\EC\2017-10-05-refined-times.txt</v>
      </c>
      <c r="AI176" s="96" t="str">
        <f t="shared" si="111"/>
        <v>echo {"issue":{"subject":"","project_id":79,"tracker_id":40,"status_id":1,"priority_id":2,"assigned_to_id":338,"start_date":"2017-10-05","description":"","custom_fields":[{"id":1,"name":"Subdivision","value":"NW"},{"id":4,"name":"Milepost","value":"5.8965"},{"id":17,"name":"Train ID","value":"815-05"},{"id":16,"name":"Locomotive ID","value":"4002"},{"id":130,"name":"Impact","value":""},{"id":150,"name":"Time of Event (Mountain Time)","value":"10:25:23"},{"id":151,"name":"Denver Issue ID","value":""},{"id":178,"name":"Operational Impact","value":"Yes"},{"id":179,"name":"Denver Segment Assigned","value":""}]}} | curl --insecure -X POST -H "Content-Type: application/json" -H "X-Redmine-API-Key: %REDMINEAPIKEY%" https://secure.xorail.net/redmine/issues.json --data @-</v>
      </c>
      <c r="AK176" s="47"/>
      <c r="AL176" s="47"/>
      <c r="AM176" s="142" t="str">
        <f t="shared" si="112"/>
        <v>start /low /b %USERPROFILE%\Documents\GitHub\eaglep3\Utilities\DownloadLogsFromS3.py --loco 4002 --day 2017-10-05</v>
      </c>
      <c r="AN176" s="151" t="str">
        <f t="shared" si="113"/>
        <v>echo {"issue":{"subject":"","project_id":30,"tracker_id":4,"status_id":1,"priority_id":1,"assigned_to_id":10,"start_date":"2017-10-05","description":"","custom_fields":[{"id":30,"name":"Category","value":"Issue"},{"id":3,"name":"Functional Component","value":"Onboard"},{"id":31,"name":"Version","value":"N/A"},{"id":8,"name":"Reporting RR","value":"WABTEC"},{"id":27,"name":"Locomotive ID","value":"4002"},{"id":20,"name":"RR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16:25:23"},{"id":29,"name":"Sharepoint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76" s="168" t="str">
        <f t="shared" si="114"/>
        <v>https://d0f6bd738d7f1b3e5a7ca70fe4ff75f0.us-east-1.aws.found.io/app/kibana#/discover/Steve-Slow-Train-Analysis-(2080s-and-2083s)?_g=(refreshInterval:(display:Off,pause:!f,section:0,value:0),time:(from:'2017-10-05T09:07:48-0600',mode:absolute,to:'2017-10-05T11:25:23-0600'))&amp;_a=(columns:!('Message%20ID',Summary),filters:!(),index:'emp_*',interval:auto,query:(query_string:(analyze_wildcard:!t,query:'%22rtdc.l.rtdc.4002%22')),sort:!(Time.ISO8601,asc))</v>
      </c>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row>
    <row r="177" spans="1:91" s="20" customFormat="1" x14ac:dyDescent="0.25">
      <c r="A177" s="32" t="s">
        <v>592</v>
      </c>
      <c r="B177" s="7">
        <v>4001</v>
      </c>
      <c r="C177" s="21" t="s">
        <v>194</v>
      </c>
      <c r="D177" s="21" t="s">
        <v>564</v>
      </c>
      <c r="E177" s="13">
        <v>43013.435856481483</v>
      </c>
      <c r="F177" s="13">
        <v>43013.446956018517</v>
      </c>
      <c r="G177" s="7">
        <v>58</v>
      </c>
      <c r="H177" s="21" t="s">
        <v>939</v>
      </c>
      <c r="I177" s="13">
        <v>43013.456099537034</v>
      </c>
      <c r="J177" s="7">
        <v>0</v>
      </c>
      <c r="K177" s="89" t="str">
        <f t="shared" si="129"/>
        <v>4001/4002</v>
      </c>
      <c r="L177" s="185" t="str">
        <f>VLOOKUP(A177,'Trips&amp;Operators'!$C$1:$G$99911,5,FALSE)</f>
        <v>FORTUNATO FRANK</v>
      </c>
      <c r="M177" s="6">
        <f t="shared" si="130"/>
        <v>9.1435185167938471E-3</v>
      </c>
      <c r="N177" s="7">
        <f t="shared" si="136"/>
        <v>13.16666666418314</v>
      </c>
      <c r="O177" s="7"/>
      <c r="P177" s="7"/>
      <c r="Q177" s="22"/>
      <c r="R177" s="174"/>
      <c r="S177" s="221">
        <f t="shared" si="131"/>
        <v>1</v>
      </c>
      <c r="T177" s="174" t="str">
        <f t="shared" si="132"/>
        <v>Southbound</v>
      </c>
      <c r="U177" s="198">
        <f>IF(AG177="EC",COUNTIFS(Variables!$M$2:$M$19,IF(T177="NorthBound","&gt;=","&lt;=")&amp;Y177,Variables!$M$2:$M$19,IF(T177="NorthBound","&lt;=","&gt;=")&amp;Z177),COUNTIFS(Variables!$P$2:$P$19,IF(T177="NorthBound","&gt;=","&lt;=")&amp;Y177,Variables!$P$2:$P$19,IF(T177="NorthBound","&lt;=","&gt;=")&amp;Z177))</f>
        <v>1</v>
      </c>
      <c r="V177" s="216" t="str">
        <f t="shared" si="107"/>
        <v>https://d0f6bd738d7f1b3e5a7ca70fe4ff75f0.us-east-1.aws.found.io/app/kibana#/discover/Steve-Slow-Train-Analysis-(2080s-and-2083s)?_g=(refreshInterval:(display:Off,pause:!f,section:0,value:0),time:(from:'2017-10-05T09:27:38-0600',mode:absolute,to:'2017-10-05T11:56:47-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W177" s="204" t="str">
        <f>IF(AA177&lt;VLOOKUP(AG177,Variables!$AC$3:$AD$8,2,FALSE),"Y","N")</f>
        <v>N</v>
      </c>
      <c r="X177" s="204">
        <f t="shared" si="128"/>
        <v>1</v>
      </c>
      <c r="Y177" s="204">
        <f t="shared" si="126"/>
        <v>5.8647</v>
      </c>
      <c r="Z177" s="204">
        <f t="shared" si="127"/>
        <v>7.17E-2</v>
      </c>
      <c r="AA177" s="204">
        <f t="shared" si="133"/>
        <v>5.7930000000000001</v>
      </c>
      <c r="AB177" s="54" t="e">
        <f>VLOOKUP(A177,Enforcements!$C$7:$K$11,8,0)</f>
        <v>#N/A</v>
      </c>
      <c r="AC177" s="51" t="e">
        <f>VLOOKUP(A177,Enforcements!$C$7:$E$11,3,0)</f>
        <v>#N/A</v>
      </c>
      <c r="AD177" s="179">
        <f t="shared" si="134"/>
        <v>816</v>
      </c>
      <c r="AE177" s="77" t="str">
        <f t="shared" si="108"/>
        <v>aws s3 cp s3://rtdc.mdm.uploadarchive.raw/RTDC4001/ "%USERPROFILE%\AppData\Local\Temp\OnboardLogs"\RTDC4001\2017-10-05 --exclude "*" --recursive --include "*20171005*" &amp; "%USERPROFILE%\Documents\GitHub\mrs-test-scripts\Headless Mode &amp; Sideloading\WalkAndUnGZ.bat" "%USERPROFILE%\AppData\Local\Temp\OnboardLogs"\RTDC4001\2017-10-05 &amp; aws s3 cp s3://rtdc.mdm.uploadarchive.raw/RTDC4001/ "%USERPROFILE%\AppData\Local\Temp\OnboardLogs"\RTDC4001\2017-10-06 --exclude "*" --recursive --include "*20171006*" &amp; "%USERPROFILE%\Documents\GitHub\mrs-test-scripts\Headless Mode &amp; Sideloading\WalkAndUnGZ.bat" "%USERPROFILE%\AppData\Local\Temp\OnboardLogs"\RTDC4001\2017-10-06</v>
      </c>
      <c r="AF177" s="74" t="str">
        <f t="shared" si="109"/>
        <v>"C:\Program Files (x86)\AstroGrep\AstroGrep.exe" /e /r /s /spath="%USERPROFILE%\AppData\Local\Temp\OnboardLogs" /stypes="app*4001*20171005*" /stext=" 16:.+((SYSTEM_STATE.+slice.+state.+changed )|(ment ac)|(multiple cpu faults)|(system.+state.+changed )|(\[timeout)|(PRM\|1\|D)|(kpr)|(kdp)|(train st.+moving)|(\|lc)|(penalty))"</v>
      </c>
      <c r="AG177" s="182" t="str">
        <f t="shared" si="135"/>
        <v>NW</v>
      </c>
      <c r="AH177" s="78" t="str">
        <f t="shared" si="110"/>
        <v>"%USERPROFILE%\Documents\GitHub\eaglep3\Utilities\RefineRTDCRunTimes.py" --tripid 816-05 --locoid 4001 --swversion DE.1.0.9.0 --startMP 300:58647 --initTime 2017-10-05T10:27:38 --startdatetime 2017-10-05T10:43:37 --delay 58 --endMP 204:717 --enddatetime 2017-10-05T10:56:47 --enforcementcount 0 &gt;&gt;%USERPROFILE%\Documents\GitHub\eaglep3-reporting\EC\2017-10-05-refined-times.txt</v>
      </c>
      <c r="AI177" s="96" t="str">
        <f t="shared" si="111"/>
        <v>echo {"issue":{"subject":"","project_id":79,"tracker_id":40,"status_id":1,"priority_id":2,"assigned_to_id":338,"start_date":"2017-10-05","description":"","custom_fields":[{"id":1,"name":"Subdivision","value":"NW"},{"id":4,"name":"Milepost","value":"0.0717"},{"id":17,"name":"Train ID","value":"816-05"},{"id":16,"name":"Locomotive ID","value":"4001"},{"id":130,"name":"Impact","value":""},{"id":150,"name":"Time of Event (Mountain Time)","value":"10:56:47"},{"id":151,"name":"Denver Issue ID","value":""},{"id":178,"name":"Operational Impact","value":"Yes"},{"id":179,"name":"Denver Segment Assigned","value":""}]}} | curl --insecure -X POST -H "Content-Type: application/json" -H "X-Redmine-API-Key: %REDMINEAPIKEY%" https://secure.xorail.net/redmine/issues.json --data @-</v>
      </c>
      <c r="AK177" s="47"/>
      <c r="AL177" s="47"/>
      <c r="AM177" s="142" t="str">
        <f t="shared" si="112"/>
        <v>start /low /b %USERPROFILE%\Documents\GitHub\eaglep3\Utilities\DownloadLogsFromS3.py --loco 4001 --day 2017-10-05</v>
      </c>
      <c r="AN177" s="151" t="str">
        <f t="shared" si="113"/>
        <v>echo {"issue":{"subject":"","project_id":30,"tracker_id":4,"status_id":1,"priority_id":1,"assigned_to_id":10,"start_date":"2017-10-05","description":"","custom_fields":[{"id":30,"name":"Category","value":"Issue"},{"id":3,"name":"Functional Component","value":"Onboard"},{"id":31,"name":"Version","value":"N/A"},{"id":8,"name":"Reporting RR","value":"WABTEC"},{"id":27,"name":"Locomotive ID","value":"4001"},{"id":20,"name":"RR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16:56:47"},{"id":29,"name":"Sharepoint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77" s="168" t="str">
        <f t="shared" si="114"/>
        <v>https://d0f6bd738d7f1b3e5a7ca70fe4ff75f0.us-east-1.aws.found.io/app/kibana#/discover/Steve-Slow-Train-Analysis-(2080s-and-2083s)?_g=(refreshInterval:(display:Off,pause:!f,section:0,value:0),time:(from:'2017-10-05T09:27:38-0600',mode:absolute,to:'2017-10-05T11:56:47-0600'))&amp;_a=(columns:!('Message%20ID',Summary),filters:!(),index:'emp_*',interval:auto,query:(query_string:(analyze_wildcard:!t,query:'%22rtdc.l.rtdc.4001%22')),sort:!(Time.ISO8601,asc))</v>
      </c>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row>
    <row r="178" spans="1:91" s="20" customFormat="1" x14ac:dyDescent="0.25">
      <c r="A178" s="32" t="s">
        <v>695</v>
      </c>
      <c r="B178" s="7">
        <v>4002</v>
      </c>
      <c r="C178" s="21" t="s">
        <v>194</v>
      </c>
      <c r="D178" s="21" t="s">
        <v>940</v>
      </c>
      <c r="E178" s="13">
        <v>43013.457569444443</v>
      </c>
      <c r="F178" s="13">
        <v>43013.464733796296</v>
      </c>
      <c r="G178" s="7">
        <v>48</v>
      </c>
      <c r="H178" s="21" t="s">
        <v>562</v>
      </c>
      <c r="I178" s="13">
        <v>43013.474861111114</v>
      </c>
      <c r="J178" s="7">
        <v>0</v>
      </c>
      <c r="K178" s="89" t="str">
        <f t="shared" si="129"/>
        <v>4001/4002</v>
      </c>
      <c r="L178" s="185" t="str">
        <f>VLOOKUP(A178,'Trips&amp;Operators'!$C$1:$G$99911,5,FALSE)</f>
        <v>FORTUNATO FRANK</v>
      </c>
      <c r="M178" s="6">
        <f t="shared" si="130"/>
        <v>1.0127314817509614E-2</v>
      </c>
      <c r="N178" s="7">
        <f t="shared" si="136"/>
        <v>14.583333337213844</v>
      </c>
      <c r="O178" s="7"/>
      <c r="P178" s="7"/>
      <c r="Q178" s="22"/>
      <c r="R178" s="174"/>
      <c r="S178" s="221">
        <f t="shared" si="131"/>
        <v>1</v>
      </c>
      <c r="T178" s="174" t="str">
        <f t="shared" si="132"/>
        <v>NorthBound</v>
      </c>
      <c r="U178" s="198">
        <f>IF(AG178="EC",COUNTIFS(Variables!$M$2:$M$19,IF(T178="NorthBound","&gt;=","&lt;=")&amp;Y178,Variables!$M$2:$M$19,IF(T178="NorthBound","&lt;=","&gt;=")&amp;Z178),COUNTIFS(Variables!$P$2:$P$19,IF(T178="NorthBound","&gt;=","&lt;=")&amp;Y178,Variables!$P$2:$P$19,IF(T178="NorthBound","&lt;=","&gt;=")&amp;Z178))</f>
        <v>1</v>
      </c>
      <c r="V178" s="216" t="str">
        <f t="shared" si="107"/>
        <v>https://d0f6bd738d7f1b3e5a7ca70fe4ff75f0.us-east-1.aws.found.io/app/kibana#/discover/Steve-Slow-Train-Analysis-(2080s-and-2083s)?_g=(refreshInterval:(display:Off,pause:!f,section:0,value:0),time:(from:'2017-10-05T09:58:54-0600',mode:absolute,to:'2017-10-05T12:23:48-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W178" s="204" t="str">
        <f>IF(AA178&lt;VLOOKUP(AG178,Variables!$AC$3:$AD$8,2,FALSE),"Y","N")</f>
        <v>N</v>
      </c>
      <c r="X178" s="204">
        <f t="shared" si="128"/>
        <v>1</v>
      </c>
      <c r="Y178" s="204">
        <f t="shared" si="126"/>
        <v>9.8799999999999999E-2</v>
      </c>
      <c r="Z178" s="204">
        <f t="shared" si="127"/>
        <v>5.8963000000000001</v>
      </c>
      <c r="AA178" s="204">
        <f t="shared" si="133"/>
        <v>5.7975000000000003</v>
      </c>
      <c r="AB178" s="54" t="e">
        <f>VLOOKUP(A178,Enforcements!$C$7:$K$11,8,0)</f>
        <v>#N/A</v>
      </c>
      <c r="AC178" s="51" t="e">
        <f>VLOOKUP(A178,Enforcements!$C$7:$E$11,3,0)</f>
        <v>#N/A</v>
      </c>
      <c r="AD178" s="179">
        <f t="shared" si="134"/>
        <v>817</v>
      </c>
      <c r="AE178" s="77" t="str">
        <f t="shared" si="108"/>
        <v>aws s3 cp s3://rtdc.mdm.uploadarchive.raw/RTDC4002/ "%USERPROFILE%\AppData\Local\Temp\OnboardLogs"\RTDC4002\2017-10-05 --exclude "*" --recursive --include "*20171005*" &amp; "%USERPROFILE%\Documents\GitHub\mrs-test-scripts\Headless Mode &amp; Sideloading\WalkAndUnGZ.bat" "%USERPROFILE%\AppData\Local\Temp\OnboardLogs"\RTDC4002\2017-10-05 &amp; aws s3 cp s3://rtdc.mdm.uploadarchive.raw/RTDC4002/ "%USERPROFILE%\AppData\Local\Temp\OnboardLogs"\RTDC4002\2017-10-06 --exclude "*" --recursive --include "*20171006*" &amp; "%USERPROFILE%\Documents\GitHub\mrs-test-scripts\Headless Mode &amp; Sideloading\WalkAndUnGZ.bat" "%USERPROFILE%\AppData\Local\Temp\OnboardLogs"\RTDC4002\2017-10-06</v>
      </c>
      <c r="AF178" s="74" t="str">
        <f t="shared" si="109"/>
        <v>"C:\Program Files (x86)\AstroGrep\AstroGrep.exe" /e /r /s /spath="%USERPROFILE%\AppData\Local\Temp\OnboardLogs" /stypes="app*4002*20171005*" /stext=" 17:.+((SYSTEM_STATE.+slice.+state.+changed )|(ment ac)|(multiple cpu faults)|(system.+state.+changed )|(\[timeout)|(PRM\|1\|D)|(kpr)|(kdp)|(train st.+moving)|(\|lc)|(penalty))"</v>
      </c>
      <c r="AG178" s="182" t="str">
        <f t="shared" si="135"/>
        <v>NW</v>
      </c>
      <c r="AH178" s="78" t="str">
        <f t="shared" si="110"/>
        <v>"%USERPROFILE%\Documents\GitHub\eaglep3\Utilities\RefineRTDCRunTimes.py" --tripid 817-05 --locoid 4002 --swversion DE.1.0.9.0 --startMP 204:988 --initTime 2017-10-05T10:58:54 --startdatetime 2017-10-05T11:09:13 --delay 48 --endMP 300:58963 --enddatetime 2017-10-05T11:23:48 --enforcementcount 0 &gt;&gt;%USERPROFILE%\Documents\GitHub\eaglep3-reporting\EC\2017-10-05-refined-times.txt</v>
      </c>
      <c r="AI178" s="96" t="str">
        <f t="shared" si="111"/>
        <v>echo {"issue":{"subject":"","project_id":79,"tracker_id":40,"status_id":1,"priority_id":2,"assigned_to_id":338,"start_date":"2017-10-05","description":"","custom_fields":[{"id":1,"name":"Subdivision","value":"NW"},{"id":4,"name":"Milepost","value":"5.8963"},{"id":17,"name":"Train ID","value":"817-05"},{"id":16,"name":"Locomotive ID","value":"4002"},{"id":130,"name":"Impact","value":""},{"id":150,"name":"Time of Event (Mountain Time)","value":"11:23:48"},{"id":151,"name":"Denver Issue ID","value":""},{"id":178,"name":"Operational Impact","value":"Yes"},{"id":179,"name":"Denver Segment Assigned","value":""}]}} | curl --insecure -X POST -H "Content-Type: application/json" -H "X-Redmine-API-Key: %REDMINEAPIKEY%" https://secure.xorail.net/redmine/issues.json --data @-</v>
      </c>
      <c r="AK178" s="47"/>
      <c r="AL178" s="47"/>
      <c r="AM178" s="142" t="str">
        <f t="shared" si="112"/>
        <v>start /low /b %USERPROFILE%\Documents\GitHub\eaglep3\Utilities\DownloadLogsFromS3.py --loco 4002 --day 2017-10-05</v>
      </c>
      <c r="AN178" s="151" t="str">
        <f t="shared" si="113"/>
        <v>echo {"issue":{"subject":"","project_id":30,"tracker_id":4,"status_id":1,"priority_id":1,"assigned_to_id":10,"start_date":"2017-10-05","description":"","custom_fields":[{"id":30,"name":"Category","value":"Issue"},{"id":3,"name":"Functional Component","value":"Onboard"},{"id":31,"name":"Version","value":"N/A"},{"id":8,"name":"Reporting RR","value":"WABTEC"},{"id":27,"name":"Locomotive ID","value":"4002"},{"id":20,"name":"RR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17:23:48"},{"id":29,"name":"Sharepoint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78" s="168" t="str">
        <f t="shared" si="114"/>
        <v>https://d0f6bd738d7f1b3e5a7ca70fe4ff75f0.us-east-1.aws.found.io/app/kibana#/discover/Steve-Slow-Train-Analysis-(2080s-and-2083s)?_g=(refreshInterval:(display:Off,pause:!f,section:0,value:0),time:(from:'2017-10-05T09:58:54-0600',mode:absolute,to:'2017-10-05T12:23:48-0600'))&amp;_a=(columns:!('Message%20ID',Summary),filters:!(),index:'emp_*',interval:auto,query:(query_string:(analyze_wildcard:!t,query:'%22rtdc.l.rtdc.4002%22')),sort:!(Time.ISO8601,asc))</v>
      </c>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row>
    <row r="179" spans="1:91" s="20" customFormat="1" x14ac:dyDescent="0.25">
      <c r="A179" s="32" t="s">
        <v>699</v>
      </c>
      <c r="B179" s="7">
        <v>4001</v>
      </c>
      <c r="C179" s="21" t="s">
        <v>194</v>
      </c>
      <c r="D179" s="21" t="s">
        <v>553</v>
      </c>
      <c r="E179" s="13">
        <v>43013.4766087963</v>
      </c>
      <c r="F179" s="13">
        <v>43013.488553240742</v>
      </c>
      <c r="G179" s="7">
        <v>73</v>
      </c>
      <c r="H179" s="21" t="s">
        <v>941</v>
      </c>
      <c r="I179" s="13">
        <v>43013.497048611112</v>
      </c>
      <c r="J179" s="7">
        <v>0</v>
      </c>
      <c r="K179" s="89" t="str">
        <f t="shared" si="129"/>
        <v>4001/4002</v>
      </c>
      <c r="L179" s="185" t="str">
        <f>VLOOKUP(A179,'Trips&amp;Operators'!$C$1:$G$99911,5,FALSE)</f>
        <v>FORTUNATO FRANK</v>
      </c>
      <c r="M179" s="6">
        <f t="shared" si="130"/>
        <v>8.4953703699284233E-3</v>
      </c>
      <c r="N179" s="7">
        <f t="shared" si="136"/>
        <v>12.23333333269693</v>
      </c>
      <c r="O179" s="7"/>
      <c r="P179" s="7"/>
      <c r="Q179" s="22"/>
      <c r="R179" s="174"/>
      <c r="S179" s="221">
        <f t="shared" si="131"/>
        <v>1</v>
      </c>
      <c r="T179" s="174" t="str">
        <f t="shared" si="132"/>
        <v>Southbound</v>
      </c>
      <c r="U179" s="198">
        <f>IF(AG179="EC",COUNTIFS(Variables!$M$2:$M$19,IF(T179="NorthBound","&gt;=","&lt;=")&amp;Y179,Variables!$M$2:$M$19,IF(T179="NorthBound","&lt;=","&gt;=")&amp;Z179),COUNTIFS(Variables!$P$2:$P$19,IF(T179="NorthBound","&gt;=","&lt;=")&amp;Y179,Variables!$P$2:$P$19,IF(T179="NorthBound","&lt;=","&gt;=")&amp;Z179))</f>
        <v>1</v>
      </c>
      <c r="V179" s="216" t="str">
        <f t="shared" si="107"/>
        <v>https://d0f6bd738d7f1b3e5a7ca70fe4ff75f0.us-east-1.aws.found.io/app/kibana#/discover/Steve-Slow-Train-Analysis-(2080s-and-2083s)?_g=(refreshInterval:(display:Off,pause:!f,section:0,value:0),time:(from:'2017-10-05T10:26:19-0600',mode:absolute,to:'2017-10-05T12:55:45-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W179" s="204" t="str">
        <f>IF(AA179&lt;VLOOKUP(AG179,Variables!$AC$3:$AD$8,2,FALSE),"Y","N")</f>
        <v>N</v>
      </c>
      <c r="X179" s="204">
        <f t="shared" si="128"/>
        <v>1</v>
      </c>
      <c r="Y179" s="204">
        <f t="shared" si="126"/>
        <v>5.8648999999999996</v>
      </c>
      <c r="Z179" s="204">
        <f t="shared" si="127"/>
        <v>7.2400000000000006E-2</v>
      </c>
      <c r="AA179" s="204">
        <f t="shared" si="133"/>
        <v>5.7924999999999995</v>
      </c>
      <c r="AB179" s="54" t="e">
        <f>VLOOKUP(A179,Enforcements!$C$7:$K$11,8,0)</f>
        <v>#N/A</v>
      </c>
      <c r="AC179" s="51" t="e">
        <f>VLOOKUP(A179,Enforcements!$C$7:$E$11,3,0)</f>
        <v>#N/A</v>
      </c>
      <c r="AD179" s="179">
        <f t="shared" si="134"/>
        <v>818</v>
      </c>
      <c r="AE179" s="77" t="str">
        <f t="shared" si="108"/>
        <v>aws s3 cp s3://rtdc.mdm.uploadarchive.raw/RTDC4001/ "%USERPROFILE%\AppData\Local\Temp\OnboardLogs"\RTDC4001\2017-10-05 --exclude "*" --recursive --include "*20171005*" &amp; "%USERPROFILE%\Documents\GitHub\mrs-test-scripts\Headless Mode &amp; Sideloading\WalkAndUnGZ.bat" "%USERPROFILE%\AppData\Local\Temp\OnboardLogs"\RTDC4001\2017-10-05 &amp; aws s3 cp s3://rtdc.mdm.uploadarchive.raw/RTDC4001/ "%USERPROFILE%\AppData\Local\Temp\OnboardLogs"\RTDC4001\2017-10-06 --exclude "*" --recursive --include "*20171006*" &amp; "%USERPROFILE%\Documents\GitHub\mrs-test-scripts\Headless Mode &amp; Sideloading\WalkAndUnGZ.bat" "%USERPROFILE%\AppData\Local\Temp\OnboardLogs"\RTDC4001\2017-10-06</v>
      </c>
      <c r="AF179" s="74" t="str">
        <f t="shared" si="109"/>
        <v>"C:\Program Files (x86)\AstroGrep\AstroGrep.exe" /e /r /s /spath="%USERPROFILE%\AppData\Local\Temp\OnboardLogs" /stypes="app*4001*20171005*" /stext=" 17:.+((SYSTEM_STATE.+slice.+state.+changed )|(ment ac)|(multiple cpu faults)|(system.+state.+changed )|(\[timeout)|(PRM\|1\|D)|(kpr)|(kdp)|(train st.+moving)|(\|lc)|(penalty))"</v>
      </c>
      <c r="AG179" s="182" t="str">
        <f t="shared" si="135"/>
        <v>NW</v>
      </c>
      <c r="AH179" s="78" t="str">
        <f t="shared" si="110"/>
        <v>"%USERPROFILE%\Documents\GitHub\eaglep3\Utilities\RefineRTDCRunTimes.py" --tripid 818-05 --locoid 4001 --swversion DE.1.0.9.0 --startMP 300:58649 --initTime 2017-10-05T11:26:19 --startdatetime 2017-10-05T11:43:31 --delay 73 --endMP 204:724 --enddatetime 2017-10-05T11:55:45 --enforcementcount 0 &gt;&gt;%USERPROFILE%\Documents\GitHub\eaglep3-reporting\EC\2017-10-05-refined-times.txt</v>
      </c>
      <c r="AI179" s="96" t="str">
        <f t="shared" si="111"/>
        <v>echo {"issue":{"subject":"","project_id":79,"tracker_id":40,"status_id":1,"priority_id":2,"assigned_to_id":338,"start_date":"2017-10-05","description":"","custom_fields":[{"id":1,"name":"Subdivision","value":"NW"},{"id":4,"name":"Milepost","value":"0.0724"},{"id":17,"name":"Train ID","value":"818-05"},{"id":16,"name":"Locomotive ID","value":"4001"},{"id":130,"name":"Impact","value":""},{"id":150,"name":"Time of Event (Mountain Time)","value":"11:55:45"},{"id":151,"name":"Denver Issue ID","value":""},{"id":178,"name":"Operational Impact","value":"Yes"},{"id":179,"name":"Denver Segment Assigned","value":""}]}} | curl --insecure -X POST -H "Content-Type: application/json" -H "X-Redmine-API-Key: %REDMINEAPIKEY%" https://secure.xorail.net/redmine/issues.json --data @-</v>
      </c>
      <c r="AK179" s="47"/>
      <c r="AL179" s="47"/>
      <c r="AM179" s="142" t="str">
        <f t="shared" si="112"/>
        <v>start /low /b %USERPROFILE%\Documents\GitHub\eaglep3\Utilities\DownloadLogsFromS3.py --loco 4001 --day 2017-10-05</v>
      </c>
      <c r="AN179" s="151" t="str">
        <f t="shared" si="113"/>
        <v>echo {"issue":{"subject":"","project_id":30,"tracker_id":4,"status_id":1,"priority_id":1,"assigned_to_id":10,"start_date":"2017-10-05","description":"","custom_fields":[{"id":30,"name":"Category","value":"Issue"},{"id":3,"name":"Functional Component","value":"Onboard"},{"id":31,"name":"Version","value":"N/A"},{"id":8,"name":"Reporting RR","value":"WABTEC"},{"id":27,"name":"Locomotive ID","value":"4001"},{"id":20,"name":"RR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17:55:45"},{"id":29,"name":"Sharepoint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79" s="168" t="str">
        <f t="shared" si="114"/>
        <v>https://d0f6bd738d7f1b3e5a7ca70fe4ff75f0.us-east-1.aws.found.io/app/kibana#/discover/Steve-Slow-Train-Analysis-(2080s-and-2083s)?_g=(refreshInterval:(display:Off,pause:!f,section:0,value:0),time:(from:'2017-10-05T10:26:19-0600',mode:absolute,to:'2017-10-05T12:55:45-0600'))&amp;_a=(columns:!('Message%20ID',Summary),filters:!(),index:'emp_*',interval:auto,query:(query_string:(analyze_wildcard:!t,query:'%22rtdc.l.rtdc.4001%22')),sort:!(Time.ISO8601,asc))</v>
      </c>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row>
    <row r="180" spans="1:91" s="20" customFormat="1" x14ac:dyDescent="0.25">
      <c r="A180" s="32" t="s">
        <v>704</v>
      </c>
      <c r="B180" s="7">
        <v>4002</v>
      </c>
      <c r="C180" s="21" t="s">
        <v>194</v>
      </c>
      <c r="D180" s="21" t="s">
        <v>942</v>
      </c>
      <c r="E180" s="13">
        <v>43013.498761574076</v>
      </c>
      <c r="F180" s="13">
        <v>43013.506412037037</v>
      </c>
      <c r="G180" s="7">
        <v>53</v>
      </c>
      <c r="H180" s="21" t="s">
        <v>943</v>
      </c>
      <c r="I180" s="13">
        <v>43013.516701388886</v>
      </c>
      <c r="J180" s="7">
        <v>0</v>
      </c>
      <c r="K180" s="89" t="str">
        <f t="shared" si="129"/>
        <v>4001/4002</v>
      </c>
      <c r="L180" s="185" t="str">
        <f>VLOOKUP(A180,'Trips&amp;Operators'!$C$1:$G$99911,5,FALSE)</f>
        <v>FORTUNATO FRANK</v>
      </c>
      <c r="M180" s="6">
        <f t="shared" si="130"/>
        <v>1.0289351848769002E-2</v>
      </c>
      <c r="N180" s="7">
        <f t="shared" si="136"/>
        <v>14.816666662227362</v>
      </c>
      <c r="O180" s="7"/>
      <c r="P180" s="7"/>
      <c r="Q180" s="22"/>
      <c r="R180" s="174"/>
      <c r="S180" s="221">
        <f t="shared" si="131"/>
        <v>1</v>
      </c>
      <c r="T180" s="174" t="str">
        <f t="shared" si="132"/>
        <v>NorthBound</v>
      </c>
      <c r="U180" s="198">
        <f>IF(AG180="EC",COUNTIFS(Variables!$M$2:$M$19,IF(T180="NorthBound","&gt;=","&lt;=")&amp;Y180,Variables!$M$2:$M$19,IF(T180="NorthBound","&lt;=","&gt;=")&amp;Z180),COUNTIFS(Variables!$P$2:$P$19,IF(T180="NorthBound","&gt;=","&lt;=")&amp;Y180,Variables!$P$2:$P$19,IF(T180="NorthBound","&lt;=","&gt;=")&amp;Z180))</f>
        <v>1</v>
      </c>
      <c r="V180" s="216" t="str">
        <f t="shared" si="107"/>
        <v>https://d0f6bd738d7f1b3e5a7ca70fe4ff75f0.us-east-1.aws.found.io/app/kibana#/discover/Steve-Slow-Train-Analysis-(2080s-and-2083s)?_g=(refreshInterval:(display:Off,pause:!f,section:0,value:0),time:(from:'2017-10-05T10:58:13-0600',mode:absolute,to:'2017-10-05T13:24:03-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W180" s="204" t="str">
        <f>IF(AA180&lt;VLOOKUP(AG180,Variables!$AC$3:$AD$8,2,FALSE),"Y","N")</f>
        <v>N</v>
      </c>
      <c r="X180" s="204">
        <f t="shared" si="128"/>
        <v>1</v>
      </c>
      <c r="Y180" s="204">
        <f t="shared" si="126"/>
        <v>0.1014</v>
      </c>
      <c r="Z180" s="204">
        <f t="shared" si="127"/>
        <v>5.9006999999999996</v>
      </c>
      <c r="AA180" s="204">
        <f t="shared" si="133"/>
        <v>5.7992999999999997</v>
      </c>
      <c r="AB180" s="54" t="e">
        <f>VLOOKUP(A180,Enforcements!$C$7:$K$11,8,0)</f>
        <v>#N/A</v>
      </c>
      <c r="AC180" s="51" t="e">
        <f>VLOOKUP(A180,Enforcements!$C$7:$E$11,3,0)</f>
        <v>#N/A</v>
      </c>
      <c r="AD180" s="179">
        <f t="shared" si="134"/>
        <v>819</v>
      </c>
      <c r="AE180" s="77" t="str">
        <f t="shared" si="108"/>
        <v>aws s3 cp s3://rtdc.mdm.uploadarchive.raw/RTDC4002/ "%USERPROFILE%\AppData\Local\Temp\OnboardLogs"\RTDC4002\2017-10-05 --exclude "*" --recursive --include "*20171005*" &amp; "%USERPROFILE%\Documents\GitHub\mrs-test-scripts\Headless Mode &amp; Sideloading\WalkAndUnGZ.bat" "%USERPROFILE%\AppData\Local\Temp\OnboardLogs"\RTDC4002\2017-10-05 &amp; aws s3 cp s3://rtdc.mdm.uploadarchive.raw/RTDC4002/ "%USERPROFILE%\AppData\Local\Temp\OnboardLogs"\RTDC4002\2017-10-06 --exclude "*" --recursive --include "*20171006*" &amp; "%USERPROFILE%\Documents\GitHub\mrs-test-scripts\Headless Mode &amp; Sideloading\WalkAndUnGZ.bat" "%USERPROFILE%\AppData\Local\Temp\OnboardLogs"\RTDC4002\2017-10-06</v>
      </c>
      <c r="AF180" s="74" t="str">
        <f t="shared" si="109"/>
        <v>"C:\Program Files (x86)\AstroGrep\AstroGrep.exe" /e /r /s /spath="%USERPROFILE%\AppData\Local\Temp\OnboardLogs" /stypes="app*4002*20171005*" /stext=" 18:.+((SYSTEM_STATE.+slice.+state.+changed )|(ment ac)|(multiple cpu faults)|(system.+state.+changed )|(\[timeout)|(PRM\|1\|D)|(kpr)|(kdp)|(train st.+moving)|(\|lc)|(penalty))"</v>
      </c>
      <c r="AG180" s="182" t="str">
        <f t="shared" si="135"/>
        <v>NW</v>
      </c>
      <c r="AH180" s="78" t="str">
        <f t="shared" si="110"/>
        <v>"%USERPROFILE%\Documents\GitHub\eaglep3\Utilities\RefineRTDCRunTimes.py" --tripid 819-05 --locoid 4002 --swversion DE.1.0.9.0 --startMP 204:1014 --initTime 2017-10-05T11:58:13 --startdatetime 2017-10-05T12:09:14 --delay 53 --endMP 300:59007 --enddatetime 2017-10-05T12:24:03 --enforcementcount 0 &gt;&gt;%USERPROFILE%\Documents\GitHub\eaglep3-reporting\EC\2017-10-05-refined-times.txt</v>
      </c>
      <c r="AI180" s="96" t="str">
        <f t="shared" si="111"/>
        <v>echo {"issue":{"subject":"","project_id":79,"tracker_id":40,"status_id":1,"priority_id":2,"assigned_to_id":338,"start_date":"2017-10-05","description":"","custom_fields":[{"id":1,"name":"Subdivision","value":"NW"},{"id":4,"name":"Milepost","value":"5.9007"},{"id":17,"name":"Train ID","value":"819-05"},{"id":16,"name":"Locomotive ID","value":"4002"},{"id":130,"name":"Impact","value":""},{"id":150,"name":"Time of Event (Mountain Time)","value":"12:24:03"},{"id":151,"name":"Denver Issue ID","value":""},{"id":178,"name":"Operational Impact","value":"Yes"},{"id":179,"name":"Denver Segment Assigned","value":""}]}} | curl --insecure -X POST -H "Content-Type: application/json" -H "X-Redmine-API-Key: %REDMINEAPIKEY%" https://secure.xorail.net/redmine/issues.json --data @-</v>
      </c>
      <c r="AK180" s="47"/>
      <c r="AL180" s="47"/>
      <c r="AM180" s="142" t="str">
        <f t="shared" si="112"/>
        <v>start /low /b %USERPROFILE%\Documents\GitHub\eaglep3\Utilities\DownloadLogsFromS3.py --loco 4002 --day 2017-10-05</v>
      </c>
      <c r="AN180" s="151" t="str">
        <f t="shared" si="113"/>
        <v>echo {"issue":{"subject":"","project_id":30,"tracker_id":4,"status_id":1,"priority_id":1,"assigned_to_id":10,"start_date":"2017-10-05","description":"","custom_fields":[{"id":30,"name":"Category","value":"Issue"},{"id":3,"name":"Functional Component","value":"Onboard"},{"id":31,"name":"Version","value":"N/A"},{"id":8,"name":"Reporting RR","value":"WABTEC"},{"id":27,"name":"Locomotive ID","value":"4002"},{"id":20,"name":"RR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18:24:03"},{"id":29,"name":"Sharepoint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80" s="168" t="str">
        <f t="shared" si="114"/>
        <v>https://d0f6bd738d7f1b3e5a7ca70fe4ff75f0.us-east-1.aws.found.io/app/kibana#/discover/Steve-Slow-Train-Analysis-(2080s-and-2083s)?_g=(refreshInterval:(display:Off,pause:!f,section:0,value:0),time:(from:'2017-10-05T10:58:13-0600',mode:absolute,to:'2017-10-05T13:24:03-0600'))&amp;_a=(columns:!('Message%20ID',Summary),filters:!(),index:'emp_*',interval:auto,query:(query_string:(analyze_wildcard:!t,query:'%22rtdc.l.rtdc.4002%22')),sort:!(Time.ISO8601,asc))</v>
      </c>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row>
    <row r="181" spans="1:91" s="20" customFormat="1" x14ac:dyDescent="0.25">
      <c r="A181" s="32" t="s">
        <v>597</v>
      </c>
      <c r="B181" s="7">
        <v>4001</v>
      </c>
      <c r="C181" s="21" t="s">
        <v>194</v>
      </c>
      <c r="D181" s="21" t="s">
        <v>947</v>
      </c>
      <c r="E181" s="13">
        <v>43013.51798611111</v>
      </c>
      <c r="F181" s="13">
        <v>43013.530034722222</v>
      </c>
      <c r="G181" s="7">
        <v>48</v>
      </c>
      <c r="H181" s="21" t="s">
        <v>948</v>
      </c>
      <c r="I181" s="13">
        <v>43013.538703703707</v>
      </c>
      <c r="J181" s="7">
        <v>0</v>
      </c>
      <c r="K181" s="89" t="str">
        <f t="shared" si="129"/>
        <v>4001/4002</v>
      </c>
      <c r="L181" s="185" t="str">
        <f>VLOOKUP(A181,'Trips&amp;Operators'!$C$1:$G$99911,5,FALSE)</f>
        <v>FORTUNATO FRANK</v>
      </c>
      <c r="M181" s="6">
        <f t="shared" si="130"/>
        <v>8.668981485243421E-3</v>
      </c>
      <c r="N181" s="7"/>
      <c r="O181" s="7"/>
      <c r="P181" s="7">
        <f>24*60*SUM($M181:$M181)</f>
        <v>12.483333338750526</v>
      </c>
      <c r="Q181" s="22"/>
      <c r="R181" s="174" t="s">
        <v>1005</v>
      </c>
      <c r="S181" s="221">
        <f>1/IF(AG181="EC",12,1)*SUM(U181:U182)</f>
        <v>1</v>
      </c>
      <c r="T181" s="174" t="str">
        <f t="shared" si="132"/>
        <v>Southbound</v>
      </c>
      <c r="U181" s="198">
        <f>IF(AG181="EC",COUNTIFS(Variables!$M$2:$M$19,IF(T181="NorthBound","&gt;=","&lt;=")&amp;Y181,Variables!$M$2:$M$19,IF(T181="NorthBound","&lt;=","&gt;=")&amp;Z181),COUNTIFS(Variables!$P$2:$P$19,IF(T181="NorthBound","&gt;=","&lt;=")&amp;Y181,Variables!$P$2:$P$19,IF(T181="NorthBound","&lt;=","&gt;=")&amp;Z181))</f>
        <v>0</v>
      </c>
      <c r="V181" s="216" t="str">
        <f t="shared" si="107"/>
        <v>https://d0f6bd738d7f1b3e5a7ca70fe4ff75f0.us-east-1.aws.found.io/app/kibana#/discover/Steve-Slow-Train-Analysis-(2080s-and-2083s)?_g=(refreshInterval:(display:Off,pause:!f,section:0,value:0),time:(from:'2017-10-05T11:25:54-0600',mode:absolute,to:'2017-10-05T13:55:44-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W181" s="204" t="str">
        <f>IF(AA181&lt;VLOOKUP(AG181,Variables!$AC$3:$AD$8,2,FALSE),"Y","N")</f>
        <v>Y</v>
      </c>
      <c r="X181" s="204">
        <f t="shared" si="128"/>
        <v>1</v>
      </c>
      <c r="Y181" s="204">
        <f t="shared" si="126"/>
        <v>5.8682999999999996</v>
      </c>
      <c r="Z181" s="204">
        <f t="shared" si="127"/>
        <v>5.8463000000000003</v>
      </c>
      <c r="AA181" s="204">
        <f t="shared" si="133"/>
        <v>2.1999999999999353E-2</v>
      </c>
      <c r="AB181" s="54" t="e">
        <f>VLOOKUP(A181,Enforcements!$C$7:$K$11,8,0)</f>
        <v>#N/A</v>
      </c>
      <c r="AC181" s="51" t="e">
        <f>VLOOKUP(A181,Enforcements!$C$7:$E$11,3,0)</f>
        <v>#N/A</v>
      </c>
      <c r="AD181" s="179">
        <f t="shared" si="134"/>
        <v>820</v>
      </c>
      <c r="AE181" s="77" t="str">
        <f t="shared" si="108"/>
        <v>aws s3 cp s3://rtdc.mdm.uploadarchive.raw/RTDC4001/ "%USERPROFILE%\AppData\Local\Temp\OnboardLogs"\RTDC4001\2017-10-05 --exclude "*" --recursive --include "*20171005*" &amp; "%USERPROFILE%\Documents\GitHub\mrs-test-scripts\Headless Mode &amp; Sideloading\WalkAndUnGZ.bat" "%USERPROFILE%\AppData\Local\Temp\OnboardLogs"\RTDC4001\2017-10-05 &amp; aws s3 cp s3://rtdc.mdm.uploadarchive.raw/RTDC4001/ "%USERPROFILE%\AppData\Local\Temp\OnboardLogs"\RTDC4001\2017-10-06 --exclude "*" --recursive --include "*20171006*" &amp; "%USERPROFILE%\Documents\GitHub\mrs-test-scripts\Headless Mode &amp; Sideloading\WalkAndUnGZ.bat" "%USERPROFILE%\AppData\Local\Temp\OnboardLogs"\RTDC4001\2017-10-06</v>
      </c>
      <c r="AF181" s="74" t="str">
        <f t="shared" si="109"/>
        <v>"C:\Program Files (x86)\AstroGrep\AstroGrep.exe" /e /r /s /spath="%USERPROFILE%\AppData\Local\Temp\OnboardLogs" /stypes="app*4001*20171005*" /stext=" 18:.+((SYSTEM_STATE.+slice.+state.+changed )|(ment ac)|(multiple cpu faults)|(system.+state.+changed )|(\[timeout)|(PRM\|1\|D)|(kpr)|(kdp)|(train st.+moving)|(\|lc)|(penalty))"</v>
      </c>
      <c r="AG181" s="182" t="str">
        <f t="shared" si="135"/>
        <v>NW</v>
      </c>
      <c r="AH181" s="78" t="str">
        <f t="shared" si="110"/>
        <v>"%USERPROFILE%\Documents\GitHub\eaglep3\Utilities\RefineRTDCRunTimes.py" --tripid 820-05 --locoid 4001 --swversion DE.1.0.9.0 --startMP 300:58683 --initTime 2017-10-05T12:25:54 --startdatetime 2017-10-05T12:43:15 --delay 48 --endMP 300:58463 --enddatetime 2017-10-05T12:55:44 --enforcementcount 0 &gt;&gt;%USERPROFILE%\Documents\GitHub\eaglep3-reporting\EC\2017-10-05-refined-times.txt</v>
      </c>
      <c r="AI181" s="96" t="str">
        <f t="shared" si="111"/>
        <v>echo {"issue":{"subject":"Went active too close to Westminster 2S","project_id":79,"tracker_id":40,"status_id":1,"priority_id":2,"assigned_to_id":338,"start_date":"2017-10-05","description":"","custom_fields":[{"id":1,"name":"Subdivision","value":"NW"},{"id":4,"name":"Milepost","value":"5.8463"},{"id":17,"name":"Train ID","value":"820-05"},{"id":16,"name":"Locomotive ID","value":"4001"},{"id":130,"name":"Impact","value":""},{"id":150,"name":"Time of Event (Mountain Time)","value":"12:55:44"},{"id":151,"name":"Denver Issue ID","value":""},{"id":178,"name":"Operational Impact","value":"Yes"},{"id":179,"name":"Denver Segment Assigned","value":""}]}} | curl --insecure -X POST -H "Content-Type: application/json" -H "X-Redmine-API-Key: %REDMINEAPIKEY%" https://secure.xorail.net/redmine/issues.json --data @-</v>
      </c>
      <c r="AK181" s="47"/>
      <c r="AL181" s="47"/>
      <c r="AM181" s="142" t="str">
        <f t="shared" si="112"/>
        <v>start /low /b %USERPROFILE%\Documents\GitHub\eaglep3\Utilities\DownloadLogsFromS3.py --loco 4001 --day 2017-10-05</v>
      </c>
      <c r="AN181" s="151" t="str">
        <f t="shared" si="113"/>
        <v>echo {"issue":{"subject":"Went active too close to Westminster 2S","project_id":30,"tracker_id":4,"status_id":1,"priority_id":1,"assigned_to_id":10,"start_date":"2017-10-05","description":"","custom_fields":[{"id":30,"name":"Category","value":"Issue"},{"id":3,"name":"Functional Component","value":"Onboard"},{"id":31,"name":"Version","value":"N/A"},{"id":8,"name":"Reporting RR","value":"WABTEC"},{"id":27,"name":"Locomotive ID","value":"4001"},{"id":20,"name":"RR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18:55:44"},{"id":29,"name":"Sharepoint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81" s="168" t="str">
        <f t="shared" si="114"/>
        <v>https://d0f6bd738d7f1b3e5a7ca70fe4ff75f0.us-east-1.aws.found.io/app/kibana#/discover/Steve-Slow-Train-Analysis-(2080s-and-2083s)?_g=(refreshInterval:(display:Off,pause:!f,section:0,value:0),time:(from:'2017-10-05T11:25:54-0600',mode:absolute,to:'2017-10-05T13:55:44-0600'))&amp;_a=(columns:!('Message%20ID',Summary),filters:!(),index:'emp_*',interval:auto,query:(query_string:(analyze_wildcard:!t,query:'%22rtdc.l.rtdc.4001%22')),sort:!(Time.ISO8601,asc))</v>
      </c>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row>
    <row r="182" spans="1:91" s="20" customFormat="1" x14ac:dyDescent="0.25">
      <c r="A182" s="32" t="s">
        <v>597</v>
      </c>
      <c r="B182" s="7">
        <v>4001</v>
      </c>
      <c r="C182" s="21" t="s">
        <v>194</v>
      </c>
      <c r="D182" s="21" t="s">
        <v>949</v>
      </c>
      <c r="E182" s="13">
        <v>43013.524861111109</v>
      </c>
      <c r="F182" s="13">
        <v>43013.530034722222</v>
      </c>
      <c r="G182" s="7">
        <v>38</v>
      </c>
      <c r="H182" s="21" t="s">
        <v>922</v>
      </c>
      <c r="I182" s="13">
        <v>43013.538703703707</v>
      </c>
      <c r="J182" s="7">
        <v>0</v>
      </c>
      <c r="K182" s="89" t="str">
        <f t="shared" si="129"/>
        <v>4001/4002</v>
      </c>
      <c r="L182" s="185" t="str">
        <f>VLOOKUP(A182,'Trips&amp;Operators'!$C$1:$G$99911,5,FALSE)</f>
        <v>FORTUNATO FRANK</v>
      </c>
      <c r="M182" s="6">
        <f t="shared" si="130"/>
        <v>8.668981485243421E-3</v>
      </c>
      <c r="N182" s="7"/>
      <c r="O182" s="7"/>
      <c r="P182" s="7"/>
      <c r="Q182" s="22"/>
      <c r="R182" s="174"/>
      <c r="S182" s="221"/>
      <c r="T182" s="174" t="str">
        <f t="shared" si="132"/>
        <v>Southbound</v>
      </c>
      <c r="U182" s="198">
        <f>IF(AG182="EC",COUNTIFS(Variables!$M$2:$M$19,IF(T182="NorthBound","&gt;=","&lt;=")&amp;Y182,Variables!$M$2:$M$19,IF(T182="NorthBound","&lt;=","&gt;=")&amp;Z182),COUNTIFS(Variables!$P$2:$P$19,IF(T182="NorthBound","&gt;=","&lt;=")&amp;Y182,Variables!$P$2:$P$19,IF(T182="NorthBound","&lt;=","&gt;=")&amp;Z182))</f>
        <v>1</v>
      </c>
      <c r="V182" s="216" t="str">
        <f t="shared" si="107"/>
        <v>https://d0f6bd738d7f1b3e5a7ca70fe4ff75f0.us-east-1.aws.found.io/app/kibana#/discover/Steve-Slow-Train-Analysis-(2080s-and-2083s)?_g=(refreshInterval:(display:Off,pause:!f,section:0,value:0),time:(from:'2017-10-05T11:35:48-0600',mode:absolute,to:'2017-10-05T13:55:44-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W182" s="204" t="str">
        <f>IF(AA182&lt;VLOOKUP(AG182,Variables!$AC$3:$AD$8,2,FALSE),"Y","N")</f>
        <v>Y</v>
      </c>
      <c r="X182" s="204">
        <f t="shared" si="128"/>
        <v>0</v>
      </c>
      <c r="Y182" s="204">
        <f t="shared" si="126"/>
        <v>5.7332999999999998</v>
      </c>
      <c r="Z182" s="204">
        <f t="shared" si="127"/>
        <v>0.45090000000000002</v>
      </c>
      <c r="AA182" s="204">
        <f t="shared" si="133"/>
        <v>5.2824</v>
      </c>
      <c r="AB182" s="54" t="e">
        <f>VLOOKUP(A182,Enforcements!$C$7:$K$11,8,0)</f>
        <v>#N/A</v>
      </c>
      <c r="AC182" s="51" t="e">
        <f>VLOOKUP(A182,Enforcements!$C$7:$E$11,3,0)</f>
        <v>#N/A</v>
      </c>
      <c r="AD182" s="179">
        <f t="shared" si="134"/>
        <v>820</v>
      </c>
      <c r="AE182" s="77" t="str">
        <f t="shared" si="108"/>
        <v>aws s3 cp s3://rtdc.mdm.uploadarchive.raw/RTDC4001/ "%USERPROFILE%\AppData\Local\Temp\OnboardLogs"\RTDC4001\2017-10-05 --exclude "*" --recursive --include "*20171005*" &amp; "%USERPROFILE%\Documents\GitHub\mrs-test-scripts\Headless Mode &amp; Sideloading\WalkAndUnGZ.bat" "%USERPROFILE%\AppData\Local\Temp\OnboardLogs"\RTDC4001\2017-10-05 &amp; aws s3 cp s3://rtdc.mdm.uploadarchive.raw/RTDC4001/ "%USERPROFILE%\AppData\Local\Temp\OnboardLogs"\RTDC4001\2017-10-06 --exclude "*" --recursive --include "*20171006*" &amp; "%USERPROFILE%\Documents\GitHub\mrs-test-scripts\Headless Mode &amp; Sideloading\WalkAndUnGZ.bat" "%USERPROFILE%\AppData\Local\Temp\OnboardLogs"\RTDC4001\2017-10-06</v>
      </c>
      <c r="AF182" s="74" t="str">
        <f t="shared" si="109"/>
        <v>"C:\Program Files (x86)\AstroGrep\AstroGrep.exe" /e /r /s /spath="%USERPROFILE%\AppData\Local\Temp\OnboardLogs" /stypes="app*4001*20171005*" /stext=" 18:.+((SYSTEM_STATE.+slice.+state.+changed )|(ment ac)|(multiple cpu faults)|(system.+state.+changed )|(\[timeout)|(PRM\|1\|D)|(kpr)|(kdp)|(train st.+moving)|(\|lc)|(penalty))"</v>
      </c>
      <c r="AG182" s="182" t="str">
        <f t="shared" si="135"/>
        <v>NW</v>
      </c>
      <c r="AH182" s="78" t="str">
        <f t="shared" si="110"/>
        <v>"%USERPROFILE%\Documents\GitHub\eaglep3\Utilities\RefineRTDCRunTimes.py" --tripid 820-05 --locoid 4001 --swversion DE.1.0.9.0 --startMP 300:57333 --initTime 2017-10-05T12:35:48 --startdatetime 2017-10-05T12:43:15 --delay 38 --endMP 204:4509 --enddatetime 2017-10-05T12:55:44 --enforcementcount 0 &gt;&gt;%USERPROFILE%\Documents\GitHub\eaglep3-reporting\EC\2017-10-05-refined-times.txt</v>
      </c>
      <c r="AI182" s="96" t="str">
        <f t="shared" si="111"/>
        <v>echo {"issue":{"subject":"","project_id":79,"tracker_id":40,"status_id":1,"priority_id":2,"assigned_to_id":338,"start_date":"2017-10-05","description":"","custom_fields":[{"id":1,"name":"Subdivision","value":"NW"},{"id":4,"name":"Milepost","value":"0.4509"},{"id":17,"name":"Train ID","value":"820-05"},{"id":16,"name":"Locomotive ID","value":"4001"},{"id":130,"name":"Impact","value":""},{"id":150,"name":"Time of Event (Mountain Time)","value":"12:55:44"},{"id":151,"name":"Denver Issue ID","value":""},{"id":178,"name":"Operational Impact","value":"Yes"},{"id":179,"name":"Denver Segment Assigned","value":""}]}} | curl --insecure -X POST -H "Content-Type: application/json" -H "X-Redmine-API-Key: %REDMINEAPIKEY%" https://secure.xorail.net/redmine/issues.json --data @-</v>
      </c>
      <c r="AK182" s="47"/>
      <c r="AL182" s="47"/>
      <c r="AM182" s="142" t="str">
        <f t="shared" si="112"/>
        <v>start /low /b %USERPROFILE%\Documents\GitHub\eaglep3\Utilities\DownloadLogsFromS3.py --loco 4001 --day 2017-10-05</v>
      </c>
      <c r="AN182" s="151" t="str">
        <f t="shared" si="113"/>
        <v>echo {"issue":{"subject":"","project_id":30,"tracker_id":4,"status_id":1,"priority_id":1,"assigned_to_id":10,"start_date":"2017-10-05","description":"","custom_fields":[{"id":30,"name":"Category","value":"Issue"},{"id":3,"name":"Functional Component","value":"Onboard"},{"id":31,"name":"Version","value":"N/A"},{"id":8,"name":"Reporting RR","value":"WABTEC"},{"id":27,"name":"Locomotive ID","value":"4001"},{"id":20,"name":"RR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18:55:44"},{"id":29,"name":"Sharepoint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82" s="168" t="str">
        <f t="shared" si="114"/>
        <v>https://d0f6bd738d7f1b3e5a7ca70fe4ff75f0.us-east-1.aws.found.io/app/kibana#/discover/Steve-Slow-Train-Analysis-(2080s-and-2083s)?_g=(refreshInterval:(display:Off,pause:!f,section:0,value:0),time:(from:'2017-10-05T11:35:48-0600',mode:absolute,to:'2017-10-05T13:55:44-0600'))&amp;_a=(columns:!('Message%20ID',Summary),filters:!(),index:'emp_*',interval:auto,query:(query_string:(analyze_wildcard:!t,query:'%22rtdc.l.rtdc.4001%22')),sort:!(Time.ISO8601,asc))</v>
      </c>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row>
    <row r="183" spans="1:91" s="20" customFormat="1" x14ac:dyDescent="0.25">
      <c r="A183" s="32" t="s">
        <v>711</v>
      </c>
      <c r="B183" s="7">
        <v>4002</v>
      </c>
      <c r="C183" s="21" t="s">
        <v>194</v>
      </c>
      <c r="D183" s="21" t="s">
        <v>568</v>
      </c>
      <c r="E183" s="13">
        <v>43013.542743055557</v>
      </c>
      <c r="F183" s="13">
        <v>43013.548518518517</v>
      </c>
      <c r="G183" s="7">
        <v>70</v>
      </c>
      <c r="H183" s="21" t="s">
        <v>469</v>
      </c>
      <c r="I183" s="13">
        <v>43013.558298611111</v>
      </c>
      <c r="J183" s="7">
        <v>0</v>
      </c>
      <c r="K183" s="89" t="str">
        <f t="shared" si="129"/>
        <v>4001/4002</v>
      </c>
      <c r="L183" s="185" t="str">
        <f>VLOOKUP(A183,'Trips&amp;Operators'!$C$1:$G$99911,5,FALSE)</f>
        <v>BIRKHOLZ NADINE</v>
      </c>
      <c r="M183" s="6">
        <f t="shared" si="130"/>
        <v>9.7800925941555761E-3</v>
      </c>
      <c r="N183" s="7">
        <f t="shared" ref="N183:N214" si="137">24*60*SUM($M183:$M183)</f>
        <v>14.08333333558403</v>
      </c>
      <c r="O183" s="7"/>
      <c r="P183" s="7"/>
      <c r="Q183" s="22"/>
      <c r="R183" s="174"/>
      <c r="S183" s="221">
        <f t="shared" ref="S183:S214" si="138">1/IF(AG183="EC",12,1)*SUM(U183:U183)</f>
        <v>1</v>
      </c>
      <c r="T183" s="174" t="str">
        <f t="shared" si="132"/>
        <v>NorthBound</v>
      </c>
      <c r="U183" s="198">
        <f>IF(AG183="EC",COUNTIFS(Variables!$M$2:$M$19,IF(T183="NorthBound","&gt;=","&lt;=")&amp;Y183,Variables!$M$2:$M$19,IF(T183="NorthBound","&lt;=","&gt;=")&amp;Z183),COUNTIFS(Variables!$P$2:$P$19,IF(T183="NorthBound","&gt;=","&lt;=")&amp;Y183,Variables!$P$2:$P$19,IF(T183="NorthBound","&lt;=","&gt;=")&amp;Z183))</f>
        <v>1</v>
      </c>
      <c r="V183" s="216" t="str">
        <f t="shared" si="107"/>
        <v>https://d0f6bd738d7f1b3e5a7ca70fe4ff75f0.us-east-1.aws.found.io/app/kibana#/discover/Steve-Slow-Train-Analysis-(2080s-and-2083s)?_g=(refreshInterval:(display:Off,pause:!f,section:0,value:0),time:(from:'2017-10-05T12:01:33-0600',mode:absolute,to:'2017-10-05T14:23:57-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W183" s="204" t="str">
        <f>IF(AA183&lt;VLOOKUP(AG183,Variables!$AC$3:$AD$8,2,FALSE),"Y","N")</f>
        <v>N</v>
      </c>
      <c r="X183" s="204">
        <f t="shared" si="128"/>
        <v>1</v>
      </c>
      <c r="Y183" s="204">
        <f t="shared" si="126"/>
        <v>0.1002</v>
      </c>
      <c r="Z183" s="204">
        <f t="shared" si="127"/>
        <v>5.8933</v>
      </c>
      <c r="AA183" s="204">
        <f t="shared" si="133"/>
        <v>5.7930999999999999</v>
      </c>
      <c r="AB183" s="54" t="e">
        <f>VLOOKUP(A183,Enforcements!$C$7:$K$11,8,0)</f>
        <v>#N/A</v>
      </c>
      <c r="AC183" s="51" t="e">
        <f>VLOOKUP(A183,Enforcements!$C$7:$E$11,3,0)</f>
        <v>#N/A</v>
      </c>
      <c r="AD183" s="179">
        <f t="shared" si="134"/>
        <v>821</v>
      </c>
      <c r="AE183" s="77" t="str">
        <f t="shared" si="108"/>
        <v>aws s3 cp s3://rtdc.mdm.uploadarchive.raw/RTDC4002/ "%USERPROFILE%\AppData\Local\Temp\OnboardLogs"\RTDC4002\2017-10-05 --exclude "*" --recursive --include "*20171005*" &amp; "%USERPROFILE%\Documents\GitHub\mrs-test-scripts\Headless Mode &amp; Sideloading\WalkAndUnGZ.bat" "%USERPROFILE%\AppData\Local\Temp\OnboardLogs"\RTDC4002\2017-10-05 &amp; aws s3 cp s3://rtdc.mdm.uploadarchive.raw/RTDC4002/ "%USERPROFILE%\AppData\Local\Temp\OnboardLogs"\RTDC4002\2017-10-06 --exclude "*" --recursive --include "*20171006*" &amp; "%USERPROFILE%\Documents\GitHub\mrs-test-scripts\Headless Mode &amp; Sideloading\WalkAndUnGZ.bat" "%USERPROFILE%\AppData\Local\Temp\OnboardLogs"\RTDC4002\2017-10-06</v>
      </c>
      <c r="AF183" s="74" t="str">
        <f t="shared" si="109"/>
        <v>"C:\Program Files (x86)\AstroGrep\AstroGrep.exe" /e /r /s /spath="%USERPROFILE%\AppData\Local\Temp\OnboardLogs" /stypes="app*4002*20171005*" /stext=" 19:.+((SYSTEM_STATE.+slice.+state.+changed )|(ment ac)|(multiple cpu faults)|(system.+state.+changed )|(\[timeout)|(PRM\|1\|D)|(kpr)|(kdp)|(train st.+moving)|(\|lc)|(penalty))"</v>
      </c>
      <c r="AG183" s="182" t="str">
        <f t="shared" si="135"/>
        <v>NW</v>
      </c>
      <c r="AH183" s="78" t="str">
        <f t="shared" si="110"/>
        <v>"%USERPROFILE%\Documents\GitHub\eaglep3\Utilities\RefineRTDCRunTimes.py" --tripid 821-05 --locoid 4002 --swversion DE.1.0.9.0 --startMP 204:1002 --initTime 2017-10-05T13:01:33 --startdatetime 2017-10-05T13:09:52 --delay 70 --endMP 300:58933 --enddatetime 2017-10-05T13:23:57 --enforcementcount 0 &gt;&gt;%USERPROFILE%\Documents\GitHub\eaglep3-reporting\EC\2017-10-05-refined-times.txt</v>
      </c>
      <c r="AI183" s="96" t="str">
        <f t="shared" si="111"/>
        <v>echo {"issue":{"subject":"","project_id":79,"tracker_id":40,"status_id":1,"priority_id":2,"assigned_to_id":338,"start_date":"2017-10-05","description":"","custom_fields":[{"id":1,"name":"Subdivision","value":"NW"},{"id":4,"name":"Milepost","value":"5.8933"},{"id":17,"name":"Train ID","value":"821-05"},{"id":16,"name":"Locomotive ID","value":"4002"},{"id":130,"name":"Impact","value":""},{"id":150,"name":"Time of Event (Mountain Time)","value":"13:23:57"},{"id":151,"name":"Denver Issue ID","value":""},{"id":178,"name":"Operational Impact","value":"Yes"},{"id":179,"name":"Denver Segment Assigned","value":""}]}} | curl --insecure -X POST -H "Content-Type: application/json" -H "X-Redmine-API-Key: %REDMINEAPIKEY%" https://secure.xorail.net/redmine/issues.json --data @-</v>
      </c>
      <c r="AK183" s="47"/>
      <c r="AL183" s="47"/>
      <c r="AM183" s="142" t="str">
        <f t="shared" si="112"/>
        <v>start /low /b %USERPROFILE%\Documents\GitHub\eaglep3\Utilities\DownloadLogsFromS3.py --loco 4002 --day 2017-10-05</v>
      </c>
      <c r="AN183" s="151" t="str">
        <f t="shared" si="113"/>
        <v>echo {"issue":{"subject":"","project_id":30,"tracker_id":4,"status_id":1,"priority_id":1,"assigned_to_id":10,"start_date":"2017-10-05","description":"","custom_fields":[{"id":30,"name":"Category","value":"Issue"},{"id":3,"name":"Functional Component","value":"Onboard"},{"id":31,"name":"Version","value":"N/A"},{"id":8,"name":"Reporting RR","value":"WABTEC"},{"id":27,"name":"Locomotive ID","value":"4002"},{"id":20,"name":"RR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19:23:57"},{"id":29,"name":"Sharepoint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83" s="168" t="str">
        <f t="shared" si="114"/>
        <v>https://d0f6bd738d7f1b3e5a7ca70fe4ff75f0.us-east-1.aws.found.io/app/kibana#/discover/Steve-Slow-Train-Analysis-(2080s-and-2083s)?_g=(refreshInterval:(display:Off,pause:!f,section:0,value:0),time:(from:'2017-10-05T12:01:33-0600',mode:absolute,to:'2017-10-05T14:23:57-0600'))&amp;_a=(columns:!('Message%20ID',Summary),filters:!(),index:'emp_*',interval:auto,query:(query_string:(analyze_wildcard:!t,query:'%22rtdc.l.rtdc.4002%22')),sort:!(Time.ISO8601,asc))</v>
      </c>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row>
    <row r="184" spans="1:91" s="20" customFormat="1" x14ac:dyDescent="0.25">
      <c r="A184" s="32" t="s">
        <v>714</v>
      </c>
      <c r="B184" s="7">
        <v>4001</v>
      </c>
      <c r="C184" s="21" t="s">
        <v>194</v>
      </c>
      <c r="D184" s="21" t="s">
        <v>950</v>
      </c>
      <c r="E184" s="13">
        <v>43013.560277777775</v>
      </c>
      <c r="F184" s="13">
        <v>43013.571817129632</v>
      </c>
      <c r="G184" s="7">
        <v>82</v>
      </c>
      <c r="H184" s="21" t="s">
        <v>951</v>
      </c>
      <c r="I184" s="13">
        <v>43013.580289351848</v>
      </c>
      <c r="J184" s="7">
        <v>0</v>
      </c>
      <c r="K184" s="89" t="str">
        <f t="shared" si="129"/>
        <v>4001/4002</v>
      </c>
      <c r="L184" s="185" t="str">
        <f>VLOOKUP(A184,'Trips&amp;Operators'!$C$1:$G$99911,5,FALSE)</f>
        <v>BIRKHOLZ NADINE</v>
      </c>
      <c r="M184" s="6">
        <f t="shared" si="130"/>
        <v>8.4722222163691185E-3</v>
      </c>
      <c r="N184" s="7">
        <f t="shared" si="137"/>
        <v>12.199999991571531</v>
      </c>
      <c r="O184" s="7"/>
      <c r="P184" s="7"/>
      <c r="Q184" s="22"/>
      <c r="R184" s="174"/>
      <c r="S184" s="221">
        <f t="shared" si="138"/>
        <v>1</v>
      </c>
      <c r="T184" s="174" t="str">
        <f t="shared" si="132"/>
        <v>Southbound</v>
      </c>
      <c r="U184" s="198">
        <f>IF(AG184="EC",COUNTIFS(Variables!$M$2:$M$19,IF(T184="NorthBound","&gt;=","&lt;=")&amp;Y184,Variables!$M$2:$M$19,IF(T184="NorthBound","&lt;=","&gt;=")&amp;Z184),COUNTIFS(Variables!$P$2:$P$19,IF(T184="NorthBound","&gt;=","&lt;=")&amp;Y184,Variables!$P$2:$P$19,IF(T184="NorthBound","&lt;=","&gt;=")&amp;Z184))</f>
        <v>1</v>
      </c>
      <c r="V184" s="216" t="str">
        <f t="shared" si="107"/>
        <v>https://d0f6bd738d7f1b3e5a7ca70fe4ff75f0.us-east-1.aws.found.io/app/kibana#/discover/Steve-Slow-Train-Analysis-(2080s-and-2083s)?_g=(refreshInterval:(display:Off,pause:!f,section:0,value:0),time:(from:'2017-10-05T12:26:48-0600',mode:absolute,to:'2017-10-05T14:55:37-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W184" s="204" t="str">
        <f>IF(AA184&lt;VLOOKUP(AG184,Variables!$AC$3:$AD$8,2,FALSE),"Y","N")</f>
        <v>N</v>
      </c>
      <c r="X184" s="204">
        <f t="shared" si="128"/>
        <v>1</v>
      </c>
      <c r="Y184" s="204">
        <f t="shared" si="126"/>
        <v>5.8615000000000004</v>
      </c>
      <c r="Z184" s="204">
        <f t="shared" si="127"/>
        <v>6.9599999999999995E-2</v>
      </c>
      <c r="AA184" s="204">
        <f t="shared" si="133"/>
        <v>5.7919</v>
      </c>
      <c r="AB184" s="54" t="e">
        <f>VLOOKUP(A184,Enforcements!$C$7:$K$11,8,0)</f>
        <v>#N/A</v>
      </c>
      <c r="AC184" s="51" t="e">
        <f>VLOOKUP(A184,Enforcements!$C$7:$E$11,3,0)</f>
        <v>#N/A</v>
      </c>
      <c r="AD184" s="179">
        <f t="shared" si="134"/>
        <v>822</v>
      </c>
      <c r="AE184" s="77" t="str">
        <f t="shared" si="108"/>
        <v>aws s3 cp s3://rtdc.mdm.uploadarchive.raw/RTDC4001/ "%USERPROFILE%\AppData\Local\Temp\OnboardLogs"\RTDC4001\2017-10-05 --exclude "*" --recursive --include "*20171005*" &amp; "%USERPROFILE%\Documents\GitHub\mrs-test-scripts\Headless Mode &amp; Sideloading\WalkAndUnGZ.bat" "%USERPROFILE%\AppData\Local\Temp\OnboardLogs"\RTDC4001\2017-10-05 &amp; aws s3 cp s3://rtdc.mdm.uploadarchive.raw/RTDC4001/ "%USERPROFILE%\AppData\Local\Temp\OnboardLogs"\RTDC4001\2017-10-06 --exclude "*" --recursive --include "*20171006*" &amp; "%USERPROFILE%\Documents\GitHub\mrs-test-scripts\Headless Mode &amp; Sideloading\WalkAndUnGZ.bat" "%USERPROFILE%\AppData\Local\Temp\OnboardLogs"\RTDC4001\2017-10-06</v>
      </c>
      <c r="AF184" s="74" t="str">
        <f t="shared" si="109"/>
        <v>"C:\Program Files (x86)\AstroGrep\AstroGrep.exe" /e /r /s /spath="%USERPROFILE%\AppData\Local\Temp\OnboardLogs" /stypes="app*4001*20171005*" /stext=" 19:.+((SYSTEM_STATE.+slice.+state.+changed )|(ment ac)|(multiple cpu faults)|(system.+state.+changed )|(\[timeout)|(PRM\|1\|D)|(kpr)|(kdp)|(train st.+moving)|(\|lc)|(penalty))"</v>
      </c>
      <c r="AG184" s="182" t="str">
        <f t="shared" si="135"/>
        <v>NW</v>
      </c>
      <c r="AH184" s="78" t="str">
        <f t="shared" si="110"/>
        <v>"%USERPROFILE%\Documents\GitHub\eaglep3\Utilities\RefineRTDCRunTimes.py" --tripid 822-05 --locoid 4001 --swversion DE.1.0.9.0 --startMP 300:58615 --initTime 2017-10-05T13:26:48 --startdatetime 2017-10-05T13:43:25 --delay 82 --endMP 204:696 --enddatetime 2017-10-05T13:55:37 --enforcementcount 0 &gt;&gt;%USERPROFILE%\Documents\GitHub\eaglep3-reporting\EC\2017-10-05-refined-times.txt</v>
      </c>
      <c r="AI184" s="96" t="str">
        <f t="shared" si="111"/>
        <v>echo {"issue":{"subject":"","project_id":79,"tracker_id":40,"status_id":1,"priority_id":2,"assigned_to_id":338,"start_date":"2017-10-05","description":"","custom_fields":[{"id":1,"name":"Subdivision","value":"NW"},{"id":4,"name":"Milepost","value":"0.0696"},{"id":17,"name":"Train ID","value":"822-05"},{"id":16,"name":"Locomotive ID","value":"4001"},{"id":130,"name":"Impact","value":""},{"id":150,"name":"Time of Event (Mountain Time)","value":"13:55:37"},{"id":151,"name":"Denver Issue ID","value":""},{"id":178,"name":"Operational Impact","value":"Yes"},{"id":179,"name":"Denver Segment Assigned","value":""}]}} | curl --insecure -X POST -H "Content-Type: application/json" -H "X-Redmine-API-Key: %REDMINEAPIKEY%" https://secure.xorail.net/redmine/issues.json --data @-</v>
      </c>
      <c r="AK184" s="47"/>
      <c r="AL184" s="47"/>
      <c r="AM184" s="142" t="str">
        <f t="shared" si="112"/>
        <v>start /low /b %USERPROFILE%\Documents\GitHub\eaglep3\Utilities\DownloadLogsFromS3.py --loco 4001 --day 2017-10-05</v>
      </c>
      <c r="AN184" s="151" t="str">
        <f t="shared" si="113"/>
        <v>echo {"issue":{"subject":"","project_id":30,"tracker_id":4,"status_id":1,"priority_id":1,"assigned_to_id":10,"start_date":"2017-10-05","description":"","custom_fields":[{"id":30,"name":"Category","value":"Issue"},{"id":3,"name":"Functional Component","value":"Onboard"},{"id":31,"name":"Version","value":"N/A"},{"id":8,"name":"Reporting RR","value":"WABTEC"},{"id":27,"name":"Locomotive ID","value":"4001"},{"id":20,"name":"RR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19:55:37"},{"id":29,"name":"Sharepoint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84" s="168" t="str">
        <f t="shared" si="114"/>
        <v>https://d0f6bd738d7f1b3e5a7ca70fe4ff75f0.us-east-1.aws.found.io/app/kibana#/discover/Steve-Slow-Train-Analysis-(2080s-and-2083s)?_g=(refreshInterval:(display:Off,pause:!f,section:0,value:0),time:(from:'2017-10-05T12:26:48-0600',mode:absolute,to:'2017-10-05T14:55:37-0600'))&amp;_a=(columns:!('Message%20ID',Summary),filters:!(),index:'emp_*',interval:auto,query:(query_string:(analyze_wildcard:!t,query:'%22rtdc.l.rtdc.4001%22')),sort:!(Time.ISO8601,asc))</v>
      </c>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row>
    <row r="185" spans="1:91" s="20" customFormat="1" x14ac:dyDescent="0.25">
      <c r="A185" s="32" t="s">
        <v>720</v>
      </c>
      <c r="B185" s="7">
        <v>4002</v>
      </c>
      <c r="C185" s="21" t="s">
        <v>194</v>
      </c>
      <c r="D185" s="21" t="s">
        <v>952</v>
      </c>
      <c r="E185" s="13">
        <v>43013.585833333331</v>
      </c>
      <c r="F185" s="13">
        <v>43013.589826388888</v>
      </c>
      <c r="G185" s="7">
        <v>63</v>
      </c>
      <c r="H185" s="21" t="s">
        <v>468</v>
      </c>
      <c r="I185" s="13">
        <v>43013.600046296298</v>
      </c>
      <c r="J185" s="7">
        <v>0</v>
      </c>
      <c r="K185" s="89" t="str">
        <f t="shared" si="129"/>
        <v>4001/4002</v>
      </c>
      <c r="L185" s="185" t="str">
        <f>VLOOKUP(A185,'Trips&amp;Operators'!$C$1:$G$99911,5,FALSE)</f>
        <v>BIRKHOLZ NADINE</v>
      </c>
      <c r="M185" s="6">
        <f t="shared" si="130"/>
        <v>1.021990740991896E-2</v>
      </c>
      <c r="N185" s="7">
        <f t="shared" si="137"/>
        <v>14.716666670283303</v>
      </c>
      <c r="O185" s="7"/>
      <c r="P185" s="7"/>
      <c r="Q185" s="22"/>
      <c r="R185" s="174"/>
      <c r="S185" s="221">
        <f t="shared" si="138"/>
        <v>1</v>
      </c>
      <c r="T185" s="174" t="str">
        <f t="shared" si="132"/>
        <v>NorthBound</v>
      </c>
      <c r="U185" s="198">
        <f>IF(AG185="EC",COUNTIFS(Variables!$M$2:$M$19,IF(T185="NorthBound","&gt;=","&lt;=")&amp;Y185,Variables!$M$2:$M$19,IF(T185="NorthBound","&lt;=","&gt;=")&amp;Z185),COUNTIFS(Variables!$P$2:$P$19,IF(T185="NorthBound","&gt;=","&lt;=")&amp;Y185,Variables!$P$2:$P$19,IF(T185="NorthBound","&lt;=","&gt;=")&amp;Z185))</f>
        <v>1</v>
      </c>
      <c r="V185" s="216" t="str">
        <f t="shared" si="107"/>
        <v>https://d0f6bd738d7f1b3e5a7ca70fe4ff75f0.us-east-1.aws.found.io/app/kibana#/discover/Steve-Slow-Train-Analysis-(2080s-and-2083s)?_g=(refreshInterval:(display:Off,pause:!f,section:0,value:0),time:(from:'2017-10-05T13:03:36-0600',mode:absolute,to:'2017-10-05T15:24:04-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W185" s="204" t="str">
        <f>IF(AA185&lt;VLOOKUP(AG185,Variables!$AC$3:$AD$8,2,FALSE),"Y","N")</f>
        <v>N</v>
      </c>
      <c r="X185" s="204">
        <f t="shared" si="128"/>
        <v>1</v>
      </c>
      <c r="Y185" s="204">
        <f t="shared" si="126"/>
        <v>9.7100000000000006E-2</v>
      </c>
      <c r="Z185" s="204">
        <f t="shared" si="127"/>
        <v>5.8929</v>
      </c>
      <c r="AA185" s="204">
        <f t="shared" si="133"/>
        <v>5.7957999999999998</v>
      </c>
      <c r="AB185" s="54" t="e">
        <f>VLOOKUP(A185,Enforcements!$C$7:$K$11,8,0)</f>
        <v>#N/A</v>
      </c>
      <c r="AC185" s="51" t="e">
        <f>VLOOKUP(A185,Enforcements!$C$7:$E$11,3,0)</f>
        <v>#N/A</v>
      </c>
      <c r="AD185" s="179">
        <f t="shared" si="134"/>
        <v>823</v>
      </c>
      <c r="AE185" s="77" t="str">
        <f t="shared" si="108"/>
        <v>aws s3 cp s3://rtdc.mdm.uploadarchive.raw/RTDC4002/ "%USERPROFILE%\AppData\Local\Temp\OnboardLogs"\RTDC4002\2017-10-05 --exclude "*" --recursive --include "*20171005*" &amp; "%USERPROFILE%\Documents\GitHub\mrs-test-scripts\Headless Mode &amp; Sideloading\WalkAndUnGZ.bat" "%USERPROFILE%\AppData\Local\Temp\OnboardLogs"\RTDC4002\2017-10-05 &amp; aws s3 cp s3://rtdc.mdm.uploadarchive.raw/RTDC4002/ "%USERPROFILE%\AppData\Local\Temp\OnboardLogs"\RTDC4002\2017-10-06 --exclude "*" --recursive --include "*20171006*" &amp; "%USERPROFILE%\Documents\GitHub\mrs-test-scripts\Headless Mode &amp; Sideloading\WalkAndUnGZ.bat" "%USERPROFILE%\AppData\Local\Temp\OnboardLogs"\RTDC4002\2017-10-06</v>
      </c>
      <c r="AF185" s="74" t="str">
        <f t="shared" si="109"/>
        <v>"C:\Program Files (x86)\AstroGrep\AstroGrep.exe" /e /r /s /spath="%USERPROFILE%\AppData\Local\Temp\OnboardLogs" /stypes="app*4002*20171005*" /stext=" 20:.+((SYSTEM_STATE.+slice.+state.+changed )|(ment ac)|(multiple cpu faults)|(system.+state.+changed )|(\[timeout)|(PRM\|1\|D)|(kpr)|(kdp)|(train st.+moving)|(\|lc)|(penalty))"</v>
      </c>
      <c r="AG185" s="182" t="str">
        <f t="shared" si="135"/>
        <v>NW</v>
      </c>
      <c r="AH185" s="78" t="str">
        <f t="shared" si="110"/>
        <v>"%USERPROFILE%\Documents\GitHub\eaglep3\Utilities\RefineRTDCRunTimes.py" --tripid 823-05 --locoid 4002 --swversion DE.1.0.9.0 --startMP 204:971 --initTime 2017-10-05T14:03:36 --startdatetime 2017-10-05T14:09:21 --delay 63 --endMP 300:58929 --enddatetime 2017-10-05T14:24:04 --enforcementcount 0 &gt;&gt;%USERPROFILE%\Documents\GitHub\eaglep3-reporting\EC\2017-10-05-refined-times.txt</v>
      </c>
      <c r="AI185" s="96" t="str">
        <f t="shared" si="111"/>
        <v>echo {"issue":{"subject":"","project_id":79,"tracker_id":40,"status_id":1,"priority_id":2,"assigned_to_id":338,"start_date":"2017-10-05","description":"","custom_fields":[{"id":1,"name":"Subdivision","value":"NW"},{"id":4,"name":"Milepost","value":"5.8929"},{"id":17,"name":"Train ID","value":"823-05"},{"id":16,"name":"Locomotive ID","value":"4002"},{"id":130,"name":"Impact","value":""},{"id":150,"name":"Time of Event (Mountain Time)","value":"14:24:04"},{"id":151,"name":"Denver Issue ID","value":""},{"id":178,"name":"Operational Impact","value":"Yes"},{"id":179,"name":"Denver Segment Assigned","value":""}]}} | curl --insecure -X POST -H "Content-Type: application/json" -H "X-Redmine-API-Key: %REDMINEAPIKEY%" https://secure.xorail.net/redmine/issues.json --data @-</v>
      </c>
      <c r="AK185" s="47"/>
      <c r="AL185" s="47"/>
      <c r="AM185" s="142" t="str">
        <f t="shared" si="112"/>
        <v>start /low /b %USERPROFILE%\Documents\GitHub\eaglep3\Utilities\DownloadLogsFromS3.py --loco 4002 --day 2017-10-05</v>
      </c>
      <c r="AN185" s="151" t="str">
        <f t="shared" si="113"/>
        <v>echo {"issue":{"subject":"","project_id":30,"tracker_id":4,"status_id":1,"priority_id":1,"assigned_to_id":10,"start_date":"2017-10-05","description":"","custom_fields":[{"id":30,"name":"Category","value":"Issue"},{"id":3,"name":"Functional Component","value":"Onboard"},{"id":31,"name":"Version","value":"N/A"},{"id":8,"name":"Reporting RR","value":"WABTEC"},{"id":27,"name":"Locomotive ID","value":"4002"},{"id":20,"name":"RR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20:24:04"},{"id":29,"name":"Sharepoint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85" s="168" t="str">
        <f t="shared" si="114"/>
        <v>https://d0f6bd738d7f1b3e5a7ca70fe4ff75f0.us-east-1.aws.found.io/app/kibana#/discover/Steve-Slow-Train-Analysis-(2080s-and-2083s)?_g=(refreshInterval:(display:Off,pause:!f,section:0,value:0),time:(from:'2017-10-05T13:03:36-0600',mode:absolute,to:'2017-10-05T15:24:04-0600'))&amp;_a=(columns:!('Message%20ID',Summary),filters:!(),index:'emp_*',interval:auto,query:(query_string:(analyze_wildcard:!t,query:'%22rtdc.l.rtdc.4002%22')),sort:!(Time.ISO8601,asc))</v>
      </c>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row>
    <row r="186" spans="1:91" s="20" customFormat="1" x14ac:dyDescent="0.25">
      <c r="A186" s="32" t="s">
        <v>724</v>
      </c>
      <c r="B186" s="7">
        <v>4001</v>
      </c>
      <c r="C186" s="21" t="s">
        <v>194</v>
      </c>
      <c r="D186" s="21" t="s">
        <v>953</v>
      </c>
      <c r="E186" s="13">
        <v>43013.601631944446</v>
      </c>
      <c r="F186" s="13">
        <v>43013.613819444443</v>
      </c>
      <c r="G186" s="7">
        <v>57</v>
      </c>
      <c r="H186" s="21" t="s">
        <v>554</v>
      </c>
      <c r="I186" s="13">
        <v>43013.621666666666</v>
      </c>
      <c r="J186" s="7">
        <v>0</v>
      </c>
      <c r="K186" s="89" t="str">
        <f t="shared" si="129"/>
        <v>4001/4002</v>
      </c>
      <c r="L186" s="185" t="str">
        <f>VLOOKUP(A186,'Trips&amp;Operators'!$C$1:$G$99911,5,FALSE)</f>
        <v>BIRKHOLZ NADINE</v>
      </c>
      <c r="M186" s="6">
        <f t="shared" si="130"/>
        <v>7.8472222230629995E-3</v>
      </c>
      <c r="N186" s="7">
        <f t="shared" si="137"/>
        <v>11.300000001210719</v>
      </c>
      <c r="O186" s="7"/>
      <c r="P186" s="7"/>
      <c r="Q186" s="22"/>
      <c r="R186" s="174"/>
      <c r="S186" s="221">
        <f t="shared" si="138"/>
        <v>1</v>
      </c>
      <c r="T186" s="174" t="str">
        <f t="shared" si="132"/>
        <v>Southbound</v>
      </c>
      <c r="U186" s="198">
        <f>IF(AG186="EC",COUNTIFS(Variables!$M$2:$M$19,IF(T186="NorthBound","&gt;=","&lt;=")&amp;Y186,Variables!$M$2:$M$19,IF(T186="NorthBound","&lt;=","&gt;=")&amp;Z186),COUNTIFS(Variables!$P$2:$P$19,IF(T186="NorthBound","&gt;=","&lt;=")&amp;Y186,Variables!$P$2:$P$19,IF(T186="NorthBound","&lt;=","&gt;=")&amp;Z186))</f>
        <v>1</v>
      </c>
      <c r="V186" s="216" t="str">
        <f t="shared" si="107"/>
        <v>https://d0f6bd738d7f1b3e5a7ca70fe4ff75f0.us-east-1.aws.found.io/app/kibana#/discover/Steve-Slow-Train-Analysis-(2080s-and-2083s)?_g=(refreshInterval:(display:Off,pause:!f,section:0,value:0),time:(from:'2017-10-05T13:26:21-0600',mode:absolute,to:'2017-10-05T15:55:12-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W186" s="204" t="str">
        <f>IF(AA186&lt;VLOOKUP(AG186,Variables!$AC$3:$AD$8,2,FALSE),"Y","N")</f>
        <v>N</v>
      </c>
      <c r="X186" s="204">
        <f t="shared" si="128"/>
        <v>1</v>
      </c>
      <c r="Y186" s="204">
        <f t="shared" si="126"/>
        <v>5.8613</v>
      </c>
      <c r="Z186" s="204">
        <f t="shared" si="127"/>
        <v>7.0999999999999994E-2</v>
      </c>
      <c r="AA186" s="204">
        <f t="shared" si="133"/>
        <v>5.7903000000000002</v>
      </c>
      <c r="AB186" s="54" t="e">
        <f>VLOOKUP(A186,Enforcements!$C$7:$K$11,8,0)</f>
        <v>#N/A</v>
      </c>
      <c r="AC186" s="51" t="e">
        <f>VLOOKUP(A186,Enforcements!$C$7:$E$11,3,0)</f>
        <v>#N/A</v>
      </c>
      <c r="AD186" s="179">
        <f t="shared" si="134"/>
        <v>824</v>
      </c>
      <c r="AE186" s="77" t="str">
        <f t="shared" si="108"/>
        <v>aws s3 cp s3://rtdc.mdm.uploadarchive.raw/RTDC4001/ "%USERPROFILE%\AppData\Local\Temp\OnboardLogs"\RTDC4001\2017-10-05 --exclude "*" --recursive --include "*20171005*" &amp; "%USERPROFILE%\Documents\GitHub\mrs-test-scripts\Headless Mode &amp; Sideloading\WalkAndUnGZ.bat" "%USERPROFILE%\AppData\Local\Temp\OnboardLogs"\RTDC4001\2017-10-05 &amp; aws s3 cp s3://rtdc.mdm.uploadarchive.raw/RTDC4001/ "%USERPROFILE%\AppData\Local\Temp\OnboardLogs"\RTDC4001\2017-10-06 --exclude "*" --recursive --include "*20171006*" &amp; "%USERPROFILE%\Documents\GitHub\mrs-test-scripts\Headless Mode &amp; Sideloading\WalkAndUnGZ.bat" "%USERPROFILE%\AppData\Local\Temp\OnboardLogs"\RTDC4001\2017-10-06</v>
      </c>
      <c r="AF186" s="74" t="str">
        <f t="shared" si="109"/>
        <v>"C:\Program Files (x86)\AstroGrep\AstroGrep.exe" /e /r /s /spath="%USERPROFILE%\AppData\Local\Temp\OnboardLogs" /stypes="app*4001*20171005*" /stext=" 20:.+((SYSTEM_STATE.+slice.+state.+changed )|(ment ac)|(multiple cpu faults)|(system.+state.+changed )|(\[timeout)|(PRM\|1\|D)|(kpr)|(kdp)|(train st.+moving)|(\|lc)|(penalty))"</v>
      </c>
      <c r="AG186" s="182" t="str">
        <f t="shared" si="135"/>
        <v>NW</v>
      </c>
      <c r="AH186" s="78" t="str">
        <f t="shared" si="110"/>
        <v>"%USERPROFILE%\Documents\GitHub\eaglep3\Utilities\RefineRTDCRunTimes.py" --tripid 824-05 --locoid 4001 --swversion DE.1.0.9.0 --startMP 300:58613 --initTime 2017-10-05T14:26:21 --startdatetime 2017-10-05T14:43:54 --delay 57 --endMP 204:710 --enddatetime 2017-10-05T14:55:12 --enforcementcount 0 &gt;&gt;%USERPROFILE%\Documents\GitHub\eaglep3-reporting\EC\2017-10-05-refined-times.txt</v>
      </c>
      <c r="AI186" s="96" t="str">
        <f t="shared" si="111"/>
        <v>echo {"issue":{"subject":"","project_id":79,"tracker_id":40,"status_id":1,"priority_id":2,"assigned_to_id":338,"start_date":"2017-10-05","description":"","custom_fields":[{"id":1,"name":"Subdivision","value":"NW"},{"id":4,"name":"Milepost","value":"0.071"},{"id":17,"name":"Train ID","value":"824-05"},{"id":16,"name":"Locomotive ID","value":"4001"},{"id":130,"name":"Impact","value":""},{"id":150,"name":"Time of Event (Mountain Time)","value":"14:55:12"},{"id":151,"name":"Denver Issue ID","value":""},{"id":178,"name":"Operational Impact","value":"Yes"},{"id":179,"name":"Denver Segment Assigned","value":""}]}} | curl --insecure -X POST -H "Content-Type: application/json" -H "X-Redmine-API-Key: %REDMINEAPIKEY%" https://secure.xorail.net/redmine/issues.json --data @-</v>
      </c>
      <c r="AK186" s="47"/>
      <c r="AL186" s="47"/>
      <c r="AM186" s="142" t="str">
        <f t="shared" si="112"/>
        <v>start /low /b %USERPROFILE%\Documents\GitHub\eaglep3\Utilities\DownloadLogsFromS3.py --loco 4001 --day 2017-10-05</v>
      </c>
      <c r="AN186" s="151" t="str">
        <f t="shared" si="113"/>
        <v>echo {"issue":{"subject":"","project_id":30,"tracker_id":4,"status_id":1,"priority_id":1,"assigned_to_id":10,"start_date":"2017-10-05","description":"","custom_fields":[{"id":30,"name":"Category","value":"Issue"},{"id":3,"name":"Functional Component","value":"Onboard"},{"id":31,"name":"Version","value":"N/A"},{"id":8,"name":"Reporting RR","value":"WABTEC"},{"id":27,"name":"Locomotive ID","value":"4001"},{"id":20,"name":"RR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20:55:12"},{"id":29,"name":"Sharepoint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86" s="168" t="str">
        <f t="shared" si="114"/>
        <v>https://d0f6bd738d7f1b3e5a7ca70fe4ff75f0.us-east-1.aws.found.io/app/kibana#/discover/Steve-Slow-Train-Analysis-(2080s-and-2083s)?_g=(refreshInterval:(display:Off,pause:!f,section:0,value:0),time:(from:'2017-10-05T13:26:21-0600',mode:absolute,to:'2017-10-05T15:55:12-0600'))&amp;_a=(columns:!('Message%20ID',Summary),filters:!(),index:'emp_*',interval:auto,query:(query_string:(analyze_wildcard:!t,query:'%22rtdc.l.rtdc.4001%22')),sort:!(Time.ISO8601,asc))</v>
      </c>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row>
    <row r="187" spans="1:91" s="20" customFormat="1" x14ac:dyDescent="0.25">
      <c r="A187" s="32" t="s">
        <v>730</v>
      </c>
      <c r="B187" s="7">
        <v>4002</v>
      </c>
      <c r="C187" s="21" t="s">
        <v>194</v>
      </c>
      <c r="D187" s="21" t="s">
        <v>498</v>
      </c>
      <c r="E187" s="13">
        <v>43013.629016203704</v>
      </c>
      <c r="F187" s="13">
        <v>43013.63144675926</v>
      </c>
      <c r="G187" s="7">
        <v>52</v>
      </c>
      <c r="H187" s="21" t="s">
        <v>954</v>
      </c>
      <c r="I187" s="13">
        <v>43013.641469907408</v>
      </c>
      <c r="J187" s="7">
        <v>0</v>
      </c>
      <c r="K187" s="89" t="str">
        <f t="shared" si="129"/>
        <v>4001/4002</v>
      </c>
      <c r="L187" s="185" t="str">
        <f>VLOOKUP(A187,'Trips&amp;Operators'!$C$1:$G$99911,5,FALSE)</f>
        <v>BIRKHOLZ NADINE</v>
      </c>
      <c r="M187" s="6">
        <f t="shared" si="130"/>
        <v>1.0023148148320615E-2</v>
      </c>
      <c r="N187" s="7">
        <f t="shared" si="137"/>
        <v>14.433333333581686</v>
      </c>
      <c r="O187" s="7"/>
      <c r="P187" s="7"/>
      <c r="Q187" s="22"/>
      <c r="R187" s="174"/>
      <c r="S187" s="221">
        <f t="shared" si="138"/>
        <v>1</v>
      </c>
      <c r="T187" s="174" t="str">
        <f t="shared" si="132"/>
        <v>NorthBound</v>
      </c>
      <c r="U187" s="198">
        <f>IF(AG187="EC",COUNTIFS(Variables!$M$2:$M$19,IF(T187="NorthBound","&gt;=","&lt;=")&amp;Y187,Variables!$M$2:$M$19,IF(T187="NorthBound","&lt;=","&gt;=")&amp;Z187),COUNTIFS(Variables!$P$2:$P$19,IF(T187="NorthBound","&gt;=","&lt;=")&amp;Y187,Variables!$P$2:$P$19,IF(T187="NorthBound","&lt;=","&gt;=")&amp;Z187))</f>
        <v>1</v>
      </c>
      <c r="V187" s="216" t="str">
        <f t="shared" si="107"/>
        <v>https://d0f6bd738d7f1b3e5a7ca70fe4ff75f0.us-east-1.aws.found.io/app/kibana#/discover/Steve-Slow-Train-Analysis-(2080s-and-2083s)?_g=(refreshInterval:(display:Off,pause:!f,section:0,value:0),time:(from:'2017-10-05T14:05:47-0600',mode:absolute,to:'2017-10-05T16:23:43-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W187" s="204" t="str">
        <f>IF(AA187&lt;VLOOKUP(AG187,Variables!$AC$3:$AD$8,2,FALSE),"Y","N")</f>
        <v>N</v>
      </c>
      <c r="X187" s="204">
        <f t="shared" si="128"/>
        <v>1</v>
      </c>
      <c r="Y187" s="204">
        <f t="shared" ref="Y187:Y218" si="139">RIGHT(D187,LEN(D187)-4)/10000</f>
        <v>9.7799999999999998E-2</v>
      </c>
      <c r="Z187" s="204">
        <f t="shared" ref="Z187:Z218" si="140">RIGHT(H187,LEN(H187)-4)/10000</f>
        <v>5.8924000000000003</v>
      </c>
      <c r="AA187" s="204">
        <f t="shared" si="133"/>
        <v>5.7946</v>
      </c>
      <c r="AB187" s="54" t="e">
        <f>VLOOKUP(A187,Enforcements!$C$7:$K$11,8,0)</f>
        <v>#N/A</v>
      </c>
      <c r="AC187" s="51" t="e">
        <f>VLOOKUP(A187,Enforcements!$C$7:$E$11,3,0)</f>
        <v>#N/A</v>
      </c>
      <c r="AD187" s="179">
        <f t="shared" si="134"/>
        <v>825</v>
      </c>
      <c r="AE187" s="77" t="str">
        <f t="shared" si="108"/>
        <v>aws s3 cp s3://rtdc.mdm.uploadarchive.raw/RTDC4002/ "%USERPROFILE%\AppData\Local\Temp\OnboardLogs"\RTDC4002\2017-10-05 --exclude "*" --recursive --include "*20171005*" &amp; "%USERPROFILE%\Documents\GitHub\mrs-test-scripts\Headless Mode &amp; Sideloading\WalkAndUnGZ.bat" "%USERPROFILE%\AppData\Local\Temp\OnboardLogs"\RTDC4002\2017-10-05 &amp; aws s3 cp s3://rtdc.mdm.uploadarchive.raw/RTDC4002/ "%USERPROFILE%\AppData\Local\Temp\OnboardLogs"\RTDC4002\2017-10-06 --exclude "*" --recursive --include "*20171006*" &amp; "%USERPROFILE%\Documents\GitHub\mrs-test-scripts\Headless Mode &amp; Sideloading\WalkAndUnGZ.bat" "%USERPROFILE%\AppData\Local\Temp\OnboardLogs"\RTDC4002\2017-10-06</v>
      </c>
      <c r="AF187" s="74" t="str">
        <f t="shared" si="109"/>
        <v>"C:\Program Files (x86)\AstroGrep\AstroGrep.exe" /e /r /s /spath="%USERPROFILE%\AppData\Local\Temp\OnboardLogs" /stypes="app*4002*20171005*" /stext=" 21:.+((SYSTEM_STATE.+slice.+state.+changed )|(ment ac)|(multiple cpu faults)|(system.+state.+changed )|(\[timeout)|(PRM\|1\|D)|(kpr)|(kdp)|(train st.+moving)|(\|lc)|(penalty))"</v>
      </c>
      <c r="AG187" s="182" t="str">
        <f t="shared" si="135"/>
        <v>NW</v>
      </c>
      <c r="AH187" s="78" t="str">
        <f t="shared" si="110"/>
        <v>"%USERPROFILE%\Documents\GitHub\eaglep3\Utilities\RefineRTDCRunTimes.py" --tripid 825-05 --locoid 4002 --swversion DE.1.0.9.0 --startMP 204:978 --initTime 2017-10-05T15:05:47 --startdatetime 2017-10-05T15:09:17 --delay 52 --endMP 300:58924 --enddatetime 2017-10-05T15:23:43 --enforcementcount 0 &gt;&gt;%USERPROFILE%\Documents\GitHub\eaglep3-reporting\EC\2017-10-05-refined-times.txt</v>
      </c>
      <c r="AI187" s="96" t="str">
        <f t="shared" si="111"/>
        <v>echo {"issue":{"subject":"","project_id":79,"tracker_id":40,"status_id":1,"priority_id":2,"assigned_to_id":338,"start_date":"2017-10-05","description":"","custom_fields":[{"id":1,"name":"Subdivision","value":"NW"},{"id":4,"name":"Milepost","value":"5.8924"},{"id":17,"name":"Train ID","value":"825-05"},{"id":16,"name":"Locomotive ID","value":"4002"},{"id":130,"name":"Impact","value":""},{"id":150,"name":"Time of Event (Mountain Time)","value":"15:23:43"},{"id":151,"name":"Denver Issue ID","value":""},{"id":178,"name":"Operational Impact","value":"Yes"},{"id":179,"name":"Denver Segment Assigned","value":""}]}} | curl --insecure -X POST -H "Content-Type: application/json" -H "X-Redmine-API-Key: %REDMINEAPIKEY%" https://secure.xorail.net/redmine/issues.json --data @-</v>
      </c>
      <c r="AK187" s="47"/>
      <c r="AL187" s="47"/>
      <c r="AM187" s="142" t="str">
        <f t="shared" si="112"/>
        <v>start /low /b %USERPROFILE%\Documents\GitHub\eaglep3\Utilities\DownloadLogsFromS3.py --loco 4002 --day 2017-10-05</v>
      </c>
      <c r="AN187" s="151" t="str">
        <f t="shared" si="113"/>
        <v>echo {"issue":{"subject":"","project_id":30,"tracker_id":4,"status_id":1,"priority_id":1,"assigned_to_id":10,"start_date":"2017-10-05","description":"","custom_fields":[{"id":30,"name":"Category","value":"Issue"},{"id":3,"name":"Functional Component","value":"Onboard"},{"id":31,"name":"Version","value":"N/A"},{"id":8,"name":"Reporting RR","value":"WABTEC"},{"id":27,"name":"Locomotive ID","value":"4002"},{"id":20,"name":"RR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21:23:43"},{"id":29,"name":"Sharepoint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87" s="168" t="str">
        <f t="shared" si="114"/>
        <v>https://d0f6bd738d7f1b3e5a7ca70fe4ff75f0.us-east-1.aws.found.io/app/kibana#/discover/Steve-Slow-Train-Analysis-(2080s-and-2083s)?_g=(refreshInterval:(display:Off,pause:!f,section:0,value:0),time:(from:'2017-10-05T14:05:47-0600',mode:absolute,to:'2017-10-05T16:23:43-0600'))&amp;_a=(columns:!('Message%20ID',Summary),filters:!(),index:'emp_*',interval:auto,query:(query_string:(analyze_wildcard:!t,query:'%22rtdc.l.rtdc.4002%22')),sort:!(Time.ISO8601,asc))</v>
      </c>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row>
    <row r="188" spans="1:91" s="20" customFormat="1" x14ac:dyDescent="0.25">
      <c r="A188" s="32" t="s">
        <v>609</v>
      </c>
      <c r="B188" s="7">
        <v>4001</v>
      </c>
      <c r="C188" s="21" t="s">
        <v>194</v>
      </c>
      <c r="D188" s="21" t="s">
        <v>955</v>
      </c>
      <c r="E188" s="13">
        <v>43013.644849537035</v>
      </c>
      <c r="F188" s="13">
        <v>43013.646562499998</v>
      </c>
      <c r="G188" s="7">
        <v>54</v>
      </c>
      <c r="H188" s="21" t="s">
        <v>956</v>
      </c>
      <c r="I188" s="13">
        <v>43013.66202546296</v>
      </c>
      <c r="J188" s="7">
        <v>0</v>
      </c>
      <c r="K188" s="89" t="str">
        <f t="shared" si="129"/>
        <v>4001/4002</v>
      </c>
      <c r="L188" s="185" t="str">
        <f>VLOOKUP(A188,'Trips&amp;Operators'!$C$1:$G$99911,5,FALSE)</f>
        <v>BIRKHOLZ NADINE</v>
      </c>
      <c r="M188" s="6">
        <f t="shared" si="130"/>
        <v>1.5462962961464655E-2</v>
      </c>
      <c r="N188" s="7">
        <f t="shared" si="137"/>
        <v>22.266666664509103</v>
      </c>
      <c r="O188" s="7"/>
      <c r="P188" s="7"/>
      <c r="Q188" s="22"/>
      <c r="R188" s="174"/>
      <c r="S188" s="221">
        <f t="shared" si="138"/>
        <v>1</v>
      </c>
      <c r="T188" s="174" t="str">
        <f t="shared" si="132"/>
        <v>Southbound</v>
      </c>
      <c r="U188" s="198">
        <f>IF(AG188="EC",COUNTIFS(Variables!$M$2:$M$19,IF(T188="NorthBound","&gt;=","&lt;=")&amp;Y188,Variables!$M$2:$M$19,IF(T188="NorthBound","&lt;=","&gt;=")&amp;Z188),COUNTIFS(Variables!$P$2:$P$19,IF(T188="NorthBound","&gt;=","&lt;=")&amp;Y188,Variables!$P$2:$P$19,IF(T188="NorthBound","&lt;=","&gt;=")&amp;Z188))</f>
        <v>1</v>
      </c>
      <c r="V188" s="216" t="str">
        <f t="shared" si="107"/>
        <v>https://d0f6bd738d7f1b3e5a7ca70fe4ff75f0.us-east-1.aws.found.io/app/kibana#/discover/Steve-Slow-Train-Analysis-(2080s-and-2083s)?_g=(refreshInterval:(display:Off,pause:!f,section:0,value:0),time:(from:'2017-10-05T14:28:35-0600',mode:absolute,to:'2017-10-05T16:53:19-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W188" s="204" t="str">
        <f>IF(AA188&lt;VLOOKUP(AG188,Variables!$AC$3:$AD$8,2,FALSE),"Y","N")</f>
        <v>Y</v>
      </c>
      <c r="X188" s="204">
        <f t="shared" ref="X188:X219" si="141">VALUE(LEFT(AD188,4))-VALUE(LEFT(AD187,4))</f>
        <v>1</v>
      </c>
      <c r="Y188" s="204">
        <f t="shared" si="139"/>
        <v>5.8608000000000002</v>
      </c>
      <c r="Z188" s="204">
        <f t="shared" si="140"/>
        <v>0.44919999999999999</v>
      </c>
      <c r="AA188" s="204">
        <f t="shared" si="133"/>
        <v>5.4116</v>
      </c>
      <c r="AB188" s="54" t="e">
        <f>VLOOKUP(A188,Enforcements!$C$7:$K$11,8,0)</f>
        <v>#N/A</v>
      </c>
      <c r="AC188" s="51" t="e">
        <f>VLOOKUP(A188,Enforcements!$C$7:$E$11,3,0)</f>
        <v>#N/A</v>
      </c>
      <c r="AD188" s="179">
        <f t="shared" si="134"/>
        <v>826</v>
      </c>
      <c r="AE188" s="77" t="str">
        <f t="shared" si="108"/>
        <v>aws s3 cp s3://rtdc.mdm.uploadarchive.raw/RTDC4001/ "%USERPROFILE%\AppData\Local\Temp\OnboardLogs"\RTDC4001\2017-10-05 --exclude "*" --recursive --include "*20171005*" &amp; "%USERPROFILE%\Documents\GitHub\mrs-test-scripts\Headless Mode &amp; Sideloading\WalkAndUnGZ.bat" "%USERPROFILE%\AppData\Local\Temp\OnboardLogs"\RTDC4001\2017-10-05 &amp; aws s3 cp s3://rtdc.mdm.uploadarchive.raw/RTDC4001/ "%USERPROFILE%\AppData\Local\Temp\OnboardLogs"\RTDC4001\2017-10-06 --exclude "*" --recursive --include "*20171006*" &amp; "%USERPROFILE%\Documents\GitHub\mrs-test-scripts\Headless Mode &amp; Sideloading\WalkAndUnGZ.bat" "%USERPROFILE%\AppData\Local\Temp\OnboardLogs"\RTDC4001\2017-10-06</v>
      </c>
      <c r="AF188" s="74" t="str">
        <f t="shared" si="109"/>
        <v>"C:\Program Files (x86)\AstroGrep\AstroGrep.exe" /e /r /s /spath="%USERPROFILE%\AppData\Local\Temp\OnboardLogs" /stypes="app*4001*20171005*" /stext=" 21:.+((SYSTEM_STATE.+slice.+state.+changed )|(ment ac)|(multiple cpu faults)|(system.+state.+changed )|(\[timeout)|(PRM\|1\|D)|(kpr)|(kdp)|(train st.+moving)|(\|lc)|(penalty))"</v>
      </c>
      <c r="AG188" s="182" t="str">
        <f t="shared" si="135"/>
        <v>NW</v>
      </c>
      <c r="AH188" s="78" t="str">
        <f t="shared" si="110"/>
        <v>"%USERPROFILE%\Documents\GitHub\eaglep3\Utilities\RefineRTDCRunTimes.py" --tripid 826-05 --locoid 4001 --swversion DE.1.0.9.0 --startMP 300:58608 --initTime 2017-10-05T15:28:35 --startdatetime 2017-10-05T15:31:03 --delay 54 --endMP 204:4492 --enddatetime 2017-10-05T15:53:19 --enforcementcount 0 &gt;&gt;%USERPROFILE%\Documents\GitHub\eaglep3-reporting\EC\2017-10-05-refined-times.txt</v>
      </c>
      <c r="AI188" s="96" t="str">
        <f t="shared" si="111"/>
        <v>echo {"issue":{"subject":"","project_id":79,"tracker_id":40,"status_id":1,"priority_id":2,"assigned_to_id":338,"start_date":"2017-10-05","description":"","custom_fields":[{"id":1,"name":"Subdivision","value":"NW"},{"id":4,"name":"Milepost","value":"0.4492"},{"id":17,"name":"Train ID","value":"826-05"},{"id":16,"name":"Locomotive ID","value":"4001"},{"id":130,"name":"Impact","value":""},{"id":150,"name":"Time of Event (Mountain Time)","value":"15:53:19"},{"id":151,"name":"Denver Issue ID","value":""},{"id":178,"name":"Operational Impact","value":"Yes"},{"id":179,"name":"Denver Segment Assigned","value":""}]}} | curl --insecure -X POST -H "Content-Type: application/json" -H "X-Redmine-API-Key: %REDMINEAPIKEY%" https://secure.xorail.net/redmine/issues.json --data @-</v>
      </c>
      <c r="AK188" s="47"/>
      <c r="AL188" s="47"/>
      <c r="AM188" s="142" t="str">
        <f t="shared" si="112"/>
        <v>start /low /b %USERPROFILE%\Documents\GitHub\eaglep3\Utilities\DownloadLogsFromS3.py --loco 4001 --day 2017-10-05</v>
      </c>
      <c r="AN188" s="151" t="str">
        <f t="shared" si="113"/>
        <v>echo {"issue":{"subject":"","project_id":30,"tracker_id":4,"status_id":1,"priority_id":1,"assigned_to_id":10,"start_date":"2017-10-05","description":"","custom_fields":[{"id":30,"name":"Category","value":"Issue"},{"id":3,"name":"Functional Component","value":"Onboard"},{"id":31,"name":"Version","value":"N/A"},{"id":8,"name":"Reporting RR","value":"WABTEC"},{"id":27,"name":"Locomotive ID","value":"4001"},{"id":20,"name":"RR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21:53:19"},{"id":29,"name":"Sharepoint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88" s="168" t="str">
        <f t="shared" si="114"/>
        <v>https://d0f6bd738d7f1b3e5a7ca70fe4ff75f0.us-east-1.aws.found.io/app/kibana#/discover/Steve-Slow-Train-Analysis-(2080s-and-2083s)?_g=(refreshInterval:(display:Off,pause:!f,section:0,value:0),time:(from:'2017-10-05T14:28:35-0600',mode:absolute,to:'2017-10-05T16:53:19-0600'))&amp;_a=(columns:!('Message%20ID',Summary),filters:!(),index:'emp_*',interval:auto,query:(query_string:(analyze_wildcard:!t,query:'%22rtdc.l.rtdc.4001%22')),sort:!(Time.ISO8601,asc))</v>
      </c>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row>
    <row r="189" spans="1:91" s="20" customFormat="1" x14ac:dyDescent="0.25">
      <c r="A189" s="32" t="s">
        <v>733</v>
      </c>
      <c r="B189" s="7">
        <v>4020</v>
      </c>
      <c r="C189" s="21" t="s">
        <v>194</v>
      </c>
      <c r="D189" s="21" t="s">
        <v>497</v>
      </c>
      <c r="E189" s="13">
        <v>43013.654189814813</v>
      </c>
      <c r="F189" s="13">
        <v>43013.655995370369</v>
      </c>
      <c r="G189" s="7">
        <v>101</v>
      </c>
      <c r="H189" s="21" t="s">
        <v>957</v>
      </c>
      <c r="I189" s="13">
        <v>43013.665682870371</v>
      </c>
      <c r="J189" s="7">
        <v>0</v>
      </c>
      <c r="K189" s="89" t="str">
        <f t="shared" si="129"/>
        <v>4019/4020</v>
      </c>
      <c r="L189" s="185" t="str">
        <f>VLOOKUP(A189,'Trips&amp;Operators'!$C$1:$G$99911,5,FALSE)</f>
        <v>ZEWDU DEREJE</v>
      </c>
      <c r="M189" s="6">
        <f t="shared" si="130"/>
        <v>9.6875000017462298E-3</v>
      </c>
      <c r="N189" s="7">
        <f t="shared" si="137"/>
        <v>13.950000002514571</v>
      </c>
      <c r="O189" s="7"/>
      <c r="P189" s="7"/>
      <c r="Q189" s="22"/>
      <c r="R189" s="174"/>
      <c r="S189" s="221">
        <f t="shared" si="138"/>
        <v>1</v>
      </c>
      <c r="T189" s="174" t="str">
        <f t="shared" si="132"/>
        <v>NorthBound</v>
      </c>
      <c r="U189" s="198">
        <f>IF(AG189="EC",COUNTIFS(Variables!$M$2:$M$19,IF(T189="NorthBound","&gt;=","&lt;=")&amp;Y189,Variables!$M$2:$M$19,IF(T189="NorthBound","&lt;=","&gt;=")&amp;Z189),COUNTIFS(Variables!$P$2:$P$19,IF(T189="NorthBound","&gt;=","&lt;=")&amp;Y189,Variables!$P$2:$P$19,IF(T189="NorthBound","&lt;=","&gt;=")&amp;Z189))</f>
        <v>1</v>
      </c>
      <c r="V189" s="216" t="str">
        <f t="shared" si="107"/>
        <v>https://d0f6bd738d7f1b3e5a7ca70fe4ff75f0.us-east-1.aws.found.io/app/kibana#/discover/Steve-Slow-Train-Analysis-(2080s-and-2083s)?_g=(refreshInterval:(display:Off,pause:!f,section:0,value:0),time:(from:'2017-10-05T14:42:02-0600',mode:absolute,to:'2017-10-05T16:58:35-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4020%22')),sort:!(Time.ISO8601,asc))</v>
      </c>
      <c r="W189" s="204" t="str">
        <f>IF(AA189&lt;VLOOKUP(AG189,Variables!$AC$3:$AD$8,2,FALSE),"Y","N")</f>
        <v>N</v>
      </c>
      <c r="X189" s="204">
        <f t="shared" si="141"/>
        <v>1</v>
      </c>
      <c r="Y189" s="204">
        <f t="shared" si="139"/>
        <v>9.6500000000000002E-2</v>
      </c>
      <c r="Z189" s="204">
        <f t="shared" si="140"/>
        <v>5.8997000000000002</v>
      </c>
      <c r="AA189" s="204">
        <f t="shared" si="133"/>
        <v>5.8032000000000004</v>
      </c>
      <c r="AB189" s="54" t="e">
        <f>VLOOKUP(A189,Enforcements!$C$7:$K$11,8,0)</f>
        <v>#N/A</v>
      </c>
      <c r="AC189" s="51" t="e">
        <f>VLOOKUP(A189,Enforcements!$C$7:$E$11,3,0)</f>
        <v>#N/A</v>
      </c>
      <c r="AD189" s="179">
        <f t="shared" si="134"/>
        <v>827</v>
      </c>
      <c r="AE189" s="77" t="str">
        <f t="shared" si="108"/>
        <v>aws s3 cp s3://rtdc.mdm.uploadarchive.raw/RTDC4020/ "%USERPROFILE%\AppData\Local\Temp\OnboardLogs"\RTDC4020\2017-10-05 --exclude "*" --recursive --include "*20171005*" &amp; "%USERPROFILE%\Documents\GitHub\mrs-test-scripts\Headless Mode &amp; Sideloading\WalkAndUnGZ.bat" "%USERPROFILE%\AppData\Local\Temp\OnboardLogs"\RTDC4020\2017-10-05 &amp; aws s3 cp s3://rtdc.mdm.uploadarchive.raw/RTDC4020/ "%USERPROFILE%\AppData\Local\Temp\OnboardLogs"\RTDC4020\2017-10-06 --exclude "*" --recursive --include "*20171006*" &amp; "%USERPROFILE%\Documents\GitHub\mrs-test-scripts\Headless Mode &amp; Sideloading\WalkAndUnGZ.bat" "%USERPROFILE%\AppData\Local\Temp\OnboardLogs"\RTDC4020\2017-10-06</v>
      </c>
      <c r="AF189" s="74" t="str">
        <f t="shared" si="109"/>
        <v>"C:\Program Files (x86)\AstroGrep\AstroGrep.exe" /e /r /s /spath="%USERPROFILE%\AppData\Local\Temp\OnboardLogs" /stypes="app*4020*20171005*" /stext=" 21:.+((SYSTEM_STATE.+slice.+state.+changed )|(ment ac)|(multiple cpu faults)|(system.+state.+changed )|(\[timeout)|(PRM\|1\|D)|(kpr)|(kdp)|(train st.+moving)|(\|lc)|(penalty))"</v>
      </c>
      <c r="AG189" s="182" t="str">
        <f t="shared" si="135"/>
        <v>NW</v>
      </c>
      <c r="AH189" s="78" t="str">
        <f t="shared" si="110"/>
        <v>"%USERPROFILE%\Documents\GitHub\eaglep3\Utilities\RefineRTDCRunTimes.py" --tripid 827-05 --locoid 4020 --swversion DE.1.0.9.0 --startMP 204:965 --initTime 2017-10-05T15:42:02 --startdatetime 2017-10-05T15:44:38 --delay 101 --endMP 300:58997 --enddatetime 2017-10-05T15:58:35 --enforcementcount 0 &gt;&gt;%USERPROFILE%\Documents\GitHub\eaglep3-reporting\EC\2017-10-05-refined-times.txt</v>
      </c>
      <c r="AI189" s="96" t="str">
        <f t="shared" si="111"/>
        <v>echo {"issue":{"subject":"","project_id":79,"tracker_id":40,"status_id":1,"priority_id":2,"assigned_to_id":338,"start_date":"2017-10-05","description":"","custom_fields":[{"id":1,"name":"Subdivision","value":"NW"},{"id":4,"name":"Milepost","value":"5.8997"},{"id":17,"name":"Train ID","value":"827-05"},{"id":16,"name":"Locomotive ID","value":"4020"},{"id":130,"name":"Impact","value":""},{"id":150,"name":"Time of Event (Mountain Time)","value":"15:58:35"},{"id":151,"name":"Denver Issue ID","value":""},{"id":178,"name":"Operational Impact","value":"Yes"},{"id":179,"name":"Denver Segment Assigned","value":""}]}} | curl --insecure -X POST -H "Content-Type: application/json" -H "X-Redmine-API-Key: %REDMINEAPIKEY%" https://secure.xorail.net/redmine/issues.json --data @-</v>
      </c>
      <c r="AK189" s="47"/>
      <c r="AL189" s="47"/>
      <c r="AM189" s="142" t="str">
        <f t="shared" si="112"/>
        <v>start /low /b %USERPROFILE%\Documents\GitHub\eaglep3\Utilities\DownloadLogsFromS3.py --loco 4020 --day 2017-10-05</v>
      </c>
      <c r="AN189" s="151" t="str">
        <f t="shared" si="113"/>
        <v>echo {"issue":{"subject":"","project_id":30,"tracker_id":4,"status_id":1,"priority_id":1,"assigned_to_id":10,"start_date":"2017-10-05","description":"","custom_fields":[{"id":30,"name":"Category","value":"Issue"},{"id":3,"name":"Functional Component","value":"Onboard"},{"id":31,"name":"Version","value":"N/A"},{"id":8,"name":"Reporting RR","value":"WABTEC"},{"id":27,"name":"Locomotive ID","value":"4020"},{"id":20,"name":"RR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21:58:35"},{"id":29,"name":"Sharepoint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89" s="168" t="str">
        <f t="shared" si="114"/>
        <v>https://d0f6bd738d7f1b3e5a7ca70fe4ff75f0.us-east-1.aws.found.io/app/kibana#/discover/Steve-Slow-Train-Analysis-(2080s-and-2083s)?_g=(refreshInterval:(display:Off,pause:!f,section:0,value:0),time:(from:'2017-10-05T14:42:02-0600',mode:absolute,to:'2017-10-05T16:58:35-0600'))&amp;_a=(columns:!('Message%20ID',Summary),filters:!(),index:'emp_*',interval:auto,query:(query_string:(analyze_wildcard:!t,query:'%22rtdc.l.rtdc.4020%22')),sort:!(Time.ISO8601,asc))</v>
      </c>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row>
    <row r="190" spans="1:91" s="20" customFormat="1" x14ac:dyDescent="0.25">
      <c r="A190" s="32" t="s">
        <v>737</v>
      </c>
      <c r="B190" s="7">
        <v>4019</v>
      </c>
      <c r="C190" s="21" t="s">
        <v>194</v>
      </c>
      <c r="D190" s="21" t="s">
        <v>958</v>
      </c>
      <c r="E190" s="13">
        <v>43013.667870370373</v>
      </c>
      <c r="F190" s="13">
        <v>43013.670034722221</v>
      </c>
      <c r="G190" s="7">
        <v>78</v>
      </c>
      <c r="H190" s="21" t="s">
        <v>559</v>
      </c>
      <c r="I190" s="13">
        <v>43013.684629629628</v>
      </c>
      <c r="J190" s="7">
        <v>0</v>
      </c>
      <c r="K190" s="89" t="str">
        <f t="shared" si="129"/>
        <v>4019/4020</v>
      </c>
      <c r="L190" s="185" t="str">
        <f>VLOOKUP(A190,'Trips&amp;Operators'!$C$1:$G$99911,5,FALSE)</f>
        <v>ZEWDU DEREJE</v>
      </c>
      <c r="M190" s="6">
        <f t="shared" si="130"/>
        <v>1.4594907406717539E-2</v>
      </c>
      <c r="N190" s="7">
        <f t="shared" si="137"/>
        <v>21.016666665673256</v>
      </c>
      <c r="O190" s="7"/>
      <c r="P190" s="7"/>
      <c r="Q190" s="22"/>
      <c r="R190" s="174"/>
      <c r="S190" s="221">
        <f t="shared" si="138"/>
        <v>1</v>
      </c>
      <c r="T190" s="174" t="str">
        <f t="shared" si="132"/>
        <v>Southbound</v>
      </c>
      <c r="U190" s="198">
        <f>IF(AG190="EC",COUNTIFS(Variables!$M$2:$M$19,IF(T190="NorthBound","&gt;=","&lt;=")&amp;Y190,Variables!$M$2:$M$19,IF(T190="NorthBound","&lt;=","&gt;=")&amp;Z190),COUNTIFS(Variables!$P$2:$P$19,IF(T190="NorthBound","&gt;=","&lt;=")&amp;Y190,Variables!$P$2:$P$19,IF(T190="NorthBound","&lt;=","&gt;=")&amp;Z190))</f>
        <v>1</v>
      </c>
      <c r="V190" s="216" t="str">
        <f t="shared" si="107"/>
        <v>https://d0f6bd738d7f1b3e5a7ca70fe4ff75f0.us-east-1.aws.found.io/app/kibana#/discover/Steve-Slow-Train-Analysis-(2080s-and-2083s)?_g=(refreshInterval:(display:Off,pause:!f,section:0,value:0),time:(from:'2017-10-05T15:01:44-0600',mode:absolute,to:'2017-10-05T17:25:52-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4019%22')),sort:!(Time.ISO8601,asc))</v>
      </c>
      <c r="W190" s="204" t="str">
        <f>IF(AA190&lt;VLOOKUP(AG190,Variables!$AC$3:$AD$8,2,FALSE),"Y","N")</f>
        <v>N</v>
      </c>
      <c r="X190" s="204">
        <f t="shared" si="141"/>
        <v>1</v>
      </c>
      <c r="Y190" s="204">
        <f t="shared" si="139"/>
        <v>5.8676000000000004</v>
      </c>
      <c r="Z190" s="204">
        <f t="shared" si="140"/>
        <v>7.1900000000000006E-2</v>
      </c>
      <c r="AA190" s="204">
        <f t="shared" si="133"/>
        <v>5.7957000000000001</v>
      </c>
      <c r="AB190" s="54" t="e">
        <f>VLOOKUP(A190,Enforcements!$C$7:$K$11,8,0)</f>
        <v>#N/A</v>
      </c>
      <c r="AC190" s="51" t="e">
        <f>VLOOKUP(A190,Enforcements!$C$7:$E$11,3,0)</f>
        <v>#N/A</v>
      </c>
      <c r="AD190" s="179">
        <f t="shared" si="134"/>
        <v>828</v>
      </c>
      <c r="AE190" s="77" t="str">
        <f t="shared" si="108"/>
        <v>aws s3 cp s3://rtdc.mdm.uploadarchive.raw/RTDC4019/ "%USERPROFILE%\AppData\Local\Temp\OnboardLogs"\RTDC4019\2017-10-05 --exclude "*" --recursive --include "*20171005*" &amp; "%USERPROFILE%\Documents\GitHub\mrs-test-scripts\Headless Mode &amp; Sideloading\WalkAndUnGZ.bat" "%USERPROFILE%\AppData\Local\Temp\OnboardLogs"\RTDC4019\2017-10-05 &amp; aws s3 cp s3://rtdc.mdm.uploadarchive.raw/RTDC4019/ "%USERPROFILE%\AppData\Local\Temp\OnboardLogs"\RTDC4019\2017-10-06 --exclude "*" --recursive --include "*20171006*" &amp; "%USERPROFILE%\Documents\GitHub\mrs-test-scripts\Headless Mode &amp; Sideloading\WalkAndUnGZ.bat" "%USERPROFILE%\AppData\Local\Temp\OnboardLogs"\RTDC4019\2017-10-06</v>
      </c>
      <c r="AF190" s="74" t="str">
        <f t="shared" si="109"/>
        <v>"C:\Program Files (x86)\AstroGrep\AstroGrep.exe" /e /r /s /spath="%USERPROFILE%\AppData\Local\Temp\OnboardLogs" /stypes="app*4019*20171005*" /stext=" 22:.+((SYSTEM_STATE.+slice.+state.+changed )|(ment ac)|(multiple cpu faults)|(system.+state.+changed )|(\[timeout)|(PRM\|1\|D)|(kpr)|(kdp)|(train st.+moving)|(\|lc)|(penalty))"</v>
      </c>
      <c r="AG190" s="182" t="str">
        <f t="shared" si="135"/>
        <v>NW</v>
      </c>
      <c r="AH190" s="78" t="str">
        <f t="shared" si="110"/>
        <v>"%USERPROFILE%\Documents\GitHub\eaglep3\Utilities\RefineRTDCRunTimes.py" --tripid 828-05 --locoid 4019 --swversion DE.1.0.9.0 --startMP 300:58676 --initTime 2017-10-05T16:01:44 --startdatetime 2017-10-05T16:04:51 --delay 78 --endMP 204:719 --enddatetime 2017-10-05T16:25:52 --enforcementcount 0 &gt;&gt;%USERPROFILE%\Documents\GitHub\eaglep3-reporting\EC\2017-10-05-refined-times.txt</v>
      </c>
      <c r="AI190" s="96" t="str">
        <f t="shared" si="111"/>
        <v>echo {"issue":{"subject":"","project_id":79,"tracker_id":40,"status_id":1,"priority_id":2,"assigned_to_id":338,"start_date":"2017-10-05","description":"","custom_fields":[{"id":1,"name":"Subdivision","value":"NW"},{"id":4,"name":"Milepost","value":"0.0719"},{"id":17,"name":"Train ID","value":"828-05"},{"id":16,"name":"Locomotive ID","value":"4019"},{"id":130,"name":"Impact","value":""},{"id":150,"name":"Time of Event (Mountain Time)","value":"16:25:52"},{"id":151,"name":"Denver Issue ID","value":""},{"id":178,"name":"Operational Impact","value":"Yes"},{"id":179,"name":"Denver Segment Assigned","value":""}]}} | curl --insecure -X POST -H "Content-Type: application/json" -H "X-Redmine-API-Key: %REDMINEAPIKEY%" https://secure.xorail.net/redmine/issues.json --data @-</v>
      </c>
      <c r="AK190" s="47"/>
      <c r="AL190" s="47"/>
      <c r="AM190" s="142" t="str">
        <f t="shared" si="112"/>
        <v>start /low /b %USERPROFILE%\Documents\GitHub\eaglep3\Utilities\DownloadLogsFromS3.py --loco 4019 --day 2017-10-05</v>
      </c>
      <c r="AN190" s="151" t="str">
        <f t="shared" si="113"/>
        <v>echo {"issue":{"subject":"","project_id":30,"tracker_id":4,"status_id":1,"priority_id":1,"assigned_to_id":10,"start_date":"2017-10-05","description":"","custom_fields":[{"id":30,"name":"Category","value":"Issue"},{"id":3,"name":"Functional Component","value":"Onboard"},{"id":31,"name":"Version","value":"N/A"},{"id":8,"name":"Reporting RR","value":"WABTEC"},{"id":27,"name":"Locomotive ID","value":"4019"},{"id":20,"name":"RR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22:25:52"},{"id":29,"name":"Sharepoint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90" s="168" t="str">
        <f t="shared" si="114"/>
        <v>https://d0f6bd738d7f1b3e5a7ca70fe4ff75f0.us-east-1.aws.found.io/app/kibana#/discover/Steve-Slow-Train-Analysis-(2080s-and-2083s)?_g=(refreshInterval:(display:Off,pause:!f,section:0,value:0),time:(from:'2017-10-05T15:01:44-0600',mode:absolute,to:'2017-10-05T17:25:52-0600'))&amp;_a=(columns:!('Message%20ID',Summary),filters:!(),index:'emp_*',interval:auto,query:(query_string:(analyze_wildcard:!t,query:'%22rtdc.l.rtdc.4019%22')),sort:!(Time.ISO8601,asc))</v>
      </c>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row>
    <row r="191" spans="1:91" s="20" customFormat="1" x14ac:dyDescent="0.25">
      <c r="A191" s="32" t="s">
        <v>738</v>
      </c>
      <c r="B191" s="7">
        <v>4002</v>
      </c>
      <c r="C191" s="21" t="s">
        <v>194</v>
      </c>
      <c r="D191" s="21" t="s">
        <v>560</v>
      </c>
      <c r="E191" s="13">
        <v>43013.66815972222</v>
      </c>
      <c r="F191" s="13">
        <v>43013.673206018517</v>
      </c>
      <c r="G191" s="7">
        <v>57</v>
      </c>
      <c r="H191" s="21" t="s">
        <v>954</v>
      </c>
      <c r="I191" s="13">
        <v>43013.683368055557</v>
      </c>
      <c r="J191" s="7">
        <v>0</v>
      </c>
      <c r="K191" s="89" t="str">
        <f t="shared" ref="K191:K222" si="142">IF(ISEVEN(B191),(B191-1)&amp;"/"&amp;B191,B191&amp;"/"&amp;(B191+1))</f>
        <v>4001/4002</v>
      </c>
      <c r="L191" s="185" t="str">
        <f>VLOOKUP(A191,'Trips&amp;Operators'!$C$1:$G$99911,5,FALSE)</f>
        <v>BIRKHOLZ NADINE</v>
      </c>
      <c r="M191" s="6">
        <f t="shared" ref="M191:M222" si="143">I191-F191</f>
        <v>1.0162037040572613E-2</v>
      </c>
      <c r="N191" s="7">
        <f t="shared" si="137"/>
        <v>14.633333338424563</v>
      </c>
      <c r="O191" s="7"/>
      <c r="P191" s="7"/>
      <c r="Q191" s="22"/>
      <c r="R191" s="174"/>
      <c r="S191" s="221">
        <f t="shared" si="138"/>
        <v>1</v>
      </c>
      <c r="T191" s="174" t="str">
        <f t="shared" ref="T191:T222" si="144">IF(ISEVEN(LEFT(AD191,4)),"Southbound","NorthBound")</f>
        <v>NorthBound</v>
      </c>
      <c r="U191" s="198">
        <f>IF(AG191="EC",COUNTIFS(Variables!$M$2:$M$19,IF(T191="NorthBound","&gt;=","&lt;=")&amp;Y191,Variables!$M$2:$M$19,IF(T191="NorthBound","&lt;=","&gt;=")&amp;Z191),COUNTIFS(Variables!$P$2:$P$19,IF(T191="NorthBound","&gt;=","&lt;=")&amp;Y191,Variables!$P$2:$P$19,IF(T191="NorthBound","&lt;=","&gt;=")&amp;Z191))</f>
        <v>1</v>
      </c>
      <c r="V191" s="216" t="str">
        <f t="shared" si="107"/>
        <v>https://d0f6bd738d7f1b3e5a7ca70fe4ff75f0.us-east-1.aws.found.io/app/kibana#/discover/Steve-Slow-Train-Analysis-(2080s-and-2083s)?_g=(refreshInterval:(display:Off,pause:!f,section:0,value:0),time:(from:'2017-10-05T15:02:09-0600',mode:absolute,to:'2017-10-05T17:24:03-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W191" s="204" t="str">
        <f>IF(AA191&lt;VLOOKUP(AG191,Variables!$AC$3:$AD$8,2,FALSE),"Y","N")</f>
        <v>N</v>
      </c>
      <c r="X191" s="204">
        <f t="shared" si="141"/>
        <v>1</v>
      </c>
      <c r="Y191" s="204">
        <f t="shared" si="139"/>
        <v>9.7900000000000001E-2</v>
      </c>
      <c r="Z191" s="204">
        <f t="shared" si="140"/>
        <v>5.8924000000000003</v>
      </c>
      <c r="AA191" s="204">
        <f t="shared" ref="AA191:AA222" si="145">ABS(Z191-Y191)</f>
        <v>5.7945000000000002</v>
      </c>
      <c r="AB191" s="54" t="e">
        <f>VLOOKUP(A191,Enforcements!$C$7:$K$11,8,0)</f>
        <v>#N/A</v>
      </c>
      <c r="AC191" s="51" t="e">
        <f>VLOOKUP(A191,Enforcements!$C$7:$E$11,3,0)</f>
        <v>#N/A</v>
      </c>
      <c r="AD191" s="179">
        <f t="shared" ref="AD191:AD222" si="146">VALUE(LEFT(A191,LEN(A191)-3))</f>
        <v>829</v>
      </c>
      <c r="AE191" s="77" t="str">
        <f t="shared" si="108"/>
        <v>aws s3 cp s3://rtdc.mdm.uploadarchive.raw/RTDC4002/ "%USERPROFILE%\AppData\Local\Temp\OnboardLogs"\RTDC4002\2017-10-05 --exclude "*" --recursive --include "*20171005*" &amp; "%USERPROFILE%\Documents\GitHub\mrs-test-scripts\Headless Mode &amp; Sideloading\WalkAndUnGZ.bat" "%USERPROFILE%\AppData\Local\Temp\OnboardLogs"\RTDC4002\2017-10-05 &amp; aws s3 cp s3://rtdc.mdm.uploadarchive.raw/RTDC4002/ "%USERPROFILE%\AppData\Local\Temp\OnboardLogs"\RTDC4002\2017-10-06 --exclude "*" --recursive --include "*20171006*" &amp; "%USERPROFILE%\Documents\GitHub\mrs-test-scripts\Headless Mode &amp; Sideloading\WalkAndUnGZ.bat" "%USERPROFILE%\AppData\Local\Temp\OnboardLogs"\RTDC4002\2017-10-06</v>
      </c>
      <c r="AF191" s="74" t="str">
        <f t="shared" si="109"/>
        <v>"C:\Program Files (x86)\AstroGrep\AstroGrep.exe" /e /r /s /spath="%USERPROFILE%\AppData\Local\Temp\OnboardLogs" /stypes="app*4002*20171005*" /stext=" 22:.+((SYSTEM_STATE.+slice.+state.+changed )|(ment ac)|(multiple cpu faults)|(system.+state.+changed )|(\[timeout)|(PRM\|1\|D)|(kpr)|(kdp)|(train st.+moving)|(\|lc)|(penalty))"</v>
      </c>
      <c r="AG191" s="182" t="str">
        <f t="shared" ref="AG191:AG222" si="147">DetSubdiv(A191)</f>
        <v>NW</v>
      </c>
      <c r="AH191" s="78" t="str">
        <f t="shared" si="110"/>
        <v>"%USERPROFILE%\Documents\GitHub\eaglep3\Utilities\RefineRTDCRunTimes.py" --tripid 829-05 --locoid 4002 --swversion DE.1.0.9.0 --startMP 204:979 --initTime 2017-10-05T16:02:09 --startdatetime 2017-10-05T16:09:25 --delay 57 --endMP 300:58924 --enddatetime 2017-10-05T16:24:03 --enforcementcount 0 &gt;&gt;%USERPROFILE%\Documents\GitHub\eaglep3-reporting\EC\2017-10-05-refined-times.txt</v>
      </c>
      <c r="AI191" s="96" t="str">
        <f t="shared" si="111"/>
        <v>echo {"issue":{"subject":"","project_id":79,"tracker_id":40,"status_id":1,"priority_id":2,"assigned_to_id":338,"start_date":"2017-10-05","description":"","custom_fields":[{"id":1,"name":"Subdivision","value":"NW"},{"id":4,"name":"Milepost","value":"5.8924"},{"id":17,"name":"Train ID","value":"829-05"},{"id":16,"name":"Locomotive ID","value":"4002"},{"id":130,"name":"Impact","value":""},{"id":150,"name":"Time of Event (Mountain Time)","value":"16:24:03"},{"id":151,"name":"Denver Issue ID","value":""},{"id":178,"name":"Operational Impact","value":"Yes"},{"id":179,"name":"Denver Segment Assigned","value":""}]}} | curl --insecure -X POST -H "Content-Type: application/json" -H "X-Redmine-API-Key: %REDMINEAPIKEY%" https://secure.xorail.net/redmine/issues.json --data @-</v>
      </c>
      <c r="AK191" s="47"/>
      <c r="AL191" s="47"/>
      <c r="AM191" s="142" t="str">
        <f t="shared" si="112"/>
        <v>start /low /b %USERPROFILE%\Documents\GitHub\eaglep3\Utilities\DownloadLogsFromS3.py --loco 4002 --day 2017-10-05</v>
      </c>
      <c r="AN191" s="151" t="str">
        <f t="shared" si="113"/>
        <v>echo {"issue":{"subject":"","project_id":30,"tracker_id":4,"status_id":1,"priority_id":1,"assigned_to_id":10,"start_date":"2017-10-05","description":"","custom_fields":[{"id":30,"name":"Category","value":"Issue"},{"id":3,"name":"Functional Component","value":"Onboard"},{"id":31,"name":"Version","value":"N/A"},{"id":8,"name":"Reporting RR","value":"WABTEC"},{"id":27,"name":"Locomotive ID","value":"4002"},{"id":20,"name":"RR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22:24:03"},{"id":29,"name":"Sharepoint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91" s="168" t="str">
        <f t="shared" si="114"/>
        <v>https://d0f6bd738d7f1b3e5a7ca70fe4ff75f0.us-east-1.aws.found.io/app/kibana#/discover/Steve-Slow-Train-Analysis-(2080s-and-2083s)?_g=(refreshInterval:(display:Off,pause:!f,section:0,value:0),time:(from:'2017-10-05T15:02:09-0600',mode:absolute,to:'2017-10-05T17:24:03-0600'))&amp;_a=(columns:!('Message%20ID',Summary),filters:!(),index:'emp_*',interval:auto,query:(query_string:(analyze_wildcard:!t,query:'%22rtdc.l.rtdc.4002%22')),sort:!(Time.ISO8601,asc))</v>
      </c>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row>
    <row r="192" spans="1:91" s="20" customFormat="1" x14ac:dyDescent="0.25">
      <c r="A192" s="32" t="s">
        <v>741</v>
      </c>
      <c r="B192" s="7">
        <v>4001</v>
      </c>
      <c r="C192" s="21" t="s">
        <v>194</v>
      </c>
      <c r="D192" s="21" t="s">
        <v>959</v>
      </c>
      <c r="E192" s="13">
        <v>43013.685162037036</v>
      </c>
      <c r="F192" s="13">
        <v>43013.697094907409</v>
      </c>
      <c r="G192" s="7">
        <v>72</v>
      </c>
      <c r="H192" s="21" t="s">
        <v>570</v>
      </c>
      <c r="I192" s="13">
        <v>43013.704953703702</v>
      </c>
      <c r="J192" s="7">
        <v>0</v>
      </c>
      <c r="K192" s="89" t="str">
        <f t="shared" si="142"/>
        <v>4001/4002</v>
      </c>
      <c r="L192" s="185" t="str">
        <f>VLOOKUP(A192,'Trips&amp;Operators'!$C$1:$G$99911,5,FALSE)</f>
        <v>BIRKHOLZ NADINE</v>
      </c>
      <c r="M192" s="6">
        <f t="shared" si="143"/>
        <v>7.8587962925666943E-3</v>
      </c>
      <c r="N192" s="7">
        <f t="shared" si="137"/>
        <v>11.31666666129604</v>
      </c>
      <c r="O192" s="7"/>
      <c r="P192" s="7"/>
      <c r="Q192" s="22"/>
      <c r="R192" s="174"/>
      <c r="S192" s="221">
        <f t="shared" si="138"/>
        <v>1</v>
      </c>
      <c r="T192" s="174" t="str">
        <f t="shared" si="144"/>
        <v>Southbound</v>
      </c>
      <c r="U192" s="198">
        <f>IF(AG192="EC",COUNTIFS(Variables!$M$2:$M$19,IF(T192="NorthBound","&gt;=","&lt;=")&amp;Y192,Variables!$M$2:$M$19,IF(T192="NorthBound","&lt;=","&gt;=")&amp;Z192),COUNTIFS(Variables!$P$2:$P$19,IF(T192="NorthBound","&gt;=","&lt;=")&amp;Y192,Variables!$P$2:$P$19,IF(T192="NorthBound","&lt;=","&gt;=")&amp;Z192))</f>
        <v>1</v>
      </c>
      <c r="V192" s="216" t="str">
        <f t="shared" si="107"/>
        <v>https://d0f6bd738d7f1b3e5a7ca70fe4ff75f0.us-east-1.aws.found.io/app/kibana#/discover/Steve-Slow-Train-Analysis-(2080s-and-2083s)?_g=(refreshInterval:(display:Off,pause:!f,section:0,value:0),time:(from:'2017-10-05T15:26:38-0600',mode:absolute,to:'2017-10-05T17:55:08-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W192" s="204" t="str">
        <f>IF(AA192&lt;VLOOKUP(AG192,Variables!$AC$3:$AD$8,2,FALSE),"Y","N")</f>
        <v>N</v>
      </c>
      <c r="X192" s="204">
        <f t="shared" si="141"/>
        <v>1</v>
      </c>
      <c r="Y192" s="204">
        <f t="shared" si="139"/>
        <v>5.8609</v>
      </c>
      <c r="Z192" s="204">
        <f t="shared" si="140"/>
        <v>6.8900000000000003E-2</v>
      </c>
      <c r="AA192" s="204">
        <f t="shared" si="145"/>
        <v>5.7919999999999998</v>
      </c>
      <c r="AB192" s="54" t="e">
        <f>VLOOKUP(A192,Enforcements!$C$7:$K$11,8,0)</f>
        <v>#N/A</v>
      </c>
      <c r="AC192" s="51" t="e">
        <f>VLOOKUP(A192,Enforcements!$C$7:$E$11,3,0)</f>
        <v>#N/A</v>
      </c>
      <c r="AD192" s="179">
        <f t="shared" si="146"/>
        <v>830</v>
      </c>
      <c r="AE192" s="77" t="str">
        <f t="shared" si="108"/>
        <v>aws s3 cp s3://rtdc.mdm.uploadarchive.raw/RTDC4001/ "%USERPROFILE%\AppData\Local\Temp\OnboardLogs"\RTDC4001\2017-10-05 --exclude "*" --recursive --include "*20171005*" &amp; "%USERPROFILE%\Documents\GitHub\mrs-test-scripts\Headless Mode &amp; Sideloading\WalkAndUnGZ.bat" "%USERPROFILE%\AppData\Local\Temp\OnboardLogs"\RTDC4001\2017-10-05 &amp; aws s3 cp s3://rtdc.mdm.uploadarchive.raw/RTDC4001/ "%USERPROFILE%\AppData\Local\Temp\OnboardLogs"\RTDC4001\2017-10-06 --exclude "*" --recursive --include "*20171006*" &amp; "%USERPROFILE%\Documents\GitHub\mrs-test-scripts\Headless Mode &amp; Sideloading\WalkAndUnGZ.bat" "%USERPROFILE%\AppData\Local\Temp\OnboardLogs"\RTDC4001\2017-10-06</v>
      </c>
      <c r="AF192" s="74" t="str">
        <f t="shared" si="109"/>
        <v>"C:\Program Files (x86)\AstroGrep\AstroGrep.exe" /e /r /s /spath="%USERPROFILE%\AppData\Local\Temp\OnboardLogs" /stypes="app*4001*20171005*" /stext=" 22:.+((SYSTEM_STATE.+slice.+state.+changed )|(ment ac)|(multiple cpu faults)|(system.+state.+changed )|(\[timeout)|(PRM\|1\|D)|(kpr)|(kdp)|(train st.+moving)|(\|lc)|(penalty))"</v>
      </c>
      <c r="AG192" s="182" t="str">
        <f t="shared" si="147"/>
        <v>NW</v>
      </c>
      <c r="AH192" s="78" t="str">
        <f t="shared" si="110"/>
        <v>"%USERPROFILE%\Documents\GitHub\eaglep3\Utilities\RefineRTDCRunTimes.py" --tripid 830-05 --locoid 4001 --swversion DE.1.0.9.0 --startMP 300:58609 --initTime 2017-10-05T16:26:38 --startdatetime 2017-10-05T16:43:49 --delay 72 --endMP 204:689 --enddatetime 2017-10-05T16:55:08 --enforcementcount 0 &gt;&gt;%USERPROFILE%\Documents\GitHub\eaglep3-reporting\EC\2017-10-05-refined-times.txt</v>
      </c>
      <c r="AI192" s="96" t="str">
        <f t="shared" si="111"/>
        <v>echo {"issue":{"subject":"","project_id":79,"tracker_id":40,"status_id":1,"priority_id":2,"assigned_to_id":338,"start_date":"2017-10-05","description":"","custom_fields":[{"id":1,"name":"Subdivision","value":"NW"},{"id":4,"name":"Milepost","value":"0.0689"},{"id":17,"name":"Train ID","value":"830-05"},{"id":16,"name":"Locomotive ID","value":"4001"},{"id":130,"name":"Impact","value":""},{"id":150,"name":"Time of Event (Mountain Time)","value":"16:55:08"},{"id":151,"name":"Denver Issue ID","value":""},{"id":178,"name":"Operational Impact","value":"Yes"},{"id":179,"name":"Denver Segment Assigned","value":""}]}} | curl --insecure -X POST -H "Content-Type: application/json" -H "X-Redmine-API-Key: %REDMINEAPIKEY%" https://secure.xorail.net/redmine/issues.json --data @-</v>
      </c>
      <c r="AK192" s="47"/>
      <c r="AL192" s="47"/>
      <c r="AM192" s="142" t="str">
        <f t="shared" si="112"/>
        <v>start /low /b %USERPROFILE%\Documents\GitHub\eaglep3\Utilities\DownloadLogsFromS3.py --loco 4001 --day 2017-10-05</v>
      </c>
      <c r="AN192" s="151" t="str">
        <f t="shared" si="113"/>
        <v>echo {"issue":{"subject":"","project_id":30,"tracker_id":4,"status_id":1,"priority_id":1,"assigned_to_id":10,"start_date":"2017-10-05","description":"","custom_fields":[{"id":30,"name":"Category","value":"Issue"},{"id":3,"name":"Functional Component","value":"Onboard"},{"id":31,"name":"Version","value":"N/A"},{"id":8,"name":"Reporting RR","value":"WABTEC"},{"id":27,"name":"Locomotive ID","value":"4001"},{"id":20,"name":"RR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22:55:08"},{"id":29,"name":"Sharepoint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92" s="168" t="str">
        <f t="shared" si="114"/>
        <v>https://d0f6bd738d7f1b3e5a7ca70fe4ff75f0.us-east-1.aws.found.io/app/kibana#/discover/Steve-Slow-Train-Analysis-(2080s-and-2083s)?_g=(refreshInterval:(display:Off,pause:!f,section:0,value:0),time:(from:'2017-10-05T15:26:38-0600',mode:absolute,to:'2017-10-05T17:55:08-0600'))&amp;_a=(columns:!('Message%20ID',Summary),filters:!(),index:'emp_*',interval:auto,query:(query_string:(analyze_wildcard:!t,query:'%22rtdc.l.rtdc.4001%22')),sort:!(Time.ISO8601,asc))</v>
      </c>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row>
    <row r="193" spans="1:91" s="20" customFormat="1" x14ac:dyDescent="0.25">
      <c r="A193" s="32" t="s">
        <v>743</v>
      </c>
      <c r="B193" s="7">
        <v>4020</v>
      </c>
      <c r="C193" s="21" t="s">
        <v>194</v>
      </c>
      <c r="D193" s="21" t="s">
        <v>960</v>
      </c>
      <c r="E193" s="13">
        <v>43013.686805555553</v>
      </c>
      <c r="F193" s="13">
        <v>43013.693935185183</v>
      </c>
      <c r="G193" s="7">
        <v>65</v>
      </c>
      <c r="H193" s="21" t="s">
        <v>961</v>
      </c>
      <c r="I193" s="13">
        <v>43013.704467592594</v>
      </c>
      <c r="J193" s="7">
        <v>0</v>
      </c>
      <c r="K193" s="89" t="str">
        <f t="shared" si="142"/>
        <v>4019/4020</v>
      </c>
      <c r="L193" s="185" t="str">
        <f>VLOOKUP(A193,'Trips&amp;Operators'!$C$1:$G$99911,5,FALSE)</f>
        <v>ZEWDU DEREJE</v>
      </c>
      <c r="M193" s="6">
        <f t="shared" si="143"/>
        <v>1.0532407410209998E-2</v>
      </c>
      <c r="N193" s="7">
        <f t="shared" si="137"/>
        <v>15.166666670702398</v>
      </c>
      <c r="O193" s="7"/>
      <c r="P193" s="7"/>
      <c r="Q193" s="22"/>
      <c r="R193" s="174"/>
      <c r="S193" s="221">
        <f t="shared" si="138"/>
        <v>1</v>
      </c>
      <c r="T193" s="174" t="str">
        <f t="shared" si="144"/>
        <v>NorthBound</v>
      </c>
      <c r="U193" s="198">
        <f>IF(AG193="EC",COUNTIFS(Variables!$M$2:$M$19,IF(T193="NorthBound","&gt;=","&lt;=")&amp;Y193,Variables!$M$2:$M$19,IF(T193="NorthBound","&lt;=","&gt;=")&amp;Z193),COUNTIFS(Variables!$P$2:$P$19,IF(T193="NorthBound","&gt;=","&lt;=")&amp;Y193,Variables!$P$2:$P$19,IF(T193="NorthBound","&lt;=","&gt;=")&amp;Z193))</f>
        <v>1</v>
      </c>
      <c r="V193" s="216" t="str">
        <f t="shared" si="107"/>
        <v>https://d0f6bd738d7f1b3e5a7ca70fe4ff75f0.us-east-1.aws.found.io/app/kibana#/discover/Steve-Slow-Train-Analysis-(2080s-and-2083s)?_g=(refreshInterval:(display:Off,pause:!f,section:0,value:0),time:(from:'2017-10-05T15:29:00-0600',mode:absolute,to:'2017-10-05T17:54:26-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4020%22')),sort:!(Time.ISO8601,asc))</v>
      </c>
      <c r="W193" s="204" t="str">
        <f>IF(AA193&lt;VLOOKUP(AG193,Variables!$AC$3:$AD$8,2,FALSE),"Y","N")</f>
        <v>N</v>
      </c>
      <c r="X193" s="204">
        <f t="shared" si="141"/>
        <v>1</v>
      </c>
      <c r="Y193" s="204">
        <f t="shared" si="139"/>
        <v>9.9900000000000003E-2</v>
      </c>
      <c r="Z193" s="204">
        <f t="shared" si="140"/>
        <v>5.8994</v>
      </c>
      <c r="AA193" s="204">
        <f t="shared" si="145"/>
        <v>5.7995000000000001</v>
      </c>
      <c r="AB193" s="54" t="e">
        <f>VLOOKUP(A193,Enforcements!$C$7:$K$11,8,0)</f>
        <v>#N/A</v>
      </c>
      <c r="AC193" s="51" t="e">
        <f>VLOOKUP(A193,Enforcements!$C$7:$E$11,3,0)</f>
        <v>#N/A</v>
      </c>
      <c r="AD193" s="179">
        <f t="shared" si="146"/>
        <v>831</v>
      </c>
      <c r="AE193" s="77" t="str">
        <f t="shared" si="108"/>
        <v>aws s3 cp s3://rtdc.mdm.uploadarchive.raw/RTDC4020/ "%USERPROFILE%\AppData\Local\Temp\OnboardLogs"\RTDC4020\2017-10-05 --exclude "*" --recursive --include "*20171005*" &amp; "%USERPROFILE%\Documents\GitHub\mrs-test-scripts\Headless Mode &amp; Sideloading\WalkAndUnGZ.bat" "%USERPROFILE%\AppData\Local\Temp\OnboardLogs"\RTDC4020\2017-10-05 &amp; aws s3 cp s3://rtdc.mdm.uploadarchive.raw/RTDC4020/ "%USERPROFILE%\AppData\Local\Temp\OnboardLogs"\RTDC4020\2017-10-06 --exclude "*" --recursive --include "*20171006*" &amp; "%USERPROFILE%\Documents\GitHub\mrs-test-scripts\Headless Mode &amp; Sideloading\WalkAndUnGZ.bat" "%USERPROFILE%\AppData\Local\Temp\OnboardLogs"\RTDC4020\2017-10-06</v>
      </c>
      <c r="AF193" s="74" t="str">
        <f t="shared" si="109"/>
        <v>"C:\Program Files (x86)\AstroGrep\AstroGrep.exe" /e /r /s /spath="%USERPROFILE%\AppData\Local\Temp\OnboardLogs" /stypes="app*4020*20171005*" /stext=" 22:.+((SYSTEM_STATE.+slice.+state.+changed )|(ment ac)|(multiple cpu faults)|(system.+state.+changed )|(\[timeout)|(PRM\|1\|D)|(kpr)|(kdp)|(train st.+moving)|(\|lc)|(penalty))"</v>
      </c>
      <c r="AG193" s="182" t="str">
        <f t="shared" si="147"/>
        <v>NW</v>
      </c>
      <c r="AH193" s="78" t="str">
        <f t="shared" si="110"/>
        <v>"%USERPROFILE%\Documents\GitHub\eaglep3\Utilities\RefineRTDCRunTimes.py" --tripid 831-05 --locoid 4020 --swversion DE.1.0.9.0 --startMP 204:999 --initTime 2017-10-05T16:29:00 --startdatetime 2017-10-05T16:39:16 --delay 65 --endMP 300:58994 --enddatetime 2017-10-05T16:54:26 --enforcementcount 0 &gt;&gt;%USERPROFILE%\Documents\GitHub\eaglep3-reporting\EC\2017-10-05-refined-times.txt</v>
      </c>
      <c r="AI193" s="96" t="str">
        <f t="shared" si="111"/>
        <v>echo {"issue":{"subject":"","project_id":79,"tracker_id":40,"status_id":1,"priority_id":2,"assigned_to_id":338,"start_date":"2017-10-05","description":"","custom_fields":[{"id":1,"name":"Subdivision","value":"NW"},{"id":4,"name":"Milepost","value":"5.8994"},{"id":17,"name":"Train ID","value":"831-05"},{"id":16,"name":"Locomotive ID","value":"4020"},{"id":130,"name":"Impact","value":""},{"id":150,"name":"Time of Event (Mountain Time)","value":"16:54:26"},{"id":151,"name":"Denver Issue ID","value":""},{"id":178,"name":"Operational Impact","value":"Yes"},{"id":179,"name":"Denver Segment Assigned","value":""}]}} | curl --insecure -X POST -H "Content-Type: application/json" -H "X-Redmine-API-Key: %REDMINEAPIKEY%" https://secure.xorail.net/redmine/issues.json --data @-</v>
      </c>
      <c r="AK193" s="47"/>
      <c r="AL193" s="47"/>
      <c r="AM193" s="142" t="str">
        <f t="shared" si="112"/>
        <v>start /low /b %USERPROFILE%\Documents\GitHub\eaglep3\Utilities\DownloadLogsFromS3.py --loco 4020 --day 2017-10-05</v>
      </c>
      <c r="AN193" s="151" t="str">
        <f t="shared" si="113"/>
        <v>echo {"issue":{"subject":"","project_id":30,"tracker_id":4,"status_id":1,"priority_id":1,"assigned_to_id":10,"start_date":"2017-10-05","description":"","custom_fields":[{"id":30,"name":"Category","value":"Issue"},{"id":3,"name":"Functional Component","value":"Onboard"},{"id":31,"name":"Version","value":"N/A"},{"id":8,"name":"Reporting RR","value":"WABTEC"},{"id":27,"name":"Locomotive ID","value":"4020"},{"id":20,"name":"RR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22:54:26"},{"id":29,"name":"Sharepoint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93" s="168" t="str">
        <f t="shared" si="114"/>
        <v>https://d0f6bd738d7f1b3e5a7ca70fe4ff75f0.us-east-1.aws.found.io/app/kibana#/discover/Steve-Slow-Train-Analysis-(2080s-and-2083s)?_g=(refreshInterval:(display:Off,pause:!f,section:0,value:0),time:(from:'2017-10-05T15:29:00-0600',mode:absolute,to:'2017-10-05T17:54:26-0600'))&amp;_a=(columns:!('Message%20ID',Summary),filters:!(),index:'emp_*',interval:auto,query:(query_string:(analyze_wildcard:!t,query:'%22rtdc.l.rtdc.4020%22')),sort:!(Time.ISO8601,asc))</v>
      </c>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row>
    <row r="194" spans="1:91" s="20" customFormat="1" x14ac:dyDescent="0.25">
      <c r="A194" s="32" t="s">
        <v>751</v>
      </c>
      <c r="B194" s="7">
        <v>4019</v>
      </c>
      <c r="C194" s="21" t="s">
        <v>194</v>
      </c>
      <c r="D194" s="21" t="s">
        <v>962</v>
      </c>
      <c r="E194" s="13">
        <v>43013.710590277777</v>
      </c>
      <c r="F194" s="13">
        <v>43013.714745370373</v>
      </c>
      <c r="G194" s="7">
        <v>75</v>
      </c>
      <c r="H194" s="21" t="s">
        <v>566</v>
      </c>
      <c r="I194" s="13">
        <v>43013.725682870368</v>
      </c>
      <c r="J194" s="7">
        <v>0</v>
      </c>
      <c r="K194" s="89" t="str">
        <f t="shared" si="142"/>
        <v>4019/4020</v>
      </c>
      <c r="L194" s="185" t="str">
        <f>VLOOKUP(A194,'Trips&amp;Operators'!$C$1:$G$99911,5,FALSE)</f>
        <v>ZEWDU DEREJE</v>
      </c>
      <c r="M194" s="6">
        <f t="shared" si="143"/>
        <v>1.0937499995634425E-2</v>
      </c>
      <c r="N194" s="7">
        <f t="shared" si="137"/>
        <v>15.749999993713573</v>
      </c>
      <c r="O194" s="7"/>
      <c r="P194" s="7"/>
      <c r="Q194" s="22"/>
      <c r="R194" s="174"/>
      <c r="S194" s="221">
        <f t="shared" si="138"/>
        <v>1</v>
      </c>
      <c r="T194" s="174" t="str">
        <f t="shared" si="144"/>
        <v>Southbound</v>
      </c>
      <c r="U194" s="198">
        <f>IF(AG194="EC",COUNTIFS(Variables!$M$2:$M$19,IF(T194="NorthBound","&gt;=","&lt;=")&amp;Y194,Variables!$M$2:$M$19,IF(T194="NorthBound","&lt;=","&gt;=")&amp;Z194),COUNTIFS(Variables!$P$2:$P$19,IF(T194="NorthBound","&gt;=","&lt;=")&amp;Y194,Variables!$P$2:$P$19,IF(T194="NorthBound","&lt;=","&gt;=")&amp;Z194))</f>
        <v>1</v>
      </c>
      <c r="V194" s="216" t="str">
        <f t="shared" si="107"/>
        <v>https://d0f6bd738d7f1b3e5a7ca70fe4ff75f0.us-east-1.aws.found.io/app/kibana#/discover/Steve-Slow-Train-Analysis-(2080s-and-2083s)?_g=(refreshInterval:(display:Off,pause:!f,section:0,value:0),time:(from:'2017-10-05T16:03:15-0600',mode:absolute,to:'2017-10-05T18:24:59-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4019%22')),sort:!(Time.ISO8601,asc))</v>
      </c>
      <c r="W194" s="204" t="str">
        <f>IF(AA194&lt;VLOOKUP(AG194,Variables!$AC$3:$AD$8,2,FALSE),"Y","N")</f>
        <v>N</v>
      </c>
      <c r="X194" s="204">
        <f t="shared" si="141"/>
        <v>1</v>
      </c>
      <c r="Y194" s="204">
        <f t="shared" si="139"/>
        <v>5.8681000000000001</v>
      </c>
      <c r="Z194" s="204">
        <f t="shared" si="140"/>
        <v>6.9099999999999995E-2</v>
      </c>
      <c r="AA194" s="204">
        <f t="shared" si="145"/>
        <v>5.7990000000000004</v>
      </c>
      <c r="AB194" s="54" t="e">
        <f>VLOOKUP(A194,Enforcements!$C$7:$K$11,8,0)</f>
        <v>#N/A</v>
      </c>
      <c r="AC194" s="51" t="e">
        <f>VLOOKUP(A194,Enforcements!$C$7:$E$11,3,0)</f>
        <v>#N/A</v>
      </c>
      <c r="AD194" s="179">
        <f t="shared" si="146"/>
        <v>832</v>
      </c>
      <c r="AE194" s="77" t="str">
        <f t="shared" si="108"/>
        <v>aws s3 cp s3://rtdc.mdm.uploadarchive.raw/RTDC4019/ "%USERPROFILE%\AppData\Local\Temp\OnboardLogs"\RTDC4019\2017-10-05 --exclude "*" --recursive --include "*20171005*" &amp; "%USERPROFILE%\Documents\GitHub\mrs-test-scripts\Headless Mode &amp; Sideloading\WalkAndUnGZ.bat" "%USERPROFILE%\AppData\Local\Temp\OnboardLogs"\RTDC4019\2017-10-05 &amp; aws s3 cp s3://rtdc.mdm.uploadarchive.raw/RTDC4019/ "%USERPROFILE%\AppData\Local\Temp\OnboardLogs"\RTDC4019\2017-10-06 --exclude "*" --recursive --include "*20171006*" &amp; "%USERPROFILE%\Documents\GitHub\mrs-test-scripts\Headless Mode &amp; Sideloading\WalkAndUnGZ.bat" "%USERPROFILE%\AppData\Local\Temp\OnboardLogs"\RTDC4019\2017-10-06</v>
      </c>
      <c r="AF194" s="74" t="str">
        <f t="shared" si="109"/>
        <v>"C:\Program Files (x86)\AstroGrep\AstroGrep.exe" /e /r /s /spath="%USERPROFILE%\AppData\Local\Temp\OnboardLogs" /stypes="app*4019*20171005*" /stext=" 23:.+((SYSTEM_STATE.+slice.+state.+changed )|(ment ac)|(multiple cpu faults)|(system.+state.+changed )|(\[timeout)|(PRM\|1\|D)|(kpr)|(kdp)|(train st.+moving)|(\|lc)|(penalty))"</v>
      </c>
      <c r="AG194" s="182" t="str">
        <f t="shared" si="147"/>
        <v>NW</v>
      </c>
      <c r="AH194" s="78" t="str">
        <f t="shared" si="110"/>
        <v>"%USERPROFILE%\Documents\GitHub\eaglep3\Utilities\RefineRTDCRunTimes.py" --tripid 832-05 --locoid 4019 --swversion DE.1.0.9.0 --startMP 300:58681 --initTime 2017-10-05T17:03:15 --startdatetime 2017-10-05T17:09:14 --delay 75 --endMP 204:691 --enddatetime 2017-10-05T17:24:59 --enforcementcount 0 &gt;&gt;%USERPROFILE%\Documents\GitHub\eaglep3-reporting\EC\2017-10-05-refined-times.txt</v>
      </c>
      <c r="AI194" s="96" t="str">
        <f t="shared" si="111"/>
        <v>echo {"issue":{"subject":"","project_id":79,"tracker_id":40,"status_id":1,"priority_id":2,"assigned_to_id":338,"start_date":"2017-10-05","description":"","custom_fields":[{"id":1,"name":"Subdivision","value":"NW"},{"id":4,"name":"Milepost","value":"0.0691"},{"id":17,"name":"Train ID","value":"832-05"},{"id":16,"name":"Locomotive ID","value":"4019"},{"id":130,"name":"Impact","value":""},{"id":150,"name":"Time of Event (Mountain Time)","value":"17:24:59"},{"id":151,"name":"Denver Issue ID","value":""},{"id":178,"name":"Operational Impact","value":"Yes"},{"id":179,"name":"Denver Segment Assigned","value":""}]}} | curl --insecure -X POST -H "Content-Type: application/json" -H "X-Redmine-API-Key: %REDMINEAPIKEY%" https://secure.xorail.net/redmine/issues.json --data @-</v>
      </c>
      <c r="AK194" s="47"/>
      <c r="AL194" s="47"/>
      <c r="AM194" s="142" t="str">
        <f t="shared" si="112"/>
        <v>start /low /b %USERPROFILE%\Documents\GitHub\eaglep3\Utilities\DownloadLogsFromS3.py --loco 4019 --day 2017-10-05</v>
      </c>
      <c r="AN194" s="151" t="str">
        <f t="shared" si="113"/>
        <v>echo {"issue":{"subject":"","project_id":30,"tracker_id":4,"status_id":1,"priority_id":1,"assigned_to_id":10,"start_date":"2017-10-05","description":"","custom_fields":[{"id":30,"name":"Category","value":"Issue"},{"id":3,"name":"Functional Component","value":"Onboard"},{"id":31,"name":"Version","value":"N/A"},{"id":8,"name":"Reporting RR","value":"WABTEC"},{"id":27,"name":"Locomotive ID","value":"4019"},{"id":20,"name":"RR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23:24:59"},{"id":29,"name":"Sharepoint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94" s="168" t="str">
        <f t="shared" si="114"/>
        <v>https://d0f6bd738d7f1b3e5a7ca70fe4ff75f0.us-east-1.aws.found.io/app/kibana#/discover/Steve-Slow-Train-Analysis-(2080s-and-2083s)?_g=(refreshInterval:(display:Off,pause:!f,section:0,value:0),time:(from:'2017-10-05T16:03:15-0600',mode:absolute,to:'2017-10-05T18:24:59-0600'))&amp;_a=(columns:!('Message%20ID',Summary),filters:!(),index:'emp_*',interval:auto,query:(query_string:(analyze_wildcard:!t,query:'%22rtdc.l.rtdc.4019%22')),sort:!(Time.ISO8601,asc))</v>
      </c>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row>
    <row r="195" spans="1:91" s="20" customFormat="1" x14ac:dyDescent="0.25">
      <c r="A195" s="32" t="s">
        <v>749</v>
      </c>
      <c r="B195" s="7">
        <v>4002</v>
      </c>
      <c r="C195" s="21" t="s">
        <v>194</v>
      </c>
      <c r="D195" s="21" t="s">
        <v>466</v>
      </c>
      <c r="E195" s="13">
        <v>43013.710439814815</v>
      </c>
      <c r="F195" s="13">
        <v>43013.714872685188</v>
      </c>
      <c r="G195" s="7">
        <v>58</v>
      </c>
      <c r="H195" s="21" t="s">
        <v>963</v>
      </c>
      <c r="I195" s="13">
        <v>43013.724999999999</v>
      </c>
      <c r="J195" s="7">
        <v>0</v>
      </c>
      <c r="K195" s="89" t="str">
        <f t="shared" si="142"/>
        <v>4001/4002</v>
      </c>
      <c r="L195" s="185" t="str">
        <f>VLOOKUP(A195,'Trips&amp;Operators'!$C$1:$G$99911,5,FALSE)</f>
        <v>BIRKHOLZ NADINE</v>
      </c>
      <c r="M195" s="6">
        <f t="shared" si="143"/>
        <v>1.0127314810233656E-2</v>
      </c>
      <c r="N195" s="7">
        <f t="shared" si="137"/>
        <v>14.583333326736465</v>
      </c>
      <c r="O195" s="7"/>
      <c r="P195" s="7"/>
      <c r="Q195" s="22"/>
      <c r="R195" s="174"/>
      <c r="S195" s="221">
        <f t="shared" si="138"/>
        <v>1</v>
      </c>
      <c r="T195" s="174" t="str">
        <f t="shared" si="144"/>
        <v>NorthBound</v>
      </c>
      <c r="U195" s="198">
        <f>IF(AG195="EC",COUNTIFS(Variables!$M$2:$M$19,IF(T195="NorthBound","&gt;=","&lt;=")&amp;Y195,Variables!$M$2:$M$19,IF(T195="NorthBound","&lt;=","&gt;=")&amp;Z195),COUNTIFS(Variables!$P$2:$P$19,IF(T195="NorthBound","&gt;=","&lt;=")&amp;Y195,Variables!$P$2:$P$19,IF(T195="NorthBound","&lt;=","&gt;=")&amp;Z195))</f>
        <v>1</v>
      </c>
      <c r="V195" s="216" t="str">
        <f t="shared" si="107"/>
        <v>https://d0f6bd738d7f1b3e5a7ca70fe4ff75f0.us-east-1.aws.found.io/app/kibana#/discover/Steve-Slow-Train-Analysis-(2080s-and-2083s)?_g=(refreshInterval:(display:Off,pause:!f,section:0,value:0),time:(from:'2017-10-05T16:03:02-0600',mode:absolute,to:'2017-10-05T18:24:00-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W195" s="204" t="str">
        <f>IF(AA195&lt;VLOOKUP(AG195,Variables!$AC$3:$AD$8,2,FALSE),"Y","N")</f>
        <v>N</v>
      </c>
      <c r="X195" s="204">
        <f t="shared" si="141"/>
        <v>1</v>
      </c>
      <c r="Y195" s="204">
        <f t="shared" si="139"/>
        <v>9.8299999999999998E-2</v>
      </c>
      <c r="Z195" s="204">
        <f t="shared" si="140"/>
        <v>5.8926999999999996</v>
      </c>
      <c r="AA195" s="204">
        <f t="shared" si="145"/>
        <v>5.7943999999999996</v>
      </c>
      <c r="AB195" s="54" t="e">
        <f>VLOOKUP(A195,Enforcements!$C$7:$K$11,8,0)</f>
        <v>#N/A</v>
      </c>
      <c r="AC195" s="51" t="e">
        <f>VLOOKUP(A195,Enforcements!$C$7:$E$11,3,0)</f>
        <v>#N/A</v>
      </c>
      <c r="AD195" s="179">
        <f t="shared" si="146"/>
        <v>833</v>
      </c>
      <c r="AE195" s="77" t="str">
        <f t="shared" si="108"/>
        <v>aws s3 cp s3://rtdc.mdm.uploadarchive.raw/RTDC4002/ "%USERPROFILE%\AppData\Local\Temp\OnboardLogs"\RTDC4002\2017-10-05 --exclude "*" --recursive --include "*20171005*" &amp; "%USERPROFILE%\Documents\GitHub\mrs-test-scripts\Headless Mode &amp; Sideloading\WalkAndUnGZ.bat" "%USERPROFILE%\AppData\Local\Temp\OnboardLogs"\RTDC4002\2017-10-05 &amp; aws s3 cp s3://rtdc.mdm.uploadarchive.raw/RTDC4002/ "%USERPROFILE%\AppData\Local\Temp\OnboardLogs"\RTDC4002\2017-10-06 --exclude "*" --recursive --include "*20171006*" &amp; "%USERPROFILE%\Documents\GitHub\mrs-test-scripts\Headless Mode &amp; Sideloading\WalkAndUnGZ.bat" "%USERPROFILE%\AppData\Local\Temp\OnboardLogs"\RTDC4002\2017-10-06</v>
      </c>
      <c r="AF195" s="74" t="str">
        <f t="shared" si="109"/>
        <v>"C:\Program Files (x86)\AstroGrep\AstroGrep.exe" /e /r /s /spath="%USERPROFILE%\AppData\Local\Temp\OnboardLogs" /stypes="app*4002*20171005*" /stext=" 23:.+((SYSTEM_STATE.+slice.+state.+changed )|(ment ac)|(multiple cpu faults)|(system.+state.+changed )|(\[timeout)|(PRM\|1\|D)|(kpr)|(kdp)|(train st.+moving)|(\|lc)|(penalty))"</v>
      </c>
      <c r="AG195" s="182" t="str">
        <f t="shared" si="147"/>
        <v>NW</v>
      </c>
      <c r="AH195" s="78" t="str">
        <f t="shared" si="110"/>
        <v>"%USERPROFILE%\Documents\GitHub\eaglep3\Utilities\RefineRTDCRunTimes.py" --tripid 833-05 --locoid 4002 --swversion DE.1.0.9.0 --startMP 204:983 --initTime 2017-10-05T17:03:02 --startdatetime 2017-10-05T17:09:25 --delay 58 --endMP 300:58927 --enddatetime 2017-10-05T17:24:00 --enforcementcount 0 &gt;&gt;%USERPROFILE%\Documents\GitHub\eaglep3-reporting\EC\2017-10-05-refined-times.txt</v>
      </c>
      <c r="AI195" s="96" t="str">
        <f t="shared" si="111"/>
        <v>echo {"issue":{"subject":"","project_id":79,"tracker_id":40,"status_id":1,"priority_id":2,"assigned_to_id":338,"start_date":"2017-10-05","description":"","custom_fields":[{"id":1,"name":"Subdivision","value":"NW"},{"id":4,"name":"Milepost","value":"5.8927"},{"id":17,"name":"Train ID","value":"833-05"},{"id":16,"name":"Locomotive ID","value":"4002"},{"id":130,"name":"Impact","value":""},{"id":150,"name":"Time of Event (Mountain Time)","value":"17:24:00"},{"id":151,"name":"Denver Issue ID","value":""},{"id":178,"name":"Operational Impact","value":"Yes"},{"id":179,"name":"Denver Segment Assigned","value":""}]}} | curl --insecure -X POST -H "Content-Type: application/json" -H "X-Redmine-API-Key: %REDMINEAPIKEY%" https://secure.xorail.net/redmine/issues.json --data @-</v>
      </c>
      <c r="AK195" s="47"/>
      <c r="AL195" s="47"/>
      <c r="AM195" s="142" t="str">
        <f t="shared" si="112"/>
        <v>start /low /b %USERPROFILE%\Documents\GitHub\eaglep3\Utilities\DownloadLogsFromS3.py --loco 4002 --day 2017-10-05</v>
      </c>
      <c r="AN195" s="151" t="str">
        <f t="shared" si="113"/>
        <v>echo {"issue":{"subject":"","project_id":30,"tracker_id":4,"status_id":1,"priority_id":1,"assigned_to_id":10,"start_date":"2017-10-05","description":"","custom_fields":[{"id":30,"name":"Category","value":"Issue"},{"id":3,"name":"Functional Component","value":"Onboard"},{"id":31,"name":"Version","value":"N/A"},{"id":8,"name":"Reporting RR","value":"WABTEC"},{"id":27,"name":"Locomotive ID","value":"4002"},{"id":20,"name":"RR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23:24:00"},{"id":29,"name":"Sharepoint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95" s="168" t="str">
        <f t="shared" si="114"/>
        <v>https://d0f6bd738d7f1b3e5a7ca70fe4ff75f0.us-east-1.aws.found.io/app/kibana#/discover/Steve-Slow-Train-Analysis-(2080s-and-2083s)?_g=(refreshInterval:(display:Off,pause:!f,section:0,value:0),time:(from:'2017-10-05T16:03:02-0600',mode:absolute,to:'2017-10-05T18:24:00-0600'))&amp;_a=(columns:!('Message%20ID',Summary),filters:!(),index:'emp_*',interval:auto,query:(query_string:(analyze_wildcard:!t,query:'%22rtdc.l.rtdc.4002%22')),sort:!(Time.ISO8601,asc))</v>
      </c>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row>
    <row r="196" spans="1:91" s="20" customFormat="1" x14ac:dyDescent="0.25">
      <c r="A196" s="32" t="s">
        <v>754</v>
      </c>
      <c r="B196" s="7">
        <v>4001</v>
      </c>
      <c r="C196" s="21" t="s">
        <v>194</v>
      </c>
      <c r="D196" s="21" t="s">
        <v>964</v>
      </c>
      <c r="E196" s="13">
        <v>43013.727280092593</v>
      </c>
      <c r="F196" s="13">
        <v>43013.729259259257</v>
      </c>
      <c r="G196" s="7">
        <v>59</v>
      </c>
      <c r="H196" s="21" t="s">
        <v>565</v>
      </c>
      <c r="I196" s="13">
        <v>43013.746539351851</v>
      </c>
      <c r="J196" s="7">
        <v>0</v>
      </c>
      <c r="K196" s="89" t="str">
        <f t="shared" si="142"/>
        <v>4001/4002</v>
      </c>
      <c r="L196" s="185" t="str">
        <f>VLOOKUP(A196,'Trips&amp;Operators'!$C$1:$G$99911,5,FALSE)</f>
        <v>BIRKHOLZ NADINE</v>
      </c>
      <c r="M196" s="6">
        <f t="shared" si="143"/>
        <v>1.7280092593864538E-2</v>
      </c>
      <c r="N196" s="7">
        <f t="shared" si="137"/>
        <v>24.883333335164934</v>
      </c>
      <c r="O196" s="7"/>
      <c r="P196" s="7"/>
      <c r="Q196" s="22"/>
      <c r="R196" s="174"/>
      <c r="S196" s="221">
        <f t="shared" si="138"/>
        <v>1</v>
      </c>
      <c r="T196" s="174" t="str">
        <f t="shared" si="144"/>
        <v>Southbound</v>
      </c>
      <c r="U196" s="198">
        <f>IF(AG196="EC",COUNTIFS(Variables!$M$2:$M$19,IF(T196="NorthBound","&gt;=","&lt;=")&amp;Y196,Variables!$M$2:$M$19,IF(T196="NorthBound","&lt;=","&gt;=")&amp;Z196),COUNTIFS(Variables!$P$2:$P$19,IF(T196="NorthBound","&gt;=","&lt;=")&amp;Y196,Variables!$P$2:$P$19,IF(T196="NorthBound","&lt;=","&gt;=")&amp;Z196))</f>
        <v>1</v>
      </c>
      <c r="V196" s="216" t="str">
        <f t="shared" si="107"/>
        <v>https://d0f6bd738d7f1b3e5a7ca70fe4ff75f0.us-east-1.aws.found.io/app/kibana#/discover/Steve-Slow-Train-Analysis-(2080s-and-2083s)?_g=(refreshInterval:(display:Off,pause:!f,section:0,value:0),time:(from:'2017-10-05T16:27:17-0600',mode:absolute,to:'2017-10-05T18:55:01-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W196" s="204" t="str">
        <f>IF(AA196&lt;VLOOKUP(AG196,Variables!$AC$3:$AD$8,2,FALSE),"Y","N")</f>
        <v>N</v>
      </c>
      <c r="X196" s="204">
        <f t="shared" si="141"/>
        <v>1</v>
      </c>
      <c r="Y196" s="204">
        <f t="shared" si="139"/>
        <v>5.8592000000000004</v>
      </c>
      <c r="Z196" s="204">
        <f t="shared" si="140"/>
        <v>7.0099999999999996E-2</v>
      </c>
      <c r="AA196" s="204">
        <f t="shared" si="145"/>
        <v>5.7891000000000004</v>
      </c>
      <c r="AB196" s="54" t="e">
        <f>VLOOKUP(A196,Enforcements!$C$7:$K$11,8,0)</f>
        <v>#N/A</v>
      </c>
      <c r="AC196" s="51" t="e">
        <f>VLOOKUP(A196,Enforcements!$C$7:$E$11,3,0)</f>
        <v>#N/A</v>
      </c>
      <c r="AD196" s="179">
        <f t="shared" si="146"/>
        <v>834</v>
      </c>
      <c r="AE196" s="77" t="str">
        <f t="shared" si="108"/>
        <v>aws s3 cp s3://rtdc.mdm.uploadarchive.raw/RTDC4001/ "%USERPROFILE%\AppData\Local\Temp\OnboardLogs"\RTDC4001\2017-10-05 --exclude "*" --recursive --include "*20171005*" &amp; "%USERPROFILE%\Documents\GitHub\mrs-test-scripts\Headless Mode &amp; Sideloading\WalkAndUnGZ.bat" "%USERPROFILE%\AppData\Local\Temp\OnboardLogs"\RTDC4001\2017-10-05 &amp; aws s3 cp s3://rtdc.mdm.uploadarchive.raw/RTDC4001/ "%USERPROFILE%\AppData\Local\Temp\OnboardLogs"\RTDC4001\2017-10-06 --exclude "*" --recursive --include "*20171006*" &amp; "%USERPROFILE%\Documents\GitHub\mrs-test-scripts\Headless Mode &amp; Sideloading\WalkAndUnGZ.bat" "%USERPROFILE%\AppData\Local\Temp\OnboardLogs"\RTDC4001\2017-10-06</v>
      </c>
      <c r="AF196" s="74" t="str">
        <f t="shared" si="109"/>
        <v>"C:\Program Files (x86)\AstroGrep\AstroGrep.exe" /e /r /s /spath="%USERPROFILE%\AppData\Local\Temp\OnboardLogs" /stypes="app*4001*20171005*" /stext=" 23:.+((SYSTEM_STATE.+slice.+state.+changed )|(ment ac)|(multiple cpu faults)|(system.+state.+changed )|(\[timeout)|(PRM\|1\|D)|(kpr)|(kdp)|(train st.+moving)|(\|lc)|(penalty))"</v>
      </c>
      <c r="AG196" s="182" t="str">
        <f t="shared" si="147"/>
        <v>NW</v>
      </c>
      <c r="AH196" s="78" t="str">
        <f t="shared" si="110"/>
        <v>"%USERPROFILE%\Documents\GitHub\eaglep3\Utilities\RefineRTDCRunTimes.py" --tripid 834-05 --locoid 4001 --swversion DE.1.0.9.0 --startMP 300:58592 --initTime 2017-10-05T17:27:17 --startdatetime 2017-10-05T17:30:08 --delay 59 --endMP 204:701 --enddatetime 2017-10-05T17:55:01 --enforcementcount 0 &gt;&gt;%USERPROFILE%\Documents\GitHub\eaglep3-reporting\EC\2017-10-05-refined-times.txt</v>
      </c>
      <c r="AI196" s="96" t="str">
        <f t="shared" si="111"/>
        <v>echo {"issue":{"subject":"","project_id":79,"tracker_id":40,"status_id":1,"priority_id":2,"assigned_to_id":338,"start_date":"2017-10-05","description":"","custom_fields":[{"id":1,"name":"Subdivision","value":"NW"},{"id":4,"name":"Milepost","value":"0.0701"},{"id":17,"name":"Train ID","value":"834-05"},{"id":16,"name":"Locomotive ID","value":"4001"},{"id":130,"name":"Impact","value":""},{"id":150,"name":"Time of Event (Mountain Time)","value":"17:55:01"},{"id":151,"name":"Denver Issue ID","value":""},{"id":178,"name":"Operational Impact","value":"Yes"},{"id":179,"name":"Denver Segment Assigned","value":""}]}} | curl --insecure -X POST -H "Content-Type: application/json" -H "X-Redmine-API-Key: %REDMINEAPIKEY%" https://secure.xorail.net/redmine/issues.json --data @-</v>
      </c>
      <c r="AK196" s="47"/>
      <c r="AL196" s="47"/>
      <c r="AM196" s="142" t="str">
        <f t="shared" si="112"/>
        <v>start /low /b %USERPROFILE%\Documents\GitHub\eaglep3\Utilities\DownloadLogsFromS3.py --loco 4001 --day 2017-10-05</v>
      </c>
      <c r="AN196" s="151" t="str">
        <f t="shared" si="113"/>
        <v>echo {"issue":{"subject":"","project_id":30,"tracker_id":4,"status_id":1,"priority_id":1,"assigned_to_id":10,"start_date":"2017-10-05","description":"","custom_fields":[{"id":30,"name":"Category","value":"Issue"},{"id":3,"name":"Functional Component","value":"Onboard"},{"id":31,"name":"Version","value":"N/A"},{"id":8,"name":"Reporting RR","value":"WABTEC"},{"id":27,"name":"Locomotive ID","value":"4001"},{"id":20,"name":"RR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23:55:01"},{"id":29,"name":"Sharepoint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96" s="168" t="str">
        <f t="shared" si="114"/>
        <v>https://d0f6bd738d7f1b3e5a7ca70fe4ff75f0.us-east-1.aws.found.io/app/kibana#/discover/Steve-Slow-Train-Analysis-(2080s-and-2083s)?_g=(refreshInterval:(display:Off,pause:!f,section:0,value:0),time:(from:'2017-10-05T16:27:17-0600',mode:absolute,to:'2017-10-05T18:55:01-0600'))&amp;_a=(columns:!('Message%20ID',Summary),filters:!(),index:'emp_*',interval:auto,query:(query_string:(analyze_wildcard:!t,query:'%22rtdc.l.rtdc.4001%22')),sort:!(Time.ISO8601,asc))</v>
      </c>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row>
    <row r="197" spans="1:91" s="20" customFormat="1" x14ac:dyDescent="0.25">
      <c r="A197" s="32" t="s">
        <v>755</v>
      </c>
      <c r="B197" s="7">
        <v>4020</v>
      </c>
      <c r="C197" s="21" t="s">
        <v>194</v>
      </c>
      <c r="D197" s="21" t="s">
        <v>465</v>
      </c>
      <c r="E197" s="13">
        <v>43013.728622685187</v>
      </c>
      <c r="F197" s="13">
        <v>43013.736111111109</v>
      </c>
      <c r="G197" s="7">
        <v>67</v>
      </c>
      <c r="H197" s="21" t="s">
        <v>961</v>
      </c>
      <c r="I197" s="13">
        <v>43013.746689814812</v>
      </c>
      <c r="J197" s="7">
        <v>0</v>
      </c>
      <c r="K197" s="89" t="str">
        <f t="shared" si="142"/>
        <v>4019/4020</v>
      </c>
      <c r="L197" s="185" t="str">
        <f>VLOOKUP(A197,'Trips&amp;Operators'!$C$1:$G$99911,5,FALSE)</f>
        <v>ZEWDU DEREJE</v>
      </c>
      <c r="M197" s="6">
        <f t="shared" si="143"/>
        <v>1.0578703702776693E-2</v>
      </c>
      <c r="N197" s="7">
        <f t="shared" si="137"/>
        <v>15.233333331998438</v>
      </c>
      <c r="O197" s="7"/>
      <c r="P197" s="7"/>
      <c r="Q197" s="22"/>
      <c r="R197" s="174"/>
      <c r="S197" s="221">
        <f t="shared" si="138"/>
        <v>1</v>
      </c>
      <c r="T197" s="174" t="str">
        <f t="shared" si="144"/>
        <v>NorthBound</v>
      </c>
      <c r="U197" s="198">
        <f>IF(AG197="EC",COUNTIFS(Variables!$M$2:$M$19,IF(T197="NorthBound","&gt;=","&lt;=")&amp;Y197,Variables!$M$2:$M$19,IF(T197="NorthBound","&lt;=","&gt;=")&amp;Z197),COUNTIFS(Variables!$P$2:$P$19,IF(T197="NorthBound","&gt;=","&lt;=")&amp;Y197,Variables!$P$2:$P$19,IF(T197="NorthBound","&lt;=","&gt;=")&amp;Z197))</f>
        <v>1</v>
      </c>
      <c r="V197" s="216" t="str">
        <f t="shared" si="107"/>
        <v>https://d0f6bd738d7f1b3e5a7ca70fe4ff75f0.us-east-1.aws.found.io/app/kibana#/discover/Steve-Slow-Train-Analysis-(2080s-and-2083s)?_g=(refreshInterval:(display:Off,pause:!f,section:0,value:0),time:(from:'2017-10-05T16:29:13-0600',mode:absolute,to:'2017-10-05T18:55:14-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4020%22')),sort:!(Time.ISO8601,asc))</v>
      </c>
      <c r="W197" s="204" t="str">
        <f>IF(AA197&lt;VLOOKUP(AG197,Variables!$AC$3:$AD$8,2,FALSE),"Y","N")</f>
        <v>N</v>
      </c>
      <c r="X197" s="204">
        <f t="shared" si="141"/>
        <v>1</v>
      </c>
      <c r="Y197" s="204">
        <f t="shared" si="139"/>
        <v>9.8599999999999993E-2</v>
      </c>
      <c r="Z197" s="204">
        <f t="shared" si="140"/>
        <v>5.8994</v>
      </c>
      <c r="AA197" s="204">
        <f t="shared" si="145"/>
        <v>5.8007999999999997</v>
      </c>
      <c r="AB197" s="54" t="e">
        <f>VLOOKUP(A197,Enforcements!$C$7:$K$11,8,0)</f>
        <v>#N/A</v>
      </c>
      <c r="AC197" s="51" t="e">
        <f>VLOOKUP(A197,Enforcements!$C$7:$E$11,3,0)</f>
        <v>#N/A</v>
      </c>
      <c r="AD197" s="179">
        <f t="shared" si="146"/>
        <v>835</v>
      </c>
      <c r="AE197" s="77" t="str">
        <f t="shared" si="108"/>
        <v>aws s3 cp s3://rtdc.mdm.uploadarchive.raw/RTDC4020/ "%USERPROFILE%\AppData\Local\Temp\OnboardLogs"\RTDC4020\2017-10-05 --exclude "*" --recursive --include "*20171005*" &amp; "%USERPROFILE%\Documents\GitHub\mrs-test-scripts\Headless Mode &amp; Sideloading\WalkAndUnGZ.bat" "%USERPROFILE%\AppData\Local\Temp\OnboardLogs"\RTDC4020\2017-10-05 &amp; aws s3 cp s3://rtdc.mdm.uploadarchive.raw/RTDC4020/ "%USERPROFILE%\AppData\Local\Temp\OnboardLogs"\RTDC4020\2017-10-06 --exclude "*" --recursive --include "*20171006*" &amp; "%USERPROFILE%\Documents\GitHub\mrs-test-scripts\Headless Mode &amp; Sideloading\WalkAndUnGZ.bat" "%USERPROFILE%\AppData\Local\Temp\OnboardLogs"\RTDC4020\2017-10-06</v>
      </c>
      <c r="AF197" s="74" t="str">
        <f t="shared" si="109"/>
        <v>"C:\Program Files (x86)\AstroGrep\AstroGrep.exe" /e /r /s /spath="%USERPROFILE%\AppData\Local\Temp\OnboardLogs" /stypes="app*4020*20171005*" /stext=" 23:.+((SYSTEM_STATE.+slice.+state.+changed )|(ment ac)|(multiple cpu faults)|(system.+state.+changed )|(\[timeout)|(PRM\|1\|D)|(kpr)|(kdp)|(train st.+moving)|(\|lc)|(penalty))"</v>
      </c>
      <c r="AG197" s="182" t="str">
        <f t="shared" si="147"/>
        <v>NW</v>
      </c>
      <c r="AH197" s="78" t="str">
        <f t="shared" si="110"/>
        <v>"%USERPROFILE%\Documents\GitHub\eaglep3\Utilities\RefineRTDCRunTimes.py" --tripid 835-05 --locoid 4020 --swversion DE.1.0.9.0 --startMP 204:986 --initTime 2017-10-05T17:29:13 --startdatetime 2017-10-05T17:40:00 --delay 67 --endMP 300:58994 --enddatetime 2017-10-05T17:55:14 --enforcementcount 0 &gt;&gt;%USERPROFILE%\Documents\GitHub\eaglep3-reporting\EC\2017-10-05-refined-times.txt</v>
      </c>
      <c r="AI197" s="96" t="str">
        <f t="shared" si="111"/>
        <v>echo {"issue":{"subject":"","project_id":79,"tracker_id":40,"status_id":1,"priority_id":2,"assigned_to_id":338,"start_date":"2017-10-05","description":"","custom_fields":[{"id":1,"name":"Subdivision","value":"NW"},{"id":4,"name":"Milepost","value":"5.8994"},{"id":17,"name":"Train ID","value":"835-05"},{"id":16,"name":"Locomotive ID","value":"4020"},{"id":130,"name":"Impact","value":""},{"id":150,"name":"Time of Event (Mountain Time)","value":"17:55:14"},{"id":151,"name":"Denver Issue ID","value":""},{"id":178,"name":"Operational Impact","value":"Yes"},{"id":179,"name":"Denver Segment Assigned","value":""}]}} | curl --insecure -X POST -H "Content-Type: application/json" -H "X-Redmine-API-Key: %REDMINEAPIKEY%" https://secure.xorail.net/redmine/issues.json --data @-</v>
      </c>
      <c r="AK197" s="47"/>
      <c r="AL197" s="47"/>
      <c r="AM197" s="142" t="str">
        <f t="shared" si="112"/>
        <v>start /low /b %USERPROFILE%\Documents\GitHub\eaglep3\Utilities\DownloadLogsFromS3.py --loco 4020 --day 2017-10-05</v>
      </c>
      <c r="AN197" s="151" t="str">
        <f t="shared" si="113"/>
        <v>echo {"issue":{"subject":"","project_id":30,"tracker_id":4,"status_id":1,"priority_id":1,"assigned_to_id":10,"start_date":"2017-10-05","description":"","custom_fields":[{"id":30,"name":"Category","value":"Issue"},{"id":3,"name":"Functional Component","value":"Onboard"},{"id":31,"name":"Version","value":"N/A"},{"id":8,"name":"Reporting RR","value":"WABTEC"},{"id":27,"name":"Locomotive ID","value":"4020"},{"id":20,"name":"RR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23:55:14"},{"id":29,"name":"Sharepoint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97" s="168" t="str">
        <f t="shared" si="114"/>
        <v>https://d0f6bd738d7f1b3e5a7ca70fe4ff75f0.us-east-1.aws.found.io/app/kibana#/discover/Steve-Slow-Train-Analysis-(2080s-and-2083s)?_g=(refreshInterval:(display:Off,pause:!f,section:0,value:0),time:(from:'2017-10-05T16:29:13-0600',mode:absolute,to:'2017-10-05T18:55:14-0600'))&amp;_a=(columns:!('Message%20ID',Summary),filters:!(),index:'emp_*',interval:auto,query:(query_string:(analyze_wildcard:!t,query:'%22rtdc.l.rtdc.4020%22')),sort:!(Time.ISO8601,asc))</v>
      </c>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row>
    <row r="198" spans="1:91" s="20" customFormat="1" x14ac:dyDescent="0.25">
      <c r="A198" s="32" t="s">
        <v>764</v>
      </c>
      <c r="B198" s="7">
        <v>4019</v>
      </c>
      <c r="C198" s="21" t="s">
        <v>194</v>
      </c>
      <c r="D198" s="21" t="s">
        <v>965</v>
      </c>
      <c r="E198" s="13">
        <v>43013.753888888888</v>
      </c>
      <c r="F198" s="13">
        <v>43013.75613425926</v>
      </c>
      <c r="G198" s="7">
        <v>71</v>
      </c>
      <c r="H198" s="21" t="s">
        <v>966</v>
      </c>
      <c r="I198" s="13">
        <v>43013.767326388886</v>
      </c>
      <c r="J198" s="7">
        <v>0</v>
      </c>
      <c r="K198" s="89" t="str">
        <f t="shared" si="142"/>
        <v>4019/4020</v>
      </c>
      <c r="L198" s="185" t="str">
        <f>VLOOKUP(A198,'Trips&amp;Operators'!$C$1:$G$99911,5,FALSE)</f>
        <v>ZEWDU DEREJE</v>
      </c>
      <c r="M198" s="6">
        <f t="shared" si="143"/>
        <v>1.1192129626579117E-2</v>
      </c>
      <c r="N198" s="7">
        <f t="shared" si="137"/>
        <v>16.116666662273929</v>
      </c>
      <c r="O198" s="7"/>
      <c r="P198" s="7"/>
      <c r="Q198" s="22"/>
      <c r="R198" s="174"/>
      <c r="S198" s="221">
        <f t="shared" si="138"/>
        <v>1</v>
      </c>
      <c r="T198" s="174" t="str">
        <f t="shared" si="144"/>
        <v>Southbound</v>
      </c>
      <c r="U198" s="198">
        <f>IF(AG198="EC",COUNTIFS(Variables!$M$2:$M$19,IF(T198="NorthBound","&gt;=","&lt;=")&amp;Y198,Variables!$M$2:$M$19,IF(T198="NorthBound","&lt;=","&gt;=")&amp;Z198),COUNTIFS(Variables!$P$2:$P$19,IF(T198="NorthBound","&gt;=","&lt;=")&amp;Y198,Variables!$P$2:$P$19,IF(T198="NorthBound","&lt;=","&gt;=")&amp;Z198))</f>
        <v>1</v>
      </c>
      <c r="V198" s="216" t="str">
        <f t="shared" si="107"/>
        <v>https://d0f6bd738d7f1b3e5a7ca70fe4ff75f0.us-east-1.aws.found.io/app/kibana#/discover/Steve-Slow-Train-Analysis-(2080s-and-2083s)?_g=(refreshInterval:(display:Off,pause:!f,section:0,value:0),time:(from:'2017-10-05T17:05:36-0600',mode:absolute,to:'2017-10-05T19:24:57-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4019%22')),sort:!(Time.ISO8601,asc))</v>
      </c>
      <c r="W198" s="204" t="str">
        <f>IF(AA198&lt;VLOOKUP(AG198,Variables!$AC$3:$AD$8,2,FALSE),"Y","N")</f>
        <v>N</v>
      </c>
      <c r="X198" s="204">
        <f t="shared" si="141"/>
        <v>1</v>
      </c>
      <c r="Y198" s="204">
        <f t="shared" si="139"/>
        <v>5.8673999999999999</v>
      </c>
      <c r="Z198" s="204">
        <f t="shared" si="140"/>
        <v>7.0499999999999993E-2</v>
      </c>
      <c r="AA198" s="204">
        <f t="shared" si="145"/>
        <v>5.7968999999999999</v>
      </c>
      <c r="AB198" s="54" t="e">
        <f>VLOOKUP(A198,Enforcements!$C$7:$K$11,8,0)</f>
        <v>#N/A</v>
      </c>
      <c r="AC198" s="51" t="e">
        <f>VLOOKUP(A198,Enforcements!$C$7:$E$11,3,0)</f>
        <v>#N/A</v>
      </c>
      <c r="AD198" s="179">
        <f t="shared" si="146"/>
        <v>836</v>
      </c>
      <c r="AE198" s="77" t="str">
        <f t="shared" si="108"/>
        <v>aws s3 cp s3://rtdc.mdm.uploadarchive.raw/RTDC4019/ "%USERPROFILE%\AppData\Local\Temp\OnboardLogs"\RTDC4019\2017-10-05 --exclude "*" --recursive --include "*20171005*" &amp; "%USERPROFILE%\Documents\GitHub\mrs-test-scripts\Headless Mode &amp; Sideloading\WalkAndUnGZ.bat" "%USERPROFILE%\AppData\Local\Temp\OnboardLogs"\RTDC4019\2017-10-05 &amp; aws s3 cp s3://rtdc.mdm.uploadarchive.raw/RTDC4019/ "%USERPROFILE%\AppData\Local\Temp\OnboardLogs"\RTDC4019\2017-10-06 --exclude "*" --recursive --include "*20171006*" &amp; "%USERPROFILE%\Documents\GitHub\mrs-test-scripts\Headless Mode &amp; Sideloading\WalkAndUnGZ.bat" "%USERPROFILE%\AppData\Local\Temp\OnboardLogs"\RTDC4019\2017-10-06</v>
      </c>
      <c r="AF198" s="74" t="str">
        <f t="shared" si="109"/>
        <v>"C:\Program Files (x86)\AstroGrep\AstroGrep.exe" /e /r /s /spath="%USERPROFILE%\AppData\Local\Temp\OnboardLogs" /stypes="app*4019*20171006*" /stext=" 00:.+((SYSTEM_STATE.+slice.+state.+changed )|(ment ac)|(multiple cpu faults)|(system.+state.+changed )|(\[timeout)|(PRM\|1\|D)|(kpr)|(kdp)|(train st.+moving)|(\|lc)|(penalty))"</v>
      </c>
      <c r="AG198" s="182" t="str">
        <f t="shared" si="147"/>
        <v>NW</v>
      </c>
      <c r="AH198" s="78" t="str">
        <f t="shared" si="110"/>
        <v>"%USERPROFILE%\Documents\GitHub\eaglep3\Utilities\RefineRTDCRunTimes.py" --tripid 836-05 --locoid 4019 --swversion DE.1.0.9.0 --startMP 300:58674 --initTime 2017-10-05T18:05:36 --startdatetime 2017-10-05T18:08:50 --delay 71 --endMP 204:705 --enddatetime 2017-10-05T18:24:57 --enforcementcount 0 &gt;&gt;%USERPROFILE%\Documents\GitHub\eaglep3-reporting\EC\2017-10-05-refined-times.txt</v>
      </c>
      <c r="AI198" s="96" t="str">
        <f t="shared" si="111"/>
        <v>echo {"issue":{"subject":"","project_id":79,"tracker_id":40,"status_id":1,"priority_id":2,"assigned_to_id":338,"start_date":"2017-10-05","description":"","custom_fields":[{"id":1,"name":"Subdivision","value":"NW"},{"id":4,"name":"Milepost","value":"0.0705"},{"id":17,"name":"Train ID","value":"836-05"},{"id":16,"name":"Locomotive ID","value":"4019"},{"id":130,"name":"Impact","value":""},{"id":150,"name":"Time of Event (Mountain Time)","value":"18:24:57"},{"id":151,"name":"Denver Issue ID","value":""},{"id":178,"name":"Operational Impact","value":"Yes"},{"id":179,"name":"Denver Segment Assigned","value":""}]}} | curl --insecure -X POST -H "Content-Type: application/json" -H "X-Redmine-API-Key: %REDMINEAPIKEY%" https://secure.xorail.net/redmine/issues.json --data @-</v>
      </c>
      <c r="AK198" s="47"/>
      <c r="AL198" s="47"/>
      <c r="AM198" s="142" t="str">
        <f t="shared" si="112"/>
        <v>start /low /b %USERPROFILE%\Documents\GitHub\eaglep3\Utilities\DownloadLogsFromS3.py --loco 4019 --day 2017-10-05</v>
      </c>
      <c r="AN198" s="151" t="str">
        <f t="shared" si="113"/>
        <v>echo {"issue":{"subject":"","project_id":30,"tracker_id":4,"status_id":1,"priority_id":1,"assigned_to_id":10,"start_date":"2017-10-06","description":"","custom_fields":[{"id":30,"name":"Category","value":"Issue"},{"id":3,"name":"Functional Component","value":"Onboard"},{"id":31,"name":"Version","value":"N/A"},{"id":8,"name":"Reporting RR","value":"WABTEC"},{"id":27,"name":"Locomotive ID","value":"4019"},{"id":20,"name":"RR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00:24:57"},{"id":29,"name":"Sharepoint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98" s="168" t="str">
        <f t="shared" si="114"/>
        <v>https://d0f6bd738d7f1b3e5a7ca70fe4ff75f0.us-east-1.aws.found.io/app/kibana#/discover/Steve-Slow-Train-Analysis-(2080s-and-2083s)?_g=(refreshInterval:(display:Off,pause:!f,section:0,value:0),time:(from:'2017-10-05T17:05:36-0600',mode:absolute,to:'2017-10-05T19:24:57-0600'))&amp;_a=(columns:!('Message%20ID',Summary),filters:!(),index:'emp_*',interval:auto,query:(query_string:(analyze_wildcard:!t,query:'%22rtdc.l.rtdc.4019%22')),sort:!(Time.ISO8601,asc))</v>
      </c>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row>
    <row r="199" spans="1:91" s="20" customFormat="1" x14ac:dyDescent="0.25">
      <c r="A199" s="32" t="s">
        <v>763</v>
      </c>
      <c r="B199" s="7">
        <v>4002</v>
      </c>
      <c r="C199" s="21" t="s">
        <v>194</v>
      </c>
      <c r="D199" s="21" t="s">
        <v>439</v>
      </c>
      <c r="E199" s="13">
        <v>43013.752812500003</v>
      </c>
      <c r="F199" s="13">
        <v>43013.756585648145</v>
      </c>
      <c r="G199" s="7">
        <v>57</v>
      </c>
      <c r="H199" s="21" t="s">
        <v>963</v>
      </c>
      <c r="I199" s="13">
        <v>43013.767175925925</v>
      </c>
      <c r="J199" s="7">
        <v>0</v>
      </c>
      <c r="K199" s="89" t="str">
        <f t="shared" si="142"/>
        <v>4001/4002</v>
      </c>
      <c r="L199" s="185" t="str">
        <f>VLOOKUP(A199,'Trips&amp;Operators'!$C$1:$G$99911,5,FALSE)</f>
        <v>BIRKHOLZ NADINE</v>
      </c>
      <c r="M199" s="6">
        <f t="shared" si="143"/>
        <v>1.0590277779556345E-2</v>
      </c>
      <c r="N199" s="7">
        <f t="shared" si="137"/>
        <v>15.250000002561137</v>
      </c>
      <c r="O199" s="7"/>
      <c r="P199" s="7"/>
      <c r="Q199" s="22"/>
      <c r="R199" s="174"/>
      <c r="S199" s="221">
        <f t="shared" si="138"/>
        <v>1</v>
      </c>
      <c r="T199" s="174" t="str">
        <f t="shared" si="144"/>
        <v>NorthBound</v>
      </c>
      <c r="U199" s="198">
        <f>IF(AG199="EC",COUNTIFS(Variables!$M$2:$M$19,IF(T199="NorthBound","&gt;=","&lt;=")&amp;Y199,Variables!$M$2:$M$19,IF(T199="NorthBound","&lt;=","&gt;=")&amp;Z199),COUNTIFS(Variables!$P$2:$P$19,IF(T199="NorthBound","&gt;=","&lt;=")&amp;Y199,Variables!$P$2:$P$19,IF(T199="NorthBound","&lt;=","&gt;=")&amp;Z199))</f>
        <v>1</v>
      </c>
      <c r="V199" s="216" t="str">
        <f t="shared" si="107"/>
        <v>https://d0f6bd738d7f1b3e5a7ca70fe4ff75f0.us-east-1.aws.found.io/app/kibana#/discover/Steve-Slow-Train-Analysis-(2080s-and-2083s)?_g=(refreshInterval:(display:Off,pause:!f,section:0,value:0),time:(from:'2017-10-05T17:04:03-0600',mode:absolute,to:'2017-10-05T19:24:44-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W199" s="204" t="str">
        <f>IF(AA199&lt;VLOOKUP(AG199,Variables!$AC$3:$AD$8,2,FALSE),"Y","N")</f>
        <v>N</v>
      </c>
      <c r="X199" s="204">
        <f t="shared" si="141"/>
        <v>1</v>
      </c>
      <c r="Y199" s="204">
        <f t="shared" si="139"/>
        <v>9.74E-2</v>
      </c>
      <c r="Z199" s="204">
        <f t="shared" si="140"/>
        <v>5.8926999999999996</v>
      </c>
      <c r="AA199" s="204">
        <f t="shared" si="145"/>
        <v>5.7952999999999992</v>
      </c>
      <c r="AB199" s="54" t="e">
        <f>VLOOKUP(A199,Enforcements!$C$7:$K$11,8,0)</f>
        <v>#N/A</v>
      </c>
      <c r="AC199" s="51" t="e">
        <f>VLOOKUP(A199,Enforcements!$C$7:$E$11,3,0)</f>
        <v>#N/A</v>
      </c>
      <c r="AD199" s="179">
        <f t="shared" si="146"/>
        <v>837</v>
      </c>
      <c r="AE199" s="77" t="str">
        <f t="shared" si="108"/>
        <v>aws s3 cp s3://rtdc.mdm.uploadarchive.raw/RTDC4002/ "%USERPROFILE%\AppData\Local\Temp\OnboardLogs"\RTDC4002\2017-10-05 --exclude "*" --recursive --include "*20171005*" &amp; "%USERPROFILE%\Documents\GitHub\mrs-test-scripts\Headless Mode &amp; Sideloading\WalkAndUnGZ.bat" "%USERPROFILE%\AppData\Local\Temp\OnboardLogs"\RTDC4002\2017-10-05 &amp; aws s3 cp s3://rtdc.mdm.uploadarchive.raw/RTDC4002/ "%USERPROFILE%\AppData\Local\Temp\OnboardLogs"\RTDC4002\2017-10-06 --exclude "*" --recursive --include "*20171006*" &amp; "%USERPROFILE%\Documents\GitHub\mrs-test-scripts\Headless Mode &amp; Sideloading\WalkAndUnGZ.bat" "%USERPROFILE%\AppData\Local\Temp\OnboardLogs"\RTDC4002\2017-10-06</v>
      </c>
      <c r="AF199" s="74" t="str">
        <f t="shared" si="109"/>
        <v>"C:\Program Files (x86)\AstroGrep\AstroGrep.exe" /e /r /s /spath="%USERPROFILE%\AppData\Local\Temp\OnboardLogs" /stypes="app*4002*20171006*" /stext=" 00:.+((SYSTEM_STATE.+slice.+state.+changed )|(ment ac)|(multiple cpu faults)|(system.+state.+changed )|(\[timeout)|(PRM\|1\|D)|(kpr)|(kdp)|(train st.+moving)|(\|lc)|(penalty))"</v>
      </c>
      <c r="AG199" s="182" t="str">
        <f t="shared" si="147"/>
        <v>NW</v>
      </c>
      <c r="AH199" s="78" t="str">
        <f t="shared" si="110"/>
        <v>"%USERPROFILE%\Documents\GitHub\eaglep3\Utilities\RefineRTDCRunTimes.py" --tripid 837-05 --locoid 4002 --swversion DE.1.0.9.0 --startMP 204:974 --initTime 2017-10-05T18:04:03 --startdatetime 2017-10-05T18:09:29 --delay 57 --endMP 300:58927 --enddatetime 2017-10-05T18:24:44 --enforcementcount 0 &gt;&gt;%USERPROFILE%\Documents\GitHub\eaglep3-reporting\EC\2017-10-05-refined-times.txt</v>
      </c>
      <c r="AI199" s="96" t="str">
        <f t="shared" si="111"/>
        <v>echo {"issue":{"subject":"","project_id":79,"tracker_id":40,"status_id":1,"priority_id":2,"assigned_to_id":338,"start_date":"2017-10-05","description":"","custom_fields":[{"id":1,"name":"Subdivision","value":"NW"},{"id":4,"name":"Milepost","value":"5.8927"},{"id":17,"name":"Train ID","value":"837-05"},{"id":16,"name":"Locomotive ID","value":"4002"},{"id":130,"name":"Impact","value":""},{"id":150,"name":"Time of Event (Mountain Time)","value":"18:24:44"},{"id":151,"name":"Denver Issue ID","value":""},{"id":178,"name":"Operational Impact","value":"Yes"},{"id":179,"name":"Denver Segment Assigned","value":""}]}} | curl --insecure -X POST -H "Content-Type: application/json" -H "X-Redmine-API-Key: %REDMINEAPIKEY%" https://secure.xorail.net/redmine/issues.json --data @-</v>
      </c>
      <c r="AK199" s="47"/>
      <c r="AL199" s="47"/>
      <c r="AM199" s="142" t="str">
        <f t="shared" si="112"/>
        <v>start /low /b %USERPROFILE%\Documents\GitHub\eaglep3\Utilities\DownloadLogsFromS3.py --loco 4002 --day 2017-10-05</v>
      </c>
      <c r="AN199" s="151" t="str">
        <f t="shared" si="113"/>
        <v>echo {"issue":{"subject":"","project_id":30,"tracker_id":4,"status_id":1,"priority_id":1,"assigned_to_id":10,"start_date":"2017-10-06","description":"","custom_fields":[{"id":30,"name":"Category","value":"Issue"},{"id":3,"name":"Functional Component","value":"Onboard"},{"id":31,"name":"Version","value":"N/A"},{"id":8,"name":"Reporting RR","value":"WABTEC"},{"id":27,"name":"Locomotive ID","value":"4002"},{"id":20,"name":"RR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00:24:44"},{"id":29,"name":"Sharepoint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199" s="168" t="str">
        <f t="shared" si="114"/>
        <v>https://d0f6bd738d7f1b3e5a7ca70fe4ff75f0.us-east-1.aws.found.io/app/kibana#/discover/Steve-Slow-Train-Analysis-(2080s-and-2083s)?_g=(refreshInterval:(display:Off,pause:!f,section:0,value:0),time:(from:'2017-10-05T17:04:03-0600',mode:absolute,to:'2017-10-05T19:24:44-0600'))&amp;_a=(columns:!('Message%20ID',Summary),filters:!(),index:'emp_*',interval:auto,query:(query_string:(analyze_wildcard:!t,query:'%22rtdc.l.rtdc.4002%22')),sort:!(Time.ISO8601,asc))</v>
      </c>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row>
    <row r="200" spans="1:91" s="20" customFormat="1" x14ac:dyDescent="0.25">
      <c r="A200" s="32" t="s">
        <v>767</v>
      </c>
      <c r="B200" s="7">
        <v>4001</v>
      </c>
      <c r="C200" s="21" t="s">
        <v>194</v>
      </c>
      <c r="D200" s="21" t="s">
        <v>950</v>
      </c>
      <c r="E200" s="13">
        <v>43013.76939814815</v>
      </c>
      <c r="F200" s="13">
        <v>43013.771481481483</v>
      </c>
      <c r="G200" s="7">
        <v>57</v>
      </c>
      <c r="H200" s="21" t="s">
        <v>967</v>
      </c>
      <c r="I200" s="13">
        <v>43013.788599537038</v>
      </c>
      <c r="J200" s="7">
        <v>0</v>
      </c>
      <c r="K200" s="89" t="str">
        <f t="shared" si="142"/>
        <v>4001/4002</v>
      </c>
      <c r="L200" s="185" t="str">
        <f>VLOOKUP(A200,'Trips&amp;Operators'!$C$1:$G$99911,5,FALSE)</f>
        <v>BIRKHOLZ NADINE</v>
      </c>
      <c r="M200" s="6">
        <f t="shared" si="143"/>
        <v>1.7118055555329192E-2</v>
      </c>
      <c r="N200" s="7">
        <f t="shared" si="137"/>
        <v>24.649999999674037</v>
      </c>
      <c r="O200" s="7"/>
      <c r="P200" s="7"/>
      <c r="Q200" s="22"/>
      <c r="R200" s="174"/>
      <c r="S200" s="221">
        <f t="shared" si="138"/>
        <v>1</v>
      </c>
      <c r="T200" s="174" t="str">
        <f t="shared" si="144"/>
        <v>Southbound</v>
      </c>
      <c r="U200" s="198">
        <f>IF(AG200="EC",COUNTIFS(Variables!$M$2:$M$19,IF(T200="NorthBound","&gt;=","&lt;=")&amp;Y200,Variables!$M$2:$M$19,IF(T200="NorthBound","&lt;=","&gt;=")&amp;Z200),COUNTIFS(Variables!$P$2:$P$19,IF(T200="NorthBound","&gt;=","&lt;=")&amp;Y200,Variables!$P$2:$P$19,IF(T200="NorthBound","&lt;=","&gt;=")&amp;Z200))</f>
        <v>1</v>
      </c>
      <c r="V200" s="216" t="str">
        <f t="shared" si="107"/>
        <v>https://d0f6bd738d7f1b3e5a7ca70fe4ff75f0.us-east-1.aws.found.io/app/kibana#/discover/Steve-Slow-Train-Analysis-(2080s-and-2083s)?_g=(refreshInterval:(display:Off,pause:!f,section:0,value:0),time:(from:'2017-10-05T17:27:56-0600',mode:absolute,to:'2017-10-05T19:55:35-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W200" s="204" t="str">
        <f>IF(AA200&lt;VLOOKUP(AG200,Variables!$AC$3:$AD$8,2,FALSE),"Y","N")</f>
        <v>N</v>
      </c>
      <c r="X200" s="204">
        <f t="shared" si="141"/>
        <v>1</v>
      </c>
      <c r="Y200" s="204">
        <f t="shared" si="139"/>
        <v>5.8615000000000004</v>
      </c>
      <c r="Z200" s="204">
        <f t="shared" si="140"/>
        <v>6.9800000000000001E-2</v>
      </c>
      <c r="AA200" s="204">
        <f t="shared" si="145"/>
        <v>5.7917000000000005</v>
      </c>
      <c r="AB200" s="54" t="e">
        <f>VLOOKUP(A200,Enforcements!$C$7:$K$11,8,0)</f>
        <v>#N/A</v>
      </c>
      <c r="AC200" s="51" t="e">
        <f>VLOOKUP(A200,Enforcements!$C$7:$E$11,3,0)</f>
        <v>#N/A</v>
      </c>
      <c r="AD200" s="179">
        <f t="shared" si="146"/>
        <v>838</v>
      </c>
      <c r="AE200" s="77" t="str">
        <f t="shared" si="108"/>
        <v>aws s3 cp s3://rtdc.mdm.uploadarchive.raw/RTDC4001/ "%USERPROFILE%\AppData\Local\Temp\OnboardLogs"\RTDC4001\2017-10-05 --exclude "*" --recursive --include "*20171005*" &amp; "%USERPROFILE%\Documents\GitHub\mrs-test-scripts\Headless Mode &amp; Sideloading\WalkAndUnGZ.bat" "%USERPROFILE%\AppData\Local\Temp\OnboardLogs"\RTDC4001\2017-10-05 &amp; aws s3 cp s3://rtdc.mdm.uploadarchive.raw/RTDC4001/ "%USERPROFILE%\AppData\Local\Temp\OnboardLogs"\RTDC4001\2017-10-06 --exclude "*" --recursive --include "*20171006*" &amp; "%USERPROFILE%\Documents\GitHub\mrs-test-scripts\Headless Mode &amp; Sideloading\WalkAndUnGZ.bat" "%USERPROFILE%\AppData\Local\Temp\OnboardLogs"\RTDC4001\2017-10-06</v>
      </c>
      <c r="AF200" s="74" t="str">
        <f t="shared" si="109"/>
        <v>"C:\Program Files (x86)\AstroGrep\AstroGrep.exe" /e /r /s /spath="%USERPROFILE%\AppData\Local\Temp\OnboardLogs" /stypes="app*4001*20171006*" /stext=" 00:.+((SYSTEM_STATE.+slice.+state.+changed )|(ment ac)|(multiple cpu faults)|(system.+state.+changed )|(\[timeout)|(PRM\|1\|D)|(kpr)|(kdp)|(train st.+moving)|(\|lc)|(penalty))"</v>
      </c>
      <c r="AG200" s="182" t="str">
        <f t="shared" si="147"/>
        <v>NW</v>
      </c>
      <c r="AH200" s="78" t="str">
        <f t="shared" si="110"/>
        <v>"%USERPROFILE%\Documents\GitHub\eaglep3\Utilities\RefineRTDCRunTimes.py" --tripid 838-05 --locoid 4001 --swversion DE.1.0.9.0 --startMP 300:58615 --initTime 2017-10-05T18:27:56 --startdatetime 2017-10-05T18:30:56 --delay 57 --endMP 204:698 --enddatetime 2017-10-05T18:55:35 --enforcementcount 0 &gt;&gt;%USERPROFILE%\Documents\GitHub\eaglep3-reporting\EC\2017-10-05-refined-times.txt</v>
      </c>
      <c r="AI200" s="96" t="str">
        <f t="shared" si="111"/>
        <v>echo {"issue":{"subject":"","project_id":79,"tracker_id":40,"status_id":1,"priority_id":2,"assigned_to_id":338,"start_date":"2017-10-05","description":"","custom_fields":[{"id":1,"name":"Subdivision","value":"NW"},{"id":4,"name":"Milepost","value":"0.0698"},{"id":17,"name":"Train ID","value":"838-05"},{"id":16,"name":"Locomotive ID","value":"4001"},{"id":130,"name":"Impact","value":""},{"id":150,"name":"Time of Event (Mountain Time)","value":"18:55:35"},{"id":151,"name":"Denver Issue ID","value":""},{"id":178,"name":"Operational Impact","value":"Yes"},{"id":179,"name":"Denver Segment Assigned","value":""}]}} | curl --insecure -X POST -H "Content-Type: application/json" -H "X-Redmine-API-Key: %REDMINEAPIKEY%" https://secure.xorail.net/redmine/issues.json --data @-</v>
      </c>
      <c r="AK200" s="47"/>
      <c r="AL200" s="47"/>
      <c r="AM200" s="142" t="str">
        <f t="shared" si="112"/>
        <v>start /low /b %USERPROFILE%\Documents\GitHub\eaglep3\Utilities\DownloadLogsFromS3.py --loco 4001 --day 2017-10-05</v>
      </c>
      <c r="AN200" s="151" t="str">
        <f t="shared" si="113"/>
        <v>echo {"issue":{"subject":"","project_id":30,"tracker_id":4,"status_id":1,"priority_id":1,"assigned_to_id":10,"start_date":"2017-10-06","description":"","custom_fields":[{"id":30,"name":"Category","value":"Issue"},{"id":3,"name":"Functional Component","value":"Onboard"},{"id":31,"name":"Version","value":"N/A"},{"id":8,"name":"Reporting RR","value":"WABTEC"},{"id":27,"name":"Locomotive ID","value":"4001"},{"id":20,"name":"RR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00:55:35"},{"id":29,"name":"Sharepoint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00" s="168" t="str">
        <f t="shared" si="114"/>
        <v>https://d0f6bd738d7f1b3e5a7ca70fe4ff75f0.us-east-1.aws.found.io/app/kibana#/discover/Steve-Slow-Train-Analysis-(2080s-and-2083s)?_g=(refreshInterval:(display:Off,pause:!f,section:0,value:0),time:(from:'2017-10-05T17:27:56-0600',mode:absolute,to:'2017-10-05T19:55:35-0600'))&amp;_a=(columns:!('Message%20ID',Summary),filters:!(),index:'emp_*',interval:auto,query:(query_string:(analyze_wildcard:!t,query:'%22rtdc.l.rtdc.4001%22')),sort:!(Time.ISO8601,asc))</v>
      </c>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row>
    <row r="201" spans="1:91" s="20" customFormat="1" x14ac:dyDescent="0.25">
      <c r="A201" s="32" t="s">
        <v>769</v>
      </c>
      <c r="B201" s="7">
        <v>4020</v>
      </c>
      <c r="C201" s="21" t="s">
        <v>194</v>
      </c>
      <c r="D201" s="21" t="s">
        <v>496</v>
      </c>
      <c r="E201" s="13">
        <v>43013.770092592589</v>
      </c>
      <c r="F201" s="13">
        <v>43013.77747685185</v>
      </c>
      <c r="G201" s="7">
        <v>116</v>
      </c>
      <c r="H201" s="21" t="s">
        <v>558</v>
      </c>
      <c r="I201" s="13">
        <v>43013.788055555553</v>
      </c>
      <c r="J201" s="7">
        <v>0</v>
      </c>
      <c r="K201" s="89" t="str">
        <f t="shared" si="142"/>
        <v>4019/4020</v>
      </c>
      <c r="L201" s="185" t="str">
        <f>VLOOKUP(A201,'Trips&amp;Operators'!$C$1:$G$99911,5,FALSE)</f>
        <v>ZEWDU DEREJE</v>
      </c>
      <c r="M201" s="6">
        <f t="shared" si="143"/>
        <v>1.0578703702776693E-2</v>
      </c>
      <c r="N201" s="7">
        <f t="shared" si="137"/>
        <v>15.233333331998438</v>
      </c>
      <c r="O201" s="7"/>
      <c r="P201" s="7"/>
      <c r="Q201" s="22"/>
      <c r="R201" s="174"/>
      <c r="S201" s="221">
        <f t="shared" si="138"/>
        <v>1</v>
      </c>
      <c r="T201" s="174" t="str">
        <f t="shared" si="144"/>
        <v>NorthBound</v>
      </c>
      <c r="U201" s="198">
        <f>IF(AG201="EC",COUNTIFS(Variables!$M$2:$M$19,IF(T201="NorthBound","&gt;=","&lt;=")&amp;Y201,Variables!$M$2:$M$19,IF(T201="NorthBound","&lt;=","&gt;=")&amp;Z201),COUNTIFS(Variables!$P$2:$P$19,IF(T201="NorthBound","&gt;=","&lt;=")&amp;Y201,Variables!$P$2:$P$19,IF(T201="NorthBound","&lt;=","&gt;=")&amp;Z201))</f>
        <v>1</v>
      </c>
      <c r="V201" s="216" t="str">
        <f t="shared" si="107"/>
        <v>https://d0f6bd738d7f1b3e5a7ca70fe4ff75f0.us-east-1.aws.found.io/app/kibana#/discover/Steve-Slow-Train-Analysis-(2080s-and-2083s)?_g=(refreshInterval:(display:Off,pause:!f,section:0,value:0),time:(from:'2017-10-05T17:28:56-0600',mode:absolute,to:'2017-10-05T19:54:48-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4020%22')),sort:!(Time.ISO8601,asc))</v>
      </c>
      <c r="W201" s="204" t="str">
        <f>IF(AA201&lt;VLOOKUP(AG201,Variables!$AC$3:$AD$8,2,FALSE),"Y","N")</f>
        <v>N</v>
      </c>
      <c r="X201" s="204">
        <f t="shared" si="141"/>
        <v>1</v>
      </c>
      <c r="Y201" s="204">
        <f t="shared" si="139"/>
        <v>9.9000000000000005E-2</v>
      </c>
      <c r="Z201" s="204">
        <f t="shared" si="140"/>
        <v>5.8952</v>
      </c>
      <c r="AA201" s="204">
        <f t="shared" si="145"/>
        <v>5.7961999999999998</v>
      </c>
      <c r="AB201" s="54" t="e">
        <f>VLOOKUP(A201,Enforcements!$C$7:$K$11,8,0)</f>
        <v>#N/A</v>
      </c>
      <c r="AC201" s="51" t="e">
        <f>VLOOKUP(A201,Enforcements!$C$7:$E$11,3,0)</f>
        <v>#N/A</v>
      </c>
      <c r="AD201" s="179">
        <f t="shared" si="146"/>
        <v>839</v>
      </c>
      <c r="AE201" s="77" t="str">
        <f t="shared" si="108"/>
        <v>aws s3 cp s3://rtdc.mdm.uploadarchive.raw/RTDC4020/ "%USERPROFILE%\AppData\Local\Temp\OnboardLogs"\RTDC4020\2017-10-05 --exclude "*" --recursive --include "*20171005*" &amp; "%USERPROFILE%\Documents\GitHub\mrs-test-scripts\Headless Mode &amp; Sideloading\WalkAndUnGZ.bat" "%USERPROFILE%\AppData\Local\Temp\OnboardLogs"\RTDC4020\2017-10-05 &amp; aws s3 cp s3://rtdc.mdm.uploadarchive.raw/RTDC4020/ "%USERPROFILE%\AppData\Local\Temp\OnboardLogs"\RTDC4020\2017-10-06 --exclude "*" --recursive --include "*20171006*" &amp; "%USERPROFILE%\Documents\GitHub\mrs-test-scripts\Headless Mode &amp; Sideloading\WalkAndUnGZ.bat" "%USERPROFILE%\AppData\Local\Temp\OnboardLogs"\RTDC4020\2017-10-06</v>
      </c>
      <c r="AF201" s="74" t="str">
        <f t="shared" si="109"/>
        <v>"C:\Program Files (x86)\AstroGrep\AstroGrep.exe" /e /r /s /spath="%USERPROFILE%\AppData\Local\Temp\OnboardLogs" /stypes="app*4020*20171006*" /stext=" 00:.+((SYSTEM_STATE.+slice.+state.+changed )|(ment ac)|(multiple cpu faults)|(system.+state.+changed )|(\[timeout)|(PRM\|1\|D)|(kpr)|(kdp)|(train st.+moving)|(\|lc)|(penalty))"</v>
      </c>
      <c r="AG201" s="182" t="str">
        <f t="shared" si="147"/>
        <v>NW</v>
      </c>
      <c r="AH201" s="78" t="str">
        <f t="shared" si="110"/>
        <v>"%USERPROFILE%\Documents\GitHub\eaglep3\Utilities\RefineRTDCRunTimes.py" --tripid 839-05 --locoid 4020 --swversion DE.1.0.9.0 --startMP 204:990 --initTime 2017-10-05T18:28:56 --startdatetime 2017-10-05T18:39:34 --delay 116 --endMP 300:58952 --enddatetime 2017-10-05T18:54:48 --enforcementcount 0 &gt;&gt;%USERPROFILE%\Documents\GitHub\eaglep3-reporting\EC\2017-10-05-refined-times.txt</v>
      </c>
      <c r="AI201" s="96" t="str">
        <f t="shared" si="111"/>
        <v>echo {"issue":{"subject":"","project_id":79,"tracker_id":40,"status_id":1,"priority_id":2,"assigned_to_id":338,"start_date":"2017-10-05","description":"","custom_fields":[{"id":1,"name":"Subdivision","value":"NW"},{"id":4,"name":"Milepost","value":"5.8952"},{"id":17,"name":"Train ID","value":"839-05"},{"id":16,"name":"Locomotive ID","value":"4020"},{"id":130,"name":"Impact","value":""},{"id":150,"name":"Time of Event (Mountain Time)","value":"18:54:48"},{"id":151,"name":"Denver Issue ID","value":""},{"id":178,"name":"Operational Impact","value":"Yes"},{"id":179,"name":"Denver Segment Assigned","value":""}]}} | curl --insecure -X POST -H "Content-Type: application/json" -H "X-Redmine-API-Key: %REDMINEAPIKEY%" https://secure.xorail.net/redmine/issues.json --data @-</v>
      </c>
      <c r="AK201" s="47"/>
      <c r="AL201" s="47"/>
      <c r="AM201" s="142" t="str">
        <f t="shared" si="112"/>
        <v>start /low /b %USERPROFILE%\Documents\GitHub\eaglep3\Utilities\DownloadLogsFromS3.py --loco 4020 --day 2017-10-05</v>
      </c>
      <c r="AN201" s="151" t="str">
        <f t="shared" si="113"/>
        <v>echo {"issue":{"subject":"","project_id":30,"tracker_id":4,"status_id":1,"priority_id":1,"assigned_to_id":10,"start_date":"2017-10-06","description":"","custom_fields":[{"id":30,"name":"Category","value":"Issue"},{"id":3,"name":"Functional Component","value":"Onboard"},{"id":31,"name":"Version","value":"N/A"},{"id":8,"name":"Reporting RR","value":"WABTEC"},{"id":27,"name":"Locomotive ID","value":"4020"},{"id":20,"name":"RR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00:54:48"},{"id":29,"name":"Sharepoint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01" s="168" t="str">
        <f t="shared" si="114"/>
        <v>https://d0f6bd738d7f1b3e5a7ca70fe4ff75f0.us-east-1.aws.found.io/app/kibana#/discover/Steve-Slow-Train-Analysis-(2080s-and-2083s)?_g=(refreshInterval:(display:Off,pause:!f,section:0,value:0),time:(from:'2017-10-05T17:28:56-0600',mode:absolute,to:'2017-10-05T19:54:48-0600'))&amp;_a=(columns:!('Message%20ID',Summary),filters:!(),index:'emp_*',interval:auto,query:(query_string:(analyze_wildcard:!t,query:'%22rtdc.l.rtdc.4020%22')),sort:!(Time.ISO8601,asc))</v>
      </c>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row>
    <row r="202" spans="1:91" s="20" customFormat="1" x14ac:dyDescent="0.25">
      <c r="A202" s="32" t="s">
        <v>781</v>
      </c>
      <c r="B202" s="7">
        <v>4001</v>
      </c>
      <c r="C202" s="21" t="s">
        <v>194</v>
      </c>
      <c r="D202" s="21" t="s">
        <v>467</v>
      </c>
      <c r="E202" s="13">
        <v>43013.810196759259</v>
      </c>
      <c r="F202" s="13">
        <v>43013.813472222224</v>
      </c>
      <c r="G202" s="7">
        <v>178</v>
      </c>
      <c r="H202" s="21" t="s">
        <v>561</v>
      </c>
      <c r="I202" s="13">
        <v>43013.830277777779</v>
      </c>
      <c r="J202" s="7">
        <v>0</v>
      </c>
      <c r="K202" s="89" t="str">
        <f t="shared" si="142"/>
        <v>4001/4002</v>
      </c>
      <c r="L202" s="185" t="str">
        <f>VLOOKUP(A202,'Trips&amp;Operators'!$C$1:$G$99911,5,FALSE)</f>
        <v>BIRKHOLZ NADINE</v>
      </c>
      <c r="M202" s="6">
        <f t="shared" si="143"/>
        <v>1.6805555555038154E-2</v>
      </c>
      <c r="N202" s="7">
        <f t="shared" si="137"/>
        <v>24.199999999254942</v>
      </c>
      <c r="O202" s="7"/>
      <c r="P202" s="7"/>
      <c r="Q202" s="22"/>
      <c r="R202" s="174"/>
      <c r="S202" s="221">
        <f t="shared" si="138"/>
        <v>1</v>
      </c>
      <c r="T202" s="174" t="str">
        <f t="shared" si="144"/>
        <v>Southbound</v>
      </c>
      <c r="U202" s="198">
        <f>IF(AG202="EC",COUNTIFS(Variables!$M$2:$M$19,IF(T202="NorthBound","&gt;=","&lt;=")&amp;Y202,Variables!$M$2:$M$19,IF(T202="NorthBound","&lt;=","&gt;=")&amp;Z202),COUNTIFS(Variables!$P$2:$P$19,IF(T202="NorthBound","&gt;=","&lt;=")&amp;Y202,Variables!$P$2:$P$19,IF(T202="NorthBound","&lt;=","&gt;=")&amp;Z202))</f>
        <v>1</v>
      </c>
      <c r="V202" s="216" t="str">
        <f t="shared" si="107"/>
        <v>https://d0f6bd738d7f1b3e5a7ca70fe4ff75f0.us-east-1.aws.found.io/app/kibana#/discover/Steve-Slow-Train-Analysis-(2080s-and-2083s)?_g=(refreshInterval:(display:Off,pause:!f,section:0,value:0),time:(from:'2017-10-05T18:26:41-0600',mode:absolute,to:'2017-10-05T20:55:36-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W202" s="204" t="str">
        <f>IF(AA202&lt;VLOOKUP(AG202,Variables!$AC$3:$AD$8,2,FALSE),"Y","N")</f>
        <v>N</v>
      </c>
      <c r="X202" s="204">
        <f t="shared" si="141"/>
        <v>1</v>
      </c>
      <c r="Y202" s="204">
        <f t="shared" si="139"/>
        <v>5.8619000000000003</v>
      </c>
      <c r="Z202" s="204">
        <f t="shared" si="140"/>
        <v>7.2900000000000006E-2</v>
      </c>
      <c r="AA202" s="204">
        <f t="shared" si="145"/>
        <v>5.7890000000000006</v>
      </c>
      <c r="AB202" s="54" t="e">
        <f>VLOOKUP(A202,Enforcements!$C$7:$K$11,8,0)</f>
        <v>#N/A</v>
      </c>
      <c r="AC202" s="51" t="e">
        <f>VLOOKUP(A202,Enforcements!$C$7:$E$11,3,0)</f>
        <v>#N/A</v>
      </c>
      <c r="AD202" s="179">
        <f t="shared" si="146"/>
        <v>840</v>
      </c>
      <c r="AE202" s="77" t="str">
        <f t="shared" si="108"/>
        <v>aws s3 cp s3://rtdc.mdm.uploadarchive.raw/RTDC4001/ "%USERPROFILE%\AppData\Local\Temp\OnboardLogs"\RTDC4001\2017-10-05 --exclude "*" --recursive --include "*20171005*" &amp; "%USERPROFILE%\Documents\GitHub\mrs-test-scripts\Headless Mode &amp; Sideloading\WalkAndUnGZ.bat" "%USERPROFILE%\AppData\Local\Temp\OnboardLogs"\RTDC4001\2017-10-05 &amp; aws s3 cp s3://rtdc.mdm.uploadarchive.raw/RTDC4001/ "%USERPROFILE%\AppData\Local\Temp\OnboardLogs"\RTDC4001\2017-10-06 --exclude "*" --recursive --include "*20171006*" &amp; "%USERPROFILE%\Documents\GitHub\mrs-test-scripts\Headless Mode &amp; Sideloading\WalkAndUnGZ.bat" "%USERPROFILE%\AppData\Local\Temp\OnboardLogs"\RTDC4001\2017-10-06</v>
      </c>
      <c r="AF202" s="74" t="str">
        <f t="shared" si="109"/>
        <v>"C:\Program Files (x86)\AstroGrep\AstroGrep.exe" /e /r /s /spath="%USERPROFILE%\AppData\Local\Temp\OnboardLogs" /stypes="app*4001*20171006*" /stext=" 01:.+((SYSTEM_STATE.+slice.+state.+changed )|(ment ac)|(multiple cpu faults)|(system.+state.+changed )|(\[timeout)|(PRM\|1\|D)|(kpr)|(kdp)|(train st.+moving)|(\|lc)|(penalty))"</v>
      </c>
      <c r="AG202" s="182" t="str">
        <f t="shared" si="147"/>
        <v>NW</v>
      </c>
      <c r="AH202" s="78" t="str">
        <f t="shared" si="110"/>
        <v>"%USERPROFILE%\Documents\GitHub\eaglep3\Utilities\RefineRTDCRunTimes.py" --tripid 840-05 --locoid 4001 --swversion DE.1.0.9.0 --startMP 300:58619 --initTime 2017-10-05T19:26:41 --startdatetime 2017-10-05T19:31:24 --delay 178 --endMP 204:729 --enddatetime 2017-10-05T19:55:36 --enforcementcount 0 &gt;&gt;%USERPROFILE%\Documents\GitHub\eaglep3-reporting\EC\2017-10-05-refined-times.txt</v>
      </c>
      <c r="AI202" s="96" t="str">
        <f t="shared" si="111"/>
        <v>echo {"issue":{"subject":"","project_id":79,"tracker_id":40,"status_id":1,"priority_id":2,"assigned_to_id":338,"start_date":"2017-10-05","description":"","custom_fields":[{"id":1,"name":"Subdivision","value":"NW"},{"id":4,"name":"Milepost","value":"0.0729"},{"id":17,"name":"Train ID","value":"840-05"},{"id":16,"name":"Locomotive ID","value":"4001"},{"id":130,"name":"Impact","value":""},{"id":150,"name":"Time of Event (Mountain Time)","value":"19:55:36"},{"id":151,"name":"Denver Issue ID","value":""},{"id":178,"name":"Operational Impact","value":"Yes"},{"id":179,"name":"Denver Segment Assigned","value":""}]}} | curl --insecure -X POST -H "Content-Type: application/json" -H "X-Redmine-API-Key: %REDMINEAPIKEY%" https://secure.xorail.net/redmine/issues.json --data @-</v>
      </c>
      <c r="AK202" s="47"/>
      <c r="AL202" s="47"/>
      <c r="AM202" s="142" t="str">
        <f t="shared" si="112"/>
        <v>start /low /b %USERPROFILE%\Documents\GitHub\eaglep3\Utilities\DownloadLogsFromS3.py --loco 4001 --day 2017-10-05</v>
      </c>
      <c r="AN202" s="151" t="str">
        <f t="shared" si="113"/>
        <v>echo {"issue":{"subject":"","project_id":30,"tracker_id":4,"status_id":1,"priority_id":1,"assigned_to_id":10,"start_date":"2017-10-06","description":"","custom_fields":[{"id":30,"name":"Category","value":"Issue"},{"id":3,"name":"Functional Component","value":"Onboard"},{"id":31,"name":"Version","value":"N/A"},{"id":8,"name":"Reporting RR","value":"WABTEC"},{"id":27,"name":"Locomotive ID","value":"4001"},{"id":20,"name":"RR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01:55:36"},{"id":29,"name":"Sharepoint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02" s="168" t="str">
        <f t="shared" si="114"/>
        <v>https://d0f6bd738d7f1b3e5a7ca70fe4ff75f0.us-east-1.aws.found.io/app/kibana#/discover/Steve-Slow-Train-Analysis-(2080s-and-2083s)?_g=(refreshInterval:(display:Off,pause:!f,section:0,value:0),time:(from:'2017-10-05T18:26:41-0600',mode:absolute,to:'2017-10-05T20:55:36-0600'))&amp;_a=(columns:!('Message%20ID',Summary),filters:!(),index:'emp_*',interval:auto,query:(query_string:(analyze_wildcard:!t,query:'%22rtdc.l.rtdc.4001%22')),sort:!(Time.ISO8601,asc))</v>
      </c>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row>
    <row r="203" spans="1:91" s="20" customFormat="1" x14ac:dyDescent="0.25">
      <c r="A203" s="32" t="s">
        <v>778</v>
      </c>
      <c r="B203" s="7">
        <v>4002</v>
      </c>
      <c r="C203" s="21" t="s">
        <v>194</v>
      </c>
      <c r="D203" s="21" t="s">
        <v>498</v>
      </c>
      <c r="E203" s="13">
        <v>43013.794618055559</v>
      </c>
      <c r="F203" s="13">
        <v>43013.798182870371</v>
      </c>
      <c r="G203" s="7">
        <v>55</v>
      </c>
      <c r="H203" s="21" t="s">
        <v>469</v>
      </c>
      <c r="I203" s="13">
        <v>43013.808391203704</v>
      </c>
      <c r="J203" s="7">
        <v>0</v>
      </c>
      <c r="K203" s="89" t="str">
        <f t="shared" si="142"/>
        <v>4001/4002</v>
      </c>
      <c r="L203" s="185" t="str">
        <f>VLOOKUP(A203,'Trips&amp;Operators'!$C$1:$G$99911,5,FALSE)</f>
        <v>BIRKHOLZ NADINE</v>
      </c>
      <c r="M203" s="6">
        <f t="shared" si="143"/>
        <v>1.0208333333139308E-2</v>
      </c>
      <c r="N203" s="7">
        <f t="shared" si="137"/>
        <v>14.699999999720603</v>
      </c>
      <c r="O203" s="7"/>
      <c r="P203" s="7"/>
      <c r="Q203" s="22"/>
      <c r="R203" s="174"/>
      <c r="S203" s="221">
        <f t="shared" si="138"/>
        <v>1</v>
      </c>
      <c r="T203" s="174" t="str">
        <f t="shared" si="144"/>
        <v>NorthBound</v>
      </c>
      <c r="U203" s="198">
        <f>IF(AG203="EC",COUNTIFS(Variables!$M$2:$M$19,IF(T203="NorthBound","&gt;=","&lt;=")&amp;Y203,Variables!$M$2:$M$19,IF(T203="NorthBound","&lt;=","&gt;=")&amp;Z203),COUNTIFS(Variables!$P$2:$P$19,IF(T203="NorthBound","&gt;=","&lt;=")&amp;Y203,Variables!$P$2:$P$19,IF(T203="NorthBound","&lt;=","&gt;=")&amp;Z203))</f>
        <v>1</v>
      </c>
      <c r="V203" s="216" t="str">
        <f t="shared" si="107"/>
        <v>https://d0f6bd738d7f1b3e5a7ca70fe4ff75f0.us-east-1.aws.found.io/app/kibana#/discover/Steve-Slow-Train-Analysis-(2080s-and-2083s)?_g=(refreshInterval:(display:Off,pause:!f,section:0,value:0),time:(from:'2017-10-05T18:04:15-0600',mode:absolute,to:'2017-10-05T20:24:05-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W203" s="204" t="str">
        <f>IF(AA203&lt;VLOOKUP(AG203,Variables!$AC$3:$AD$8,2,FALSE),"Y","N")</f>
        <v>N</v>
      </c>
      <c r="X203" s="204">
        <f t="shared" si="141"/>
        <v>1</v>
      </c>
      <c r="Y203" s="204">
        <f t="shared" si="139"/>
        <v>9.7799999999999998E-2</v>
      </c>
      <c r="Z203" s="204">
        <f t="shared" si="140"/>
        <v>5.8933</v>
      </c>
      <c r="AA203" s="204">
        <f t="shared" si="145"/>
        <v>5.7954999999999997</v>
      </c>
      <c r="AB203" s="54" t="e">
        <f>VLOOKUP(A203,Enforcements!$C$7:$K$11,8,0)</f>
        <v>#N/A</v>
      </c>
      <c r="AC203" s="51" t="e">
        <f>VLOOKUP(A203,Enforcements!$C$7:$E$11,3,0)</f>
        <v>#N/A</v>
      </c>
      <c r="AD203" s="179">
        <f t="shared" si="146"/>
        <v>841</v>
      </c>
      <c r="AE203" s="77" t="str">
        <f t="shared" si="108"/>
        <v>aws s3 cp s3://rtdc.mdm.uploadarchive.raw/RTDC4002/ "%USERPROFILE%\AppData\Local\Temp\OnboardLogs"\RTDC4002\2017-10-05 --exclude "*" --recursive --include "*20171005*" &amp; "%USERPROFILE%\Documents\GitHub\mrs-test-scripts\Headless Mode &amp; Sideloading\WalkAndUnGZ.bat" "%USERPROFILE%\AppData\Local\Temp\OnboardLogs"\RTDC4002\2017-10-05 &amp; aws s3 cp s3://rtdc.mdm.uploadarchive.raw/RTDC4002/ "%USERPROFILE%\AppData\Local\Temp\OnboardLogs"\RTDC4002\2017-10-06 --exclude "*" --recursive --include "*20171006*" &amp; "%USERPROFILE%\Documents\GitHub\mrs-test-scripts\Headless Mode &amp; Sideloading\WalkAndUnGZ.bat" "%USERPROFILE%\AppData\Local\Temp\OnboardLogs"\RTDC4002\2017-10-06</v>
      </c>
      <c r="AF203" s="74" t="str">
        <f t="shared" si="109"/>
        <v>"C:\Program Files (x86)\AstroGrep\AstroGrep.exe" /e /r /s /spath="%USERPROFILE%\AppData\Local\Temp\OnboardLogs" /stypes="app*4002*20171006*" /stext=" 01:.+((SYSTEM_STATE.+slice.+state.+changed )|(ment ac)|(multiple cpu faults)|(system.+state.+changed )|(\[timeout)|(PRM\|1\|D)|(kpr)|(kdp)|(train st.+moving)|(\|lc)|(penalty))"</v>
      </c>
      <c r="AG203" s="182" t="str">
        <f t="shared" si="147"/>
        <v>NW</v>
      </c>
      <c r="AH203" s="78" t="str">
        <f t="shared" si="110"/>
        <v>"%USERPROFILE%\Documents\GitHub\eaglep3\Utilities\RefineRTDCRunTimes.py" --tripid 841-05 --locoid 4002 --swversion DE.1.0.9.0 --startMP 204:978 --initTime 2017-10-05T19:04:15 --startdatetime 2017-10-05T19:09:23 --delay 55 --endMP 300:58933 --enddatetime 2017-10-05T19:24:05 --enforcementcount 0 &gt;&gt;%USERPROFILE%\Documents\GitHub\eaglep3-reporting\EC\2017-10-05-refined-times.txt</v>
      </c>
      <c r="AI203" s="96" t="str">
        <f t="shared" si="111"/>
        <v>echo {"issue":{"subject":"","project_id":79,"tracker_id":40,"status_id":1,"priority_id":2,"assigned_to_id":338,"start_date":"2017-10-05","description":"","custom_fields":[{"id":1,"name":"Subdivision","value":"NW"},{"id":4,"name":"Milepost","value":"5.8933"},{"id":17,"name":"Train ID","value":"841-05"},{"id":16,"name":"Locomotive ID","value":"4002"},{"id":130,"name":"Impact","value":""},{"id":150,"name":"Time of Event (Mountain Time)","value":"19:24:05"},{"id":151,"name":"Denver Issue ID","value":""},{"id":178,"name":"Operational Impact","value":"Yes"},{"id":179,"name":"Denver Segment Assigned","value":""}]}} | curl --insecure -X POST -H "Content-Type: application/json" -H "X-Redmine-API-Key: %REDMINEAPIKEY%" https://secure.xorail.net/redmine/issues.json --data @-</v>
      </c>
      <c r="AK203" s="47"/>
      <c r="AL203" s="47"/>
      <c r="AM203" s="142" t="str">
        <f t="shared" si="112"/>
        <v>start /low /b %USERPROFILE%\Documents\GitHub\eaglep3\Utilities\DownloadLogsFromS3.py --loco 4002 --day 2017-10-05</v>
      </c>
      <c r="AN203" s="151" t="str">
        <f t="shared" si="113"/>
        <v>echo {"issue":{"subject":"","project_id":30,"tracker_id":4,"status_id":1,"priority_id":1,"assigned_to_id":10,"start_date":"2017-10-06","description":"","custom_fields":[{"id":30,"name":"Category","value":"Issue"},{"id":3,"name":"Functional Component","value":"Onboard"},{"id":31,"name":"Version","value":"N/A"},{"id":8,"name":"Reporting RR","value":"WABTEC"},{"id":27,"name":"Locomotive ID","value":"4002"},{"id":20,"name":"RR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01:24:05"},{"id":29,"name":"Sharepoint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03" s="168" t="str">
        <f t="shared" si="114"/>
        <v>https://d0f6bd738d7f1b3e5a7ca70fe4ff75f0.us-east-1.aws.found.io/app/kibana#/discover/Steve-Slow-Train-Analysis-(2080s-and-2083s)?_g=(refreshInterval:(display:Off,pause:!f,section:0,value:0),time:(from:'2017-10-05T18:04:15-0600',mode:absolute,to:'2017-10-05T20:24:05-0600'))&amp;_a=(columns:!('Message%20ID',Summary),filters:!(),index:'emp_*',interval:auto,query:(query_string:(analyze_wildcard:!t,query:'%22rtdc.l.rtdc.4002%22')),sort:!(Time.ISO8601,asc))</v>
      </c>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row>
    <row r="204" spans="1:91" s="20" customFormat="1" x14ac:dyDescent="0.25">
      <c r="A204" s="32" t="s">
        <v>788</v>
      </c>
      <c r="B204" s="7">
        <v>4001</v>
      </c>
      <c r="C204" s="21" t="s">
        <v>194</v>
      </c>
      <c r="D204" s="21" t="s">
        <v>567</v>
      </c>
      <c r="E204" s="13">
        <v>43013.852118055554</v>
      </c>
      <c r="F204" s="13">
        <v>43013.863530092596</v>
      </c>
      <c r="G204" s="7">
        <v>60</v>
      </c>
      <c r="H204" s="21" t="s">
        <v>892</v>
      </c>
      <c r="I204" s="13">
        <v>43013.87228009259</v>
      </c>
      <c r="J204" s="7">
        <v>0</v>
      </c>
      <c r="K204" s="89" t="str">
        <f t="shared" si="142"/>
        <v>4001/4002</v>
      </c>
      <c r="L204" s="185" t="str">
        <f>VLOOKUP(A204,'Trips&amp;Operators'!$C$1:$G$99911,5,FALSE)</f>
        <v>BIRKHOLZ NADINE</v>
      </c>
      <c r="M204" s="6">
        <f t="shared" si="143"/>
        <v>8.7499999935971573E-3</v>
      </c>
      <c r="N204" s="7">
        <f t="shared" si="137"/>
        <v>12.599999990779907</v>
      </c>
      <c r="O204" s="7"/>
      <c r="P204" s="7"/>
      <c r="Q204" s="22"/>
      <c r="R204" s="174" t="s">
        <v>1010</v>
      </c>
      <c r="S204" s="221">
        <f t="shared" si="138"/>
        <v>1</v>
      </c>
      <c r="T204" s="174" t="str">
        <f t="shared" si="144"/>
        <v>Southbound</v>
      </c>
      <c r="U204" s="198">
        <f>IF(AG204="EC",COUNTIFS(Variables!$M$2:$M$19,IF(T204="NorthBound","&gt;=","&lt;=")&amp;Y204,Variables!$M$2:$M$19,IF(T204="NorthBound","&lt;=","&gt;=")&amp;Z204),COUNTIFS(Variables!$P$2:$P$19,IF(T204="NorthBound","&gt;=","&lt;=")&amp;Y204,Variables!$P$2:$P$19,IF(T204="NorthBound","&lt;=","&gt;=")&amp;Z204))</f>
        <v>1</v>
      </c>
      <c r="V204" s="216" t="str">
        <f t="shared" si="107"/>
        <v>https://d0f6bd738d7f1b3e5a7ca70fe4ff75f0.us-east-1.aws.found.io/app/kibana#/discover/Steve-Slow-Train-Analysis-(2080s-and-2083s)?_g=(refreshInterval:(display:Off,pause:!f,section:0,value:0),time:(from:'2017-10-05T19:27:03-0600',mode:absolute,to:'2017-10-05T21:56:05-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W204" s="204" t="str">
        <f>IF(AA204&lt;VLOOKUP(AG204,Variables!$AC$3:$AD$8,2,FALSE),"Y","N")</f>
        <v>N</v>
      </c>
      <c r="X204" s="204">
        <f t="shared" si="141"/>
        <v>1</v>
      </c>
      <c r="Y204" s="204">
        <f t="shared" si="139"/>
        <v>5.8616999999999999</v>
      </c>
      <c r="Z204" s="204">
        <f t="shared" si="140"/>
        <v>6.6100000000000006E-2</v>
      </c>
      <c r="AA204" s="204">
        <f t="shared" si="145"/>
        <v>5.7956000000000003</v>
      </c>
      <c r="AB204" s="54" t="e">
        <f>VLOOKUP(A204,Enforcements!$C$7:$K$11,8,0)</f>
        <v>#N/A</v>
      </c>
      <c r="AC204" s="51" t="e">
        <f>VLOOKUP(A204,Enforcements!$C$7:$E$11,3,0)</f>
        <v>#N/A</v>
      </c>
      <c r="AD204" s="179">
        <f t="shared" si="146"/>
        <v>842</v>
      </c>
      <c r="AE204" s="77" t="str">
        <f t="shared" si="108"/>
        <v>aws s3 cp s3://rtdc.mdm.uploadarchive.raw/RTDC4001/ "%USERPROFILE%\AppData\Local\Temp\OnboardLogs"\RTDC4001\2017-10-05 --exclude "*" --recursive --include "*20171005*" &amp; "%USERPROFILE%\Documents\GitHub\mrs-test-scripts\Headless Mode &amp; Sideloading\WalkAndUnGZ.bat" "%USERPROFILE%\AppData\Local\Temp\OnboardLogs"\RTDC4001\2017-10-05 &amp; aws s3 cp s3://rtdc.mdm.uploadarchive.raw/RTDC4001/ "%USERPROFILE%\AppData\Local\Temp\OnboardLogs"\RTDC4001\2017-10-06 --exclude "*" --recursive --include "*20171006*" &amp; "%USERPROFILE%\Documents\GitHub\mrs-test-scripts\Headless Mode &amp; Sideloading\WalkAndUnGZ.bat" "%USERPROFILE%\AppData\Local\Temp\OnboardLogs"\RTDC4001\2017-10-06</v>
      </c>
      <c r="AF204" s="74" t="str">
        <f t="shared" si="109"/>
        <v>"C:\Program Files (x86)\AstroGrep\AstroGrep.exe" /e /r /s /spath="%USERPROFILE%\AppData\Local\Temp\OnboardLogs" /stypes="app*4001*20171006*" /stext=" 02:.+((SYSTEM_STATE.+slice.+state.+changed )|(ment ac)|(multiple cpu faults)|(system.+state.+changed )|(\[timeout)|(PRM\|1\|D)|(kpr)|(kdp)|(train st.+moving)|(\|lc)|(penalty))"</v>
      </c>
      <c r="AG204" s="182" t="str">
        <f t="shared" si="147"/>
        <v>NW</v>
      </c>
      <c r="AH204" s="78" t="str">
        <f t="shared" si="110"/>
        <v>"%USERPROFILE%\Documents\GitHub\eaglep3\Utilities\RefineRTDCRunTimes.py" --tripid 842-05 --locoid 4001 --swversion DE.1.0.9.0 --startMP 300:58617 --initTime 2017-10-05T20:27:03 --startdatetime 2017-10-05T20:43:29 --delay 60 --endMP 204:661 --enddatetime 2017-10-05T20:56:05 --enforcementcount 0 &gt;&gt;%USERPROFILE%\Documents\GitHub\eaglep3-reporting\EC\2017-10-05-refined-times.txt</v>
      </c>
      <c r="AI204" s="96" t="str">
        <f t="shared" si="111"/>
        <v>echo {"issue":{"subject":"Banner without braking","project_id":79,"tracker_id":40,"status_id":1,"priority_id":2,"assigned_to_id":338,"start_date":"2017-10-05","description":"","custom_fields":[{"id":1,"name":"Subdivision","value":"NW"},{"id":4,"name":"Milepost","value":"0.0661"},{"id":17,"name":"Train ID","value":"842-05"},{"id":16,"name":"Locomotive ID","value":"4001"},{"id":130,"name":"Impact","value":""},{"id":150,"name":"Time of Event (Mountain Time)","value":"20:56:05"},{"id":151,"name":"Denver Issue ID","value":""},{"id":178,"name":"Operational Impact","value":"Yes"},{"id":179,"name":"Denver Segment Assigned","value":""}]}} | curl --insecure -X POST -H "Content-Type: application/json" -H "X-Redmine-API-Key: %REDMINEAPIKEY%" https://secure.xorail.net/redmine/issues.json --data @-</v>
      </c>
      <c r="AK204" s="47"/>
      <c r="AL204" s="47"/>
      <c r="AM204" s="142" t="str">
        <f t="shared" si="112"/>
        <v>start /low /b %USERPROFILE%\Documents\GitHub\eaglep3\Utilities\DownloadLogsFromS3.py --loco 4001 --day 2017-10-05</v>
      </c>
      <c r="AN204" s="151" t="str">
        <f t="shared" si="113"/>
        <v>echo {"issue":{"subject":"Banner without braking","project_id":30,"tracker_id":4,"status_id":1,"priority_id":1,"assigned_to_id":10,"start_date":"2017-10-06","description":"","custom_fields":[{"id":30,"name":"Category","value":"Issue"},{"id":3,"name":"Functional Component","value":"Onboard"},{"id":31,"name":"Version","value":"N/A"},{"id":8,"name":"Reporting RR","value":"WABTEC"},{"id":27,"name":"Locomotive ID","value":"4001"},{"id":20,"name":"RR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02:56:05"},{"id":29,"name":"Sharepoint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04" s="168" t="str">
        <f t="shared" si="114"/>
        <v>https://d0f6bd738d7f1b3e5a7ca70fe4ff75f0.us-east-1.aws.found.io/app/kibana#/discover/Steve-Slow-Train-Analysis-(2080s-and-2083s)?_g=(refreshInterval:(display:Off,pause:!f,section:0,value:0),time:(from:'2017-10-05T19:27:03-0600',mode:absolute,to:'2017-10-05T21:56:05-0600'))&amp;_a=(columns:!('Message%20ID',Summary),filters:!(),index:'emp_*',interval:auto,query:(query_string:(analyze_wildcard:!t,query:'%22rtdc.l.rtdc.4001%22')),sort:!(Time.ISO8601,asc))</v>
      </c>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row>
    <row r="205" spans="1:91" s="20" customFormat="1" x14ac:dyDescent="0.25">
      <c r="A205" s="32" t="s">
        <v>785</v>
      </c>
      <c r="B205" s="7">
        <v>4002</v>
      </c>
      <c r="C205" s="21" t="s">
        <v>194</v>
      </c>
      <c r="D205" s="21" t="s">
        <v>968</v>
      </c>
      <c r="E205" s="13">
        <v>43013.836863425924</v>
      </c>
      <c r="F205" s="13">
        <v>43013.840266203704</v>
      </c>
      <c r="G205" s="7">
        <v>54</v>
      </c>
      <c r="H205" s="21" t="s">
        <v>469</v>
      </c>
      <c r="I205" s="13">
        <v>43013.850011574075</v>
      </c>
      <c r="J205" s="7">
        <v>0</v>
      </c>
      <c r="K205" s="89" t="str">
        <f t="shared" si="142"/>
        <v>4001/4002</v>
      </c>
      <c r="L205" s="185" t="str">
        <f>VLOOKUP(A205,'Trips&amp;Operators'!$C$1:$G$99911,5,FALSE)</f>
        <v>BIRKHOLZ NADINE</v>
      </c>
      <c r="M205" s="6">
        <f t="shared" si="143"/>
        <v>9.7453703710925765E-3</v>
      </c>
      <c r="N205" s="7">
        <f t="shared" si="137"/>
        <v>14.03333333437331</v>
      </c>
      <c r="O205" s="7"/>
      <c r="P205" s="7"/>
      <c r="Q205" s="22"/>
      <c r="R205" s="174"/>
      <c r="S205" s="221">
        <f t="shared" si="138"/>
        <v>1</v>
      </c>
      <c r="T205" s="174" t="str">
        <f t="shared" si="144"/>
        <v>NorthBound</v>
      </c>
      <c r="U205" s="198">
        <f>IF(AG205="EC",COUNTIFS(Variables!$M$2:$M$19,IF(T205="NorthBound","&gt;=","&lt;=")&amp;Y205,Variables!$M$2:$M$19,IF(T205="NorthBound","&lt;=","&gt;=")&amp;Z205),COUNTIFS(Variables!$P$2:$P$19,IF(T205="NorthBound","&gt;=","&lt;=")&amp;Y205,Variables!$P$2:$P$19,IF(T205="NorthBound","&lt;=","&gt;=")&amp;Z205))</f>
        <v>1</v>
      </c>
      <c r="V205" s="216" t="str">
        <f t="shared" ref="V205:V251" si="148">"https://d0f6bd738d7f1b3e5a7ca70fe4ff75f0.us-east-1.aws.found.io/app/kibana#/discover/Steve-Slow-Train-Analysis-(2080s-and-2083s)?_g="&amp;"(refreshInterval:(display:Off,pause:!f,section:0,value:0),time:(from:'"&amp;TEXT(E205-1/24,"yyyy-MM-DDThh:mm:ss")&amp;utc_offset&amp;"00"&amp;"',mode:absolute,to:'"&amp;TEXT(I205+1/24,"yyyy-MM-DDThh:mm:ss")&amp;utc_offset&amp;"00"&amp;"'))&amp;_a=(columns:!('Locomotive+ID','Data.Head+End+Milepost',Data.Speed,'Data.Locomotive+State','Data.Train+ID',"&amp;"'Data.Warning%2FEnforcement+Type','Data.Target+Start+Milepost','Data.Target+Description','Data.Target+Speed',"&amp;"'Data.Enforcement+Train+Speed','Data.Enforcement+Start+Milepost','Data.Target+Type','Data.Enforcement+Direction+of+Travel','Message+ID',"&amp;"'Data.Body+of+Summary+Text','Data.Head+End+Track+name'),filters:!(),index:'emp_*',interval:auto,query:"&amp;"(query_string:(analyze_wildcard:!t,query:'Message%5C+ID:(2083+OR+2080+OR+1041+OR+2003+OR+1051+OR+1043+OR+1053)+AND+%22rtdc.l.rtdc."&amp;B205&amp;"%22')),sort:!(Time.ISO8601,asc))"</f>
        <v>https://d0f6bd738d7f1b3e5a7ca70fe4ff75f0.us-east-1.aws.found.io/app/kibana#/discover/Steve-Slow-Train-Analysis-(2080s-and-2083s)?_g=(refreshInterval:(display:Off,pause:!f,section:0,value:0),time:(from:'2017-10-05T19:05:05-0600',mode:absolute,to:'2017-10-05T21:24:01-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W205" s="204" t="str">
        <f>IF(AA205&lt;VLOOKUP(AG205,Variables!$AC$3:$AD$8,2,FALSE),"Y","N")</f>
        <v>N</v>
      </c>
      <c r="X205" s="204">
        <f t="shared" si="141"/>
        <v>1</v>
      </c>
      <c r="Y205" s="204">
        <f t="shared" si="139"/>
        <v>9.8100000000000007E-2</v>
      </c>
      <c r="Z205" s="204">
        <f t="shared" si="140"/>
        <v>5.8933</v>
      </c>
      <c r="AA205" s="204">
        <f t="shared" si="145"/>
        <v>5.7952000000000004</v>
      </c>
      <c r="AB205" s="54" t="e">
        <f>VLOOKUP(A205,Enforcements!$C$7:$K$11,8,0)</f>
        <v>#N/A</v>
      </c>
      <c r="AC205" s="51" t="e">
        <f>VLOOKUP(A205,Enforcements!$C$7:$E$11,3,0)</f>
        <v>#N/A</v>
      </c>
      <c r="AD205" s="179">
        <f t="shared" si="146"/>
        <v>843</v>
      </c>
      <c r="AE205" s="77" t="str">
        <f t="shared" ref="AE205:AE251" si="149">"aws s3 cp "&amp;s3_bucket&amp;"/RTDC"&amp;B205&amp;"/ "&amp;search_path&amp;"\RTDC"&amp;B205&amp;"\"&amp;TEXT(F205,"YYYY-MM-DD")&amp;" --exclude ""*"" --recursive --include ""*"&amp;TEXT(F205,"YYYYMMDD")&amp;"*"" &amp; """&amp;walkandungz&amp;""" "&amp;search_path&amp;"\RTDC"&amp;B205&amp;"\"&amp;TEXT(F205,"YYYY-MM-DD")
&amp;" &amp; "&amp;"aws s3 cp "&amp;s3_bucket&amp;"/RTDC"&amp;B205&amp;"/ "&amp;search_path&amp;"\RTDC"&amp;B205&amp;"\"&amp;TEXT(F205+1,"YYYY-MM-DD")&amp;" --exclude ""*"" --recursive --include ""*"&amp;TEXT(F205+1,"YYYYMMDD")&amp;"*"" &amp; """&amp;walkandungz&amp;""" "&amp;search_path&amp;"\RTDC"&amp;B205&amp;"\"&amp;TEXT(F205+1,"YYYY-MM-DD")</f>
        <v>aws s3 cp s3://rtdc.mdm.uploadarchive.raw/RTDC4002/ "%USERPROFILE%\AppData\Local\Temp\OnboardLogs"\RTDC4002\2017-10-05 --exclude "*" --recursive --include "*20171005*" &amp; "%USERPROFILE%\Documents\GitHub\mrs-test-scripts\Headless Mode &amp; Sideloading\WalkAndUnGZ.bat" "%USERPROFILE%\AppData\Local\Temp\OnboardLogs"\RTDC4002\2017-10-05 &amp; aws s3 cp s3://rtdc.mdm.uploadarchive.raw/RTDC4002/ "%USERPROFILE%\AppData\Local\Temp\OnboardLogs"\RTDC4002\2017-10-06 --exclude "*" --recursive --include "*20171006*" &amp; "%USERPROFILE%\Documents\GitHub\mrs-test-scripts\Headless Mode &amp; Sideloading\WalkAndUnGZ.bat" "%USERPROFILE%\AppData\Local\Temp\OnboardLogs"\RTDC4002\2017-10-06</v>
      </c>
      <c r="AF205" s="74" t="str">
        <f t="shared" ref="AF205:AF251" si="150">astrogrep_path&amp;" /e /r /s /spath="&amp;search_path&amp;" /stypes=""app*"&amp;B205&amp;"*"&amp;TEXT(I205-utc_offset/24,"YYYYMMDD")&amp;"*"" /stext="" "&amp;TEXT(I205-utc_offset/24,"HH")&amp;search_regexp&amp;""""</f>
        <v>"C:\Program Files (x86)\AstroGrep\AstroGrep.exe" /e /r /s /spath="%USERPROFILE%\AppData\Local\Temp\OnboardLogs" /stypes="app*4002*20171006*" /stext=" 02:.+((SYSTEM_STATE.+slice.+state.+changed )|(ment ac)|(multiple cpu faults)|(system.+state.+changed )|(\[timeout)|(PRM\|1\|D)|(kpr)|(kdp)|(train st.+moving)|(\|lc)|(penalty))"</v>
      </c>
      <c r="AG205" s="182" t="str">
        <f t="shared" si="147"/>
        <v>NW</v>
      </c>
      <c r="AH205" s="78" t="str">
        <f t="shared" si="110"/>
        <v>"%USERPROFILE%\Documents\GitHub\eaglep3\Utilities\RefineRTDCRunTimes.py" --tripid 843-05 --locoid 4002 --swversion DE.1.0.9.0 --startMP 204:981 --initTime 2017-10-05T20:05:05 --startdatetime 2017-10-05T20:09:59 --delay 54 --endMP 300:58933 --enddatetime 2017-10-05T20:24:01 --enforcementcount 0 &gt;&gt;%USERPROFILE%\Documents\GitHub\eaglep3-reporting\EC\2017-10-05-refined-times.txt</v>
      </c>
      <c r="AI205" s="96" t="str">
        <f t="shared" si="111"/>
        <v>echo {"issue":{"subject":"","project_id":79,"tracker_id":40,"status_id":1,"priority_id":2,"assigned_to_id":338,"start_date":"2017-10-05","description":"","custom_fields":[{"id":1,"name":"Subdivision","value":"NW"},{"id":4,"name":"Milepost","value":"5.8933"},{"id":17,"name":"Train ID","value":"843-05"},{"id":16,"name":"Locomotive ID","value":"4002"},{"id":130,"name":"Impact","value":""},{"id":150,"name":"Time of Event (Mountain Time)","value":"20:24:01"},{"id":151,"name":"Denver Issue ID","value":""},{"id":178,"name":"Operational Impact","value":"Yes"},{"id":179,"name":"Denver Segment Assigned","value":""}]}} | curl --insecure -X POST -H "Content-Type: application/json" -H "X-Redmine-API-Key: %REDMINEAPIKEY%" https://secure.xorail.net/redmine/issues.json --data @-</v>
      </c>
      <c r="AK205" s="47"/>
      <c r="AL205" s="47"/>
      <c r="AM205" s="142" t="str">
        <f t="shared" si="112"/>
        <v>start /low /b %USERPROFILE%\Documents\GitHub\eaglep3\Utilities\DownloadLogsFromS3.py --loco 4002 --day 2017-10-05</v>
      </c>
      <c r="AN205" s="151" t="str">
        <f t="shared" si="113"/>
        <v>echo {"issue":{"subject":"","project_id":30,"tracker_id":4,"status_id":1,"priority_id":1,"assigned_to_id":10,"start_date":"2017-10-06","description":"","custom_fields":[{"id":30,"name":"Category","value":"Issue"},{"id":3,"name":"Functional Component","value":"Onboard"},{"id":31,"name":"Version","value":"N/A"},{"id":8,"name":"Reporting RR","value":"WABTEC"},{"id":27,"name":"Locomotive ID","value":"4002"},{"id":20,"name":"RR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02:24:01"},{"id":29,"name":"Sharepoint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05" s="168" t="str">
        <f t="shared" si="114"/>
        <v>https://d0f6bd738d7f1b3e5a7ca70fe4ff75f0.us-east-1.aws.found.io/app/kibana#/discover/Steve-Slow-Train-Analysis-(2080s-and-2083s)?_g=(refreshInterval:(display:Off,pause:!f,section:0,value:0),time:(from:'2017-10-05T19:05:05-0600',mode:absolute,to:'2017-10-05T21:24:01-0600'))&amp;_a=(columns:!('Message%20ID',Summary),filters:!(),index:'emp_*',interval:auto,query:(query_string:(analyze_wildcard:!t,query:'%22rtdc.l.rtdc.4002%22')),sort:!(Time.ISO8601,asc))</v>
      </c>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row>
    <row r="206" spans="1:91" s="20" customFormat="1" x14ac:dyDescent="0.25">
      <c r="A206" s="32" t="s">
        <v>794</v>
      </c>
      <c r="B206" s="7">
        <v>4001</v>
      </c>
      <c r="C206" s="21" t="s">
        <v>194</v>
      </c>
      <c r="D206" s="21" t="s">
        <v>557</v>
      </c>
      <c r="E206" s="13">
        <v>43013.892939814818</v>
      </c>
      <c r="F206" s="13">
        <v>43013.905046296299</v>
      </c>
      <c r="G206" s="7">
        <v>72</v>
      </c>
      <c r="H206" s="21" t="s">
        <v>969</v>
      </c>
      <c r="I206" s="13">
        <v>43013.913159722222</v>
      </c>
      <c r="J206" s="7">
        <v>0</v>
      </c>
      <c r="K206" s="89" t="str">
        <f t="shared" si="142"/>
        <v>4001/4002</v>
      </c>
      <c r="L206" s="185" t="str">
        <f>VLOOKUP(A206,'Trips&amp;Operators'!$C$1:$G$99911,5,FALSE)</f>
        <v>ZEWDU DEREJE</v>
      </c>
      <c r="M206" s="6">
        <f t="shared" si="143"/>
        <v>8.1134259235113859E-3</v>
      </c>
      <c r="N206" s="7">
        <f t="shared" si="137"/>
        <v>11.683333329856396</v>
      </c>
      <c r="O206" s="7"/>
      <c r="P206" s="7"/>
      <c r="Q206" s="22"/>
      <c r="R206" s="174"/>
      <c r="S206" s="221">
        <f t="shared" si="138"/>
        <v>1</v>
      </c>
      <c r="T206" s="174" t="str">
        <f t="shared" si="144"/>
        <v>Southbound</v>
      </c>
      <c r="U206" s="198">
        <f>IF(AG206="EC",COUNTIFS(Variables!$M$2:$M$19,IF(T206="NorthBound","&gt;=","&lt;=")&amp;Y206,Variables!$M$2:$M$19,IF(T206="NorthBound","&lt;=","&gt;=")&amp;Z206),COUNTIFS(Variables!$P$2:$P$19,IF(T206="NorthBound","&gt;=","&lt;=")&amp;Y206,Variables!$P$2:$P$19,IF(T206="NorthBound","&lt;=","&gt;=")&amp;Z206))</f>
        <v>1</v>
      </c>
      <c r="V206" s="216" t="str">
        <f t="shared" si="148"/>
        <v>https://d0f6bd738d7f1b3e5a7ca70fe4ff75f0.us-east-1.aws.found.io/app/kibana#/discover/Steve-Slow-Train-Analysis-(2080s-and-2083s)?_g=(refreshInterval:(display:Off,pause:!f,section:0,value:0),time:(from:'2017-10-05T20:25:50-0600',mode:absolute,to:'2017-10-05T22:54:57-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W206" s="204" t="str">
        <f>IF(AA206&lt;VLOOKUP(AG206,Variables!$AC$3:$AD$8,2,FALSE),"Y","N")</f>
        <v>N</v>
      </c>
      <c r="X206" s="204">
        <f t="shared" si="141"/>
        <v>1</v>
      </c>
      <c r="Y206" s="204">
        <f t="shared" si="139"/>
        <v>5.8643000000000001</v>
      </c>
      <c r="Z206" s="204">
        <f t="shared" si="140"/>
        <v>7.1999999999999995E-2</v>
      </c>
      <c r="AA206" s="204">
        <f t="shared" si="145"/>
        <v>5.7923</v>
      </c>
      <c r="AB206" s="54" t="e">
        <f>VLOOKUP(A206,Enforcements!$C$7:$K$11,8,0)</f>
        <v>#N/A</v>
      </c>
      <c r="AC206" s="51" t="e">
        <f>VLOOKUP(A206,Enforcements!$C$7:$E$11,3,0)</f>
        <v>#N/A</v>
      </c>
      <c r="AD206" s="179">
        <f t="shared" si="146"/>
        <v>844</v>
      </c>
      <c r="AE206" s="77" t="str">
        <f t="shared" si="149"/>
        <v>aws s3 cp s3://rtdc.mdm.uploadarchive.raw/RTDC4001/ "%USERPROFILE%\AppData\Local\Temp\OnboardLogs"\RTDC4001\2017-10-05 --exclude "*" --recursive --include "*20171005*" &amp; "%USERPROFILE%\Documents\GitHub\mrs-test-scripts\Headless Mode &amp; Sideloading\WalkAndUnGZ.bat" "%USERPROFILE%\AppData\Local\Temp\OnboardLogs"\RTDC4001\2017-10-05 &amp; aws s3 cp s3://rtdc.mdm.uploadarchive.raw/RTDC4001/ "%USERPROFILE%\AppData\Local\Temp\OnboardLogs"\RTDC4001\2017-10-06 --exclude "*" --recursive --include "*20171006*" &amp; "%USERPROFILE%\Documents\GitHub\mrs-test-scripts\Headless Mode &amp; Sideloading\WalkAndUnGZ.bat" "%USERPROFILE%\AppData\Local\Temp\OnboardLogs"\RTDC4001\2017-10-06</v>
      </c>
      <c r="AF206" s="74" t="str">
        <f t="shared" si="150"/>
        <v>"C:\Program Files (x86)\AstroGrep\AstroGrep.exe" /e /r /s /spath="%USERPROFILE%\AppData\Local\Temp\OnboardLogs" /stypes="app*4001*20171006*" /stext=" 03:.+((SYSTEM_STATE.+slice.+state.+changed )|(ment ac)|(multiple cpu faults)|(system.+state.+changed )|(\[timeout)|(PRM\|1\|D)|(kpr)|(kdp)|(train st.+moving)|(\|lc)|(penalty))"</v>
      </c>
      <c r="AG206" s="182" t="str">
        <f t="shared" si="147"/>
        <v>NW</v>
      </c>
      <c r="AH206" s="78" t="str">
        <f t="shared" si="110"/>
        <v>"%USERPROFILE%\Documents\GitHub\eaglep3\Utilities\RefineRTDCRunTimes.py" --tripid 844-05 --locoid 4001 --swversion DE.1.0.9.0 --startMP 300:58643 --initTime 2017-10-05T21:25:50 --startdatetime 2017-10-05T21:43:16 --delay 72 --endMP 204:720 --enddatetime 2017-10-05T21:54:57 --enforcementcount 0 &gt;&gt;%USERPROFILE%\Documents\GitHub\eaglep3-reporting\EC\2017-10-05-refined-times.txt</v>
      </c>
      <c r="AI206" s="96" t="str">
        <f t="shared" si="111"/>
        <v>echo {"issue":{"subject":"","project_id":79,"tracker_id":40,"status_id":1,"priority_id":2,"assigned_to_id":338,"start_date":"2017-10-05","description":"","custom_fields":[{"id":1,"name":"Subdivision","value":"NW"},{"id":4,"name":"Milepost","value":"0.072"},{"id":17,"name":"Train ID","value":"844-05"},{"id":16,"name":"Locomotive ID","value":"4001"},{"id":130,"name":"Impact","value":""},{"id":150,"name":"Time of Event (Mountain Time)","value":"21:54:57"},{"id":151,"name":"Denver Issue ID","value":""},{"id":178,"name":"Operational Impact","value":"Yes"},{"id":179,"name":"Denver Segment Assigned","value":""}]}} | curl --insecure -X POST -H "Content-Type: application/json" -H "X-Redmine-API-Key: %REDMINEAPIKEY%" https://secure.xorail.net/redmine/issues.json --data @-</v>
      </c>
      <c r="AK206" s="47"/>
      <c r="AL206" s="47"/>
      <c r="AM206" s="142" t="str">
        <f t="shared" si="112"/>
        <v>start /low /b %USERPROFILE%\Documents\GitHub\eaglep3\Utilities\DownloadLogsFromS3.py --loco 4001 --day 2017-10-05</v>
      </c>
      <c r="AN206" s="151" t="str">
        <f t="shared" si="113"/>
        <v>echo {"issue":{"subject":"","project_id":30,"tracker_id":4,"status_id":1,"priority_id":1,"assigned_to_id":10,"start_date":"2017-10-06","description":"","custom_fields":[{"id":30,"name":"Category","value":"Issue"},{"id":3,"name":"Functional Component","value":"Onboard"},{"id":31,"name":"Version","value":"N/A"},{"id":8,"name":"Reporting RR","value":"WABTEC"},{"id":27,"name":"Locomotive ID","value":"4001"},{"id":20,"name":"RR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03:54:57"},{"id":29,"name":"Sharepoint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06" s="168" t="str">
        <f t="shared" si="114"/>
        <v>https://d0f6bd738d7f1b3e5a7ca70fe4ff75f0.us-east-1.aws.found.io/app/kibana#/discover/Steve-Slow-Train-Analysis-(2080s-and-2083s)?_g=(refreshInterval:(display:Off,pause:!f,section:0,value:0),time:(from:'2017-10-05T20:25:50-0600',mode:absolute,to:'2017-10-05T22:54:57-0600'))&amp;_a=(columns:!('Message%20ID',Summary),filters:!(),index:'emp_*',interval:auto,query:(query_string:(analyze_wildcard:!t,query:'%22rtdc.l.rtdc.4001%22')),sort:!(Time.ISO8601,asc))</v>
      </c>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row>
    <row r="207" spans="1:91" s="20" customFormat="1" x14ac:dyDescent="0.25">
      <c r="A207" s="32" t="s">
        <v>791</v>
      </c>
      <c r="B207" s="7">
        <v>4002</v>
      </c>
      <c r="C207" s="21" t="s">
        <v>194</v>
      </c>
      <c r="D207" s="21" t="s">
        <v>560</v>
      </c>
      <c r="E207" s="13">
        <v>43013.875752314816</v>
      </c>
      <c r="F207" s="13">
        <v>43013.881493055553</v>
      </c>
      <c r="G207" s="7">
        <v>85</v>
      </c>
      <c r="H207" s="21" t="s">
        <v>495</v>
      </c>
      <c r="I207" s="13">
        <v>43013.891724537039</v>
      </c>
      <c r="J207" s="7">
        <v>0</v>
      </c>
      <c r="K207" s="89" t="str">
        <f t="shared" si="142"/>
        <v>4001/4002</v>
      </c>
      <c r="L207" s="185" t="str">
        <f>VLOOKUP(A207,'Trips&amp;Operators'!$C$1:$G$99911,5,FALSE)</f>
        <v>ZEWDU DEREJE</v>
      </c>
      <c r="M207" s="6">
        <f t="shared" si="143"/>
        <v>1.0231481486698613E-2</v>
      </c>
      <c r="N207" s="7">
        <f t="shared" si="137"/>
        <v>14.733333340846002</v>
      </c>
      <c r="O207" s="7"/>
      <c r="P207" s="7"/>
      <c r="Q207" s="22"/>
      <c r="R207" s="174"/>
      <c r="S207" s="221">
        <f t="shared" si="138"/>
        <v>1</v>
      </c>
      <c r="T207" s="174" t="str">
        <f t="shared" si="144"/>
        <v>NorthBound</v>
      </c>
      <c r="U207" s="198">
        <f>IF(AG207="EC",COUNTIFS(Variables!$M$2:$M$19,IF(T207="NorthBound","&gt;=","&lt;=")&amp;Y207,Variables!$M$2:$M$19,IF(T207="NorthBound","&lt;=","&gt;=")&amp;Z207),COUNTIFS(Variables!$P$2:$P$19,IF(T207="NorthBound","&gt;=","&lt;=")&amp;Y207,Variables!$P$2:$P$19,IF(T207="NorthBound","&lt;=","&gt;=")&amp;Z207))</f>
        <v>1</v>
      </c>
      <c r="V207" s="216" t="str">
        <f t="shared" si="148"/>
        <v>https://d0f6bd738d7f1b3e5a7ca70fe4ff75f0.us-east-1.aws.found.io/app/kibana#/discover/Steve-Slow-Train-Analysis-(2080s-and-2083s)?_g=(refreshInterval:(display:Off,pause:!f,section:0,value:0),time:(from:'2017-10-05T20:01:05-0600',mode:absolute,to:'2017-10-05T22:24:05-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W207" s="204" t="str">
        <f>IF(AA207&lt;VLOOKUP(AG207,Variables!$AC$3:$AD$8,2,FALSE),"Y","N")</f>
        <v>N</v>
      </c>
      <c r="X207" s="204">
        <f t="shared" si="141"/>
        <v>1</v>
      </c>
      <c r="Y207" s="204">
        <f t="shared" si="139"/>
        <v>9.7900000000000001E-2</v>
      </c>
      <c r="Z207" s="204">
        <f t="shared" si="140"/>
        <v>5.8967000000000001</v>
      </c>
      <c r="AA207" s="204">
        <f t="shared" si="145"/>
        <v>5.7988</v>
      </c>
      <c r="AB207" s="54" t="e">
        <f>VLOOKUP(A207,Enforcements!$C$7:$K$11,8,0)</f>
        <v>#N/A</v>
      </c>
      <c r="AC207" s="51" t="e">
        <f>VLOOKUP(A207,Enforcements!$C$7:$E$11,3,0)</f>
        <v>#N/A</v>
      </c>
      <c r="AD207" s="179">
        <f t="shared" si="146"/>
        <v>845</v>
      </c>
      <c r="AE207" s="77" t="str">
        <f t="shared" si="149"/>
        <v>aws s3 cp s3://rtdc.mdm.uploadarchive.raw/RTDC4002/ "%USERPROFILE%\AppData\Local\Temp\OnboardLogs"\RTDC4002\2017-10-05 --exclude "*" --recursive --include "*20171005*" &amp; "%USERPROFILE%\Documents\GitHub\mrs-test-scripts\Headless Mode &amp; Sideloading\WalkAndUnGZ.bat" "%USERPROFILE%\AppData\Local\Temp\OnboardLogs"\RTDC4002\2017-10-05 &amp; aws s3 cp s3://rtdc.mdm.uploadarchive.raw/RTDC4002/ "%USERPROFILE%\AppData\Local\Temp\OnboardLogs"\RTDC4002\2017-10-06 --exclude "*" --recursive --include "*20171006*" &amp; "%USERPROFILE%\Documents\GitHub\mrs-test-scripts\Headless Mode &amp; Sideloading\WalkAndUnGZ.bat" "%USERPROFILE%\AppData\Local\Temp\OnboardLogs"\RTDC4002\2017-10-06</v>
      </c>
      <c r="AF207" s="74" t="str">
        <f t="shared" si="150"/>
        <v>"C:\Program Files (x86)\AstroGrep\AstroGrep.exe" /e /r /s /spath="%USERPROFILE%\AppData\Local\Temp\OnboardLogs" /stypes="app*4002*20171006*" /stext=" 03:.+((SYSTEM_STATE.+slice.+state.+changed )|(ment ac)|(multiple cpu faults)|(system.+state.+changed )|(\[timeout)|(PRM\|1\|D)|(kpr)|(kdp)|(train st.+moving)|(\|lc)|(penalty))"</v>
      </c>
      <c r="AG207" s="182" t="str">
        <f t="shared" si="147"/>
        <v>NW</v>
      </c>
      <c r="AH207" s="78" t="str">
        <f t="shared" si="110"/>
        <v>"%USERPROFILE%\Documents\GitHub\eaglep3\Utilities\RefineRTDCRunTimes.py" --tripid 845-05 --locoid 4002 --swversion DE.1.0.9.0 --startMP 204:979 --initTime 2017-10-05T21:01:05 --startdatetime 2017-10-05T21:09:21 --delay 85 --endMP 300:58967 --enddatetime 2017-10-05T21:24:05 --enforcementcount 0 &gt;&gt;%USERPROFILE%\Documents\GitHub\eaglep3-reporting\EC\2017-10-05-refined-times.txt</v>
      </c>
      <c r="AI207" s="96" t="str">
        <f t="shared" si="111"/>
        <v>echo {"issue":{"subject":"","project_id":79,"tracker_id":40,"status_id":1,"priority_id":2,"assigned_to_id":338,"start_date":"2017-10-05","description":"","custom_fields":[{"id":1,"name":"Subdivision","value":"NW"},{"id":4,"name":"Milepost","value":"5.8967"},{"id":17,"name":"Train ID","value":"845-05"},{"id":16,"name":"Locomotive ID","value":"4002"},{"id":130,"name":"Impact","value":""},{"id":150,"name":"Time of Event (Mountain Time)","value":"21:24:05"},{"id":151,"name":"Denver Issue ID","value":""},{"id":178,"name":"Operational Impact","value":"Yes"},{"id":179,"name":"Denver Segment Assigned","value":""}]}} | curl --insecure -X POST -H "Content-Type: application/json" -H "X-Redmine-API-Key: %REDMINEAPIKEY%" https://secure.xorail.net/redmine/issues.json --data @-</v>
      </c>
      <c r="AK207" s="47"/>
      <c r="AL207" s="47"/>
      <c r="AM207" s="142" t="str">
        <f t="shared" si="112"/>
        <v>start /low /b %USERPROFILE%\Documents\GitHub\eaglep3\Utilities\DownloadLogsFromS3.py --loco 4002 --day 2017-10-05</v>
      </c>
      <c r="AN207" s="151" t="str">
        <f t="shared" si="113"/>
        <v>echo {"issue":{"subject":"","project_id":30,"tracker_id":4,"status_id":1,"priority_id":1,"assigned_to_id":10,"start_date":"2017-10-06","description":"","custom_fields":[{"id":30,"name":"Category","value":"Issue"},{"id":3,"name":"Functional Component","value":"Onboard"},{"id":31,"name":"Version","value":"N/A"},{"id":8,"name":"Reporting RR","value":"WABTEC"},{"id":27,"name":"Locomotive ID","value":"4002"},{"id":20,"name":"RR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03:24:05"},{"id":29,"name":"Sharepoint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07" s="168" t="str">
        <f t="shared" si="114"/>
        <v>https://d0f6bd738d7f1b3e5a7ca70fe4ff75f0.us-east-1.aws.found.io/app/kibana#/discover/Steve-Slow-Train-Analysis-(2080s-and-2083s)?_g=(refreshInterval:(display:Off,pause:!f,section:0,value:0),time:(from:'2017-10-05T20:01:05-0600',mode:absolute,to:'2017-10-05T22:24:05-0600'))&amp;_a=(columns:!('Message%20ID',Summary),filters:!(),index:'emp_*',interval:auto,query:(query_string:(analyze_wildcard:!t,query:'%22rtdc.l.rtdc.4002%22')),sort:!(Time.ISO8601,asc))</v>
      </c>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row>
    <row r="208" spans="1:91" s="20" customFormat="1" x14ac:dyDescent="0.25">
      <c r="A208" s="32" t="s">
        <v>800</v>
      </c>
      <c r="B208" s="7">
        <v>4001</v>
      </c>
      <c r="C208" s="21" t="s">
        <v>194</v>
      </c>
      <c r="D208" s="21" t="s">
        <v>564</v>
      </c>
      <c r="E208" s="13">
        <v>43013.934513888889</v>
      </c>
      <c r="F208" s="13">
        <v>43013.946550925924</v>
      </c>
      <c r="G208" s="7">
        <v>58</v>
      </c>
      <c r="H208" s="21" t="s">
        <v>966</v>
      </c>
      <c r="I208" s="13">
        <v>43013.954791666663</v>
      </c>
      <c r="J208" s="7">
        <v>0</v>
      </c>
      <c r="K208" s="89" t="str">
        <f t="shared" si="142"/>
        <v>4001/4002</v>
      </c>
      <c r="L208" s="185" t="str">
        <f>VLOOKUP(A208,'Trips&amp;Operators'!$C$1:$G$99911,5,FALSE)</f>
        <v>ZEWDU DEREJE</v>
      </c>
      <c r="M208" s="6">
        <f t="shared" si="143"/>
        <v>8.2407407389837317E-3</v>
      </c>
      <c r="N208" s="7">
        <f t="shared" si="137"/>
        <v>11.866666664136574</v>
      </c>
      <c r="O208" s="7"/>
      <c r="P208" s="7"/>
      <c r="Q208" s="22"/>
      <c r="R208" s="174"/>
      <c r="S208" s="221">
        <f t="shared" si="138"/>
        <v>1</v>
      </c>
      <c r="T208" s="174" t="str">
        <f t="shared" si="144"/>
        <v>Southbound</v>
      </c>
      <c r="U208" s="198">
        <f>IF(AG208="EC",COUNTIFS(Variables!$M$2:$M$19,IF(T208="NorthBound","&gt;=","&lt;=")&amp;Y208,Variables!$M$2:$M$19,IF(T208="NorthBound","&lt;=","&gt;=")&amp;Z208),COUNTIFS(Variables!$P$2:$P$19,IF(T208="NorthBound","&gt;=","&lt;=")&amp;Y208,Variables!$P$2:$P$19,IF(T208="NorthBound","&lt;=","&gt;=")&amp;Z208))</f>
        <v>1</v>
      </c>
      <c r="V208" s="216" t="str">
        <f t="shared" si="148"/>
        <v>https://d0f6bd738d7f1b3e5a7ca70fe4ff75f0.us-east-1.aws.found.io/app/kibana#/discover/Steve-Slow-Train-Analysis-(2080s-and-2083s)?_g=(refreshInterval:(display:Off,pause:!f,section:0,value:0),time:(from:'2017-10-05T21:25:42-0600',mode:absolute,to:'2017-10-05T23:54:54-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W208" s="204" t="str">
        <f>IF(AA208&lt;VLOOKUP(AG208,Variables!$AC$3:$AD$8,2,FALSE),"Y","N")</f>
        <v>N</v>
      </c>
      <c r="X208" s="204">
        <f t="shared" si="141"/>
        <v>1</v>
      </c>
      <c r="Y208" s="204">
        <f t="shared" si="139"/>
        <v>5.8647</v>
      </c>
      <c r="Z208" s="204">
        <f t="shared" si="140"/>
        <v>7.0499999999999993E-2</v>
      </c>
      <c r="AA208" s="204">
        <f t="shared" si="145"/>
        <v>5.7942</v>
      </c>
      <c r="AB208" s="54" t="e">
        <f>VLOOKUP(A208,Enforcements!$C$7:$K$11,8,0)</f>
        <v>#N/A</v>
      </c>
      <c r="AC208" s="51" t="e">
        <f>VLOOKUP(A208,Enforcements!$C$7:$E$11,3,0)</f>
        <v>#N/A</v>
      </c>
      <c r="AD208" s="179">
        <f t="shared" si="146"/>
        <v>846</v>
      </c>
      <c r="AE208" s="77" t="str">
        <f t="shared" si="149"/>
        <v>aws s3 cp s3://rtdc.mdm.uploadarchive.raw/RTDC4001/ "%USERPROFILE%\AppData\Local\Temp\OnboardLogs"\RTDC4001\2017-10-05 --exclude "*" --recursive --include "*20171005*" &amp; "%USERPROFILE%\Documents\GitHub\mrs-test-scripts\Headless Mode &amp; Sideloading\WalkAndUnGZ.bat" "%USERPROFILE%\AppData\Local\Temp\OnboardLogs"\RTDC4001\2017-10-05 &amp; aws s3 cp s3://rtdc.mdm.uploadarchive.raw/RTDC4001/ "%USERPROFILE%\AppData\Local\Temp\OnboardLogs"\RTDC4001\2017-10-06 --exclude "*" --recursive --include "*20171006*" &amp; "%USERPROFILE%\Documents\GitHub\mrs-test-scripts\Headless Mode &amp; Sideloading\WalkAndUnGZ.bat" "%USERPROFILE%\AppData\Local\Temp\OnboardLogs"\RTDC4001\2017-10-06</v>
      </c>
      <c r="AF208" s="74" t="str">
        <f t="shared" si="150"/>
        <v>"C:\Program Files (x86)\AstroGrep\AstroGrep.exe" /e /r /s /spath="%USERPROFILE%\AppData\Local\Temp\OnboardLogs" /stypes="app*4001*20171006*" /stext=" 04:.+((SYSTEM_STATE.+slice.+state.+changed )|(ment ac)|(multiple cpu faults)|(system.+state.+changed )|(\[timeout)|(PRM\|1\|D)|(kpr)|(kdp)|(train st.+moving)|(\|lc)|(penalty))"</v>
      </c>
      <c r="AG208" s="182" t="str">
        <f t="shared" si="147"/>
        <v>NW</v>
      </c>
      <c r="AH208" s="78" t="str">
        <f t="shared" si="110"/>
        <v>"%USERPROFILE%\Documents\GitHub\eaglep3\Utilities\RefineRTDCRunTimes.py" --tripid 846-05 --locoid 4001 --swversion DE.1.0.9.0 --startMP 300:58647 --initTime 2017-10-05T22:25:42 --startdatetime 2017-10-05T22:43:02 --delay 58 --endMP 204:705 --enddatetime 2017-10-05T22:54:54 --enforcementcount 0 &gt;&gt;%USERPROFILE%\Documents\GitHub\eaglep3-reporting\EC\2017-10-05-refined-times.txt</v>
      </c>
      <c r="AI208" s="96" t="str">
        <f t="shared" si="111"/>
        <v>echo {"issue":{"subject":"","project_id":79,"tracker_id":40,"status_id":1,"priority_id":2,"assigned_to_id":338,"start_date":"2017-10-05","description":"","custom_fields":[{"id":1,"name":"Subdivision","value":"NW"},{"id":4,"name":"Milepost","value":"0.0705"},{"id":17,"name":"Train ID","value":"846-05"},{"id":16,"name":"Locomotive ID","value":"4001"},{"id":130,"name":"Impact","value":""},{"id":150,"name":"Time of Event (Mountain Time)","value":"22:54:54"},{"id":151,"name":"Denver Issue ID","value":""},{"id":178,"name":"Operational Impact","value":"Yes"},{"id":179,"name":"Denver Segment Assigned","value":""}]}} | curl --insecure -X POST -H "Content-Type: application/json" -H "X-Redmine-API-Key: %REDMINEAPIKEY%" https://secure.xorail.net/redmine/issues.json --data @-</v>
      </c>
      <c r="AK208" s="47"/>
      <c r="AL208" s="47"/>
      <c r="AM208" s="142" t="str">
        <f t="shared" si="112"/>
        <v>start /low /b %USERPROFILE%\Documents\GitHub\eaglep3\Utilities\DownloadLogsFromS3.py --loco 4001 --day 2017-10-05</v>
      </c>
      <c r="AN208" s="151" t="str">
        <f t="shared" si="113"/>
        <v>echo {"issue":{"subject":"","project_id":30,"tracker_id":4,"status_id":1,"priority_id":1,"assigned_to_id":10,"start_date":"2017-10-06","description":"","custom_fields":[{"id":30,"name":"Category","value":"Issue"},{"id":3,"name":"Functional Component","value":"Onboard"},{"id":31,"name":"Version","value":"N/A"},{"id":8,"name":"Reporting RR","value":"WABTEC"},{"id":27,"name":"Locomotive ID","value":"4001"},{"id":20,"name":"RR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04:54:54"},{"id":29,"name":"Sharepoint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08" s="168" t="str">
        <f t="shared" si="114"/>
        <v>https://d0f6bd738d7f1b3e5a7ca70fe4ff75f0.us-east-1.aws.found.io/app/kibana#/discover/Steve-Slow-Train-Analysis-(2080s-and-2083s)?_g=(refreshInterval:(display:Off,pause:!f,section:0,value:0),time:(from:'2017-10-05T21:25:42-0600',mode:absolute,to:'2017-10-05T23:54:54-0600'))&amp;_a=(columns:!('Message%20ID',Summary),filters:!(),index:'emp_*',interval:auto,query:(query_string:(analyze_wildcard:!t,query:'%22rtdc.l.rtdc.4001%22')),sort:!(Time.ISO8601,asc))</v>
      </c>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row>
    <row r="209" spans="1:91" s="20" customFormat="1" x14ac:dyDescent="0.25">
      <c r="A209" s="32" t="s">
        <v>797</v>
      </c>
      <c r="B209" s="7">
        <v>4002</v>
      </c>
      <c r="C209" s="21" t="s">
        <v>194</v>
      </c>
      <c r="D209" s="21" t="s">
        <v>970</v>
      </c>
      <c r="E209" s="13">
        <v>43013.914687500001</v>
      </c>
      <c r="F209" s="13">
        <v>43013.923148148147</v>
      </c>
      <c r="G209" s="7">
        <v>114</v>
      </c>
      <c r="H209" s="21" t="s">
        <v>971</v>
      </c>
      <c r="I209" s="13">
        <v>43013.932835648149</v>
      </c>
      <c r="J209" s="7">
        <v>0</v>
      </c>
      <c r="K209" s="89" t="str">
        <f t="shared" si="142"/>
        <v>4001/4002</v>
      </c>
      <c r="L209" s="185" t="str">
        <f>VLOOKUP(A209,'Trips&amp;Operators'!$C$1:$G$99911,5,FALSE)</f>
        <v>ZEWDU DEREJE</v>
      </c>
      <c r="M209" s="6">
        <f t="shared" si="143"/>
        <v>9.6875000017462298E-3</v>
      </c>
      <c r="N209" s="7">
        <f t="shared" si="137"/>
        <v>13.950000002514571</v>
      </c>
      <c r="O209" s="7"/>
      <c r="P209" s="7"/>
      <c r="Q209" s="22"/>
      <c r="R209" s="174"/>
      <c r="S209" s="221">
        <f t="shared" si="138"/>
        <v>1</v>
      </c>
      <c r="T209" s="174" t="str">
        <f t="shared" si="144"/>
        <v>NorthBound</v>
      </c>
      <c r="U209" s="198">
        <f>IF(AG209="EC",COUNTIFS(Variables!$M$2:$M$19,IF(T209="NorthBound","&gt;=","&lt;=")&amp;Y209,Variables!$M$2:$M$19,IF(T209="NorthBound","&lt;=","&gt;=")&amp;Z209),COUNTIFS(Variables!$P$2:$P$19,IF(T209="NorthBound","&gt;=","&lt;=")&amp;Y209,Variables!$P$2:$P$19,IF(T209="NorthBound","&lt;=","&gt;=")&amp;Z209))</f>
        <v>1</v>
      </c>
      <c r="V209" s="216" t="str">
        <f t="shared" si="148"/>
        <v>https://d0f6bd738d7f1b3e5a7ca70fe4ff75f0.us-east-1.aws.found.io/app/kibana#/discover/Steve-Slow-Train-Analysis-(2080s-and-2083s)?_g=(refreshInterval:(display:Off,pause:!f,section:0,value:0),time:(from:'2017-10-05T20:57:09-0600',mode:absolute,to:'2017-10-05T23:23:17-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W209" s="204" t="str">
        <f>IF(AA209&lt;VLOOKUP(AG209,Variables!$AC$3:$AD$8,2,FALSE),"Y","N")</f>
        <v>N</v>
      </c>
      <c r="X209" s="204">
        <f t="shared" si="141"/>
        <v>1</v>
      </c>
      <c r="Y209" s="204">
        <f t="shared" si="139"/>
        <v>0.1013</v>
      </c>
      <c r="Z209" s="204">
        <f t="shared" si="140"/>
        <v>5.8971</v>
      </c>
      <c r="AA209" s="204">
        <f t="shared" si="145"/>
        <v>5.7957999999999998</v>
      </c>
      <c r="AB209" s="54" t="e">
        <f>VLOOKUP(A209,Enforcements!$C$7:$K$11,8,0)</f>
        <v>#N/A</v>
      </c>
      <c r="AC209" s="51" t="e">
        <f>VLOOKUP(A209,Enforcements!$C$7:$E$11,3,0)</f>
        <v>#N/A</v>
      </c>
      <c r="AD209" s="179">
        <f t="shared" si="146"/>
        <v>847</v>
      </c>
      <c r="AE209" s="77" t="str">
        <f t="shared" si="149"/>
        <v>aws s3 cp s3://rtdc.mdm.uploadarchive.raw/RTDC4002/ "%USERPROFILE%\AppData\Local\Temp\OnboardLogs"\RTDC4002\2017-10-05 --exclude "*" --recursive --include "*20171005*" &amp; "%USERPROFILE%\Documents\GitHub\mrs-test-scripts\Headless Mode &amp; Sideloading\WalkAndUnGZ.bat" "%USERPROFILE%\AppData\Local\Temp\OnboardLogs"\RTDC4002\2017-10-05 &amp; aws s3 cp s3://rtdc.mdm.uploadarchive.raw/RTDC4002/ "%USERPROFILE%\AppData\Local\Temp\OnboardLogs"\RTDC4002\2017-10-06 --exclude "*" --recursive --include "*20171006*" &amp; "%USERPROFILE%\Documents\GitHub\mrs-test-scripts\Headless Mode &amp; Sideloading\WalkAndUnGZ.bat" "%USERPROFILE%\AppData\Local\Temp\OnboardLogs"\RTDC4002\2017-10-06</v>
      </c>
      <c r="AF209" s="74" t="str">
        <f t="shared" si="150"/>
        <v>"C:\Program Files (x86)\AstroGrep\AstroGrep.exe" /e /r /s /spath="%USERPROFILE%\AppData\Local\Temp\OnboardLogs" /stypes="app*4002*20171006*" /stext=" 04:.+((SYSTEM_STATE.+slice.+state.+changed )|(ment ac)|(multiple cpu faults)|(system.+state.+changed )|(\[timeout)|(PRM\|1\|D)|(kpr)|(kdp)|(train st.+moving)|(\|lc)|(penalty))"</v>
      </c>
      <c r="AG209" s="182" t="str">
        <f t="shared" si="147"/>
        <v>NW</v>
      </c>
      <c r="AH209" s="78" t="str">
        <f t="shared" si="110"/>
        <v>"%USERPROFILE%\Documents\GitHub\eaglep3\Utilities\RefineRTDCRunTimes.py" --tripid 847-05 --locoid 4002 --swversion DE.1.0.9.0 --startMP 204:1013 --initTime 2017-10-05T21:57:09 --startdatetime 2017-10-05T22:09:20 --delay 114 --endMP 300:58971 --enddatetime 2017-10-05T22:23:17 --enforcementcount 0 &gt;&gt;%USERPROFILE%\Documents\GitHub\eaglep3-reporting\EC\2017-10-05-refined-times.txt</v>
      </c>
      <c r="AI209" s="96" t="str">
        <f t="shared" si="111"/>
        <v>echo {"issue":{"subject":"","project_id":79,"tracker_id":40,"status_id":1,"priority_id":2,"assigned_to_id":338,"start_date":"2017-10-05","description":"","custom_fields":[{"id":1,"name":"Subdivision","value":"NW"},{"id":4,"name":"Milepost","value":"5.8971"},{"id":17,"name":"Train ID","value":"847-05"},{"id":16,"name":"Locomotive ID","value":"4002"},{"id":130,"name":"Impact","value":""},{"id":150,"name":"Time of Event (Mountain Time)","value":"22:23:17"},{"id":151,"name":"Denver Issue ID","value":""},{"id":178,"name":"Operational Impact","value":"Yes"},{"id":179,"name":"Denver Segment Assigned","value":""}]}} | curl --insecure -X POST -H "Content-Type: application/json" -H "X-Redmine-API-Key: %REDMINEAPIKEY%" https://secure.xorail.net/redmine/issues.json --data @-</v>
      </c>
      <c r="AK209" s="47"/>
      <c r="AL209" s="47"/>
      <c r="AM209" s="142" t="str">
        <f t="shared" si="112"/>
        <v>start /low /b %USERPROFILE%\Documents\GitHub\eaglep3\Utilities\DownloadLogsFromS3.py --loco 4002 --day 2017-10-05</v>
      </c>
      <c r="AN209" s="151" t="str">
        <f t="shared" si="113"/>
        <v>echo {"issue":{"subject":"","project_id":30,"tracker_id":4,"status_id":1,"priority_id":1,"assigned_to_id":10,"start_date":"2017-10-06","description":"","custom_fields":[{"id":30,"name":"Category","value":"Issue"},{"id":3,"name":"Functional Component","value":"Onboard"},{"id":31,"name":"Version","value":"N/A"},{"id":8,"name":"Reporting RR","value":"WABTEC"},{"id":27,"name":"Locomotive ID","value":"4002"},{"id":20,"name":"RR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04:23:17"},{"id":29,"name":"Sharepoint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09" s="168" t="str">
        <f t="shared" si="114"/>
        <v>https://d0f6bd738d7f1b3e5a7ca70fe4ff75f0.us-east-1.aws.found.io/app/kibana#/discover/Steve-Slow-Train-Analysis-(2080s-and-2083s)?_g=(refreshInterval:(display:Off,pause:!f,section:0,value:0),time:(from:'2017-10-05T20:57:09-0600',mode:absolute,to:'2017-10-05T23:23:17-0600'))&amp;_a=(columns:!('Message%20ID',Summary),filters:!(),index:'emp_*',interval:auto,query:(query_string:(analyze_wildcard:!t,query:'%22rtdc.l.rtdc.4002%22')),sort:!(Time.ISO8601,asc))</v>
      </c>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row>
    <row r="210" spans="1:91" s="20" customFormat="1" x14ac:dyDescent="0.25">
      <c r="A210" s="32" t="s">
        <v>617</v>
      </c>
      <c r="B210" s="7">
        <v>4002</v>
      </c>
      <c r="C210" s="21" t="s">
        <v>194</v>
      </c>
      <c r="D210" s="21" t="s">
        <v>560</v>
      </c>
      <c r="E210" s="13">
        <v>43013.958414351851</v>
      </c>
      <c r="F210" s="13">
        <v>43013.964872685188</v>
      </c>
      <c r="G210" s="7">
        <v>57</v>
      </c>
      <c r="H210" s="21" t="s">
        <v>972</v>
      </c>
      <c r="I210" s="13">
        <v>43013.974826388891</v>
      </c>
      <c r="J210" s="7">
        <v>0</v>
      </c>
      <c r="K210" s="89" t="str">
        <f t="shared" si="142"/>
        <v>4001/4002</v>
      </c>
      <c r="L210" s="185" t="str">
        <f>VLOOKUP(A210,'Trips&amp;Operators'!$C$1:$G$99911,5,FALSE)</f>
        <v>ZEWDU DEREJE</v>
      </c>
      <c r="M210" s="6">
        <f t="shared" si="143"/>
        <v>9.9537037021946162E-3</v>
      </c>
      <c r="N210" s="7">
        <f t="shared" si="137"/>
        <v>14.333333331160247</v>
      </c>
      <c r="O210" s="7"/>
      <c r="P210" s="7"/>
      <c r="Q210" s="22"/>
      <c r="R210" s="174"/>
      <c r="S210" s="221">
        <f t="shared" si="138"/>
        <v>1</v>
      </c>
      <c r="T210" s="174" t="str">
        <f t="shared" si="144"/>
        <v>NorthBound</v>
      </c>
      <c r="U210" s="198">
        <f>IF(AG210="EC",COUNTIFS(Variables!$M$2:$M$19,IF(T210="NorthBound","&gt;=","&lt;=")&amp;Y210,Variables!$M$2:$M$19,IF(T210="NorthBound","&lt;=","&gt;=")&amp;Z210),COUNTIFS(Variables!$P$2:$P$19,IF(T210="NorthBound","&gt;=","&lt;=")&amp;Y210,Variables!$P$2:$P$19,IF(T210="NorthBound","&lt;=","&gt;=")&amp;Z210))</f>
        <v>1</v>
      </c>
      <c r="V210" s="216" t="str">
        <f t="shared" si="148"/>
        <v>https://d0f6bd738d7f1b3e5a7ca70fe4ff75f0.us-east-1.aws.found.io/app/kibana#/discover/Steve-Slow-Train-Analysis-(2080s-and-2083s)?_g=(refreshInterval:(display:Off,pause:!f,section:0,value:0),time:(from:'2017-10-05T22:00:07-0600',mode:absolute,to:'2017-10-06T00:23:45-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W210" s="204" t="str">
        <f>IF(AA210&lt;VLOOKUP(AG210,Variables!$AC$3:$AD$8,2,FALSE),"Y","N")</f>
        <v>N</v>
      </c>
      <c r="X210" s="204">
        <f t="shared" si="141"/>
        <v>2</v>
      </c>
      <c r="Y210" s="204">
        <f t="shared" si="139"/>
        <v>9.7900000000000001E-2</v>
      </c>
      <c r="Z210" s="204">
        <f t="shared" si="140"/>
        <v>5.8986000000000001</v>
      </c>
      <c r="AA210" s="204">
        <f t="shared" si="145"/>
        <v>5.8007</v>
      </c>
      <c r="AB210" s="54" t="e">
        <f>VLOOKUP(A210,Enforcements!$C$7:$K$11,8,0)</f>
        <v>#N/A</v>
      </c>
      <c r="AC210" s="51" t="e">
        <f>VLOOKUP(A210,Enforcements!$C$7:$E$11,3,0)</f>
        <v>#N/A</v>
      </c>
      <c r="AD210" s="179">
        <f t="shared" si="146"/>
        <v>849</v>
      </c>
      <c r="AE210" s="77" t="str">
        <f t="shared" si="149"/>
        <v>aws s3 cp s3://rtdc.mdm.uploadarchive.raw/RTDC4002/ "%USERPROFILE%\AppData\Local\Temp\OnboardLogs"\RTDC4002\2017-10-05 --exclude "*" --recursive --include "*20171005*" &amp; "%USERPROFILE%\Documents\GitHub\mrs-test-scripts\Headless Mode &amp; Sideloading\WalkAndUnGZ.bat" "%USERPROFILE%\AppData\Local\Temp\OnboardLogs"\RTDC4002\2017-10-05 &amp; aws s3 cp s3://rtdc.mdm.uploadarchive.raw/RTDC4002/ "%USERPROFILE%\AppData\Local\Temp\OnboardLogs"\RTDC4002\2017-10-06 --exclude "*" --recursive --include "*20171006*" &amp; "%USERPROFILE%\Documents\GitHub\mrs-test-scripts\Headless Mode &amp; Sideloading\WalkAndUnGZ.bat" "%USERPROFILE%\AppData\Local\Temp\OnboardLogs"\RTDC4002\2017-10-06</v>
      </c>
      <c r="AF210" s="74" t="str">
        <f t="shared" si="150"/>
        <v>"C:\Program Files (x86)\AstroGrep\AstroGrep.exe" /e /r /s /spath="%USERPROFILE%\AppData\Local\Temp\OnboardLogs" /stypes="app*4002*20171006*" /stext=" 05:.+((SYSTEM_STATE.+slice.+state.+changed )|(ment ac)|(multiple cpu faults)|(system.+state.+changed )|(\[timeout)|(PRM\|1\|D)|(kpr)|(kdp)|(train st.+moving)|(\|lc)|(penalty))"</v>
      </c>
      <c r="AG210" s="182" t="str">
        <f t="shared" si="147"/>
        <v>NW</v>
      </c>
      <c r="AH210" s="78" t="str">
        <f t="shared" ref="AH210:AH251" si="151">refinertdcruntimes&amp;" --tripid "&amp;A210&amp;" --locoid "&amp;B210&amp;" --swversion "&amp;C210&amp;" --startMP "&amp;D210&amp;" --initTime "&amp;TEXT(E210,"yyyy-mm-ddTHH:MM:SS")&amp;" --startdatetime "&amp;TEXT(F210,"yyyy-mm-ddTHH:MM:SS")&amp;" --delay "&amp;G210&amp;" --endMP "&amp;H210&amp;" --enddatetime "&amp;TEXT(I210,"yyyy-mm-ddTHH:MM:SS")&amp;" --enforcementcount "&amp;J210&amp;IF(outputrefinedruntimes," &gt;&gt;"&amp;RefinedRTDCRunTimesOutputFile,"")</f>
        <v>"%USERPROFILE%\Documents\GitHub\eaglep3\Utilities\RefineRTDCRunTimes.py" --tripid 849-05 --locoid 4002 --swversion DE.1.0.9.0 --startMP 204:979 --initTime 2017-10-05T23:00:07 --startdatetime 2017-10-05T23:09:25 --delay 57 --endMP 300:58986 --enddatetime 2017-10-05T23:23:45 --enforcementcount 0 &gt;&gt;%USERPROFILE%\Documents\GitHub\eaglep3-reporting\EC\2017-10-05-refined-times.txt</v>
      </c>
      <c r="AI210" s="96" t="str">
        <f t="shared" ref="AI210:AI251" si="152">"echo {""issue"":{""subject"":"""&amp;R210&amp;""",""project_id"":79,""tracker_id"":40,""status_id"":"&amp;redmine_status&amp;",""priority_id"":"&amp;redmine_priority&amp;",""assigned_to_id"":"&amp;redmine_assignee&amp;",""start_date"":"""&amp;TEXT(I210,"YYYY-mm-dd")&amp;""",""description"":"""&amp;AJ210&amp;""",""custom_fields"":[{""id"":1,""name"":""Subdivision"",""value"":"""&amp;AG210&amp;"""},{""id"":4,""name"":""Milepost"",""value"":"""&amp;Z210&amp;"""},{""id"":17,""name"":""Train ID"",""value"":"""&amp;A210&amp;"""},{""id"":16,""name"":""Locomotive ID"",""value"":"""&amp;B210&amp;"""},{""id"":130,""name"":""Impact"",""value"":"""&amp;AK210&amp;"""},{""id"":150,""name"":""Time of Event (Mountain Time)"",""value"":"""&amp;TEXT(I210,"hh:mm:ss")&amp;"""},{""id"":151,""name"":""Denver Issue ID"",""value"":"""&amp;"""},{""id"":178,""name"":""Operational Impact"",""value"":"""&amp;redmine_op_impact&amp;"""},{""id"":179,""name"":""Denver Segment Assigned"",""value"":"""&amp;AL210&amp;"""}]}}"&amp;" | curl --insecure -X POST -H ""Content-Type: application/json"" -H ""X-Redmine-API-Key: "&amp;redm_api_key&amp;""" "&amp;redm_url&amp;" --data @-"</f>
        <v>echo {"issue":{"subject":"","project_id":79,"tracker_id":40,"status_id":1,"priority_id":2,"assigned_to_id":338,"start_date":"2017-10-05","description":"","custom_fields":[{"id":1,"name":"Subdivision","value":"NW"},{"id":4,"name":"Milepost","value":"5.8986"},{"id":17,"name":"Train ID","value":"849-05"},{"id":16,"name":"Locomotive ID","value":"4002"},{"id":130,"name":"Impact","value":""},{"id":150,"name":"Time of Event (Mountain Time)","value":"23:23:45"},{"id":151,"name":"Denver Issue ID","value":""},{"id":178,"name":"Operational Impact","value":"Yes"},{"id":179,"name":"Denver Segment Assigned","value":""}]}} | curl --insecure -X POST -H "Content-Type: application/json" -H "X-Redmine-API-Key: %REDMINEAPIKEY%" https://secure.xorail.net/redmine/issues.json --data @-</v>
      </c>
      <c r="AK210" s="47"/>
      <c r="AL210" s="47"/>
      <c r="AM210" s="142" t="str">
        <f t="shared" ref="AM210:AM251" si="153">"start /low /b "&amp;dls3logs&amp;" --loco "&amp;B210&amp;" --day "&amp;TEXT(F210,"YYYY-MM-DD")</f>
        <v>start /low /b %USERPROFILE%\Documents\GitHub\eaglep3\Utilities\DownloadLogsFromS3.py --loco 4002 --day 2017-10-05</v>
      </c>
      <c r="AN210" s="151" t="str">
        <f t="shared" ref="AN210:AN251" si="154">"echo {""issue"":{""subject"":"""&amp;R210&amp;""",""project_id"":30,""tracker_id"":4,""status_id"":"&amp;redmine_status_wcr&amp;",""priority_id"":"&amp;redmine_priority_wcr&amp;",""assigned_to_id"":"&amp;redmine_assignee_wcr&amp;",""start_date"":"""&amp;TEXT(I210-utc_offset/24,"YYYY-mm-dd")&amp;""",""description"":"""&amp;AJ210&amp;""",""custom_fields"":[{""id"":30,""name"":""Category"",""value"":""Issue""},{""id"":3,""name"":""Functional Component"",""value"":""Onboard""},{""id"":31,""name"":""Version"",""value"":""N/A""},{""id"":8,""name"":""Reporting RR"",""value"":""WABTEC""},{""id"":27,""name"":""Locomotive ID"",""value"":"""&amp;B210&amp;"""},{""id"":20,""name"":""RR Requested Build"",""value"":""""},{""id"":1,""name"":""Build Request Notes"",""value"":"""&amp;"""},{""id"":9,""name"":""RR Assessed Issue Severity"",""value"":""4-Minor""},{""id"":10,""name"":""RR Severity Justification"",""value"":""test RR Severity Justification""}"&amp;",{""id"":11,""name"":""Wabtec Assessed Severity"",""value"":""""}"&amp;",{""id"":12,""name"":""Wabtec Severity Justification"",""value"":""""}"&amp;",{""id"":18,""name"":""RR Assessed Safety Criticality"",""value"":""Not Safety Related""}"&amp;",{""id"":19,""name"":""RR Criticality Justification"",""value"":""test RR Criticality Justification""}"&amp;",{""id"":22,""name"":""WRE Assessed Safety Critical"",""value"":""""}"&amp;",{""id"":23,""name"":""WRE Criticality Justification"",""value"":""""}"&amp;",{""id"":24,""name"":""Customer's Tracking Number"",""value"":""""}"&amp;",{""id"":28,""name"":""Date \u0026 Time of event UTC"",""value"":"""&amp;TEXT(I210-utc_offset/24,"YYYY-MM-DD hh:mm:ss")&amp;"""}"&amp;",{""id"":29,""name"":""Sharepoint Issue ID"",""value"":""""}"&amp;",{""id"":25,""name"":""Customer's Email Address"",""value"":""stu@wabtec.com""}"&amp;",{""id"":33,""name"":""Customer Call Back Number"",""value"":""904-316-8563""}"&amp;",{""id"":34,""name"":""Customer Name"",""value"":""Steve Tu""}"&amp;",{""id"":55,""name"":""WRE CR#"",""value"":""""}"&amp;",{""id"":57,""name"":""Reclassify Severity"",""value"":""""}"&amp;",{""id"":58,""name"":""Reclassify Safety"",""value"":""""}"&amp;",{""id"":59,""name"":""Environment "",""value"":""Production""}"&amp;"]}}"&amp;" | curl --insecure -X POST -H ""Content-Type: application/json"" -H ""X-Redmine-API-Key: "&amp;redmine_api_wcr&amp;""" "&amp;redmine_url_wcr&amp;" --data @-"</f>
        <v>echo {"issue":{"subject":"","project_id":30,"tracker_id":4,"status_id":1,"priority_id":1,"assigned_to_id":10,"start_date":"2017-10-06","description":"","custom_fields":[{"id":30,"name":"Category","value":"Issue"},{"id":3,"name":"Functional Component","value":"Onboard"},{"id":31,"name":"Version","value":"N/A"},{"id":8,"name":"Reporting RR","value":"WABTEC"},{"id":27,"name":"Locomotive ID","value":"4002"},{"id":20,"name":"RR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05:23:45"},{"id":29,"name":"Sharepoint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10" s="168" t="str">
        <f t="shared" ref="AO210:AO251" si="155">"https://d0f6bd738d7f1b3e5a7ca70fe4ff75f0.us-east-1.aws.found.io/app/kibana#/discover/Steve-Slow-Train-Analysis-(2080s-and-2083s)?_g="&amp;"(refreshInterval:(display:Off,pause:!f,section:0,value:0),time:(from:'"&amp;TEXT(E210-1/24,"yyyy-MM-DDThh:mm:ss")&amp;utc_offset&amp;"00"&amp;"',mode:absolute,to:'"&amp;TEXT(I210+1/24,"yyyy-MM-DDThh:mm:ss")&amp;utc_offset&amp;"00"&amp;"'))&amp;_a=(columns:!('Message%20ID',Summary),filters:!(),index:'emp_*',interval:auto,query:"&amp;"(query_string:(analyze_wildcard:!t,query:'%22rtdc.l.rtdc."&amp;B210&amp;"%22')),sort:!(Time.ISO8601,asc))"</f>
        <v>https://d0f6bd738d7f1b3e5a7ca70fe4ff75f0.us-east-1.aws.found.io/app/kibana#/discover/Steve-Slow-Train-Analysis-(2080s-and-2083s)?_g=(refreshInterval:(display:Off,pause:!f,section:0,value:0),time:(from:'2017-10-05T22:00:07-0600',mode:absolute,to:'2017-10-06T00:23:45-0600'))&amp;_a=(columns:!('Message%20ID',Summary),filters:!(),index:'emp_*',interval:auto,query:(query_string:(analyze_wildcard:!t,query:'%22rtdc.l.rtdc.4002%22')),sort:!(Time.ISO8601,asc))</v>
      </c>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row>
    <row r="211" spans="1:91" s="20" customFormat="1" x14ac:dyDescent="0.25">
      <c r="A211" s="32" t="s">
        <v>770</v>
      </c>
      <c r="B211" s="7">
        <v>4042</v>
      </c>
      <c r="C211" s="21" t="s">
        <v>194</v>
      </c>
      <c r="D211" s="21" t="s">
        <v>824</v>
      </c>
      <c r="E211" s="13">
        <v>43013.776250000003</v>
      </c>
      <c r="F211" s="13">
        <v>43013.777673611112</v>
      </c>
      <c r="G211" s="7">
        <v>67</v>
      </c>
      <c r="H211" s="21" t="s">
        <v>493</v>
      </c>
      <c r="I211" s="13">
        <v>43013.783402777779</v>
      </c>
      <c r="J211" s="7">
        <v>0</v>
      </c>
      <c r="K211" s="89" t="str">
        <f t="shared" si="142"/>
        <v>4041/4042</v>
      </c>
      <c r="L211" s="185" t="str">
        <f>VLOOKUP(A211,'Trips&amp;Operators'!$C$1:$G$99911,5,FALSE)</f>
        <v>LEVIN SCOTT</v>
      </c>
      <c r="M211" s="6">
        <f t="shared" si="143"/>
        <v>5.7291666671517305E-3</v>
      </c>
      <c r="N211" s="7">
        <f t="shared" si="137"/>
        <v>8.2500000006984919</v>
      </c>
      <c r="O211" s="7"/>
      <c r="P211" s="7"/>
      <c r="Q211" s="22"/>
      <c r="R211" s="174"/>
      <c r="S211" s="221">
        <f t="shared" si="138"/>
        <v>1</v>
      </c>
      <c r="T211" s="174" t="str">
        <f t="shared" si="144"/>
        <v>NorthBound</v>
      </c>
      <c r="U211" s="198">
        <f>IF(AG211="EC",COUNTIFS(Variables!$M$2:$M$19,IF(T211="NorthBound","&gt;=","&lt;=")&amp;Y211,Variables!$M$2:$M$19,IF(T211="NorthBound","&lt;=","&gt;=")&amp;Z211),COUNTIFS(Variables!$P$2:$P$19,IF(T211="NorthBound","&gt;=","&lt;=")&amp;Y211,Variables!$P$2:$P$19,IF(T211="NorthBound","&lt;=","&gt;=")&amp;Z211))</f>
        <v>1</v>
      </c>
      <c r="V211" s="216" t="str">
        <f t="shared" si="148"/>
        <v>https://d0f6bd738d7f1b3e5a7ca70fe4ff75f0.us-east-1.aws.found.io/app/kibana#/discover/Steve-Slow-Train-Analysis-(2080s-and-2083s)?_g=(refreshInterval:(display:Off,pause:!f,section:0,value:0),time:(from:'2017-10-05T17:37:48-0600',mode:absolute,to:'2017-10-05T19:48:06-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4042%22')),sort:!(Time.ISO8601,asc))</v>
      </c>
      <c r="W211" s="204" t="str">
        <f>IF(AA211&lt;VLOOKUP(AG211,Variables!$AC$3:$AD$8,2,FALSE),"Y","N")</f>
        <v>Y</v>
      </c>
      <c r="X211" s="204">
        <f t="shared" si="141"/>
        <v>-548</v>
      </c>
      <c r="Y211" s="204">
        <f t="shared" si="139"/>
        <v>4.4200000000000003E-2</v>
      </c>
      <c r="Z211" s="204">
        <f t="shared" si="140"/>
        <v>2.3346</v>
      </c>
      <c r="AA211" s="204">
        <f t="shared" si="145"/>
        <v>2.2904</v>
      </c>
      <c r="AB211" s="54" t="e">
        <f>VLOOKUP(A211,Enforcements!$C$7:$K$11,8,0)</f>
        <v>#N/A</v>
      </c>
      <c r="AC211" s="51" t="e">
        <f>VLOOKUP(A211,Enforcements!$C$7:$E$11,3,0)</f>
        <v>#N/A</v>
      </c>
      <c r="AD211" s="179">
        <f t="shared" si="146"/>
        <v>301</v>
      </c>
      <c r="AE211" s="77" t="str">
        <f t="shared" si="149"/>
        <v>aws s3 cp s3://rtdc.mdm.uploadarchive.raw/RTDC4042/ "%USERPROFILE%\AppData\Local\Temp\OnboardLogs"\RTDC4042\2017-10-05 --exclude "*" --recursive --include "*20171005*" &amp; "%USERPROFILE%\Documents\GitHub\mrs-test-scripts\Headless Mode &amp; Sideloading\WalkAndUnGZ.bat" "%USERPROFILE%\AppData\Local\Temp\OnboardLogs"\RTDC4042\2017-10-05 &amp; aws s3 cp s3://rtdc.mdm.uploadarchive.raw/RTDC4042/ "%USERPROFILE%\AppData\Local\Temp\OnboardLogs"\RTDC4042\2017-10-06 --exclude "*" --recursive --include "*20171006*" &amp; "%USERPROFILE%\Documents\GitHub\mrs-test-scripts\Headless Mode &amp; Sideloading\WalkAndUnGZ.bat" "%USERPROFILE%\AppData\Local\Temp\OnboardLogs"\RTDC4042\2017-10-06</v>
      </c>
      <c r="AF211" s="74" t="str">
        <f t="shared" si="150"/>
        <v>"C:\Program Files (x86)\AstroGrep\AstroGrep.exe" /e /r /s /spath="%USERPROFILE%\AppData\Local\Temp\OnboardLogs" /stypes="app*4042*20171006*" /stext=" 00:.+((SYSTEM_STATE.+slice.+state.+changed )|(ment ac)|(multiple cpu faults)|(system.+state.+changed )|(\[timeout)|(PRM\|1\|D)|(kpr)|(kdp)|(train st.+moving)|(\|lc)|(penalty))"</v>
      </c>
      <c r="AG211" s="182" t="str">
        <f t="shared" si="147"/>
        <v>Other</v>
      </c>
      <c r="AH211" s="78" t="str">
        <f t="shared" si="151"/>
        <v>"%USERPROFILE%\Documents\GitHub\eaglep3\Utilities\RefineRTDCRunTimes.py" --tripid 301-05 --locoid 4042 --swversion DE.1.0.9.0 --startMP 204:442 --initTime 2017-10-05T18:37:48 --startdatetime 2017-10-05T18:39:51 --delay 67 --endMP 300:23346 --enddatetime 2017-10-05T18:48:06 --enforcementcount 0 &gt;&gt;%USERPROFILE%\Documents\GitHub\eaglep3-reporting\EC\2017-10-05-refined-times.txt</v>
      </c>
      <c r="AI211" s="96" t="str">
        <f t="shared" si="152"/>
        <v>echo {"issue":{"subject":"","project_id":79,"tracker_id":40,"status_id":1,"priority_id":2,"assigned_to_id":338,"start_date":"2017-10-05","description":"","custom_fields":[{"id":1,"name":"Subdivision","value":"Other"},{"id":4,"name":"Milepost","value":"2.3346"},{"id":17,"name":"Train ID","value":"301-05"},{"id":16,"name":"Locomotive ID","value":"4042"},{"id":130,"name":"Impact","value":""},{"id":150,"name":"Time of Event (Mountain Time)","value":"18:48:06"},{"id":151,"name":"Denver Issue ID","value":""},{"id":178,"name":"Operational Impact","value":"Yes"},{"id":179,"name":"Denver Segment Assigned","value":""}]}} | curl --insecure -X POST -H "Content-Type: application/json" -H "X-Redmine-API-Key: %REDMINEAPIKEY%" https://secure.xorail.net/redmine/issues.json --data @-</v>
      </c>
      <c r="AK211" s="47"/>
      <c r="AL211" s="47"/>
      <c r="AM211" s="142" t="str">
        <f t="shared" si="153"/>
        <v>start /low /b %USERPROFILE%\Documents\GitHub\eaglep3\Utilities\DownloadLogsFromS3.py --loco 4042 --day 2017-10-05</v>
      </c>
      <c r="AN211" s="151" t="str">
        <f t="shared" si="154"/>
        <v>echo {"issue":{"subject":"","project_id":30,"tracker_id":4,"status_id":1,"priority_id":1,"assigned_to_id":10,"start_date":"2017-10-06","description":"","custom_fields":[{"id":30,"name":"Category","value":"Issue"},{"id":3,"name":"Functional Component","value":"Onboard"},{"id":31,"name":"Version","value":"N/A"},{"id":8,"name":"Reporting RR","value":"WABTEC"},{"id":27,"name":"Locomotive ID","value":"4042"},{"id":20,"name":"RR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00:48:06"},{"id":29,"name":"Sharepoint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11" s="168" t="str">
        <f t="shared" si="155"/>
        <v>https://d0f6bd738d7f1b3e5a7ca70fe4ff75f0.us-east-1.aws.found.io/app/kibana#/discover/Steve-Slow-Train-Analysis-(2080s-and-2083s)?_g=(refreshInterval:(display:Off,pause:!f,section:0,value:0),time:(from:'2017-10-05T17:37:48-0600',mode:absolute,to:'2017-10-05T19:48:06-0600'))&amp;_a=(columns:!('Message%20ID',Summary),filters:!(),index:'emp_*',interval:auto,query:(query_string:(analyze_wildcard:!t,query:'%22rtdc.l.rtdc.4042%22')),sort:!(Time.ISO8601,asc))</v>
      </c>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row>
    <row r="212" spans="1:91" s="20" customFormat="1" x14ac:dyDescent="0.25">
      <c r="A212" s="32" t="s">
        <v>622</v>
      </c>
      <c r="B212" s="7">
        <v>4007</v>
      </c>
      <c r="C212" s="21" t="s">
        <v>194</v>
      </c>
      <c r="D212" s="21" t="s">
        <v>879</v>
      </c>
      <c r="E212" s="13">
        <v>43013.141631944447</v>
      </c>
      <c r="F212" s="13">
        <v>43013.146365740744</v>
      </c>
      <c r="G212" s="7">
        <v>68</v>
      </c>
      <c r="H212" s="21" t="s">
        <v>880</v>
      </c>
      <c r="I212" s="13">
        <v>43013.15121527778</v>
      </c>
      <c r="J212" s="7">
        <v>0</v>
      </c>
      <c r="K212" s="89" t="str">
        <f t="shared" si="142"/>
        <v>4007/4008</v>
      </c>
      <c r="L212" s="185" t="str">
        <f>VLOOKUP(A212,'Trips&amp;Operators'!$C$1:$G$99911,5,FALSE)</f>
        <v>MAELZER KURT</v>
      </c>
      <c r="M212" s="6">
        <f t="shared" si="143"/>
        <v>4.8495370356249623E-3</v>
      </c>
      <c r="N212" s="7">
        <f t="shared" si="137"/>
        <v>6.9833333312999457</v>
      </c>
      <c r="O212" s="7"/>
      <c r="P212" s="7"/>
      <c r="Q212" s="22"/>
      <c r="R212" s="174"/>
      <c r="S212" s="221">
        <f t="shared" si="138"/>
        <v>1</v>
      </c>
      <c r="T212" s="174" t="str">
        <f t="shared" si="144"/>
        <v>Southbound</v>
      </c>
      <c r="U212" s="198">
        <f>IF(AG212="EC",COUNTIFS(Variables!$M$2:$M$19,IF(T212="NorthBound","&gt;=","&lt;=")&amp;Y212,Variables!$M$2:$M$19,IF(T212="NorthBound","&lt;=","&gt;=")&amp;Z212),COUNTIFS(Variables!$P$2:$P$19,IF(T212="NorthBound","&gt;=","&lt;=")&amp;Y212,Variables!$P$2:$P$19,IF(T212="NorthBound","&lt;=","&gt;=")&amp;Z212))</f>
        <v>1</v>
      </c>
      <c r="V212" s="216" t="str">
        <f t="shared" si="148"/>
        <v>https://d0f6bd738d7f1b3e5a7ca70fe4ff75f0.us-east-1.aws.found.io/app/kibana#/discover/Steve-Slow-Train-Analysis-(2080s-and-2083s)?_g=(refreshInterval:(display:Off,pause:!f,section:0,value:0),time:(from:'2017-10-05T02:23:57-0600',mode:absolute,to:'2017-10-05T04:37:45-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4007%22')),sort:!(Time.ISO8601,asc))</v>
      </c>
      <c r="W212" s="204" t="str">
        <f>IF(AA212&lt;VLOOKUP(AG212,Variables!$AC$3:$AD$8,2,FALSE),"Y","N")</f>
        <v>Y</v>
      </c>
      <c r="X212" s="204">
        <f t="shared" si="141"/>
        <v>1</v>
      </c>
      <c r="Y212" s="204">
        <f t="shared" si="139"/>
        <v>1.9870000000000001</v>
      </c>
      <c r="Z212" s="204">
        <f t="shared" si="140"/>
        <v>1.32E-2</v>
      </c>
      <c r="AA212" s="204">
        <f t="shared" si="145"/>
        <v>1.9738</v>
      </c>
      <c r="AB212" s="54" t="e">
        <f>VLOOKUP(A212,Enforcements!$C$7:$K$11,8,0)</f>
        <v>#N/A</v>
      </c>
      <c r="AC212" s="51" t="e">
        <f>VLOOKUP(A212,Enforcements!$C$7:$E$11,3,0)</f>
        <v>#N/A</v>
      </c>
      <c r="AD212" s="179">
        <f t="shared" si="146"/>
        <v>302</v>
      </c>
      <c r="AE212" s="77" t="str">
        <f t="shared" si="149"/>
        <v>aws s3 cp s3://rtdc.mdm.uploadarchive.raw/RTDC4007/ "%USERPROFILE%\AppData\Local\Temp\OnboardLogs"\RTDC4007\2017-10-05 --exclude "*" --recursive --include "*20171005*" &amp; "%USERPROFILE%\Documents\GitHub\mrs-test-scripts\Headless Mode &amp; Sideloading\WalkAndUnGZ.bat" "%USERPROFILE%\AppData\Local\Temp\OnboardLogs"\RTDC4007\2017-10-05 &amp; aws s3 cp s3://rtdc.mdm.uploadarchive.raw/RTDC4007/ "%USERPROFILE%\AppData\Local\Temp\OnboardLogs"\RTDC4007\2017-10-06 --exclude "*" --recursive --include "*20171006*" &amp; "%USERPROFILE%\Documents\GitHub\mrs-test-scripts\Headless Mode &amp; Sideloading\WalkAndUnGZ.bat" "%USERPROFILE%\AppData\Local\Temp\OnboardLogs"\RTDC4007\2017-10-06</v>
      </c>
      <c r="AF212" s="74" t="str">
        <f t="shared" si="150"/>
        <v>"C:\Program Files (x86)\AstroGrep\AstroGrep.exe" /e /r /s /spath="%USERPROFILE%\AppData\Local\Temp\OnboardLogs" /stypes="app*4007*20171005*" /stext=" 09:.+((SYSTEM_STATE.+slice.+state.+changed )|(ment ac)|(multiple cpu faults)|(system.+state.+changed )|(\[timeout)|(PRM\|1\|D)|(kpr)|(kdp)|(train st.+moving)|(\|lc)|(penalty))"</v>
      </c>
      <c r="AG212" s="182" t="str">
        <f t="shared" si="147"/>
        <v>Other</v>
      </c>
      <c r="AH212" s="78" t="str">
        <f t="shared" si="151"/>
        <v>"%USERPROFILE%\Documents\GitHub\eaglep3\Utilities\RefineRTDCRunTimes.py" --tripid 302-05 --locoid 4007 --swversion DE.1.0.9.0 --startMP 300:19870 --initTime 2017-10-05T03:23:57 --startdatetime 2017-10-05T03:30:46 --delay 68 --endMP 204:132 --enddatetime 2017-10-05T03:37:45 --enforcementcount 0 &gt;&gt;%USERPROFILE%\Documents\GitHub\eaglep3-reporting\EC\2017-10-05-refined-times.txt</v>
      </c>
      <c r="AI212" s="96" t="str">
        <f t="shared" si="152"/>
        <v>echo {"issue":{"subject":"","project_id":79,"tracker_id":40,"status_id":1,"priority_id":2,"assigned_to_id":338,"start_date":"2017-10-05","description":"","custom_fields":[{"id":1,"name":"Subdivision","value":"Other"},{"id":4,"name":"Milepost","value":"0.0132"},{"id":17,"name":"Train ID","value":"302-05"},{"id":16,"name":"Locomotive ID","value":"4007"},{"id":130,"name":"Impact","value":""},{"id":150,"name":"Time of Event (Mountain Time)","value":"03:37:45"},{"id":151,"name":"Denver Issue ID","value":""},{"id":178,"name":"Operational Impact","value":"Yes"},{"id":179,"name":"Denver Segment Assigned","value":""}]}} | curl --insecure -X POST -H "Content-Type: application/json" -H "X-Redmine-API-Key: %REDMINEAPIKEY%" https://secure.xorail.net/redmine/issues.json --data @-</v>
      </c>
      <c r="AK212" s="47"/>
      <c r="AL212" s="47"/>
      <c r="AM212" s="142" t="str">
        <f t="shared" si="153"/>
        <v>start /low /b %USERPROFILE%\Documents\GitHub\eaglep3\Utilities\DownloadLogsFromS3.py --loco 4007 --day 2017-10-05</v>
      </c>
      <c r="AN212" s="151" t="str">
        <f t="shared" si="154"/>
        <v>echo {"issue":{"subject":"","project_id":30,"tracker_id":4,"status_id":1,"priority_id":1,"assigned_to_id":10,"start_date":"2017-10-05","description":"","custom_fields":[{"id":30,"name":"Category","value":"Issue"},{"id":3,"name":"Functional Component","value":"Onboard"},{"id":31,"name":"Version","value":"N/A"},{"id":8,"name":"Reporting RR","value":"WABTEC"},{"id":27,"name":"Locomotive ID","value":"4007"},{"id":20,"name":"RR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09:37:45"},{"id":29,"name":"Sharepoint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12" s="168" t="str">
        <f t="shared" si="155"/>
        <v>https://d0f6bd738d7f1b3e5a7ca70fe4ff75f0.us-east-1.aws.found.io/app/kibana#/discover/Steve-Slow-Train-Analysis-(2080s-and-2083s)?_g=(refreshInterval:(display:Off,pause:!f,section:0,value:0),time:(from:'2017-10-05T02:23:57-0600',mode:absolute,to:'2017-10-05T04:37:45-0600'))&amp;_a=(columns:!('Message%20ID',Summary),filters:!(),index:'emp_*',interval:auto,query:(query_string:(analyze_wildcard:!t,query:'%22rtdc.l.rtdc.4007%22')),sort:!(Time.ISO8601,asc))</v>
      </c>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row>
    <row r="213" spans="1:91" s="20" customFormat="1" x14ac:dyDescent="0.25">
      <c r="A213" s="32" t="s">
        <v>779</v>
      </c>
      <c r="B213" s="7">
        <v>4012</v>
      </c>
      <c r="C213" s="21" t="s">
        <v>194</v>
      </c>
      <c r="D213" s="21" t="s">
        <v>388</v>
      </c>
      <c r="E213" s="13">
        <v>43013.799664351849</v>
      </c>
      <c r="F213" s="13">
        <v>43013.8049537037</v>
      </c>
      <c r="G213" s="7">
        <v>54</v>
      </c>
      <c r="H213" s="21" t="s">
        <v>881</v>
      </c>
      <c r="I213" s="13">
        <v>43013.813356481478</v>
      </c>
      <c r="J213" s="7">
        <v>0</v>
      </c>
      <c r="K213" s="89" t="str">
        <f t="shared" si="142"/>
        <v>4011/4012</v>
      </c>
      <c r="L213" s="185" t="str">
        <f>VLOOKUP(A213,'Trips&amp;Operators'!$C$1:$G$99911,5,FALSE)</f>
        <v>LEVERE CRAIG</v>
      </c>
      <c r="M213" s="6">
        <f t="shared" si="143"/>
        <v>8.4027777775190771E-3</v>
      </c>
      <c r="N213" s="7">
        <f t="shared" si="137"/>
        <v>12.099999999627471</v>
      </c>
      <c r="O213" s="7"/>
      <c r="P213" s="7"/>
      <c r="Q213" s="22"/>
      <c r="R213" s="174"/>
      <c r="S213" s="221">
        <f t="shared" si="138"/>
        <v>1</v>
      </c>
      <c r="T213" s="174" t="str">
        <f t="shared" si="144"/>
        <v>NorthBound</v>
      </c>
      <c r="U213" s="198">
        <f>IF(AG213="EC",COUNTIFS(Variables!$M$2:$M$19,IF(T213="NorthBound","&gt;=","&lt;=")&amp;Y213,Variables!$M$2:$M$19,IF(T213="NorthBound","&lt;=","&gt;=")&amp;Z213),COUNTIFS(Variables!$P$2:$P$19,IF(T213="NorthBound","&gt;=","&lt;=")&amp;Y213,Variables!$P$2:$P$19,IF(T213="NorthBound","&lt;=","&gt;=")&amp;Z213))</f>
        <v>1</v>
      </c>
      <c r="V213" s="216" t="str">
        <f t="shared" si="148"/>
        <v>https://d0f6bd738d7f1b3e5a7ca70fe4ff75f0.us-east-1.aws.found.io/app/kibana#/discover/Steve-Slow-Train-Analysis-(2080s-and-2083s)?_g=(refreshInterval:(display:Off,pause:!f,section:0,value:0),time:(from:'2017-10-05T18:11:31-0600',mode:absolute,to:'2017-10-05T20:31:14-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4012%22')),sort:!(Time.ISO8601,asc))</v>
      </c>
      <c r="W213" s="204" t="str">
        <f>IF(AA213&lt;VLOOKUP(AG213,Variables!$AC$3:$AD$8,2,FALSE),"Y","N")</f>
        <v>Y</v>
      </c>
      <c r="X213" s="204">
        <f t="shared" si="141"/>
        <v>1</v>
      </c>
      <c r="Y213" s="204">
        <f t="shared" si="139"/>
        <v>4.5699999999999998E-2</v>
      </c>
      <c r="Z213" s="204">
        <f t="shared" si="140"/>
        <v>2.3290999999999999</v>
      </c>
      <c r="AA213" s="204">
        <f t="shared" si="145"/>
        <v>2.2833999999999999</v>
      </c>
      <c r="AB213" s="54" t="e">
        <f>VLOOKUP(A213,Enforcements!$C$7:$K$11,8,0)</f>
        <v>#N/A</v>
      </c>
      <c r="AC213" s="51" t="e">
        <f>VLOOKUP(A213,Enforcements!$C$7:$E$11,3,0)</f>
        <v>#N/A</v>
      </c>
      <c r="AD213" s="179">
        <f t="shared" si="146"/>
        <v>303</v>
      </c>
      <c r="AE213" s="77" t="str">
        <f t="shared" si="149"/>
        <v>aws s3 cp s3://rtdc.mdm.uploadarchive.raw/RTDC4012/ "%USERPROFILE%\AppData\Local\Temp\OnboardLogs"\RTDC4012\2017-10-05 --exclude "*" --recursive --include "*20171005*" &amp; "%USERPROFILE%\Documents\GitHub\mrs-test-scripts\Headless Mode &amp; Sideloading\WalkAndUnGZ.bat" "%USERPROFILE%\AppData\Local\Temp\OnboardLogs"\RTDC4012\2017-10-05 &amp; aws s3 cp s3://rtdc.mdm.uploadarchive.raw/RTDC4012/ "%USERPROFILE%\AppData\Local\Temp\OnboardLogs"\RTDC4012\2017-10-06 --exclude "*" --recursive --include "*20171006*" &amp; "%USERPROFILE%\Documents\GitHub\mrs-test-scripts\Headless Mode &amp; Sideloading\WalkAndUnGZ.bat" "%USERPROFILE%\AppData\Local\Temp\OnboardLogs"\RTDC4012\2017-10-06</v>
      </c>
      <c r="AF213" s="74" t="str">
        <f t="shared" si="150"/>
        <v>"C:\Program Files (x86)\AstroGrep\AstroGrep.exe" /e /r /s /spath="%USERPROFILE%\AppData\Local\Temp\OnboardLogs" /stypes="app*4012*20171006*" /stext=" 01:.+((SYSTEM_STATE.+slice.+state.+changed )|(ment ac)|(multiple cpu faults)|(system.+state.+changed )|(\[timeout)|(PRM\|1\|D)|(kpr)|(kdp)|(train st.+moving)|(\|lc)|(penalty))"</v>
      </c>
      <c r="AG213" s="182" t="str">
        <f t="shared" si="147"/>
        <v>Other</v>
      </c>
      <c r="AH213" s="78" t="str">
        <f t="shared" si="151"/>
        <v>"%USERPROFILE%\Documents\GitHub\eaglep3\Utilities\RefineRTDCRunTimes.py" --tripid 303-05 --locoid 4012 --swversion DE.1.0.9.0 --startMP 204:457 --initTime 2017-10-05T19:11:31 --startdatetime 2017-10-05T19:19:08 --delay 54 --endMP 300:23291 --enddatetime 2017-10-05T19:31:14 --enforcementcount 0 &gt;&gt;%USERPROFILE%\Documents\GitHub\eaglep3-reporting\EC\2017-10-05-refined-times.txt</v>
      </c>
      <c r="AI213" s="96" t="str">
        <f t="shared" si="152"/>
        <v>echo {"issue":{"subject":"","project_id":79,"tracker_id":40,"status_id":1,"priority_id":2,"assigned_to_id":338,"start_date":"2017-10-05","description":"","custom_fields":[{"id":1,"name":"Subdivision","value":"Other"},{"id":4,"name":"Milepost","value":"2.3291"},{"id":17,"name":"Train ID","value":"303-05"},{"id":16,"name":"Locomotive ID","value":"4012"},{"id":130,"name":"Impact","value":""},{"id":150,"name":"Time of Event (Mountain Time)","value":"19:31:14"},{"id":151,"name":"Denver Issue ID","value":""},{"id":178,"name":"Operational Impact","value":"Yes"},{"id":179,"name":"Denver Segment Assigned","value":""}]}} | curl --insecure -X POST -H "Content-Type: application/json" -H "X-Redmine-API-Key: %REDMINEAPIKEY%" https://secure.xorail.net/redmine/issues.json --data @-</v>
      </c>
      <c r="AK213" s="47"/>
      <c r="AL213" s="47"/>
      <c r="AM213" s="142" t="str">
        <f t="shared" si="153"/>
        <v>start /low /b %USERPROFILE%\Documents\GitHub\eaglep3\Utilities\DownloadLogsFromS3.py --loco 4012 --day 2017-10-05</v>
      </c>
      <c r="AN213" s="151" t="str">
        <f t="shared" si="154"/>
        <v>echo {"issue":{"subject":"","project_id":30,"tracker_id":4,"status_id":1,"priority_id":1,"assigned_to_id":10,"start_date":"2017-10-06","description":"","custom_fields":[{"id":30,"name":"Category","value":"Issue"},{"id":3,"name":"Functional Component","value":"Onboard"},{"id":31,"name":"Version","value":"N/A"},{"id":8,"name":"Reporting RR","value":"WABTEC"},{"id":27,"name":"Locomotive ID","value":"4012"},{"id":20,"name":"RR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01:31:14"},{"id":29,"name":"Sharepoint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13" s="168" t="str">
        <f t="shared" si="155"/>
        <v>https://d0f6bd738d7f1b3e5a7ca70fe4ff75f0.us-east-1.aws.found.io/app/kibana#/discover/Steve-Slow-Train-Analysis-(2080s-and-2083s)?_g=(refreshInterval:(display:Off,pause:!f,section:0,value:0),time:(from:'2017-10-05T18:11:31-0600',mode:absolute,to:'2017-10-05T20:31:14-0600'))&amp;_a=(columns:!('Message%20ID',Summary),filters:!(),index:'emp_*',interval:auto,query:(query_string:(analyze_wildcard:!t,query:'%22rtdc.l.rtdc.4012%22')),sort:!(Time.ISO8601,asc))</v>
      </c>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row>
    <row r="214" spans="1:91" s="20" customFormat="1" x14ac:dyDescent="0.25">
      <c r="A214" s="32" t="s">
        <v>627</v>
      </c>
      <c r="B214" s="7">
        <v>4009</v>
      </c>
      <c r="C214" s="21" t="s">
        <v>194</v>
      </c>
      <c r="D214" s="21" t="s">
        <v>882</v>
      </c>
      <c r="E214" s="13">
        <v>43013.161192129628</v>
      </c>
      <c r="F214" s="13">
        <v>43013.164930555555</v>
      </c>
      <c r="G214" s="7">
        <v>84</v>
      </c>
      <c r="H214" s="21" t="s">
        <v>544</v>
      </c>
      <c r="I214" s="13">
        <v>43013.170219907406</v>
      </c>
      <c r="J214" s="7">
        <v>0</v>
      </c>
      <c r="K214" s="89" t="str">
        <f t="shared" si="142"/>
        <v>4009/4010</v>
      </c>
      <c r="L214" s="185" t="str">
        <f>VLOOKUP(A214,'Trips&amp;Operators'!$C$1:$G$99911,5,FALSE)</f>
        <v>BONDS REYNALDO</v>
      </c>
      <c r="M214" s="6">
        <f t="shared" si="143"/>
        <v>5.2893518513883464E-3</v>
      </c>
      <c r="N214" s="7">
        <f t="shared" si="137"/>
        <v>7.6166666659992188</v>
      </c>
      <c r="O214" s="7"/>
      <c r="P214" s="7"/>
      <c r="Q214" s="22"/>
      <c r="R214" s="174"/>
      <c r="S214" s="221">
        <f t="shared" si="138"/>
        <v>1</v>
      </c>
      <c r="T214" s="174" t="str">
        <f t="shared" si="144"/>
        <v>Southbound</v>
      </c>
      <c r="U214" s="198">
        <f>IF(AG214="EC",COUNTIFS(Variables!$M$2:$M$19,IF(T214="NorthBound","&gt;=","&lt;=")&amp;Y214,Variables!$M$2:$M$19,IF(T214="NorthBound","&lt;=","&gt;=")&amp;Z214),COUNTIFS(Variables!$P$2:$P$19,IF(T214="NorthBound","&gt;=","&lt;=")&amp;Y214,Variables!$P$2:$P$19,IF(T214="NorthBound","&lt;=","&gt;=")&amp;Z214))</f>
        <v>1</v>
      </c>
      <c r="V214" s="216" t="str">
        <f t="shared" si="148"/>
        <v>https://d0f6bd738d7f1b3e5a7ca70fe4ff75f0.us-east-1.aws.found.io/app/kibana#/discover/Steve-Slow-Train-Analysis-(2080s-and-2083s)?_g=(refreshInterval:(display:Off,pause:!f,section:0,value:0),time:(from:'2017-10-05T02:52:07-0600',mode:absolute,to:'2017-10-05T05:05:07-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W214" s="204" t="str">
        <f>IF(AA214&lt;VLOOKUP(AG214,Variables!$AC$3:$AD$8,2,FALSE),"Y","N")</f>
        <v>Y</v>
      </c>
      <c r="X214" s="204">
        <f t="shared" si="141"/>
        <v>1</v>
      </c>
      <c r="Y214" s="204">
        <f t="shared" si="139"/>
        <v>2.3370000000000002</v>
      </c>
      <c r="Z214" s="204">
        <f t="shared" si="140"/>
        <v>1.38E-2</v>
      </c>
      <c r="AA214" s="204">
        <f t="shared" si="145"/>
        <v>2.3232000000000004</v>
      </c>
      <c r="AB214" s="54" t="e">
        <f>VLOOKUP(A214,Enforcements!$C$7:$K$11,8,0)</f>
        <v>#N/A</v>
      </c>
      <c r="AC214" s="51" t="e">
        <f>VLOOKUP(A214,Enforcements!$C$7:$E$11,3,0)</f>
        <v>#N/A</v>
      </c>
      <c r="AD214" s="179">
        <f t="shared" si="146"/>
        <v>304</v>
      </c>
      <c r="AE214" s="77" t="str">
        <f t="shared" si="149"/>
        <v>aws s3 cp s3://rtdc.mdm.uploadarchive.raw/RTDC4009/ "%USERPROFILE%\AppData\Local\Temp\OnboardLogs"\RTDC4009\2017-10-05 --exclude "*" --recursive --include "*20171005*" &amp; "%USERPROFILE%\Documents\GitHub\mrs-test-scripts\Headless Mode &amp; Sideloading\WalkAndUnGZ.bat" "%USERPROFILE%\AppData\Local\Temp\OnboardLogs"\RTDC4009\2017-10-05 &amp; aws s3 cp s3://rtdc.mdm.uploadarchive.raw/RTDC4009/ "%USERPROFILE%\AppData\Local\Temp\OnboardLogs"\RTDC4009\2017-10-06 --exclude "*" --recursive --include "*20171006*" &amp; "%USERPROFILE%\Documents\GitHub\mrs-test-scripts\Headless Mode &amp; Sideloading\WalkAndUnGZ.bat" "%USERPROFILE%\AppData\Local\Temp\OnboardLogs"\RTDC4009\2017-10-06</v>
      </c>
      <c r="AF214" s="74" t="str">
        <f t="shared" si="150"/>
        <v>"C:\Program Files (x86)\AstroGrep\AstroGrep.exe" /e /r /s /spath="%USERPROFILE%\AppData\Local\Temp\OnboardLogs" /stypes="app*4009*20171005*" /stext=" 10:.+((SYSTEM_STATE.+slice.+state.+changed )|(ment ac)|(multiple cpu faults)|(system.+state.+changed )|(\[timeout)|(PRM\|1\|D)|(kpr)|(kdp)|(train st.+moving)|(\|lc)|(penalty))"</v>
      </c>
      <c r="AG214" s="182" t="str">
        <f t="shared" si="147"/>
        <v>Other</v>
      </c>
      <c r="AH214" s="78" t="str">
        <f t="shared" si="151"/>
        <v>"%USERPROFILE%\Documents\GitHub\eaglep3\Utilities\RefineRTDCRunTimes.py" --tripid 304-05 --locoid 4009 --swversion DE.1.0.9.0 --startMP 300:23370 --initTime 2017-10-05T03:52:07 --startdatetime 2017-10-05T03:57:30 --delay 84 --endMP 204:138 --enddatetime 2017-10-05T04:05:07 --enforcementcount 0 &gt;&gt;%USERPROFILE%\Documents\GitHub\eaglep3-reporting\EC\2017-10-05-refined-times.txt</v>
      </c>
      <c r="AI214" s="96" t="str">
        <f t="shared" si="152"/>
        <v>echo {"issue":{"subject":"","project_id":79,"tracker_id":40,"status_id":1,"priority_id":2,"assigned_to_id":338,"start_date":"2017-10-05","description":"","custom_fields":[{"id":1,"name":"Subdivision","value":"Other"},{"id":4,"name":"Milepost","value":"0.0138"},{"id":17,"name":"Train ID","value":"304-05"},{"id":16,"name":"Locomotive ID","value":"4009"},{"id":130,"name":"Impact","value":""},{"id":150,"name":"Time of Event (Mountain Time)","value":"04:05:07"},{"id":151,"name":"Denver Issue ID","value":""},{"id":178,"name":"Operational Impact","value":"Yes"},{"id":179,"name":"Denver Segment Assigned","value":""}]}} | curl --insecure -X POST -H "Content-Type: application/json" -H "X-Redmine-API-Key: %REDMINEAPIKEY%" https://secure.xorail.net/redmine/issues.json --data @-</v>
      </c>
      <c r="AK214" s="47"/>
      <c r="AL214" s="47"/>
      <c r="AM214" s="142" t="str">
        <f t="shared" si="153"/>
        <v>start /low /b %USERPROFILE%\Documents\GitHub\eaglep3\Utilities\DownloadLogsFromS3.py --loco 4009 --day 2017-10-05</v>
      </c>
      <c r="AN214" s="151" t="str">
        <f t="shared" si="154"/>
        <v>echo {"issue":{"subject":"","project_id":30,"tracker_id":4,"status_id":1,"priority_id":1,"assigned_to_id":10,"start_date":"2017-10-05","description":"","custom_fields":[{"id":30,"name":"Category","value":"Issue"},{"id":3,"name":"Functional Component","value":"Onboard"},{"id":31,"name":"Version","value":"N/A"},{"id":8,"name":"Reporting RR","value":"WABTEC"},{"id":27,"name":"Locomotive ID","value":"4009"},{"id":20,"name":"RR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10:05:07"},{"id":29,"name":"Sharepoint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14" s="168" t="str">
        <f t="shared" si="155"/>
        <v>https://d0f6bd738d7f1b3e5a7ca70fe4ff75f0.us-east-1.aws.found.io/app/kibana#/discover/Steve-Slow-Train-Analysis-(2080s-and-2083s)?_g=(refreshInterval:(display:Off,pause:!f,section:0,value:0),time:(from:'2017-10-05T02:52:07-0600',mode:absolute,to:'2017-10-05T05:05:07-0600'))&amp;_a=(columns:!('Message%20ID',Summary),filters:!(),index:'emp_*',interval:auto,query:(query_string:(analyze_wildcard:!t,query:'%22rtdc.l.rtdc.4009%22')),sort:!(Time.ISO8601,asc))</v>
      </c>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row>
    <row r="215" spans="1:91" s="20" customFormat="1" x14ac:dyDescent="0.25">
      <c r="A215" s="32" t="s">
        <v>783</v>
      </c>
      <c r="B215" s="7">
        <v>4016</v>
      </c>
      <c r="C215" s="21" t="s">
        <v>194</v>
      </c>
      <c r="D215" s="21" t="s">
        <v>405</v>
      </c>
      <c r="E215" s="13">
        <v>43013.821030092593</v>
      </c>
      <c r="F215" s="13">
        <v>43013.822453703702</v>
      </c>
      <c r="G215" s="7">
        <v>60</v>
      </c>
      <c r="H215" s="21" t="s">
        <v>494</v>
      </c>
      <c r="I215" s="13">
        <v>43013.829097222224</v>
      </c>
      <c r="J215" s="7">
        <v>0</v>
      </c>
      <c r="K215" s="89" t="str">
        <f t="shared" si="142"/>
        <v>4015/4016</v>
      </c>
      <c r="L215" s="185" t="str">
        <f>VLOOKUP(A215,'Trips&amp;Operators'!$C$1:$G$99911,5,FALSE)</f>
        <v>HOLCOMB KAMDEN</v>
      </c>
      <c r="M215" s="6">
        <f t="shared" si="143"/>
        <v>6.6435185217414983E-3</v>
      </c>
      <c r="N215" s="7">
        <f t="shared" ref="N215:N251" si="156">24*60*SUM($M215:$M215)</f>
        <v>9.5666666713077575</v>
      </c>
      <c r="O215" s="7"/>
      <c r="P215" s="7"/>
      <c r="Q215" s="22"/>
      <c r="R215" s="174"/>
      <c r="S215" s="221">
        <f t="shared" ref="S215:S251" si="157">1/IF(AG215="EC",12,1)*SUM(U215:U215)</f>
        <v>1</v>
      </c>
      <c r="T215" s="174" t="str">
        <f t="shared" si="144"/>
        <v>NorthBound</v>
      </c>
      <c r="U215" s="198">
        <f>IF(AG215="EC",COUNTIFS(Variables!$M$2:$M$19,IF(T215="NorthBound","&gt;=","&lt;=")&amp;Y215,Variables!$M$2:$M$19,IF(T215="NorthBound","&lt;=","&gt;=")&amp;Z215),COUNTIFS(Variables!$P$2:$P$19,IF(T215="NorthBound","&gt;=","&lt;=")&amp;Y215,Variables!$P$2:$P$19,IF(T215="NorthBound","&lt;=","&gt;=")&amp;Z215))</f>
        <v>1</v>
      </c>
      <c r="V215" s="216" t="str">
        <f t="shared" si="148"/>
        <v>https://d0f6bd738d7f1b3e5a7ca70fe4ff75f0.us-east-1.aws.found.io/app/kibana#/discover/Steve-Slow-Train-Analysis-(2080s-and-2083s)?_g=(refreshInterval:(display:Off,pause:!f,section:0,value:0),time:(from:'2017-10-05T18:42:17-0600',mode:absolute,to:'2017-10-05T20:53:54-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W215" s="204" t="str">
        <f>IF(AA215&lt;VLOOKUP(AG215,Variables!$AC$3:$AD$8,2,FALSE),"Y","N")</f>
        <v>Y</v>
      </c>
      <c r="X215" s="204">
        <f t="shared" si="141"/>
        <v>1</v>
      </c>
      <c r="Y215" s="204">
        <f t="shared" si="139"/>
        <v>4.4400000000000002E-2</v>
      </c>
      <c r="Z215" s="204">
        <f t="shared" si="140"/>
        <v>2.3298999999999999</v>
      </c>
      <c r="AA215" s="204">
        <f t="shared" si="145"/>
        <v>2.2854999999999999</v>
      </c>
      <c r="AB215" s="54" t="e">
        <f>VLOOKUP(A215,Enforcements!$C$7:$K$11,8,0)</f>
        <v>#N/A</v>
      </c>
      <c r="AC215" s="51" t="e">
        <f>VLOOKUP(A215,Enforcements!$C$7:$E$11,3,0)</f>
        <v>#N/A</v>
      </c>
      <c r="AD215" s="179">
        <f t="shared" si="146"/>
        <v>305</v>
      </c>
      <c r="AE215" s="77" t="str">
        <f t="shared" si="149"/>
        <v>aws s3 cp s3://rtdc.mdm.uploadarchive.raw/RTDC4016/ "%USERPROFILE%\AppData\Local\Temp\OnboardLogs"\RTDC4016\2017-10-05 --exclude "*" --recursive --include "*20171005*" &amp; "%USERPROFILE%\Documents\GitHub\mrs-test-scripts\Headless Mode &amp; Sideloading\WalkAndUnGZ.bat" "%USERPROFILE%\AppData\Local\Temp\OnboardLogs"\RTDC4016\2017-10-05 &amp; aws s3 cp s3://rtdc.mdm.uploadarchive.raw/RTDC4016/ "%USERPROFILE%\AppData\Local\Temp\OnboardLogs"\RTDC4016\2017-10-06 --exclude "*" --recursive --include "*20171006*" &amp; "%USERPROFILE%\Documents\GitHub\mrs-test-scripts\Headless Mode &amp; Sideloading\WalkAndUnGZ.bat" "%USERPROFILE%\AppData\Local\Temp\OnboardLogs"\RTDC4016\2017-10-06</v>
      </c>
      <c r="AF215" s="74" t="str">
        <f t="shared" si="150"/>
        <v>"C:\Program Files (x86)\AstroGrep\AstroGrep.exe" /e /r /s /spath="%USERPROFILE%\AppData\Local\Temp\OnboardLogs" /stypes="app*4016*20171006*" /stext=" 01:.+((SYSTEM_STATE.+slice.+state.+changed )|(ment ac)|(multiple cpu faults)|(system.+state.+changed )|(\[timeout)|(PRM\|1\|D)|(kpr)|(kdp)|(train st.+moving)|(\|lc)|(penalty))"</v>
      </c>
      <c r="AG215" s="182" t="str">
        <f t="shared" si="147"/>
        <v>Other</v>
      </c>
      <c r="AH215" s="78" t="str">
        <f t="shared" si="151"/>
        <v>"%USERPROFILE%\Documents\GitHub\eaglep3\Utilities\RefineRTDCRunTimes.py" --tripid 305-05 --locoid 4016 --swversion DE.1.0.9.0 --startMP 204:444 --initTime 2017-10-05T19:42:17 --startdatetime 2017-10-05T19:44:20 --delay 60 --endMP 300:23299 --enddatetime 2017-10-05T19:53:54 --enforcementcount 0 &gt;&gt;%USERPROFILE%\Documents\GitHub\eaglep3-reporting\EC\2017-10-05-refined-times.txt</v>
      </c>
      <c r="AI215" s="96" t="str">
        <f t="shared" si="152"/>
        <v>echo {"issue":{"subject":"","project_id":79,"tracker_id":40,"status_id":1,"priority_id":2,"assigned_to_id":338,"start_date":"2017-10-05","description":"","custom_fields":[{"id":1,"name":"Subdivision","value":"Other"},{"id":4,"name":"Milepost","value":"2.3299"},{"id":17,"name":"Train ID","value":"305-05"},{"id":16,"name":"Locomotive ID","value":"4016"},{"id":130,"name":"Impact","value":""},{"id":150,"name":"Time of Event (Mountain Time)","value":"19:53:54"},{"id":151,"name":"Denver Issue ID","value":""},{"id":178,"name":"Operational Impact","value":"Yes"},{"id":179,"name":"Denver Segment Assigned","value":""}]}} | curl --insecure -X POST -H "Content-Type: application/json" -H "X-Redmine-API-Key: %REDMINEAPIKEY%" https://secure.xorail.net/redmine/issues.json --data @-</v>
      </c>
      <c r="AK215" s="47"/>
      <c r="AL215" s="47"/>
      <c r="AM215" s="142" t="str">
        <f t="shared" si="153"/>
        <v>start /low /b %USERPROFILE%\Documents\GitHub\eaglep3\Utilities\DownloadLogsFromS3.py --loco 4016 --day 2017-10-05</v>
      </c>
      <c r="AN215" s="151" t="str">
        <f t="shared" si="154"/>
        <v>echo {"issue":{"subject":"","project_id":30,"tracker_id":4,"status_id":1,"priority_id":1,"assigned_to_id":10,"start_date":"2017-10-06","description":"","custom_fields":[{"id":30,"name":"Category","value":"Issue"},{"id":3,"name":"Functional Component","value":"Onboard"},{"id":31,"name":"Version","value":"N/A"},{"id":8,"name":"Reporting RR","value":"WABTEC"},{"id":27,"name":"Locomotive ID","value":"4016"},{"id":20,"name":"RR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01:53:54"},{"id":29,"name":"Sharepoint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15" s="168" t="str">
        <f t="shared" si="155"/>
        <v>https://d0f6bd738d7f1b3e5a7ca70fe4ff75f0.us-east-1.aws.found.io/app/kibana#/discover/Steve-Slow-Train-Analysis-(2080s-and-2083s)?_g=(refreshInterval:(display:Off,pause:!f,section:0,value:0),time:(from:'2017-10-05T18:42:17-0600',mode:absolute,to:'2017-10-05T20:53:54-0600'))&amp;_a=(columns:!('Message%20ID',Summary),filters:!(),index:'emp_*',interval:auto,query:(query_string:(analyze_wildcard:!t,query:'%22rtdc.l.rtdc.4016%22')),sort:!(Time.ISO8601,asc))</v>
      </c>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row>
    <row r="216" spans="1:91" s="20" customFormat="1" x14ac:dyDescent="0.25">
      <c r="A216" s="32" t="s">
        <v>628</v>
      </c>
      <c r="B216" s="7">
        <v>4027</v>
      </c>
      <c r="C216" s="21" t="s">
        <v>194</v>
      </c>
      <c r="D216" s="21" t="s">
        <v>883</v>
      </c>
      <c r="E216" s="13">
        <v>43013.169074074074</v>
      </c>
      <c r="F216" s="13">
        <v>43013.174201388887</v>
      </c>
      <c r="G216" s="7">
        <v>74</v>
      </c>
      <c r="H216" s="21" t="s">
        <v>339</v>
      </c>
      <c r="I216" s="13">
        <v>43013.180231481485</v>
      </c>
      <c r="J216" s="7">
        <v>0</v>
      </c>
      <c r="K216" s="89" t="str">
        <f t="shared" si="142"/>
        <v>4027/4028</v>
      </c>
      <c r="L216" s="185" t="str">
        <f>VLOOKUP(A216,'Trips&amp;Operators'!$C$1:$G$99911,5,FALSE)</f>
        <v>GEBRETEKLE DAGNEW</v>
      </c>
      <c r="M216" s="6">
        <f t="shared" si="143"/>
        <v>6.030092597939074E-3</v>
      </c>
      <c r="N216" s="7">
        <f t="shared" si="156"/>
        <v>8.6833333410322666</v>
      </c>
      <c r="O216" s="7"/>
      <c r="P216" s="7"/>
      <c r="Q216" s="22"/>
      <c r="R216" s="174"/>
      <c r="S216" s="221">
        <f t="shared" si="157"/>
        <v>1</v>
      </c>
      <c r="T216" s="174" t="str">
        <f t="shared" si="144"/>
        <v>Southbound</v>
      </c>
      <c r="U216" s="198">
        <f>IF(AG216="EC",COUNTIFS(Variables!$M$2:$M$19,IF(T216="NorthBound","&gt;=","&lt;=")&amp;Y216,Variables!$M$2:$M$19,IF(T216="NorthBound","&lt;=","&gt;=")&amp;Z216),COUNTIFS(Variables!$P$2:$P$19,IF(T216="NorthBound","&gt;=","&lt;=")&amp;Y216,Variables!$P$2:$P$19,IF(T216="NorthBound","&lt;=","&gt;=")&amp;Z216))</f>
        <v>1</v>
      </c>
      <c r="V216" s="216" t="str">
        <f t="shared" si="148"/>
        <v>https://d0f6bd738d7f1b3e5a7ca70fe4ff75f0.us-east-1.aws.found.io/app/kibana#/discover/Steve-Slow-Train-Analysis-(2080s-and-2083s)?_g=(refreshInterval:(display:Off,pause:!f,section:0,value:0),time:(from:'2017-10-05T03:03:28-0600',mode:absolute,to:'2017-10-05T05:19:32-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W216" s="204" t="str">
        <f>IF(AA216&lt;VLOOKUP(AG216,Variables!$AC$3:$AD$8,2,FALSE),"Y","N")</f>
        <v>Y</v>
      </c>
      <c r="X216" s="204">
        <f t="shared" si="141"/>
        <v>1</v>
      </c>
      <c r="Y216" s="204">
        <f t="shared" si="139"/>
        <v>2.3565</v>
      </c>
      <c r="Z216" s="204">
        <f t="shared" si="140"/>
        <v>1.41E-2</v>
      </c>
      <c r="AA216" s="204">
        <f t="shared" si="145"/>
        <v>2.3424</v>
      </c>
      <c r="AB216" s="54" t="e">
        <f>VLOOKUP(A216,Enforcements!$C$7:$K$11,8,0)</f>
        <v>#N/A</v>
      </c>
      <c r="AC216" s="51" t="e">
        <f>VLOOKUP(A216,Enforcements!$C$7:$E$11,3,0)</f>
        <v>#N/A</v>
      </c>
      <c r="AD216" s="179">
        <f t="shared" si="146"/>
        <v>306</v>
      </c>
      <c r="AE216" s="77" t="str">
        <f t="shared" si="149"/>
        <v>aws s3 cp s3://rtdc.mdm.uploadarchive.raw/RTDC4027/ "%USERPROFILE%\AppData\Local\Temp\OnboardLogs"\RTDC4027\2017-10-05 --exclude "*" --recursive --include "*20171005*" &amp; "%USERPROFILE%\Documents\GitHub\mrs-test-scripts\Headless Mode &amp; Sideloading\WalkAndUnGZ.bat" "%USERPROFILE%\AppData\Local\Temp\OnboardLogs"\RTDC4027\2017-10-05 &amp; aws s3 cp s3://rtdc.mdm.uploadarchive.raw/RTDC4027/ "%USERPROFILE%\AppData\Local\Temp\OnboardLogs"\RTDC4027\2017-10-06 --exclude "*" --recursive --include "*20171006*" &amp; "%USERPROFILE%\Documents\GitHub\mrs-test-scripts\Headless Mode &amp; Sideloading\WalkAndUnGZ.bat" "%USERPROFILE%\AppData\Local\Temp\OnboardLogs"\RTDC4027\2017-10-06</v>
      </c>
      <c r="AF216" s="74" t="str">
        <f t="shared" si="150"/>
        <v>"C:\Program Files (x86)\AstroGrep\AstroGrep.exe" /e /r /s /spath="%USERPROFILE%\AppData\Local\Temp\OnboardLogs" /stypes="app*4027*20171005*" /stext=" 10:.+((SYSTEM_STATE.+slice.+state.+changed )|(ment ac)|(multiple cpu faults)|(system.+state.+changed )|(\[timeout)|(PRM\|1\|D)|(kpr)|(kdp)|(train st.+moving)|(\|lc)|(penalty))"</v>
      </c>
      <c r="AG216" s="182" t="str">
        <f t="shared" si="147"/>
        <v>Other</v>
      </c>
      <c r="AH216" s="78" t="str">
        <f t="shared" si="151"/>
        <v>"%USERPROFILE%\Documents\GitHub\eaglep3\Utilities\RefineRTDCRunTimes.py" --tripid 306-05 --locoid 4027 --swversion DE.1.0.9.0 --startMP 300:23565 --initTime 2017-10-05T04:03:28 --startdatetime 2017-10-05T04:10:51 --delay 74 --endMP 204:141 --enddatetime 2017-10-05T04:19:32 --enforcementcount 0 &gt;&gt;%USERPROFILE%\Documents\GitHub\eaglep3-reporting\EC\2017-10-05-refined-times.txt</v>
      </c>
      <c r="AI216" s="96" t="str">
        <f t="shared" si="152"/>
        <v>echo {"issue":{"subject":"","project_id":79,"tracker_id":40,"status_id":1,"priority_id":2,"assigned_to_id":338,"start_date":"2017-10-05","description":"","custom_fields":[{"id":1,"name":"Subdivision","value":"Other"},{"id":4,"name":"Milepost","value":"0.0141"},{"id":17,"name":"Train ID","value":"306-05"},{"id":16,"name":"Locomotive ID","value":"4027"},{"id":130,"name":"Impact","value":""},{"id":150,"name":"Time of Event (Mountain Time)","value":"04:19:32"},{"id":151,"name":"Denver Issue ID","value":""},{"id":178,"name":"Operational Impact","value":"Yes"},{"id":179,"name":"Denver Segment Assigned","value":""}]}} | curl --insecure -X POST -H "Content-Type: application/json" -H "X-Redmine-API-Key: %REDMINEAPIKEY%" https://secure.xorail.net/redmine/issues.json --data @-</v>
      </c>
      <c r="AK216" s="47"/>
      <c r="AL216" s="47"/>
      <c r="AM216" s="142" t="str">
        <f t="shared" si="153"/>
        <v>start /low /b %USERPROFILE%\Documents\GitHub\eaglep3\Utilities\DownloadLogsFromS3.py --loco 4027 --day 2017-10-05</v>
      </c>
      <c r="AN216" s="151" t="str">
        <f t="shared" si="154"/>
        <v>echo {"issue":{"subject":"","project_id":30,"tracker_id":4,"status_id":1,"priority_id":1,"assigned_to_id":10,"start_date":"2017-10-05","description":"","custom_fields":[{"id":30,"name":"Category","value":"Issue"},{"id":3,"name":"Functional Component","value":"Onboard"},{"id":31,"name":"Version","value":"N/A"},{"id":8,"name":"Reporting RR","value":"WABTEC"},{"id":27,"name":"Locomotive ID","value":"4027"},{"id":20,"name":"RR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10:19:32"},{"id":29,"name":"Sharepoint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16" s="168" t="str">
        <f t="shared" si="155"/>
        <v>https://d0f6bd738d7f1b3e5a7ca70fe4ff75f0.us-east-1.aws.found.io/app/kibana#/discover/Steve-Slow-Train-Analysis-(2080s-and-2083s)?_g=(refreshInterval:(display:Off,pause:!f,section:0,value:0),time:(from:'2017-10-05T03:03:28-0600',mode:absolute,to:'2017-10-05T05:19:32-0600'))&amp;_a=(columns:!('Message%20ID',Summary),filters:!(),index:'emp_*',interval:auto,query:(query_string:(analyze_wildcard:!t,query:'%22rtdc.l.rtdc.4027%22')),sort:!(Time.ISO8601,asc))</v>
      </c>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row>
    <row r="217" spans="1:91" s="20" customFormat="1" x14ac:dyDescent="0.25">
      <c r="A217" s="32" t="s">
        <v>812</v>
      </c>
      <c r="B217" s="7">
        <v>4008</v>
      </c>
      <c r="C217" s="21" t="s">
        <v>194</v>
      </c>
      <c r="D217" s="21" t="s">
        <v>334</v>
      </c>
      <c r="E217" s="13">
        <v>43014.048877314817</v>
      </c>
      <c r="F217" s="13">
        <v>43014.050775462965</v>
      </c>
      <c r="G217" s="7">
        <v>74</v>
      </c>
      <c r="H217" s="21" t="s">
        <v>884</v>
      </c>
      <c r="I217" s="13">
        <v>43014.058356481481</v>
      </c>
      <c r="J217" s="7">
        <v>0</v>
      </c>
      <c r="K217" s="89" t="str">
        <f t="shared" si="142"/>
        <v>4007/4008</v>
      </c>
      <c r="L217" s="185" t="str">
        <f>VLOOKUP(A217,'Trips&amp;Operators'!$C$1:$G$99911,5,FALSE)</f>
        <v>LOZA FIDEL</v>
      </c>
      <c r="M217" s="6">
        <f t="shared" si="143"/>
        <v>7.5810185153386556E-3</v>
      </c>
      <c r="N217" s="7">
        <f t="shared" si="156"/>
        <v>10.916666662087664</v>
      </c>
      <c r="O217" s="7"/>
      <c r="P217" s="7"/>
      <c r="Q217" s="22"/>
      <c r="R217" s="174"/>
      <c r="S217" s="221">
        <f t="shared" si="157"/>
        <v>1</v>
      </c>
      <c r="T217" s="174" t="str">
        <f t="shared" si="144"/>
        <v>NorthBound</v>
      </c>
      <c r="U217" s="198">
        <f>IF(AG217="EC",COUNTIFS(Variables!$M$2:$M$19,IF(T217="NorthBound","&gt;=","&lt;=")&amp;Y217,Variables!$M$2:$M$19,IF(T217="NorthBound","&lt;=","&gt;=")&amp;Z217),COUNTIFS(Variables!$P$2:$P$19,IF(T217="NorthBound","&gt;=","&lt;=")&amp;Y217,Variables!$P$2:$P$19,IF(T217="NorthBound","&lt;=","&gt;=")&amp;Z217))</f>
        <v>1</v>
      </c>
      <c r="V217" s="216" t="str">
        <f t="shared" si="148"/>
        <v>https://d0f6bd738d7f1b3e5a7ca70fe4ff75f0.us-east-1.aws.found.io/app/kibana#/discover/Steve-Slow-Train-Analysis-(2080s-and-2083s)?_g=(refreshInterval:(display:Off,pause:!f,section:0,value:0),time:(from:'2017-10-06T00:10:23-0600',mode:absolute,to:'2017-10-06T02:24:02-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4008%22')),sort:!(Time.ISO8601,asc))</v>
      </c>
      <c r="W217" s="204" t="str">
        <f>IF(AA217&lt;VLOOKUP(AG217,Variables!$AC$3:$AD$8,2,FALSE),"Y","N")</f>
        <v>Y</v>
      </c>
      <c r="X217" s="204">
        <f t="shared" si="141"/>
        <v>1</v>
      </c>
      <c r="Y217" s="204">
        <f t="shared" si="139"/>
        <v>4.4600000000000001E-2</v>
      </c>
      <c r="Z217" s="204">
        <f t="shared" si="140"/>
        <v>2.3306</v>
      </c>
      <c r="AA217" s="204">
        <f t="shared" si="145"/>
        <v>2.286</v>
      </c>
      <c r="AB217" s="54" t="e">
        <f>VLOOKUP(A217,Enforcements!$C$7:$K$11,8,0)</f>
        <v>#N/A</v>
      </c>
      <c r="AC217" s="51" t="e">
        <f>VLOOKUP(A217,Enforcements!$C$7:$E$11,3,0)</f>
        <v>#N/A</v>
      </c>
      <c r="AD217" s="179">
        <f t="shared" si="146"/>
        <v>307</v>
      </c>
      <c r="AE217" s="77" t="str">
        <f t="shared" si="149"/>
        <v>aws s3 cp s3://rtdc.mdm.uploadarchive.raw/RTDC4008/ "%USERPROFILE%\AppData\Local\Temp\OnboardLogs"\RTDC4008\2017-10-06 --exclude "*" --recursive --include "*20171006*" &amp; "%USERPROFILE%\Documents\GitHub\mrs-test-scripts\Headless Mode &amp; Sideloading\WalkAndUnGZ.bat" "%USERPROFILE%\AppData\Local\Temp\OnboardLogs"\RTDC4008\2017-10-06 &amp; aws s3 cp s3://rtdc.mdm.uploadarchive.raw/RTDC4008/ "%USERPROFILE%\AppData\Local\Temp\OnboardLogs"\RTDC4008\2017-10-07 --exclude "*" --recursive --include "*20171007*" &amp; "%USERPROFILE%\Documents\GitHub\mrs-test-scripts\Headless Mode &amp; Sideloading\WalkAndUnGZ.bat" "%USERPROFILE%\AppData\Local\Temp\OnboardLogs"\RTDC4008\2017-10-07</v>
      </c>
      <c r="AF217" s="74" t="str">
        <f t="shared" si="150"/>
        <v>"C:\Program Files (x86)\AstroGrep\AstroGrep.exe" /e /r /s /spath="%USERPROFILE%\AppData\Local\Temp\OnboardLogs" /stypes="app*4008*20171006*" /stext=" 07:.+((SYSTEM_STATE.+slice.+state.+changed )|(ment ac)|(multiple cpu faults)|(system.+state.+changed )|(\[timeout)|(PRM\|1\|D)|(kpr)|(kdp)|(train st.+moving)|(\|lc)|(penalty))"</v>
      </c>
      <c r="AG217" s="182" t="str">
        <f t="shared" si="147"/>
        <v>Other</v>
      </c>
      <c r="AH217" s="78" t="str">
        <f t="shared" si="151"/>
        <v>"%USERPROFILE%\Documents\GitHub\eaglep3\Utilities\RefineRTDCRunTimes.py" --tripid 307-05 --locoid 4008 --swversion DE.1.0.9.0 --startMP 204:446 --initTime 2017-10-06T01:10:23 --startdatetime 2017-10-06T01:13:07 --delay 74 --endMP 300:23306 --enddatetime 2017-10-06T01:24:02 --enforcementcount 0 &gt;&gt;%USERPROFILE%\Documents\GitHub\eaglep3-reporting\EC\2017-10-05-refined-times.txt</v>
      </c>
      <c r="AI217" s="96" t="str">
        <f t="shared" si="152"/>
        <v>echo {"issue":{"subject":"","project_id":79,"tracker_id":40,"status_id":1,"priority_id":2,"assigned_to_id":338,"start_date":"2017-10-06","description":"","custom_fields":[{"id":1,"name":"Subdivision","value":"Other"},{"id":4,"name":"Milepost","value":"2.3306"},{"id":17,"name":"Train ID","value":"307-05"},{"id":16,"name":"Locomotive ID","value":"4008"},{"id":130,"name":"Impact","value":""},{"id":150,"name":"Time of Event (Mountain Time)","value":"01:24:02"},{"id":151,"name":"Denver Issue ID","value":""},{"id":178,"name":"Operational Impact","value":"Yes"},{"id":179,"name":"Denver Segment Assigned","value":""}]}} | curl --insecure -X POST -H "Content-Type: application/json" -H "X-Redmine-API-Key: %REDMINEAPIKEY%" https://secure.xorail.net/redmine/issues.json --data @-</v>
      </c>
      <c r="AK217" s="47"/>
      <c r="AL217" s="47"/>
      <c r="AM217" s="142" t="str">
        <f t="shared" si="153"/>
        <v>start /low /b %USERPROFILE%\Documents\GitHub\eaglep3\Utilities\DownloadLogsFromS3.py --loco 4008 --day 2017-10-06</v>
      </c>
      <c r="AN217" s="151" t="str">
        <f t="shared" si="154"/>
        <v>echo {"issue":{"subject":"","project_id":30,"tracker_id":4,"status_id":1,"priority_id":1,"assigned_to_id":10,"start_date":"2017-10-06","description":"","custom_fields":[{"id":30,"name":"Category","value":"Issue"},{"id":3,"name":"Functional Component","value":"Onboard"},{"id":31,"name":"Version","value":"N/A"},{"id":8,"name":"Reporting RR","value":"WABTEC"},{"id":27,"name":"Locomotive ID","value":"4008"},{"id":20,"name":"RR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07:24:02"},{"id":29,"name":"Sharepoint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17" s="168" t="str">
        <f t="shared" si="155"/>
        <v>https://d0f6bd738d7f1b3e5a7ca70fe4ff75f0.us-east-1.aws.found.io/app/kibana#/discover/Steve-Slow-Train-Analysis-(2080s-and-2083s)?_g=(refreshInterval:(display:Off,pause:!f,section:0,value:0),time:(from:'2017-10-06T00:10:23-0600',mode:absolute,to:'2017-10-06T02:24:02-0600'))&amp;_a=(columns:!('Message%20ID',Summary),filters:!(),index:'emp_*',interval:auto,query:(query_string:(analyze_wildcard:!t,query:'%22rtdc.l.rtdc.4008%22')),sort:!(Time.ISO8601,asc))</v>
      </c>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row>
    <row r="218" spans="1:91" s="20" customFormat="1" x14ac:dyDescent="0.25">
      <c r="A218" s="32" t="s">
        <v>574</v>
      </c>
      <c r="B218" s="7">
        <v>4041</v>
      </c>
      <c r="C218" s="21" t="s">
        <v>194</v>
      </c>
      <c r="D218" s="21" t="s">
        <v>885</v>
      </c>
      <c r="E218" s="13">
        <v>43013.175196759257</v>
      </c>
      <c r="F218" s="13">
        <v>43013.181562500002</v>
      </c>
      <c r="G218" s="7">
        <v>165</v>
      </c>
      <c r="H218" s="21" t="s">
        <v>886</v>
      </c>
      <c r="I218" s="13">
        <v>43013.186226851853</v>
      </c>
      <c r="J218" s="7">
        <v>0</v>
      </c>
      <c r="K218" s="89" t="str">
        <f t="shared" si="142"/>
        <v>4041/4042</v>
      </c>
      <c r="L218" s="185" t="str">
        <f>VLOOKUP(A218,'Trips&amp;Operators'!$C$1:$G$99911,5,FALSE)</f>
        <v>WILLIAMS DONTE</v>
      </c>
      <c r="M218" s="6">
        <f t="shared" si="143"/>
        <v>4.6643518508062698E-3</v>
      </c>
      <c r="N218" s="7">
        <f t="shared" si="156"/>
        <v>6.7166666651610285</v>
      </c>
      <c r="O218" s="7"/>
      <c r="P218" s="7"/>
      <c r="Q218" s="22"/>
      <c r="R218" s="174"/>
      <c r="S218" s="221">
        <f t="shared" si="157"/>
        <v>1</v>
      </c>
      <c r="T218" s="174" t="str">
        <f t="shared" si="144"/>
        <v>Southbound</v>
      </c>
      <c r="U218" s="198">
        <f>IF(AG218="EC",COUNTIFS(Variables!$M$2:$M$19,IF(T218="NorthBound","&gt;=","&lt;=")&amp;Y218,Variables!$M$2:$M$19,IF(T218="NorthBound","&lt;=","&gt;=")&amp;Z218),COUNTIFS(Variables!$P$2:$P$19,IF(T218="NorthBound","&gt;=","&lt;=")&amp;Y218,Variables!$P$2:$P$19,IF(T218="NorthBound","&lt;=","&gt;=")&amp;Z218))</f>
        <v>1</v>
      </c>
      <c r="V218" s="216" t="str">
        <f t="shared" si="148"/>
        <v>https://d0f6bd738d7f1b3e5a7ca70fe4ff75f0.us-east-1.aws.found.io/app/kibana#/discover/Steve-Slow-Train-Analysis-(2080s-and-2083s)?_g=(refreshInterval:(display:Off,pause:!f,section:0,value:0),time:(from:'2017-10-05T03:12:17-0600',mode:absolute,to:'2017-10-05T05:28:10-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4041%22')),sort:!(Time.ISO8601,asc))</v>
      </c>
      <c r="W218" s="204" t="str">
        <f>IF(AA218&lt;VLOOKUP(AG218,Variables!$AC$3:$AD$8,2,FALSE),"Y","N")</f>
        <v>Y</v>
      </c>
      <c r="X218" s="204">
        <f t="shared" si="141"/>
        <v>1</v>
      </c>
      <c r="Y218" s="204">
        <f t="shared" si="139"/>
        <v>2.3591000000000002</v>
      </c>
      <c r="Z218" s="204">
        <f t="shared" si="140"/>
        <v>0.45279999999999998</v>
      </c>
      <c r="AA218" s="204">
        <f t="shared" si="145"/>
        <v>1.9063000000000003</v>
      </c>
      <c r="AB218" s="54" t="e">
        <f>VLOOKUP(A218,Enforcements!$C$7:$K$11,8,0)</f>
        <v>#N/A</v>
      </c>
      <c r="AC218" s="51" t="e">
        <f>VLOOKUP(A218,Enforcements!$C$7:$E$11,3,0)</f>
        <v>#N/A</v>
      </c>
      <c r="AD218" s="179">
        <f t="shared" si="146"/>
        <v>308</v>
      </c>
      <c r="AE218" s="77" t="str">
        <f t="shared" si="149"/>
        <v>aws s3 cp s3://rtdc.mdm.uploadarchive.raw/RTDC4041/ "%USERPROFILE%\AppData\Local\Temp\OnboardLogs"\RTDC4041\2017-10-05 --exclude "*" --recursive --include "*20171005*" &amp; "%USERPROFILE%\Documents\GitHub\mrs-test-scripts\Headless Mode &amp; Sideloading\WalkAndUnGZ.bat" "%USERPROFILE%\AppData\Local\Temp\OnboardLogs"\RTDC4041\2017-10-05 &amp; aws s3 cp s3://rtdc.mdm.uploadarchive.raw/RTDC4041/ "%USERPROFILE%\AppData\Local\Temp\OnboardLogs"\RTDC4041\2017-10-06 --exclude "*" --recursive --include "*20171006*" &amp; "%USERPROFILE%\Documents\GitHub\mrs-test-scripts\Headless Mode &amp; Sideloading\WalkAndUnGZ.bat" "%USERPROFILE%\AppData\Local\Temp\OnboardLogs"\RTDC4041\2017-10-06</v>
      </c>
      <c r="AF218" s="74" t="str">
        <f t="shared" si="150"/>
        <v>"C:\Program Files (x86)\AstroGrep\AstroGrep.exe" /e /r /s /spath="%USERPROFILE%\AppData\Local\Temp\OnboardLogs" /stypes="app*4041*20171005*" /stext=" 10:.+((SYSTEM_STATE.+slice.+state.+changed )|(ment ac)|(multiple cpu faults)|(system.+state.+changed )|(\[timeout)|(PRM\|1\|D)|(kpr)|(kdp)|(train st.+moving)|(\|lc)|(penalty))"</v>
      </c>
      <c r="AG218" s="182" t="str">
        <f t="shared" si="147"/>
        <v>Other</v>
      </c>
      <c r="AH218" s="78" t="str">
        <f t="shared" si="151"/>
        <v>"%USERPROFILE%\Documents\GitHub\eaglep3\Utilities\RefineRTDCRunTimes.py" --tripid 308-05 --locoid 4041 --swversion DE.1.0.9.0 --startMP 300:23591 --initTime 2017-10-05T04:12:17 --startdatetime 2017-10-05T04:21:27 --delay 165 --endMP 204:4528 --enddatetime 2017-10-05T04:28:10 --enforcementcount 0 &gt;&gt;%USERPROFILE%\Documents\GitHub\eaglep3-reporting\EC\2017-10-05-refined-times.txt</v>
      </c>
      <c r="AI218" s="96" t="str">
        <f t="shared" si="152"/>
        <v>echo {"issue":{"subject":"","project_id":79,"tracker_id":40,"status_id":1,"priority_id":2,"assigned_to_id":338,"start_date":"2017-10-05","description":"","custom_fields":[{"id":1,"name":"Subdivision","value":"Other"},{"id":4,"name":"Milepost","value":"0.4528"},{"id":17,"name":"Train ID","value":"308-05"},{"id":16,"name":"Locomotive ID","value":"4041"},{"id":130,"name":"Impact","value":""},{"id":150,"name":"Time of Event (Mountain Time)","value":"04:28:10"},{"id":151,"name":"Denver Issue ID","value":""},{"id":178,"name":"Operational Impact","value":"Yes"},{"id":179,"name":"Denver Segment Assigned","value":""}]}} | curl --insecure -X POST -H "Content-Type: application/json" -H "X-Redmine-API-Key: %REDMINEAPIKEY%" https://secure.xorail.net/redmine/issues.json --data @-</v>
      </c>
      <c r="AK218" s="47"/>
      <c r="AL218" s="47"/>
      <c r="AM218" s="142" t="str">
        <f t="shared" si="153"/>
        <v>start /low /b %USERPROFILE%\Documents\GitHub\eaglep3\Utilities\DownloadLogsFromS3.py --loco 4041 --day 2017-10-05</v>
      </c>
      <c r="AN218" s="151" t="str">
        <f t="shared" si="154"/>
        <v>echo {"issue":{"subject":"","project_id":30,"tracker_id":4,"status_id":1,"priority_id":1,"assigned_to_id":10,"start_date":"2017-10-05","description":"","custom_fields":[{"id":30,"name":"Category","value":"Issue"},{"id":3,"name":"Functional Component","value":"Onboard"},{"id":31,"name":"Version","value":"N/A"},{"id":8,"name":"Reporting RR","value":"WABTEC"},{"id":27,"name":"Locomotive ID","value":"4041"},{"id":20,"name":"RR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10:28:10"},{"id":29,"name":"Sharepoint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18" s="168" t="str">
        <f t="shared" si="155"/>
        <v>https://d0f6bd738d7f1b3e5a7ca70fe4ff75f0.us-east-1.aws.found.io/app/kibana#/discover/Steve-Slow-Train-Analysis-(2080s-and-2083s)?_g=(refreshInterval:(display:Off,pause:!f,section:0,value:0),time:(from:'2017-10-05T03:12:17-0600',mode:absolute,to:'2017-10-05T05:28:10-0600'))&amp;_a=(columns:!('Message%20ID',Summary),filters:!(),index:'emp_*',interval:auto,query:(query_string:(analyze_wildcard:!t,query:'%22rtdc.l.rtdc.4041%22')),sort:!(Time.ISO8601,asc))</v>
      </c>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row>
    <row r="219" spans="1:91" s="20" customFormat="1" x14ac:dyDescent="0.25">
      <c r="A219" s="32" t="s">
        <v>814</v>
      </c>
      <c r="B219" s="7">
        <v>4010</v>
      </c>
      <c r="C219" s="21" t="s">
        <v>194</v>
      </c>
      <c r="D219" s="21" t="s">
        <v>411</v>
      </c>
      <c r="E219" s="13">
        <v>43014.0705787037</v>
      </c>
      <c r="F219" s="13">
        <v>43014.072916666664</v>
      </c>
      <c r="G219" s="7">
        <v>106</v>
      </c>
      <c r="H219" s="21" t="s">
        <v>884</v>
      </c>
      <c r="I219" s="13">
        <v>43014.083356481482</v>
      </c>
      <c r="J219" s="7">
        <v>0</v>
      </c>
      <c r="K219" s="89" t="str">
        <f t="shared" si="142"/>
        <v>4009/4010</v>
      </c>
      <c r="L219" s="185" t="str">
        <f>VLOOKUP(A219,'Trips&amp;Operators'!$C$1:$G$99911,5,FALSE)</f>
        <v>NICHOLSON WESLEY</v>
      </c>
      <c r="M219" s="6">
        <f t="shared" si="143"/>
        <v>1.0439814817800652E-2</v>
      </c>
      <c r="N219" s="7">
        <f t="shared" si="156"/>
        <v>15.033333337632939</v>
      </c>
      <c r="O219" s="7"/>
      <c r="P219" s="7"/>
      <c r="Q219" s="22"/>
      <c r="R219" s="174"/>
      <c r="S219" s="221">
        <f t="shared" si="157"/>
        <v>1</v>
      </c>
      <c r="T219" s="174" t="str">
        <f t="shared" si="144"/>
        <v>NorthBound</v>
      </c>
      <c r="U219" s="198">
        <f>IF(AG219="EC",COUNTIFS(Variables!$M$2:$M$19,IF(T219="NorthBound","&gt;=","&lt;=")&amp;Y219,Variables!$M$2:$M$19,IF(T219="NorthBound","&lt;=","&gt;=")&amp;Z219),COUNTIFS(Variables!$P$2:$P$19,IF(T219="NorthBound","&gt;=","&lt;=")&amp;Y219,Variables!$P$2:$P$19,IF(T219="NorthBound","&lt;=","&gt;=")&amp;Z219))</f>
        <v>1</v>
      </c>
      <c r="V219" s="216" t="str">
        <f t="shared" si="148"/>
        <v>https://d0f6bd738d7f1b3e5a7ca70fe4ff75f0.us-east-1.aws.found.io/app/kibana#/discover/Steve-Slow-Train-Analysis-(2080s-and-2083s)?_g=(refreshInterval:(display:Off,pause:!f,section:0,value:0),time:(from:'2017-10-06T00:41:38-0600',mode:absolute,to:'2017-10-06T03:00:02-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W219" s="204" t="str">
        <f>IF(AA219&lt;VLOOKUP(AG219,Variables!$AC$3:$AD$8,2,FALSE),"Y","N")</f>
        <v>Y</v>
      </c>
      <c r="X219" s="204">
        <f t="shared" si="141"/>
        <v>1</v>
      </c>
      <c r="Y219" s="204">
        <f t="shared" ref="Y219:Y251" si="158">RIGHT(D219,LEN(D219)-4)/10000</f>
        <v>4.3799999999999999E-2</v>
      </c>
      <c r="Z219" s="204">
        <f t="shared" ref="Z219:Z251" si="159">RIGHT(H219,LEN(H219)-4)/10000</f>
        <v>2.3306</v>
      </c>
      <c r="AA219" s="204">
        <f t="shared" si="145"/>
        <v>2.2867999999999999</v>
      </c>
      <c r="AB219" s="54" t="e">
        <f>VLOOKUP(A219,Enforcements!$C$7:$K$11,8,0)</f>
        <v>#N/A</v>
      </c>
      <c r="AC219" s="51" t="e">
        <f>VLOOKUP(A219,Enforcements!$C$7:$E$11,3,0)</f>
        <v>#N/A</v>
      </c>
      <c r="AD219" s="179">
        <f t="shared" si="146"/>
        <v>309</v>
      </c>
      <c r="AE219" s="77" t="str">
        <f t="shared" si="149"/>
        <v>aws s3 cp s3://rtdc.mdm.uploadarchive.raw/RTDC4010/ "%USERPROFILE%\AppData\Local\Temp\OnboardLogs"\RTDC4010\2017-10-06 --exclude "*" --recursive --include "*20171006*" &amp; "%USERPROFILE%\Documents\GitHub\mrs-test-scripts\Headless Mode &amp; Sideloading\WalkAndUnGZ.bat" "%USERPROFILE%\AppData\Local\Temp\OnboardLogs"\RTDC4010\2017-10-06 &amp; aws s3 cp s3://rtdc.mdm.uploadarchive.raw/RTDC4010/ "%USERPROFILE%\AppData\Local\Temp\OnboardLogs"\RTDC4010\2017-10-07 --exclude "*" --recursive --include "*20171007*" &amp; "%USERPROFILE%\Documents\GitHub\mrs-test-scripts\Headless Mode &amp; Sideloading\WalkAndUnGZ.bat" "%USERPROFILE%\AppData\Local\Temp\OnboardLogs"\RTDC4010\2017-10-07</v>
      </c>
      <c r="AF219" s="74" t="str">
        <f t="shared" si="150"/>
        <v>"C:\Program Files (x86)\AstroGrep\AstroGrep.exe" /e /r /s /spath="%USERPROFILE%\AppData\Local\Temp\OnboardLogs" /stypes="app*4010*20171006*" /stext=" 08:.+((SYSTEM_STATE.+slice.+state.+changed )|(ment ac)|(multiple cpu faults)|(system.+state.+changed )|(\[timeout)|(PRM\|1\|D)|(kpr)|(kdp)|(train st.+moving)|(\|lc)|(penalty))"</v>
      </c>
      <c r="AG219" s="182" t="str">
        <f t="shared" si="147"/>
        <v>Other</v>
      </c>
      <c r="AH219" s="78" t="str">
        <f t="shared" si="151"/>
        <v>"%USERPROFILE%\Documents\GitHub\eaglep3\Utilities\RefineRTDCRunTimes.py" --tripid 309-05 --locoid 4010 --swversion DE.1.0.9.0 --startMP 204:438 --initTime 2017-10-06T01:41:38 --startdatetime 2017-10-06T01:45:00 --delay 106 --endMP 300:23306 --enddatetime 2017-10-06T02:00:02 --enforcementcount 0 &gt;&gt;%USERPROFILE%\Documents\GitHub\eaglep3-reporting\EC\2017-10-05-refined-times.txt</v>
      </c>
      <c r="AI219" s="96" t="str">
        <f t="shared" si="152"/>
        <v>echo {"issue":{"subject":"","project_id":79,"tracker_id":40,"status_id":1,"priority_id":2,"assigned_to_id":338,"start_date":"2017-10-06","description":"","custom_fields":[{"id":1,"name":"Subdivision","value":"Other"},{"id":4,"name":"Milepost","value":"2.3306"},{"id":17,"name":"Train ID","value":"309-05"},{"id":16,"name":"Locomotive ID","value":"4010"},{"id":130,"name":"Impact","value":""},{"id":150,"name":"Time of Event (Mountain Time)","value":"02:00:02"},{"id":151,"name":"Denver Issue ID","value":""},{"id":178,"name":"Operational Impact","value":"Yes"},{"id":179,"name":"Denver Segment Assigned","value":""}]}} | curl --insecure -X POST -H "Content-Type: application/json" -H "X-Redmine-API-Key: %REDMINEAPIKEY%" https://secure.xorail.net/redmine/issues.json --data @-</v>
      </c>
      <c r="AK219" s="47"/>
      <c r="AL219" s="47"/>
      <c r="AM219" s="142" t="str">
        <f t="shared" si="153"/>
        <v>start /low /b %USERPROFILE%\Documents\GitHub\eaglep3\Utilities\DownloadLogsFromS3.py --loco 4010 --day 2017-10-06</v>
      </c>
      <c r="AN219" s="151" t="str">
        <f t="shared" si="154"/>
        <v>echo {"issue":{"subject":"","project_id":30,"tracker_id":4,"status_id":1,"priority_id":1,"assigned_to_id":10,"start_date":"2017-10-06","description":"","custom_fields":[{"id":30,"name":"Category","value":"Issue"},{"id":3,"name":"Functional Component","value":"Onboard"},{"id":31,"name":"Version","value":"N/A"},{"id":8,"name":"Reporting RR","value":"WABTEC"},{"id":27,"name":"Locomotive ID","value":"4010"},{"id":20,"name":"RR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08:00:02"},{"id":29,"name":"Sharepoint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19" s="168" t="str">
        <f t="shared" si="155"/>
        <v>https://d0f6bd738d7f1b3e5a7ca70fe4ff75f0.us-east-1.aws.found.io/app/kibana#/discover/Steve-Slow-Train-Analysis-(2080s-and-2083s)?_g=(refreshInterval:(display:Off,pause:!f,section:0,value:0),time:(from:'2017-10-06T00:41:38-0600',mode:absolute,to:'2017-10-06T03:00:02-0600'))&amp;_a=(columns:!('Message%20ID',Summary),filters:!(),index:'emp_*',interval:auto,query:(query_string:(analyze_wildcard:!t,query:'%22rtdc.l.rtdc.4010%22')),sort:!(Time.ISO8601,asc))</v>
      </c>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row>
    <row r="220" spans="1:91" s="20" customFormat="1" x14ac:dyDescent="0.25">
      <c r="A220" s="32" t="s">
        <v>635</v>
      </c>
      <c r="B220" s="7">
        <v>4011</v>
      </c>
      <c r="C220" s="21" t="s">
        <v>194</v>
      </c>
      <c r="D220" s="21" t="s">
        <v>887</v>
      </c>
      <c r="E220" s="13">
        <v>43013.193981481483</v>
      </c>
      <c r="F220" s="13">
        <v>43013.196863425925</v>
      </c>
      <c r="G220" s="7">
        <v>69</v>
      </c>
      <c r="H220" s="21" t="s">
        <v>337</v>
      </c>
      <c r="I220" s="13">
        <v>43013.202384259261</v>
      </c>
      <c r="J220" s="7">
        <v>0</v>
      </c>
      <c r="K220" s="89" t="str">
        <f t="shared" si="142"/>
        <v>4011/4012</v>
      </c>
      <c r="L220" s="185" t="str">
        <f>VLOOKUP(A220,'Trips&amp;Operators'!$C$1:$G$99911,5,FALSE)</f>
        <v>YANAI IAN</v>
      </c>
      <c r="M220" s="6">
        <f t="shared" si="143"/>
        <v>5.5208333360496908E-3</v>
      </c>
      <c r="N220" s="7">
        <f t="shared" si="156"/>
        <v>7.9500000039115548</v>
      </c>
      <c r="O220" s="7"/>
      <c r="P220" s="7"/>
      <c r="Q220" s="22"/>
      <c r="R220" s="174"/>
      <c r="S220" s="221">
        <f t="shared" si="157"/>
        <v>1</v>
      </c>
      <c r="T220" s="174" t="str">
        <f t="shared" si="144"/>
        <v>Southbound</v>
      </c>
      <c r="U220" s="198">
        <f>IF(AG220="EC",COUNTIFS(Variables!$M$2:$M$19,IF(T220="NorthBound","&gt;=","&lt;=")&amp;Y220,Variables!$M$2:$M$19,IF(T220="NorthBound","&lt;=","&gt;=")&amp;Z220),COUNTIFS(Variables!$P$2:$P$19,IF(T220="NorthBound","&gt;=","&lt;=")&amp;Y220,Variables!$P$2:$P$19,IF(T220="NorthBound","&lt;=","&gt;=")&amp;Z220))</f>
        <v>1</v>
      </c>
      <c r="V220" s="216" t="str">
        <f t="shared" si="148"/>
        <v>https://d0f6bd738d7f1b3e5a7ca70fe4ff75f0.us-east-1.aws.found.io/app/kibana#/discover/Steve-Slow-Train-Analysis-(2080s-and-2083s)?_g=(refreshInterval:(display:Off,pause:!f,section:0,value:0),time:(from:'2017-10-05T03:39:20-0600',mode:absolute,to:'2017-10-05T05:51:26-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4011%22')),sort:!(Time.ISO8601,asc))</v>
      </c>
      <c r="W220" s="204" t="str">
        <f>IF(AA220&lt;VLOOKUP(AG220,Variables!$AC$3:$AD$8,2,FALSE),"Y","N")</f>
        <v>Y</v>
      </c>
      <c r="X220" s="204">
        <f t="shared" ref="X220:X251" si="160">VALUE(LEFT(AD220,4))-VALUE(LEFT(AD219,4))</f>
        <v>1</v>
      </c>
      <c r="Y220" s="204">
        <f t="shared" si="158"/>
        <v>2.3715999999999999</v>
      </c>
      <c r="Z220" s="204">
        <f t="shared" si="159"/>
        <v>1.43E-2</v>
      </c>
      <c r="AA220" s="204">
        <f t="shared" si="145"/>
        <v>2.3573</v>
      </c>
      <c r="AB220" s="54" t="e">
        <f>VLOOKUP(A220,Enforcements!$C$7:$K$11,8,0)</f>
        <v>#N/A</v>
      </c>
      <c r="AC220" s="51" t="e">
        <f>VLOOKUP(A220,Enforcements!$C$7:$E$11,3,0)</f>
        <v>#N/A</v>
      </c>
      <c r="AD220" s="179">
        <f t="shared" si="146"/>
        <v>310</v>
      </c>
      <c r="AE220" s="77" t="str">
        <f t="shared" si="149"/>
        <v>aws s3 cp s3://rtdc.mdm.uploadarchive.raw/RTDC4011/ "%USERPROFILE%\AppData\Local\Temp\OnboardLogs"\RTDC4011\2017-10-05 --exclude "*" --recursive --include "*20171005*" &amp; "%USERPROFILE%\Documents\GitHub\mrs-test-scripts\Headless Mode &amp; Sideloading\WalkAndUnGZ.bat" "%USERPROFILE%\AppData\Local\Temp\OnboardLogs"\RTDC4011\2017-10-05 &amp; aws s3 cp s3://rtdc.mdm.uploadarchive.raw/RTDC4011/ "%USERPROFILE%\AppData\Local\Temp\OnboardLogs"\RTDC4011\2017-10-06 --exclude "*" --recursive --include "*20171006*" &amp; "%USERPROFILE%\Documents\GitHub\mrs-test-scripts\Headless Mode &amp; Sideloading\WalkAndUnGZ.bat" "%USERPROFILE%\AppData\Local\Temp\OnboardLogs"\RTDC4011\2017-10-06</v>
      </c>
      <c r="AF220" s="74" t="str">
        <f t="shared" si="150"/>
        <v>"C:\Program Files (x86)\AstroGrep\AstroGrep.exe" /e /r /s /spath="%USERPROFILE%\AppData\Local\Temp\OnboardLogs" /stypes="app*4011*20171005*" /stext=" 10:.+((SYSTEM_STATE.+slice.+state.+changed )|(ment ac)|(multiple cpu faults)|(system.+state.+changed )|(\[timeout)|(PRM\|1\|D)|(kpr)|(kdp)|(train st.+moving)|(\|lc)|(penalty))"</v>
      </c>
      <c r="AG220" s="182" t="str">
        <f t="shared" si="147"/>
        <v>Other</v>
      </c>
      <c r="AH220" s="78" t="str">
        <f t="shared" si="151"/>
        <v>"%USERPROFILE%\Documents\GitHub\eaglep3\Utilities\RefineRTDCRunTimes.py" --tripid 310-05 --locoid 4011 --swversion DE.1.0.9.0 --startMP 300:23716 --initTime 2017-10-05T04:39:20 --startdatetime 2017-10-05T04:43:29 --delay 69 --endMP 204:143 --enddatetime 2017-10-05T04:51:26 --enforcementcount 0 &gt;&gt;%USERPROFILE%\Documents\GitHub\eaglep3-reporting\EC\2017-10-05-refined-times.txt</v>
      </c>
      <c r="AI220" s="96" t="str">
        <f t="shared" si="152"/>
        <v>echo {"issue":{"subject":"","project_id":79,"tracker_id":40,"status_id":1,"priority_id":2,"assigned_to_id":338,"start_date":"2017-10-05","description":"","custom_fields":[{"id":1,"name":"Subdivision","value":"Other"},{"id":4,"name":"Milepost","value":"0.0143"},{"id":17,"name":"Train ID","value":"310-05"},{"id":16,"name":"Locomotive ID","value":"4011"},{"id":130,"name":"Impact","value":""},{"id":150,"name":"Time of Event (Mountain Time)","value":"04:51:26"},{"id":151,"name":"Denver Issue ID","value":""},{"id":178,"name":"Operational Impact","value":"Yes"},{"id":179,"name":"Denver Segment Assigned","value":""}]}} | curl --insecure -X POST -H "Content-Type: application/json" -H "X-Redmine-API-Key: %REDMINEAPIKEY%" https://secure.xorail.net/redmine/issues.json --data @-</v>
      </c>
      <c r="AK220" s="47"/>
      <c r="AL220" s="47"/>
      <c r="AM220" s="142" t="str">
        <f t="shared" si="153"/>
        <v>start /low /b %USERPROFILE%\Documents\GitHub\eaglep3\Utilities\DownloadLogsFromS3.py --loco 4011 --day 2017-10-05</v>
      </c>
      <c r="AN220" s="151" t="str">
        <f t="shared" si="154"/>
        <v>echo {"issue":{"subject":"","project_id":30,"tracker_id":4,"status_id":1,"priority_id":1,"assigned_to_id":10,"start_date":"2017-10-05","description":"","custom_fields":[{"id":30,"name":"Category","value":"Issue"},{"id":3,"name":"Functional Component","value":"Onboard"},{"id":31,"name":"Version","value":"N/A"},{"id":8,"name":"Reporting RR","value":"WABTEC"},{"id":27,"name":"Locomotive ID","value":"4011"},{"id":20,"name":"RR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10:51:26"},{"id":29,"name":"Sharepoint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20" s="168" t="str">
        <f t="shared" si="155"/>
        <v>https://d0f6bd738d7f1b3e5a7ca70fe4ff75f0.us-east-1.aws.found.io/app/kibana#/discover/Steve-Slow-Train-Analysis-(2080s-and-2083s)?_g=(refreshInterval:(display:Off,pause:!f,section:0,value:0),time:(from:'2017-10-05T03:39:20-0600',mode:absolute,to:'2017-10-05T05:51:26-0600'))&amp;_a=(columns:!('Message%20ID',Summary),filters:!(),index:'emp_*',interval:auto,query:(query_string:(analyze_wildcard:!t,query:'%22rtdc.l.rtdc.4011%22')),sort:!(Time.ISO8601,asc))</v>
      </c>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row>
    <row r="221" spans="1:91" s="20" customFormat="1" x14ac:dyDescent="0.25">
      <c r="A221" s="32" t="s">
        <v>815</v>
      </c>
      <c r="B221" s="7">
        <v>4028</v>
      </c>
      <c r="C221" s="21" t="s">
        <v>194</v>
      </c>
      <c r="D221" s="21" t="s">
        <v>537</v>
      </c>
      <c r="E221" s="13">
        <v>43014.087870370371</v>
      </c>
      <c r="F221" s="13">
        <v>43014.089513888888</v>
      </c>
      <c r="G221" s="7">
        <v>66</v>
      </c>
      <c r="H221" s="21" t="s">
        <v>493</v>
      </c>
      <c r="I221" s="13">
        <v>43014.099780092591</v>
      </c>
      <c r="J221" s="7">
        <v>0</v>
      </c>
      <c r="K221" s="89" t="str">
        <f t="shared" si="142"/>
        <v>4027/4028</v>
      </c>
      <c r="L221" s="185" t="str">
        <f>VLOOKUP(A221,'Trips&amp;Operators'!$C$1:$G$99911,5,FALSE)</f>
        <v>MCREYNOLDS KYLE</v>
      </c>
      <c r="M221" s="6">
        <f t="shared" si="143"/>
        <v>1.0266203702485655E-2</v>
      </c>
      <c r="N221" s="7">
        <f t="shared" si="156"/>
        <v>14.783333331579342</v>
      </c>
      <c r="O221" s="7"/>
      <c r="P221" s="7"/>
      <c r="Q221" s="22"/>
      <c r="R221" s="174"/>
      <c r="S221" s="221">
        <f t="shared" si="157"/>
        <v>1</v>
      </c>
      <c r="T221" s="174" t="str">
        <f t="shared" si="144"/>
        <v>NorthBound</v>
      </c>
      <c r="U221" s="198">
        <f>IF(AG221="EC",COUNTIFS(Variables!$M$2:$M$19,IF(T221="NorthBound","&gt;=","&lt;=")&amp;Y221,Variables!$M$2:$M$19,IF(T221="NorthBound","&lt;=","&gt;=")&amp;Z221),COUNTIFS(Variables!$P$2:$P$19,IF(T221="NorthBound","&gt;=","&lt;=")&amp;Y221,Variables!$P$2:$P$19,IF(T221="NorthBound","&lt;=","&gt;=")&amp;Z221))</f>
        <v>1</v>
      </c>
      <c r="V221" s="216" t="str">
        <f t="shared" si="148"/>
        <v>https://d0f6bd738d7f1b3e5a7ca70fe4ff75f0.us-east-1.aws.found.io/app/kibana#/discover/Steve-Slow-Train-Analysis-(2080s-and-2083s)?_g=(refreshInterval:(display:Off,pause:!f,section:0,value:0),time:(from:'2017-10-06T01:06:32-0600',mode:absolute,to:'2017-10-06T03:23:41-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W221" s="204" t="str">
        <f>IF(AA221&lt;VLOOKUP(AG221,Variables!$AC$3:$AD$8,2,FALSE),"Y","N")</f>
        <v>Y</v>
      </c>
      <c r="X221" s="204">
        <f t="shared" si="160"/>
        <v>1</v>
      </c>
      <c r="Y221" s="204">
        <f t="shared" si="158"/>
        <v>4.6199999999999998E-2</v>
      </c>
      <c r="Z221" s="204">
        <f t="shared" si="159"/>
        <v>2.3346</v>
      </c>
      <c r="AA221" s="204">
        <f t="shared" si="145"/>
        <v>2.2884000000000002</v>
      </c>
      <c r="AB221" s="54" t="e">
        <f>VLOOKUP(A221,Enforcements!$C$7:$K$11,8,0)</f>
        <v>#N/A</v>
      </c>
      <c r="AC221" s="51" t="e">
        <f>VLOOKUP(A221,Enforcements!$C$7:$E$11,3,0)</f>
        <v>#N/A</v>
      </c>
      <c r="AD221" s="179">
        <f t="shared" si="146"/>
        <v>311</v>
      </c>
      <c r="AE221" s="77" t="str">
        <f t="shared" si="149"/>
        <v>aws s3 cp s3://rtdc.mdm.uploadarchive.raw/RTDC4028/ "%USERPROFILE%\AppData\Local\Temp\OnboardLogs"\RTDC4028\2017-10-06 --exclude "*" --recursive --include "*20171006*" &amp; "%USERPROFILE%\Documents\GitHub\mrs-test-scripts\Headless Mode &amp; Sideloading\WalkAndUnGZ.bat" "%USERPROFILE%\AppData\Local\Temp\OnboardLogs"\RTDC4028\2017-10-06 &amp; aws s3 cp s3://rtdc.mdm.uploadarchive.raw/RTDC4028/ "%USERPROFILE%\AppData\Local\Temp\OnboardLogs"\RTDC4028\2017-10-07 --exclude "*" --recursive --include "*20171007*" &amp; "%USERPROFILE%\Documents\GitHub\mrs-test-scripts\Headless Mode &amp; Sideloading\WalkAndUnGZ.bat" "%USERPROFILE%\AppData\Local\Temp\OnboardLogs"\RTDC4028\2017-10-07</v>
      </c>
      <c r="AF221" s="74" t="str">
        <f t="shared" si="150"/>
        <v>"C:\Program Files (x86)\AstroGrep\AstroGrep.exe" /e /r /s /spath="%USERPROFILE%\AppData\Local\Temp\OnboardLogs" /stypes="app*4028*20171006*" /stext=" 08:.+((SYSTEM_STATE.+slice.+state.+changed )|(ment ac)|(multiple cpu faults)|(system.+state.+changed )|(\[timeout)|(PRM\|1\|D)|(kpr)|(kdp)|(train st.+moving)|(\|lc)|(penalty))"</v>
      </c>
      <c r="AG221" s="182" t="str">
        <f t="shared" si="147"/>
        <v>Other</v>
      </c>
      <c r="AH221" s="78" t="str">
        <f t="shared" si="151"/>
        <v>"%USERPROFILE%\Documents\GitHub\eaglep3\Utilities\RefineRTDCRunTimes.py" --tripid 311-05 --locoid 4028 --swversion DE.1.0.9.0 --startMP 204:462 --initTime 2017-10-06T02:06:32 --startdatetime 2017-10-06T02:08:54 --delay 66 --endMP 300:23346 --enddatetime 2017-10-06T02:23:41 --enforcementcount 0 &gt;&gt;%USERPROFILE%\Documents\GitHub\eaglep3-reporting\EC\2017-10-05-refined-times.txt</v>
      </c>
      <c r="AI221" s="96" t="str">
        <f t="shared" si="152"/>
        <v>echo {"issue":{"subject":"","project_id":79,"tracker_id":40,"status_id":1,"priority_id":2,"assigned_to_id":338,"start_date":"2017-10-06","description":"","custom_fields":[{"id":1,"name":"Subdivision","value":"Other"},{"id":4,"name":"Milepost","value":"2.3346"},{"id":17,"name":"Train ID","value":"311-05"},{"id":16,"name":"Locomotive ID","value":"4028"},{"id":130,"name":"Impact","value":""},{"id":150,"name":"Time of Event (Mountain Time)","value":"02:23:41"},{"id":151,"name":"Denver Issue ID","value":""},{"id":178,"name":"Operational Impact","value":"Yes"},{"id":179,"name":"Denver Segment Assigned","value":""}]}} | curl --insecure -X POST -H "Content-Type: application/json" -H "X-Redmine-API-Key: %REDMINEAPIKEY%" https://secure.xorail.net/redmine/issues.json --data @-</v>
      </c>
      <c r="AK221" s="47"/>
      <c r="AL221" s="47"/>
      <c r="AM221" s="142" t="str">
        <f t="shared" si="153"/>
        <v>start /low /b %USERPROFILE%\Documents\GitHub\eaglep3\Utilities\DownloadLogsFromS3.py --loco 4028 --day 2017-10-06</v>
      </c>
      <c r="AN221" s="151" t="str">
        <f t="shared" si="154"/>
        <v>echo {"issue":{"subject":"","project_id":30,"tracker_id":4,"status_id":1,"priority_id":1,"assigned_to_id":10,"start_date":"2017-10-06","description":"","custom_fields":[{"id":30,"name":"Category","value":"Issue"},{"id":3,"name":"Functional Component","value":"Onboard"},{"id":31,"name":"Version","value":"N/A"},{"id":8,"name":"Reporting RR","value":"WABTEC"},{"id":27,"name":"Locomotive ID","value":"4028"},{"id":20,"name":"RR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08:23:41"},{"id":29,"name":"Sharepoint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21" s="168" t="str">
        <f t="shared" si="155"/>
        <v>https://d0f6bd738d7f1b3e5a7ca70fe4ff75f0.us-east-1.aws.found.io/app/kibana#/discover/Steve-Slow-Train-Analysis-(2080s-and-2083s)?_g=(refreshInterval:(display:Off,pause:!f,section:0,value:0),time:(from:'2017-10-06T01:06:32-0600',mode:absolute,to:'2017-10-06T03:23:41-0600'))&amp;_a=(columns:!('Message%20ID',Summary),filters:!(),index:'emp_*',interval:auto,query:(query_string:(analyze_wildcard:!t,query:'%22rtdc.l.rtdc.4028%22')),sort:!(Time.ISO8601,asc))</v>
      </c>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row>
    <row r="222" spans="1:91" s="20" customFormat="1" x14ac:dyDescent="0.25">
      <c r="A222" s="32" t="s">
        <v>641</v>
      </c>
      <c r="B222" s="7">
        <v>4015</v>
      </c>
      <c r="C222" s="21" t="s">
        <v>194</v>
      </c>
      <c r="D222" s="21" t="s">
        <v>888</v>
      </c>
      <c r="E222" s="13">
        <v>43013.218831018516</v>
      </c>
      <c r="F222" s="13">
        <v>43013.222962962966</v>
      </c>
      <c r="G222" s="7">
        <v>78</v>
      </c>
      <c r="H222" s="21" t="s">
        <v>335</v>
      </c>
      <c r="I222" s="13">
        <v>43013.228576388887</v>
      </c>
      <c r="J222" s="7">
        <v>0</v>
      </c>
      <c r="K222" s="89" t="str">
        <f t="shared" si="142"/>
        <v>4015/4016</v>
      </c>
      <c r="L222" s="185" t="str">
        <f>VLOOKUP(A222,'Trips&amp;Operators'!$C$1:$G$99911,5,FALSE)</f>
        <v>YANG JAN</v>
      </c>
      <c r="M222" s="6">
        <f t="shared" si="143"/>
        <v>5.6134259211830795E-3</v>
      </c>
      <c r="N222" s="7">
        <f t="shared" si="156"/>
        <v>8.0833333265036345</v>
      </c>
      <c r="O222" s="7"/>
      <c r="P222" s="7"/>
      <c r="Q222" s="22"/>
      <c r="R222" s="174"/>
      <c r="S222" s="221">
        <f t="shared" si="157"/>
        <v>1</v>
      </c>
      <c r="T222" s="174" t="str">
        <f t="shared" si="144"/>
        <v>Southbound</v>
      </c>
      <c r="U222" s="198">
        <f>IF(AG222="EC",COUNTIFS(Variables!$M$2:$M$19,IF(T222="NorthBound","&gt;=","&lt;=")&amp;Y222,Variables!$M$2:$M$19,IF(T222="NorthBound","&lt;=","&gt;=")&amp;Z222),COUNTIFS(Variables!$P$2:$P$19,IF(T222="NorthBound","&gt;=","&lt;=")&amp;Y222,Variables!$P$2:$P$19,IF(T222="NorthBound","&lt;=","&gt;=")&amp;Z222))</f>
        <v>1</v>
      </c>
      <c r="V222" s="216" t="str">
        <f t="shared" si="148"/>
        <v>https://d0f6bd738d7f1b3e5a7ca70fe4ff75f0.us-east-1.aws.found.io/app/kibana#/discover/Steve-Slow-Train-Analysis-(2080s-and-2083s)?_g=(refreshInterval:(display:Off,pause:!f,section:0,value:0),time:(from:'2017-10-05T04:15:07-0600',mode:absolute,to:'2017-10-05T06:29:09-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4015%22')),sort:!(Time.ISO8601,asc))</v>
      </c>
      <c r="W222" s="204" t="str">
        <f>IF(AA222&lt;VLOOKUP(AG222,Variables!$AC$3:$AD$8,2,FALSE),"Y","N")</f>
        <v>Y</v>
      </c>
      <c r="X222" s="204">
        <f t="shared" si="160"/>
        <v>1</v>
      </c>
      <c r="Y222" s="204">
        <f t="shared" si="158"/>
        <v>2.3601000000000001</v>
      </c>
      <c r="Z222" s="204">
        <f t="shared" si="159"/>
        <v>1.4999999999999999E-2</v>
      </c>
      <c r="AA222" s="204">
        <f t="shared" si="145"/>
        <v>2.3451</v>
      </c>
      <c r="AB222" s="54" t="e">
        <f>VLOOKUP(A222,Enforcements!$C$7:$K$11,8,0)</f>
        <v>#N/A</v>
      </c>
      <c r="AC222" s="51" t="e">
        <f>VLOOKUP(A222,Enforcements!$C$7:$E$11,3,0)</f>
        <v>#N/A</v>
      </c>
      <c r="AD222" s="179">
        <f t="shared" si="146"/>
        <v>312</v>
      </c>
      <c r="AE222" s="77" t="str">
        <f t="shared" si="149"/>
        <v>aws s3 cp s3://rtdc.mdm.uploadarchive.raw/RTDC4015/ "%USERPROFILE%\AppData\Local\Temp\OnboardLogs"\RTDC4015\2017-10-05 --exclude "*" --recursive --include "*20171005*" &amp; "%USERPROFILE%\Documents\GitHub\mrs-test-scripts\Headless Mode &amp; Sideloading\WalkAndUnGZ.bat" "%USERPROFILE%\AppData\Local\Temp\OnboardLogs"\RTDC4015\2017-10-05 &amp; aws s3 cp s3://rtdc.mdm.uploadarchive.raw/RTDC4015/ "%USERPROFILE%\AppData\Local\Temp\OnboardLogs"\RTDC4015\2017-10-06 --exclude "*" --recursive --include "*20171006*" &amp; "%USERPROFILE%\Documents\GitHub\mrs-test-scripts\Headless Mode &amp; Sideloading\WalkAndUnGZ.bat" "%USERPROFILE%\AppData\Local\Temp\OnboardLogs"\RTDC4015\2017-10-06</v>
      </c>
      <c r="AF222" s="74" t="str">
        <f t="shared" si="150"/>
        <v>"C:\Program Files (x86)\AstroGrep\AstroGrep.exe" /e /r /s /spath="%USERPROFILE%\AppData\Local\Temp\OnboardLogs" /stypes="app*4015*20171005*" /stext=" 11:.+((SYSTEM_STATE.+slice.+state.+changed )|(ment ac)|(multiple cpu faults)|(system.+state.+changed )|(\[timeout)|(PRM\|1\|D)|(kpr)|(kdp)|(train st.+moving)|(\|lc)|(penalty))"</v>
      </c>
      <c r="AG222" s="182" t="str">
        <f t="shared" si="147"/>
        <v>Other</v>
      </c>
      <c r="AH222" s="78" t="str">
        <f t="shared" si="151"/>
        <v>"%USERPROFILE%\Documents\GitHub\eaglep3\Utilities\RefineRTDCRunTimes.py" --tripid 312-05 --locoid 4015 --swversion DE.1.0.9.0 --startMP 300:23601 --initTime 2017-10-05T05:15:07 --startdatetime 2017-10-05T05:21:04 --delay 78 --endMP 204:150 --enddatetime 2017-10-05T05:29:09 --enforcementcount 0 &gt;&gt;%USERPROFILE%\Documents\GitHub\eaglep3-reporting\EC\2017-10-05-refined-times.txt</v>
      </c>
      <c r="AI222" s="96" t="str">
        <f t="shared" si="152"/>
        <v>echo {"issue":{"subject":"","project_id":79,"tracker_id":40,"status_id":1,"priority_id":2,"assigned_to_id":338,"start_date":"2017-10-05","description":"","custom_fields":[{"id":1,"name":"Subdivision","value":"Other"},{"id":4,"name":"Milepost","value":"0.015"},{"id":17,"name":"Train ID","value":"312-05"},{"id":16,"name":"Locomotive ID","value":"4015"},{"id":130,"name":"Impact","value":""},{"id":150,"name":"Time of Event (Mountain Time)","value":"05:29:09"},{"id":151,"name":"Denver Issue ID","value":""},{"id":178,"name":"Operational Impact","value":"Yes"},{"id":179,"name":"Denver Segment Assigned","value":""}]}} | curl --insecure -X POST -H "Content-Type: application/json" -H "X-Redmine-API-Key: %REDMINEAPIKEY%" https://secure.xorail.net/redmine/issues.json --data @-</v>
      </c>
      <c r="AK222" s="47"/>
      <c r="AL222" s="47"/>
      <c r="AM222" s="142" t="str">
        <f t="shared" si="153"/>
        <v>start /low /b %USERPROFILE%\Documents\GitHub\eaglep3\Utilities\DownloadLogsFromS3.py --loco 4015 --day 2017-10-05</v>
      </c>
      <c r="AN222" s="151" t="str">
        <f t="shared" si="154"/>
        <v>echo {"issue":{"subject":"","project_id":30,"tracker_id":4,"status_id":1,"priority_id":1,"assigned_to_id":10,"start_date":"2017-10-05","description":"","custom_fields":[{"id":30,"name":"Category","value":"Issue"},{"id":3,"name":"Functional Component","value":"Onboard"},{"id":31,"name":"Version","value":"N/A"},{"id":8,"name":"Reporting RR","value":"WABTEC"},{"id":27,"name":"Locomotive ID","value":"4015"},{"id":20,"name":"RR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11:29:09"},{"id":29,"name":"Sharepoint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22" s="168" t="str">
        <f t="shared" si="155"/>
        <v>https://d0f6bd738d7f1b3e5a7ca70fe4ff75f0.us-east-1.aws.found.io/app/kibana#/discover/Steve-Slow-Train-Analysis-(2080s-and-2083s)?_g=(refreshInterval:(display:Off,pause:!f,section:0,value:0),time:(from:'2017-10-05T04:15:07-0600',mode:absolute,to:'2017-10-05T06:29:09-0600'))&amp;_a=(columns:!('Message%20ID',Summary),filters:!(),index:'emp_*',interval:auto,query:(query_string:(analyze_wildcard:!t,query:'%22rtdc.l.rtdc.4015%22')),sort:!(Time.ISO8601,asc))</v>
      </c>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row>
    <row r="223" spans="1:91" s="20" customFormat="1" x14ac:dyDescent="0.25">
      <c r="A223" s="32" t="s">
        <v>810</v>
      </c>
      <c r="B223" s="7">
        <v>4044</v>
      </c>
      <c r="C223" s="21" t="s">
        <v>194</v>
      </c>
      <c r="D223" s="21" t="s">
        <v>540</v>
      </c>
      <c r="E223" s="13">
        <v>43014.024884259263</v>
      </c>
      <c r="F223" s="13">
        <v>43014.032534722224</v>
      </c>
      <c r="G223" s="7">
        <v>50</v>
      </c>
      <c r="H223" s="21" t="s">
        <v>889</v>
      </c>
      <c r="I223" s="13">
        <v>43014.038784722223</v>
      </c>
      <c r="J223" s="7">
        <v>0</v>
      </c>
      <c r="K223" s="89" t="str">
        <f t="shared" ref="K223:K251" si="161">IF(ISEVEN(B223),(B223-1)&amp;"/"&amp;B223,B223&amp;"/"&amp;(B223+1))</f>
        <v>4043/4044</v>
      </c>
      <c r="L223" s="185" t="str">
        <f>VLOOKUP(A223,'Trips&amp;Operators'!$C$1:$G$99911,5,FALSE)</f>
        <v>HART KEVIN</v>
      </c>
      <c r="M223" s="6">
        <f t="shared" ref="M223:M251" si="162">I223-F223</f>
        <v>6.2499999985448085E-3</v>
      </c>
      <c r="N223" s="7">
        <f t="shared" si="156"/>
        <v>8.9999999979045242</v>
      </c>
      <c r="O223" s="7"/>
      <c r="P223" s="7"/>
      <c r="Q223" s="22"/>
      <c r="R223" s="174"/>
      <c r="S223" s="221">
        <f t="shared" si="157"/>
        <v>1</v>
      </c>
      <c r="T223" s="174" t="str">
        <f t="shared" ref="T223:T251" si="163">IF(ISEVEN(LEFT(AD223,4)),"Southbound","NorthBound")</f>
        <v>NorthBound</v>
      </c>
      <c r="U223" s="198">
        <f>IF(AG223="EC",COUNTIFS(Variables!$M$2:$M$19,IF(T223="NorthBound","&gt;=","&lt;=")&amp;Y223,Variables!$M$2:$M$19,IF(T223="NorthBound","&lt;=","&gt;=")&amp;Z223),COUNTIFS(Variables!$P$2:$P$19,IF(T223="NorthBound","&gt;=","&lt;=")&amp;Y223,Variables!$P$2:$P$19,IF(T223="NorthBound","&lt;=","&gt;=")&amp;Z223))</f>
        <v>1</v>
      </c>
      <c r="V223" s="216" t="str">
        <f t="shared" si="148"/>
        <v>https://d0f6bd738d7f1b3e5a7ca70fe4ff75f0.us-east-1.aws.found.io/app/kibana#/discover/Steve-Slow-Train-Analysis-(2080s-and-2083s)?_g=(refreshInterval:(display:Off,pause:!f,section:0,value:0),time:(from:'2017-10-05T23:35:50-0600',mode:absolute,to:'2017-10-06T01:55:51-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4044%22')),sort:!(Time.ISO8601,asc))</v>
      </c>
      <c r="W223" s="204" t="str">
        <f>IF(AA223&lt;VLOOKUP(AG223,Variables!$AC$3:$AD$8,2,FALSE),"Y","N")</f>
        <v>Y</v>
      </c>
      <c r="X223" s="204">
        <f t="shared" si="160"/>
        <v>1</v>
      </c>
      <c r="Y223" s="204">
        <f t="shared" si="158"/>
        <v>4.2200000000000001E-2</v>
      </c>
      <c r="Z223" s="204">
        <f t="shared" si="159"/>
        <v>2.3313999999999999</v>
      </c>
      <c r="AA223" s="204">
        <f t="shared" ref="AA223:AA251" si="164">ABS(Z223-Y223)</f>
        <v>2.2892000000000001</v>
      </c>
      <c r="AB223" s="54" t="e">
        <f>VLOOKUP(A223,Enforcements!$C$7:$K$11,8,0)</f>
        <v>#N/A</v>
      </c>
      <c r="AC223" s="51" t="e">
        <f>VLOOKUP(A223,Enforcements!$C$7:$E$11,3,0)</f>
        <v>#N/A</v>
      </c>
      <c r="AD223" s="179">
        <f t="shared" ref="AD223:AD251" si="165">VALUE(LEFT(A223,LEN(A223)-3))</f>
        <v>313</v>
      </c>
      <c r="AE223" s="77" t="str">
        <f t="shared" si="149"/>
        <v>aws s3 cp s3://rtdc.mdm.uploadarchive.raw/RTDC4044/ "%USERPROFILE%\AppData\Local\Temp\OnboardLogs"\RTDC4044\2017-10-06 --exclude "*" --recursive --include "*20171006*" &amp; "%USERPROFILE%\Documents\GitHub\mrs-test-scripts\Headless Mode &amp; Sideloading\WalkAndUnGZ.bat" "%USERPROFILE%\AppData\Local\Temp\OnboardLogs"\RTDC4044\2017-10-06 &amp; aws s3 cp s3://rtdc.mdm.uploadarchive.raw/RTDC4044/ "%USERPROFILE%\AppData\Local\Temp\OnboardLogs"\RTDC4044\2017-10-07 --exclude "*" --recursive --include "*20171007*" &amp; "%USERPROFILE%\Documents\GitHub\mrs-test-scripts\Headless Mode &amp; Sideloading\WalkAndUnGZ.bat" "%USERPROFILE%\AppData\Local\Temp\OnboardLogs"\RTDC4044\2017-10-07</v>
      </c>
      <c r="AF223" s="74" t="str">
        <f t="shared" si="150"/>
        <v>"C:\Program Files (x86)\AstroGrep\AstroGrep.exe" /e /r /s /spath="%USERPROFILE%\AppData\Local\Temp\OnboardLogs" /stypes="app*4044*20171006*" /stext=" 06:.+((SYSTEM_STATE.+slice.+state.+changed )|(ment ac)|(multiple cpu faults)|(system.+state.+changed )|(\[timeout)|(PRM\|1\|D)|(kpr)|(kdp)|(train st.+moving)|(\|lc)|(penalty))"</v>
      </c>
      <c r="AG223" s="182" t="str">
        <f t="shared" ref="AG223:AG251" si="166">DetSubdiv(A223)</f>
        <v>Other</v>
      </c>
      <c r="AH223" s="78" t="str">
        <f t="shared" si="151"/>
        <v>"%USERPROFILE%\Documents\GitHub\eaglep3\Utilities\RefineRTDCRunTimes.py" --tripid 313-05 --locoid 4044 --swversion DE.1.0.9.0 --startMP 204:422 --initTime 2017-10-06T00:35:50 --startdatetime 2017-10-06T00:46:51 --delay 50 --endMP 300:23314 --enddatetime 2017-10-06T00:55:51 --enforcementcount 0 &gt;&gt;%USERPROFILE%\Documents\GitHub\eaglep3-reporting\EC\2017-10-05-refined-times.txt</v>
      </c>
      <c r="AI223" s="96" t="str">
        <f t="shared" si="152"/>
        <v>echo {"issue":{"subject":"","project_id":79,"tracker_id":40,"status_id":1,"priority_id":2,"assigned_to_id":338,"start_date":"2017-10-06","description":"","custom_fields":[{"id":1,"name":"Subdivision","value":"Other"},{"id":4,"name":"Milepost","value":"2.3314"},{"id":17,"name":"Train ID","value":"313-05"},{"id":16,"name":"Locomotive ID","value":"4044"},{"id":130,"name":"Impact","value":""},{"id":150,"name":"Time of Event (Mountain Time)","value":"00:55:51"},{"id":151,"name":"Denver Issue ID","value":""},{"id":178,"name":"Operational Impact","value":"Yes"},{"id":179,"name":"Denver Segment Assigned","value":""}]}} | curl --insecure -X POST -H "Content-Type: application/json" -H "X-Redmine-API-Key: %REDMINEAPIKEY%" https://secure.xorail.net/redmine/issues.json --data @-</v>
      </c>
      <c r="AK223" s="47"/>
      <c r="AL223" s="47"/>
      <c r="AM223" s="142" t="str">
        <f t="shared" si="153"/>
        <v>start /low /b %USERPROFILE%\Documents\GitHub\eaglep3\Utilities\DownloadLogsFromS3.py --loco 4044 --day 2017-10-06</v>
      </c>
      <c r="AN223" s="151" t="str">
        <f t="shared" si="154"/>
        <v>echo {"issue":{"subject":"","project_id":30,"tracker_id":4,"status_id":1,"priority_id":1,"assigned_to_id":10,"start_date":"2017-10-06","description":"","custom_fields":[{"id":30,"name":"Category","value":"Issue"},{"id":3,"name":"Functional Component","value":"Onboard"},{"id":31,"name":"Version","value":"N/A"},{"id":8,"name":"Reporting RR","value":"WABTEC"},{"id":27,"name":"Locomotive ID","value":"4044"},{"id":20,"name":"RR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06:55:51"},{"id":29,"name":"Sharepoint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23" s="168" t="str">
        <f t="shared" si="155"/>
        <v>https://d0f6bd738d7f1b3e5a7ca70fe4ff75f0.us-east-1.aws.found.io/app/kibana#/discover/Steve-Slow-Train-Analysis-(2080s-and-2083s)?_g=(refreshInterval:(display:Off,pause:!f,section:0,value:0),time:(from:'2017-10-05T23:35:50-0600',mode:absolute,to:'2017-10-06T01:55:51-0600'))&amp;_a=(columns:!('Message%20ID',Summary),filters:!(),index:'emp_*',interval:auto,query:(query_string:(analyze_wildcard:!t,query:'%22rtdc.l.rtdc.4044%22')),sort:!(Time.ISO8601,asc))</v>
      </c>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row>
    <row r="224" spans="1:91" s="20" customFormat="1" x14ac:dyDescent="0.25">
      <c r="A224" s="32" t="s">
        <v>575</v>
      </c>
      <c r="B224" s="7">
        <v>4002</v>
      </c>
      <c r="C224" s="21" t="s">
        <v>194</v>
      </c>
      <c r="D224" s="21" t="s">
        <v>973</v>
      </c>
      <c r="E224" s="13">
        <v>43013.205150462964</v>
      </c>
      <c r="F224" s="13">
        <v>43013.209687499999</v>
      </c>
      <c r="G224" s="7">
        <v>63</v>
      </c>
      <c r="H224" s="21" t="s">
        <v>921</v>
      </c>
      <c r="I224" s="13">
        <v>43013.215671296297</v>
      </c>
      <c r="J224" s="7">
        <v>0</v>
      </c>
      <c r="K224" s="89" t="str">
        <f t="shared" si="161"/>
        <v>4001/4002</v>
      </c>
      <c r="L224" s="185" t="str">
        <f>VLOOKUP(A224,'Trips&amp;Operators'!$C$1:$G$99911,5,FALSE)</f>
        <v>DAVIS WENDY</v>
      </c>
      <c r="M224" s="6">
        <f t="shared" si="162"/>
        <v>5.9837962980964221E-3</v>
      </c>
      <c r="N224" s="7">
        <f t="shared" si="156"/>
        <v>8.6166666692588478</v>
      </c>
      <c r="O224" s="7"/>
      <c r="P224" s="7"/>
      <c r="Q224" s="22"/>
      <c r="R224" s="174"/>
      <c r="S224" s="221">
        <f t="shared" si="157"/>
        <v>0</v>
      </c>
      <c r="T224" s="174" t="str">
        <f t="shared" si="163"/>
        <v>NorthBound</v>
      </c>
      <c r="U224" s="198">
        <f>IF(AG224="EC",COUNTIFS(Variables!$M$2:$M$19,IF(T224="NorthBound","&gt;=","&lt;=")&amp;Y224,Variables!$M$2:$M$19,IF(T224="NorthBound","&lt;=","&gt;=")&amp;Z224),COUNTIFS(Variables!$P$2:$P$19,IF(T224="NorthBound","&gt;=","&lt;=")&amp;Y224,Variables!$P$2:$P$19,IF(T224="NorthBound","&lt;=","&gt;=")&amp;Z224))</f>
        <v>0</v>
      </c>
      <c r="V224" s="216" t="str">
        <f t="shared" si="148"/>
        <v>https://d0f6bd738d7f1b3e5a7ca70fe4ff75f0.us-east-1.aws.found.io/app/kibana#/discover/Steve-Slow-Train-Analysis-(2080s-and-2083s)?_g=(refreshInterval:(display:Off,pause:!f,section:0,value:0),time:(from:'2017-10-05T03:55:25-0600',mode:absolute,to:'2017-10-05T06:10:34-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W224" s="204" t="str">
        <f>IF(AA224&lt;VLOOKUP(AG224,Variables!$AC$3:$AD$8,2,FALSE),"Y","N")</f>
        <v>Y</v>
      </c>
      <c r="X224" s="204">
        <f t="shared" si="160"/>
        <v>588</v>
      </c>
      <c r="Y224" s="204">
        <f t="shared" si="158"/>
        <v>3.032</v>
      </c>
      <c r="Z224" s="204">
        <f t="shared" si="159"/>
        <v>5.9016000000000002</v>
      </c>
      <c r="AA224" s="204">
        <f t="shared" si="164"/>
        <v>2.8696000000000002</v>
      </c>
      <c r="AB224" s="54" t="e">
        <f>VLOOKUP(A224,Enforcements!$C$7:$K$11,8,0)</f>
        <v>#N/A</v>
      </c>
      <c r="AC224" s="51" t="e">
        <f>VLOOKUP(A224,Enforcements!$C$7:$E$11,3,0)</f>
        <v>#N/A</v>
      </c>
      <c r="AD224" s="179">
        <f t="shared" si="165"/>
        <v>901</v>
      </c>
      <c r="AE224" s="77" t="str">
        <f t="shared" si="149"/>
        <v>aws s3 cp s3://rtdc.mdm.uploadarchive.raw/RTDC4002/ "%USERPROFILE%\AppData\Local\Temp\OnboardLogs"\RTDC4002\2017-10-05 --exclude "*" --recursive --include "*20171005*" &amp; "%USERPROFILE%\Documents\GitHub\mrs-test-scripts\Headless Mode &amp; Sideloading\WalkAndUnGZ.bat" "%USERPROFILE%\AppData\Local\Temp\OnboardLogs"\RTDC4002\2017-10-05 &amp; aws s3 cp s3://rtdc.mdm.uploadarchive.raw/RTDC4002/ "%USERPROFILE%\AppData\Local\Temp\OnboardLogs"\RTDC4002\2017-10-06 --exclude "*" --recursive --include "*20171006*" &amp; "%USERPROFILE%\Documents\GitHub\mrs-test-scripts\Headless Mode &amp; Sideloading\WalkAndUnGZ.bat" "%USERPROFILE%\AppData\Local\Temp\OnboardLogs"\RTDC4002\2017-10-06</v>
      </c>
      <c r="AF224" s="74" t="str">
        <f t="shared" si="150"/>
        <v>"C:\Program Files (x86)\AstroGrep\AstroGrep.exe" /e /r /s /spath="%USERPROFILE%\AppData\Local\Temp\OnboardLogs" /stypes="app*4002*20171005*" /stext=" 11:.+((SYSTEM_STATE.+slice.+state.+changed )|(ment ac)|(multiple cpu faults)|(system.+state.+changed )|(\[timeout)|(PRM\|1\|D)|(kpr)|(kdp)|(train st.+moving)|(\|lc)|(penalty))"</v>
      </c>
      <c r="AG224" s="182" t="str">
        <f t="shared" si="166"/>
        <v>Other</v>
      </c>
      <c r="AH224" s="78" t="str">
        <f t="shared" si="151"/>
        <v>"%USERPROFILE%\Documents\GitHub\eaglep3\Utilities\RefineRTDCRunTimes.py" --tripid 901-05 --locoid 4002 --swversion DE.1.0.9.0 --startMP 300:30320 --initTime 2017-10-05T04:55:25 --startdatetime 2017-10-05T05:01:57 --delay 63 --endMP 300:59016 --enddatetime 2017-10-05T05:10:34 --enforcementcount 0 &gt;&gt;%USERPROFILE%\Documents\GitHub\eaglep3-reporting\EC\2017-10-05-refined-times.txt</v>
      </c>
      <c r="AI224" s="96" t="str">
        <f t="shared" si="152"/>
        <v>echo {"issue":{"subject":"","project_id":79,"tracker_id":40,"status_id":1,"priority_id":2,"assigned_to_id":338,"start_date":"2017-10-05","description":"","custom_fields":[{"id":1,"name":"Subdivision","value":"Other"},{"id":4,"name":"Milepost","value":"5.9016"},{"id":17,"name":"Train ID","value":"901-05"},{"id":16,"name":"Locomotive ID","value":"4002"},{"id":130,"name":"Impact","value":""},{"id":150,"name":"Time of Event (Mountain Time)","value":"05:10:34"},{"id":151,"name":"Denver Issue ID","value":""},{"id":178,"name":"Operational Impact","value":"Yes"},{"id":179,"name":"Denver Segment Assigned","value":""}]}} | curl --insecure -X POST -H "Content-Type: application/json" -H "X-Redmine-API-Key: %REDMINEAPIKEY%" https://secure.xorail.net/redmine/issues.json --data @-</v>
      </c>
      <c r="AK224" s="47"/>
      <c r="AL224" s="47"/>
      <c r="AM224" s="142" t="str">
        <f t="shared" si="153"/>
        <v>start /low /b %USERPROFILE%\Documents\GitHub\eaglep3\Utilities\DownloadLogsFromS3.py --loco 4002 --day 2017-10-05</v>
      </c>
      <c r="AN224" s="151" t="str">
        <f t="shared" si="154"/>
        <v>echo {"issue":{"subject":"","project_id":30,"tracker_id":4,"status_id":1,"priority_id":1,"assigned_to_id":10,"start_date":"2017-10-05","description":"","custom_fields":[{"id":30,"name":"Category","value":"Issue"},{"id":3,"name":"Functional Component","value":"Onboard"},{"id":31,"name":"Version","value":"N/A"},{"id":8,"name":"Reporting RR","value":"WABTEC"},{"id":27,"name":"Locomotive ID","value":"4002"},{"id":20,"name":"RR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11:10:34"},{"id":29,"name":"Sharepoint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24" s="168" t="str">
        <f t="shared" si="155"/>
        <v>https://d0f6bd738d7f1b3e5a7ca70fe4ff75f0.us-east-1.aws.found.io/app/kibana#/discover/Steve-Slow-Train-Analysis-(2080s-and-2083s)?_g=(refreshInterval:(display:Off,pause:!f,section:0,value:0),time:(from:'2017-10-05T03:55:25-0600',mode:absolute,to:'2017-10-05T06:10:34-0600'))&amp;_a=(columns:!('Message%20ID',Summary),filters:!(),index:'emp_*',interval:auto,query:(query_string:(analyze_wildcard:!t,query:'%22rtdc.l.rtdc.4002%22')),sort:!(Time.ISO8601,asc))</v>
      </c>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row>
    <row r="225" spans="1:91" s="20" customFormat="1" x14ac:dyDescent="0.25">
      <c r="A225" s="32" t="s">
        <v>646</v>
      </c>
      <c r="B225" s="7">
        <v>4017</v>
      </c>
      <c r="C225" s="21" t="s">
        <v>194</v>
      </c>
      <c r="D225" s="21" t="s">
        <v>885</v>
      </c>
      <c r="E225" s="13">
        <v>43013.238402777781</v>
      </c>
      <c r="F225" s="13">
        <v>43013.241678240738</v>
      </c>
      <c r="G225" s="7">
        <v>95</v>
      </c>
      <c r="H225" s="21" t="s">
        <v>565</v>
      </c>
      <c r="I225" s="13">
        <v>43013.247453703705</v>
      </c>
      <c r="J225" s="7">
        <v>0</v>
      </c>
      <c r="K225" s="89" t="str">
        <f t="shared" si="161"/>
        <v>4017/4018</v>
      </c>
      <c r="L225" s="185" t="str">
        <f>VLOOKUP(A225,'Trips&amp;Operators'!$C$1:$G$99911,5,FALSE)</f>
        <v>FORTUNATO FRANK</v>
      </c>
      <c r="M225" s="6">
        <f t="shared" si="162"/>
        <v>5.7754629669943824E-3</v>
      </c>
      <c r="N225" s="7">
        <f t="shared" si="156"/>
        <v>8.3166666724719107</v>
      </c>
      <c r="O225" s="7"/>
      <c r="P225" s="7"/>
      <c r="Q225" s="22"/>
      <c r="R225" s="174"/>
      <c r="S225" s="221">
        <f t="shared" si="157"/>
        <v>1</v>
      </c>
      <c r="T225" s="174" t="str">
        <f t="shared" si="163"/>
        <v>Southbound</v>
      </c>
      <c r="U225" s="198">
        <f>IF(AG225="EC",COUNTIFS(Variables!$M$2:$M$19,IF(T225="NorthBound","&gt;=","&lt;=")&amp;Y225,Variables!$M$2:$M$19,IF(T225="NorthBound","&lt;=","&gt;=")&amp;Z225),COUNTIFS(Variables!$P$2:$P$19,IF(T225="NorthBound","&gt;=","&lt;=")&amp;Y225,Variables!$P$2:$P$19,IF(T225="NorthBound","&lt;=","&gt;=")&amp;Z225))</f>
        <v>1</v>
      </c>
      <c r="V225" s="216" t="str">
        <f t="shared" si="148"/>
        <v>https://d0f6bd738d7f1b3e5a7ca70fe4ff75f0.us-east-1.aws.found.io/app/kibana#/discover/Steve-Slow-Train-Analysis-(2080s-and-2083s)?_g=(refreshInterval:(display:Off,pause:!f,section:0,value:0),time:(from:'2017-10-05T04:43:18-0600',mode:absolute,to:'2017-10-05T06:56:20-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4017%22')),sort:!(Time.ISO8601,asc))</v>
      </c>
      <c r="W225" s="204" t="str">
        <f>IF(AA225&lt;VLOOKUP(AG225,Variables!$AC$3:$AD$8,2,FALSE),"Y","N")</f>
        <v>Y</v>
      </c>
      <c r="X225" s="204">
        <f t="shared" si="160"/>
        <v>1</v>
      </c>
      <c r="Y225" s="204">
        <f t="shared" si="158"/>
        <v>2.3591000000000002</v>
      </c>
      <c r="Z225" s="204">
        <f t="shared" si="159"/>
        <v>7.0099999999999996E-2</v>
      </c>
      <c r="AA225" s="204">
        <f t="shared" si="164"/>
        <v>2.2890000000000001</v>
      </c>
      <c r="AB225" s="54" t="e">
        <f>VLOOKUP(A225,Enforcements!$C$7:$K$11,8,0)</f>
        <v>#N/A</v>
      </c>
      <c r="AC225" s="51" t="e">
        <f>VLOOKUP(A225,Enforcements!$C$7:$E$11,3,0)</f>
        <v>#N/A</v>
      </c>
      <c r="AD225" s="179">
        <f t="shared" si="165"/>
        <v>902</v>
      </c>
      <c r="AE225" s="77" t="str">
        <f t="shared" si="149"/>
        <v>aws s3 cp s3://rtdc.mdm.uploadarchive.raw/RTDC4017/ "%USERPROFILE%\AppData\Local\Temp\OnboardLogs"\RTDC4017\2017-10-05 --exclude "*" --recursive --include "*20171005*" &amp; "%USERPROFILE%\Documents\GitHub\mrs-test-scripts\Headless Mode &amp; Sideloading\WalkAndUnGZ.bat" "%USERPROFILE%\AppData\Local\Temp\OnboardLogs"\RTDC4017\2017-10-05 &amp; aws s3 cp s3://rtdc.mdm.uploadarchive.raw/RTDC4017/ "%USERPROFILE%\AppData\Local\Temp\OnboardLogs"\RTDC4017\2017-10-06 --exclude "*" --recursive --include "*20171006*" &amp; "%USERPROFILE%\Documents\GitHub\mrs-test-scripts\Headless Mode &amp; Sideloading\WalkAndUnGZ.bat" "%USERPROFILE%\AppData\Local\Temp\OnboardLogs"\RTDC4017\2017-10-06</v>
      </c>
      <c r="AF225" s="74" t="str">
        <f t="shared" si="150"/>
        <v>"C:\Program Files (x86)\AstroGrep\AstroGrep.exe" /e /r /s /spath="%USERPROFILE%\AppData\Local\Temp\OnboardLogs" /stypes="app*4017*20171005*" /stext=" 11:.+((SYSTEM_STATE.+slice.+state.+changed )|(ment ac)|(multiple cpu faults)|(system.+state.+changed )|(\[timeout)|(PRM\|1\|D)|(kpr)|(kdp)|(train st.+moving)|(\|lc)|(penalty))"</v>
      </c>
      <c r="AG225" s="182" t="str">
        <f t="shared" si="166"/>
        <v>Other</v>
      </c>
      <c r="AH225" s="78" t="str">
        <f t="shared" si="151"/>
        <v>"%USERPROFILE%\Documents\GitHub\eaglep3\Utilities\RefineRTDCRunTimes.py" --tripid 902-05 --locoid 4017 --swversion DE.1.0.9.0 --startMP 300:23591 --initTime 2017-10-05T05:43:18 --startdatetime 2017-10-05T05:48:01 --delay 95 --endMP 204:701 --enddatetime 2017-10-05T05:56:20 --enforcementcount 0 &gt;&gt;%USERPROFILE%\Documents\GitHub\eaglep3-reporting\EC\2017-10-05-refined-times.txt</v>
      </c>
      <c r="AI225" s="96" t="str">
        <f t="shared" si="152"/>
        <v>echo {"issue":{"subject":"","project_id":79,"tracker_id":40,"status_id":1,"priority_id":2,"assigned_to_id":338,"start_date":"2017-10-05","description":"","custom_fields":[{"id":1,"name":"Subdivision","value":"Other"},{"id":4,"name":"Milepost","value":"0.0701"},{"id":17,"name":"Train ID","value":"902-05"},{"id":16,"name":"Locomotive ID","value":"4017"},{"id":130,"name":"Impact","value":""},{"id":150,"name":"Time of Event (Mountain Time)","value":"05:56:20"},{"id":151,"name":"Denver Issue ID","value":""},{"id":178,"name":"Operational Impact","value":"Yes"},{"id":179,"name":"Denver Segment Assigned","value":""}]}} | curl --insecure -X POST -H "Content-Type: application/json" -H "X-Redmine-API-Key: %REDMINEAPIKEY%" https://secure.xorail.net/redmine/issues.json --data @-</v>
      </c>
      <c r="AK225" s="47"/>
      <c r="AL225" s="47"/>
      <c r="AM225" s="142" t="str">
        <f t="shared" si="153"/>
        <v>start /low /b %USERPROFILE%\Documents\GitHub\eaglep3\Utilities\DownloadLogsFromS3.py --loco 4017 --day 2017-10-05</v>
      </c>
      <c r="AN225" s="151" t="str">
        <f t="shared" si="154"/>
        <v>echo {"issue":{"subject":"","project_id":30,"tracker_id":4,"status_id":1,"priority_id":1,"assigned_to_id":10,"start_date":"2017-10-05","description":"","custom_fields":[{"id":30,"name":"Category","value":"Issue"},{"id":3,"name":"Functional Component","value":"Onboard"},{"id":31,"name":"Version","value":"N/A"},{"id":8,"name":"Reporting RR","value":"WABTEC"},{"id":27,"name":"Locomotive ID","value":"4017"},{"id":20,"name":"RR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11:56:20"},{"id":29,"name":"Sharepoint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25" s="168" t="str">
        <f t="shared" si="155"/>
        <v>https://d0f6bd738d7f1b3e5a7ca70fe4ff75f0.us-east-1.aws.found.io/app/kibana#/discover/Steve-Slow-Train-Analysis-(2080s-and-2083s)?_g=(refreshInterval:(display:Off,pause:!f,section:0,value:0),time:(from:'2017-10-05T04:43:18-0600',mode:absolute,to:'2017-10-05T06:56:20-0600'))&amp;_a=(columns:!('Message%20ID',Summary),filters:!(),index:'emp_*',interval:auto,query:(query_string:(analyze_wildcard:!t,query:'%22rtdc.l.rtdc.4017%22')),sort:!(Time.ISO8601,asc))</v>
      </c>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row>
    <row r="226" spans="1:91" s="20" customFormat="1" x14ac:dyDescent="0.25">
      <c r="A226" s="32" t="s">
        <v>674</v>
      </c>
      <c r="B226" s="7">
        <v>4002</v>
      </c>
      <c r="C226" s="21" t="s">
        <v>194</v>
      </c>
      <c r="D226" s="21" t="s">
        <v>909</v>
      </c>
      <c r="E226" s="13">
        <v>43013.352731481478</v>
      </c>
      <c r="F226" s="13">
        <v>43013.354050925926</v>
      </c>
      <c r="G226" s="7">
        <v>61</v>
      </c>
      <c r="H226" s="21" t="s">
        <v>974</v>
      </c>
      <c r="I226" s="13">
        <v>43013.360173611109</v>
      </c>
      <c r="J226" s="7">
        <v>0</v>
      </c>
      <c r="K226" s="89" t="str">
        <f t="shared" si="161"/>
        <v>4001/4002</v>
      </c>
      <c r="L226" s="185" t="str">
        <f>VLOOKUP(A226,'Trips&amp;Operators'!$C$1:$G$99911,5,FALSE)</f>
        <v>DAVIS WENDY</v>
      </c>
      <c r="M226" s="6">
        <f t="shared" si="162"/>
        <v>6.1226851830724627E-3</v>
      </c>
      <c r="N226" s="7">
        <f t="shared" si="156"/>
        <v>8.8166666636243463</v>
      </c>
      <c r="O226" s="7"/>
      <c r="P226" s="7"/>
      <c r="Q226" s="22"/>
      <c r="R226" s="174"/>
      <c r="S226" s="221">
        <f t="shared" si="157"/>
        <v>1</v>
      </c>
      <c r="T226" s="174" t="str">
        <f t="shared" si="163"/>
        <v>NorthBound</v>
      </c>
      <c r="U226" s="198">
        <f>IF(AG226="EC",COUNTIFS(Variables!$M$2:$M$19,IF(T226="NorthBound","&gt;=","&lt;=")&amp;Y226,Variables!$M$2:$M$19,IF(T226="NorthBound","&lt;=","&gt;=")&amp;Z226),COUNTIFS(Variables!$P$2:$P$19,IF(T226="NorthBound","&gt;=","&lt;=")&amp;Y226,Variables!$P$2:$P$19,IF(T226="NorthBound","&lt;=","&gt;=")&amp;Z226))</f>
        <v>1</v>
      </c>
      <c r="V226" s="216" t="str">
        <f t="shared" si="148"/>
        <v>https://d0f6bd738d7f1b3e5a7ca70fe4ff75f0.us-east-1.aws.found.io/app/kibana#/discover/Steve-Slow-Train-Analysis-(2080s-and-2083s)?_g=(refreshInterval:(display:Off,pause:!f,section:0,value:0),time:(from:'2017-10-05T07:27:56-0600',mode:absolute,to:'2017-10-05T09:38:39-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W226" s="204" t="str">
        <f>IF(AA226&lt;VLOOKUP(AG226,Variables!$AC$3:$AD$8,2,FALSE),"Y","N")</f>
        <v>Y</v>
      </c>
      <c r="X226" s="204">
        <f t="shared" si="160"/>
        <v>1</v>
      </c>
      <c r="Y226" s="204">
        <f t="shared" si="158"/>
        <v>4.6800000000000001E-2</v>
      </c>
      <c r="Z226" s="204">
        <f t="shared" si="159"/>
        <v>2.4232999999999998</v>
      </c>
      <c r="AA226" s="204">
        <f t="shared" si="164"/>
        <v>2.3764999999999996</v>
      </c>
      <c r="AB226" s="54" t="e">
        <f>VLOOKUP(A226,Enforcements!$C$7:$K$11,8,0)</f>
        <v>#N/A</v>
      </c>
      <c r="AC226" s="51" t="e">
        <f>VLOOKUP(A226,Enforcements!$C$7:$E$11,3,0)</f>
        <v>#N/A</v>
      </c>
      <c r="AD226" s="179">
        <f t="shared" si="165"/>
        <v>903</v>
      </c>
      <c r="AE226" s="77" t="str">
        <f t="shared" si="149"/>
        <v>aws s3 cp s3://rtdc.mdm.uploadarchive.raw/RTDC4002/ "%USERPROFILE%\AppData\Local\Temp\OnboardLogs"\RTDC4002\2017-10-05 --exclude "*" --recursive --include "*20171005*" &amp; "%USERPROFILE%\Documents\GitHub\mrs-test-scripts\Headless Mode &amp; Sideloading\WalkAndUnGZ.bat" "%USERPROFILE%\AppData\Local\Temp\OnboardLogs"\RTDC4002\2017-10-05 &amp; aws s3 cp s3://rtdc.mdm.uploadarchive.raw/RTDC4002/ "%USERPROFILE%\AppData\Local\Temp\OnboardLogs"\RTDC4002\2017-10-06 --exclude "*" --recursive --include "*20171006*" &amp; "%USERPROFILE%\Documents\GitHub\mrs-test-scripts\Headless Mode &amp; Sideloading\WalkAndUnGZ.bat" "%USERPROFILE%\AppData\Local\Temp\OnboardLogs"\RTDC4002\2017-10-06</v>
      </c>
      <c r="AF226" s="74" t="str">
        <f t="shared" si="150"/>
        <v>"C:\Program Files (x86)\AstroGrep\AstroGrep.exe" /e /r /s /spath="%USERPROFILE%\AppData\Local\Temp\OnboardLogs" /stypes="app*4002*20171005*" /stext=" 14:.+((SYSTEM_STATE.+slice.+state.+changed )|(ment ac)|(multiple cpu faults)|(system.+state.+changed )|(\[timeout)|(PRM\|1\|D)|(kpr)|(kdp)|(train st.+moving)|(\|lc)|(penalty))"</v>
      </c>
      <c r="AG226" s="182" t="str">
        <f t="shared" si="166"/>
        <v>Other</v>
      </c>
      <c r="AH226" s="78" t="str">
        <f t="shared" si="151"/>
        <v>"%USERPROFILE%\Documents\GitHub\eaglep3\Utilities\RefineRTDCRunTimes.py" --tripid 903-05 --locoid 4002 --swversion DE.1.0.9.0 --startMP 204:468 --initTime 2017-10-05T08:27:56 --startdatetime 2017-10-05T08:29:50 --delay 61 --endMP 300:24233 --enddatetime 2017-10-05T08:38:39 --enforcementcount 0 &gt;&gt;%USERPROFILE%\Documents\GitHub\eaglep3-reporting\EC\2017-10-05-refined-times.txt</v>
      </c>
      <c r="AI226" s="96" t="str">
        <f t="shared" si="152"/>
        <v>echo {"issue":{"subject":"","project_id":79,"tracker_id":40,"status_id":1,"priority_id":2,"assigned_to_id":338,"start_date":"2017-10-05","description":"","custom_fields":[{"id":1,"name":"Subdivision","value":"Other"},{"id":4,"name":"Milepost","value":"2.4233"},{"id":17,"name":"Train ID","value":"903-05"},{"id":16,"name":"Locomotive ID","value":"4002"},{"id":130,"name":"Impact","value":""},{"id":150,"name":"Time of Event (Mountain Time)","value":"08:38:39"},{"id":151,"name":"Denver Issue ID","value":""},{"id":178,"name":"Operational Impact","value":"Yes"},{"id":179,"name":"Denver Segment Assigned","value":""}]}} | curl --insecure -X POST -H "Content-Type: application/json" -H "X-Redmine-API-Key: %REDMINEAPIKEY%" https://secure.xorail.net/redmine/issues.json --data @-</v>
      </c>
      <c r="AK226" s="47"/>
      <c r="AL226" s="47"/>
      <c r="AM226" s="142" t="str">
        <f t="shared" si="153"/>
        <v>start /low /b %USERPROFILE%\Documents\GitHub\eaglep3\Utilities\DownloadLogsFromS3.py --loco 4002 --day 2017-10-05</v>
      </c>
      <c r="AN226" s="151" t="str">
        <f t="shared" si="154"/>
        <v>echo {"issue":{"subject":"","project_id":30,"tracker_id":4,"status_id":1,"priority_id":1,"assigned_to_id":10,"start_date":"2017-10-05","description":"","custom_fields":[{"id":30,"name":"Category","value":"Issue"},{"id":3,"name":"Functional Component","value":"Onboard"},{"id":31,"name":"Version","value":"N/A"},{"id":8,"name":"Reporting RR","value":"WABTEC"},{"id":27,"name":"Locomotive ID","value":"4002"},{"id":20,"name":"RR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14:38:39"},{"id":29,"name":"Sharepoint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26" s="168" t="str">
        <f t="shared" si="155"/>
        <v>https://d0f6bd738d7f1b3e5a7ca70fe4ff75f0.us-east-1.aws.found.io/app/kibana#/discover/Steve-Slow-Train-Analysis-(2080s-and-2083s)?_g=(refreshInterval:(display:Off,pause:!f,section:0,value:0),time:(from:'2017-10-05T07:27:56-0600',mode:absolute,to:'2017-10-05T09:38:39-0600'))&amp;_a=(columns:!('Message%20ID',Summary),filters:!(),index:'emp_*',interval:auto,query:(query_string:(analyze_wildcard:!t,query:'%22rtdc.l.rtdc.4002%22')),sort:!(Time.ISO8601,asc))</v>
      </c>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row>
    <row r="227" spans="1:91" s="20" customFormat="1" x14ac:dyDescent="0.25">
      <c r="A227" s="32" t="s">
        <v>607</v>
      </c>
      <c r="B227" s="7">
        <v>4019</v>
      </c>
      <c r="C227" s="21" t="s">
        <v>194</v>
      </c>
      <c r="D227" s="21" t="s">
        <v>975</v>
      </c>
      <c r="E227" s="13">
        <v>43013.644826388889</v>
      </c>
      <c r="F227" s="13">
        <v>43013.647430555553</v>
      </c>
      <c r="G227" s="7">
        <v>77</v>
      </c>
      <c r="H227" s="21" t="s">
        <v>976</v>
      </c>
      <c r="I227" s="13">
        <v>43013.647604166668</v>
      </c>
      <c r="J227" s="7">
        <v>0</v>
      </c>
      <c r="K227" s="89" t="str">
        <f t="shared" si="161"/>
        <v>4019/4020</v>
      </c>
      <c r="L227" s="185" t="str">
        <f>VLOOKUP(A227,'Trips&amp;Operators'!$C$1:$G$99911,5,FALSE)</f>
        <v>ZEWDU DEREJE</v>
      </c>
      <c r="M227" s="6">
        <f t="shared" si="162"/>
        <v>1.7361111531499773E-4</v>
      </c>
      <c r="N227" s="7">
        <f t="shared" si="156"/>
        <v>0.25000000605359674</v>
      </c>
      <c r="O227" s="7"/>
      <c r="P227" s="7"/>
      <c r="Q227" s="22"/>
      <c r="R227" s="174"/>
      <c r="S227" s="221">
        <f t="shared" si="157"/>
        <v>0</v>
      </c>
      <c r="T227" s="174" t="str">
        <f t="shared" si="163"/>
        <v>Southbound</v>
      </c>
      <c r="U227" s="198">
        <f>IF(AG227="EC",COUNTIFS(Variables!$M$2:$M$19,IF(T227="NorthBound","&gt;=","&lt;=")&amp;Y227,Variables!$M$2:$M$19,IF(T227="NorthBound","&lt;=","&gt;=")&amp;Z227),COUNTIFS(Variables!$P$2:$P$19,IF(T227="NorthBound","&gt;=","&lt;=")&amp;Y227,Variables!$P$2:$P$19,IF(T227="NorthBound","&lt;=","&gt;=")&amp;Z227))</f>
        <v>0</v>
      </c>
      <c r="V227" s="216" t="str">
        <f t="shared" si="148"/>
        <v>https://d0f6bd738d7f1b3e5a7ca70fe4ff75f0.us-east-1.aws.found.io/app/kibana#/discover/Steve-Slow-Train-Analysis-(2080s-and-2083s)?_g=(refreshInterval:(display:Off,pause:!f,section:0,value:0),time:(from:'2017-10-05T14:28:33-0600',mode:absolute,to:'2017-10-05T16:32:33-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4019%22')),sort:!(Time.ISO8601,asc))</v>
      </c>
      <c r="W227" s="204" t="str">
        <f>IF(AA227&lt;VLOOKUP(AG227,Variables!$AC$3:$AD$8,2,FALSE),"Y","N")</f>
        <v>Y</v>
      </c>
      <c r="X227" s="204">
        <f t="shared" si="160"/>
        <v>1</v>
      </c>
      <c r="Y227" s="204">
        <f t="shared" si="158"/>
        <v>2.323</v>
      </c>
      <c r="Z227" s="204">
        <f t="shared" si="159"/>
        <v>2.2686999999999999</v>
      </c>
      <c r="AA227" s="204">
        <f t="shared" si="164"/>
        <v>5.4300000000000015E-2</v>
      </c>
      <c r="AB227" s="54" t="e">
        <f>VLOOKUP(A227,Enforcements!$C$7:$K$11,8,0)</f>
        <v>#N/A</v>
      </c>
      <c r="AC227" s="51" t="e">
        <f>VLOOKUP(A227,Enforcements!$C$7:$E$11,3,0)</f>
        <v>#N/A</v>
      </c>
      <c r="AD227" s="179">
        <f t="shared" si="165"/>
        <v>904</v>
      </c>
      <c r="AE227" s="77" t="str">
        <f t="shared" si="149"/>
        <v>aws s3 cp s3://rtdc.mdm.uploadarchive.raw/RTDC4019/ "%USERPROFILE%\AppData\Local\Temp\OnboardLogs"\RTDC4019\2017-10-05 --exclude "*" --recursive --include "*20171005*" &amp; "%USERPROFILE%\Documents\GitHub\mrs-test-scripts\Headless Mode &amp; Sideloading\WalkAndUnGZ.bat" "%USERPROFILE%\AppData\Local\Temp\OnboardLogs"\RTDC4019\2017-10-05 &amp; aws s3 cp s3://rtdc.mdm.uploadarchive.raw/RTDC4019/ "%USERPROFILE%\AppData\Local\Temp\OnboardLogs"\RTDC4019\2017-10-06 --exclude "*" --recursive --include "*20171006*" &amp; "%USERPROFILE%\Documents\GitHub\mrs-test-scripts\Headless Mode &amp; Sideloading\WalkAndUnGZ.bat" "%USERPROFILE%\AppData\Local\Temp\OnboardLogs"\RTDC4019\2017-10-06</v>
      </c>
      <c r="AF227" s="74" t="str">
        <f t="shared" si="150"/>
        <v>"C:\Program Files (x86)\AstroGrep\AstroGrep.exe" /e /r /s /spath="%USERPROFILE%\AppData\Local\Temp\OnboardLogs" /stypes="app*4019*20171005*" /stext=" 21:.+((SYSTEM_STATE.+slice.+state.+changed )|(ment ac)|(multiple cpu faults)|(system.+state.+changed )|(\[timeout)|(PRM\|1\|D)|(kpr)|(kdp)|(train st.+moving)|(\|lc)|(penalty))"</v>
      </c>
      <c r="AG227" s="182" t="str">
        <f t="shared" si="166"/>
        <v>Other</v>
      </c>
      <c r="AH227" s="78" t="str">
        <f t="shared" si="151"/>
        <v>"%USERPROFILE%\Documents\GitHub\eaglep3\Utilities\RefineRTDCRunTimes.py" --tripid 904-05 --locoid 4019 --swversion DE.1.0.9.0 --startMP 300:23230 --initTime 2017-10-05T15:28:33 --startdatetime 2017-10-05T15:32:18 --delay 77 --endMP 300:22687 --enddatetime 2017-10-05T15:32:33 --enforcementcount 0 &gt;&gt;%USERPROFILE%\Documents\GitHub\eaglep3-reporting\EC\2017-10-05-refined-times.txt</v>
      </c>
      <c r="AI227" s="96" t="str">
        <f t="shared" si="152"/>
        <v>echo {"issue":{"subject":"","project_id":79,"tracker_id":40,"status_id":1,"priority_id":2,"assigned_to_id":338,"start_date":"2017-10-05","description":"","custom_fields":[{"id":1,"name":"Subdivision","value":"Other"},{"id":4,"name":"Milepost","value":"2.2687"},{"id":17,"name":"Train ID","value":"904-05"},{"id":16,"name":"Locomotive ID","value":"4019"},{"id":130,"name":"Impact","value":""},{"id":150,"name":"Time of Event (Mountain Time)","value":"15:32:33"},{"id":151,"name":"Denver Issue ID","value":""},{"id":178,"name":"Operational Impact","value":"Yes"},{"id":179,"name":"Denver Segment Assigned","value":""}]}} | curl --insecure -X POST -H "Content-Type: application/json" -H "X-Redmine-API-Key: %REDMINEAPIKEY%" https://secure.xorail.net/redmine/issues.json --data @-</v>
      </c>
      <c r="AK227" s="47"/>
      <c r="AL227" s="47"/>
      <c r="AM227" s="142" t="str">
        <f t="shared" si="153"/>
        <v>start /low /b %USERPROFILE%\Documents\GitHub\eaglep3\Utilities\DownloadLogsFromS3.py --loco 4019 --day 2017-10-05</v>
      </c>
      <c r="AN227" s="151" t="str">
        <f t="shared" si="154"/>
        <v>echo {"issue":{"subject":"","project_id":30,"tracker_id":4,"status_id":1,"priority_id":1,"assigned_to_id":10,"start_date":"2017-10-05","description":"","custom_fields":[{"id":30,"name":"Category","value":"Issue"},{"id":3,"name":"Functional Component","value":"Onboard"},{"id":31,"name":"Version","value":"N/A"},{"id":8,"name":"Reporting RR","value":"WABTEC"},{"id":27,"name":"Locomotive ID","value":"4019"},{"id":20,"name":"RR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21:32:33"},{"id":29,"name":"Sharepoint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27" s="168" t="str">
        <f t="shared" si="155"/>
        <v>https://d0f6bd738d7f1b3e5a7ca70fe4ff75f0.us-east-1.aws.found.io/app/kibana#/discover/Steve-Slow-Train-Analysis-(2080s-and-2083s)?_g=(refreshInterval:(display:Off,pause:!f,section:0,value:0),time:(from:'2017-10-05T14:28:33-0600',mode:absolute,to:'2017-10-05T16:32:33-0600'))&amp;_a=(columns:!('Message%20ID',Summary),filters:!(),index:'emp_*',interval:auto,query:(query_string:(analyze_wildcard:!t,query:'%22rtdc.l.rtdc.4019%22')),sort:!(Time.ISO8601,asc))</v>
      </c>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row>
    <row r="228" spans="1:91" s="20" customFormat="1" x14ac:dyDescent="0.25">
      <c r="A228" s="32" t="s">
        <v>775</v>
      </c>
      <c r="B228" s="7">
        <v>4019</v>
      </c>
      <c r="C228" s="21" t="s">
        <v>194</v>
      </c>
      <c r="D228" s="21" t="s">
        <v>977</v>
      </c>
      <c r="E228" s="13">
        <v>43013.789120370369</v>
      </c>
      <c r="F228" s="13">
        <v>43013.790914351855</v>
      </c>
      <c r="G228" s="7">
        <v>60</v>
      </c>
      <c r="H228" s="21" t="s">
        <v>978</v>
      </c>
      <c r="I228" s="13">
        <v>43013.799791666665</v>
      </c>
      <c r="J228" s="7">
        <v>0</v>
      </c>
      <c r="K228" s="89" t="str">
        <f t="shared" si="161"/>
        <v>4019/4020</v>
      </c>
      <c r="L228" s="185" t="str">
        <f>VLOOKUP(A228,'Trips&amp;Operators'!$C$1:$G$99911,5,FALSE)</f>
        <v>ZEWDU DEREJE</v>
      </c>
      <c r="M228" s="6">
        <f t="shared" si="162"/>
        <v>8.8773148090695031E-3</v>
      </c>
      <c r="N228" s="7">
        <f t="shared" si="156"/>
        <v>12.783333325060084</v>
      </c>
      <c r="O228" s="7"/>
      <c r="P228" s="7"/>
      <c r="Q228" s="22"/>
      <c r="R228" s="174"/>
      <c r="S228" s="221">
        <f t="shared" si="157"/>
        <v>0</v>
      </c>
      <c r="T228" s="174" t="str">
        <f t="shared" si="163"/>
        <v>Southbound</v>
      </c>
      <c r="U228" s="198">
        <f>IF(AG228="EC",COUNTIFS(Variables!$M$2:$M$19,IF(T228="NorthBound","&gt;=","&lt;=")&amp;Y228,Variables!$M$2:$M$19,IF(T228="NorthBound","&lt;=","&gt;=")&amp;Z228),COUNTIFS(Variables!$P$2:$P$19,IF(T228="NorthBound","&gt;=","&lt;=")&amp;Y228,Variables!$P$2:$P$19,IF(T228="NorthBound","&lt;=","&gt;=")&amp;Z228))</f>
        <v>0</v>
      </c>
      <c r="V228" s="216" t="str">
        <f t="shared" si="148"/>
        <v>https://d0f6bd738d7f1b3e5a7ca70fe4ff75f0.us-east-1.aws.found.io/app/kibana#/discover/Steve-Slow-Train-Analysis-(2080s-and-2083s)?_g=(refreshInterval:(display:Off,pause:!f,section:0,value:0),time:(from:'2017-10-05T17:56:20-0600',mode:absolute,to:'2017-10-05T20:11:42-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4019%22')),sort:!(Time.ISO8601,asc))</v>
      </c>
      <c r="W228" s="204" t="str">
        <f>IF(AA228&lt;VLOOKUP(AG228,Variables!$AC$3:$AD$8,2,FALSE),"Y","N")</f>
        <v>Y</v>
      </c>
      <c r="X228" s="204">
        <f t="shared" si="160"/>
        <v>2</v>
      </c>
      <c r="Y228" s="204">
        <f t="shared" si="158"/>
        <v>5.8628</v>
      </c>
      <c r="Z228" s="204">
        <f t="shared" si="159"/>
        <v>2.8742000000000001</v>
      </c>
      <c r="AA228" s="204">
        <f t="shared" si="164"/>
        <v>2.9885999999999999</v>
      </c>
      <c r="AB228" s="54" t="e">
        <f>VLOOKUP(A228,Enforcements!$C$7:$K$11,8,0)</f>
        <v>#N/A</v>
      </c>
      <c r="AC228" s="51" t="e">
        <f>VLOOKUP(A228,Enforcements!$C$7:$E$11,3,0)</f>
        <v>#N/A</v>
      </c>
      <c r="AD228" s="179">
        <f t="shared" si="165"/>
        <v>906</v>
      </c>
      <c r="AE228" s="77" t="str">
        <f t="shared" si="149"/>
        <v>aws s3 cp s3://rtdc.mdm.uploadarchive.raw/RTDC4019/ "%USERPROFILE%\AppData\Local\Temp\OnboardLogs"\RTDC4019\2017-10-05 --exclude "*" --recursive --include "*20171005*" &amp; "%USERPROFILE%\Documents\GitHub\mrs-test-scripts\Headless Mode &amp; Sideloading\WalkAndUnGZ.bat" "%USERPROFILE%\AppData\Local\Temp\OnboardLogs"\RTDC4019\2017-10-05 &amp; aws s3 cp s3://rtdc.mdm.uploadarchive.raw/RTDC4019/ "%USERPROFILE%\AppData\Local\Temp\OnboardLogs"\RTDC4019\2017-10-06 --exclude "*" --recursive --include "*20171006*" &amp; "%USERPROFILE%\Documents\GitHub\mrs-test-scripts\Headless Mode &amp; Sideloading\WalkAndUnGZ.bat" "%USERPROFILE%\AppData\Local\Temp\OnboardLogs"\RTDC4019\2017-10-06</v>
      </c>
      <c r="AF228" s="74" t="str">
        <f t="shared" si="150"/>
        <v>"C:\Program Files (x86)\AstroGrep\AstroGrep.exe" /e /r /s /spath="%USERPROFILE%\AppData\Local\Temp\OnboardLogs" /stypes="app*4019*20171006*" /stext=" 01:.+((SYSTEM_STATE.+slice.+state.+changed )|(ment ac)|(multiple cpu faults)|(system.+state.+changed )|(\[timeout)|(PRM\|1\|D)|(kpr)|(kdp)|(train st.+moving)|(\|lc)|(penalty))"</v>
      </c>
      <c r="AG228" s="182" t="str">
        <f t="shared" si="166"/>
        <v>Other</v>
      </c>
      <c r="AH228" s="78" t="str">
        <f t="shared" si="151"/>
        <v>"%USERPROFILE%\Documents\GitHub\eaglep3\Utilities\RefineRTDCRunTimes.py" --tripid 906-05 --locoid 4019 --swversion DE.1.0.9.0 --startMP 300:58628 --initTime 2017-10-05T18:56:20 --startdatetime 2017-10-05T18:58:55 --delay 60 --endMP 300:28742 --enddatetime 2017-10-05T19:11:42 --enforcementcount 0 &gt;&gt;%USERPROFILE%\Documents\GitHub\eaglep3-reporting\EC\2017-10-05-refined-times.txt</v>
      </c>
      <c r="AI228" s="96" t="str">
        <f t="shared" si="152"/>
        <v>echo {"issue":{"subject":"","project_id":79,"tracker_id":40,"status_id":1,"priority_id":2,"assigned_to_id":338,"start_date":"2017-10-05","description":"","custom_fields":[{"id":1,"name":"Subdivision","value":"Other"},{"id":4,"name":"Milepost","value":"2.8742"},{"id":17,"name":"Train ID","value":"906-05"},{"id":16,"name":"Locomotive ID","value":"4019"},{"id":130,"name":"Impact","value":""},{"id":150,"name":"Time of Event (Mountain Time)","value":"19:11:42"},{"id":151,"name":"Denver Issue ID","value":""},{"id":178,"name":"Operational Impact","value":"Yes"},{"id":179,"name":"Denver Segment Assigned","value":""}]}} | curl --insecure -X POST -H "Content-Type: application/json" -H "X-Redmine-API-Key: %REDMINEAPIKEY%" https://secure.xorail.net/redmine/issues.json --data @-</v>
      </c>
      <c r="AK228" s="47"/>
      <c r="AL228" s="47"/>
      <c r="AM228" s="142" t="str">
        <f t="shared" si="153"/>
        <v>start /low /b %USERPROFILE%\Documents\GitHub\eaglep3\Utilities\DownloadLogsFromS3.py --loco 4019 --day 2017-10-05</v>
      </c>
      <c r="AN228" s="151" t="str">
        <f t="shared" si="154"/>
        <v>echo {"issue":{"subject":"","project_id":30,"tracker_id":4,"status_id":1,"priority_id":1,"assigned_to_id":10,"start_date":"2017-10-06","description":"","custom_fields":[{"id":30,"name":"Category","value":"Issue"},{"id":3,"name":"Functional Component","value":"Onboard"},{"id":31,"name":"Version","value":"N/A"},{"id":8,"name":"Reporting RR","value":"WABTEC"},{"id":27,"name":"Locomotive ID","value":"4019"},{"id":20,"name":"RR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01:11:42"},{"id":29,"name":"Sharepoint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28" s="168" t="str">
        <f t="shared" si="155"/>
        <v>https://d0f6bd738d7f1b3e5a7ca70fe4ff75f0.us-east-1.aws.found.io/app/kibana#/discover/Steve-Slow-Train-Analysis-(2080s-and-2083s)?_g=(refreshInterval:(display:Off,pause:!f,section:0,value:0),time:(from:'2017-10-05T17:56:20-0600',mode:absolute,to:'2017-10-05T20:11:42-0600'))&amp;_a=(columns:!('Message%20ID',Summary),filters:!(),index:'emp_*',interval:auto,query:(query_string:(analyze_wildcard:!t,query:'%22rtdc.l.rtdc.4019%22')),sort:!(Time.ISO8601,asc))</v>
      </c>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row>
    <row r="229" spans="1:91" s="20" customFormat="1" x14ac:dyDescent="0.25">
      <c r="A229" s="32" t="s">
        <v>805</v>
      </c>
      <c r="B229" s="7">
        <v>4001</v>
      </c>
      <c r="C229" s="21" t="s">
        <v>194</v>
      </c>
      <c r="D229" s="21" t="s">
        <v>979</v>
      </c>
      <c r="E229" s="13">
        <v>43013.976157407407</v>
      </c>
      <c r="F229" s="13">
        <v>43013.97797453704</v>
      </c>
      <c r="G229" s="7">
        <v>56</v>
      </c>
      <c r="H229" s="21" t="s">
        <v>980</v>
      </c>
      <c r="I229" s="13">
        <v>25568.708333333332</v>
      </c>
      <c r="J229" s="7">
        <v>0</v>
      </c>
      <c r="K229" s="89" t="str">
        <f t="shared" si="161"/>
        <v>4001/4002</v>
      </c>
      <c r="L229" s="185" t="str">
        <f>VLOOKUP(A229,'Trips&amp;Operators'!$C$1:$G$99911,5,FALSE)</f>
        <v>ZEWDU DEREJE</v>
      </c>
      <c r="M229" s="6">
        <f t="shared" si="162"/>
        <v>-17445.269641203708</v>
      </c>
      <c r="N229" s="7">
        <f t="shared" si="156"/>
        <v>-25121188.283333339</v>
      </c>
      <c r="O229" s="7"/>
      <c r="P229" s="7"/>
      <c r="Q229" s="22"/>
      <c r="R229" s="174"/>
      <c r="S229" s="221">
        <f t="shared" si="157"/>
        <v>0</v>
      </c>
      <c r="T229" s="174" t="str">
        <f t="shared" si="163"/>
        <v>Southbound</v>
      </c>
      <c r="U229" s="198">
        <f>IF(AG229="EC",COUNTIFS(Variables!$M$2:$M$19,IF(T229="NorthBound","&gt;=","&lt;=")&amp;Y229,Variables!$M$2:$M$19,IF(T229="NorthBound","&lt;=","&gt;=")&amp;Z229),COUNTIFS(Variables!$P$2:$P$19,IF(T229="NorthBound","&gt;=","&lt;=")&amp;Y229,Variables!$P$2:$P$19,IF(T229="NorthBound","&lt;=","&gt;=")&amp;Z229))</f>
        <v>0</v>
      </c>
      <c r="V229" s="216" t="str">
        <f t="shared" si="148"/>
        <v>https://d0f6bd738d7f1b3e5a7ca70fe4ff75f0.us-east-1.aws.found.io/app/kibana#/discover/Steve-Slow-Train-Analysis-(2080s-and-2083s)?_g=(refreshInterval:(display:Off,pause:!f,section:0,value:0),time:(from:'2017-10-05T22:25:40-0600',mode:absolute,to:'1969-12-31T18:00:00-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W229" s="204" t="str">
        <f>IF(AA229&lt;VLOOKUP(AG229,Variables!$AC$3:$AD$8,2,FALSE),"Y","N")</f>
        <v>Y</v>
      </c>
      <c r="X229" s="204">
        <f t="shared" si="160"/>
        <v>2</v>
      </c>
      <c r="Y229" s="204">
        <f t="shared" si="158"/>
        <v>5.8667999999999996</v>
      </c>
      <c r="Z229" s="204">
        <f t="shared" si="159"/>
        <v>2.8795000000000002</v>
      </c>
      <c r="AA229" s="204">
        <f t="shared" si="164"/>
        <v>2.9872999999999994</v>
      </c>
      <c r="AB229" s="54" t="e">
        <f>VLOOKUP(A229,Enforcements!$C$7:$K$11,8,0)</f>
        <v>#N/A</v>
      </c>
      <c r="AC229" s="51" t="e">
        <f>VLOOKUP(A229,Enforcements!$C$7:$E$11,3,0)</f>
        <v>#N/A</v>
      </c>
      <c r="AD229" s="179">
        <f t="shared" si="165"/>
        <v>908</v>
      </c>
      <c r="AE229" s="77" t="str">
        <f t="shared" si="149"/>
        <v>aws s3 cp s3://rtdc.mdm.uploadarchive.raw/RTDC4001/ "%USERPROFILE%\AppData\Local\Temp\OnboardLogs"\RTDC4001\2017-10-05 --exclude "*" --recursive --include "*20171005*" &amp; "%USERPROFILE%\Documents\GitHub\mrs-test-scripts\Headless Mode &amp; Sideloading\WalkAndUnGZ.bat" "%USERPROFILE%\AppData\Local\Temp\OnboardLogs"\RTDC4001\2017-10-05 &amp; aws s3 cp s3://rtdc.mdm.uploadarchive.raw/RTDC4001/ "%USERPROFILE%\AppData\Local\Temp\OnboardLogs"\RTDC4001\2017-10-06 --exclude "*" --recursive --include "*20171006*" &amp; "%USERPROFILE%\Documents\GitHub\mrs-test-scripts\Headless Mode &amp; Sideloading\WalkAndUnGZ.bat" "%USERPROFILE%\AppData\Local\Temp\OnboardLogs"\RTDC4001\2017-10-06</v>
      </c>
      <c r="AF229" s="74" t="str">
        <f t="shared" si="150"/>
        <v>"C:\Program Files (x86)\AstroGrep\AstroGrep.exe" /e /r /s /spath="%USERPROFILE%\AppData\Local\Temp\OnboardLogs" /stypes="app*4001*19691231*" /stext=" 23:.+((SYSTEM_STATE.+slice.+state.+changed )|(ment ac)|(multiple cpu faults)|(system.+state.+changed )|(\[timeout)|(PRM\|1\|D)|(kpr)|(kdp)|(train st.+moving)|(\|lc)|(penalty))"</v>
      </c>
      <c r="AG229" s="182" t="str">
        <f t="shared" si="166"/>
        <v>Other</v>
      </c>
      <c r="AH229" s="78" t="str">
        <f t="shared" si="151"/>
        <v>"%USERPROFILE%\Documents\GitHub\eaglep3\Utilities\RefineRTDCRunTimes.py" --tripid 908-05 --locoid 4001 --swversion DE.1.0.9.0 --startMP 300:58668 --initTime 2017-10-05T23:25:40 --startdatetime 2017-10-05T23:28:17 --delay 56 --endMP 300:28795 --enddatetime 1969-12-31T17:00:00 --enforcementcount 0 &gt;&gt;%USERPROFILE%\Documents\GitHub\eaglep3-reporting\EC\2017-10-05-refined-times.txt</v>
      </c>
      <c r="AI229" s="96" t="str">
        <f t="shared" si="152"/>
        <v>echo {"issue":{"subject":"","project_id":79,"tracker_id":40,"status_id":1,"priority_id":2,"assigned_to_id":338,"start_date":"1969-12-31","description":"","custom_fields":[{"id":1,"name":"Subdivision","value":"Other"},{"id":4,"name":"Milepost","value":"2.8795"},{"id":17,"name":"Train ID","value":"908-05"},{"id":16,"name":"Locomotive ID","value":"4001"},{"id":130,"name":"Impact","value":""},{"id":150,"name":"Time of Event (Mountain Time)","value":"17:00:00"},{"id":151,"name":"Denver Issue ID","value":""},{"id":178,"name":"Operational Impact","value":"Yes"},{"id":179,"name":"Denver Segment Assigned","value":""}]}} | curl --insecure -X POST -H "Content-Type: application/json" -H "X-Redmine-API-Key: %REDMINEAPIKEY%" https://secure.xorail.net/redmine/issues.json --data @-</v>
      </c>
      <c r="AK229" s="47"/>
      <c r="AL229" s="47"/>
      <c r="AM229" s="142" t="str">
        <f t="shared" si="153"/>
        <v>start /low /b %USERPROFILE%\Documents\GitHub\eaglep3\Utilities\DownloadLogsFromS3.py --loco 4001 --day 2017-10-05</v>
      </c>
      <c r="AN229" s="151" t="str">
        <f t="shared" si="154"/>
        <v>echo {"issue":{"subject":"","project_id":30,"tracker_id":4,"status_id":1,"priority_id":1,"assigned_to_id":10,"start_date":"1969-12-31","description":"","custom_fields":[{"id":30,"name":"Category","value":"Issue"},{"id":3,"name":"Functional Component","value":"Onboard"},{"id":31,"name":"Version","value":"N/A"},{"id":8,"name":"Reporting RR","value":"WABTEC"},{"id":27,"name":"Locomotive ID","value":"4001"},{"id":20,"name":"RR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UTC","value":"1969-12-31 23:00:00"},{"id":29,"name":"Sharepoint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29" s="168" t="str">
        <f t="shared" si="155"/>
        <v>https://d0f6bd738d7f1b3e5a7ca70fe4ff75f0.us-east-1.aws.found.io/app/kibana#/discover/Steve-Slow-Train-Analysis-(2080s-and-2083s)?_g=(refreshInterval:(display:Off,pause:!f,section:0,value:0),time:(from:'2017-10-05T22:25:40-0600',mode:absolute,to:'1969-12-31T18:00:00-0600'))&amp;_a=(columns:!('Message%20ID',Summary),filters:!(),index:'emp_*',interval:auto,query:(query_string:(analyze_wildcard:!t,query:'%22rtdc.l.rtdc.4001%22')),sort:!(Time.ISO8601,asc))</v>
      </c>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row>
    <row r="230" spans="1:91" s="20" customFormat="1" x14ac:dyDescent="0.25">
      <c r="A230" s="32" t="s">
        <v>590</v>
      </c>
      <c r="B230" s="7">
        <v>4062</v>
      </c>
      <c r="C230" s="21" t="s">
        <v>194</v>
      </c>
      <c r="D230" s="21" t="s">
        <v>531</v>
      </c>
      <c r="E230" s="13">
        <v>43013.125590277778</v>
      </c>
      <c r="F230" s="13">
        <v>43013.137152777781</v>
      </c>
      <c r="G230" s="7">
        <v>77</v>
      </c>
      <c r="H230" s="21" t="s">
        <v>890</v>
      </c>
      <c r="I230" s="13">
        <v>43013.138252314813</v>
      </c>
      <c r="J230" s="7">
        <v>0</v>
      </c>
      <c r="K230" s="89" t="str">
        <f t="shared" si="161"/>
        <v>4061/4062</v>
      </c>
      <c r="L230" s="185" t="str">
        <f>VLOOKUP(A230,'Trips&amp;Operators'!$C$1:$G$99911,5,FALSE)</f>
        <v>SPECTOR MICHAEL</v>
      </c>
      <c r="M230" s="6">
        <f t="shared" si="162"/>
        <v>1.0995370321325026E-3</v>
      </c>
      <c r="N230" s="7">
        <f t="shared" si="156"/>
        <v>1.5833333262708038</v>
      </c>
      <c r="O230" s="7"/>
      <c r="P230" s="7"/>
      <c r="Q230" s="22"/>
      <c r="R230" s="174"/>
      <c r="S230" s="221">
        <f t="shared" si="157"/>
        <v>0</v>
      </c>
      <c r="T230" s="174" t="str">
        <f t="shared" si="163"/>
        <v>NorthBound</v>
      </c>
      <c r="U230" s="198">
        <f>IF(AG230="EC",COUNTIFS(Variables!$M$2:$M$19,IF(T230="NorthBound","&gt;=","&lt;=")&amp;Y230,Variables!$M$2:$M$19,IF(T230="NorthBound","&lt;=","&gt;=")&amp;Z230),COUNTIFS(Variables!$P$2:$P$19,IF(T230="NorthBound","&gt;=","&lt;=")&amp;Y230,Variables!$P$2:$P$19,IF(T230="NorthBound","&lt;=","&gt;=")&amp;Z230))</f>
        <v>0</v>
      </c>
      <c r="V230" s="216" t="str">
        <f t="shared" si="148"/>
        <v>https://d0f6bd738d7f1b3e5a7ca70fe4ff75f0.us-east-1.aws.found.io/app/kibana#/discover/Steve-Slow-Train-Analysis-(2080s-and-2083s)?_g=(refreshInterval:(display:Off,pause:!f,section:0,value:0),time:(from:'2017-10-05T02:00:51-0600',mode:absolute,to:'2017-10-05T04:19:05-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4062%22')),sort:!(Time.ISO8601,asc))</v>
      </c>
      <c r="W230" s="204" t="str">
        <f>IF(AA230&lt;VLOOKUP(AG230,Variables!$AC$3:$AD$8,2,FALSE),"Y","N")</f>
        <v>Y</v>
      </c>
      <c r="X230" s="204">
        <f t="shared" si="160"/>
        <v>-857</v>
      </c>
      <c r="Y230" s="204">
        <f t="shared" si="158"/>
        <v>4.2599999999999999E-2</v>
      </c>
      <c r="Z230" s="204">
        <f t="shared" si="159"/>
        <v>0.35560000000000003</v>
      </c>
      <c r="AA230" s="204">
        <f t="shared" si="164"/>
        <v>0.31300000000000006</v>
      </c>
      <c r="AB230" s="54" t="e">
        <f>VLOOKUP(A230,Enforcements!$C$7:$K$11,8,0)</f>
        <v>#N/A</v>
      </c>
      <c r="AC230" s="51" t="e">
        <f>VLOOKUP(A230,Enforcements!$C$7:$E$11,3,0)</f>
        <v>#N/A</v>
      </c>
      <c r="AD230" s="179">
        <f t="shared" si="165"/>
        <v>51</v>
      </c>
      <c r="AE230" s="77" t="str">
        <f t="shared" si="149"/>
        <v>aws s3 cp s3://rtdc.mdm.uploadarchive.raw/RTDC4062/ "%USERPROFILE%\AppData\Local\Temp\OnboardLogs"\RTDC4062\2017-10-05 --exclude "*" --recursive --include "*20171005*" &amp; "%USERPROFILE%\Documents\GitHub\mrs-test-scripts\Headless Mode &amp; Sideloading\WalkAndUnGZ.bat" "%USERPROFILE%\AppData\Local\Temp\OnboardLogs"\RTDC4062\2017-10-05 &amp; aws s3 cp s3://rtdc.mdm.uploadarchive.raw/RTDC4062/ "%USERPROFILE%\AppData\Local\Temp\OnboardLogs"\RTDC4062\2017-10-06 --exclude "*" --recursive --include "*20171006*" &amp; "%USERPROFILE%\Documents\GitHub\mrs-test-scripts\Headless Mode &amp; Sideloading\WalkAndUnGZ.bat" "%USERPROFILE%\AppData\Local\Temp\OnboardLogs"\RTDC4062\2017-10-06</v>
      </c>
      <c r="AF230" s="74" t="str">
        <f t="shared" si="150"/>
        <v>"C:\Program Files (x86)\AstroGrep\AstroGrep.exe" /e /r /s /spath="%USERPROFILE%\AppData\Local\Temp\OnboardLogs" /stypes="app*4062*20171005*" /stext=" 09:.+((SYSTEM_STATE.+slice.+state.+changed )|(ment ac)|(multiple cpu faults)|(system.+state.+changed )|(\[timeout)|(PRM\|1\|D)|(kpr)|(kdp)|(train st.+moving)|(\|lc)|(penalty))"</v>
      </c>
      <c r="AG230" s="182" t="str">
        <f t="shared" si="166"/>
        <v>Shuttle/Test</v>
      </c>
      <c r="AH230" s="78" t="str">
        <f t="shared" si="151"/>
        <v>"%USERPROFILE%\Documents\GitHub\eaglep3\Utilities\RefineRTDCRunTimes.py" --tripid 51-05 --locoid 4062 --swversion DE.1.0.9.0 --startMP 204:426 --initTime 2017-10-05T03:00:51 --startdatetime 2017-10-05T03:17:30 --delay 77 --endMP 204:3556 --enddatetime 2017-10-05T03:19:05 --enforcementcount 0 &gt;&gt;%USERPROFILE%\Documents\GitHub\eaglep3-reporting\EC\2017-10-05-refined-times.txt</v>
      </c>
      <c r="AI230" s="96" t="str">
        <f t="shared" si="152"/>
        <v>echo {"issue":{"subject":"","project_id":79,"tracker_id":40,"status_id":1,"priority_id":2,"assigned_to_id":338,"start_date":"2017-10-05","description":"","custom_fields":[{"id":1,"name":"Subdivision","value":"Shuttle/Test"},{"id":4,"name":"Milepost","value":"0.3556"},{"id":17,"name":"Train ID","value":"51-05"},{"id":16,"name":"Locomotive ID","value":"4062"},{"id":130,"name":"Impact","value":""},{"id":150,"name":"Time of Event (Mountain Time)","value":"03:19:05"},{"id":151,"name":"Denver Issue ID","value":""},{"id":178,"name":"Operational Impact","value":"Yes"},{"id":179,"name":"Denver Segment Assigned","value":""}]}} | curl --insecure -X POST -H "Content-Type: application/json" -H "X-Redmine-API-Key: %REDMINEAPIKEY%" https://secure.xorail.net/redmine/issues.json --data @-</v>
      </c>
      <c r="AK230" s="47"/>
      <c r="AL230" s="47"/>
      <c r="AM230" s="142" t="str">
        <f t="shared" si="153"/>
        <v>start /low /b %USERPROFILE%\Documents\GitHub\eaglep3\Utilities\DownloadLogsFromS3.py --loco 4062 --day 2017-10-05</v>
      </c>
      <c r="AN230" s="151" t="str">
        <f t="shared" si="154"/>
        <v>echo {"issue":{"subject":"","project_id":30,"tracker_id":4,"status_id":1,"priority_id":1,"assigned_to_id":10,"start_date":"2017-10-05","description":"","custom_fields":[{"id":30,"name":"Category","value":"Issue"},{"id":3,"name":"Functional Component","value":"Onboard"},{"id":31,"name":"Version","value":"N/A"},{"id":8,"name":"Reporting RR","value":"WABTEC"},{"id":27,"name":"Locomotive ID","value":"4062"},{"id":20,"name":"RR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09:19:05"},{"id":29,"name":"Sharepoint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30" s="168" t="str">
        <f t="shared" si="155"/>
        <v>https://d0f6bd738d7f1b3e5a7ca70fe4ff75f0.us-east-1.aws.found.io/app/kibana#/discover/Steve-Slow-Train-Analysis-(2080s-and-2083s)?_g=(refreshInterval:(display:Off,pause:!f,section:0,value:0),time:(from:'2017-10-05T02:00:51-0600',mode:absolute,to:'2017-10-05T04:19:05-0600'))&amp;_a=(columns:!('Message%20ID',Summary),filters:!(),index:'emp_*',interval:auto,query:(query_string:(analyze_wildcard:!t,query:'%22rtdc.l.rtdc.4062%22')),sort:!(Time.ISO8601,asc))</v>
      </c>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row>
    <row r="231" spans="1:91" s="20" customFormat="1" x14ac:dyDescent="0.25">
      <c r="A231" s="32" t="s">
        <v>590</v>
      </c>
      <c r="B231" s="7">
        <v>4001</v>
      </c>
      <c r="C231" s="21" t="s">
        <v>194</v>
      </c>
      <c r="D231" s="21" t="s">
        <v>891</v>
      </c>
      <c r="E231" s="13">
        <v>43013.413657407407</v>
      </c>
      <c r="F231" s="13">
        <v>43013.41646990741</v>
      </c>
      <c r="G231" s="7">
        <v>72</v>
      </c>
      <c r="H231" s="21" t="s">
        <v>892</v>
      </c>
      <c r="I231" s="13">
        <v>43013.4215625</v>
      </c>
      <c r="J231" s="7">
        <v>0</v>
      </c>
      <c r="K231" s="89" t="str">
        <f t="shared" si="161"/>
        <v>4001/4002</v>
      </c>
      <c r="L231" s="185" t="str">
        <f>VLOOKUP(A231,'Trips&amp;Operators'!$C$1:$G$99911,5,FALSE)</f>
        <v>SPECTOR MICHAEL</v>
      </c>
      <c r="M231" s="6">
        <f t="shared" si="162"/>
        <v>5.0925925897900015E-3</v>
      </c>
      <c r="N231" s="7">
        <f t="shared" si="156"/>
        <v>7.3333333292976022</v>
      </c>
      <c r="O231" s="7"/>
      <c r="P231" s="7"/>
      <c r="Q231" s="22"/>
      <c r="R231" s="174"/>
      <c r="S231" s="221">
        <f t="shared" si="157"/>
        <v>0</v>
      </c>
      <c r="T231" s="174" t="str">
        <f t="shared" si="163"/>
        <v>NorthBound</v>
      </c>
      <c r="U231" s="198">
        <f>IF(AG231="EC",COUNTIFS(Variables!$M$2:$M$19,IF(T231="NorthBound","&gt;=","&lt;=")&amp;Y231,Variables!$M$2:$M$19,IF(T231="NorthBound","&lt;=","&gt;=")&amp;Z231),COUNTIFS(Variables!$P$2:$P$19,IF(T231="NorthBound","&gt;=","&lt;=")&amp;Y231,Variables!$P$2:$P$19,IF(T231="NorthBound","&lt;=","&gt;=")&amp;Z231))</f>
        <v>0</v>
      </c>
      <c r="V231" s="216" t="str">
        <f t="shared" si="148"/>
        <v>https://d0f6bd738d7f1b3e5a7ca70fe4ff75f0.us-east-1.aws.found.io/app/kibana#/discover/Steve-Slow-Train-Analysis-(2080s-and-2083s)?_g=(refreshInterval:(display:Off,pause:!f,section:0,value:0),time:(from:'2017-10-05T08:55:40-0600',mode:absolute,to:'2017-10-05T11:07:03-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W231" s="204" t="str">
        <f>IF(AA231&lt;VLOOKUP(AG231,Variables!$AC$3:$AD$8,2,FALSE),"Y","N")</f>
        <v>Y</v>
      </c>
      <c r="X231" s="204">
        <f t="shared" si="160"/>
        <v>0</v>
      </c>
      <c r="Y231" s="204">
        <f t="shared" si="158"/>
        <v>2.3460999999999999</v>
      </c>
      <c r="Z231" s="204">
        <f t="shared" si="159"/>
        <v>6.6100000000000006E-2</v>
      </c>
      <c r="AA231" s="204">
        <f t="shared" si="164"/>
        <v>2.2799999999999998</v>
      </c>
      <c r="AB231" s="54" t="e">
        <f>VLOOKUP(A231,Enforcements!$C$7:$K$11,8,0)</f>
        <v>#N/A</v>
      </c>
      <c r="AC231" s="51" t="e">
        <f>VLOOKUP(A231,Enforcements!$C$7:$E$11,3,0)</f>
        <v>#N/A</v>
      </c>
      <c r="AD231" s="179">
        <f t="shared" si="165"/>
        <v>51</v>
      </c>
      <c r="AE231" s="77" t="str">
        <f t="shared" si="149"/>
        <v>aws s3 cp s3://rtdc.mdm.uploadarchive.raw/RTDC4001/ "%USERPROFILE%\AppData\Local\Temp\OnboardLogs"\RTDC4001\2017-10-05 --exclude "*" --recursive --include "*20171005*" &amp; "%USERPROFILE%\Documents\GitHub\mrs-test-scripts\Headless Mode &amp; Sideloading\WalkAndUnGZ.bat" "%USERPROFILE%\AppData\Local\Temp\OnboardLogs"\RTDC4001\2017-10-05 &amp; aws s3 cp s3://rtdc.mdm.uploadarchive.raw/RTDC4001/ "%USERPROFILE%\AppData\Local\Temp\OnboardLogs"\RTDC4001\2017-10-06 --exclude "*" --recursive --include "*20171006*" &amp; "%USERPROFILE%\Documents\GitHub\mrs-test-scripts\Headless Mode &amp; Sideloading\WalkAndUnGZ.bat" "%USERPROFILE%\AppData\Local\Temp\OnboardLogs"\RTDC4001\2017-10-06</v>
      </c>
      <c r="AF231" s="74" t="str">
        <f t="shared" si="150"/>
        <v>"C:\Program Files (x86)\AstroGrep\AstroGrep.exe" /e /r /s /spath="%USERPROFILE%\AppData\Local\Temp\OnboardLogs" /stypes="app*4001*20171005*" /stext=" 16:.+((SYSTEM_STATE.+slice.+state.+changed )|(ment ac)|(multiple cpu faults)|(system.+state.+changed )|(\[timeout)|(PRM\|1\|D)|(kpr)|(kdp)|(train st.+moving)|(\|lc)|(penalty))"</v>
      </c>
      <c r="AG231" s="182" t="str">
        <f t="shared" si="166"/>
        <v>Shuttle/Test</v>
      </c>
      <c r="AH231" s="78" t="str">
        <f t="shared" si="151"/>
        <v>"%USERPROFILE%\Documents\GitHub\eaglep3\Utilities\RefineRTDCRunTimes.py" --tripid 51-05 --locoid 4001 --swversion DE.1.0.9.0 --startMP 300:23461 --initTime 2017-10-05T09:55:40 --startdatetime 2017-10-05T09:59:43 --delay 72 --endMP 204:661 --enddatetime 2017-10-05T10:07:03 --enforcementcount 0 &gt;&gt;%USERPROFILE%\Documents\GitHub\eaglep3-reporting\EC\2017-10-05-refined-times.txt</v>
      </c>
      <c r="AI231" s="96" t="str">
        <f t="shared" si="152"/>
        <v>echo {"issue":{"subject":"","project_id":79,"tracker_id":40,"status_id":1,"priority_id":2,"assigned_to_id":338,"start_date":"2017-10-05","description":"","custom_fields":[{"id":1,"name":"Subdivision","value":"Shuttle/Test"},{"id":4,"name":"Milepost","value":"0.0661"},{"id":17,"name":"Train ID","value":"51-05"},{"id":16,"name":"Locomotive ID","value":"4001"},{"id":130,"name":"Impact","value":""},{"id":150,"name":"Time of Event (Mountain Time)","value":"10:07:03"},{"id":151,"name":"Denver Issue ID","value":""},{"id":178,"name":"Operational Impact","value":"Yes"},{"id":179,"name":"Denver Segment Assigned","value":""}]}} | curl --insecure -X POST -H "Content-Type: application/json" -H "X-Redmine-API-Key: %REDMINEAPIKEY%" https://secure.xorail.net/redmine/issues.json --data @-</v>
      </c>
      <c r="AK231" s="47"/>
      <c r="AL231" s="47"/>
      <c r="AM231" s="142" t="str">
        <f t="shared" si="153"/>
        <v>start /low /b %USERPROFILE%\Documents\GitHub\eaglep3\Utilities\DownloadLogsFromS3.py --loco 4001 --day 2017-10-05</v>
      </c>
      <c r="AN231" s="151" t="str">
        <f t="shared" si="154"/>
        <v>echo {"issue":{"subject":"","project_id":30,"tracker_id":4,"status_id":1,"priority_id":1,"assigned_to_id":10,"start_date":"2017-10-05","description":"","custom_fields":[{"id":30,"name":"Category","value":"Issue"},{"id":3,"name":"Functional Component","value":"Onboard"},{"id":31,"name":"Version","value":"N/A"},{"id":8,"name":"Reporting RR","value":"WABTEC"},{"id":27,"name":"Locomotive ID","value":"4001"},{"id":20,"name":"RR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16:07:03"},{"id":29,"name":"Sharepoint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31" s="168" t="str">
        <f t="shared" si="155"/>
        <v>https://d0f6bd738d7f1b3e5a7ca70fe4ff75f0.us-east-1.aws.found.io/app/kibana#/discover/Steve-Slow-Train-Analysis-(2080s-and-2083s)?_g=(refreshInterval:(display:Off,pause:!f,section:0,value:0),time:(from:'2017-10-05T08:55:40-0600',mode:absolute,to:'2017-10-05T11:07:03-0600'))&amp;_a=(columns:!('Message%20ID',Summary),filters:!(),index:'emp_*',interval:auto,query:(query_string:(analyze_wildcard:!t,query:'%22rtdc.l.rtdc.4001%22')),sort:!(Time.ISO8601,asc))</v>
      </c>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row>
    <row r="232" spans="1:91" s="20" customFormat="1" x14ac:dyDescent="0.25">
      <c r="A232" s="32" t="s">
        <v>621</v>
      </c>
      <c r="B232" s="7">
        <v>4061</v>
      </c>
      <c r="C232" s="21" t="s">
        <v>194</v>
      </c>
      <c r="D232" s="21" t="s">
        <v>893</v>
      </c>
      <c r="E232" s="13">
        <v>43013.139236111114</v>
      </c>
      <c r="F232" s="13">
        <v>43013.141134259262</v>
      </c>
      <c r="G232" s="7">
        <v>75</v>
      </c>
      <c r="H232" s="21" t="s">
        <v>552</v>
      </c>
      <c r="I232" s="13">
        <v>43013.142164351855</v>
      </c>
      <c r="J232" s="7">
        <v>0</v>
      </c>
      <c r="K232" s="89" t="str">
        <f t="shared" si="161"/>
        <v>4061/4062</v>
      </c>
      <c r="L232" s="185" t="str">
        <f>VLOOKUP(A232,'Trips&amp;Operators'!$C$1:$G$99911,5,FALSE)</f>
        <v>SPECTOR MICHAEL</v>
      </c>
      <c r="M232" s="6">
        <f t="shared" si="162"/>
        <v>1.0300925932824612E-3</v>
      </c>
      <c r="N232" s="7">
        <f t="shared" si="156"/>
        <v>1.4833333343267441</v>
      </c>
      <c r="O232" s="7"/>
      <c r="P232" s="7"/>
      <c r="Q232" s="22"/>
      <c r="R232" s="174"/>
      <c r="S232" s="221">
        <f t="shared" si="157"/>
        <v>0</v>
      </c>
      <c r="T232" s="174" t="str">
        <f t="shared" si="163"/>
        <v>Southbound</v>
      </c>
      <c r="U232" s="198">
        <f>IF(AG232="EC",COUNTIFS(Variables!$M$2:$M$19,IF(T232="NorthBound","&gt;=","&lt;=")&amp;Y232,Variables!$M$2:$M$19,IF(T232="NorthBound","&lt;=","&gt;=")&amp;Z232),COUNTIFS(Variables!$P$2:$P$19,IF(T232="NorthBound","&gt;=","&lt;=")&amp;Y232,Variables!$P$2:$P$19,IF(T232="NorthBound","&lt;=","&gt;=")&amp;Z232))</f>
        <v>0</v>
      </c>
      <c r="V232" s="216" t="str">
        <f t="shared" si="148"/>
        <v>https://d0f6bd738d7f1b3e5a7ca70fe4ff75f0.us-east-1.aws.found.io/app/kibana#/discover/Steve-Slow-Train-Analysis-(2080s-and-2083s)?_g=(refreshInterval:(display:Off,pause:!f,section:0,value:0),time:(from:'2017-10-05T02:20:30-0600',mode:absolute,to:'2017-10-05T04:24:43-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4061%22')),sort:!(Time.ISO8601,asc))</v>
      </c>
      <c r="W232" s="204" t="str">
        <f>IF(AA232&lt;VLOOKUP(AG232,Variables!$AC$3:$AD$8,2,FALSE),"Y","N")</f>
        <v>Y</v>
      </c>
      <c r="X232" s="204">
        <f t="shared" si="160"/>
        <v>1</v>
      </c>
      <c r="Y232" s="204">
        <f t="shared" si="158"/>
        <v>0.32329999999999998</v>
      </c>
      <c r="Z232" s="204">
        <f t="shared" si="159"/>
        <v>0.1179</v>
      </c>
      <c r="AA232" s="204">
        <f t="shared" si="164"/>
        <v>0.20539999999999997</v>
      </c>
      <c r="AB232" s="54" t="e">
        <f>VLOOKUP(A232,Enforcements!$C$7:$K$11,8,0)</f>
        <v>#N/A</v>
      </c>
      <c r="AC232" s="51" t="e">
        <f>VLOOKUP(A232,Enforcements!$C$7:$E$11,3,0)</f>
        <v>#N/A</v>
      </c>
      <c r="AD232" s="179">
        <f t="shared" si="165"/>
        <v>52</v>
      </c>
      <c r="AE232" s="77" t="str">
        <f t="shared" si="149"/>
        <v>aws s3 cp s3://rtdc.mdm.uploadarchive.raw/RTDC4061/ "%USERPROFILE%\AppData\Local\Temp\OnboardLogs"\RTDC4061\2017-10-05 --exclude "*" --recursive --include "*20171005*" &amp; "%USERPROFILE%\Documents\GitHub\mrs-test-scripts\Headless Mode &amp; Sideloading\WalkAndUnGZ.bat" "%USERPROFILE%\AppData\Local\Temp\OnboardLogs"\RTDC4061\2017-10-05 &amp; aws s3 cp s3://rtdc.mdm.uploadarchive.raw/RTDC4061/ "%USERPROFILE%\AppData\Local\Temp\OnboardLogs"\RTDC4061\2017-10-06 --exclude "*" --recursive --include "*20171006*" &amp; "%USERPROFILE%\Documents\GitHub\mrs-test-scripts\Headless Mode &amp; Sideloading\WalkAndUnGZ.bat" "%USERPROFILE%\AppData\Local\Temp\OnboardLogs"\RTDC4061\2017-10-06</v>
      </c>
      <c r="AF232" s="74" t="str">
        <f t="shared" si="150"/>
        <v>"C:\Program Files (x86)\AstroGrep\AstroGrep.exe" /e /r /s /spath="%USERPROFILE%\AppData\Local\Temp\OnboardLogs" /stypes="app*4061*20171005*" /stext=" 09:.+((SYSTEM_STATE.+slice.+state.+changed )|(ment ac)|(multiple cpu faults)|(system.+state.+changed )|(\[timeout)|(PRM\|1\|D)|(kpr)|(kdp)|(train st.+moving)|(\|lc)|(penalty))"</v>
      </c>
      <c r="AG232" s="182" t="str">
        <f t="shared" si="166"/>
        <v>Shuttle/Test</v>
      </c>
      <c r="AH232" s="78" t="str">
        <f t="shared" si="151"/>
        <v>"%USERPROFILE%\Documents\GitHub\eaglep3\Utilities\RefineRTDCRunTimes.py" --tripid 52-05 --locoid 4061 --swversion DE.1.0.9.0 --startMP 204:3233 --initTime 2017-10-05T03:20:30 --startdatetime 2017-10-05T03:23:14 --delay 75 --endMP 204:1179 --enddatetime 2017-10-05T03:24:43 --enforcementcount 0 &gt;&gt;%USERPROFILE%\Documents\GitHub\eaglep3-reporting\EC\2017-10-05-refined-times.txt</v>
      </c>
      <c r="AI232" s="96" t="str">
        <f t="shared" si="152"/>
        <v>echo {"issue":{"subject":"","project_id":79,"tracker_id":40,"status_id":1,"priority_id":2,"assigned_to_id":338,"start_date":"2017-10-05","description":"","custom_fields":[{"id":1,"name":"Subdivision","value":"Shuttle/Test"},{"id":4,"name":"Milepost","value":"0.1179"},{"id":17,"name":"Train ID","value":"52-05"},{"id":16,"name":"Locomotive ID","value":"4061"},{"id":130,"name":"Impact","value":""},{"id":150,"name":"Time of Event (Mountain Time)","value":"03:24:43"},{"id":151,"name":"Denver Issue ID","value":""},{"id":178,"name":"Operational Impact","value":"Yes"},{"id":179,"name":"Denver Segment Assigned","value":""}]}} | curl --insecure -X POST -H "Content-Type: application/json" -H "X-Redmine-API-Key: %REDMINEAPIKEY%" https://secure.xorail.net/redmine/issues.json --data @-</v>
      </c>
      <c r="AK232" s="47"/>
      <c r="AL232" s="47"/>
      <c r="AM232" s="142" t="str">
        <f t="shared" si="153"/>
        <v>start /low /b %USERPROFILE%\Documents\GitHub\eaglep3\Utilities\DownloadLogsFromS3.py --loco 4061 --day 2017-10-05</v>
      </c>
      <c r="AN232" s="151" t="str">
        <f t="shared" si="154"/>
        <v>echo {"issue":{"subject":"","project_id":30,"tracker_id":4,"status_id":1,"priority_id":1,"assigned_to_id":10,"start_date":"2017-10-05","description":"","custom_fields":[{"id":30,"name":"Category","value":"Issue"},{"id":3,"name":"Functional Component","value":"Onboard"},{"id":31,"name":"Version","value":"N/A"},{"id":8,"name":"Reporting RR","value":"WABTEC"},{"id":27,"name":"Locomotive ID","value":"4061"},{"id":20,"name":"RR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09:24:43"},{"id":29,"name":"Sharepoint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32" s="168" t="str">
        <f t="shared" si="155"/>
        <v>https://d0f6bd738d7f1b3e5a7ca70fe4ff75f0.us-east-1.aws.found.io/app/kibana#/discover/Steve-Slow-Train-Analysis-(2080s-and-2083s)?_g=(refreshInterval:(display:Off,pause:!f,section:0,value:0),time:(from:'2017-10-05T02:20:30-0600',mode:absolute,to:'2017-10-05T04:24:43-0600'))&amp;_a=(columns:!('Message%20ID',Summary),filters:!(),index:'emp_*',interval:auto,query:(query_string:(analyze_wildcard:!t,query:'%22rtdc.l.rtdc.4061%22')),sort:!(Time.ISO8601,asc))</v>
      </c>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row>
    <row r="233" spans="1:91" s="20" customFormat="1" x14ac:dyDescent="0.25">
      <c r="A233" s="32" t="s">
        <v>686</v>
      </c>
      <c r="B233" s="7">
        <v>4018</v>
      </c>
      <c r="C233" s="21" t="s">
        <v>194</v>
      </c>
      <c r="D233" s="21" t="s">
        <v>894</v>
      </c>
      <c r="E233" s="13">
        <v>43013.425543981481</v>
      </c>
      <c r="F233" s="13">
        <v>43013.427465277775</v>
      </c>
      <c r="G233" s="7">
        <v>81</v>
      </c>
      <c r="H233" s="21" t="s">
        <v>895</v>
      </c>
      <c r="I233" s="13">
        <v>43013.435555555552</v>
      </c>
      <c r="J233" s="7">
        <v>0</v>
      </c>
      <c r="K233" s="89" t="str">
        <f t="shared" si="161"/>
        <v>4017/4018</v>
      </c>
      <c r="L233" s="185" t="str">
        <f>VLOOKUP(A233,'Trips&amp;Operators'!$C$1:$G$99911,5,FALSE)</f>
        <v>ROCHA YAOTL</v>
      </c>
      <c r="M233" s="6">
        <f t="shared" si="162"/>
        <v>8.0902777772280388E-3</v>
      </c>
      <c r="N233" s="7">
        <f t="shared" si="156"/>
        <v>11.649999999208376</v>
      </c>
      <c r="O233" s="7"/>
      <c r="P233" s="7"/>
      <c r="Q233" s="22"/>
      <c r="R233" s="174"/>
      <c r="S233" s="221">
        <f t="shared" si="157"/>
        <v>1</v>
      </c>
      <c r="T233" s="174" t="str">
        <f t="shared" si="163"/>
        <v>NorthBound</v>
      </c>
      <c r="U233" s="198">
        <f>IF(AG233="EC",COUNTIFS(Variables!$M$2:$M$19,IF(T233="NorthBound","&gt;=","&lt;=")&amp;Y233,Variables!$M$2:$M$19,IF(T233="NorthBound","&lt;=","&gt;=")&amp;Z233),COUNTIFS(Variables!$P$2:$P$19,IF(T233="NorthBound","&gt;=","&lt;=")&amp;Y233,Variables!$P$2:$P$19,IF(T233="NorthBound","&lt;=","&gt;=")&amp;Z233))</f>
        <v>1</v>
      </c>
      <c r="V233" s="216" t="str">
        <f t="shared" si="148"/>
        <v>https://d0f6bd738d7f1b3e5a7ca70fe4ff75f0.us-east-1.aws.found.io/app/kibana#/discover/Steve-Slow-Train-Analysis-(2080s-and-2083s)?_g=(refreshInterval:(display:Off,pause:!f,section:0,value:0),time:(from:'2017-10-05T09:12:47-0600',mode:absolute,to:'2017-10-05T11:27:12-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4018%22')),sort:!(Time.ISO8601,asc))</v>
      </c>
      <c r="W233" s="204" t="str">
        <f>IF(AA233&lt;VLOOKUP(AG233,Variables!$AC$3:$AD$8,2,FALSE),"Y","N")</f>
        <v>Y</v>
      </c>
      <c r="X233" s="204">
        <f t="shared" si="160"/>
        <v>1</v>
      </c>
      <c r="Y233" s="204">
        <f t="shared" si="158"/>
        <v>4.5900000000000003E-2</v>
      </c>
      <c r="Z233" s="204">
        <f t="shared" si="159"/>
        <v>2.4216000000000002</v>
      </c>
      <c r="AA233" s="204">
        <f t="shared" si="164"/>
        <v>2.3757000000000001</v>
      </c>
      <c r="AB233" s="54" t="e">
        <f>VLOOKUP(A233,Enforcements!$C$7:$K$11,8,0)</f>
        <v>#N/A</v>
      </c>
      <c r="AC233" s="51" t="e">
        <f>VLOOKUP(A233,Enforcements!$C$7:$E$11,3,0)</f>
        <v>#N/A</v>
      </c>
      <c r="AD233" s="179">
        <f t="shared" si="165"/>
        <v>53</v>
      </c>
      <c r="AE233" s="77" t="str">
        <f t="shared" si="149"/>
        <v>aws s3 cp s3://rtdc.mdm.uploadarchive.raw/RTDC4018/ "%USERPROFILE%\AppData\Local\Temp\OnboardLogs"\RTDC4018\2017-10-05 --exclude "*" --recursive --include "*20171005*" &amp; "%USERPROFILE%\Documents\GitHub\mrs-test-scripts\Headless Mode &amp; Sideloading\WalkAndUnGZ.bat" "%USERPROFILE%\AppData\Local\Temp\OnboardLogs"\RTDC4018\2017-10-05 &amp; aws s3 cp s3://rtdc.mdm.uploadarchive.raw/RTDC4018/ "%USERPROFILE%\AppData\Local\Temp\OnboardLogs"\RTDC4018\2017-10-06 --exclude "*" --recursive --include "*20171006*" &amp; "%USERPROFILE%\Documents\GitHub\mrs-test-scripts\Headless Mode &amp; Sideloading\WalkAndUnGZ.bat" "%USERPROFILE%\AppData\Local\Temp\OnboardLogs"\RTDC4018\2017-10-06</v>
      </c>
      <c r="AF233" s="74" t="str">
        <f t="shared" si="150"/>
        <v>"C:\Program Files (x86)\AstroGrep\AstroGrep.exe" /e /r /s /spath="%USERPROFILE%\AppData\Local\Temp\OnboardLogs" /stypes="app*4018*20171005*" /stext=" 16:.+((SYSTEM_STATE.+slice.+state.+changed )|(ment ac)|(multiple cpu faults)|(system.+state.+changed )|(\[timeout)|(PRM\|1\|D)|(kpr)|(kdp)|(train st.+moving)|(\|lc)|(penalty))"</v>
      </c>
      <c r="AG233" s="182" t="str">
        <f t="shared" si="166"/>
        <v>Shuttle/Test</v>
      </c>
      <c r="AH233" s="78" t="str">
        <f t="shared" si="151"/>
        <v>"%USERPROFILE%\Documents\GitHub\eaglep3\Utilities\RefineRTDCRunTimes.py" --tripid 53-05 --locoid 4018 --swversion DE.1.0.9.0 --startMP 204:459 --initTime 2017-10-05T10:12:47 --startdatetime 2017-10-05T10:15:33 --delay 81 --endMP 300:24216 --enddatetime 2017-10-05T10:27:12 --enforcementcount 0 &gt;&gt;%USERPROFILE%\Documents\GitHub\eaglep3-reporting\EC\2017-10-05-refined-times.txt</v>
      </c>
      <c r="AI233" s="96" t="str">
        <f t="shared" si="152"/>
        <v>echo {"issue":{"subject":"","project_id":79,"tracker_id":40,"status_id":1,"priority_id":2,"assigned_to_id":338,"start_date":"2017-10-05","description":"","custom_fields":[{"id":1,"name":"Subdivision","value":"Shuttle/Test"},{"id":4,"name":"Milepost","value":"2.4216"},{"id":17,"name":"Train ID","value":"53-05"},{"id":16,"name":"Locomotive ID","value":"4018"},{"id":130,"name":"Impact","value":""},{"id":150,"name":"Time of Event (Mountain Time)","value":"10:27:12"},{"id":151,"name":"Denver Issue ID","value":""},{"id":178,"name":"Operational Impact","value":"Yes"},{"id":179,"name":"Denver Segment Assigned","value":""}]}} | curl --insecure -X POST -H "Content-Type: application/json" -H "X-Redmine-API-Key: %REDMINEAPIKEY%" https://secure.xorail.net/redmine/issues.json --data @-</v>
      </c>
      <c r="AK233" s="47"/>
      <c r="AL233" s="47"/>
      <c r="AM233" s="142" t="str">
        <f t="shared" si="153"/>
        <v>start /low /b %USERPROFILE%\Documents\GitHub\eaglep3\Utilities\DownloadLogsFromS3.py --loco 4018 --day 2017-10-05</v>
      </c>
      <c r="AN233" s="151" t="str">
        <f t="shared" si="154"/>
        <v>echo {"issue":{"subject":"","project_id":30,"tracker_id":4,"status_id":1,"priority_id":1,"assigned_to_id":10,"start_date":"2017-10-05","description":"","custom_fields":[{"id":30,"name":"Category","value":"Issue"},{"id":3,"name":"Functional Component","value":"Onboard"},{"id":31,"name":"Version","value":"N/A"},{"id":8,"name":"Reporting RR","value":"WABTEC"},{"id":27,"name":"Locomotive ID","value":"4018"},{"id":20,"name":"RR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16:27:12"},{"id":29,"name":"Sharepoint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33" s="168" t="str">
        <f t="shared" si="155"/>
        <v>https://d0f6bd738d7f1b3e5a7ca70fe4ff75f0.us-east-1.aws.found.io/app/kibana#/discover/Steve-Slow-Train-Analysis-(2080s-and-2083s)?_g=(refreshInterval:(display:Off,pause:!f,section:0,value:0),time:(from:'2017-10-05T09:12:47-0600',mode:absolute,to:'2017-10-05T11:27:12-0600'))&amp;_a=(columns:!('Message%20ID',Summary),filters:!(),index:'emp_*',interval:auto,query:(query_string:(analyze_wildcard:!t,query:'%22rtdc.l.rtdc.4018%22')),sort:!(Time.ISO8601,asc))</v>
      </c>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row>
    <row r="234" spans="1:91" s="20" customFormat="1" x14ac:dyDescent="0.25">
      <c r="A234" s="32" t="s">
        <v>595</v>
      </c>
      <c r="B234" s="7">
        <v>4019</v>
      </c>
      <c r="C234" s="21" t="s">
        <v>194</v>
      </c>
      <c r="D234" s="21" t="s">
        <v>896</v>
      </c>
      <c r="E234" s="13">
        <v>43013.48877314815</v>
      </c>
      <c r="F234" s="13">
        <v>43013.532569444447</v>
      </c>
      <c r="G234" s="7">
        <v>325</v>
      </c>
      <c r="H234" s="21" t="s">
        <v>897</v>
      </c>
      <c r="I234" s="13">
        <v>43013.539039351854</v>
      </c>
      <c r="J234" s="7">
        <v>0</v>
      </c>
      <c r="K234" s="89" t="str">
        <f t="shared" si="161"/>
        <v>4019/4020</v>
      </c>
      <c r="L234" s="185" t="str">
        <f>VLOOKUP(A234,'Trips&amp;Operators'!$C$1:$G$99911,5,FALSE)</f>
        <v>MOSES BRADLEY</v>
      </c>
      <c r="M234" s="6">
        <f t="shared" si="162"/>
        <v>6.4699074064265005E-3</v>
      </c>
      <c r="N234" s="7">
        <f t="shared" si="156"/>
        <v>9.3166666652541608</v>
      </c>
      <c r="O234" s="7"/>
      <c r="P234" s="7"/>
      <c r="Q234" s="22"/>
      <c r="R234" s="174"/>
      <c r="S234" s="221">
        <f t="shared" si="157"/>
        <v>1</v>
      </c>
      <c r="T234" s="174" t="str">
        <f t="shared" si="163"/>
        <v>Southbound</v>
      </c>
      <c r="U234" s="198">
        <f>IF(AG234="EC",COUNTIFS(Variables!$M$2:$M$19,IF(T234="NorthBound","&gt;=","&lt;=")&amp;Y234,Variables!$M$2:$M$19,IF(T234="NorthBound","&lt;=","&gt;=")&amp;Z234),COUNTIFS(Variables!$P$2:$P$19,IF(T234="NorthBound","&gt;=","&lt;=")&amp;Y234,Variables!$P$2:$P$19,IF(T234="NorthBound","&lt;=","&gt;=")&amp;Z234))</f>
        <v>1</v>
      </c>
      <c r="V234" s="216" t="str">
        <f t="shared" si="148"/>
        <v>https://d0f6bd738d7f1b3e5a7ca70fe4ff75f0.us-east-1.aws.found.io/app/kibana#/discover/Steve-Slow-Train-Analysis-(2080s-and-2083s)?_g=(refreshInterval:(display:Off,pause:!f,section:0,value:0),time:(from:'2017-10-05T10:43:50-0600',mode:absolute,to:'2017-10-05T13:56:13-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4019%22')),sort:!(Time.ISO8601,asc))</v>
      </c>
      <c r="W234" s="204" t="str">
        <f>IF(AA234&lt;VLOOKUP(AG234,Variables!$AC$3:$AD$8,2,FALSE),"Y","N")</f>
        <v>Y</v>
      </c>
      <c r="X234" s="204">
        <f t="shared" si="160"/>
        <v>1</v>
      </c>
      <c r="Y234" s="204">
        <f t="shared" si="158"/>
        <v>2.2109000000000001</v>
      </c>
      <c r="Z234" s="204">
        <f t="shared" si="159"/>
        <v>0.44259999999999999</v>
      </c>
      <c r="AA234" s="204">
        <f t="shared" si="164"/>
        <v>1.7683</v>
      </c>
      <c r="AB234" s="54" t="e">
        <f>VLOOKUP(A234,Enforcements!$C$7:$K$11,8,0)</f>
        <v>#N/A</v>
      </c>
      <c r="AC234" s="51" t="e">
        <f>VLOOKUP(A234,Enforcements!$C$7:$E$11,3,0)</f>
        <v>#N/A</v>
      </c>
      <c r="AD234" s="179">
        <f t="shared" si="165"/>
        <v>54</v>
      </c>
      <c r="AE234" s="77" t="str">
        <f t="shared" si="149"/>
        <v>aws s3 cp s3://rtdc.mdm.uploadarchive.raw/RTDC4019/ "%USERPROFILE%\AppData\Local\Temp\OnboardLogs"\RTDC4019\2017-10-05 --exclude "*" --recursive --include "*20171005*" &amp; "%USERPROFILE%\Documents\GitHub\mrs-test-scripts\Headless Mode &amp; Sideloading\WalkAndUnGZ.bat" "%USERPROFILE%\AppData\Local\Temp\OnboardLogs"\RTDC4019\2017-10-05 &amp; aws s3 cp s3://rtdc.mdm.uploadarchive.raw/RTDC4019/ "%USERPROFILE%\AppData\Local\Temp\OnboardLogs"\RTDC4019\2017-10-06 --exclude "*" --recursive --include "*20171006*" &amp; "%USERPROFILE%\Documents\GitHub\mrs-test-scripts\Headless Mode &amp; Sideloading\WalkAndUnGZ.bat" "%USERPROFILE%\AppData\Local\Temp\OnboardLogs"\RTDC4019\2017-10-06</v>
      </c>
      <c r="AF234" s="74" t="str">
        <f t="shared" si="150"/>
        <v>"C:\Program Files (x86)\AstroGrep\AstroGrep.exe" /e /r /s /spath="%USERPROFILE%\AppData\Local\Temp\OnboardLogs" /stypes="app*4019*20171005*" /stext=" 18:.+((SYSTEM_STATE.+slice.+state.+changed )|(ment ac)|(multiple cpu faults)|(system.+state.+changed )|(\[timeout)|(PRM\|1\|D)|(kpr)|(kdp)|(train st.+moving)|(\|lc)|(penalty))"</v>
      </c>
      <c r="AG234" s="182" t="str">
        <f t="shared" si="166"/>
        <v>Shuttle/Test</v>
      </c>
      <c r="AH234" s="78" t="str">
        <f t="shared" si="151"/>
        <v>"%USERPROFILE%\Documents\GitHub\eaglep3\Utilities\RefineRTDCRunTimes.py" --tripid 54-05 --locoid 4019 --swversion DE.1.0.9.0 --startMP 300:22109 --initTime 2017-10-05T11:43:50 --startdatetime 2017-10-05T12:46:54 --delay 325 --endMP 204:4426 --enddatetime 2017-10-05T12:56:13 --enforcementcount 0 &gt;&gt;%USERPROFILE%\Documents\GitHub\eaglep3-reporting\EC\2017-10-05-refined-times.txt</v>
      </c>
      <c r="AI234" s="96" t="str">
        <f t="shared" si="152"/>
        <v>echo {"issue":{"subject":"","project_id":79,"tracker_id":40,"status_id":1,"priority_id":2,"assigned_to_id":338,"start_date":"2017-10-05","description":"","custom_fields":[{"id":1,"name":"Subdivision","value":"Shuttle/Test"},{"id":4,"name":"Milepost","value":"0.4426"},{"id":17,"name":"Train ID","value":"54-05"},{"id":16,"name":"Locomotive ID","value":"4019"},{"id":130,"name":"Impact","value":""},{"id":150,"name":"Time of Event (Mountain Time)","value":"12:56:13"},{"id":151,"name":"Denver Issue ID","value":""},{"id":178,"name":"Operational Impact","value":"Yes"},{"id":179,"name":"Denver Segment Assigned","value":""}]}} | curl --insecure -X POST -H "Content-Type: application/json" -H "X-Redmine-API-Key: %REDMINEAPIKEY%" https://secure.xorail.net/redmine/issues.json --data @-</v>
      </c>
      <c r="AK234" s="47"/>
      <c r="AL234" s="47"/>
      <c r="AM234" s="142" t="str">
        <f t="shared" si="153"/>
        <v>start /low /b %USERPROFILE%\Documents\GitHub\eaglep3\Utilities\DownloadLogsFromS3.py --loco 4019 --day 2017-10-05</v>
      </c>
      <c r="AN234" s="151" t="str">
        <f t="shared" si="154"/>
        <v>echo {"issue":{"subject":"","project_id":30,"tracker_id":4,"status_id":1,"priority_id":1,"assigned_to_id":10,"start_date":"2017-10-05","description":"","custom_fields":[{"id":30,"name":"Category","value":"Issue"},{"id":3,"name":"Functional Component","value":"Onboard"},{"id":31,"name":"Version","value":"N/A"},{"id":8,"name":"Reporting RR","value":"WABTEC"},{"id":27,"name":"Locomotive ID","value":"4019"},{"id":20,"name":"RR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18:56:13"},{"id":29,"name":"Sharepoint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34" s="168" t="str">
        <f t="shared" si="155"/>
        <v>https://d0f6bd738d7f1b3e5a7ca70fe4ff75f0.us-east-1.aws.found.io/app/kibana#/discover/Steve-Slow-Train-Analysis-(2080s-and-2083s)?_g=(refreshInterval:(display:Off,pause:!f,section:0,value:0),time:(from:'2017-10-05T10:43:50-0600',mode:absolute,to:'2017-10-05T13:56:13-0600'))&amp;_a=(columns:!('Message%20ID',Summary),filters:!(),index:'emp_*',interval:auto,query:(query_string:(analyze_wildcard:!t,query:'%22rtdc.l.rtdc.4019%22')),sort:!(Time.ISO8601,asc))</v>
      </c>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row>
    <row r="235" spans="1:91" s="20" customFormat="1" x14ac:dyDescent="0.25">
      <c r="A235" s="32" t="s">
        <v>595</v>
      </c>
      <c r="B235" s="7">
        <v>4020</v>
      </c>
      <c r="C235" s="21" t="s">
        <v>194</v>
      </c>
      <c r="D235" s="21" t="s">
        <v>898</v>
      </c>
      <c r="E235" s="13">
        <v>43013.520312499997</v>
      </c>
      <c r="F235" s="13">
        <v>43013.543773148151</v>
      </c>
      <c r="G235" s="7">
        <v>71</v>
      </c>
      <c r="H235" s="21" t="s">
        <v>899</v>
      </c>
      <c r="I235" s="13">
        <v>43013.549826388888</v>
      </c>
      <c r="J235" s="7">
        <v>0</v>
      </c>
      <c r="K235" s="89" t="str">
        <f t="shared" si="161"/>
        <v>4019/4020</v>
      </c>
      <c r="L235" s="185" t="str">
        <f>VLOOKUP(A235,'Trips&amp;Operators'!$C$1:$G$99911,5,FALSE)</f>
        <v>MOSES BRADLEY</v>
      </c>
      <c r="M235" s="6">
        <f t="shared" si="162"/>
        <v>6.0532407369464636E-3</v>
      </c>
      <c r="N235" s="7">
        <f t="shared" si="156"/>
        <v>8.7166666612029076</v>
      </c>
      <c r="O235" s="7"/>
      <c r="P235" s="7"/>
      <c r="Q235" s="22"/>
      <c r="R235" s="174"/>
      <c r="S235" s="221">
        <f t="shared" si="157"/>
        <v>0</v>
      </c>
      <c r="T235" s="174" t="str">
        <f t="shared" si="163"/>
        <v>Southbound</v>
      </c>
      <c r="U235" s="198">
        <f>IF(AG235="EC",COUNTIFS(Variables!$M$2:$M$19,IF(T235="NorthBound","&gt;=","&lt;=")&amp;Y235,Variables!$M$2:$M$19,IF(T235="NorthBound","&lt;=","&gt;=")&amp;Z235),COUNTIFS(Variables!$P$2:$P$19,IF(T235="NorthBound","&gt;=","&lt;=")&amp;Y235,Variables!$P$2:$P$19,IF(T235="NorthBound","&lt;=","&gt;=")&amp;Z235))</f>
        <v>0</v>
      </c>
      <c r="V235" s="216" t="str">
        <f t="shared" si="148"/>
        <v>https://d0f6bd738d7f1b3e5a7ca70fe4ff75f0.us-east-1.aws.found.io/app/kibana#/discover/Steve-Slow-Train-Analysis-(2080s-and-2083s)?_g=(refreshInterval:(display:Off,pause:!f,section:0,value:0),time:(from:'2017-10-05T11:29:15-0600',mode:absolute,to:'2017-10-05T14:11:45-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4020%22')),sort:!(Time.ISO8601,asc))</v>
      </c>
      <c r="W235" s="204" t="str">
        <f>IF(AA235&lt;VLOOKUP(AG235,Variables!$AC$3:$AD$8,2,FALSE),"Y","N")</f>
        <v>Y</v>
      </c>
      <c r="X235" s="204">
        <f t="shared" si="160"/>
        <v>0</v>
      </c>
      <c r="Y235" s="204">
        <f t="shared" si="158"/>
        <v>4.6399999999999997E-2</v>
      </c>
      <c r="Z235" s="204">
        <f t="shared" si="159"/>
        <v>3.1513</v>
      </c>
      <c r="AA235" s="204">
        <f t="shared" si="164"/>
        <v>3.1048999999999998</v>
      </c>
      <c r="AB235" s="54" t="e">
        <f>VLOOKUP(A235,Enforcements!$C$7:$K$11,8,0)</f>
        <v>#N/A</v>
      </c>
      <c r="AC235" s="51" t="e">
        <f>VLOOKUP(A235,Enforcements!$C$7:$E$11,3,0)</f>
        <v>#N/A</v>
      </c>
      <c r="AD235" s="179">
        <f t="shared" si="165"/>
        <v>54</v>
      </c>
      <c r="AE235" s="77" t="str">
        <f t="shared" si="149"/>
        <v>aws s3 cp s3://rtdc.mdm.uploadarchive.raw/RTDC4020/ "%USERPROFILE%\AppData\Local\Temp\OnboardLogs"\RTDC4020\2017-10-05 --exclude "*" --recursive --include "*20171005*" &amp; "%USERPROFILE%\Documents\GitHub\mrs-test-scripts\Headless Mode &amp; Sideloading\WalkAndUnGZ.bat" "%USERPROFILE%\AppData\Local\Temp\OnboardLogs"\RTDC4020\2017-10-05 &amp; aws s3 cp s3://rtdc.mdm.uploadarchive.raw/RTDC4020/ "%USERPROFILE%\AppData\Local\Temp\OnboardLogs"\RTDC4020\2017-10-06 --exclude "*" --recursive --include "*20171006*" &amp; "%USERPROFILE%\Documents\GitHub\mrs-test-scripts\Headless Mode &amp; Sideloading\WalkAndUnGZ.bat" "%USERPROFILE%\AppData\Local\Temp\OnboardLogs"\RTDC4020\2017-10-06</v>
      </c>
      <c r="AF235" s="74" t="str">
        <f t="shared" si="150"/>
        <v>"C:\Program Files (x86)\AstroGrep\AstroGrep.exe" /e /r /s /spath="%USERPROFILE%\AppData\Local\Temp\OnboardLogs" /stypes="app*4020*20171005*" /stext=" 19:.+((SYSTEM_STATE.+slice.+state.+changed )|(ment ac)|(multiple cpu faults)|(system.+state.+changed )|(\[timeout)|(PRM\|1\|D)|(kpr)|(kdp)|(train st.+moving)|(\|lc)|(penalty))"</v>
      </c>
      <c r="AG235" s="182" t="str">
        <f t="shared" si="166"/>
        <v>Shuttle/Test</v>
      </c>
      <c r="AH235" s="78" t="str">
        <f t="shared" si="151"/>
        <v>"%USERPROFILE%\Documents\GitHub\eaglep3\Utilities\RefineRTDCRunTimes.py" --tripid 54-05 --locoid 4020 --swversion DE.1.0.9.0 --startMP 204:464 --initTime 2017-10-05T12:29:15 --startdatetime 2017-10-05T13:03:02 --delay 71 --endMP 300:31513 --enddatetime 2017-10-05T13:11:45 --enforcementcount 0 &gt;&gt;%USERPROFILE%\Documents\GitHub\eaglep3-reporting\EC\2017-10-05-refined-times.txt</v>
      </c>
      <c r="AI235" s="96" t="str">
        <f t="shared" si="152"/>
        <v>echo {"issue":{"subject":"","project_id":79,"tracker_id":40,"status_id":1,"priority_id":2,"assigned_to_id":338,"start_date":"2017-10-05","description":"","custom_fields":[{"id":1,"name":"Subdivision","value":"Shuttle/Test"},{"id":4,"name":"Milepost","value":"3.1513"},{"id":17,"name":"Train ID","value":"54-05"},{"id":16,"name":"Locomotive ID","value":"4020"},{"id":130,"name":"Impact","value":""},{"id":150,"name":"Time of Event (Mountain Time)","value":"13:11:45"},{"id":151,"name":"Denver Issue ID","value":""},{"id":178,"name":"Operational Impact","value":"Yes"},{"id":179,"name":"Denver Segment Assigned","value":""}]}} | curl --insecure -X POST -H "Content-Type: application/json" -H "X-Redmine-API-Key: %REDMINEAPIKEY%" https://secure.xorail.net/redmine/issues.json --data @-</v>
      </c>
      <c r="AK235" s="47"/>
      <c r="AL235" s="47"/>
      <c r="AM235" s="142" t="str">
        <f t="shared" si="153"/>
        <v>start /low /b %USERPROFILE%\Documents\GitHub\eaglep3\Utilities\DownloadLogsFromS3.py --loco 4020 --day 2017-10-05</v>
      </c>
      <c r="AN235" s="151" t="str">
        <f t="shared" si="154"/>
        <v>echo {"issue":{"subject":"","project_id":30,"tracker_id":4,"status_id":1,"priority_id":1,"assigned_to_id":10,"start_date":"2017-10-05","description":"","custom_fields":[{"id":30,"name":"Category","value":"Issue"},{"id":3,"name":"Functional Component","value":"Onboard"},{"id":31,"name":"Version","value":"N/A"},{"id":8,"name":"Reporting RR","value":"WABTEC"},{"id":27,"name":"Locomotive ID","value":"4020"},{"id":20,"name":"RR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19:11:45"},{"id":29,"name":"Sharepoint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35" s="168" t="str">
        <f t="shared" si="155"/>
        <v>https://d0f6bd738d7f1b3e5a7ca70fe4ff75f0.us-east-1.aws.found.io/app/kibana#/discover/Steve-Slow-Train-Analysis-(2080s-and-2083s)?_g=(refreshInterval:(display:Off,pause:!f,section:0,value:0),time:(from:'2017-10-05T11:29:15-0600',mode:absolute,to:'2017-10-05T14:11:45-0600'))&amp;_a=(columns:!('Message%20ID',Summary),filters:!(),index:'emp_*',interval:auto,query:(query_string:(analyze_wildcard:!t,query:'%22rtdc.l.rtdc.4020%22')),sort:!(Time.ISO8601,asc))</v>
      </c>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row>
    <row r="236" spans="1:91" s="20" customFormat="1" x14ac:dyDescent="0.25">
      <c r="A236" s="32" t="s">
        <v>595</v>
      </c>
      <c r="B236" s="7">
        <v>4019</v>
      </c>
      <c r="C236" s="21" t="s">
        <v>194</v>
      </c>
      <c r="D236" s="21" t="s">
        <v>900</v>
      </c>
      <c r="E236" s="13">
        <v>43013.530671296299</v>
      </c>
      <c r="F236" s="13">
        <v>43013.553587962961</v>
      </c>
      <c r="G236" s="7">
        <v>58</v>
      </c>
      <c r="H236" s="21" t="s">
        <v>551</v>
      </c>
      <c r="I236" s="13">
        <v>43013.559976851851</v>
      </c>
      <c r="J236" s="7">
        <v>0</v>
      </c>
      <c r="K236" s="89" t="str">
        <f t="shared" si="161"/>
        <v>4019/4020</v>
      </c>
      <c r="L236" s="185" t="str">
        <f>VLOOKUP(A236,'Trips&amp;Operators'!$C$1:$G$99911,5,FALSE)</f>
        <v>MOSES BRADLEY</v>
      </c>
      <c r="M236" s="6">
        <f t="shared" si="162"/>
        <v>6.3888888907968067E-3</v>
      </c>
      <c r="N236" s="7">
        <f t="shared" si="156"/>
        <v>9.2000000027474016</v>
      </c>
      <c r="O236" s="7"/>
      <c r="P236" s="7"/>
      <c r="Q236" s="22"/>
      <c r="R236" s="174"/>
      <c r="S236" s="221">
        <f t="shared" si="157"/>
        <v>1</v>
      </c>
      <c r="T236" s="174" t="str">
        <f t="shared" si="163"/>
        <v>Southbound</v>
      </c>
      <c r="U236" s="198">
        <f>IF(AG236="EC",COUNTIFS(Variables!$M$2:$M$19,IF(T236="NorthBound","&gt;=","&lt;=")&amp;Y236,Variables!$M$2:$M$19,IF(T236="NorthBound","&lt;=","&gt;=")&amp;Z236),COUNTIFS(Variables!$P$2:$P$19,IF(T236="NorthBound","&gt;=","&lt;=")&amp;Y236,Variables!$P$2:$P$19,IF(T236="NorthBound","&lt;=","&gt;=")&amp;Z236))</f>
        <v>1</v>
      </c>
      <c r="V236" s="216" t="str">
        <f t="shared" si="148"/>
        <v>https://d0f6bd738d7f1b3e5a7ca70fe4ff75f0.us-east-1.aws.found.io/app/kibana#/discover/Steve-Slow-Train-Analysis-(2080s-and-2083s)?_g=(refreshInterval:(display:Off,pause:!f,section:0,value:0),time:(from:'2017-10-05T11:44:10-0600',mode:absolute,to:'2017-10-05T14:26:22-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4019%22')),sort:!(Time.ISO8601,asc))</v>
      </c>
      <c r="W236" s="204" t="str">
        <f>IF(AA236&lt;VLOOKUP(AG236,Variables!$AC$3:$AD$8,2,FALSE),"Y","N")</f>
        <v>Y</v>
      </c>
      <c r="X236" s="204">
        <f t="shared" si="160"/>
        <v>0</v>
      </c>
      <c r="Y236" s="204">
        <f t="shared" si="158"/>
        <v>3.1190000000000002</v>
      </c>
      <c r="Z236" s="204">
        <f t="shared" si="159"/>
        <v>1.46E-2</v>
      </c>
      <c r="AA236" s="204">
        <f t="shared" si="164"/>
        <v>3.1044</v>
      </c>
      <c r="AB236" s="54" t="e">
        <f>VLOOKUP(A236,Enforcements!$C$7:$K$11,8,0)</f>
        <v>#N/A</v>
      </c>
      <c r="AC236" s="51" t="e">
        <f>VLOOKUP(A236,Enforcements!$C$7:$E$11,3,0)</f>
        <v>#N/A</v>
      </c>
      <c r="AD236" s="179">
        <f t="shared" si="165"/>
        <v>54</v>
      </c>
      <c r="AE236" s="77" t="str">
        <f t="shared" si="149"/>
        <v>aws s3 cp s3://rtdc.mdm.uploadarchive.raw/RTDC4019/ "%USERPROFILE%\AppData\Local\Temp\OnboardLogs"\RTDC4019\2017-10-05 --exclude "*" --recursive --include "*20171005*" &amp; "%USERPROFILE%\Documents\GitHub\mrs-test-scripts\Headless Mode &amp; Sideloading\WalkAndUnGZ.bat" "%USERPROFILE%\AppData\Local\Temp\OnboardLogs"\RTDC4019\2017-10-05 &amp; aws s3 cp s3://rtdc.mdm.uploadarchive.raw/RTDC4019/ "%USERPROFILE%\AppData\Local\Temp\OnboardLogs"\RTDC4019\2017-10-06 --exclude "*" --recursive --include "*20171006*" &amp; "%USERPROFILE%\Documents\GitHub\mrs-test-scripts\Headless Mode &amp; Sideloading\WalkAndUnGZ.bat" "%USERPROFILE%\AppData\Local\Temp\OnboardLogs"\RTDC4019\2017-10-06</v>
      </c>
      <c r="AF236" s="74" t="str">
        <f t="shared" si="150"/>
        <v>"C:\Program Files (x86)\AstroGrep\AstroGrep.exe" /e /r /s /spath="%USERPROFILE%\AppData\Local\Temp\OnboardLogs" /stypes="app*4019*20171005*" /stext=" 19:.+((SYSTEM_STATE.+slice.+state.+changed )|(ment ac)|(multiple cpu faults)|(system.+state.+changed )|(\[timeout)|(PRM\|1\|D)|(kpr)|(kdp)|(train st.+moving)|(\|lc)|(penalty))"</v>
      </c>
      <c r="AG236" s="182" t="str">
        <f t="shared" si="166"/>
        <v>Shuttle/Test</v>
      </c>
      <c r="AH236" s="78" t="str">
        <f t="shared" si="151"/>
        <v>"%USERPROFILE%\Documents\GitHub\eaglep3\Utilities\RefineRTDCRunTimes.py" --tripid 54-05 --locoid 4019 --swversion DE.1.0.9.0 --startMP 300:31190 --initTime 2017-10-05T12:44:10 --startdatetime 2017-10-05T13:17:10 --delay 58 --endMP 204:146 --enddatetime 2017-10-05T13:26:22 --enforcementcount 0 &gt;&gt;%USERPROFILE%\Documents\GitHub\eaglep3-reporting\EC\2017-10-05-refined-times.txt</v>
      </c>
      <c r="AI236" s="96" t="str">
        <f t="shared" si="152"/>
        <v>echo {"issue":{"subject":"","project_id":79,"tracker_id":40,"status_id":1,"priority_id":2,"assigned_to_id":338,"start_date":"2017-10-05","description":"","custom_fields":[{"id":1,"name":"Subdivision","value":"Shuttle/Test"},{"id":4,"name":"Milepost","value":"0.0146"},{"id":17,"name":"Train ID","value":"54-05"},{"id":16,"name":"Locomotive ID","value":"4019"},{"id":130,"name":"Impact","value":""},{"id":150,"name":"Time of Event (Mountain Time)","value":"13:26:22"},{"id":151,"name":"Denver Issue ID","value":""},{"id":178,"name":"Operational Impact","value":"Yes"},{"id":179,"name":"Denver Segment Assigned","value":""}]}} | curl --insecure -X POST -H "Content-Type: application/json" -H "X-Redmine-API-Key: %REDMINEAPIKEY%" https://secure.xorail.net/redmine/issues.json --data @-</v>
      </c>
      <c r="AK236" s="47"/>
      <c r="AL236" s="47"/>
      <c r="AM236" s="142" t="str">
        <f t="shared" si="153"/>
        <v>start /low /b %USERPROFILE%\Documents\GitHub\eaglep3\Utilities\DownloadLogsFromS3.py --loco 4019 --day 2017-10-05</v>
      </c>
      <c r="AN236" s="151" t="str">
        <f t="shared" si="154"/>
        <v>echo {"issue":{"subject":"","project_id":30,"tracker_id":4,"status_id":1,"priority_id":1,"assigned_to_id":10,"start_date":"2017-10-05","description":"","custom_fields":[{"id":30,"name":"Category","value":"Issue"},{"id":3,"name":"Functional Component","value":"Onboard"},{"id":31,"name":"Version","value":"N/A"},{"id":8,"name":"Reporting RR","value":"WABTEC"},{"id":27,"name":"Locomotive ID","value":"4019"},{"id":20,"name":"RR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19:26:22"},{"id":29,"name":"Sharepoint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36" s="168" t="str">
        <f t="shared" si="155"/>
        <v>https://d0f6bd738d7f1b3e5a7ca70fe4ff75f0.us-east-1.aws.found.io/app/kibana#/discover/Steve-Slow-Train-Analysis-(2080s-and-2083s)?_g=(refreshInterval:(display:Off,pause:!f,section:0,value:0),time:(from:'2017-10-05T11:44:10-0600',mode:absolute,to:'2017-10-05T14:26:22-0600'))&amp;_a=(columns:!('Message%20ID',Summary),filters:!(),index:'emp_*',interval:auto,query:(query_string:(analyze_wildcard:!t,query:'%22rtdc.l.rtdc.4019%22')),sort:!(Time.ISO8601,asc))</v>
      </c>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row>
    <row r="237" spans="1:91" s="20" customFormat="1" x14ac:dyDescent="0.25">
      <c r="A237" s="32" t="s">
        <v>595</v>
      </c>
      <c r="B237" s="7">
        <v>4019</v>
      </c>
      <c r="C237" s="21" t="s">
        <v>194</v>
      </c>
      <c r="D237" s="21" t="s">
        <v>901</v>
      </c>
      <c r="E237" s="13">
        <v>43013.551770833335</v>
      </c>
      <c r="F237" s="13">
        <v>43013.573622685188</v>
      </c>
      <c r="G237" s="7">
        <v>49</v>
      </c>
      <c r="H237" s="21" t="s">
        <v>902</v>
      </c>
      <c r="I237" s="13">
        <v>43013.579687500001</v>
      </c>
      <c r="J237" s="7">
        <v>0</v>
      </c>
      <c r="K237" s="89" t="str">
        <f t="shared" si="161"/>
        <v>4019/4020</v>
      </c>
      <c r="L237" s="185" t="str">
        <f>VLOOKUP(A237,'Trips&amp;Operators'!$C$1:$G$99911,5,FALSE)</f>
        <v>MOSES BRADLEY</v>
      </c>
      <c r="M237" s="6">
        <f t="shared" si="162"/>
        <v>6.064814813726116E-3</v>
      </c>
      <c r="N237" s="7">
        <f t="shared" si="156"/>
        <v>8.733333331765607</v>
      </c>
      <c r="O237" s="7"/>
      <c r="P237" s="7"/>
      <c r="Q237" s="22"/>
      <c r="R237" s="174"/>
      <c r="S237" s="221">
        <f t="shared" si="157"/>
        <v>1</v>
      </c>
      <c r="T237" s="174" t="str">
        <f t="shared" si="163"/>
        <v>Southbound</v>
      </c>
      <c r="U237" s="198">
        <f>IF(AG237="EC",COUNTIFS(Variables!$M$2:$M$19,IF(T237="NorthBound","&gt;=","&lt;=")&amp;Y237,Variables!$M$2:$M$19,IF(T237="NorthBound","&lt;=","&gt;=")&amp;Z237),COUNTIFS(Variables!$P$2:$P$19,IF(T237="NorthBound","&gt;=","&lt;=")&amp;Y237,Variables!$P$2:$P$19,IF(T237="NorthBound","&lt;=","&gt;=")&amp;Z237))</f>
        <v>1</v>
      </c>
      <c r="V237" s="216" t="str">
        <f t="shared" si="148"/>
        <v>https://d0f6bd738d7f1b3e5a7ca70fe4ff75f0.us-east-1.aws.found.io/app/kibana#/discover/Steve-Slow-Train-Analysis-(2080s-and-2083s)?_g=(refreshInterval:(display:Off,pause:!f,section:0,value:0),time:(from:'2017-10-05T12:14:33-0600',mode:absolute,to:'2017-10-05T14:54:45-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4019%22')),sort:!(Time.ISO8601,asc))</v>
      </c>
      <c r="W237" s="204" t="str">
        <f>IF(AA237&lt;VLOOKUP(AG237,Variables!$AC$3:$AD$8,2,FALSE),"Y","N")</f>
        <v>Y</v>
      </c>
      <c r="X237" s="204">
        <f t="shared" si="160"/>
        <v>0</v>
      </c>
      <c r="Y237" s="204">
        <f t="shared" si="158"/>
        <v>3.1080000000000001</v>
      </c>
      <c r="Z237" s="204">
        <f t="shared" si="159"/>
        <v>1.4E-2</v>
      </c>
      <c r="AA237" s="204">
        <f t="shared" si="164"/>
        <v>3.0940000000000003</v>
      </c>
      <c r="AB237" s="54" t="e">
        <f>VLOOKUP(A237,Enforcements!$C$7:$K$11,8,0)</f>
        <v>#N/A</v>
      </c>
      <c r="AC237" s="51" t="e">
        <f>VLOOKUP(A237,Enforcements!$C$7:$E$11,3,0)</f>
        <v>#N/A</v>
      </c>
      <c r="AD237" s="179">
        <f t="shared" si="165"/>
        <v>54</v>
      </c>
      <c r="AE237" s="77" t="str">
        <f t="shared" si="149"/>
        <v>aws s3 cp s3://rtdc.mdm.uploadarchive.raw/RTDC4019/ "%USERPROFILE%\AppData\Local\Temp\OnboardLogs"\RTDC4019\2017-10-05 --exclude "*" --recursive --include "*20171005*" &amp; "%USERPROFILE%\Documents\GitHub\mrs-test-scripts\Headless Mode &amp; Sideloading\WalkAndUnGZ.bat" "%USERPROFILE%\AppData\Local\Temp\OnboardLogs"\RTDC4019\2017-10-05 &amp; aws s3 cp s3://rtdc.mdm.uploadarchive.raw/RTDC4019/ "%USERPROFILE%\AppData\Local\Temp\OnboardLogs"\RTDC4019\2017-10-06 --exclude "*" --recursive --include "*20171006*" &amp; "%USERPROFILE%\Documents\GitHub\mrs-test-scripts\Headless Mode &amp; Sideloading\WalkAndUnGZ.bat" "%USERPROFILE%\AppData\Local\Temp\OnboardLogs"\RTDC4019\2017-10-06</v>
      </c>
      <c r="AF237" s="74" t="str">
        <f t="shared" si="150"/>
        <v>"C:\Program Files (x86)\AstroGrep\AstroGrep.exe" /e /r /s /spath="%USERPROFILE%\AppData\Local\Temp\OnboardLogs" /stypes="app*4019*20171005*" /stext=" 19:.+((SYSTEM_STATE.+slice.+state.+changed )|(ment ac)|(multiple cpu faults)|(system.+state.+changed )|(\[timeout)|(PRM\|1\|D)|(kpr)|(kdp)|(train st.+moving)|(\|lc)|(penalty))"</v>
      </c>
      <c r="AG237" s="182" t="str">
        <f t="shared" si="166"/>
        <v>Shuttle/Test</v>
      </c>
      <c r="AH237" s="78" t="str">
        <f t="shared" si="151"/>
        <v>"%USERPROFILE%\Documents\GitHub\eaglep3\Utilities\RefineRTDCRunTimes.py" --tripid 54-05 --locoid 4019 --swversion DE.1.0.9.0 --startMP 300:31080 --initTime 2017-10-05T13:14:33 --startdatetime 2017-10-05T13:46:01 --delay 49 --endMP 204:140 --enddatetime 2017-10-05T13:54:45 --enforcementcount 0 &gt;&gt;%USERPROFILE%\Documents\GitHub\eaglep3-reporting\EC\2017-10-05-refined-times.txt</v>
      </c>
      <c r="AI237" s="96" t="str">
        <f t="shared" si="152"/>
        <v>echo {"issue":{"subject":"","project_id":79,"tracker_id":40,"status_id":1,"priority_id":2,"assigned_to_id":338,"start_date":"2017-10-05","description":"","custom_fields":[{"id":1,"name":"Subdivision","value":"Shuttle/Test"},{"id":4,"name":"Milepost","value":"0.014"},{"id":17,"name":"Train ID","value":"54-05"},{"id":16,"name":"Locomotive ID","value":"4019"},{"id":130,"name":"Impact","value":""},{"id":150,"name":"Time of Event (Mountain Time)","value":"13:54:45"},{"id":151,"name":"Denver Issue ID","value":""},{"id":178,"name":"Operational Impact","value":"Yes"},{"id":179,"name":"Denver Segment Assigned","value":""}]}} | curl --insecure -X POST -H "Content-Type: application/json" -H "X-Redmine-API-Key: %REDMINEAPIKEY%" https://secure.xorail.net/redmine/issues.json --data @-</v>
      </c>
      <c r="AK237" s="47"/>
      <c r="AL237" s="47"/>
      <c r="AM237" s="142" t="str">
        <f t="shared" si="153"/>
        <v>start /low /b %USERPROFILE%\Documents\GitHub\eaglep3\Utilities\DownloadLogsFromS3.py --loco 4019 --day 2017-10-05</v>
      </c>
      <c r="AN237" s="151" t="str">
        <f t="shared" si="154"/>
        <v>echo {"issue":{"subject":"","project_id":30,"tracker_id":4,"status_id":1,"priority_id":1,"assigned_to_id":10,"start_date":"2017-10-05","description":"","custom_fields":[{"id":30,"name":"Category","value":"Issue"},{"id":3,"name":"Functional Component","value":"Onboard"},{"id":31,"name":"Version","value":"N/A"},{"id":8,"name":"Reporting RR","value":"WABTEC"},{"id":27,"name":"Locomotive ID","value":"4019"},{"id":20,"name":"RR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19:54:45"},{"id":29,"name":"Sharepoint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37" s="168" t="str">
        <f t="shared" si="155"/>
        <v>https://d0f6bd738d7f1b3e5a7ca70fe4ff75f0.us-east-1.aws.found.io/app/kibana#/discover/Steve-Slow-Train-Analysis-(2080s-and-2083s)?_g=(refreshInterval:(display:Off,pause:!f,section:0,value:0),time:(from:'2017-10-05T12:14:33-0600',mode:absolute,to:'2017-10-05T14:54:45-0600'))&amp;_a=(columns:!('Message%20ID',Summary),filters:!(),index:'emp_*',interval:auto,query:(query_string:(analyze_wildcard:!t,query:'%22rtdc.l.rtdc.4019%22')),sort:!(Time.ISO8601,asc))</v>
      </c>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row>
    <row r="238" spans="1:91" s="20" customFormat="1" x14ac:dyDescent="0.25">
      <c r="A238" s="32" t="s">
        <v>595</v>
      </c>
      <c r="B238" s="7">
        <v>4020</v>
      </c>
      <c r="C238" s="21" t="s">
        <v>194</v>
      </c>
      <c r="D238" s="21" t="s">
        <v>366</v>
      </c>
      <c r="E238" s="13">
        <v>43013.541967592595</v>
      </c>
      <c r="F238" s="13">
        <v>43013.565300925926</v>
      </c>
      <c r="G238" s="7">
        <v>50</v>
      </c>
      <c r="H238" s="21" t="s">
        <v>903</v>
      </c>
      <c r="I238" s="13">
        <v>43013.570162037038</v>
      </c>
      <c r="J238" s="7">
        <v>0</v>
      </c>
      <c r="K238" s="89" t="str">
        <f t="shared" si="161"/>
        <v>4019/4020</v>
      </c>
      <c r="L238" s="185" t="str">
        <f>VLOOKUP(A238,'Trips&amp;Operators'!$C$1:$G$99911,5,FALSE)</f>
        <v>MOSES BRADLEY</v>
      </c>
      <c r="M238" s="6">
        <f t="shared" si="162"/>
        <v>4.8611111124046147E-3</v>
      </c>
      <c r="N238" s="7">
        <f t="shared" si="156"/>
        <v>7.0000000018626451</v>
      </c>
      <c r="O238" s="7"/>
      <c r="P238" s="7"/>
      <c r="Q238" s="22"/>
      <c r="R238" s="174"/>
      <c r="S238" s="221">
        <f t="shared" si="157"/>
        <v>0</v>
      </c>
      <c r="T238" s="174" t="str">
        <f t="shared" si="163"/>
        <v>Southbound</v>
      </c>
      <c r="U238" s="198">
        <f>IF(AG238="EC",COUNTIFS(Variables!$M$2:$M$19,IF(T238="NorthBound","&gt;=","&lt;=")&amp;Y238,Variables!$M$2:$M$19,IF(T238="NorthBound","&lt;=","&gt;=")&amp;Z238),COUNTIFS(Variables!$P$2:$P$19,IF(T238="NorthBound","&gt;=","&lt;=")&amp;Y238,Variables!$P$2:$P$19,IF(T238="NorthBound","&lt;=","&gt;=")&amp;Z238))</f>
        <v>0</v>
      </c>
      <c r="V238" s="216" t="str">
        <f t="shared" si="148"/>
        <v>https://d0f6bd738d7f1b3e5a7ca70fe4ff75f0.us-east-1.aws.found.io/app/kibana#/discover/Steve-Slow-Train-Analysis-(2080s-and-2083s)?_g=(refreshInterval:(display:Off,pause:!f,section:0,value:0),time:(from:'2017-10-05T12:00:26-0600',mode:absolute,to:'2017-10-05T14:41:02-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4020%22')),sort:!(Time.ISO8601,asc))</v>
      </c>
      <c r="W238" s="204" t="str">
        <f>IF(AA238&lt;VLOOKUP(AG238,Variables!$AC$3:$AD$8,2,FALSE),"Y","N")</f>
        <v>Y</v>
      </c>
      <c r="X238" s="204">
        <f t="shared" si="160"/>
        <v>0</v>
      </c>
      <c r="Y238" s="204">
        <f t="shared" si="158"/>
        <v>4.5999999999999999E-2</v>
      </c>
      <c r="Z238" s="204">
        <f t="shared" si="159"/>
        <v>3.1396000000000002</v>
      </c>
      <c r="AA238" s="204">
        <f t="shared" si="164"/>
        <v>3.0936000000000003</v>
      </c>
      <c r="AB238" s="54" t="e">
        <f>VLOOKUP(A238,Enforcements!$C$7:$K$11,8,0)</f>
        <v>#N/A</v>
      </c>
      <c r="AC238" s="51" t="e">
        <f>VLOOKUP(A238,Enforcements!$C$7:$E$11,3,0)</f>
        <v>#N/A</v>
      </c>
      <c r="AD238" s="179">
        <f t="shared" si="165"/>
        <v>54</v>
      </c>
      <c r="AE238" s="77" t="str">
        <f t="shared" si="149"/>
        <v>aws s3 cp s3://rtdc.mdm.uploadarchive.raw/RTDC4020/ "%USERPROFILE%\AppData\Local\Temp\OnboardLogs"\RTDC4020\2017-10-05 --exclude "*" --recursive --include "*20171005*" &amp; "%USERPROFILE%\Documents\GitHub\mrs-test-scripts\Headless Mode &amp; Sideloading\WalkAndUnGZ.bat" "%USERPROFILE%\AppData\Local\Temp\OnboardLogs"\RTDC4020\2017-10-05 &amp; aws s3 cp s3://rtdc.mdm.uploadarchive.raw/RTDC4020/ "%USERPROFILE%\AppData\Local\Temp\OnboardLogs"\RTDC4020\2017-10-06 --exclude "*" --recursive --include "*20171006*" &amp; "%USERPROFILE%\Documents\GitHub\mrs-test-scripts\Headless Mode &amp; Sideloading\WalkAndUnGZ.bat" "%USERPROFILE%\AppData\Local\Temp\OnboardLogs"\RTDC4020\2017-10-06</v>
      </c>
      <c r="AF238" s="74" t="str">
        <f t="shared" si="150"/>
        <v>"C:\Program Files (x86)\AstroGrep\AstroGrep.exe" /e /r /s /spath="%USERPROFILE%\AppData\Local\Temp\OnboardLogs" /stypes="app*4020*20171005*" /stext=" 19:.+((SYSTEM_STATE.+slice.+state.+changed )|(ment ac)|(multiple cpu faults)|(system.+state.+changed )|(\[timeout)|(PRM\|1\|D)|(kpr)|(kdp)|(train st.+moving)|(\|lc)|(penalty))"</v>
      </c>
      <c r="AG238" s="182" t="str">
        <f t="shared" si="166"/>
        <v>Shuttle/Test</v>
      </c>
      <c r="AH238" s="78" t="str">
        <f t="shared" si="151"/>
        <v>"%USERPROFILE%\Documents\GitHub\eaglep3\Utilities\RefineRTDCRunTimes.py" --tripid 54-05 --locoid 4020 --swversion DE.1.0.9.0 --startMP 204:460 --initTime 2017-10-05T13:00:26 --startdatetime 2017-10-05T13:34:02 --delay 50 --endMP 300:31396 --enddatetime 2017-10-05T13:41:02 --enforcementcount 0 &gt;&gt;%USERPROFILE%\Documents\GitHub\eaglep3-reporting\EC\2017-10-05-refined-times.txt</v>
      </c>
      <c r="AI238" s="96" t="str">
        <f t="shared" si="152"/>
        <v>echo {"issue":{"subject":"","project_id":79,"tracker_id":40,"status_id":1,"priority_id":2,"assigned_to_id":338,"start_date":"2017-10-05","description":"","custom_fields":[{"id":1,"name":"Subdivision","value":"Shuttle/Test"},{"id":4,"name":"Milepost","value":"3.1396"},{"id":17,"name":"Train ID","value":"54-05"},{"id":16,"name":"Locomotive ID","value":"4020"},{"id":130,"name":"Impact","value":""},{"id":150,"name":"Time of Event (Mountain Time)","value":"13:41:02"},{"id":151,"name":"Denver Issue ID","value":""},{"id":178,"name":"Operational Impact","value":"Yes"},{"id":179,"name":"Denver Segment Assigned","value":""}]}} | curl --insecure -X POST -H "Content-Type: application/json" -H "X-Redmine-API-Key: %REDMINEAPIKEY%" https://secure.xorail.net/redmine/issues.json --data @-</v>
      </c>
      <c r="AK238" s="47"/>
      <c r="AL238" s="47"/>
      <c r="AM238" s="142" t="str">
        <f t="shared" si="153"/>
        <v>start /low /b %USERPROFILE%\Documents\GitHub\eaglep3\Utilities\DownloadLogsFromS3.py --loco 4020 --day 2017-10-05</v>
      </c>
      <c r="AN238" s="151" t="str">
        <f t="shared" si="154"/>
        <v>echo {"issue":{"subject":"","project_id":30,"tracker_id":4,"status_id":1,"priority_id":1,"assigned_to_id":10,"start_date":"2017-10-05","description":"","custom_fields":[{"id":30,"name":"Category","value":"Issue"},{"id":3,"name":"Functional Component","value":"Onboard"},{"id":31,"name":"Version","value":"N/A"},{"id":8,"name":"Reporting RR","value":"WABTEC"},{"id":27,"name":"Locomotive ID","value":"4020"},{"id":20,"name":"RR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19:41:02"},{"id":29,"name":"Sharepoint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38" s="168" t="str">
        <f t="shared" si="155"/>
        <v>https://d0f6bd738d7f1b3e5a7ca70fe4ff75f0.us-east-1.aws.found.io/app/kibana#/discover/Steve-Slow-Train-Analysis-(2080s-and-2083s)?_g=(refreshInterval:(display:Off,pause:!f,section:0,value:0),time:(from:'2017-10-05T12:00:26-0600',mode:absolute,to:'2017-10-05T14:41:02-0600'))&amp;_a=(columns:!('Message%20ID',Summary),filters:!(),index:'emp_*',interval:auto,query:(query_string:(analyze_wildcard:!t,query:'%22rtdc.l.rtdc.4020%22')),sort:!(Time.ISO8601,asc))</v>
      </c>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row>
    <row r="239" spans="1:91" x14ac:dyDescent="0.25">
      <c r="A239" s="32" t="s">
        <v>595</v>
      </c>
      <c r="B239" s="7">
        <v>4019</v>
      </c>
      <c r="C239" s="21" t="s">
        <v>194</v>
      </c>
      <c r="D239" s="21" t="s">
        <v>904</v>
      </c>
      <c r="E239" s="13">
        <v>43013.571423611109</v>
      </c>
      <c r="F239" s="13">
        <v>43013.595543981479</v>
      </c>
      <c r="G239" s="7">
        <v>47</v>
      </c>
      <c r="H239" s="21" t="s">
        <v>551</v>
      </c>
      <c r="I239" s="13">
        <v>43013.601712962962</v>
      </c>
      <c r="J239" s="7">
        <v>0</v>
      </c>
      <c r="K239" s="89" t="str">
        <f t="shared" si="161"/>
        <v>4019/4020</v>
      </c>
      <c r="L239" s="185" t="str">
        <f>VLOOKUP(A239,'Trips&amp;Operators'!$C$1:$G$99911,5,FALSE)</f>
        <v>MOSES BRADLEY</v>
      </c>
      <c r="M239" s="6">
        <f t="shared" si="162"/>
        <v>6.1689814829151146E-3</v>
      </c>
      <c r="N239" s="7">
        <f t="shared" si="156"/>
        <v>8.883333335397765</v>
      </c>
      <c r="O239" s="7"/>
      <c r="P239" s="7"/>
      <c r="Q239" s="22"/>
      <c r="R239" s="174"/>
      <c r="S239" s="221">
        <f t="shared" si="157"/>
        <v>1</v>
      </c>
      <c r="T239" s="174" t="str">
        <f t="shared" si="163"/>
        <v>Southbound</v>
      </c>
      <c r="U239" s="198">
        <f>IF(AG239="EC",COUNTIFS(Variables!$M$2:$M$19,IF(T239="NorthBound","&gt;=","&lt;=")&amp;Y239,Variables!$M$2:$M$19,IF(T239="NorthBound","&lt;=","&gt;=")&amp;Z239),COUNTIFS(Variables!$P$2:$P$19,IF(T239="NorthBound","&gt;=","&lt;=")&amp;Y239,Variables!$P$2:$P$19,IF(T239="NorthBound","&lt;=","&gt;=")&amp;Z239))</f>
        <v>1</v>
      </c>
      <c r="V239" s="216" t="str">
        <f t="shared" si="148"/>
        <v>https://d0f6bd738d7f1b3e5a7ca70fe4ff75f0.us-east-1.aws.found.io/app/kibana#/discover/Steve-Slow-Train-Analysis-(2080s-and-2083s)?_g=(refreshInterval:(display:Off,pause:!f,section:0,value:0),time:(from:'2017-10-05T12:42:51-0600',mode:absolute,to:'2017-10-05T15:26:28-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4019%22')),sort:!(Time.ISO8601,asc))</v>
      </c>
      <c r="W239" s="204" t="str">
        <f>IF(AA239&lt;VLOOKUP(AG239,Variables!$AC$3:$AD$8,2,FALSE),"Y","N")</f>
        <v>Y</v>
      </c>
      <c r="X239" s="204">
        <f t="shared" si="160"/>
        <v>0</v>
      </c>
      <c r="Y239" s="204">
        <f t="shared" si="158"/>
        <v>3.1072000000000002</v>
      </c>
      <c r="Z239" s="204">
        <f t="shared" si="159"/>
        <v>1.46E-2</v>
      </c>
      <c r="AA239" s="204">
        <f t="shared" si="164"/>
        <v>3.0926</v>
      </c>
      <c r="AB239" s="54" t="e">
        <f>VLOOKUP(A239,Enforcements!$C$7:$K$11,8,0)</f>
        <v>#N/A</v>
      </c>
      <c r="AC239" s="51" t="e">
        <f>VLOOKUP(A239,Enforcements!$C$7:$E$11,3,0)</f>
        <v>#N/A</v>
      </c>
      <c r="AD239" s="179">
        <f t="shared" si="165"/>
        <v>54</v>
      </c>
      <c r="AE239" s="77" t="str">
        <f t="shared" si="149"/>
        <v>aws s3 cp s3://rtdc.mdm.uploadarchive.raw/RTDC4019/ "%USERPROFILE%\AppData\Local\Temp\OnboardLogs"\RTDC4019\2017-10-05 --exclude "*" --recursive --include "*20171005*" &amp; "%USERPROFILE%\Documents\GitHub\mrs-test-scripts\Headless Mode &amp; Sideloading\WalkAndUnGZ.bat" "%USERPROFILE%\AppData\Local\Temp\OnboardLogs"\RTDC4019\2017-10-05 &amp; aws s3 cp s3://rtdc.mdm.uploadarchive.raw/RTDC4019/ "%USERPROFILE%\AppData\Local\Temp\OnboardLogs"\RTDC4019\2017-10-06 --exclude "*" --recursive --include "*20171006*" &amp; "%USERPROFILE%\Documents\GitHub\mrs-test-scripts\Headless Mode &amp; Sideloading\WalkAndUnGZ.bat" "%USERPROFILE%\AppData\Local\Temp\OnboardLogs"\RTDC4019\2017-10-06</v>
      </c>
      <c r="AF239" s="74" t="str">
        <f t="shared" si="150"/>
        <v>"C:\Program Files (x86)\AstroGrep\AstroGrep.exe" /e /r /s /spath="%USERPROFILE%\AppData\Local\Temp\OnboardLogs" /stypes="app*4019*20171005*" /stext=" 20:.+((SYSTEM_STATE.+slice.+state.+changed )|(ment ac)|(multiple cpu faults)|(system.+state.+changed )|(\[timeout)|(PRM\|1\|D)|(kpr)|(kdp)|(train st.+moving)|(\|lc)|(penalty))"</v>
      </c>
      <c r="AG239" s="182" t="str">
        <f t="shared" si="166"/>
        <v>Shuttle/Test</v>
      </c>
      <c r="AH239" s="78" t="str">
        <f t="shared" si="151"/>
        <v>"%USERPROFILE%\Documents\GitHub\eaglep3\Utilities\RefineRTDCRunTimes.py" --tripid 54-05 --locoid 4019 --swversion DE.1.0.9.0 --startMP 300:31072 --initTime 2017-10-05T13:42:51 --startdatetime 2017-10-05T14:17:35 --delay 47 --endMP 204:146 --enddatetime 2017-10-05T14:26:28 --enforcementcount 0 &gt;&gt;%USERPROFILE%\Documents\GitHub\eaglep3-reporting\EC\2017-10-05-refined-times.txt</v>
      </c>
      <c r="AI239" s="96" t="str">
        <f t="shared" si="152"/>
        <v>echo {"issue":{"subject":"","project_id":79,"tracker_id":40,"status_id":1,"priority_id":2,"assigned_to_id":338,"start_date":"2017-10-05","description":"","custom_fields":[{"id":1,"name":"Subdivision","value":"Shuttle/Test"},{"id":4,"name":"Milepost","value":"0.0146"},{"id":17,"name":"Train ID","value":"54-05"},{"id":16,"name":"Locomotive ID","value":"4019"},{"id":130,"name":"Impact","value":""},{"id":150,"name":"Time of Event (Mountain Time)","value":"14:26:28"},{"id":151,"name":"Denver Issue ID","value":""},{"id":178,"name":"Operational Impact","value":"Yes"},{"id":179,"name":"Denver Segment Assigned","value":""}]}} | curl --insecure -X POST -H "Content-Type: application/json" -H "X-Redmine-API-Key: %REDMINEAPIKEY%" https://secure.xorail.net/redmine/issues.json --data @-</v>
      </c>
      <c r="AJ239" s="20"/>
      <c r="AK239" s="47"/>
      <c r="AL239" s="47"/>
      <c r="AM239" s="142" t="str">
        <f t="shared" si="153"/>
        <v>start /low /b %USERPROFILE%\Documents\GitHub\eaglep3\Utilities\DownloadLogsFromS3.py --loco 4019 --day 2017-10-05</v>
      </c>
      <c r="AN239" s="151" t="str">
        <f t="shared" si="154"/>
        <v>echo {"issue":{"subject":"","project_id":30,"tracker_id":4,"status_id":1,"priority_id":1,"assigned_to_id":10,"start_date":"2017-10-05","description":"","custom_fields":[{"id":30,"name":"Category","value":"Issue"},{"id":3,"name":"Functional Component","value":"Onboard"},{"id":31,"name":"Version","value":"N/A"},{"id":8,"name":"Reporting RR","value":"WABTEC"},{"id":27,"name":"Locomotive ID","value":"4019"},{"id":20,"name":"RR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20:26:28"},{"id":29,"name":"Sharepoint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39" s="168" t="str">
        <f t="shared" si="155"/>
        <v>https://d0f6bd738d7f1b3e5a7ca70fe4ff75f0.us-east-1.aws.found.io/app/kibana#/discover/Steve-Slow-Train-Analysis-(2080s-and-2083s)?_g=(refreshInterval:(display:Off,pause:!f,section:0,value:0),time:(from:'2017-10-05T12:42:51-0600',mode:absolute,to:'2017-10-05T15:26:28-0600'))&amp;_a=(columns:!('Message%20ID',Summary),filters:!(),index:'emp_*',interval:auto,query:(query_string:(analyze_wildcard:!t,query:'%22rtdc.l.rtdc.4019%22')),sort:!(Time.ISO8601,asc))</v>
      </c>
    </row>
    <row r="240" spans="1:91" s="20" customFormat="1" x14ac:dyDescent="0.25">
      <c r="A240" s="32" t="s">
        <v>595</v>
      </c>
      <c r="B240" s="7">
        <v>4020</v>
      </c>
      <c r="C240" s="21" t="s">
        <v>194</v>
      </c>
      <c r="D240" s="21" t="s">
        <v>905</v>
      </c>
      <c r="E240" s="13">
        <v>43013.563206018516</v>
      </c>
      <c r="F240" s="13">
        <v>43013.585185185184</v>
      </c>
      <c r="G240" s="7">
        <v>62</v>
      </c>
      <c r="H240" s="21" t="s">
        <v>906</v>
      </c>
      <c r="I240" s="13">
        <v>43013.59002314815</v>
      </c>
      <c r="J240" s="7">
        <v>0</v>
      </c>
      <c r="K240" s="89" t="str">
        <f t="shared" si="161"/>
        <v>4019/4020</v>
      </c>
      <c r="L240" s="185" t="str">
        <f>VLOOKUP(A240,'Trips&amp;Operators'!$C$1:$G$99911,5,FALSE)</f>
        <v>MOSES BRADLEY</v>
      </c>
      <c r="M240" s="6">
        <f t="shared" si="162"/>
        <v>4.8379629661212675E-3</v>
      </c>
      <c r="N240" s="7">
        <f t="shared" si="156"/>
        <v>6.9666666712146252</v>
      </c>
      <c r="O240" s="7"/>
      <c r="P240" s="7"/>
      <c r="Q240" s="22"/>
      <c r="R240" s="174"/>
      <c r="S240" s="221">
        <f t="shared" si="157"/>
        <v>0</v>
      </c>
      <c r="T240" s="174" t="str">
        <f t="shared" si="163"/>
        <v>Southbound</v>
      </c>
      <c r="U240" s="198">
        <f>IF(AG240="EC",COUNTIFS(Variables!$M$2:$M$19,IF(T240="NorthBound","&gt;=","&lt;=")&amp;Y240,Variables!$M$2:$M$19,IF(T240="NorthBound","&lt;=","&gt;=")&amp;Z240),COUNTIFS(Variables!$P$2:$P$19,IF(T240="NorthBound","&gt;=","&lt;=")&amp;Y240,Variables!$P$2:$P$19,IF(T240="NorthBound","&lt;=","&gt;=")&amp;Z240))</f>
        <v>0</v>
      </c>
      <c r="V240" s="216" t="str">
        <f t="shared" si="148"/>
        <v>https://d0f6bd738d7f1b3e5a7ca70fe4ff75f0.us-east-1.aws.found.io/app/kibana#/discover/Steve-Slow-Train-Analysis-(2080s-and-2083s)?_g=(refreshInterval:(display:Off,pause:!f,section:0,value:0),time:(from:'2017-10-05T12:31:01-0600',mode:absolute,to:'2017-10-05T15:09:38-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4020%22')),sort:!(Time.ISO8601,asc))</v>
      </c>
      <c r="W240" s="204" t="str">
        <f>IF(AA240&lt;VLOOKUP(AG240,Variables!$AC$3:$AD$8,2,FALSE),"Y","N")</f>
        <v>Y</v>
      </c>
      <c r="X240" s="204">
        <f t="shared" si="160"/>
        <v>0</v>
      </c>
      <c r="Y240" s="204">
        <f t="shared" si="158"/>
        <v>4.3900000000000002E-2</v>
      </c>
      <c r="Z240" s="204">
        <f t="shared" si="159"/>
        <v>3.1402000000000001</v>
      </c>
      <c r="AA240" s="204">
        <f t="shared" si="164"/>
        <v>3.0963000000000003</v>
      </c>
      <c r="AB240" s="54" t="e">
        <f>VLOOKUP(A240,Enforcements!$C$7:$K$11,8,0)</f>
        <v>#N/A</v>
      </c>
      <c r="AC240" s="51" t="e">
        <f>VLOOKUP(A240,Enforcements!$C$7:$E$11,3,0)</f>
        <v>#N/A</v>
      </c>
      <c r="AD240" s="179">
        <f t="shared" si="165"/>
        <v>54</v>
      </c>
      <c r="AE240" s="77" t="str">
        <f t="shared" si="149"/>
        <v>aws s3 cp s3://rtdc.mdm.uploadarchive.raw/RTDC4020/ "%USERPROFILE%\AppData\Local\Temp\OnboardLogs"\RTDC4020\2017-10-05 --exclude "*" --recursive --include "*20171005*" &amp; "%USERPROFILE%\Documents\GitHub\mrs-test-scripts\Headless Mode &amp; Sideloading\WalkAndUnGZ.bat" "%USERPROFILE%\AppData\Local\Temp\OnboardLogs"\RTDC4020\2017-10-05 &amp; aws s3 cp s3://rtdc.mdm.uploadarchive.raw/RTDC4020/ "%USERPROFILE%\AppData\Local\Temp\OnboardLogs"\RTDC4020\2017-10-06 --exclude "*" --recursive --include "*20171006*" &amp; "%USERPROFILE%\Documents\GitHub\mrs-test-scripts\Headless Mode &amp; Sideloading\WalkAndUnGZ.bat" "%USERPROFILE%\AppData\Local\Temp\OnboardLogs"\RTDC4020\2017-10-06</v>
      </c>
      <c r="AF240" s="74" t="str">
        <f t="shared" si="150"/>
        <v>"C:\Program Files (x86)\AstroGrep\AstroGrep.exe" /e /r /s /spath="%USERPROFILE%\AppData\Local\Temp\OnboardLogs" /stypes="app*4020*20171005*" /stext=" 20:.+((SYSTEM_STATE.+slice.+state.+changed )|(ment ac)|(multiple cpu faults)|(system.+state.+changed )|(\[timeout)|(PRM\|1\|D)|(kpr)|(kdp)|(train st.+moving)|(\|lc)|(penalty))"</v>
      </c>
      <c r="AG240" s="182" t="str">
        <f t="shared" si="166"/>
        <v>Shuttle/Test</v>
      </c>
      <c r="AH240" s="78" t="str">
        <f t="shared" si="151"/>
        <v>"%USERPROFILE%\Documents\GitHub\eaglep3\Utilities\RefineRTDCRunTimes.py" --tripid 54-05 --locoid 4020 --swversion DE.1.0.9.0 --startMP 204:439 --initTime 2017-10-05T13:31:01 --startdatetime 2017-10-05T14:02:40 --delay 62 --endMP 300:31402 --enddatetime 2017-10-05T14:09:38 --enforcementcount 0 &gt;&gt;%USERPROFILE%\Documents\GitHub\eaglep3-reporting\EC\2017-10-05-refined-times.txt</v>
      </c>
      <c r="AI240" s="96" t="str">
        <f t="shared" si="152"/>
        <v>echo {"issue":{"subject":"","project_id":79,"tracker_id":40,"status_id":1,"priority_id":2,"assigned_to_id":338,"start_date":"2017-10-05","description":"","custom_fields":[{"id":1,"name":"Subdivision","value":"Shuttle/Test"},{"id":4,"name":"Milepost","value":"3.1402"},{"id":17,"name":"Train ID","value":"54-05"},{"id":16,"name":"Locomotive ID","value":"4020"},{"id":130,"name":"Impact","value":""},{"id":150,"name":"Time of Event (Mountain Time)","value":"14:09:38"},{"id":151,"name":"Denver Issue ID","value":""},{"id":178,"name":"Operational Impact","value":"Yes"},{"id":179,"name":"Denver Segment Assigned","value":""}]}} | curl --insecure -X POST -H "Content-Type: application/json" -H "X-Redmine-API-Key: %REDMINEAPIKEY%" https://secure.xorail.net/redmine/issues.json --data @-</v>
      </c>
      <c r="AK240" s="47"/>
      <c r="AL240" s="47"/>
      <c r="AM240" s="142" t="str">
        <f t="shared" si="153"/>
        <v>start /low /b %USERPROFILE%\Documents\GitHub\eaglep3\Utilities\DownloadLogsFromS3.py --loco 4020 --day 2017-10-05</v>
      </c>
      <c r="AN240" s="151" t="str">
        <f t="shared" si="154"/>
        <v>echo {"issue":{"subject":"","project_id":30,"tracker_id":4,"status_id":1,"priority_id":1,"assigned_to_id":10,"start_date":"2017-10-05","description":"","custom_fields":[{"id":30,"name":"Category","value":"Issue"},{"id":3,"name":"Functional Component","value":"Onboard"},{"id":31,"name":"Version","value":"N/A"},{"id":8,"name":"Reporting RR","value":"WABTEC"},{"id":27,"name":"Locomotive ID","value":"4020"},{"id":20,"name":"RR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20:09:38"},{"id":29,"name":"Sharepoint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40" s="168" t="str">
        <f t="shared" si="155"/>
        <v>https://d0f6bd738d7f1b3e5a7ca70fe4ff75f0.us-east-1.aws.found.io/app/kibana#/discover/Steve-Slow-Train-Analysis-(2080s-and-2083s)?_g=(refreshInterval:(display:Off,pause:!f,section:0,value:0),time:(from:'2017-10-05T12:31:01-0600',mode:absolute,to:'2017-10-05T15:09:38-0600'))&amp;_a=(columns:!('Message%20ID',Summary),filters:!(),index:'emp_*',interval:auto,query:(query_string:(analyze_wildcard:!t,query:'%22rtdc.l.rtdc.4020%22')),sort:!(Time.ISO8601,asc))</v>
      </c>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row>
    <row r="241" spans="1:91" s="20" customFormat="1" x14ac:dyDescent="0.25">
      <c r="A241" s="32" t="s">
        <v>595</v>
      </c>
      <c r="B241" s="7">
        <v>4020</v>
      </c>
      <c r="C241" s="21" t="s">
        <v>194</v>
      </c>
      <c r="D241" s="21" t="s">
        <v>405</v>
      </c>
      <c r="E241" s="13">
        <v>43013.583333333336</v>
      </c>
      <c r="F241" s="13">
        <v>43013.605000000003</v>
      </c>
      <c r="G241" s="7">
        <v>47</v>
      </c>
      <c r="H241" s="21" t="s">
        <v>907</v>
      </c>
      <c r="I241" s="13">
        <v>43013.610671296294</v>
      </c>
      <c r="J241" s="7">
        <v>0</v>
      </c>
      <c r="K241" s="89" t="str">
        <f t="shared" si="161"/>
        <v>4019/4020</v>
      </c>
      <c r="L241" s="185" t="str">
        <f>VLOOKUP(A241,'Trips&amp;Operators'!$C$1:$G$99911,5,FALSE)</f>
        <v>MOSES BRADLEY</v>
      </c>
      <c r="M241" s="6">
        <f t="shared" si="162"/>
        <v>5.6712962905294262E-3</v>
      </c>
      <c r="N241" s="7">
        <f t="shared" si="156"/>
        <v>8.1666666583623737</v>
      </c>
      <c r="O241" s="7"/>
      <c r="P241" s="7"/>
      <c r="Q241" s="22"/>
      <c r="R241" s="174"/>
      <c r="S241" s="221">
        <f t="shared" si="157"/>
        <v>0</v>
      </c>
      <c r="T241" s="174" t="str">
        <f t="shared" si="163"/>
        <v>Southbound</v>
      </c>
      <c r="U241" s="198">
        <f>IF(AG241="EC",COUNTIFS(Variables!$M$2:$M$19,IF(T241="NorthBound","&gt;=","&lt;=")&amp;Y241,Variables!$M$2:$M$19,IF(T241="NorthBound","&lt;=","&gt;=")&amp;Z241),COUNTIFS(Variables!$P$2:$P$19,IF(T241="NorthBound","&gt;=","&lt;=")&amp;Y241,Variables!$P$2:$P$19,IF(T241="NorthBound","&lt;=","&gt;=")&amp;Z241))</f>
        <v>0</v>
      </c>
      <c r="V241" s="216" t="str">
        <f t="shared" si="148"/>
        <v>https://d0f6bd738d7f1b3e5a7ca70fe4ff75f0.us-east-1.aws.found.io/app/kibana#/discover/Steve-Slow-Train-Analysis-(2080s-and-2083s)?_g=(refreshInterval:(display:Off,pause:!f,section:0,value:0),time:(from:'2017-10-05T13:00:00-0600',mode:absolute,to:'2017-10-05T15:39:22-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4020%22')),sort:!(Time.ISO8601,asc))</v>
      </c>
      <c r="W241" s="204" t="str">
        <f>IF(AA241&lt;VLOOKUP(AG241,Variables!$AC$3:$AD$8,2,FALSE),"Y","N")</f>
        <v>Y</v>
      </c>
      <c r="X241" s="204">
        <f t="shared" si="160"/>
        <v>0</v>
      </c>
      <c r="Y241" s="204">
        <f t="shared" si="158"/>
        <v>4.4400000000000002E-2</v>
      </c>
      <c r="Z241" s="204">
        <f t="shared" si="159"/>
        <v>3.1537999999999999</v>
      </c>
      <c r="AA241" s="204">
        <f t="shared" si="164"/>
        <v>3.1093999999999999</v>
      </c>
      <c r="AB241" s="54" t="e">
        <f>VLOOKUP(A241,Enforcements!$C$7:$K$11,8,0)</f>
        <v>#N/A</v>
      </c>
      <c r="AC241" s="51" t="e">
        <f>VLOOKUP(A241,Enforcements!$C$7:$E$11,3,0)</f>
        <v>#N/A</v>
      </c>
      <c r="AD241" s="179">
        <f t="shared" si="165"/>
        <v>54</v>
      </c>
      <c r="AE241" s="77" t="str">
        <f t="shared" si="149"/>
        <v>aws s3 cp s3://rtdc.mdm.uploadarchive.raw/RTDC4020/ "%USERPROFILE%\AppData\Local\Temp\OnboardLogs"\RTDC4020\2017-10-05 --exclude "*" --recursive --include "*20171005*" &amp; "%USERPROFILE%\Documents\GitHub\mrs-test-scripts\Headless Mode &amp; Sideloading\WalkAndUnGZ.bat" "%USERPROFILE%\AppData\Local\Temp\OnboardLogs"\RTDC4020\2017-10-05 &amp; aws s3 cp s3://rtdc.mdm.uploadarchive.raw/RTDC4020/ "%USERPROFILE%\AppData\Local\Temp\OnboardLogs"\RTDC4020\2017-10-06 --exclude "*" --recursive --include "*20171006*" &amp; "%USERPROFILE%\Documents\GitHub\mrs-test-scripts\Headless Mode &amp; Sideloading\WalkAndUnGZ.bat" "%USERPROFILE%\AppData\Local\Temp\OnboardLogs"\RTDC4020\2017-10-06</v>
      </c>
      <c r="AF241" s="74" t="str">
        <f t="shared" si="150"/>
        <v>"C:\Program Files (x86)\AstroGrep\AstroGrep.exe" /e /r /s /spath="%USERPROFILE%\AppData\Local\Temp\OnboardLogs" /stypes="app*4020*20171005*" /stext=" 20:.+((SYSTEM_STATE.+slice.+state.+changed )|(ment ac)|(multiple cpu faults)|(system.+state.+changed )|(\[timeout)|(PRM\|1\|D)|(kpr)|(kdp)|(train st.+moving)|(\|lc)|(penalty))"</v>
      </c>
      <c r="AG241" s="182" t="str">
        <f t="shared" si="166"/>
        <v>Shuttle/Test</v>
      </c>
      <c r="AH241" s="78" t="str">
        <f t="shared" si="151"/>
        <v>"%USERPROFILE%\Documents\GitHub\eaglep3\Utilities\RefineRTDCRunTimes.py" --tripid 54-05 --locoid 4020 --swversion DE.1.0.9.0 --startMP 204:444 --initTime 2017-10-05T14:00:00 --startdatetime 2017-10-05T14:31:12 --delay 47 --endMP 300:31538 --enddatetime 2017-10-05T14:39:22 --enforcementcount 0 &gt;&gt;%USERPROFILE%\Documents\GitHub\eaglep3-reporting\EC\2017-10-05-refined-times.txt</v>
      </c>
      <c r="AI241" s="96" t="str">
        <f t="shared" si="152"/>
        <v>echo {"issue":{"subject":"","project_id":79,"tracker_id":40,"status_id":1,"priority_id":2,"assigned_to_id":338,"start_date":"2017-10-05","description":"","custom_fields":[{"id":1,"name":"Subdivision","value":"Shuttle/Test"},{"id":4,"name":"Milepost","value":"3.1538"},{"id":17,"name":"Train ID","value":"54-05"},{"id":16,"name":"Locomotive ID","value":"4020"},{"id":130,"name":"Impact","value":""},{"id":150,"name":"Time of Event (Mountain Time)","value":"14:39:22"},{"id":151,"name":"Denver Issue ID","value":""},{"id":178,"name":"Operational Impact","value":"Yes"},{"id":179,"name":"Denver Segment Assigned","value":""}]}} | curl --insecure -X POST -H "Content-Type: application/json" -H "X-Redmine-API-Key: %REDMINEAPIKEY%" https://secure.xorail.net/redmine/issues.json --data @-</v>
      </c>
      <c r="AK241" s="47"/>
      <c r="AL241" s="47"/>
      <c r="AM241" s="142" t="str">
        <f t="shared" si="153"/>
        <v>start /low /b %USERPROFILE%\Documents\GitHub\eaglep3\Utilities\DownloadLogsFromS3.py --loco 4020 --day 2017-10-05</v>
      </c>
      <c r="AN241" s="151" t="str">
        <f t="shared" si="154"/>
        <v>echo {"issue":{"subject":"","project_id":30,"tracker_id":4,"status_id":1,"priority_id":1,"assigned_to_id":10,"start_date":"2017-10-05","description":"","custom_fields":[{"id":30,"name":"Category","value":"Issue"},{"id":3,"name":"Functional Component","value":"Onboard"},{"id":31,"name":"Version","value":"N/A"},{"id":8,"name":"Reporting RR","value":"WABTEC"},{"id":27,"name":"Locomotive ID","value":"4020"},{"id":20,"name":"RR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20:39:22"},{"id":29,"name":"Sharepoint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41" s="168" t="str">
        <f t="shared" si="155"/>
        <v>https://d0f6bd738d7f1b3e5a7ca70fe4ff75f0.us-east-1.aws.found.io/app/kibana#/discover/Steve-Slow-Train-Analysis-(2080s-and-2083s)?_g=(refreshInterval:(display:Off,pause:!f,section:0,value:0),time:(from:'2017-10-05T13:00:00-0600',mode:absolute,to:'2017-10-05T15:39:22-0600'))&amp;_a=(columns:!('Message%20ID',Summary),filters:!(),index:'emp_*',interval:auto,query:(query_string:(analyze_wildcard:!t,query:'%22rtdc.l.rtdc.4020%22')),sort:!(Time.ISO8601,asc))</v>
      </c>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row>
    <row r="242" spans="1:91" s="20" customFormat="1" x14ac:dyDescent="0.25">
      <c r="A242" s="32" t="s">
        <v>595</v>
      </c>
      <c r="B242" s="7">
        <v>4019</v>
      </c>
      <c r="C242" s="21" t="s">
        <v>194</v>
      </c>
      <c r="D242" s="21" t="s">
        <v>908</v>
      </c>
      <c r="E242" s="13">
        <v>43013.593738425923</v>
      </c>
      <c r="F242" s="13">
        <v>43013.605000000003</v>
      </c>
      <c r="G242" s="7">
        <v>66</v>
      </c>
      <c r="H242" s="21" t="s">
        <v>367</v>
      </c>
      <c r="I242" s="13">
        <v>43013.610671296294</v>
      </c>
      <c r="J242" s="7">
        <v>0</v>
      </c>
      <c r="K242" s="89" t="str">
        <f t="shared" si="161"/>
        <v>4019/4020</v>
      </c>
      <c r="L242" s="185" t="str">
        <f>VLOOKUP(A242,'Trips&amp;Operators'!$C$1:$G$99911,5,FALSE)</f>
        <v>MOSES BRADLEY</v>
      </c>
      <c r="M242" s="6">
        <f t="shared" si="162"/>
        <v>5.6712962905294262E-3</v>
      </c>
      <c r="N242" s="7">
        <f t="shared" si="156"/>
        <v>8.1666666583623737</v>
      </c>
      <c r="O242" s="7"/>
      <c r="P242" s="7"/>
      <c r="Q242" s="22"/>
      <c r="R242" s="174"/>
      <c r="S242" s="221">
        <f t="shared" si="157"/>
        <v>1</v>
      </c>
      <c r="T242" s="174" t="str">
        <f t="shared" si="163"/>
        <v>Southbound</v>
      </c>
      <c r="U242" s="198">
        <f>IF(AG242="EC",COUNTIFS(Variables!$M$2:$M$19,IF(T242="NorthBound","&gt;=","&lt;=")&amp;Y242,Variables!$M$2:$M$19,IF(T242="NorthBound","&lt;=","&gt;=")&amp;Z242),COUNTIFS(Variables!$P$2:$P$19,IF(T242="NorthBound","&gt;=","&lt;=")&amp;Y242,Variables!$P$2:$P$19,IF(T242="NorthBound","&lt;=","&gt;=")&amp;Z242))</f>
        <v>1</v>
      </c>
      <c r="V242" s="216" t="str">
        <f t="shared" si="148"/>
        <v>https://d0f6bd738d7f1b3e5a7ca70fe4ff75f0.us-east-1.aws.found.io/app/kibana#/discover/Steve-Slow-Train-Analysis-(2080s-and-2083s)?_g=(refreshInterval:(display:Off,pause:!f,section:0,value:0),time:(from:'2017-10-05T13:14:59-0600',mode:absolute,to:'2017-10-05T15:39:22-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4019%22')),sort:!(Time.ISO8601,asc))</v>
      </c>
      <c r="W242" s="204" t="str">
        <f>IF(AA242&lt;VLOOKUP(AG242,Variables!$AC$3:$AD$8,2,FALSE),"Y","N")</f>
        <v>Y</v>
      </c>
      <c r="X242" s="204">
        <f t="shared" si="160"/>
        <v>0</v>
      </c>
      <c r="Y242" s="204">
        <f t="shared" si="158"/>
        <v>3.1214</v>
      </c>
      <c r="Z242" s="204">
        <f t="shared" si="159"/>
        <v>1.5800000000000002E-2</v>
      </c>
      <c r="AA242" s="204">
        <f t="shared" si="164"/>
        <v>3.1055999999999999</v>
      </c>
      <c r="AB242" s="54" t="e">
        <f>VLOOKUP(A242,Enforcements!$C$7:$K$11,8,0)</f>
        <v>#N/A</v>
      </c>
      <c r="AC242" s="51" t="e">
        <f>VLOOKUP(A242,Enforcements!$C$7:$E$11,3,0)</f>
        <v>#N/A</v>
      </c>
      <c r="AD242" s="179">
        <f t="shared" si="165"/>
        <v>54</v>
      </c>
      <c r="AE242" s="77" t="str">
        <f t="shared" si="149"/>
        <v>aws s3 cp s3://rtdc.mdm.uploadarchive.raw/RTDC4019/ "%USERPROFILE%\AppData\Local\Temp\OnboardLogs"\RTDC4019\2017-10-05 --exclude "*" --recursive --include "*20171005*" &amp; "%USERPROFILE%\Documents\GitHub\mrs-test-scripts\Headless Mode &amp; Sideloading\WalkAndUnGZ.bat" "%USERPROFILE%\AppData\Local\Temp\OnboardLogs"\RTDC4019\2017-10-05 &amp; aws s3 cp s3://rtdc.mdm.uploadarchive.raw/RTDC4019/ "%USERPROFILE%\AppData\Local\Temp\OnboardLogs"\RTDC4019\2017-10-06 --exclude "*" --recursive --include "*20171006*" &amp; "%USERPROFILE%\Documents\GitHub\mrs-test-scripts\Headless Mode &amp; Sideloading\WalkAndUnGZ.bat" "%USERPROFILE%\AppData\Local\Temp\OnboardLogs"\RTDC4019\2017-10-06</v>
      </c>
      <c r="AF242" s="74" t="str">
        <f t="shared" si="150"/>
        <v>"C:\Program Files (x86)\AstroGrep\AstroGrep.exe" /e /r /s /spath="%USERPROFILE%\AppData\Local\Temp\OnboardLogs" /stypes="app*4019*20171005*" /stext=" 20:.+((SYSTEM_STATE.+slice.+state.+changed )|(ment ac)|(multiple cpu faults)|(system.+state.+changed )|(\[timeout)|(PRM\|1\|D)|(kpr)|(kdp)|(train st.+moving)|(\|lc)|(penalty))"</v>
      </c>
      <c r="AG242" s="182" t="str">
        <f t="shared" si="166"/>
        <v>Shuttle/Test</v>
      </c>
      <c r="AH242" s="78" t="str">
        <f t="shared" si="151"/>
        <v>"%USERPROFILE%\Documents\GitHub\eaglep3\Utilities\RefineRTDCRunTimes.py" --tripid 54-05 --locoid 4019 --swversion DE.1.0.9.0 --startMP 300:31214 --initTime 2017-10-05T14:14:59 --startdatetime 2017-10-05T14:31:12 --delay 66 --endMP 204:158 --enddatetime 2017-10-05T14:39:22 --enforcementcount 0 &gt;&gt;%USERPROFILE%\Documents\GitHub\eaglep3-reporting\EC\2017-10-05-refined-times.txt</v>
      </c>
      <c r="AI242" s="96" t="str">
        <f t="shared" si="152"/>
        <v>echo {"issue":{"subject":"","project_id":79,"tracker_id":40,"status_id":1,"priority_id":2,"assigned_to_id":338,"start_date":"2017-10-05","description":"","custom_fields":[{"id":1,"name":"Subdivision","value":"Shuttle/Test"},{"id":4,"name":"Milepost","value":"0.0158"},{"id":17,"name":"Train ID","value":"54-05"},{"id":16,"name":"Locomotive ID","value":"4019"},{"id":130,"name":"Impact","value":""},{"id":150,"name":"Time of Event (Mountain Time)","value":"14:39:22"},{"id":151,"name":"Denver Issue ID","value":""},{"id":178,"name":"Operational Impact","value":"Yes"},{"id":179,"name":"Denver Segment Assigned","value":""}]}} | curl --insecure -X POST -H "Content-Type: application/json" -H "X-Redmine-API-Key: %REDMINEAPIKEY%" https://secure.xorail.net/redmine/issues.json --data @-</v>
      </c>
      <c r="AK242" s="47"/>
      <c r="AL242" s="47"/>
      <c r="AM242" s="142" t="str">
        <f t="shared" si="153"/>
        <v>start /low /b %USERPROFILE%\Documents\GitHub\eaglep3\Utilities\DownloadLogsFromS3.py --loco 4019 --day 2017-10-05</v>
      </c>
      <c r="AN242" s="151" t="str">
        <f t="shared" si="154"/>
        <v>echo {"issue":{"subject":"","project_id":30,"tracker_id":4,"status_id":1,"priority_id":1,"assigned_to_id":10,"start_date":"2017-10-05","description":"","custom_fields":[{"id":30,"name":"Category","value":"Issue"},{"id":3,"name":"Functional Component","value":"Onboard"},{"id":31,"name":"Version","value":"N/A"},{"id":8,"name":"Reporting RR","value":"WABTEC"},{"id":27,"name":"Locomotive ID","value":"4019"},{"id":20,"name":"RR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20:39:22"},{"id":29,"name":"Sharepoint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42" s="168" t="str">
        <f t="shared" si="155"/>
        <v>https://d0f6bd738d7f1b3e5a7ca70fe4ff75f0.us-east-1.aws.found.io/app/kibana#/discover/Steve-Slow-Train-Analysis-(2080s-and-2083s)?_g=(refreshInterval:(display:Off,pause:!f,section:0,value:0),time:(from:'2017-10-05T13:14:59-0600',mode:absolute,to:'2017-10-05T15:39:22-0600'))&amp;_a=(columns:!('Message%20ID',Summary),filters:!(),index:'emp_*',interval:auto,query:(query_string:(analyze_wildcard:!t,query:'%22rtdc.l.rtdc.4019%22')),sort:!(Time.ISO8601,asc))</v>
      </c>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row>
    <row r="243" spans="1:91" s="20" customFormat="1" x14ac:dyDescent="0.25">
      <c r="A243" s="32" t="s">
        <v>595</v>
      </c>
      <c r="B243" s="7">
        <v>4020</v>
      </c>
      <c r="C243" s="21" t="s">
        <v>194</v>
      </c>
      <c r="D243" s="21" t="s">
        <v>909</v>
      </c>
      <c r="E243" s="13">
        <v>43013.602962962963</v>
      </c>
      <c r="F243" s="13">
        <v>43013.605000000003</v>
      </c>
      <c r="G243" s="7">
        <v>44</v>
      </c>
      <c r="H243" s="21" t="s">
        <v>910</v>
      </c>
      <c r="I243" s="13">
        <v>43013.610671296294</v>
      </c>
      <c r="J243" s="7">
        <v>0</v>
      </c>
      <c r="K243" s="89" t="str">
        <f t="shared" si="161"/>
        <v>4019/4020</v>
      </c>
      <c r="L243" s="185" t="str">
        <f>VLOOKUP(A243,'Trips&amp;Operators'!$C$1:$G$99911,5,FALSE)</f>
        <v>MOSES BRADLEY</v>
      </c>
      <c r="M243" s="6">
        <f t="shared" si="162"/>
        <v>5.6712962905294262E-3</v>
      </c>
      <c r="N243" s="7">
        <f t="shared" si="156"/>
        <v>8.1666666583623737</v>
      </c>
      <c r="O243" s="7"/>
      <c r="P243" s="7"/>
      <c r="Q243" s="22"/>
      <c r="R243" s="174"/>
      <c r="S243" s="221">
        <f t="shared" si="157"/>
        <v>0</v>
      </c>
      <c r="T243" s="174" t="str">
        <f t="shared" si="163"/>
        <v>Southbound</v>
      </c>
      <c r="U243" s="198">
        <f>IF(AG243="EC",COUNTIFS(Variables!$M$2:$M$19,IF(T243="NorthBound","&gt;=","&lt;=")&amp;Y243,Variables!$M$2:$M$19,IF(T243="NorthBound","&lt;=","&gt;=")&amp;Z243),COUNTIFS(Variables!$P$2:$P$19,IF(T243="NorthBound","&gt;=","&lt;=")&amp;Y243,Variables!$P$2:$P$19,IF(T243="NorthBound","&lt;=","&gt;=")&amp;Z243))</f>
        <v>0</v>
      </c>
      <c r="V243" s="216" t="str">
        <f t="shared" si="148"/>
        <v>https://d0f6bd738d7f1b3e5a7ca70fe4ff75f0.us-east-1.aws.found.io/app/kibana#/discover/Steve-Slow-Train-Analysis-(2080s-and-2083s)?_g=(refreshInterval:(display:Off,pause:!f,section:0,value:0),time:(from:'2017-10-05T13:28:16-0600',mode:absolute,to:'2017-10-05T15:39:22-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4020%22')),sort:!(Time.ISO8601,asc))</v>
      </c>
      <c r="W243" s="204" t="str">
        <f>IF(AA243&lt;VLOOKUP(AG243,Variables!$AC$3:$AD$8,2,FALSE),"Y","N")</f>
        <v>Y</v>
      </c>
      <c r="X243" s="204">
        <f t="shared" si="160"/>
        <v>0</v>
      </c>
      <c r="Y243" s="204">
        <f t="shared" si="158"/>
        <v>4.6800000000000001E-2</v>
      </c>
      <c r="Z243" s="204">
        <f t="shared" si="159"/>
        <v>2.4220000000000002</v>
      </c>
      <c r="AA243" s="204">
        <f t="shared" si="164"/>
        <v>2.3752</v>
      </c>
      <c r="AB243" s="54" t="e">
        <f>VLOOKUP(A243,Enforcements!$C$7:$K$11,8,0)</f>
        <v>#N/A</v>
      </c>
      <c r="AC243" s="51" t="e">
        <f>VLOOKUP(A243,Enforcements!$C$7:$E$11,3,0)</f>
        <v>#N/A</v>
      </c>
      <c r="AD243" s="179">
        <f t="shared" si="165"/>
        <v>54</v>
      </c>
      <c r="AE243" s="77" t="str">
        <f t="shared" si="149"/>
        <v>aws s3 cp s3://rtdc.mdm.uploadarchive.raw/RTDC4020/ "%USERPROFILE%\AppData\Local\Temp\OnboardLogs"\RTDC4020\2017-10-05 --exclude "*" --recursive --include "*20171005*" &amp; "%USERPROFILE%\Documents\GitHub\mrs-test-scripts\Headless Mode &amp; Sideloading\WalkAndUnGZ.bat" "%USERPROFILE%\AppData\Local\Temp\OnboardLogs"\RTDC4020\2017-10-05 &amp; aws s3 cp s3://rtdc.mdm.uploadarchive.raw/RTDC4020/ "%USERPROFILE%\AppData\Local\Temp\OnboardLogs"\RTDC4020\2017-10-06 --exclude "*" --recursive --include "*20171006*" &amp; "%USERPROFILE%\Documents\GitHub\mrs-test-scripts\Headless Mode &amp; Sideloading\WalkAndUnGZ.bat" "%USERPROFILE%\AppData\Local\Temp\OnboardLogs"\RTDC4020\2017-10-06</v>
      </c>
      <c r="AF243" s="74" t="str">
        <f t="shared" si="150"/>
        <v>"C:\Program Files (x86)\AstroGrep\AstroGrep.exe" /e /r /s /spath="%USERPROFILE%\AppData\Local\Temp\OnboardLogs" /stypes="app*4020*20171005*" /stext=" 20:.+((SYSTEM_STATE.+slice.+state.+changed )|(ment ac)|(multiple cpu faults)|(system.+state.+changed )|(\[timeout)|(PRM\|1\|D)|(kpr)|(kdp)|(train st.+moving)|(\|lc)|(penalty))"</v>
      </c>
      <c r="AG243" s="182" t="str">
        <f t="shared" si="166"/>
        <v>Shuttle/Test</v>
      </c>
      <c r="AH243" s="78" t="str">
        <f t="shared" si="151"/>
        <v>"%USERPROFILE%\Documents\GitHub\eaglep3\Utilities\RefineRTDCRunTimes.py" --tripid 54-05 --locoid 4020 --swversion DE.1.0.9.0 --startMP 204:468 --initTime 2017-10-05T14:28:16 --startdatetime 2017-10-05T14:31:12 --delay 44 --endMP 300:24220 --enddatetime 2017-10-05T14:39:22 --enforcementcount 0 &gt;&gt;%USERPROFILE%\Documents\GitHub\eaglep3-reporting\EC\2017-10-05-refined-times.txt</v>
      </c>
      <c r="AI243" s="96" t="str">
        <f t="shared" si="152"/>
        <v>echo {"issue":{"subject":"","project_id":79,"tracker_id":40,"status_id":1,"priority_id":2,"assigned_to_id":338,"start_date":"2017-10-05","description":"","custom_fields":[{"id":1,"name":"Subdivision","value":"Shuttle/Test"},{"id":4,"name":"Milepost","value":"2.422"},{"id":17,"name":"Train ID","value":"54-05"},{"id":16,"name":"Locomotive ID","value":"4020"},{"id":130,"name":"Impact","value":""},{"id":150,"name":"Time of Event (Mountain Time)","value":"14:39:22"},{"id":151,"name":"Denver Issue ID","value":""},{"id":178,"name":"Operational Impact","value":"Yes"},{"id":179,"name":"Denver Segment Assigned","value":""}]}} | curl --insecure -X POST -H "Content-Type: application/json" -H "X-Redmine-API-Key: %REDMINEAPIKEY%" https://secure.xorail.net/redmine/issues.json --data @-</v>
      </c>
      <c r="AK243" s="47"/>
      <c r="AL243" s="47"/>
      <c r="AM243" s="142" t="str">
        <f t="shared" si="153"/>
        <v>start /low /b %USERPROFILE%\Documents\GitHub\eaglep3\Utilities\DownloadLogsFromS3.py --loco 4020 --day 2017-10-05</v>
      </c>
      <c r="AN243" s="151" t="str">
        <f t="shared" si="154"/>
        <v>echo {"issue":{"subject":"","project_id":30,"tracker_id":4,"status_id":1,"priority_id":1,"assigned_to_id":10,"start_date":"2017-10-05","description":"","custom_fields":[{"id":30,"name":"Category","value":"Issue"},{"id":3,"name":"Functional Component","value":"Onboard"},{"id":31,"name":"Version","value":"N/A"},{"id":8,"name":"Reporting RR","value":"WABTEC"},{"id":27,"name":"Locomotive ID","value":"4020"},{"id":20,"name":"RR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20:39:22"},{"id":29,"name":"Sharepoint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43" s="168" t="str">
        <f t="shared" si="155"/>
        <v>https://d0f6bd738d7f1b3e5a7ca70fe4ff75f0.us-east-1.aws.found.io/app/kibana#/discover/Steve-Slow-Train-Analysis-(2080s-and-2083s)?_g=(refreshInterval:(display:Off,pause:!f,section:0,value:0),time:(from:'2017-10-05T13:28:16-0600',mode:absolute,to:'2017-10-05T15:39:22-0600'))&amp;_a=(columns:!('Message%20ID',Summary),filters:!(),index:'emp_*',interval:auto,query:(query_string:(analyze_wildcard:!t,query:'%22rtdc.l.rtdc.4020%22')),sort:!(Time.ISO8601,asc))</v>
      </c>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row>
    <row r="244" spans="1:91" s="20" customFormat="1" x14ac:dyDescent="0.25">
      <c r="A244" s="32" t="s">
        <v>774</v>
      </c>
      <c r="B244" s="7">
        <v>4056</v>
      </c>
      <c r="C244" s="21" t="s">
        <v>194</v>
      </c>
      <c r="D244" s="21" t="s">
        <v>911</v>
      </c>
      <c r="E244" s="13">
        <v>43013.787766203706</v>
      </c>
      <c r="F244" s="13">
        <v>43013.789398148147</v>
      </c>
      <c r="G244" s="7">
        <v>79</v>
      </c>
      <c r="H244" s="21" t="s">
        <v>494</v>
      </c>
      <c r="I244" s="13">
        <v>43013.796099537038</v>
      </c>
      <c r="J244" s="7">
        <v>0</v>
      </c>
      <c r="K244" s="89" t="str">
        <f t="shared" si="161"/>
        <v>4055/4056</v>
      </c>
      <c r="L244" s="185" t="str">
        <f>VLOOKUP(A244,'Trips&amp;Operators'!$C$1:$G$99911,5,FALSE)</f>
        <v>DELGADO DIANAH</v>
      </c>
      <c r="M244" s="6">
        <f t="shared" si="162"/>
        <v>6.701388891087845E-3</v>
      </c>
      <c r="N244" s="7">
        <f t="shared" si="156"/>
        <v>9.6500000031664968</v>
      </c>
      <c r="O244" s="7"/>
      <c r="P244" s="7"/>
      <c r="Q244" s="22"/>
      <c r="R244" s="174"/>
      <c r="S244" s="221">
        <f t="shared" si="157"/>
        <v>1</v>
      </c>
      <c r="T244" s="174" t="str">
        <f t="shared" si="163"/>
        <v>NorthBound</v>
      </c>
      <c r="U244" s="198">
        <f>IF(AG244="EC",COUNTIFS(Variables!$M$2:$M$19,IF(T244="NorthBound","&gt;=","&lt;=")&amp;Y244,Variables!$M$2:$M$19,IF(T244="NorthBound","&lt;=","&gt;=")&amp;Z244),COUNTIFS(Variables!$P$2:$P$19,IF(T244="NorthBound","&gt;=","&lt;=")&amp;Y244,Variables!$P$2:$P$19,IF(T244="NorthBound","&lt;=","&gt;=")&amp;Z244))</f>
        <v>1</v>
      </c>
      <c r="V244" s="216" t="str">
        <f t="shared" si="148"/>
        <v>https://d0f6bd738d7f1b3e5a7ca70fe4ff75f0.us-east-1.aws.found.io/app/kibana#/discover/Steve-Slow-Train-Analysis-(2080s-and-2083s)?_g=(refreshInterval:(display:Off,pause:!f,section:0,value:0),time:(from:'2017-10-05T17:54:23-0600',mode:absolute,to:'2017-10-05T20:06:23-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4056%22')),sort:!(Time.ISO8601,asc))</v>
      </c>
      <c r="W244" s="204" t="str">
        <f>IF(AA244&lt;VLOOKUP(AG244,Variables!$AC$3:$AD$8,2,FALSE),"Y","N")</f>
        <v>Y</v>
      </c>
      <c r="X244" s="204">
        <f t="shared" si="160"/>
        <v>21</v>
      </c>
      <c r="Y244" s="204">
        <f t="shared" si="158"/>
        <v>4.1700000000000001E-2</v>
      </c>
      <c r="Z244" s="204">
        <f t="shared" si="159"/>
        <v>2.3298999999999999</v>
      </c>
      <c r="AA244" s="204">
        <f t="shared" si="164"/>
        <v>2.2881999999999998</v>
      </c>
      <c r="AB244" s="54" t="e">
        <f>VLOOKUP(A244,Enforcements!$C$7:$K$11,8,0)</f>
        <v>#N/A</v>
      </c>
      <c r="AC244" s="51" t="e">
        <f>VLOOKUP(A244,Enforcements!$C$7:$E$11,3,0)</f>
        <v>#N/A</v>
      </c>
      <c r="AD244" s="179">
        <f t="shared" si="165"/>
        <v>75</v>
      </c>
      <c r="AE244" s="77" t="str">
        <f t="shared" si="149"/>
        <v>aws s3 cp s3://rtdc.mdm.uploadarchive.raw/RTDC4056/ "%USERPROFILE%\AppData\Local\Temp\OnboardLogs"\RTDC4056\2017-10-05 --exclude "*" --recursive --include "*20171005*" &amp; "%USERPROFILE%\Documents\GitHub\mrs-test-scripts\Headless Mode &amp; Sideloading\WalkAndUnGZ.bat" "%USERPROFILE%\AppData\Local\Temp\OnboardLogs"\RTDC4056\2017-10-05 &amp; aws s3 cp s3://rtdc.mdm.uploadarchive.raw/RTDC4056/ "%USERPROFILE%\AppData\Local\Temp\OnboardLogs"\RTDC4056\2017-10-06 --exclude "*" --recursive --include "*20171006*" &amp; "%USERPROFILE%\Documents\GitHub\mrs-test-scripts\Headless Mode &amp; Sideloading\WalkAndUnGZ.bat" "%USERPROFILE%\AppData\Local\Temp\OnboardLogs"\RTDC4056\2017-10-06</v>
      </c>
      <c r="AF244" s="74" t="str">
        <f t="shared" si="150"/>
        <v>"C:\Program Files (x86)\AstroGrep\AstroGrep.exe" /e /r /s /spath="%USERPROFILE%\AppData\Local\Temp\OnboardLogs" /stypes="app*4056*20171006*" /stext=" 01:.+((SYSTEM_STATE.+slice.+state.+changed )|(ment ac)|(multiple cpu faults)|(system.+state.+changed )|(\[timeout)|(PRM\|1\|D)|(kpr)|(kdp)|(train st.+moving)|(\|lc)|(penalty))"</v>
      </c>
      <c r="AG244" s="182" t="str">
        <f t="shared" si="166"/>
        <v>Shuttle/Test</v>
      </c>
      <c r="AH244" s="78" t="str">
        <f t="shared" si="151"/>
        <v>"%USERPROFILE%\Documents\GitHub\eaglep3\Utilities\RefineRTDCRunTimes.py" --tripid 75-05 --locoid 4056 --swversion DE.1.0.9.0 --startMP 204:417 --initTime 2017-10-05T18:54:23 --startdatetime 2017-10-05T18:56:44 --delay 79 --endMP 300:23299 --enddatetime 2017-10-05T19:06:23 --enforcementcount 0 &gt;&gt;%USERPROFILE%\Documents\GitHub\eaglep3-reporting\EC\2017-10-05-refined-times.txt</v>
      </c>
      <c r="AI244" s="96" t="str">
        <f t="shared" si="152"/>
        <v>echo {"issue":{"subject":"","project_id":79,"tracker_id":40,"status_id":1,"priority_id":2,"assigned_to_id":338,"start_date":"2017-10-05","description":"","custom_fields":[{"id":1,"name":"Subdivision","value":"Shuttle/Test"},{"id":4,"name":"Milepost","value":"2.3299"},{"id":17,"name":"Train ID","value":"75-05"},{"id":16,"name":"Locomotive ID","value":"4056"},{"id":130,"name":"Impact","value":""},{"id":150,"name":"Time of Event (Mountain Time)","value":"19:06:23"},{"id":151,"name":"Denver Issue ID","value":""},{"id":178,"name":"Operational Impact","value":"Yes"},{"id":179,"name":"Denver Segment Assigned","value":""}]}} | curl --insecure -X POST -H "Content-Type: application/json" -H "X-Redmine-API-Key: %REDMINEAPIKEY%" https://secure.xorail.net/redmine/issues.json --data @-</v>
      </c>
      <c r="AK244" s="47"/>
      <c r="AL244" s="47"/>
      <c r="AM244" s="142" t="str">
        <f t="shared" si="153"/>
        <v>start /low /b %USERPROFILE%\Documents\GitHub\eaglep3\Utilities\DownloadLogsFromS3.py --loco 4056 --day 2017-10-05</v>
      </c>
      <c r="AN244" s="151" t="str">
        <f t="shared" si="154"/>
        <v>echo {"issue":{"subject":"","project_id":30,"tracker_id":4,"status_id":1,"priority_id":1,"assigned_to_id":10,"start_date":"2017-10-06","description":"","custom_fields":[{"id":30,"name":"Category","value":"Issue"},{"id":3,"name":"Functional Component","value":"Onboard"},{"id":31,"name":"Version","value":"N/A"},{"id":8,"name":"Reporting RR","value":"WABTEC"},{"id":27,"name":"Locomotive ID","value":"4056"},{"id":20,"name":"RR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01:06:23"},{"id":29,"name":"Sharepoint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44" s="168" t="str">
        <f t="shared" si="155"/>
        <v>https://d0f6bd738d7f1b3e5a7ca70fe4ff75f0.us-east-1.aws.found.io/app/kibana#/discover/Steve-Slow-Train-Analysis-(2080s-and-2083s)?_g=(refreshInterval:(display:Off,pause:!f,section:0,value:0),time:(from:'2017-10-05T17:54:23-0600',mode:absolute,to:'2017-10-05T20:06:23-0600'))&amp;_a=(columns:!('Message%20ID',Summary),filters:!(),index:'emp_*',interval:auto,query:(query_string:(analyze_wildcard:!t,query:'%22rtdc.l.rtdc.4056%22')),sort:!(Time.ISO8601,asc))</v>
      </c>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row>
    <row r="245" spans="1:91" x14ac:dyDescent="0.25">
      <c r="A245" s="32" t="s">
        <v>759</v>
      </c>
      <c r="B245" s="7">
        <v>4057</v>
      </c>
      <c r="C245" s="21" t="s">
        <v>194</v>
      </c>
      <c r="D245" s="21" t="s">
        <v>912</v>
      </c>
      <c r="E245" s="13">
        <v>43013.740740740737</v>
      </c>
      <c r="F245" s="13">
        <v>43013.745844907404</v>
      </c>
      <c r="G245" s="7">
        <v>192</v>
      </c>
      <c r="H245" s="21" t="s">
        <v>913</v>
      </c>
      <c r="I245" s="13">
        <v>43013.751030092593</v>
      </c>
      <c r="J245" s="7">
        <v>0</v>
      </c>
      <c r="K245" s="89" t="str">
        <f t="shared" si="161"/>
        <v>4057/4058</v>
      </c>
      <c r="L245" s="185" t="str">
        <f>VLOOKUP(A245,'Trips&amp;Operators'!$C$1:$G$99911,5,FALSE)</f>
        <v>WEST BRYAN</v>
      </c>
      <c r="M245" s="6">
        <f t="shared" si="162"/>
        <v>5.1851851894753054E-3</v>
      </c>
      <c r="N245" s="7">
        <f t="shared" si="156"/>
        <v>7.4666666728444397</v>
      </c>
      <c r="O245" s="7"/>
      <c r="P245" s="7"/>
      <c r="Q245" s="22"/>
      <c r="R245" s="174"/>
      <c r="S245" s="221">
        <f t="shared" si="157"/>
        <v>1</v>
      </c>
      <c r="T245" s="174" t="str">
        <f t="shared" si="163"/>
        <v>Southbound</v>
      </c>
      <c r="U245" s="198">
        <f>IF(AG245="EC",COUNTIFS(Variables!$M$2:$M$19,IF(T245="NorthBound","&gt;=","&lt;=")&amp;Y245,Variables!$M$2:$M$19,IF(T245="NorthBound","&lt;=","&gt;=")&amp;Z245),COUNTIFS(Variables!$P$2:$P$19,IF(T245="NorthBound","&gt;=","&lt;=")&amp;Y245,Variables!$P$2:$P$19,IF(T245="NorthBound","&lt;=","&gt;=")&amp;Z245))</f>
        <v>1</v>
      </c>
      <c r="V245" s="216" t="str">
        <f t="shared" si="148"/>
        <v>https://d0f6bd738d7f1b3e5a7ca70fe4ff75f0.us-east-1.aws.found.io/app/kibana#/discover/Steve-Slow-Train-Analysis-(2080s-and-2083s)?_g=(refreshInterval:(display:Off,pause:!f,section:0,value:0),time:(from:'2017-10-05T16:46:40-0600',mode:absolute,to:'2017-10-05T19:01:29-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4057%22')),sort:!(Time.ISO8601,asc))</v>
      </c>
      <c r="W245" s="204" t="str">
        <f>IF(AA245&lt;VLOOKUP(AG245,Variables!$AC$3:$AD$8,2,FALSE),"Y","N")</f>
        <v>Y</v>
      </c>
      <c r="X245" s="204">
        <f t="shared" si="160"/>
        <v>1</v>
      </c>
      <c r="Y245" s="204">
        <f t="shared" si="158"/>
        <v>2.3277000000000001</v>
      </c>
      <c r="Z245" s="204">
        <f t="shared" si="159"/>
        <v>0.1973</v>
      </c>
      <c r="AA245" s="204">
        <f t="shared" si="164"/>
        <v>2.1304000000000003</v>
      </c>
      <c r="AB245" s="54" t="e">
        <f>VLOOKUP(A245,Enforcements!$C$7:$K$11,8,0)</f>
        <v>#N/A</v>
      </c>
      <c r="AC245" s="51" t="e">
        <f>VLOOKUP(A245,Enforcements!$C$7:$E$11,3,0)</f>
        <v>#N/A</v>
      </c>
      <c r="AD245" s="179">
        <f t="shared" si="165"/>
        <v>76</v>
      </c>
      <c r="AE245" s="77" t="str">
        <f t="shared" si="149"/>
        <v>aws s3 cp s3://rtdc.mdm.uploadarchive.raw/RTDC4057/ "%USERPROFILE%\AppData\Local\Temp\OnboardLogs"\RTDC4057\2017-10-05 --exclude "*" --recursive --include "*20171005*" &amp; "%USERPROFILE%\Documents\GitHub\mrs-test-scripts\Headless Mode &amp; Sideloading\WalkAndUnGZ.bat" "%USERPROFILE%\AppData\Local\Temp\OnboardLogs"\RTDC4057\2017-10-05 &amp; aws s3 cp s3://rtdc.mdm.uploadarchive.raw/RTDC4057/ "%USERPROFILE%\AppData\Local\Temp\OnboardLogs"\RTDC4057\2017-10-06 --exclude "*" --recursive --include "*20171006*" &amp; "%USERPROFILE%\Documents\GitHub\mrs-test-scripts\Headless Mode &amp; Sideloading\WalkAndUnGZ.bat" "%USERPROFILE%\AppData\Local\Temp\OnboardLogs"\RTDC4057\2017-10-06</v>
      </c>
      <c r="AF245" s="74" t="str">
        <f t="shared" si="150"/>
        <v>"C:\Program Files (x86)\AstroGrep\AstroGrep.exe" /e /r /s /spath="%USERPROFILE%\AppData\Local\Temp\OnboardLogs" /stypes="app*4057*20171006*" /stext=" 00:.+((SYSTEM_STATE.+slice.+state.+changed )|(ment ac)|(multiple cpu faults)|(system.+state.+changed )|(\[timeout)|(PRM\|1\|D)|(kpr)|(kdp)|(train st.+moving)|(\|lc)|(penalty))"</v>
      </c>
      <c r="AG245" s="182" t="str">
        <f t="shared" si="166"/>
        <v>Shuttle/Test</v>
      </c>
      <c r="AH245" s="78" t="str">
        <f t="shared" si="151"/>
        <v>"%USERPROFILE%\Documents\GitHub\eaglep3\Utilities\RefineRTDCRunTimes.py" --tripid 76-05 --locoid 4057 --swversion DE.1.0.9.0 --startMP 300:23277 --initTime 2017-10-05T17:46:40 --startdatetime 2017-10-05T17:54:01 --delay 192 --endMP 204:1973 --enddatetime 2017-10-05T18:01:29 --enforcementcount 0 &gt;&gt;%USERPROFILE%\Documents\GitHub\eaglep3-reporting\EC\2017-10-05-refined-times.txt</v>
      </c>
      <c r="AI245" s="96" t="str">
        <f t="shared" si="152"/>
        <v>echo {"issue":{"subject":"","project_id":79,"tracker_id":40,"status_id":1,"priority_id":2,"assigned_to_id":338,"start_date":"2017-10-05","description":"","custom_fields":[{"id":1,"name":"Subdivision","value":"Shuttle/Test"},{"id":4,"name":"Milepost","value":"0.1973"},{"id":17,"name":"Train ID","value":"76-05"},{"id":16,"name":"Locomotive ID","value":"4057"},{"id":130,"name":"Impact","value":""},{"id":150,"name":"Time of Event (Mountain Time)","value":"18:01:29"},{"id":151,"name":"Denver Issue ID","value":""},{"id":178,"name":"Operational Impact","value":"Yes"},{"id":179,"name":"Denver Segment Assigned","value":""}]}} | curl --insecure -X POST -H "Content-Type: application/json" -H "X-Redmine-API-Key: %REDMINEAPIKEY%" https://secure.xorail.net/redmine/issues.json --data @-</v>
      </c>
      <c r="AJ245" s="20"/>
      <c r="AK245" s="47"/>
      <c r="AL245" s="47"/>
      <c r="AM245" s="142" t="str">
        <f t="shared" si="153"/>
        <v>start /low /b %USERPROFILE%\Documents\GitHub\eaglep3\Utilities\DownloadLogsFromS3.py --loco 4057 --day 2017-10-05</v>
      </c>
      <c r="AN245" s="151" t="str">
        <f t="shared" si="154"/>
        <v>echo {"issue":{"subject":"","project_id":30,"tracker_id":4,"status_id":1,"priority_id":1,"assigned_to_id":10,"start_date":"2017-10-06","description":"","custom_fields":[{"id":30,"name":"Category","value":"Issue"},{"id":3,"name":"Functional Component","value":"Onboard"},{"id":31,"name":"Version","value":"N/A"},{"id":8,"name":"Reporting RR","value":"WABTEC"},{"id":27,"name":"Locomotive ID","value":"4057"},{"id":20,"name":"RR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00:01:29"},{"id":29,"name":"Sharepoint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45" s="168" t="str">
        <f t="shared" si="155"/>
        <v>https://d0f6bd738d7f1b3e5a7ca70fe4ff75f0.us-east-1.aws.found.io/app/kibana#/discover/Steve-Slow-Train-Analysis-(2080s-and-2083s)?_g=(refreshInterval:(display:Off,pause:!f,section:0,value:0),time:(from:'2017-10-05T16:46:40-0600',mode:absolute,to:'2017-10-05T19:01:29-0600'))&amp;_a=(columns:!('Message%20ID',Summary),filters:!(),index:'emp_*',interval:auto,query:(query_string:(analyze_wildcard:!t,query:'%22rtdc.l.rtdc.4057%22')),sort:!(Time.ISO8601,asc))</v>
      </c>
    </row>
    <row r="246" spans="1:91" x14ac:dyDescent="0.25">
      <c r="A246" s="32" t="s">
        <v>759</v>
      </c>
      <c r="B246" s="7">
        <v>4058</v>
      </c>
      <c r="C246" s="21" t="s">
        <v>194</v>
      </c>
      <c r="D246" s="21" t="s">
        <v>914</v>
      </c>
      <c r="E246" s="13">
        <v>43013.825196759259</v>
      </c>
      <c r="F246" s="13">
        <v>43013.831446759257</v>
      </c>
      <c r="G246" s="7">
        <v>47</v>
      </c>
      <c r="H246" s="21" t="s">
        <v>915</v>
      </c>
      <c r="I246" s="13">
        <v>43013.833472222221</v>
      </c>
      <c r="J246" s="7">
        <v>0</v>
      </c>
      <c r="K246" s="89" t="str">
        <f t="shared" si="161"/>
        <v>4057/4058</v>
      </c>
      <c r="L246" s="185" t="str">
        <f>VLOOKUP(A246,'Trips&amp;Operators'!$C$1:$G$99911,5,FALSE)</f>
        <v>WEST BRYAN</v>
      </c>
      <c r="M246" s="6">
        <f t="shared" si="162"/>
        <v>2.0254629635019228E-3</v>
      </c>
      <c r="N246" s="7">
        <f t="shared" si="156"/>
        <v>2.9166666674427688</v>
      </c>
      <c r="O246" s="7"/>
      <c r="P246" s="7"/>
      <c r="Q246" s="22"/>
      <c r="R246" s="174"/>
      <c r="S246" s="221">
        <f t="shared" si="157"/>
        <v>0</v>
      </c>
      <c r="T246" s="174" t="str">
        <f t="shared" si="163"/>
        <v>Southbound</v>
      </c>
      <c r="U246" s="198">
        <f>IF(AG246="EC",COUNTIFS(Variables!$M$2:$M$19,IF(T246="NorthBound","&gt;=","&lt;=")&amp;Y246,Variables!$M$2:$M$19,IF(T246="NorthBound","&lt;=","&gt;=")&amp;Z246),COUNTIFS(Variables!$P$2:$P$19,IF(T246="NorthBound","&gt;=","&lt;=")&amp;Y246,Variables!$P$2:$P$19,IF(T246="NorthBound","&lt;=","&gt;=")&amp;Z246))</f>
        <v>0</v>
      </c>
      <c r="V246" s="216" t="str">
        <f t="shared" si="148"/>
        <v>https://d0f6bd738d7f1b3e5a7ca70fe4ff75f0.us-east-1.aws.found.io/app/kibana#/discover/Steve-Slow-Train-Analysis-(2080s-and-2083s)?_g=(refreshInterval:(display:Off,pause:!f,section:0,value:0),time:(from:'2017-10-05T18:48:17-0600',mode:absolute,to:'2017-10-05T21:00:12-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4058%22')),sort:!(Time.ISO8601,asc))</v>
      </c>
      <c r="W246" s="204" t="str">
        <f>IF(AA246&lt;VLOOKUP(AG246,Variables!$AC$3:$AD$8,2,FALSE),"Y","N")</f>
        <v>Y</v>
      </c>
      <c r="X246" s="204">
        <f t="shared" si="160"/>
        <v>0</v>
      </c>
      <c r="Y246" s="204">
        <f t="shared" si="158"/>
        <v>0.1142</v>
      </c>
      <c r="Z246" s="204">
        <f t="shared" si="159"/>
        <v>0.53859999999999997</v>
      </c>
      <c r="AA246" s="204">
        <f t="shared" si="164"/>
        <v>0.4244</v>
      </c>
      <c r="AB246" s="54" t="e">
        <f>VLOOKUP(A246,Enforcements!$C$7:$K$11,8,0)</f>
        <v>#N/A</v>
      </c>
      <c r="AC246" s="51" t="e">
        <f>VLOOKUP(A246,Enforcements!$C$7:$E$11,3,0)</f>
        <v>#N/A</v>
      </c>
      <c r="AD246" s="179">
        <f t="shared" si="165"/>
        <v>76</v>
      </c>
      <c r="AE246" s="77" t="str">
        <f t="shared" si="149"/>
        <v>aws s3 cp s3://rtdc.mdm.uploadarchive.raw/RTDC4058/ "%USERPROFILE%\AppData\Local\Temp\OnboardLogs"\RTDC4058\2017-10-05 --exclude "*" --recursive --include "*20171005*" &amp; "%USERPROFILE%\Documents\GitHub\mrs-test-scripts\Headless Mode &amp; Sideloading\WalkAndUnGZ.bat" "%USERPROFILE%\AppData\Local\Temp\OnboardLogs"\RTDC4058\2017-10-05 &amp; aws s3 cp s3://rtdc.mdm.uploadarchive.raw/RTDC4058/ "%USERPROFILE%\AppData\Local\Temp\OnboardLogs"\RTDC4058\2017-10-06 --exclude "*" --recursive --include "*20171006*" &amp; "%USERPROFILE%\Documents\GitHub\mrs-test-scripts\Headless Mode &amp; Sideloading\WalkAndUnGZ.bat" "%USERPROFILE%\AppData\Local\Temp\OnboardLogs"\RTDC4058\2017-10-06</v>
      </c>
      <c r="AF246" s="74" t="str">
        <f t="shared" si="150"/>
        <v>"C:\Program Files (x86)\AstroGrep\AstroGrep.exe" /e /r /s /spath="%USERPROFILE%\AppData\Local\Temp\OnboardLogs" /stypes="app*4058*20171006*" /stext=" 02:.+((SYSTEM_STATE.+slice.+state.+changed )|(ment ac)|(multiple cpu faults)|(system.+state.+changed )|(\[timeout)|(PRM\|1\|D)|(kpr)|(kdp)|(train st.+moving)|(\|lc)|(penalty))"</v>
      </c>
      <c r="AG246" s="182" t="str">
        <f t="shared" si="166"/>
        <v>Shuttle/Test</v>
      </c>
      <c r="AH246" s="78" t="str">
        <f t="shared" si="151"/>
        <v>"%USERPROFILE%\Documents\GitHub\eaglep3\Utilities\RefineRTDCRunTimes.py" --tripid 76-05 --locoid 4058 --swversion DE.1.0.9.0 --startMP 204:1142 --initTime 2017-10-05T19:48:17 --startdatetime 2017-10-05T19:57:17 --delay 47 --endMP 300:5386 --enddatetime 2017-10-05T20:00:12 --enforcementcount 0 &gt;&gt;%USERPROFILE%\Documents\GitHub\eaglep3-reporting\EC\2017-10-05-refined-times.txt</v>
      </c>
      <c r="AI246" s="96" t="str">
        <f t="shared" si="152"/>
        <v>echo {"issue":{"subject":"","project_id":79,"tracker_id":40,"status_id":1,"priority_id":2,"assigned_to_id":338,"start_date":"2017-10-05","description":"","custom_fields":[{"id":1,"name":"Subdivision","value":"Shuttle/Test"},{"id":4,"name":"Milepost","value":"0.5386"},{"id":17,"name":"Train ID","value":"76-05"},{"id":16,"name":"Locomotive ID","value":"4058"},{"id":130,"name":"Impact","value":""},{"id":150,"name":"Time of Event (Mountain Time)","value":"20:00:12"},{"id":151,"name":"Denver Issue ID","value":""},{"id":178,"name":"Operational Impact","value":"Yes"},{"id":179,"name":"Denver Segment Assigned","value":""}]}} | curl --insecure -X POST -H "Content-Type: application/json" -H "X-Redmine-API-Key: %REDMINEAPIKEY%" https://secure.xorail.net/redmine/issues.json --data @-</v>
      </c>
      <c r="AJ246" s="20"/>
      <c r="AK246" s="47"/>
      <c r="AL246" s="47"/>
      <c r="AM246" s="142" t="str">
        <f t="shared" si="153"/>
        <v>start /low /b %USERPROFILE%\Documents\GitHub\eaglep3\Utilities\DownloadLogsFromS3.py --loco 4058 --day 2017-10-05</v>
      </c>
      <c r="AN246" s="151" t="str">
        <f t="shared" si="154"/>
        <v>echo {"issue":{"subject":"","project_id":30,"tracker_id":4,"status_id":1,"priority_id":1,"assigned_to_id":10,"start_date":"2017-10-06","description":"","custom_fields":[{"id":30,"name":"Category","value":"Issue"},{"id":3,"name":"Functional Component","value":"Onboard"},{"id":31,"name":"Version","value":"N/A"},{"id":8,"name":"Reporting RR","value":"WABTEC"},{"id":27,"name":"Locomotive ID","value":"4058"},{"id":20,"name":"RR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02:00:12"},{"id":29,"name":"Sharepoint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46" s="168" t="str">
        <f t="shared" si="155"/>
        <v>https://d0f6bd738d7f1b3e5a7ca70fe4ff75f0.us-east-1.aws.found.io/app/kibana#/discover/Steve-Slow-Train-Analysis-(2080s-and-2083s)?_g=(refreshInterval:(display:Off,pause:!f,section:0,value:0),time:(from:'2017-10-05T18:48:17-0600',mode:absolute,to:'2017-10-05T21:00:12-0600'))&amp;_a=(columns:!('Message%20ID',Summary),filters:!(),index:'emp_*',interval:auto,query:(query_string:(analyze_wildcard:!t,query:'%22rtdc.l.rtdc.4058%22')),sort:!(Time.ISO8601,asc))</v>
      </c>
    </row>
    <row r="247" spans="1:91" s="20" customFormat="1" x14ac:dyDescent="0.25">
      <c r="A247" s="32" t="s">
        <v>747</v>
      </c>
      <c r="B247" s="7">
        <v>4056</v>
      </c>
      <c r="C247" s="21" t="s">
        <v>194</v>
      </c>
      <c r="D247" s="21" t="s">
        <v>916</v>
      </c>
      <c r="E247" s="13">
        <v>43013.700902777775</v>
      </c>
      <c r="F247" s="13">
        <v>43013.706620370373</v>
      </c>
      <c r="G247" s="7">
        <v>79</v>
      </c>
      <c r="H247" s="21" t="s">
        <v>917</v>
      </c>
      <c r="I247" s="13">
        <v>43013.707627314812</v>
      </c>
      <c r="J247" s="7">
        <v>0</v>
      </c>
      <c r="K247" s="89" t="str">
        <f t="shared" si="161"/>
        <v>4055/4056</v>
      </c>
      <c r="L247" s="185" t="str">
        <f>VLOOKUP(A247,'Trips&amp;Operators'!$C$1:$G$99911,5,FALSE)</f>
        <v>DELGADO DIANAH</v>
      </c>
      <c r="M247" s="6">
        <f t="shared" si="162"/>
        <v>1.0069444397231564E-3</v>
      </c>
      <c r="N247" s="7">
        <f t="shared" si="156"/>
        <v>1.4499999932013452</v>
      </c>
      <c r="O247" s="7"/>
      <c r="P247" s="7"/>
      <c r="Q247" s="22"/>
      <c r="R247" s="174"/>
      <c r="S247" s="221">
        <f t="shared" si="157"/>
        <v>0</v>
      </c>
      <c r="T247" s="174" t="str">
        <f t="shared" si="163"/>
        <v>Southbound</v>
      </c>
      <c r="U247" s="198">
        <f>IF(AG247="EC",COUNTIFS(Variables!$M$2:$M$19,IF(T247="NorthBound","&gt;=","&lt;=")&amp;Y247,Variables!$M$2:$M$19,IF(T247="NorthBound","&lt;=","&gt;=")&amp;Z247),COUNTIFS(Variables!$P$2:$P$19,IF(T247="NorthBound","&gt;=","&lt;=")&amp;Y247,Variables!$P$2:$P$19,IF(T247="NorthBound","&lt;=","&gt;=")&amp;Z247))</f>
        <v>0</v>
      </c>
      <c r="V247" s="216" t="str">
        <f t="shared" si="148"/>
        <v>https://d0f6bd738d7f1b3e5a7ca70fe4ff75f0.us-east-1.aws.found.io/app/kibana#/discover/Steve-Slow-Train-Analysis-(2080s-and-2083s)?_g=(refreshInterval:(display:Off,pause:!f,section:0,value:0),time:(from:'2017-10-05T15:49:18-0600',mode:absolute,to:'2017-10-05T17:58:59-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4056%22')),sort:!(Time.ISO8601,asc))</v>
      </c>
      <c r="W247" s="204" t="str">
        <f>IF(AA247&lt;VLOOKUP(AG247,Variables!$AC$3:$AD$8,2,FALSE),"Y","N")</f>
        <v>Y</v>
      </c>
      <c r="X247" s="204">
        <f t="shared" si="160"/>
        <v>4</v>
      </c>
      <c r="Y247" s="204">
        <f t="shared" si="158"/>
        <v>0.1148</v>
      </c>
      <c r="Z247" s="204">
        <f t="shared" si="159"/>
        <v>0.33179999999999998</v>
      </c>
      <c r="AA247" s="204">
        <f t="shared" si="164"/>
        <v>0.21699999999999997</v>
      </c>
      <c r="AB247" s="54" t="e">
        <f>VLOOKUP(A247,Enforcements!$C$7:$K$11,8,0)</f>
        <v>#N/A</v>
      </c>
      <c r="AC247" s="51" t="e">
        <f>VLOOKUP(A247,Enforcements!$C$7:$E$11,3,0)</f>
        <v>#N/A</v>
      </c>
      <c r="AD247" s="179">
        <f t="shared" si="165"/>
        <v>80</v>
      </c>
      <c r="AE247" s="77" t="str">
        <f t="shared" si="149"/>
        <v>aws s3 cp s3://rtdc.mdm.uploadarchive.raw/RTDC4056/ "%USERPROFILE%\AppData\Local\Temp\OnboardLogs"\RTDC4056\2017-10-05 --exclude "*" --recursive --include "*20171005*" &amp; "%USERPROFILE%\Documents\GitHub\mrs-test-scripts\Headless Mode &amp; Sideloading\WalkAndUnGZ.bat" "%USERPROFILE%\AppData\Local\Temp\OnboardLogs"\RTDC4056\2017-10-05 &amp; aws s3 cp s3://rtdc.mdm.uploadarchive.raw/RTDC4056/ "%USERPROFILE%\AppData\Local\Temp\OnboardLogs"\RTDC4056\2017-10-06 --exclude "*" --recursive --include "*20171006*" &amp; "%USERPROFILE%\Documents\GitHub\mrs-test-scripts\Headless Mode &amp; Sideloading\WalkAndUnGZ.bat" "%USERPROFILE%\AppData\Local\Temp\OnboardLogs"\RTDC4056\2017-10-06</v>
      </c>
      <c r="AF247" s="74" t="str">
        <f t="shared" si="150"/>
        <v>"C:\Program Files (x86)\AstroGrep\AstroGrep.exe" /e /r /s /spath="%USERPROFILE%\AppData\Local\Temp\OnboardLogs" /stypes="app*4056*20171005*" /stext=" 22:.+((SYSTEM_STATE.+slice.+state.+changed )|(ment ac)|(multiple cpu faults)|(system.+state.+changed )|(\[timeout)|(PRM\|1\|D)|(kpr)|(kdp)|(train st.+moving)|(\|lc)|(penalty))"</v>
      </c>
      <c r="AG247" s="182" t="str">
        <f t="shared" si="166"/>
        <v>Shuttle/Test</v>
      </c>
      <c r="AH247" s="78" t="str">
        <f t="shared" si="151"/>
        <v>"%USERPROFILE%\Documents\GitHub\eaglep3\Utilities\RefineRTDCRunTimes.py" --tripid 80-05 --locoid 4056 --swversion DE.1.0.9.0 --startMP 204:1148 --initTime 2017-10-05T16:49:18 --startdatetime 2017-10-05T16:57:32 --delay 79 --endMP 204:3318 --enddatetime 2017-10-05T16:58:59 --enforcementcount 0 &gt;&gt;%USERPROFILE%\Documents\GitHub\eaglep3-reporting\EC\2017-10-05-refined-times.txt</v>
      </c>
      <c r="AI247" s="96" t="str">
        <f t="shared" si="152"/>
        <v>echo {"issue":{"subject":"","project_id":79,"tracker_id":40,"status_id":1,"priority_id":2,"assigned_to_id":338,"start_date":"2017-10-05","description":"","custom_fields":[{"id":1,"name":"Subdivision","value":"Shuttle/Test"},{"id":4,"name":"Milepost","value":"0.3318"},{"id":17,"name":"Train ID","value":"80-05"},{"id":16,"name":"Locomotive ID","value":"4056"},{"id":130,"name":"Impact","value":""},{"id":150,"name":"Time of Event (Mountain Time)","value":"16:58:59"},{"id":151,"name":"Denver Issue ID","value":""},{"id":178,"name":"Operational Impact","value":"Yes"},{"id":179,"name":"Denver Segment Assigned","value":""}]}} | curl --insecure -X POST -H "Content-Type: application/json" -H "X-Redmine-API-Key: %REDMINEAPIKEY%" https://secure.xorail.net/redmine/issues.json --data @-</v>
      </c>
      <c r="AK247" s="47"/>
      <c r="AL247" s="47"/>
      <c r="AM247" s="142" t="str">
        <f t="shared" si="153"/>
        <v>start /low /b %USERPROFILE%\Documents\GitHub\eaglep3\Utilities\DownloadLogsFromS3.py --loco 4056 --day 2017-10-05</v>
      </c>
      <c r="AN247" s="151" t="str">
        <f t="shared" si="154"/>
        <v>echo {"issue":{"subject":"","project_id":30,"tracker_id":4,"status_id":1,"priority_id":1,"assigned_to_id":10,"start_date":"2017-10-05","description":"","custom_fields":[{"id":30,"name":"Category","value":"Issue"},{"id":3,"name":"Functional Component","value":"Onboard"},{"id":31,"name":"Version","value":"N/A"},{"id":8,"name":"Reporting RR","value":"WABTEC"},{"id":27,"name":"Locomotive ID","value":"4056"},{"id":20,"name":"RR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22:58:59"},{"id":29,"name":"Sharepoint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47" s="168" t="str">
        <f t="shared" si="155"/>
        <v>https://d0f6bd738d7f1b3e5a7ca70fe4ff75f0.us-east-1.aws.found.io/app/kibana#/discover/Steve-Slow-Train-Analysis-(2080s-and-2083s)?_g=(refreshInterval:(display:Off,pause:!f,section:0,value:0),time:(from:'2017-10-05T15:49:18-0600',mode:absolute,to:'2017-10-05T17:58:59-0600'))&amp;_a=(columns:!('Message%20ID',Summary),filters:!(),index:'emp_*',interval:auto,query:(query_string:(analyze_wildcard:!t,query:'%22rtdc.l.rtdc.4056%22')),sort:!(Time.ISO8601,asc))</v>
      </c>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row>
    <row r="248" spans="1:91" s="20" customFormat="1" x14ac:dyDescent="0.25">
      <c r="A248" s="32" t="s">
        <v>747</v>
      </c>
      <c r="B248" s="7">
        <v>4055</v>
      </c>
      <c r="C248" s="21" t="s">
        <v>194</v>
      </c>
      <c r="D248" s="21" t="s">
        <v>918</v>
      </c>
      <c r="E248" s="13">
        <v>43013.70553240741</v>
      </c>
      <c r="F248" s="13">
        <v>43013.706620370373</v>
      </c>
      <c r="G248" s="7">
        <v>47</v>
      </c>
      <c r="H248" s="21" t="s">
        <v>356</v>
      </c>
      <c r="I248" s="13">
        <v>43013.707627314812</v>
      </c>
      <c r="J248" s="7">
        <v>0</v>
      </c>
      <c r="K248" s="89" t="str">
        <f t="shared" si="161"/>
        <v>4055/4056</v>
      </c>
      <c r="L248" s="185" t="str">
        <f>VLOOKUP(A248,'Trips&amp;Operators'!$C$1:$G$99911,5,FALSE)</f>
        <v>DELGADO DIANAH</v>
      </c>
      <c r="M248" s="6">
        <f t="shared" si="162"/>
        <v>1.0069444397231564E-3</v>
      </c>
      <c r="N248" s="7">
        <f t="shared" si="156"/>
        <v>1.4499999932013452</v>
      </c>
      <c r="O248" s="7"/>
      <c r="P248" s="7"/>
      <c r="Q248" s="22"/>
      <c r="R248" s="174"/>
      <c r="S248" s="221">
        <f t="shared" si="157"/>
        <v>0</v>
      </c>
      <c r="T248" s="174" t="str">
        <f t="shared" si="163"/>
        <v>Southbound</v>
      </c>
      <c r="U248" s="198">
        <f>IF(AG248="EC",COUNTIFS(Variables!$M$2:$M$19,IF(T248="NorthBound","&gt;=","&lt;=")&amp;Y248,Variables!$M$2:$M$19,IF(T248="NorthBound","&lt;=","&gt;=")&amp;Z248),COUNTIFS(Variables!$P$2:$P$19,IF(T248="NorthBound","&gt;=","&lt;=")&amp;Y248,Variables!$P$2:$P$19,IF(T248="NorthBound","&lt;=","&gt;=")&amp;Z248))</f>
        <v>0</v>
      </c>
      <c r="V248" s="216" t="str">
        <f t="shared" si="148"/>
        <v>https://d0f6bd738d7f1b3e5a7ca70fe4ff75f0.us-east-1.aws.found.io/app/kibana#/discover/Steve-Slow-Train-Analysis-(2080s-and-2083s)?_g=(refreshInterval:(display:Off,pause:!f,section:0,value:0),time:(from:'2017-10-05T15:55:58-0600',mode:absolute,to:'2017-10-05T17:58:59-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4055%22')),sort:!(Time.ISO8601,asc))</v>
      </c>
      <c r="W248" s="204" t="str">
        <f>IF(AA248&lt;VLOOKUP(AG248,Variables!$AC$3:$AD$8,2,FALSE),"Y","N")</f>
        <v>Y</v>
      </c>
      <c r="X248" s="204">
        <f t="shared" si="160"/>
        <v>0</v>
      </c>
      <c r="Y248" s="204">
        <f t="shared" si="158"/>
        <v>0.3004</v>
      </c>
      <c r="Z248" s="204">
        <f t="shared" si="159"/>
        <v>1.52E-2</v>
      </c>
      <c r="AA248" s="204">
        <f t="shared" si="164"/>
        <v>0.28520000000000001</v>
      </c>
      <c r="AB248" s="54" t="e">
        <f>VLOOKUP(A248,Enforcements!$C$7:$K$11,8,0)</f>
        <v>#N/A</v>
      </c>
      <c r="AC248" s="51" t="e">
        <f>VLOOKUP(A248,Enforcements!$C$7:$E$11,3,0)</f>
        <v>#N/A</v>
      </c>
      <c r="AD248" s="179">
        <f t="shared" si="165"/>
        <v>80</v>
      </c>
      <c r="AE248" s="77" t="str">
        <f t="shared" si="149"/>
        <v>aws s3 cp s3://rtdc.mdm.uploadarchive.raw/RTDC4055/ "%USERPROFILE%\AppData\Local\Temp\OnboardLogs"\RTDC4055\2017-10-05 --exclude "*" --recursive --include "*20171005*" &amp; "%USERPROFILE%\Documents\GitHub\mrs-test-scripts\Headless Mode &amp; Sideloading\WalkAndUnGZ.bat" "%USERPROFILE%\AppData\Local\Temp\OnboardLogs"\RTDC4055\2017-10-05 &amp; aws s3 cp s3://rtdc.mdm.uploadarchive.raw/RTDC4055/ "%USERPROFILE%\AppData\Local\Temp\OnboardLogs"\RTDC4055\2017-10-06 --exclude "*" --recursive --include "*20171006*" &amp; "%USERPROFILE%\Documents\GitHub\mrs-test-scripts\Headless Mode &amp; Sideloading\WalkAndUnGZ.bat" "%USERPROFILE%\AppData\Local\Temp\OnboardLogs"\RTDC4055\2017-10-06</v>
      </c>
      <c r="AF248" s="74" t="str">
        <f t="shared" si="150"/>
        <v>"C:\Program Files (x86)\AstroGrep\AstroGrep.exe" /e /r /s /spath="%USERPROFILE%\AppData\Local\Temp\OnboardLogs" /stypes="app*4055*20171005*" /stext=" 22:.+((SYSTEM_STATE.+slice.+state.+changed )|(ment ac)|(multiple cpu faults)|(system.+state.+changed )|(\[timeout)|(PRM\|1\|D)|(kpr)|(kdp)|(train st.+moving)|(\|lc)|(penalty))"</v>
      </c>
      <c r="AG248" s="182" t="str">
        <f t="shared" si="166"/>
        <v>Shuttle/Test</v>
      </c>
      <c r="AH248" s="78" t="str">
        <f t="shared" si="151"/>
        <v>"%USERPROFILE%\Documents\GitHub\eaglep3\Utilities\RefineRTDCRunTimes.py" --tripid 80-05 --locoid 4055 --swversion DE.1.0.9.0 --startMP 204:3004 --initTime 2017-10-05T16:55:58 --startdatetime 2017-10-05T16:57:32 --delay 47 --endMP 204:152 --enddatetime 2017-10-05T16:58:59 --enforcementcount 0 &gt;&gt;%USERPROFILE%\Documents\GitHub\eaglep3-reporting\EC\2017-10-05-refined-times.txt</v>
      </c>
      <c r="AI248" s="96" t="str">
        <f t="shared" si="152"/>
        <v>echo {"issue":{"subject":"","project_id":79,"tracker_id":40,"status_id":1,"priority_id":2,"assigned_to_id":338,"start_date":"2017-10-05","description":"","custom_fields":[{"id":1,"name":"Subdivision","value":"Shuttle/Test"},{"id":4,"name":"Milepost","value":"0.0152"},{"id":17,"name":"Train ID","value":"80-05"},{"id":16,"name":"Locomotive ID","value":"4055"},{"id":130,"name":"Impact","value":""},{"id":150,"name":"Time of Event (Mountain Time)","value":"16:58:59"},{"id":151,"name":"Denver Issue ID","value":""},{"id":178,"name":"Operational Impact","value":"Yes"},{"id":179,"name":"Denver Segment Assigned","value":""}]}} | curl --insecure -X POST -H "Content-Type: application/json" -H "X-Redmine-API-Key: %REDMINEAPIKEY%" https://secure.xorail.net/redmine/issues.json --data @-</v>
      </c>
      <c r="AK248" s="47"/>
      <c r="AL248" s="47"/>
      <c r="AM248" s="142" t="str">
        <f t="shared" si="153"/>
        <v>start /low /b %USERPROFILE%\Documents\GitHub\eaglep3\Utilities\DownloadLogsFromS3.py --loco 4055 --day 2017-10-05</v>
      </c>
      <c r="AN248" s="151" t="str">
        <f t="shared" si="154"/>
        <v>echo {"issue":{"subject":"","project_id":30,"tracker_id":4,"status_id":1,"priority_id":1,"assigned_to_id":10,"start_date":"2017-10-05","description":"","custom_fields":[{"id":30,"name":"Category","value":"Issue"},{"id":3,"name":"Functional Component","value":"Onboard"},{"id":31,"name":"Version","value":"N/A"},{"id":8,"name":"Reporting RR","value":"WABTEC"},{"id":27,"name":"Locomotive ID","value":"4055"},{"id":20,"name":"RR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22:58:59"},{"id":29,"name":"Sharepoint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48" s="168" t="str">
        <f t="shared" si="155"/>
        <v>https://d0f6bd738d7f1b3e5a7ca70fe4ff75f0.us-east-1.aws.found.io/app/kibana#/discover/Steve-Slow-Train-Analysis-(2080s-and-2083s)?_g=(refreshInterval:(display:Off,pause:!f,section:0,value:0),time:(from:'2017-10-05T15:55:58-0600',mode:absolute,to:'2017-10-05T17:58:59-0600'))&amp;_a=(columns:!('Message%20ID',Summary),filters:!(),index:'emp_*',interval:auto,query:(query_string:(analyze_wildcard:!t,query:'%22rtdc.l.rtdc.4055%22')),sort:!(Time.ISO8601,asc))</v>
      </c>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row>
    <row r="249" spans="1:91" s="20" customFormat="1" x14ac:dyDescent="0.25">
      <c r="A249" s="32" t="s">
        <v>742</v>
      </c>
      <c r="B249" s="7">
        <v>4062</v>
      </c>
      <c r="C249" s="21" t="s">
        <v>194</v>
      </c>
      <c r="D249" s="21" t="s">
        <v>930</v>
      </c>
      <c r="E249" s="13">
        <v>43013.687372685185</v>
      </c>
      <c r="F249" s="13">
        <v>43013.689965277779</v>
      </c>
      <c r="G249" s="7">
        <v>98</v>
      </c>
      <c r="H249" s="21" t="s">
        <v>550</v>
      </c>
      <c r="I249" s="13">
        <v>43013.700115740743</v>
      </c>
      <c r="J249" s="7">
        <v>0</v>
      </c>
      <c r="K249" s="89" t="str">
        <f t="shared" si="161"/>
        <v>4061/4062</v>
      </c>
      <c r="L249" s="185" t="str">
        <f>VLOOKUP(A249,'Trips&amp;Operators'!$C$1:$G$99911,5,FALSE)</f>
        <v>NEWELL JAMES</v>
      </c>
      <c r="M249" s="6">
        <f t="shared" si="162"/>
        <v>1.0150462963792961E-2</v>
      </c>
      <c r="N249" s="7">
        <f t="shared" si="156"/>
        <v>14.616666667861864</v>
      </c>
      <c r="O249" s="7"/>
      <c r="P249" s="7"/>
      <c r="Q249" s="22"/>
      <c r="R249" s="174"/>
      <c r="S249" s="221">
        <f t="shared" si="157"/>
        <v>1</v>
      </c>
      <c r="T249" s="174" t="str">
        <f t="shared" si="163"/>
        <v>NorthBound</v>
      </c>
      <c r="U249" s="198">
        <f>IF(AG249="EC",COUNTIFS(Variables!$M$2:$M$19,IF(T249="NorthBound","&gt;=","&lt;=")&amp;Y249,Variables!$M$2:$M$19,IF(T249="NorthBound","&lt;=","&gt;=")&amp;Z249),COUNTIFS(Variables!$P$2:$P$19,IF(T249="NorthBound","&gt;=","&lt;=")&amp;Y249,Variables!$P$2:$P$19,IF(T249="NorthBound","&lt;=","&gt;=")&amp;Z249))</f>
        <v>1</v>
      </c>
      <c r="V249" s="216" t="str">
        <f t="shared" si="148"/>
        <v>https://d0f6bd738d7f1b3e5a7ca70fe4ff75f0.us-east-1.aws.found.io/app/kibana#/discover/Steve-Slow-Train-Analysis-(2080s-and-2083s)?_g=(refreshInterval:(display:Off,pause:!f,section:0,value:0),time:(from:'2017-10-05T15:29:49-0600',mode:absolute,to:'2017-10-05T17:48:10-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4062%22')),sort:!(Time.ISO8601,asc))</v>
      </c>
      <c r="W249" s="204" t="str">
        <f>IF(AA249&lt;VLOOKUP(AG249,Variables!$AC$3:$AD$8,2,FALSE),"Y","N")</f>
        <v>Y</v>
      </c>
      <c r="X249" s="204">
        <f t="shared" si="160"/>
        <v>1</v>
      </c>
      <c r="Y249" s="204">
        <f t="shared" si="158"/>
        <v>0.14899999999999999</v>
      </c>
      <c r="Z249" s="204">
        <f t="shared" si="159"/>
        <v>2.331</v>
      </c>
      <c r="AA249" s="204">
        <f t="shared" si="164"/>
        <v>2.1819999999999999</v>
      </c>
      <c r="AB249" s="54" t="e">
        <f>VLOOKUP(A249,Enforcements!$C$7:$K$11,8,0)</f>
        <v>#N/A</v>
      </c>
      <c r="AC249" s="51" t="e">
        <f>VLOOKUP(A249,Enforcements!$C$7:$E$11,3,0)</f>
        <v>#N/A</v>
      </c>
      <c r="AD249" s="179">
        <f t="shared" si="165"/>
        <v>81</v>
      </c>
      <c r="AE249" s="77" t="str">
        <f t="shared" si="149"/>
        <v>aws s3 cp s3://rtdc.mdm.uploadarchive.raw/RTDC4062/ "%USERPROFILE%\AppData\Local\Temp\OnboardLogs"\RTDC4062\2017-10-05 --exclude "*" --recursive --include "*20171005*" &amp; "%USERPROFILE%\Documents\GitHub\mrs-test-scripts\Headless Mode &amp; Sideloading\WalkAndUnGZ.bat" "%USERPROFILE%\AppData\Local\Temp\OnboardLogs"\RTDC4062\2017-10-05 &amp; aws s3 cp s3://rtdc.mdm.uploadarchive.raw/RTDC4062/ "%USERPROFILE%\AppData\Local\Temp\OnboardLogs"\RTDC4062\2017-10-06 --exclude "*" --recursive --include "*20171006*" &amp; "%USERPROFILE%\Documents\GitHub\mrs-test-scripts\Headless Mode &amp; Sideloading\WalkAndUnGZ.bat" "%USERPROFILE%\AppData\Local\Temp\OnboardLogs"\RTDC4062\2017-10-06</v>
      </c>
      <c r="AF249" s="74" t="str">
        <f t="shared" si="150"/>
        <v>"C:\Program Files (x86)\AstroGrep\AstroGrep.exe" /e /r /s /spath="%USERPROFILE%\AppData\Local\Temp\OnboardLogs" /stypes="app*4062*20171005*" /stext=" 22:.+((SYSTEM_STATE.+slice.+state.+changed )|(ment ac)|(multiple cpu faults)|(system.+state.+changed )|(\[timeout)|(PRM\|1\|D)|(kpr)|(kdp)|(train st.+moving)|(\|lc)|(penalty))"</v>
      </c>
      <c r="AG249" s="182" t="str">
        <f t="shared" si="166"/>
        <v>Shuttle/Test</v>
      </c>
      <c r="AH249" s="78" t="str">
        <f t="shared" si="151"/>
        <v>"%USERPROFILE%\Documents\GitHub\eaglep3\Utilities\RefineRTDCRunTimes.py" --tripid 81-05 --locoid 4062 --swversion DE.1.0.9.0 --startMP 204:1490 --initTime 2017-10-05T16:29:49 --startdatetime 2017-10-05T16:33:33 --delay 98 --endMP 300:23310 --enddatetime 2017-10-05T16:48:10 --enforcementcount 0 &gt;&gt;%USERPROFILE%\Documents\GitHub\eaglep3-reporting\EC\2017-10-05-refined-times.txt</v>
      </c>
      <c r="AI249" s="96" t="str">
        <f t="shared" si="152"/>
        <v>echo {"issue":{"subject":"","project_id":79,"tracker_id":40,"status_id":1,"priority_id":2,"assigned_to_id":338,"start_date":"2017-10-05","description":"","custom_fields":[{"id":1,"name":"Subdivision","value":"Shuttle/Test"},{"id":4,"name":"Milepost","value":"2.331"},{"id":17,"name":"Train ID","value":"81-05"},{"id":16,"name":"Locomotive ID","value":"4062"},{"id":130,"name":"Impact","value":""},{"id":150,"name":"Time of Event (Mountain Time)","value":"16:48:10"},{"id":151,"name":"Denver Issue ID","value":""},{"id":178,"name":"Operational Impact","value":"Yes"},{"id":179,"name":"Denver Segment Assigned","value":""}]}} | curl --insecure -X POST -H "Content-Type: application/json" -H "X-Redmine-API-Key: %REDMINEAPIKEY%" https://secure.xorail.net/redmine/issues.json --data @-</v>
      </c>
      <c r="AK249" s="47"/>
      <c r="AL249" s="47"/>
      <c r="AM249" s="142" t="str">
        <f t="shared" si="153"/>
        <v>start /low /b %USERPROFILE%\Documents\GitHub\eaglep3\Utilities\DownloadLogsFromS3.py --loco 4062 --day 2017-10-05</v>
      </c>
      <c r="AN249" s="151" t="str">
        <f t="shared" si="154"/>
        <v>echo {"issue":{"subject":"","project_id":30,"tracker_id":4,"status_id":1,"priority_id":1,"assigned_to_id":10,"start_date":"2017-10-05","description":"","custom_fields":[{"id":30,"name":"Category","value":"Issue"},{"id":3,"name":"Functional Component","value":"Onboard"},{"id":31,"name":"Version","value":"N/A"},{"id":8,"name":"Reporting RR","value":"WABTEC"},{"id":27,"name":"Locomotive ID","value":"4062"},{"id":20,"name":"RR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UTC","value":"2017-10-05 22:48:10"},{"id":29,"name":"Sharepoint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49" s="168" t="str">
        <f t="shared" si="155"/>
        <v>https://d0f6bd738d7f1b3e5a7ca70fe4ff75f0.us-east-1.aws.found.io/app/kibana#/discover/Steve-Slow-Train-Analysis-(2080s-and-2083s)?_g=(refreshInterval:(display:Off,pause:!f,section:0,value:0),time:(from:'2017-10-05T15:29:49-0600',mode:absolute,to:'2017-10-05T17:48:10-0600'))&amp;_a=(columns:!('Message%20ID',Summary),filters:!(),index:'emp_*',interval:auto,query:(query_string:(analyze_wildcard:!t,query:'%22rtdc.l.rtdc.4062%22')),sort:!(Time.ISO8601,asc))</v>
      </c>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row>
    <row r="250" spans="1:91" s="20" customFormat="1" x14ac:dyDescent="0.25">
      <c r="A250" s="32" t="s">
        <v>772</v>
      </c>
      <c r="B250" s="7">
        <v>4044</v>
      </c>
      <c r="C250" s="21" t="s">
        <v>194</v>
      </c>
      <c r="D250" s="21" t="s">
        <v>944</v>
      </c>
      <c r="E250" s="13">
        <v>43013.785752314812</v>
      </c>
      <c r="F250" s="13">
        <v>43013.791435185187</v>
      </c>
      <c r="G250" s="7">
        <v>77</v>
      </c>
      <c r="H250" s="21" t="s">
        <v>945</v>
      </c>
      <c r="I250" s="13">
        <v>43013.79247685185</v>
      </c>
      <c r="J250" s="7">
        <v>0</v>
      </c>
      <c r="K250" s="89" t="str">
        <f t="shared" si="161"/>
        <v>4043/4044</v>
      </c>
      <c r="L250" s="185" t="str">
        <f>VLOOKUP(A250,'Trips&amp;Operators'!$C$1:$G$99911,5,FALSE)</f>
        <v>HART KEVIN</v>
      </c>
      <c r="M250" s="6">
        <f t="shared" si="162"/>
        <v>1.0416666627861559E-3</v>
      </c>
      <c r="N250" s="7">
        <f t="shared" si="156"/>
        <v>1.4999999944120646</v>
      </c>
      <c r="O250" s="7"/>
      <c r="P250" s="7"/>
      <c r="Q250" s="22"/>
      <c r="R250" s="174"/>
      <c r="S250" s="221">
        <f t="shared" si="157"/>
        <v>0</v>
      </c>
      <c r="T250" s="174" t="str">
        <f t="shared" si="163"/>
        <v>Southbound</v>
      </c>
      <c r="U250" s="198">
        <f>IF(AG250="EC",COUNTIFS(Variables!$M$2:$M$19,IF(T250="NorthBound","&gt;=","&lt;=")&amp;Y250,Variables!$M$2:$M$19,IF(T250="NorthBound","&lt;=","&gt;=")&amp;Z250),COUNTIFS(Variables!$P$2:$P$19,IF(T250="NorthBound","&gt;=","&lt;=")&amp;Y250,Variables!$P$2:$P$19,IF(T250="NorthBound","&lt;=","&gt;=")&amp;Z250))</f>
        <v>0</v>
      </c>
      <c r="V250" s="216" t="str">
        <f t="shared" si="148"/>
        <v>https://d0f6bd738d7f1b3e5a7ca70fe4ff75f0.us-east-1.aws.found.io/app/kibana#/discover/Steve-Slow-Train-Analysis-(2080s-and-2083s)?_g=(refreshInterval:(display:Off,pause:!f,section:0,value:0),time:(from:'2017-10-05T17:51:29-0600',mode:absolute,to:'2017-10-05T20:01:10-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4044%22')),sort:!(Time.ISO8601,asc))</v>
      </c>
      <c r="W250" s="204" t="str">
        <f>IF(AA250&lt;VLOOKUP(AG250,Variables!$AC$3:$AD$8,2,FALSE),"Y","N")</f>
        <v>Y</v>
      </c>
      <c r="X250" s="204">
        <f t="shared" si="160"/>
        <v>1</v>
      </c>
      <c r="Y250" s="204">
        <f t="shared" si="158"/>
        <v>0.1167</v>
      </c>
      <c r="Z250" s="204">
        <f t="shared" si="159"/>
        <v>0.32800000000000001</v>
      </c>
      <c r="AA250" s="204">
        <f t="shared" si="164"/>
        <v>0.21130000000000002</v>
      </c>
      <c r="AB250" s="54" t="e">
        <f>VLOOKUP(A250,Enforcements!$C$7:$K$11,8,0)</f>
        <v>#N/A</v>
      </c>
      <c r="AC250" s="51" t="e">
        <f>VLOOKUP(A250,Enforcements!$C$7:$E$11,3,0)</f>
        <v>#N/A</v>
      </c>
      <c r="AD250" s="179">
        <f t="shared" si="165"/>
        <v>82</v>
      </c>
      <c r="AE250" s="77" t="str">
        <f t="shared" si="149"/>
        <v>aws s3 cp s3://rtdc.mdm.uploadarchive.raw/RTDC4044/ "%USERPROFILE%\AppData\Local\Temp\OnboardLogs"\RTDC4044\2017-10-05 --exclude "*" --recursive --include "*20171005*" &amp; "%USERPROFILE%\Documents\GitHub\mrs-test-scripts\Headless Mode &amp; Sideloading\WalkAndUnGZ.bat" "%USERPROFILE%\AppData\Local\Temp\OnboardLogs"\RTDC4044\2017-10-05 &amp; aws s3 cp s3://rtdc.mdm.uploadarchive.raw/RTDC4044/ "%USERPROFILE%\AppData\Local\Temp\OnboardLogs"\RTDC4044\2017-10-06 --exclude "*" --recursive --include "*20171006*" &amp; "%USERPROFILE%\Documents\GitHub\mrs-test-scripts\Headless Mode &amp; Sideloading\WalkAndUnGZ.bat" "%USERPROFILE%\AppData\Local\Temp\OnboardLogs"\RTDC4044\2017-10-06</v>
      </c>
      <c r="AF250" s="74" t="str">
        <f t="shared" si="150"/>
        <v>"C:\Program Files (x86)\AstroGrep\AstroGrep.exe" /e /r /s /spath="%USERPROFILE%\AppData\Local\Temp\OnboardLogs" /stypes="app*4044*20171006*" /stext=" 01:.+((SYSTEM_STATE.+slice.+state.+changed )|(ment ac)|(multiple cpu faults)|(system.+state.+changed )|(\[timeout)|(PRM\|1\|D)|(kpr)|(kdp)|(train st.+moving)|(\|lc)|(penalty))"</v>
      </c>
      <c r="AG250" s="182" t="str">
        <f t="shared" si="166"/>
        <v>Shuttle/Test</v>
      </c>
      <c r="AH250" s="78" t="str">
        <f t="shared" si="151"/>
        <v>"%USERPROFILE%\Documents\GitHub\eaglep3\Utilities\RefineRTDCRunTimes.py" --tripid 82-05 --locoid 4044 --swversion DE.1.0.9.0 --startMP 204:1167 --initTime 2017-10-05T18:51:29 --startdatetime 2017-10-05T18:59:40 --delay 77 --endMP 204:3280 --enddatetime 2017-10-05T19:01:10 --enforcementcount 0 &gt;&gt;%USERPROFILE%\Documents\GitHub\eaglep3-reporting\EC\2017-10-05-refined-times.txt</v>
      </c>
      <c r="AI250" s="96" t="str">
        <f t="shared" si="152"/>
        <v>echo {"issue":{"subject":"","project_id":79,"tracker_id":40,"status_id":1,"priority_id":2,"assigned_to_id":338,"start_date":"2017-10-05","description":"","custom_fields":[{"id":1,"name":"Subdivision","value":"Shuttle/Test"},{"id":4,"name":"Milepost","value":"0.328"},{"id":17,"name":"Train ID","value":"82-05"},{"id":16,"name":"Locomotive ID","value":"4044"},{"id":130,"name":"Impact","value":""},{"id":150,"name":"Time of Event (Mountain Time)","value":"19:01:10"},{"id":151,"name":"Denver Issue ID","value":""},{"id":178,"name":"Operational Impact","value":"Yes"},{"id":179,"name":"Denver Segment Assigned","value":""}]}} | curl --insecure -X POST -H "Content-Type: application/json" -H "X-Redmine-API-Key: %REDMINEAPIKEY%" https://secure.xorail.net/redmine/issues.json --data @-</v>
      </c>
      <c r="AK250" s="47"/>
      <c r="AL250" s="47"/>
      <c r="AM250" s="142" t="str">
        <f t="shared" si="153"/>
        <v>start /low /b %USERPROFILE%\Documents\GitHub\eaglep3\Utilities\DownloadLogsFromS3.py --loco 4044 --day 2017-10-05</v>
      </c>
      <c r="AN250" s="151" t="str">
        <f t="shared" si="154"/>
        <v>echo {"issue":{"subject":"","project_id":30,"tracker_id":4,"status_id":1,"priority_id":1,"assigned_to_id":10,"start_date":"2017-10-06","description":"","custom_fields":[{"id":30,"name":"Category","value":"Issue"},{"id":3,"name":"Functional Component","value":"Onboard"},{"id":31,"name":"Version","value":"N/A"},{"id":8,"name":"Reporting RR","value":"WABTEC"},{"id":27,"name":"Locomotive ID","value":"4044"},{"id":20,"name":"RR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01:01:10"},{"id":29,"name":"Sharepoint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50" s="168" t="str">
        <f t="shared" si="155"/>
        <v>https://d0f6bd738d7f1b3e5a7ca70fe4ff75f0.us-east-1.aws.found.io/app/kibana#/discover/Steve-Slow-Train-Analysis-(2080s-and-2083s)?_g=(refreshInterval:(display:Off,pause:!f,section:0,value:0),time:(from:'2017-10-05T17:51:29-0600',mode:absolute,to:'2017-10-05T20:01:10-0600'))&amp;_a=(columns:!('Message%20ID',Summary),filters:!(),index:'emp_*',interval:auto,query:(query_string:(analyze_wildcard:!t,query:'%22rtdc.l.rtdc.4044%22')),sort:!(Time.ISO8601,asc))</v>
      </c>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row>
    <row r="251" spans="1:91" s="20" customFormat="1" x14ac:dyDescent="0.25">
      <c r="A251" s="32" t="s">
        <v>772</v>
      </c>
      <c r="B251" s="7">
        <v>4043</v>
      </c>
      <c r="C251" s="21" t="s">
        <v>194</v>
      </c>
      <c r="D251" s="21" t="s">
        <v>946</v>
      </c>
      <c r="E251" s="13">
        <v>43013.789988425924</v>
      </c>
      <c r="F251" s="13">
        <v>43013.791435185187</v>
      </c>
      <c r="G251" s="7">
        <v>64</v>
      </c>
      <c r="H251" s="21" t="s">
        <v>372</v>
      </c>
      <c r="I251" s="13">
        <v>43013.79247685185</v>
      </c>
      <c r="J251" s="7">
        <v>0</v>
      </c>
      <c r="K251" s="89" t="str">
        <f t="shared" si="161"/>
        <v>4043/4044</v>
      </c>
      <c r="L251" s="185" t="str">
        <f>VLOOKUP(A251,'Trips&amp;Operators'!$C$1:$G$99911,5,FALSE)</f>
        <v>HART KEVIN</v>
      </c>
      <c r="M251" s="6">
        <f t="shared" si="162"/>
        <v>1.0416666627861559E-3</v>
      </c>
      <c r="N251" s="7">
        <f t="shared" si="156"/>
        <v>1.4999999944120646</v>
      </c>
      <c r="O251" s="7"/>
      <c r="P251" s="7"/>
      <c r="Q251" s="22"/>
      <c r="R251" s="174"/>
      <c r="S251" s="221">
        <f t="shared" si="157"/>
        <v>0</v>
      </c>
      <c r="T251" s="174" t="str">
        <f t="shared" si="163"/>
        <v>Southbound</v>
      </c>
      <c r="U251" s="198">
        <f>IF(AG251="EC",COUNTIFS(Variables!$M$2:$M$19,IF(T251="NorthBound","&gt;=","&lt;=")&amp;Y251,Variables!$M$2:$M$19,IF(T251="NorthBound","&lt;=","&gt;=")&amp;Z251),COUNTIFS(Variables!$P$2:$P$19,IF(T251="NorthBound","&gt;=","&lt;=")&amp;Y251,Variables!$P$2:$P$19,IF(T251="NorthBound","&lt;=","&gt;=")&amp;Z251))</f>
        <v>0</v>
      </c>
      <c r="V251" s="216" t="str">
        <f t="shared" si="148"/>
        <v>https://d0f6bd738d7f1b3e5a7ca70fe4ff75f0.us-east-1.aws.found.io/app/kibana#/discover/Steve-Slow-Train-Analysis-(2080s-and-2083s)?_g=(refreshInterval:(display:Off,pause:!f,section:0,value:0),time:(from:'2017-10-05T17:57:35-0600',mode:absolute,to:'2017-10-05T20:01:10-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4043%22')),sort:!(Time.ISO8601,asc))</v>
      </c>
      <c r="W251" s="204" t="str">
        <f>IF(AA251&lt;VLOOKUP(AG251,Variables!$AC$3:$AD$8,2,FALSE),"Y","N")</f>
        <v>Y</v>
      </c>
      <c r="X251" s="204">
        <f t="shared" si="160"/>
        <v>0</v>
      </c>
      <c r="Y251" s="204">
        <f t="shared" si="158"/>
        <v>0.2949</v>
      </c>
      <c r="Z251" s="204">
        <f t="shared" si="159"/>
        <v>1.3899999999999999E-2</v>
      </c>
      <c r="AA251" s="204">
        <f t="shared" si="164"/>
        <v>0.28099999999999997</v>
      </c>
      <c r="AB251" s="54" t="e">
        <f>VLOOKUP(A251,Enforcements!$C$7:$K$11,8,0)</f>
        <v>#N/A</v>
      </c>
      <c r="AC251" s="51" t="e">
        <f>VLOOKUP(A251,Enforcements!$C$7:$E$11,3,0)</f>
        <v>#N/A</v>
      </c>
      <c r="AD251" s="179">
        <f t="shared" si="165"/>
        <v>82</v>
      </c>
      <c r="AE251" s="77" t="str">
        <f t="shared" si="149"/>
        <v>aws s3 cp s3://rtdc.mdm.uploadarchive.raw/RTDC4043/ "%USERPROFILE%\AppData\Local\Temp\OnboardLogs"\RTDC4043\2017-10-05 --exclude "*" --recursive --include "*20171005*" &amp; "%USERPROFILE%\Documents\GitHub\mrs-test-scripts\Headless Mode &amp; Sideloading\WalkAndUnGZ.bat" "%USERPROFILE%\AppData\Local\Temp\OnboardLogs"\RTDC4043\2017-10-05 &amp; aws s3 cp s3://rtdc.mdm.uploadarchive.raw/RTDC4043/ "%USERPROFILE%\AppData\Local\Temp\OnboardLogs"\RTDC4043\2017-10-06 --exclude "*" --recursive --include "*20171006*" &amp; "%USERPROFILE%\Documents\GitHub\mrs-test-scripts\Headless Mode &amp; Sideloading\WalkAndUnGZ.bat" "%USERPROFILE%\AppData\Local\Temp\OnboardLogs"\RTDC4043\2017-10-06</v>
      </c>
      <c r="AF251" s="74" t="str">
        <f t="shared" si="150"/>
        <v>"C:\Program Files (x86)\AstroGrep\AstroGrep.exe" /e /r /s /spath="%USERPROFILE%\AppData\Local\Temp\OnboardLogs" /stypes="app*4043*20171006*" /stext=" 01:.+((SYSTEM_STATE.+slice.+state.+changed )|(ment ac)|(multiple cpu faults)|(system.+state.+changed )|(\[timeout)|(PRM\|1\|D)|(kpr)|(kdp)|(train st.+moving)|(\|lc)|(penalty))"</v>
      </c>
      <c r="AG251" s="182" t="str">
        <f t="shared" si="166"/>
        <v>Shuttle/Test</v>
      </c>
      <c r="AH251" s="78" t="str">
        <f t="shared" si="151"/>
        <v>"%USERPROFILE%\Documents\GitHub\eaglep3\Utilities\RefineRTDCRunTimes.py" --tripid 82-05 --locoid 4043 --swversion DE.1.0.9.0 --startMP 204:2949 --initTime 2017-10-05T18:57:35 --startdatetime 2017-10-05T18:59:40 --delay 64 --endMP 204:139 --enddatetime 2017-10-05T19:01:10 --enforcementcount 0 &gt;&gt;%USERPROFILE%\Documents\GitHub\eaglep3-reporting\EC\2017-10-05-refined-times.txt</v>
      </c>
      <c r="AI251" s="96" t="str">
        <f t="shared" si="152"/>
        <v>echo {"issue":{"subject":"","project_id":79,"tracker_id":40,"status_id":1,"priority_id":2,"assigned_to_id":338,"start_date":"2017-10-05","description":"","custom_fields":[{"id":1,"name":"Subdivision","value":"Shuttle/Test"},{"id":4,"name":"Milepost","value":"0.0139"},{"id":17,"name":"Train ID","value":"82-05"},{"id":16,"name":"Locomotive ID","value":"4043"},{"id":130,"name":"Impact","value":""},{"id":150,"name":"Time of Event (Mountain Time)","value":"19:01:10"},{"id":151,"name":"Denver Issue ID","value":""},{"id":178,"name":"Operational Impact","value":"Yes"},{"id":179,"name":"Denver Segment Assigned","value":""}]}} | curl --insecure -X POST -H "Content-Type: application/json" -H "X-Redmine-API-Key: %REDMINEAPIKEY%" https://secure.xorail.net/redmine/issues.json --data @-</v>
      </c>
      <c r="AK251" s="47"/>
      <c r="AL251" s="47"/>
      <c r="AM251" s="142" t="str">
        <f t="shared" si="153"/>
        <v>start /low /b %USERPROFILE%\Documents\GitHub\eaglep3\Utilities\DownloadLogsFromS3.py --loco 4043 --day 2017-10-05</v>
      </c>
      <c r="AN251" s="151" t="str">
        <f t="shared" si="154"/>
        <v>echo {"issue":{"subject":"","project_id":30,"tracker_id":4,"status_id":1,"priority_id":1,"assigned_to_id":10,"start_date":"2017-10-06","description":"","custom_fields":[{"id":30,"name":"Category","value":"Issue"},{"id":3,"name":"Functional Component","value":"Onboard"},{"id":31,"name":"Version","value":"N/A"},{"id":8,"name":"Reporting RR","value":"WABTEC"},{"id":27,"name":"Locomotive ID","value":"4043"},{"id":20,"name":"RR Requested Build","value":""},{"id":1,"name":"Build Request Notes","value":""},{"id":9,"name":"RR Assessed Issue Severity","value":"4-Minor"},{"id":10,"name":"RR Severity Justification","value":"test RR Severity Justification"},{"id":11,"name":"Wabtec Assessed Severity","value":""},{"id":12,"name":"Wabtec Severity Justification","value":""},{"id":18,"name":"RR Assessed Safety Criticality","value":"Not Safety Related"},{"id":19,"name":"RR Criticality Justification","value":"test RR Criticality Justification"},{"id":22,"name":"WRE Assessed Safety Critical","value":""},{"id":23,"name":"WRE Criticality Justification","value":""},{"id":24,"name":"Customer's Tracking Number","value":""},{"id":28,"name":"Date \u0026 Time of event UTC","value":"2017-10-06 01:01:10"},{"id":29,"name":"Sharepoint Issue ID","value":""},{"id":25,"name":"Customer's Email Address","value":"stu@wabtec.com"},{"id":33,"name":"Customer Call Back Number","value":"904-316-8563"},{"id":34,"name":"Customer Name","value":"Steve Tu"},{"id":55,"name":"WRE CR#","value":""},{"id":57,"name":"Reclassify Severity","value":""},{"id":58,"name":"Reclassify Safety","value":""},{"id":59,"name":"Environment ","value":"Production"}]}} | curl --insecure -X POST -H "Content-Type: application/json" -H "X-Redmine-API-Key: 27f4683f8c668ceb395ce0223286e38dfe180cf8" https://ptcsupport.wabtec.com/issues.json --data @-</v>
      </c>
      <c r="AO251" s="168" t="str">
        <f t="shared" si="155"/>
        <v>https://d0f6bd738d7f1b3e5a7ca70fe4ff75f0.us-east-1.aws.found.io/app/kibana#/discover/Steve-Slow-Train-Analysis-(2080s-and-2083s)?_g=(refreshInterval:(display:Off,pause:!f,section:0,value:0),time:(from:'2017-10-05T17:57:35-0600',mode:absolute,to:'2017-10-05T20:01:10-0600'))&amp;_a=(columns:!('Message%20ID',Summary),filters:!(),index:'emp_*',interval:auto,query:(query_string:(analyze_wildcard:!t,query:'%22rtdc.l.rtdc.4043%22')),sort:!(Time.ISO8601,asc))</v>
      </c>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row>
    <row r="252" spans="1:91" s="20" customFormat="1"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row>
    <row r="253" spans="1:91" x14ac:dyDescent="0.25">
      <c r="A253"/>
      <c r="B253"/>
      <c r="C253"/>
      <c r="D253"/>
      <c r="E253"/>
      <c r="F253"/>
      <c r="G253"/>
      <c r="H253"/>
      <c r="I253"/>
      <c r="J253"/>
      <c r="K253"/>
      <c r="L253"/>
      <c r="M253"/>
      <c r="N253"/>
      <c r="O253"/>
      <c r="P253"/>
      <c r="R253"/>
      <c r="S253"/>
      <c r="T253"/>
      <c r="U253"/>
      <c r="V253"/>
      <c r="W253"/>
      <c r="X253"/>
      <c r="Y253"/>
      <c r="Z253"/>
      <c r="AA253"/>
      <c r="AB253"/>
      <c r="AC253"/>
      <c r="AD253"/>
      <c r="AE253"/>
      <c r="AF253"/>
      <c r="AG253"/>
      <c r="AH253"/>
      <c r="AI253"/>
      <c r="AM253"/>
      <c r="AO253"/>
    </row>
    <row r="254" spans="1:91" s="20" customFormat="1"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row>
    <row r="255" spans="1:91" x14ac:dyDescent="0.25">
      <c r="A255"/>
      <c r="B255"/>
      <c r="C255"/>
      <c r="D255"/>
      <c r="E255"/>
      <c r="F255"/>
      <c r="G255"/>
      <c r="H255"/>
      <c r="I255"/>
      <c r="J255"/>
      <c r="K255"/>
      <c r="L255"/>
      <c r="M255"/>
      <c r="N255"/>
      <c r="O255"/>
      <c r="P255"/>
      <c r="R255"/>
      <c r="S255"/>
      <c r="T255"/>
      <c r="U255"/>
      <c r="V255"/>
      <c r="W255"/>
      <c r="X255"/>
      <c r="Y255"/>
      <c r="Z255"/>
      <c r="AA255"/>
      <c r="AB255"/>
      <c r="AC255"/>
      <c r="AD255"/>
      <c r="AE255"/>
      <c r="AF255"/>
      <c r="AG255"/>
      <c r="AH255"/>
      <c r="AI255"/>
      <c r="AM255"/>
      <c r="AO255"/>
    </row>
    <row r="256" spans="1:91" s="20" customFormat="1"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row>
    <row r="257" spans="1:91" x14ac:dyDescent="0.25">
      <c r="A257"/>
      <c r="B257"/>
      <c r="C257"/>
      <c r="D257"/>
      <c r="E257"/>
      <c r="F257"/>
      <c r="G257"/>
      <c r="H257"/>
      <c r="I257"/>
      <c r="J257"/>
      <c r="K257"/>
      <c r="L257"/>
      <c r="M257"/>
      <c r="N257"/>
      <c r="O257"/>
      <c r="P257"/>
      <c r="R257"/>
      <c r="S257"/>
      <c r="T257"/>
      <c r="U257"/>
      <c r="V257"/>
      <c r="W257"/>
      <c r="X257"/>
      <c r="Y257"/>
      <c r="Z257"/>
      <c r="AA257"/>
      <c r="AB257"/>
      <c r="AC257"/>
      <c r="AD257"/>
      <c r="AE257"/>
      <c r="AF257"/>
      <c r="AG257"/>
      <c r="AH257"/>
      <c r="AI257"/>
      <c r="AM257"/>
      <c r="AO257"/>
    </row>
    <row r="258" spans="1:91" s="20" customFormat="1"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row>
    <row r="259" spans="1:91" x14ac:dyDescent="0.25">
      <c r="A259"/>
      <c r="B259"/>
      <c r="C259"/>
      <c r="D259"/>
      <c r="E259"/>
      <c r="F259"/>
      <c r="G259"/>
      <c r="H259"/>
      <c r="I259"/>
      <c r="J259"/>
      <c r="K259"/>
      <c r="L259"/>
      <c r="M259"/>
      <c r="N259"/>
      <c r="O259"/>
      <c r="P259"/>
      <c r="R259"/>
      <c r="S259"/>
      <c r="T259"/>
      <c r="U259"/>
      <c r="V259"/>
      <c r="W259"/>
      <c r="X259"/>
      <c r="Y259"/>
      <c r="Z259"/>
      <c r="AA259"/>
      <c r="AB259"/>
      <c r="AC259"/>
      <c r="AD259"/>
      <c r="AE259"/>
      <c r="AF259"/>
      <c r="AG259"/>
      <c r="AH259"/>
      <c r="AI259"/>
      <c r="AM259"/>
      <c r="AO259"/>
    </row>
    <row r="260" spans="1:91" s="20" customFormat="1"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row>
    <row r="261" spans="1:91" s="20" customFormat="1"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row>
    <row r="262" spans="1:91" x14ac:dyDescent="0.25">
      <c r="A262"/>
      <c r="B262"/>
      <c r="C262"/>
      <c r="D262"/>
      <c r="E262"/>
      <c r="F262"/>
      <c r="G262"/>
      <c r="H262"/>
      <c r="I262"/>
      <c r="J262"/>
      <c r="K262"/>
      <c r="L262"/>
      <c r="M262"/>
      <c r="N262"/>
      <c r="O262"/>
      <c r="P262"/>
      <c r="R262"/>
      <c r="S262"/>
      <c r="T262"/>
      <c r="U262"/>
      <c r="V262"/>
      <c r="W262"/>
      <c r="X262"/>
      <c r="Y262"/>
      <c r="Z262"/>
      <c r="AA262"/>
      <c r="AB262"/>
      <c r="AC262"/>
      <c r="AD262"/>
      <c r="AE262"/>
      <c r="AF262"/>
      <c r="AG262"/>
      <c r="AH262"/>
      <c r="AI262"/>
      <c r="AM262"/>
      <c r="AO262"/>
    </row>
    <row r="263" spans="1:91" s="20" customFormat="1"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row>
    <row r="264" spans="1:91" x14ac:dyDescent="0.25">
      <c r="A264"/>
      <c r="B264"/>
      <c r="C264"/>
      <c r="D264"/>
      <c r="E264"/>
      <c r="F264"/>
      <c r="G264"/>
      <c r="H264"/>
      <c r="I264"/>
      <c r="J264"/>
      <c r="K264"/>
      <c r="L264"/>
      <c r="M264"/>
      <c r="N264"/>
      <c r="O264"/>
      <c r="P264"/>
      <c r="R264"/>
      <c r="S264"/>
      <c r="T264"/>
      <c r="U264"/>
      <c r="V264"/>
      <c r="W264"/>
      <c r="X264"/>
      <c r="Y264"/>
      <c r="Z264"/>
      <c r="AA264"/>
      <c r="AB264"/>
      <c r="AC264"/>
      <c r="AD264"/>
      <c r="AE264"/>
      <c r="AF264"/>
      <c r="AG264"/>
      <c r="AH264"/>
      <c r="AI264"/>
      <c r="AM264"/>
      <c r="AO264"/>
    </row>
    <row r="265" spans="1:91" s="20" customFormat="1"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row>
    <row r="266" spans="1:91" s="20" customFormat="1"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row>
    <row r="267" spans="1:91" s="20" customFormat="1" x14ac:dyDescent="0.2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row>
    <row r="268" spans="1:91" x14ac:dyDescent="0.25">
      <c r="A268"/>
      <c r="B268"/>
      <c r="C268"/>
      <c r="D268"/>
      <c r="E268"/>
      <c r="F268"/>
      <c r="G268"/>
      <c r="H268"/>
      <c r="I268"/>
      <c r="J268"/>
      <c r="K268"/>
      <c r="L268"/>
      <c r="M268"/>
      <c r="N268"/>
      <c r="O268"/>
      <c r="P268"/>
      <c r="R268"/>
      <c r="S268"/>
      <c r="T268"/>
      <c r="U268"/>
      <c r="V268"/>
      <c r="W268"/>
      <c r="X268"/>
      <c r="Y268"/>
      <c r="Z268"/>
      <c r="AA268"/>
      <c r="AB268"/>
      <c r="AC268"/>
      <c r="AD268"/>
      <c r="AE268"/>
      <c r="AF268"/>
      <c r="AG268"/>
      <c r="AH268"/>
      <c r="AI268"/>
      <c r="AM268"/>
      <c r="AO268"/>
    </row>
    <row r="269" spans="1:91" s="20" customFormat="1" x14ac:dyDescent="0.2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row>
    <row r="270" spans="1:91" s="20" customFormat="1"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row>
    <row r="271" spans="1:91" s="20" customFormat="1"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row>
    <row r="272" spans="1:91" x14ac:dyDescent="0.25">
      <c r="A272"/>
      <c r="B272"/>
      <c r="C272"/>
      <c r="D272"/>
      <c r="E272"/>
      <c r="F272"/>
      <c r="G272"/>
      <c r="H272"/>
      <c r="I272"/>
      <c r="J272"/>
      <c r="K272"/>
      <c r="L272"/>
      <c r="M272"/>
      <c r="N272"/>
      <c r="O272"/>
      <c r="P272"/>
      <c r="R272"/>
      <c r="S272"/>
      <c r="T272"/>
      <c r="U272"/>
      <c r="V272"/>
      <c r="W272"/>
      <c r="X272"/>
      <c r="Y272"/>
      <c r="Z272"/>
      <c r="AA272"/>
      <c r="AB272"/>
      <c r="AC272"/>
      <c r="AD272"/>
      <c r="AE272"/>
      <c r="AF272"/>
      <c r="AG272"/>
      <c r="AH272"/>
      <c r="AI272"/>
      <c r="AM272"/>
      <c r="AO272"/>
    </row>
    <row r="273" spans="1:91" s="20" customFormat="1"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row>
    <row r="274" spans="1:91" s="20" customFormat="1"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row>
    <row r="275" spans="1:91" s="20" customFormat="1"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row>
    <row r="276" spans="1:91" s="20" customFormat="1"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row>
    <row r="277" spans="1:91" x14ac:dyDescent="0.25">
      <c r="A277"/>
      <c r="B277"/>
      <c r="C277"/>
      <c r="D277"/>
      <c r="E277"/>
      <c r="F277"/>
      <c r="G277"/>
      <c r="H277"/>
      <c r="I277"/>
      <c r="J277"/>
      <c r="K277"/>
      <c r="L277"/>
      <c r="M277"/>
      <c r="N277"/>
      <c r="O277"/>
      <c r="P277"/>
      <c r="R277"/>
      <c r="S277"/>
      <c r="T277"/>
      <c r="U277"/>
      <c r="V277"/>
      <c r="W277"/>
      <c r="X277"/>
      <c r="Y277"/>
      <c r="Z277"/>
      <c r="AA277"/>
      <c r="AB277"/>
      <c r="AC277"/>
      <c r="AD277"/>
      <c r="AE277"/>
      <c r="AF277"/>
      <c r="AG277"/>
      <c r="AH277"/>
      <c r="AI277"/>
      <c r="AM277"/>
      <c r="AO277"/>
    </row>
    <row r="278" spans="1:91" x14ac:dyDescent="0.25">
      <c r="A278"/>
      <c r="B278"/>
      <c r="C278"/>
      <c r="D278"/>
      <c r="E278"/>
      <c r="F278"/>
      <c r="G278"/>
      <c r="H278"/>
      <c r="I278"/>
      <c r="J278"/>
      <c r="K278"/>
      <c r="L278"/>
      <c r="M278"/>
      <c r="N278"/>
      <c r="O278"/>
      <c r="P278"/>
      <c r="R278"/>
      <c r="S278"/>
      <c r="T278"/>
      <c r="U278"/>
      <c r="V278"/>
      <c r="W278"/>
      <c r="X278"/>
      <c r="Y278"/>
      <c r="Z278"/>
      <c r="AA278"/>
      <c r="AB278"/>
      <c r="AC278"/>
      <c r="AD278"/>
      <c r="AE278"/>
      <c r="AF278"/>
      <c r="AG278"/>
      <c r="AH278"/>
      <c r="AI278"/>
      <c r="AM278"/>
      <c r="AO278"/>
    </row>
    <row r="279" spans="1:91" s="20" customFormat="1"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row>
    <row r="280" spans="1:91" x14ac:dyDescent="0.25">
      <c r="A280"/>
      <c r="B280"/>
      <c r="C280"/>
      <c r="D280"/>
      <c r="E280"/>
      <c r="F280"/>
      <c r="G280"/>
      <c r="H280"/>
      <c r="I280"/>
      <c r="J280"/>
      <c r="K280"/>
      <c r="L280"/>
      <c r="M280"/>
      <c r="N280"/>
      <c r="O280"/>
      <c r="P280"/>
      <c r="R280"/>
      <c r="S280"/>
      <c r="T280"/>
      <c r="U280"/>
      <c r="V280"/>
      <c r="W280"/>
      <c r="X280"/>
      <c r="Y280"/>
      <c r="Z280"/>
      <c r="AA280"/>
      <c r="AB280"/>
      <c r="AC280"/>
      <c r="AD280"/>
      <c r="AE280"/>
      <c r="AF280"/>
      <c r="AG280"/>
      <c r="AH280"/>
      <c r="AI280"/>
      <c r="AM280"/>
      <c r="AO280"/>
    </row>
    <row r="281" spans="1:91" s="20" customFormat="1"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row>
    <row r="282" spans="1:91" s="20" customFormat="1"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row>
    <row r="283" spans="1:91" s="20" customFormat="1"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row>
    <row r="284" spans="1:91" x14ac:dyDescent="0.25">
      <c r="A284"/>
      <c r="B284"/>
      <c r="C284"/>
      <c r="D284"/>
      <c r="E284"/>
      <c r="F284"/>
      <c r="G284"/>
      <c r="H284"/>
      <c r="I284"/>
      <c r="J284"/>
      <c r="K284"/>
      <c r="L284"/>
      <c r="M284"/>
      <c r="N284"/>
      <c r="O284"/>
      <c r="P284"/>
      <c r="R284"/>
      <c r="S284"/>
      <c r="T284"/>
      <c r="U284"/>
      <c r="V284"/>
      <c r="W284"/>
      <c r="X284"/>
      <c r="Y284"/>
      <c r="Z284"/>
      <c r="AA284"/>
      <c r="AB284"/>
      <c r="AC284"/>
      <c r="AD284"/>
      <c r="AE284"/>
      <c r="AF284"/>
      <c r="AG284"/>
      <c r="AH284"/>
      <c r="AI284"/>
      <c r="AM284"/>
      <c r="AO284"/>
    </row>
    <row r="285" spans="1:91" x14ac:dyDescent="0.25">
      <c r="A285"/>
      <c r="B285"/>
      <c r="C285"/>
      <c r="D285"/>
      <c r="E285"/>
      <c r="F285"/>
      <c r="G285"/>
      <c r="H285"/>
      <c r="I285"/>
      <c r="J285"/>
      <c r="K285"/>
      <c r="L285"/>
      <c r="M285"/>
      <c r="N285"/>
      <c r="O285"/>
      <c r="P285"/>
      <c r="R285"/>
      <c r="S285"/>
      <c r="T285"/>
      <c r="U285"/>
      <c r="V285"/>
      <c r="W285"/>
      <c r="X285"/>
      <c r="Y285"/>
      <c r="Z285"/>
      <c r="AA285"/>
      <c r="AB285"/>
      <c r="AC285"/>
      <c r="AD285"/>
      <c r="AE285"/>
      <c r="AF285"/>
      <c r="AG285"/>
      <c r="AH285"/>
      <c r="AI285"/>
      <c r="AM285"/>
      <c r="AO285"/>
    </row>
    <row r="286" spans="1:91" x14ac:dyDescent="0.25">
      <c r="A286"/>
      <c r="B286"/>
      <c r="C286"/>
      <c r="D286"/>
      <c r="E286"/>
      <c r="F286"/>
      <c r="G286"/>
      <c r="H286"/>
      <c r="I286"/>
      <c r="J286"/>
      <c r="K286"/>
      <c r="L286"/>
      <c r="M286"/>
      <c r="N286"/>
      <c r="O286"/>
      <c r="P286"/>
      <c r="R286"/>
      <c r="S286"/>
      <c r="T286"/>
      <c r="U286"/>
      <c r="V286"/>
      <c r="W286"/>
      <c r="X286"/>
      <c r="Y286"/>
      <c r="Z286"/>
      <c r="AA286"/>
      <c r="AB286"/>
      <c r="AC286"/>
      <c r="AD286"/>
      <c r="AE286"/>
      <c r="AF286"/>
      <c r="AG286"/>
      <c r="AH286"/>
      <c r="AI286"/>
      <c r="AM286"/>
      <c r="AO286"/>
    </row>
    <row r="287" spans="1:91" s="20" customFormat="1"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row>
    <row r="288" spans="1:91" x14ac:dyDescent="0.25">
      <c r="A288"/>
      <c r="B288"/>
      <c r="C288"/>
      <c r="D288"/>
      <c r="E288"/>
      <c r="F288"/>
      <c r="G288"/>
      <c r="H288"/>
      <c r="I288"/>
      <c r="J288"/>
      <c r="K288"/>
      <c r="L288"/>
      <c r="M288"/>
      <c r="N288"/>
      <c r="O288"/>
      <c r="P288"/>
      <c r="R288"/>
      <c r="S288"/>
      <c r="T288"/>
      <c r="U288"/>
      <c r="V288"/>
      <c r="W288"/>
      <c r="X288"/>
      <c r="Y288"/>
      <c r="Z288"/>
      <c r="AA288"/>
      <c r="AB288"/>
      <c r="AC288"/>
      <c r="AD288"/>
      <c r="AE288"/>
      <c r="AF288"/>
      <c r="AG288"/>
      <c r="AH288"/>
      <c r="AI288"/>
      <c r="AM288"/>
      <c r="AO288"/>
    </row>
    <row r="289" spans="1:91" x14ac:dyDescent="0.25">
      <c r="A289"/>
      <c r="B289"/>
      <c r="C289"/>
      <c r="D289"/>
      <c r="E289"/>
      <c r="F289"/>
      <c r="G289"/>
      <c r="H289"/>
      <c r="I289"/>
      <c r="J289"/>
      <c r="K289"/>
      <c r="L289"/>
      <c r="M289"/>
      <c r="N289"/>
      <c r="O289"/>
      <c r="P289"/>
      <c r="R289"/>
      <c r="S289"/>
      <c r="T289"/>
      <c r="U289"/>
      <c r="V289"/>
      <c r="W289"/>
      <c r="X289"/>
      <c r="Y289"/>
      <c r="Z289"/>
      <c r="AA289"/>
      <c r="AB289"/>
      <c r="AC289"/>
      <c r="AD289"/>
      <c r="AE289"/>
      <c r="AF289"/>
      <c r="AG289"/>
      <c r="AH289"/>
      <c r="AI289"/>
      <c r="AM289"/>
      <c r="AO289"/>
    </row>
    <row r="290" spans="1:91" x14ac:dyDescent="0.25">
      <c r="A290"/>
      <c r="B290"/>
      <c r="C290"/>
      <c r="D290"/>
      <c r="E290"/>
      <c r="F290"/>
      <c r="G290"/>
      <c r="H290"/>
      <c r="I290"/>
      <c r="J290"/>
      <c r="K290"/>
      <c r="L290"/>
      <c r="M290"/>
      <c r="N290"/>
      <c r="O290"/>
      <c r="P290"/>
      <c r="R290"/>
      <c r="S290"/>
      <c r="T290"/>
      <c r="U290"/>
      <c r="V290"/>
      <c r="W290"/>
      <c r="X290"/>
      <c r="Y290"/>
      <c r="Z290"/>
      <c r="AA290"/>
      <c r="AB290"/>
      <c r="AC290"/>
      <c r="AD290"/>
      <c r="AE290"/>
      <c r="AF290"/>
      <c r="AG290"/>
      <c r="AH290"/>
      <c r="AI290"/>
      <c r="AM290"/>
      <c r="AO290"/>
    </row>
    <row r="291" spans="1:91" x14ac:dyDescent="0.25">
      <c r="A291"/>
      <c r="B291"/>
      <c r="C291"/>
      <c r="D291"/>
      <c r="E291"/>
      <c r="F291"/>
      <c r="G291"/>
      <c r="H291"/>
      <c r="I291"/>
      <c r="J291"/>
      <c r="K291"/>
      <c r="L291"/>
      <c r="M291"/>
      <c r="N291"/>
      <c r="O291"/>
      <c r="P291"/>
      <c r="R291"/>
      <c r="S291"/>
      <c r="T291"/>
      <c r="U291"/>
      <c r="V291"/>
      <c r="W291"/>
      <c r="X291"/>
      <c r="Y291"/>
      <c r="Z291"/>
      <c r="AA291"/>
      <c r="AB291"/>
      <c r="AC291"/>
      <c r="AD291"/>
      <c r="AE291"/>
      <c r="AF291"/>
      <c r="AG291"/>
      <c r="AH291"/>
      <c r="AI291"/>
      <c r="AM291"/>
      <c r="AO291"/>
    </row>
    <row r="292" spans="1:91" x14ac:dyDescent="0.25">
      <c r="A292"/>
      <c r="B292"/>
      <c r="C292"/>
      <c r="D292"/>
      <c r="E292"/>
      <c r="F292"/>
      <c r="G292"/>
      <c r="H292"/>
      <c r="I292"/>
      <c r="J292"/>
      <c r="K292"/>
      <c r="L292"/>
      <c r="M292"/>
      <c r="N292"/>
      <c r="O292"/>
      <c r="P292"/>
      <c r="R292"/>
      <c r="S292"/>
      <c r="T292"/>
      <c r="U292"/>
      <c r="V292"/>
      <c r="W292"/>
      <c r="X292"/>
      <c r="Y292"/>
      <c r="Z292"/>
      <c r="AA292"/>
      <c r="AB292"/>
      <c r="AC292"/>
      <c r="AD292"/>
      <c r="AE292"/>
      <c r="AF292"/>
      <c r="AG292"/>
      <c r="AH292"/>
      <c r="AI292"/>
      <c r="AM292"/>
      <c r="AO292"/>
    </row>
    <row r="293" spans="1:91" s="20" customFormat="1"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row>
    <row r="294" spans="1:91" s="20" customFormat="1"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row>
    <row r="295" spans="1:91" x14ac:dyDescent="0.25">
      <c r="A295"/>
      <c r="B295"/>
      <c r="C295"/>
      <c r="D295"/>
      <c r="E295"/>
      <c r="F295"/>
      <c r="G295"/>
      <c r="H295"/>
      <c r="I295"/>
      <c r="J295"/>
      <c r="K295"/>
      <c r="L295"/>
      <c r="M295"/>
      <c r="N295"/>
      <c r="O295"/>
      <c r="P295"/>
      <c r="R295"/>
      <c r="S295"/>
      <c r="T295"/>
      <c r="U295"/>
      <c r="V295"/>
      <c r="W295"/>
      <c r="X295"/>
      <c r="Y295"/>
      <c r="Z295"/>
      <c r="AA295"/>
      <c r="AB295"/>
      <c r="AC295"/>
      <c r="AD295"/>
      <c r="AE295"/>
      <c r="AF295"/>
      <c r="AG295"/>
      <c r="AH295"/>
      <c r="AI295"/>
      <c r="AM295"/>
      <c r="AO295"/>
    </row>
    <row r="296" spans="1:91" x14ac:dyDescent="0.25">
      <c r="A296"/>
      <c r="B296"/>
      <c r="C296"/>
      <c r="D296"/>
      <c r="E296"/>
      <c r="F296"/>
      <c r="G296"/>
      <c r="H296"/>
      <c r="I296"/>
      <c r="J296"/>
      <c r="K296"/>
      <c r="L296"/>
      <c r="M296"/>
      <c r="N296"/>
      <c r="O296"/>
      <c r="P296"/>
      <c r="R296"/>
      <c r="S296"/>
      <c r="T296"/>
      <c r="U296"/>
      <c r="V296"/>
      <c r="W296"/>
      <c r="X296"/>
      <c r="Y296"/>
      <c r="Z296"/>
      <c r="AA296"/>
      <c r="AB296"/>
      <c r="AC296"/>
      <c r="AD296"/>
      <c r="AE296"/>
      <c r="AF296"/>
      <c r="AG296"/>
      <c r="AH296"/>
      <c r="AI296"/>
      <c r="AM296"/>
      <c r="AO296"/>
    </row>
    <row r="297" spans="1:91" s="20" customFormat="1"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row>
    <row r="298" spans="1:91" x14ac:dyDescent="0.25">
      <c r="A298"/>
      <c r="B298"/>
      <c r="C298"/>
      <c r="D298"/>
      <c r="E298"/>
      <c r="F298"/>
      <c r="G298"/>
      <c r="H298"/>
      <c r="I298"/>
      <c r="J298"/>
      <c r="K298"/>
      <c r="L298"/>
      <c r="M298"/>
      <c r="N298"/>
      <c r="O298"/>
      <c r="P298"/>
      <c r="R298"/>
      <c r="S298"/>
      <c r="T298"/>
      <c r="U298"/>
      <c r="V298"/>
      <c r="W298"/>
      <c r="X298"/>
      <c r="Y298"/>
      <c r="Z298"/>
      <c r="AA298"/>
      <c r="AB298"/>
      <c r="AC298"/>
      <c r="AD298"/>
      <c r="AE298"/>
      <c r="AF298"/>
      <c r="AG298"/>
      <c r="AH298"/>
      <c r="AI298"/>
      <c r="AM298"/>
      <c r="AO298"/>
    </row>
    <row r="299" spans="1:91" x14ac:dyDescent="0.25">
      <c r="A299"/>
      <c r="B299"/>
      <c r="C299"/>
      <c r="D299"/>
      <c r="E299"/>
      <c r="F299"/>
      <c r="G299"/>
      <c r="H299"/>
      <c r="I299"/>
      <c r="J299"/>
      <c r="K299"/>
      <c r="L299"/>
      <c r="M299"/>
      <c r="N299"/>
      <c r="O299"/>
      <c r="P299"/>
      <c r="R299"/>
      <c r="S299"/>
      <c r="T299"/>
      <c r="U299"/>
      <c r="V299"/>
      <c r="W299"/>
      <c r="X299"/>
      <c r="Y299"/>
      <c r="Z299"/>
      <c r="AA299"/>
      <c r="AB299"/>
      <c r="AC299"/>
      <c r="AD299"/>
      <c r="AE299"/>
      <c r="AF299"/>
      <c r="AG299"/>
      <c r="AH299"/>
      <c r="AI299"/>
      <c r="AM299"/>
      <c r="AO299"/>
    </row>
    <row r="300" spans="1:91" x14ac:dyDescent="0.25">
      <c r="A300"/>
      <c r="B300"/>
      <c r="C300"/>
      <c r="D300"/>
      <c r="E300"/>
      <c r="F300"/>
      <c r="G300"/>
      <c r="H300"/>
      <c r="I300"/>
      <c r="J300"/>
      <c r="K300"/>
      <c r="L300"/>
      <c r="M300"/>
      <c r="N300"/>
      <c r="O300"/>
      <c r="P300"/>
      <c r="R300"/>
      <c r="S300"/>
      <c r="T300"/>
      <c r="U300"/>
      <c r="V300"/>
      <c r="W300"/>
      <c r="X300"/>
      <c r="Y300"/>
      <c r="Z300"/>
      <c r="AA300"/>
      <c r="AB300"/>
      <c r="AC300"/>
      <c r="AD300"/>
      <c r="AE300"/>
      <c r="AF300"/>
      <c r="AG300"/>
      <c r="AH300"/>
      <c r="AI300"/>
      <c r="AM300"/>
      <c r="AO300"/>
    </row>
    <row r="301" spans="1:91" x14ac:dyDescent="0.25">
      <c r="A301"/>
      <c r="B301"/>
      <c r="C301"/>
      <c r="D301"/>
      <c r="E301"/>
      <c r="F301"/>
      <c r="G301"/>
      <c r="H301"/>
      <c r="I301"/>
      <c r="J301"/>
      <c r="K301"/>
      <c r="L301"/>
      <c r="M301"/>
      <c r="N301"/>
      <c r="O301"/>
      <c r="P301"/>
      <c r="R301"/>
      <c r="S301"/>
      <c r="T301"/>
      <c r="U301"/>
      <c r="V301"/>
      <c r="W301"/>
      <c r="X301"/>
      <c r="Y301"/>
      <c r="Z301"/>
      <c r="AA301"/>
      <c r="AB301"/>
      <c r="AC301"/>
      <c r="AD301"/>
      <c r="AE301"/>
      <c r="AF301"/>
      <c r="AG301"/>
      <c r="AH301"/>
      <c r="AI301"/>
      <c r="AM301"/>
      <c r="AO301"/>
    </row>
    <row r="302" spans="1:91" x14ac:dyDescent="0.25">
      <c r="A302"/>
      <c r="B302"/>
      <c r="C302"/>
      <c r="D302"/>
      <c r="E302"/>
      <c r="F302"/>
      <c r="G302"/>
      <c r="H302"/>
      <c r="I302"/>
      <c r="J302"/>
      <c r="K302"/>
      <c r="L302"/>
      <c r="M302"/>
      <c r="N302"/>
      <c r="O302"/>
      <c r="P302"/>
      <c r="R302"/>
      <c r="S302"/>
      <c r="T302"/>
      <c r="U302"/>
      <c r="V302"/>
      <c r="W302"/>
      <c r="X302"/>
      <c r="Y302"/>
      <c r="Z302"/>
      <c r="AA302"/>
      <c r="AB302"/>
      <c r="AC302"/>
      <c r="AD302"/>
      <c r="AE302"/>
      <c r="AF302"/>
      <c r="AG302"/>
      <c r="AH302"/>
      <c r="AI302"/>
      <c r="AM302"/>
      <c r="AO302"/>
    </row>
    <row r="303" spans="1:91" x14ac:dyDescent="0.25">
      <c r="A303"/>
      <c r="B303"/>
      <c r="C303"/>
      <c r="D303"/>
      <c r="E303"/>
      <c r="F303"/>
      <c r="G303"/>
      <c r="H303"/>
      <c r="I303"/>
      <c r="J303"/>
      <c r="K303"/>
      <c r="L303"/>
      <c r="M303"/>
      <c r="N303"/>
      <c r="O303"/>
      <c r="P303"/>
      <c r="R303"/>
      <c r="S303"/>
      <c r="T303"/>
      <c r="U303"/>
      <c r="V303"/>
      <c r="W303"/>
      <c r="X303"/>
      <c r="Y303"/>
      <c r="Z303"/>
      <c r="AA303"/>
      <c r="AB303"/>
      <c r="AC303"/>
      <c r="AD303"/>
      <c r="AE303"/>
      <c r="AF303"/>
      <c r="AG303"/>
      <c r="AH303"/>
      <c r="AI303"/>
      <c r="AM303"/>
      <c r="AO303"/>
    </row>
    <row r="304" spans="1:91" x14ac:dyDescent="0.25">
      <c r="A304"/>
      <c r="B304"/>
      <c r="C304"/>
      <c r="D304"/>
      <c r="E304"/>
      <c r="F304"/>
      <c r="G304"/>
      <c r="H304"/>
      <c r="I304"/>
      <c r="J304"/>
      <c r="K304"/>
      <c r="L304"/>
      <c r="M304"/>
      <c r="N304"/>
      <c r="O304"/>
      <c r="P304"/>
      <c r="R304"/>
      <c r="S304"/>
      <c r="T304"/>
      <c r="U304"/>
      <c r="V304"/>
      <c r="W304"/>
      <c r="X304"/>
      <c r="Y304"/>
      <c r="Z304"/>
      <c r="AA304"/>
      <c r="AB304"/>
      <c r="AC304"/>
      <c r="AD304"/>
      <c r="AE304"/>
      <c r="AF304"/>
      <c r="AG304"/>
      <c r="AH304"/>
      <c r="AI304"/>
      <c r="AM304"/>
      <c r="AO304"/>
    </row>
    <row r="305" spans="1:91" x14ac:dyDescent="0.25">
      <c r="A305"/>
      <c r="B305"/>
      <c r="C305"/>
      <c r="D305"/>
      <c r="E305"/>
      <c r="F305"/>
      <c r="G305"/>
      <c r="H305"/>
      <c r="I305"/>
      <c r="J305"/>
      <c r="K305"/>
      <c r="L305"/>
      <c r="M305"/>
      <c r="N305"/>
      <c r="O305"/>
      <c r="P305"/>
      <c r="R305"/>
      <c r="S305"/>
      <c r="T305"/>
      <c r="U305"/>
      <c r="V305"/>
      <c r="W305"/>
      <c r="X305"/>
      <c r="Y305"/>
      <c r="Z305"/>
      <c r="AA305"/>
      <c r="AB305"/>
      <c r="AC305"/>
      <c r="AD305"/>
      <c r="AE305"/>
      <c r="AF305"/>
      <c r="AG305"/>
      <c r="AH305"/>
      <c r="AI305"/>
      <c r="AM305"/>
      <c r="AO305"/>
    </row>
    <row r="306" spans="1:91" x14ac:dyDescent="0.25">
      <c r="A306"/>
      <c r="B306"/>
      <c r="C306"/>
      <c r="D306"/>
      <c r="E306"/>
      <c r="F306"/>
      <c r="G306"/>
      <c r="H306"/>
      <c r="I306"/>
      <c r="J306"/>
      <c r="K306"/>
      <c r="L306"/>
      <c r="M306"/>
      <c r="N306"/>
      <c r="O306"/>
      <c r="P306"/>
      <c r="R306"/>
      <c r="S306"/>
      <c r="T306"/>
      <c r="U306"/>
      <c r="V306"/>
      <c r="W306"/>
      <c r="X306"/>
      <c r="Y306"/>
      <c r="Z306"/>
      <c r="AA306"/>
      <c r="AB306"/>
      <c r="AC306"/>
      <c r="AD306"/>
      <c r="AE306"/>
      <c r="AF306"/>
      <c r="AG306"/>
      <c r="AH306"/>
      <c r="AI306"/>
      <c r="AM306"/>
      <c r="AO306"/>
    </row>
    <row r="307" spans="1:91" x14ac:dyDescent="0.25">
      <c r="A307"/>
      <c r="B307"/>
      <c r="C307"/>
      <c r="D307"/>
      <c r="E307"/>
      <c r="F307"/>
      <c r="G307"/>
      <c r="H307"/>
      <c r="I307"/>
      <c r="J307"/>
      <c r="K307"/>
      <c r="L307"/>
      <c r="M307"/>
      <c r="N307"/>
      <c r="O307"/>
      <c r="P307"/>
      <c r="R307"/>
      <c r="S307"/>
      <c r="T307"/>
      <c r="U307"/>
      <c r="V307"/>
      <c r="W307"/>
      <c r="X307"/>
      <c r="Y307"/>
      <c r="Z307"/>
      <c r="AA307"/>
      <c r="AB307"/>
      <c r="AC307"/>
      <c r="AD307"/>
      <c r="AE307"/>
      <c r="AF307"/>
      <c r="AG307"/>
      <c r="AH307"/>
      <c r="AI307"/>
      <c r="AM307"/>
      <c r="AO307"/>
    </row>
    <row r="308" spans="1:91" s="20" customFormat="1" x14ac:dyDescent="0.2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row>
    <row r="309" spans="1:91" x14ac:dyDescent="0.25">
      <c r="A309"/>
      <c r="B309"/>
      <c r="C309"/>
      <c r="D309"/>
      <c r="E309"/>
      <c r="F309"/>
      <c r="G309"/>
      <c r="H309"/>
      <c r="I309"/>
      <c r="J309"/>
      <c r="K309"/>
      <c r="L309"/>
      <c r="M309"/>
      <c r="N309"/>
      <c r="O309"/>
      <c r="P309"/>
      <c r="R309"/>
      <c r="S309"/>
      <c r="T309"/>
      <c r="U309"/>
      <c r="V309"/>
      <c r="W309"/>
      <c r="X309"/>
      <c r="Y309"/>
      <c r="Z309"/>
      <c r="AA309"/>
      <c r="AB309"/>
      <c r="AC309"/>
      <c r="AD309"/>
      <c r="AE309"/>
      <c r="AF309"/>
      <c r="AG309"/>
      <c r="AH309"/>
      <c r="AI309"/>
      <c r="AM309"/>
      <c r="AO309"/>
    </row>
    <row r="310" spans="1:91" x14ac:dyDescent="0.25">
      <c r="A310"/>
      <c r="B310"/>
      <c r="C310"/>
      <c r="D310"/>
      <c r="E310"/>
      <c r="F310"/>
      <c r="G310"/>
      <c r="H310"/>
      <c r="I310"/>
      <c r="J310"/>
      <c r="K310"/>
      <c r="L310"/>
      <c r="M310"/>
      <c r="N310"/>
      <c r="O310"/>
      <c r="P310"/>
      <c r="R310"/>
      <c r="S310"/>
      <c r="T310"/>
      <c r="U310"/>
      <c r="V310"/>
      <c r="W310"/>
      <c r="X310"/>
      <c r="Y310"/>
      <c r="Z310"/>
      <c r="AA310"/>
      <c r="AB310"/>
      <c r="AC310"/>
      <c r="AD310"/>
      <c r="AE310"/>
      <c r="AF310"/>
      <c r="AG310"/>
      <c r="AH310"/>
      <c r="AI310"/>
      <c r="AM310"/>
      <c r="AO310"/>
    </row>
    <row r="311" spans="1:91" x14ac:dyDescent="0.25">
      <c r="A311"/>
      <c r="B311"/>
      <c r="C311"/>
      <c r="D311"/>
      <c r="E311"/>
      <c r="F311"/>
      <c r="G311"/>
      <c r="H311"/>
      <c r="I311"/>
      <c r="J311"/>
      <c r="K311"/>
      <c r="L311"/>
      <c r="M311"/>
      <c r="N311"/>
      <c r="O311"/>
      <c r="P311"/>
      <c r="R311"/>
      <c r="S311"/>
      <c r="T311"/>
      <c r="U311"/>
      <c r="V311"/>
      <c r="W311"/>
      <c r="X311"/>
      <c r="Y311"/>
      <c r="Z311"/>
      <c r="AA311"/>
      <c r="AB311"/>
      <c r="AC311"/>
      <c r="AD311"/>
      <c r="AE311"/>
      <c r="AF311"/>
      <c r="AG311"/>
      <c r="AH311"/>
      <c r="AI311"/>
      <c r="AM311"/>
      <c r="AO311"/>
    </row>
    <row r="312" spans="1:91" x14ac:dyDescent="0.25">
      <c r="A312"/>
      <c r="B312"/>
      <c r="C312"/>
      <c r="D312"/>
      <c r="E312"/>
      <c r="F312"/>
      <c r="G312"/>
      <c r="H312"/>
      <c r="I312"/>
      <c r="J312"/>
      <c r="K312"/>
      <c r="L312"/>
      <c r="M312"/>
      <c r="N312"/>
      <c r="O312"/>
      <c r="P312"/>
      <c r="R312"/>
      <c r="S312"/>
      <c r="T312"/>
      <c r="U312"/>
      <c r="V312"/>
      <c r="W312"/>
      <c r="X312"/>
      <c r="Y312"/>
      <c r="Z312"/>
      <c r="AA312"/>
      <c r="AB312"/>
      <c r="AC312"/>
      <c r="AD312"/>
      <c r="AE312"/>
      <c r="AF312"/>
      <c r="AG312"/>
      <c r="AH312"/>
      <c r="AI312"/>
      <c r="AM312"/>
      <c r="AO312"/>
    </row>
    <row r="313" spans="1:91" x14ac:dyDescent="0.25">
      <c r="A313"/>
      <c r="B313"/>
      <c r="C313"/>
      <c r="D313"/>
      <c r="E313"/>
      <c r="F313"/>
      <c r="G313"/>
      <c r="H313"/>
      <c r="I313"/>
      <c r="J313"/>
      <c r="K313"/>
      <c r="L313"/>
      <c r="M313"/>
      <c r="N313"/>
      <c r="O313"/>
      <c r="P313"/>
      <c r="R313"/>
      <c r="S313"/>
      <c r="T313"/>
      <c r="U313"/>
      <c r="V313"/>
      <c r="W313"/>
      <c r="X313"/>
      <c r="Y313"/>
      <c r="Z313"/>
      <c r="AA313"/>
      <c r="AB313"/>
      <c r="AC313"/>
      <c r="AD313"/>
      <c r="AE313"/>
      <c r="AF313"/>
      <c r="AG313"/>
      <c r="AH313"/>
      <c r="AI313"/>
      <c r="AM313"/>
      <c r="AO313"/>
    </row>
    <row r="314" spans="1:91" s="20" customFormat="1" x14ac:dyDescent="0.2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row>
    <row r="315" spans="1:91" x14ac:dyDescent="0.25">
      <c r="A315"/>
      <c r="B315"/>
      <c r="C315"/>
      <c r="D315"/>
      <c r="E315"/>
      <c r="F315"/>
      <c r="G315"/>
      <c r="H315"/>
      <c r="I315"/>
      <c r="J315"/>
      <c r="K315"/>
      <c r="L315"/>
      <c r="M315"/>
      <c r="N315"/>
      <c r="O315"/>
      <c r="P315"/>
      <c r="R315"/>
      <c r="S315"/>
      <c r="T315"/>
      <c r="U315"/>
      <c r="V315"/>
      <c r="W315"/>
      <c r="X315"/>
      <c r="Y315"/>
      <c r="Z315"/>
      <c r="AA315"/>
      <c r="AB315"/>
      <c r="AC315"/>
      <c r="AD315"/>
      <c r="AE315"/>
      <c r="AF315"/>
      <c r="AG315"/>
      <c r="AH315"/>
      <c r="AI315"/>
      <c r="AM315"/>
      <c r="AO315"/>
    </row>
    <row r="316" spans="1:91" x14ac:dyDescent="0.25">
      <c r="A316"/>
      <c r="B316"/>
      <c r="C316"/>
      <c r="D316"/>
      <c r="E316"/>
      <c r="F316"/>
      <c r="G316"/>
      <c r="H316"/>
      <c r="I316"/>
      <c r="J316"/>
      <c r="K316"/>
      <c r="L316"/>
      <c r="M316"/>
      <c r="N316"/>
      <c r="O316"/>
      <c r="P316"/>
      <c r="R316"/>
      <c r="S316"/>
      <c r="T316"/>
      <c r="U316"/>
      <c r="V316"/>
      <c r="W316"/>
      <c r="X316"/>
      <c r="Y316"/>
      <c r="Z316"/>
      <c r="AA316"/>
      <c r="AB316"/>
      <c r="AC316"/>
      <c r="AD316"/>
      <c r="AE316"/>
      <c r="AF316"/>
      <c r="AG316"/>
      <c r="AH316"/>
      <c r="AI316"/>
      <c r="AM316"/>
      <c r="AO316"/>
    </row>
    <row r="317" spans="1:91" x14ac:dyDescent="0.25">
      <c r="A317"/>
      <c r="B317"/>
      <c r="C317"/>
      <c r="D317"/>
      <c r="E317"/>
      <c r="F317"/>
      <c r="G317"/>
      <c r="H317"/>
      <c r="I317"/>
      <c r="J317"/>
      <c r="K317"/>
      <c r="L317"/>
      <c r="M317"/>
      <c r="N317"/>
      <c r="O317"/>
      <c r="P317"/>
      <c r="R317"/>
      <c r="S317"/>
      <c r="T317"/>
      <c r="U317"/>
      <c r="V317"/>
      <c r="W317"/>
      <c r="X317"/>
      <c r="Y317"/>
      <c r="Z317"/>
      <c r="AA317"/>
      <c r="AB317"/>
      <c r="AC317"/>
      <c r="AD317"/>
      <c r="AE317"/>
      <c r="AF317"/>
      <c r="AG317"/>
      <c r="AH317"/>
      <c r="AI317"/>
      <c r="AM317"/>
      <c r="AO317"/>
    </row>
    <row r="318" spans="1:91" x14ac:dyDescent="0.25">
      <c r="A318"/>
      <c r="B318"/>
      <c r="C318"/>
      <c r="D318"/>
      <c r="E318"/>
      <c r="F318"/>
      <c r="G318"/>
      <c r="H318"/>
      <c r="I318"/>
      <c r="J318"/>
      <c r="K318"/>
      <c r="L318"/>
      <c r="M318"/>
      <c r="N318"/>
      <c r="O318"/>
      <c r="P318"/>
      <c r="R318"/>
      <c r="S318"/>
      <c r="T318"/>
      <c r="U318"/>
      <c r="V318"/>
      <c r="W318"/>
      <c r="X318"/>
      <c r="Y318"/>
      <c r="Z318"/>
      <c r="AA318"/>
      <c r="AB318"/>
      <c r="AC318"/>
      <c r="AD318"/>
      <c r="AE318"/>
      <c r="AF318"/>
      <c r="AG318"/>
      <c r="AH318"/>
      <c r="AI318"/>
      <c r="AM318"/>
      <c r="AO318"/>
    </row>
    <row r="319" spans="1:91" x14ac:dyDescent="0.25">
      <c r="A319"/>
      <c r="B319"/>
      <c r="C319"/>
      <c r="D319"/>
      <c r="E319"/>
      <c r="F319"/>
      <c r="G319"/>
      <c r="H319"/>
      <c r="I319"/>
      <c r="J319"/>
      <c r="K319"/>
      <c r="L319"/>
      <c r="M319"/>
      <c r="N319"/>
      <c r="O319"/>
      <c r="P319"/>
      <c r="R319"/>
      <c r="S319"/>
      <c r="T319"/>
      <c r="U319"/>
      <c r="V319"/>
      <c r="W319"/>
      <c r="X319"/>
      <c r="Y319"/>
      <c r="Z319"/>
      <c r="AA319"/>
      <c r="AB319"/>
      <c r="AC319"/>
      <c r="AD319"/>
      <c r="AE319"/>
      <c r="AF319"/>
      <c r="AG319"/>
      <c r="AH319"/>
      <c r="AI319"/>
      <c r="AM319"/>
      <c r="AO319"/>
    </row>
    <row r="320" spans="1:91" x14ac:dyDescent="0.25">
      <c r="A320"/>
      <c r="B320"/>
      <c r="C320"/>
      <c r="D320"/>
      <c r="E320"/>
      <c r="F320"/>
      <c r="G320"/>
      <c r="H320"/>
      <c r="I320"/>
      <c r="J320"/>
      <c r="K320"/>
      <c r="L320"/>
      <c r="M320"/>
      <c r="N320"/>
      <c r="O320"/>
      <c r="P320"/>
      <c r="R320"/>
      <c r="S320"/>
      <c r="T320"/>
      <c r="U320"/>
      <c r="V320"/>
      <c r="W320"/>
      <c r="X320"/>
      <c r="Y320"/>
      <c r="Z320"/>
      <c r="AA320"/>
      <c r="AB320"/>
      <c r="AC320"/>
      <c r="AD320"/>
      <c r="AE320"/>
      <c r="AF320"/>
      <c r="AG320"/>
      <c r="AH320"/>
      <c r="AI320"/>
      <c r="AM320"/>
      <c r="AO320"/>
    </row>
    <row r="321" spans="1:91" x14ac:dyDescent="0.25">
      <c r="A321"/>
      <c r="B321"/>
      <c r="C321"/>
      <c r="D321"/>
      <c r="E321"/>
      <c r="F321"/>
      <c r="G321"/>
      <c r="H321"/>
      <c r="I321"/>
      <c r="J321"/>
      <c r="K321"/>
      <c r="L321"/>
      <c r="M321"/>
      <c r="N321"/>
      <c r="O321"/>
      <c r="P321"/>
      <c r="R321"/>
      <c r="S321"/>
      <c r="T321"/>
      <c r="U321"/>
      <c r="V321"/>
      <c r="W321"/>
      <c r="X321"/>
      <c r="Y321"/>
      <c r="Z321"/>
      <c r="AA321"/>
      <c r="AB321"/>
      <c r="AC321"/>
      <c r="AD321"/>
      <c r="AE321"/>
      <c r="AF321"/>
      <c r="AG321"/>
      <c r="AH321"/>
      <c r="AI321"/>
      <c r="AM321"/>
      <c r="AO321"/>
    </row>
    <row r="322" spans="1:91" x14ac:dyDescent="0.25">
      <c r="A322"/>
      <c r="B322"/>
      <c r="C322"/>
      <c r="D322"/>
      <c r="E322"/>
      <c r="F322"/>
      <c r="G322"/>
      <c r="H322"/>
      <c r="I322"/>
      <c r="J322"/>
      <c r="K322"/>
      <c r="L322"/>
      <c r="M322"/>
      <c r="N322"/>
      <c r="O322"/>
      <c r="P322"/>
      <c r="R322"/>
      <c r="S322"/>
      <c r="T322"/>
      <c r="U322"/>
      <c r="V322"/>
      <c r="W322"/>
      <c r="X322"/>
      <c r="Y322"/>
      <c r="Z322"/>
      <c r="AA322"/>
      <c r="AB322"/>
      <c r="AC322"/>
      <c r="AD322"/>
      <c r="AE322"/>
      <c r="AF322"/>
      <c r="AG322"/>
      <c r="AH322"/>
      <c r="AI322"/>
      <c r="AM322"/>
      <c r="AO322"/>
    </row>
    <row r="323" spans="1:91" x14ac:dyDescent="0.25">
      <c r="A323"/>
      <c r="B323"/>
      <c r="C323"/>
      <c r="D323"/>
      <c r="E323"/>
      <c r="F323"/>
      <c r="G323"/>
      <c r="H323"/>
      <c r="I323"/>
      <c r="J323"/>
      <c r="K323"/>
      <c r="L323"/>
      <c r="M323"/>
      <c r="N323"/>
      <c r="O323"/>
      <c r="P323"/>
      <c r="R323"/>
      <c r="S323"/>
      <c r="T323"/>
      <c r="U323"/>
      <c r="V323"/>
      <c r="W323"/>
      <c r="X323"/>
      <c r="Y323"/>
      <c r="Z323"/>
      <c r="AA323"/>
      <c r="AB323"/>
      <c r="AC323"/>
      <c r="AD323"/>
      <c r="AE323"/>
      <c r="AF323"/>
      <c r="AG323"/>
      <c r="AH323"/>
      <c r="AI323"/>
      <c r="AM323"/>
      <c r="AO323"/>
    </row>
    <row r="324" spans="1:91" x14ac:dyDescent="0.25">
      <c r="A324"/>
      <c r="B324"/>
      <c r="C324"/>
      <c r="D324"/>
      <c r="E324"/>
      <c r="F324"/>
      <c r="G324"/>
      <c r="H324"/>
      <c r="I324"/>
      <c r="J324"/>
      <c r="K324"/>
      <c r="L324"/>
      <c r="M324"/>
      <c r="N324"/>
      <c r="O324"/>
      <c r="P324"/>
      <c r="R324"/>
      <c r="S324"/>
      <c r="T324"/>
      <c r="U324"/>
      <c r="V324"/>
      <c r="W324"/>
      <c r="X324"/>
      <c r="Y324"/>
      <c r="Z324"/>
      <c r="AA324"/>
      <c r="AB324"/>
      <c r="AC324"/>
      <c r="AD324"/>
      <c r="AE324"/>
      <c r="AF324"/>
      <c r="AG324"/>
      <c r="AH324"/>
      <c r="AI324"/>
      <c r="AM324"/>
      <c r="AO324"/>
    </row>
    <row r="325" spans="1:91" x14ac:dyDescent="0.25">
      <c r="A325"/>
      <c r="B325"/>
      <c r="C325"/>
      <c r="D325"/>
      <c r="E325"/>
      <c r="F325"/>
      <c r="G325"/>
      <c r="H325"/>
      <c r="I325"/>
      <c r="J325"/>
      <c r="K325"/>
      <c r="L325"/>
      <c r="M325"/>
      <c r="N325"/>
      <c r="O325"/>
      <c r="P325"/>
      <c r="R325"/>
      <c r="S325"/>
      <c r="T325"/>
      <c r="U325"/>
      <c r="V325"/>
      <c r="W325"/>
      <c r="X325"/>
      <c r="Y325"/>
      <c r="Z325"/>
      <c r="AA325"/>
      <c r="AB325"/>
      <c r="AC325"/>
      <c r="AD325"/>
      <c r="AE325"/>
      <c r="AF325"/>
      <c r="AG325"/>
      <c r="AH325"/>
      <c r="AI325"/>
      <c r="AM325"/>
      <c r="AO325"/>
    </row>
    <row r="326" spans="1:91" x14ac:dyDescent="0.25">
      <c r="A326"/>
      <c r="B326"/>
      <c r="C326"/>
      <c r="D326"/>
      <c r="E326"/>
      <c r="F326"/>
      <c r="G326"/>
      <c r="H326"/>
      <c r="I326"/>
      <c r="J326"/>
      <c r="K326"/>
      <c r="L326"/>
      <c r="M326"/>
      <c r="N326"/>
      <c r="O326"/>
      <c r="P326"/>
      <c r="R326"/>
      <c r="S326"/>
      <c r="T326"/>
      <c r="U326"/>
      <c r="V326"/>
      <c r="W326"/>
      <c r="X326"/>
      <c r="Y326"/>
      <c r="Z326"/>
      <c r="AA326"/>
      <c r="AB326"/>
      <c r="AC326"/>
      <c r="AD326"/>
      <c r="AE326"/>
      <c r="AF326"/>
      <c r="AG326"/>
      <c r="AH326"/>
      <c r="AI326"/>
      <c r="AM326"/>
      <c r="AO326"/>
    </row>
    <row r="327" spans="1:91" x14ac:dyDescent="0.25">
      <c r="A327"/>
      <c r="B327"/>
      <c r="C327"/>
      <c r="D327"/>
      <c r="E327"/>
      <c r="F327"/>
      <c r="G327"/>
      <c r="H327"/>
      <c r="I327"/>
      <c r="J327"/>
      <c r="K327"/>
      <c r="L327"/>
      <c r="M327"/>
      <c r="N327"/>
      <c r="O327"/>
      <c r="P327"/>
      <c r="R327"/>
      <c r="S327"/>
      <c r="T327"/>
      <c r="U327"/>
      <c r="V327"/>
      <c r="W327"/>
      <c r="X327"/>
      <c r="Y327"/>
      <c r="Z327"/>
      <c r="AA327"/>
      <c r="AB327"/>
      <c r="AC327"/>
      <c r="AD327"/>
      <c r="AE327"/>
      <c r="AF327"/>
      <c r="AG327"/>
      <c r="AH327"/>
      <c r="AI327"/>
      <c r="AM327"/>
      <c r="AO327"/>
    </row>
    <row r="328" spans="1:91" x14ac:dyDescent="0.25">
      <c r="A328"/>
      <c r="B328"/>
      <c r="C328"/>
      <c r="D328"/>
      <c r="E328"/>
      <c r="F328"/>
      <c r="G328"/>
      <c r="H328"/>
      <c r="I328"/>
      <c r="J328"/>
      <c r="K328"/>
      <c r="L328"/>
      <c r="M328"/>
      <c r="N328"/>
      <c r="O328"/>
      <c r="P328"/>
      <c r="R328"/>
      <c r="S328"/>
      <c r="T328"/>
      <c r="U328"/>
      <c r="V328"/>
      <c r="W328"/>
      <c r="X328"/>
      <c r="Y328"/>
      <c r="Z328"/>
      <c r="AA328"/>
      <c r="AB328"/>
      <c r="AC328"/>
      <c r="AD328"/>
      <c r="AE328"/>
      <c r="AF328"/>
      <c r="AG328"/>
      <c r="AH328"/>
      <c r="AI328"/>
      <c r="AM328"/>
      <c r="AO328"/>
    </row>
    <row r="329" spans="1:91" x14ac:dyDescent="0.25">
      <c r="A329"/>
      <c r="B329"/>
      <c r="C329"/>
      <c r="D329"/>
      <c r="E329"/>
      <c r="F329"/>
      <c r="G329"/>
      <c r="H329"/>
      <c r="I329"/>
      <c r="J329"/>
      <c r="K329"/>
      <c r="L329"/>
      <c r="M329"/>
      <c r="N329"/>
      <c r="O329"/>
      <c r="P329"/>
      <c r="R329"/>
      <c r="S329"/>
      <c r="T329"/>
      <c r="U329"/>
      <c r="V329"/>
      <c r="W329"/>
      <c r="X329"/>
      <c r="Y329"/>
      <c r="Z329"/>
      <c r="AA329"/>
      <c r="AB329"/>
      <c r="AC329"/>
      <c r="AD329"/>
      <c r="AE329"/>
      <c r="AF329"/>
      <c r="AG329"/>
      <c r="AH329"/>
      <c r="AI329"/>
      <c r="AM329"/>
      <c r="AO329"/>
    </row>
    <row r="330" spans="1:91" x14ac:dyDescent="0.25">
      <c r="A330"/>
      <c r="B330"/>
      <c r="C330"/>
      <c r="D330"/>
      <c r="E330"/>
      <c r="F330"/>
      <c r="G330"/>
      <c r="H330"/>
      <c r="I330"/>
      <c r="J330"/>
      <c r="K330"/>
      <c r="L330"/>
      <c r="M330"/>
      <c r="N330"/>
      <c r="O330"/>
      <c r="P330"/>
      <c r="R330"/>
      <c r="S330"/>
      <c r="T330"/>
      <c r="U330"/>
      <c r="V330"/>
      <c r="W330"/>
      <c r="X330"/>
      <c r="Y330"/>
      <c r="Z330"/>
      <c r="AA330"/>
      <c r="AB330"/>
      <c r="AC330"/>
      <c r="AD330"/>
      <c r="AE330"/>
      <c r="AF330"/>
      <c r="AG330"/>
      <c r="AH330"/>
      <c r="AI330"/>
      <c r="AM330"/>
      <c r="AO330"/>
    </row>
    <row r="331" spans="1:91" s="20" customFormat="1" x14ac:dyDescent="0.2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row>
    <row r="332" spans="1:91" x14ac:dyDescent="0.25">
      <c r="A332"/>
      <c r="B332"/>
      <c r="C332"/>
      <c r="D332"/>
      <c r="E332"/>
      <c r="F332"/>
      <c r="G332"/>
      <c r="H332"/>
      <c r="I332"/>
      <c r="J332"/>
      <c r="K332"/>
      <c r="L332"/>
      <c r="M332"/>
      <c r="N332"/>
      <c r="O332"/>
      <c r="P332"/>
      <c r="R332"/>
      <c r="S332"/>
      <c r="T332"/>
      <c r="U332"/>
      <c r="V332"/>
      <c r="W332"/>
      <c r="X332"/>
      <c r="Y332"/>
      <c r="Z332"/>
      <c r="AA332"/>
      <c r="AB332"/>
      <c r="AC332"/>
      <c r="AD332"/>
      <c r="AE332"/>
      <c r="AF332"/>
      <c r="AG332"/>
      <c r="AH332"/>
      <c r="AI332"/>
      <c r="AM332"/>
      <c r="AO332"/>
    </row>
    <row r="333" spans="1:91" x14ac:dyDescent="0.25">
      <c r="A333"/>
      <c r="B333"/>
      <c r="C333"/>
      <c r="D333"/>
      <c r="E333"/>
      <c r="F333"/>
      <c r="G333"/>
      <c r="H333"/>
      <c r="I333"/>
      <c r="J333"/>
      <c r="K333"/>
      <c r="L333"/>
      <c r="M333"/>
      <c r="N333"/>
      <c r="O333"/>
      <c r="P333"/>
      <c r="R333"/>
      <c r="S333"/>
      <c r="T333"/>
      <c r="U333"/>
      <c r="V333"/>
      <c r="W333"/>
      <c r="X333"/>
      <c r="Y333"/>
      <c r="Z333"/>
      <c r="AA333"/>
      <c r="AB333"/>
      <c r="AC333"/>
      <c r="AD333"/>
      <c r="AE333"/>
      <c r="AF333"/>
      <c r="AG333"/>
      <c r="AH333"/>
      <c r="AI333"/>
      <c r="AM333"/>
      <c r="AO333"/>
    </row>
    <row r="334" spans="1:91" x14ac:dyDescent="0.25">
      <c r="A334"/>
      <c r="B334"/>
      <c r="C334"/>
      <c r="D334"/>
      <c r="E334"/>
      <c r="F334"/>
      <c r="G334"/>
      <c r="H334"/>
      <c r="I334"/>
      <c r="J334"/>
      <c r="K334"/>
      <c r="L334"/>
      <c r="M334"/>
      <c r="N334"/>
      <c r="O334"/>
      <c r="P334"/>
      <c r="R334"/>
      <c r="S334"/>
      <c r="T334"/>
      <c r="U334"/>
      <c r="V334"/>
      <c r="W334"/>
      <c r="X334"/>
      <c r="Y334"/>
      <c r="Z334"/>
      <c r="AA334"/>
      <c r="AB334"/>
      <c r="AC334"/>
      <c r="AD334"/>
      <c r="AE334"/>
      <c r="AF334"/>
      <c r="AG334"/>
      <c r="AH334"/>
      <c r="AI334"/>
      <c r="AM334"/>
      <c r="AO334"/>
    </row>
    <row r="335" spans="1:91" s="20" customFormat="1" x14ac:dyDescent="0.2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row>
    <row r="336" spans="1:91" x14ac:dyDescent="0.25">
      <c r="A336"/>
      <c r="B336"/>
      <c r="C336"/>
      <c r="D336"/>
      <c r="E336"/>
      <c r="F336"/>
      <c r="G336"/>
      <c r="H336"/>
      <c r="I336"/>
      <c r="J336"/>
      <c r="K336"/>
      <c r="L336"/>
      <c r="M336"/>
      <c r="N336"/>
      <c r="O336"/>
      <c r="P336"/>
      <c r="R336"/>
      <c r="S336"/>
      <c r="T336"/>
      <c r="U336"/>
      <c r="V336"/>
      <c r="W336"/>
      <c r="X336"/>
      <c r="Y336"/>
      <c r="Z336"/>
      <c r="AA336"/>
      <c r="AB336"/>
      <c r="AC336"/>
      <c r="AD336"/>
      <c r="AE336"/>
      <c r="AF336"/>
      <c r="AG336"/>
      <c r="AH336"/>
      <c r="AI336"/>
      <c r="AM336"/>
      <c r="AO336"/>
    </row>
    <row r="337" spans="1:41" x14ac:dyDescent="0.25">
      <c r="A337"/>
      <c r="B337"/>
      <c r="C337"/>
      <c r="D337"/>
      <c r="E337"/>
      <c r="F337"/>
      <c r="G337"/>
      <c r="H337"/>
      <c r="I337"/>
      <c r="J337"/>
      <c r="K337"/>
      <c r="L337"/>
      <c r="M337"/>
      <c r="N337"/>
      <c r="O337"/>
      <c r="P337"/>
      <c r="R337"/>
      <c r="S337"/>
      <c r="T337"/>
      <c r="U337"/>
      <c r="V337"/>
      <c r="W337"/>
      <c r="X337"/>
      <c r="Y337"/>
      <c r="Z337"/>
      <c r="AA337"/>
      <c r="AB337"/>
      <c r="AC337"/>
      <c r="AD337"/>
      <c r="AE337"/>
      <c r="AF337"/>
      <c r="AG337"/>
      <c r="AH337"/>
      <c r="AI337"/>
      <c r="AM337"/>
      <c r="AO337"/>
    </row>
    <row r="338" spans="1:41" x14ac:dyDescent="0.25">
      <c r="A338"/>
      <c r="B338"/>
      <c r="C338"/>
      <c r="D338"/>
      <c r="E338"/>
      <c r="F338"/>
      <c r="G338"/>
      <c r="H338"/>
      <c r="I338"/>
      <c r="J338"/>
      <c r="K338"/>
      <c r="L338"/>
      <c r="M338"/>
      <c r="N338"/>
      <c r="O338"/>
      <c r="P338"/>
      <c r="R338"/>
      <c r="S338"/>
      <c r="T338"/>
      <c r="U338"/>
      <c r="V338"/>
      <c r="W338"/>
      <c r="X338"/>
      <c r="Y338"/>
      <c r="Z338"/>
      <c r="AA338"/>
      <c r="AB338"/>
      <c r="AC338"/>
      <c r="AD338"/>
      <c r="AE338"/>
      <c r="AF338"/>
      <c r="AG338"/>
      <c r="AH338"/>
      <c r="AI338"/>
      <c r="AM338"/>
      <c r="AO338"/>
    </row>
    <row r="339" spans="1:41" x14ac:dyDescent="0.25">
      <c r="A339"/>
      <c r="B339"/>
      <c r="C339"/>
      <c r="D339"/>
      <c r="E339"/>
      <c r="F339"/>
      <c r="G339"/>
      <c r="H339"/>
      <c r="I339"/>
      <c r="J339"/>
      <c r="K339"/>
      <c r="L339"/>
      <c r="M339"/>
      <c r="N339"/>
      <c r="O339"/>
      <c r="P339"/>
      <c r="R339"/>
      <c r="S339"/>
      <c r="T339"/>
      <c r="U339"/>
      <c r="V339"/>
      <c r="W339"/>
      <c r="X339"/>
      <c r="Y339"/>
      <c r="Z339"/>
      <c r="AA339"/>
      <c r="AB339"/>
      <c r="AC339"/>
      <c r="AD339"/>
      <c r="AE339"/>
      <c r="AF339"/>
      <c r="AG339"/>
      <c r="AH339"/>
      <c r="AI339"/>
      <c r="AM339"/>
      <c r="AO339"/>
    </row>
    <row r="340" spans="1:41" x14ac:dyDescent="0.25">
      <c r="A340"/>
      <c r="B340"/>
      <c r="C340"/>
      <c r="D340"/>
      <c r="E340"/>
      <c r="F340"/>
      <c r="G340"/>
      <c r="H340"/>
      <c r="I340"/>
      <c r="J340"/>
      <c r="K340"/>
      <c r="L340"/>
      <c r="M340"/>
      <c r="N340"/>
      <c r="O340"/>
      <c r="P340"/>
      <c r="R340"/>
      <c r="S340"/>
      <c r="T340"/>
      <c r="U340"/>
      <c r="V340"/>
      <c r="W340"/>
      <c r="X340"/>
      <c r="Y340"/>
      <c r="Z340"/>
      <c r="AA340"/>
      <c r="AB340"/>
      <c r="AC340"/>
      <c r="AD340"/>
      <c r="AE340"/>
      <c r="AF340"/>
      <c r="AG340"/>
      <c r="AH340"/>
      <c r="AI340"/>
      <c r="AM340"/>
      <c r="AO340"/>
    </row>
    <row r="341" spans="1:41" x14ac:dyDescent="0.25">
      <c r="A341"/>
      <c r="B341"/>
      <c r="C341"/>
      <c r="D341"/>
      <c r="E341"/>
      <c r="F341"/>
      <c r="G341"/>
      <c r="H341"/>
      <c r="I341"/>
      <c r="J341"/>
      <c r="K341"/>
      <c r="L341"/>
      <c r="M341"/>
      <c r="N341"/>
      <c r="O341"/>
      <c r="P341"/>
      <c r="R341"/>
      <c r="S341"/>
      <c r="T341"/>
      <c r="U341"/>
      <c r="V341"/>
      <c r="W341"/>
      <c r="X341"/>
      <c r="Y341"/>
      <c r="Z341"/>
      <c r="AA341"/>
      <c r="AB341"/>
      <c r="AC341"/>
      <c r="AD341"/>
      <c r="AE341"/>
      <c r="AF341"/>
      <c r="AG341"/>
      <c r="AH341"/>
      <c r="AI341"/>
      <c r="AM341"/>
      <c r="AO341"/>
    </row>
    <row r="342" spans="1:41" x14ac:dyDescent="0.25">
      <c r="A342"/>
      <c r="B342"/>
      <c r="C342"/>
      <c r="D342"/>
      <c r="E342"/>
      <c r="F342"/>
      <c r="G342"/>
      <c r="H342"/>
      <c r="I342"/>
      <c r="J342"/>
      <c r="K342"/>
      <c r="L342"/>
      <c r="M342"/>
      <c r="N342"/>
      <c r="O342"/>
      <c r="P342"/>
      <c r="R342"/>
      <c r="S342"/>
      <c r="T342"/>
      <c r="U342"/>
      <c r="V342"/>
      <c r="W342"/>
      <c r="X342"/>
      <c r="Y342"/>
      <c r="Z342"/>
      <c r="AA342"/>
      <c r="AB342"/>
      <c r="AC342"/>
      <c r="AD342"/>
      <c r="AE342"/>
      <c r="AF342"/>
      <c r="AG342"/>
      <c r="AH342"/>
      <c r="AI342"/>
      <c r="AM342"/>
      <c r="AO342"/>
    </row>
    <row r="343" spans="1:41" x14ac:dyDescent="0.25">
      <c r="A343"/>
      <c r="B343"/>
      <c r="C343"/>
      <c r="D343"/>
      <c r="E343"/>
      <c r="F343"/>
      <c r="G343"/>
      <c r="H343"/>
      <c r="I343"/>
      <c r="J343"/>
      <c r="K343"/>
      <c r="L343"/>
      <c r="M343"/>
      <c r="N343"/>
      <c r="O343"/>
      <c r="P343"/>
      <c r="R343"/>
      <c r="S343"/>
      <c r="T343"/>
      <c r="U343"/>
      <c r="V343"/>
      <c r="W343"/>
      <c r="X343"/>
      <c r="Y343"/>
      <c r="Z343"/>
      <c r="AA343"/>
      <c r="AB343"/>
      <c r="AC343"/>
      <c r="AD343"/>
      <c r="AE343"/>
      <c r="AF343"/>
      <c r="AG343"/>
      <c r="AH343"/>
      <c r="AI343"/>
      <c r="AM343"/>
      <c r="AO343"/>
    </row>
    <row r="344" spans="1:41" x14ac:dyDescent="0.25">
      <c r="A344"/>
      <c r="B344"/>
      <c r="C344"/>
      <c r="D344"/>
      <c r="E344"/>
      <c r="F344"/>
      <c r="G344"/>
      <c r="H344"/>
      <c r="I344"/>
      <c r="J344"/>
      <c r="K344"/>
      <c r="L344"/>
      <c r="M344"/>
      <c r="N344"/>
      <c r="O344"/>
      <c r="P344"/>
      <c r="R344"/>
      <c r="S344"/>
      <c r="T344"/>
      <c r="U344"/>
      <c r="V344"/>
      <c r="W344"/>
      <c r="X344"/>
      <c r="Y344"/>
      <c r="Z344"/>
      <c r="AA344"/>
      <c r="AB344"/>
      <c r="AC344"/>
      <c r="AD344"/>
      <c r="AE344"/>
      <c r="AF344"/>
      <c r="AG344"/>
      <c r="AH344"/>
      <c r="AI344"/>
      <c r="AM344"/>
      <c r="AO344"/>
    </row>
    <row r="345" spans="1:41" x14ac:dyDescent="0.25">
      <c r="A345"/>
      <c r="B345"/>
      <c r="C345"/>
      <c r="D345"/>
      <c r="E345"/>
      <c r="F345"/>
      <c r="G345"/>
      <c r="H345"/>
      <c r="I345"/>
      <c r="J345"/>
      <c r="K345"/>
      <c r="L345"/>
      <c r="M345"/>
      <c r="N345"/>
      <c r="O345"/>
      <c r="P345"/>
      <c r="R345"/>
      <c r="S345"/>
      <c r="T345"/>
      <c r="U345"/>
      <c r="V345"/>
      <c r="W345"/>
      <c r="X345"/>
      <c r="Y345"/>
      <c r="Z345"/>
      <c r="AA345"/>
      <c r="AB345"/>
      <c r="AC345"/>
      <c r="AD345"/>
      <c r="AE345"/>
      <c r="AF345"/>
      <c r="AG345"/>
      <c r="AH345"/>
      <c r="AI345"/>
      <c r="AM345"/>
      <c r="AO345"/>
    </row>
    <row r="346" spans="1:41" x14ac:dyDescent="0.25">
      <c r="A346"/>
      <c r="B346"/>
      <c r="C346"/>
      <c r="D346"/>
      <c r="E346"/>
      <c r="F346"/>
      <c r="G346"/>
      <c r="H346"/>
      <c r="I346"/>
      <c r="J346"/>
      <c r="K346"/>
      <c r="L346"/>
      <c r="M346"/>
      <c r="N346"/>
      <c r="O346"/>
      <c r="P346"/>
      <c r="R346"/>
      <c r="S346"/>
      <c r="T346"/>
      <c r="U346"/>
      <c r="V346"/>
      <c r="W346"/>
      <c r="X346"/>
      <c r="Y346"/>
      <c r="Z346"/>
      <c r="AA346"/>
      <c r="AB346"/>
      <c r="AC346"/>
      <c r="AD346"/>
      <c r="AE346"/>
      <c r="AF346"/>
      <c r="AG346"/>
      <c r="AH346"/>
      <c r="AI346"/>
      <c r="AM346"/>
      <c r="AO346"/>
    </row>
    <row r="347" spans="1:41" x14ac:dyDescent="0.25">
      <c r="A347"/>
      <c r="B347"/>
      <c r="C347"/>
      <c r="D347"/>
      <c r="E347"/>
      <c r="F347"/>
      <c r="G347"/>
      <c r="H347"/>
      <c r="I347"/>
      <c r="J347"/>
      <c r="K347"/>
      <c r="L347"/>
      <c r="M347"/>
      <c r="N347"/>
      <c r="O347"/>
      <c r="P347"/>
      <c r="R347"/>
      <c r="S347"/>
      <c r="T347"/>
      <c r="U347"/>
      <c r="V347"/>
      <c r="W347"/>
      <c r="X347"/>
      <c r="Y347"/>
      <c r="Z347"/>
      <c r="AA347"/>
      <c r="AB347"/>
      <c r="AC347"/>
      <c r="AD347"/>
      <c r="AE347"/>
      <c r="AF347"/>
      <c r="AG347"/>
      <c r="AH347"/>
      <c r="AI347"/>
      <c r="AM347"/>
      <c r="AO347"/>
    </row>
    <row r="348" spans="1:41" x14ac:dyDescent="0.25">
      <c r="A348"/>
      <c r="B348"/>
      <c r="C348"/>
      <c r="D348"/>
      <c r="E348"/>
      <c r="F348"/>
      <c r="G348"/>
      <c r="H348"/>
      <c r="I348"/>
      <c r="J348"/>
      <c r="K348"/>
      <c r="L348"/>
      <c r="M348"/>
      <c r="N348"/>
      <c r="O348"/>
      <c r="P348"/>
      <c r="R348"/>
      <c r="S348"/>
      <c r="T348"/>
      <c r="U348"/>
      <c r="V348"/>
      <c r="W348"/>
      <c r="X348"/>
      <c r="Y348"/>
      <c r="Z348"/>
      <c r="AA348"/>
      <c r="AB348"/>
      <c r="AC348"/>
      <c r="AD348"/>
      <c r="AE348"/>
      <c r="AF348"/>
      <c r="AG348"/>
      <c r="AH348"/>
      <c r="AI348"/>
      <c r="AM348"/>
      <c r="AO348"/>
    </row>
    <row r="349" spans="1:41" x14ac:dyDescent="0.25">
      <c r="A349"/>
      <c r="B349"/>
      <c r="C349"/>
      <c r="D349"/>
      <c r="E349"/>
      <c r="F349"/>
      <c r="G349"/>
      <c r="H349"/>
      <c r="I349"/>
      <c r="J349"/>
      <c r="K349"/>
      <c r="L349"/>
      <c r="M349"/>
      <c r="N349"/>
      <c r="O349"/>
      <c r="P349"/>
      <c r="R349"/>
      <c r="S349"/>
      <c r="T349"/>
      <c r="U349"/>
      <c r="V349"/>
      <c r="W349"/>
      <c r="X349"/>
      <c r="Y349"/>
      <c r="Z349"/>
      <c r="AA349"/>
      <c r="AB349"/>
      <c r="AC349"/>
      <c r="AD349"/>
      <c r="AE349"/>
      <c r="AF349"/>
      <c r="AG349"/>
      <c r="AH349"/>
      <c r="AI349"/>
      <c r="AM349"/>
      <c r="AO349"/>
    </row>
    <row r="350" spans="1:41" x14ac:dyDescent="0.25">
      <c r="A350"/>
      <c r="B350"/>
      <c r="C350"/>
      <c r="D350"/>
      <c r="E350"/>
      <c r="F350"/>
      <c r="G350"/>
      <c r="H350"/>
      <c r="I350"/>
      <c r="J350"/>
      <c r="K350"/>
      <c r="L350"/>
      <c r="M350"/>
      <c r="N350"/>
      <c r="O350"/>
      <c r="P350"/>
      <c r="R350"/>
      <c r="S350"/>
      <c r="T350"/>
      <c r="U350"/>
      <c r="V350"/>
      <c r="W350"/>
      <c r="X350"/>
      <c r="Y350"/>
      <c r="Z350"/>
      <c r="AA350"/>
      <c r="AB350"/>
      <c r="AC350"/>
      <c r="AD350"/>
      <c r="AE350"/>
      <c r="AF350"/>
      <c r="AG350"/>
      <c r="AH350"/>
      <c r="AI350"/>
      <c r="AM350"/>
      <c r="AO350"/>
    </row>
    <row r="351" spans="1:41" x14ac:dyDescent="0.25">
      <c r="A351"/>
      <c r="B351"/>
      <c r="C351"/>
      <c r="D351"/>
      <c r="E351"/>
      <c r="F351"/>
      <c r="G351"/>
      <c r="H351"/>
      <c r="I351"/>
      <c r="J351"/>
      <c r="K351"/>
      <c r="L351"/>
      <c r="M351"/>
      <c r="N351"/>
      <c r="O351"/>
      <c r="P351"/>
      <c r="R351"/>
      <c r="S351"/>
      <c r="T351"/>
      <c r="U351"/>
      <c r="V351"/>
      <c r="W351"/>
      <c r="X351"/>
      <c r="Y351"/>
      <c r="Z351"/>
      <c r="AA351"/>
      <c r="AB351"/>
      <c r="AC351"/>
      <c r="AD351"/>
      <c r="AE351"/>
      <c r="AF351"/>
      <c r="AG351"/>
      <c r="AH351"/>
      <c r="AI351"/>
      <c r="AM351"/>
      <c r="AO351"/>
    </row>
    <row r="352" spans="1:41" x14ac:dyDescent="0.25">
      <c r="A352"/>
      <c r="B352"/>
      <c r="C352"/>
      <c r="D352"/>
      <c r="E352"/>
      <c r="F352"/>
      <c r="G352"/>
      <c r="H352"/>
      <c r="I352"/>
      <c r="J352"/>
      <c r="K352"/>
      <c r="L352"/>
      <c r="M352"/>
      <c r="N352"/>
      <c r="O352"/>
      <c r="P352"/>
      <c r="R352"/>
      <c r="S352"/>
      <c r="T352"/>
      <c r="U352"/>
      <c r="V352"/>
      <c r="W352"/>
      <c r="X352"/>
      <c r="Y352"/>
      <c r="Z352"/>
      <c r="AA352"/>
      <c r="AB352"/>
      <c r="AC352"/>
      <c r="AD352"/>
      <c r="AE352"/>
      <c r="AF352"/>
      <c r="AG352"/>
      <c r="AH352"/>
      <c r="AI352"/>
      <c r="AM352"/>
      <c r="AO352"/>
    </row>
    <row r="353" spans="1:41" x14ac:dyDescent="0.25">
      <c r="A353"/>
      <c r="B353"/>
      <c r="C353"/>
      <c r="D353"/>
      <c r="E353"/>
      <c r="F353"/>
      <c r="G353"/>
      <c r="H353"/>
      <c r="I353"/>
      <c r="J353"/>
      <c r="K353"/>
      <c r="L353"/>
      <c r="M353"/>
      <c r="N353"/>
      <c r="O353"/>
      <c r="P353"/>
      <c r="R353"/>
      <c r="S353"/>
      <c r="T353"/>
      <c r="U353"/>
      <c r="V353"/>
      <c r="W353"/>
      <c r="X353"/>
      <c r="Y353"/>
      <c r="Z353"/>
      <c r="AA353"/>
      <c r="AB353"/>
      <c r="AC353"/>
      <c r="AD353"/>
      <c r="AE353"/>
      <c r="AF353"/>
      <c r="AG353"/>
      <c r="AH353"/>
      <c r="AI353"/>
      <c r="AM353"/>
      <c r="AO353"/>
    </row>
    <row r="354" spans="1:41" x14ac:dyDescent="0.25">
      <c r="A354"/>
      <c r="B354"/>
      <c r="C354"/>
      <c r="D354"/>
      <c r="E354"/>
      <c r="F354"/>
      <c r="G354"/>
      <c r="H354"/>
      <c r="I354"/>
      <c r="J354"/>
      <c r="K354"/>
      <c r="L354"/>
      <c r="M354"/>
      <c r="N354"/>
      <c r="O354"/>
      <c r="P354"/>
      <c r="R354"/>
      <c r="S354"/>
      <c r="T354"/>
      <c r="U354"/>
      <c r="V354"/>
      <c r="W354"/>
      <c r="X354"/>
      <c r="Y354"/>
      <c r="Z354"/>
      <c r="AA354"/>
      <c r="AB354"/>
      <c r="AC354"/>
      <c r="AD354"/>
      <c r="AE354"/>
      <c r="AF354"/>
      <c r="AG354"/>
      <c r="AH354"/>
      <c r="AI354"/>
      <c r="AM354"/>
      <c r="AO354"/>
    </row>
    <row r="355" spans="1:41" x14ac:dyDescent="0.25">
      <c r="A355"/>
      <c r="B355"/>
      <c r="C355"/>
      <c r="D355"/>
      <c r="E355"/>
      <c r="F355"/>
      <c r="G355"/>
      <c r="H355"/>
      <c r="I355"/>
      <c r="J355"/>
      <c r="K355"/>
      <c r="L355"/>
      <c r="M355"/>
      <c r="N355"/>
      <c r="O355"/>
      <c r="P355"/>
      <c r="R355"/>
      <c r="S355"/>
      <c r="T355"/>
      <c r="U355"/>
      <c r="V355"/>
      <c r="W355"/>
      <c r="X355"/>
      <c r="Y355"/>
      <c r="Z355"/>
      <c r="AA355"/>
      <c r="AB355"/>
      <c r="AC355"/>
      <c r="AD355"/>
      <c r="AE355"/>
      <c r="AF355"/>
      <c r="AG355"/>
      <c r="AH355"/>
      <c r="AI355"/>
      <c r="AM355"/>
      <c r="AO355"/>
    </row>
    <row r="356" spans="1:41" x14ac:dyDescent="0.25">
      <c r="A356"/>
      <c r="B356"/>
      <c r="C356"/>
      <c r="D356"/>
      <c r="E356"/>
      <c r="F356"/>
      <c r="G356"/>
      <c r="H356"/>
      <c r="I356"/>
      <c r="J356"/>
      <c r="K356"/>
      <c r="L356"/>
      <c r="M356"/>
      <c r="N356"/>
      <c r="O356"/>
      <c r="P356"/>
      <c r="R356"/>
      <c r="S356"/>
      <c r="T356"/>
      <c r="U356"/>
      <c r="V356"/>
      <c r="W356"/>
      <c r="X356"/>
      <c r="Y356"/>
      <c r="Z356"/>
      <c r="AA356"/>
      <c r="AB356"/>
      <c r="AC356"/>
      <c r="AD356"/>
      <c r="AE356"/>
      <c r="AF356"/>
      <c r="AG356"/>
      <c r="AH356"/>
      <c r="AI356"/>
      <c r="AM356"/>
      <c r="AO356"/>
    </row>
  </sheetData>
  <autoFilter ref="A12:AG351">
    <sortState ref="A13:AG347">
      <sortCondition ref="AG13:AG247"/>
      <sortCondition ref="AD13:AD247"/>
    </sortState>
  </autoFilter>
  <sortState ref="A13:AN269">
    <sortCondition ref="AG13:AG269"/>
    <sortCondition ref="AD13:AD269"/>
  </sortState>
  <mergeCells count="1">
    <mergeCell ref="A11:P11"/>
  </mergeCells>
  <conditionalFormatting sqref="W11:W12 W357:X1048576 W13:X251">
    <cfRule type="cellIs" dxfId="10" priority="422" operator="equal">
      <formula>"Y"</formula>
    </cfRule>
  </conditionalFormatting>
  <conditionalFormatting sqref="X357:X1048576 X13:X251">
    <cfRule type="cellIs" dxfId="9" priority="405" operator="greaterThan">
      <formula>1</formula>
    </cfRule>
  </conditionalFormatting>
  <conditionalFormatting sqref="X357:X1048576 X12:X251">
    <cfRule type="cellIs" dxfId="8" priority="402" operator="equal">
      <formula>0</formula>
    </cfRule>
  </conditionalFormatting>
  <conditionalFormatting sqref="A13:S251">
    <cfRule type="expression" dxfId="7" priority="396" stopIfTrue="1">
      <formula>$P13&gt;0</formula>
    </cfRule>
    <cfRule type="expression" dxfId="6" priority="397" stopIfTrue="1">
      <formula>$O13&gt;0</formula>
    </cfRule>
  </conditionalFormatting>
  <pageMargins left="0.7" right="0.7" top="0.75" bottom="0.75" header="0.3" footer="0.3"/>
  <pageSetup scale="1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1]!DailyMorningStuff_Runs">
                <anchor moveWithCells="1" sizeWithCells="1">
                  <from>
                    <xdr:col>24</xdr:col>
                    <xdr:colOff>552450</xdr:colOff>
                    <xdr:row>2</xdr:row>
                    <xdr:rowOff>38100</xdr:rowOff>
                  </from>
                  <to>
                    <xdr:col>26</xdr:col>
                    <xdr:colOff>466725</xdr:colOff>
                    <xdr:row>4</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98" stopIfTrue="1" id="{07B64F47-9FD1-48B1-84DC-90BBCF0B8697}">
            <xm:f>IF($AG13="EC",OR($N13&gt;Variables!$C$2,$N13&lt;Variables!$C$5),OR($N13&gt;Variables!$D$2,$N13&lt;Variables!$D$5))</xm:f>
            <x14:dxf>
              <fill>
                <patternFill>
                  <bgColor theme="5" tint="0.79998168889431442"/>
                </patternFill>
              </fill>
            </x14:dxf>
          </x14:cfRule>
          <xm:sqref>A13:S251</xm:sqref>
        </x14:conditionalFormatting>
        <x14:conditionalFormatting xmlns:xm="http://schemas.microsoft.com/office/excel/2006/main">
          <x14:cfRule type="expression" priority="81" stopIfTrue="1" id="{44578D0A-3CE8-4388-A6D0-8700858490EC}">
            <xm:f>IF($AG13="EC",OR($N13&gt;Variables!#REF!,$N13&lt;Variables!#REF!),OR($N13&gt;Variables!#REF!,$N13&lt;Variables!#REF!))</xm:f>
            <x14:dxf>
              <fill>
                <patternFill>
                  <bgColor theme="5" tint="0.79998168889431442"/>
                </patternFill>
              </fill>
            </x14:dxf>
          </x14:cfRule>
          <xm:sqref>A13:S251</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'Redmine List Values'!$A$2:$A$7</xm:f>
          </x14:formula1>
          <xm:sqref>AK13:AK251</xm:sqref>
        </x14:dataValidation>
        <x14:dataValidation type="list" allowBlank="1" showInputMessage="1" showErrorMessage="1">
          <x14:formula1>
            <xm:f>'Redmine List Values'!$C$2:$C$15</xm:f>
          </x14:formula1>
          <xm:sqref>AL13:AL251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F57"/>
  <sheetViews>
    <sheetView topLeftCell="A2" zoomScaleNormal="100" workbookViewId="0">
      <selection activeCell="A2" sqref="A2"/>
    </sheetView>
  </sheetViews>
  <sheetFormatPr defaultRowHeight="15" x14ac:dyDescent="0.25"/>
  <cols>
    <col min="1" max="1" width="18.28515625" style="8" bestFit="1" customWidth="1"/>
    <col min="2" max="2" width="13.85546875" customWidth="1"/>
    <col min="3" max="3" width="7" customWidth="1"/>
    <col min="4" max="4" width="12.85546875" style="113" customWidth="1"/>
    <col min="5" max="5" width="29.42578125" style="113" customWidth="1"/>
    <col min="6" max="6" width="5.7109375" style="113" customWidth="1"/>
    <col min="7" max="7" width="5.85546875" style="113" customWidth="1"/>
    <col min="8" max="8" width="7.85546875" style="113" customWidth="1"/>
    <col min="9" max="9" width="9" style="113" customWidth="1"/>
    <col min="10" max="10" width="11.5703125" style="113" hidden="1" customWidth="1"/>
    <col min="11" max="11" width="9.140625" style="113" customWidth="1"/>
    <col min="12" max="12" width="4.85546875" style="113" customWidth="1"/>
    <col min="13" max="13" width="7.85546875" style="2" customWidth="1"/>
    <col min="14" max="14" width="16" style="112" customWidth="1"/>
    <col min="15" max="15" width="4.42578125" style="168" customWidth="1"/>
    <col min="16" max="16" width="30.42578125" style="113" customWidth="1"/>
    <col min="17" max="17" width="5" hidden="1" customWidth="1"/>
    <col min="18" max="18" width="5.5703125" style="75" customWidth="1"/>
    <col min="19" max="19" width="5.5703125" style="82" customWidth="1"/>
    <col min="20" max="20" width="6" style="72" customWidth="1"/>
    <col min="21" max="21" width="5.140625" customWidth="1"/>
    <col min="22" max="22" width="18.5703125" style="43" customWidth="1"/>
    <col min="23" max="23" width="5.28515625" customWidth="1"/>
    <col min="24" max="24" width="6.5703125" style="2" hidden="1" customWidth="1"/>
    <col min="25" max="25" width="5" customWidth="1"/>
    <col min="26" max="26" width="5" style="157" customWidth="1"/>
    <col min="27" max="27" width="5.28515625" customWidth="1"/>
    <col min="28" max="28" width="5.5703125" customWidth="1"/>
    <col min="29" max="29" width="5.28515625" style="115" customWidth="1"/>
    <col min="30" max="30" width="6.7109375" customWidth="1"/>
    <col min="31" max="31" width="9.140625" style="142"/>
  </cols>
  <sheetData>
    <row r="1" spans="1:32" s="20" customFormat="1" ht="15.75" hidden="1" thickBot="1" x14ac:dyDescent="0.3">
      <c r="A1" s="8"/>
      <c r="D1" s="113"/>
      <c r="E1" s="113"/>
      <c r="F1" s="113"/>
      <c r="G1" s="113"/>
      <c r="H1" s="113"/>
      <c r="I1" s="113"/>
      <c r="J1" s="113"/>
      <c r="K1" s="113"/>
      <c r="L1" s="113"/>
      <c r="M1" s="2"/>
      <c r="N1" s="112"/>
      <c r="O1" s="168"/>
      <c r="P1" s="113"/>
      <c r="R1" s="75"/>
      <c r="S1" s="82"/>
      <c r="T1" s="72"/>
      <c r="V1" s="43"/>
      <c r="X1" s="2"/>
      <c r="Z1" s="157"/>
      <c r="AC1" s="115"/>
      <c r="AE1" s="142"/>
    </row>
    <row r="2" spans="1:32" s="20" customFormat="1" x14ac:dyDescent="0.25">
      <c r="A2" s="8"/>
      <c r="D2" s="113"/>
      <c r="E2" s="113"/>
      <c r="F2" s="113"/>
      <c r="G2" s="113"/>
      <c r="H2" s="113"/>
      <c r="I2" s="113"/>
      <c r="J2" s="113"/>
      <c r="K2" s="113"/>
      <c r="L2" s="124" t="s">
        <v>80</v>
      </c>
      <c r="M2" s="108"/>
      <c r="N2" s="125"/>
      <c r="O2" s="222">
        <f>COUNTIF($O$7:$O$243,"=Y")</f>
        <v>11</v>
      </c>
      <c r="P2" s="110"/>
      <c r="R2" s="75"/>
      <c r="S2" s="82"/>
      <c r="T2" s="72"/>
      <c r="V2" s="43"/>
      <c r="X2" s="2"/>
      <c r="Z2" s="157"/>
      <c r="AC2" s="116"/>
      <c r="AE2" s="142"/>
    </row>
    <row r="3" spans="1:32" s="20" customFormat="1" ht="15.75" thickBot="1" x14ac:dyDescent="0.3">
      <c r="A3" s="8"/>
      <c r="D3" s="113"/>
      <c r="E3" s="113"/>
      <c r="F3" s="113"/>
      <c r="G3" s="113"/>
      <c r="H3" s="113"/>
      <c r="I3" s="113"/>
      <c r="J3" s="113"/>
      <c r="K3" s="113"/>
      <c r="L3" s="126" t="s">
        <v>81</v>
      </c>
      <c r="M3" s="109"/>
      <c r="N3" s="127"/>
      <c r="O3" s="223">
        <f>COUNTA($O$7:$O$243)-O2</f>
        <v>34</v>
      </c>
      <c r="P3" s="110"/>
      <c r="R3" s="75"/>
      <c r="S3" s="82"/>
      <c r="T3" s="72"/>
      <c r="V3" s="43"/>
      <c r="X3" s="2"/>
      <c r="Z3" s="157"/>
      <c r="AC3" s="116"/>
      <c r="AE3" s="142"/>
    </row>
    <row r="4" spans="1:32" s="20" customFormat="1" x14ac:dyDescent="0.25">
      <c r="A4" s="8"/>
      <c r="D4" s="113"/>
      <c r="E4" s="113"/>
      <c r="F4" s="113"/>
      <c r="G4" s="113"/>
      <c r="H4" s="113"/>
      <c r="I4" s="113"/>
      <c r="J4" s="113"/>
      <c r="K4" s="113"/>
      <c r="L4" s="113"/>
      <c r="M4" s="2"/>
      <c r="N4" s="112"/>
      <c r="O4" s="196"/>
      <c r="P4" s="113"/>
      <c r="R4" s="75"/>
      <c r="S4" s="82"/>
      <c r="T4" s="72"/>
      <c r="V4" s="43"/>
      <c r="X4" s="2"/>
      <c r="Z4" s="157"/>
      <c r="AC4" s="116"/>
      <c r="AE4" s="142"/>
    </row>
    <row r="5" spans="1:32" s="10" customFormat="1" ht="15" customHeight="1" x14ac:dyDescent="0.25">
      <c r="A5" s="225" t="str">
        <f>"Eagle P3 Braking Events - "&amp;TEXT(Variables!$A$2,"YYYY-mm-dd")</f>
        <v>Eagle P3 Braking Events - 2017-10-05</v>
      </c>
      <c r="B5" s="225"/>
      <c r="C5" s="225"/>
      <c r="D5" s="225"/>
      <c r="E5" s="225"/>
      <c r="F5" s="225"/>
      <c r="G5" s="225"/>
      <c r="H5" s="225"/>
      <c r="I5" s="225"/>
      <c r="J5" s="225"/>
      <c r="K5" s="225"/>
      <c r="L5" s="225"/>
      <c r="M5" s="225"/>
      <c r="N5" s="225"/>
      <c r="O5" s="225"/>
      <c r="P5" s="128"/>
      <c r="R5" s="80"/>
      <c r="S5" s="83"/>
      <c r="T5" s="85"/>
      <c r="V5" s="44"/>
      <c r="X5" s="180"/>
      <c r="AC5" s="117"/>
      <c r="AE5" s="144"/>
    </row>
    <row r="6" spans="1:32" s="107" customFormat="1" ht="69.75" customHeight="1" x14ac:dyDescent="0.2">
      <c r="A6" s="97" t="s">
        <v>38</v>
      </c>
      <c r="B6" s="98" t="s">
        <v>37</v>
      </c>
      <c r="C6" s="98" t="s">
        <v>36</v>
      </c>
      <c r="D6" s="114" t="s">
        <v>35</v>
      </c>
      <c r="E6" s="114" t="s">
        <v>34</v>
      </c>
      <c r="F6" s="114" t="s">
        <v>33</v>
      </c>
      <c r="G6" s="114" t="s">
        <v>32</v>
      </c>
      <c r="H6" s="114" t="s">
        <v>31</v>
      </c>
      <c r="I6" s="114" t="s">
        <v>147</v>
      </c>
      <c r="J6" s="114" t="s">
        <v>30</v>
      </c>
      <c r="K6" s="114" t="s">
        <v>29</v>
      </c>
      <c r="L6" s="114" t="s">
        <v>28</v>
      </c>
      <c r="M6" s="99" t="s">
        <v>148</v>
      </c>
      <c r="N6" s="129" t="s">
        <v>47</v>
      </c>
      <c r="O6" s="175" t="s">
        <v>27</v>
      </c>
      <c r="P6" s="114" t="s">
        <v>24</v>
      </c>
      <c r="Q6" s="100"/>
      <c r="R6" s="101" t="s">
        <v>89</v>
      </c>
      <c r="S6" s="102" t="s">
        <v>55</v>
      </c>
      <c r="T6" s="103" t="s">
        <v>88</v>
      </c>
      <c r="U6" s="98" t="s">
        <v>83</v>
      </c>
      <c r="V6" s="104" t="s">
        <v>84</v>
      </c>
      <c r="W6" s="100" t="s">
        <v>354</v>
      </c>
      <c r="X6" s="181" t="s">
        <v>347</v>
      </c>
      <c r="Y6" s="105" t="s">
        <v>141</v>
      </c>
      <c r="Z6" s="158" t="s">
        <v>142</v>
      </c>
      <c r="AA6" s="106" t="s">
        <v>115</v>
      </c>
      <c r="AB6" s="106" t="s">
        <v>143</v>
      </c>
      <c r="AC6" s="118" t="s">
        <v>167</v>
      </c>
      <c r="AD6" s="107" t="s">
        <v>184</v>
      </c>
      <c r="AE6" s="143" t="s">
        <v>189</v>
      </c>
    </row>
    <row r="7" spans="1:32" s="1" customFormat="1" x14ac:dyDescent="0.25">
      <c r="A7" s="31">
        <v>43013.758958333332</v>
      </c>
      <c r="B7" s="30" t="s">
        <v>502</v>
      </c>
      <c r="C7" s="30" t="s">
        <v>614</v>
      </c>
      <c r="D7" s="30" t="s">
        <v>49</v>
      </c>
      <c r="E7" s="30" t="s">
        <v>185</v>
      </c>
      <c r="F7" s="42">
        <v>0</v>
      </c>
      <c r="G7" s="42">
        <v>163</v>
      </c>
      <c r="H7" s="42">
        <v>31007</v>
      </c>
      <c r="I7" s="42">
        <v>30842</v>
      </c>
      <c r="J7" s="30" t="s">
        <v>186</v>
      </c>
      <c r="K7" s="42">
        <v>30970</v>
      </c>
      <c r="L7" s="131" t="s">
        <v>51</v>
      </c>
      <c r="M7" s="132">
        <f t="shared" ref="M7:M51" si="0">CONVERT((I7-K7)/10000,"mi","ft")*IF(L7="Increasing Mileposts (1)",-1,1)</f>
        <v>-67.584000000000003</v>
      </c>
      <c r="N7" s="133" t="str">
        <f>VLOOKUP(C7,'Trips&amp;Operators'!$C$1:$G$99911,5,FALSE)</f>
        <v>STEWART MICHAEL</v>
      </c>
      <c r="O7" s="176" t="s">
        <v>178</v>
      </c>
      <c r="P7" s="134" t="s">
        <v>1009</v>
      </c>
      <c r="Q7" s="30"/>
      <c r="R7" s="81" t="str">
        <f>VLOOKUP(C7,'Train Runs'!$A$13:$AE$10010,31,0)</f>
        <v>aws s3 cp s3://rtdc.mdm.uploadarchive.raw/RTDC4027/ "%USERPROFILE%\AppData\Local\Temp\OnboardLogs"\RTDC4027\2017-10-05 --exclude "*" --recursive --include "*20171005*" &amp; "%USERPROFILE%\Documents\GitHub\mrs-test-scripts\Headless Mode &amp; Sideloading\WalkAndUnGZ.bat" "%USERPROFILE%\AppData\Local\Temp\OnboardLogs"\RTDC4027\2017-10-05 &amp; aws s3 cp s3://rtdc.mdm.uploadarchive.raw/RTDC4027/ "%USERPROFILE%\AppData\Local\Temp\OnboardLogs"\RTDC4027\2017-10-06 --exclude "*" --recursive --include "*20171006*" &amp; "%USERPROFILE%\Documents\GitHub\mrs-test-scripts\Headless Mode &amp; Sideloading\WalkAndUnGZ.bat" "%USERPROFILE%\AppData\Local\Temp\OnboardLogs"\RTDC4027\2017-10-06</v>
      </c>
      <c r="S7" s="84" t="str">
        <f>VLOOKUP(C7,'Train Runs'!$A$13:$AE$10010,22,0)</f>
        <v>https://d0f6bd738d7f1b3e5a7ca70fe4ff75f0.us-east-1.aws.found.io/app/kibana#/discover/Steve-Slow-Train-Analysis-(2080s-and-2083s)?_g=(refreshInterval:(display:Off,pause:!f,section:0,value:0),time:(from:'2017-10-05T16:35:53-0600',mode:absolute,to:'2017-10-05T19:26:08-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4027%22')),sort:!(Time.ISO8601,asc))</v>
      </c>
      <c r="T7" s="86" t="str">
        <f t="shared" ref="T7:T51" si="1">astrogrep_path&amp;" /e /r /s /spath="&amp;search_path&amp;" /stypes=""*"&amp;U7&amp;"*"&amp;TEXT(A7-utc_offset/24,"YYYYMMDD")&amp;LEFT(TEXT(A7-utc_offset/24,"HH"),1)&amp;"*"" /stext="" "&amp;TEXT(A7-utc_offset/24,"HH")&amp;search_regexp&amp;""""</f>
        <v>"C:\Program Files (x86)\AstroGrep\AstroGrep.exe" /e /r /s /spath="%USERPROFILE%\AppData\Local\Temp\OnboardLogs" /stypes="*4027*201710060*" /stext=" 00:.+((SYSTEM_STATE.+slice.+state.+changed )|(ment ac)|(multiple cpu faults)|(system.+state.+changed )|(\[timeout)|(PRM\|1\|D)|(kpr)|(kdp)|(train st.+moving)|(\|lc)|(penalty))"</v>
      </c>
      <c r="U7" s="9" t="str">
        <f t="shared" ref="U7:U51" si="2">MID(B7,13,4)</f>
        <v>4027</v>
      </c>
      <c r="V7" s="31">
        <f t="shared" ref="V7:V51" si="3">A7-utc_offset/24</f>
        <v>43014.008958333332</v>
      </c>
      <c r="W7" s="45" t="str">
        <f t="shared" ref="W7:W51" si="4">DetSubdiv(C7)</f>
        <v>EC</v>
      </c>
      <c r="X7" s="22">
        <f t="shared" ref="X7:X51" si="5">VALUE(LEFT(C7,LEN(C7)-3))</f>
        <v>206</v>
      </c>
      <c r="Y7" s="96" t="str">
        <f t="shared" ref="Y7:Y51" si="6">"echo {""issue"":{""subject"":"""&amp;P7&amp;""",""project_id"":79,""tracker_id"":40,""status_id"":"&amp;redmine_status&amp;",""priority_id"":"&amp;redmine_priority&amp;",""assigned_to_id"":"&amp;redmine_assignee&amp;",""start_date"":"""&amp;TEXT(A7,"YYYY-mm-dd")&amp;""",""description"":"""&amp;Z7&amp;""",""custom_fields"":[{""id"":1,""name"":""Subdivision"",""value"":"""&amp;W7&amp;"""},{""id"":4,""name"":""Milepost"",""value"":"""&amp;K7/10000&amp;"""},{""id"":17,""name"":""Train ID"",""value"":"""&amp;C7&amp;"""},{""id"":16,""name"":""Locomotive ID"",""value"":"""&amp;U7&amp;"""},{""id"":130,""name"":""Impact"",""value"":"""&amp;AA7&amp;"""},{""id"":150,""name"":""Time of Event (Mountain Time)"",""value"":"""&amp;TEXT(A7,"hh:mm:ss")&amp;"""},{""id"":151,""name"":""Denver Issue ID"",""value"":"""&amp;"""},{""id"":178,""name"":""Operational Impact"",""value"":"""&amp;redmine_op_impact&amp;"""},{""id"":179,""name"":""Denver Segment Assigned"",""value"":"""&amp;AB7&amp;"""}]}}"&amp;" | curl --insecure -X POST -H ""Content-Type: application/json"" -H ""X-Redmine-API-Key: "&amp;redm_api_key&amp;""" "&amp;redm_url&amp;" --data @-"</f>
        <v>echo {"issue":{"subject":"Early Arrival, received 30 seconds warning prior","project_id":79,"tracker_id":40,"status_id":1,"priority_id":2,"assigned_to_id":338,"start_date":"2017-10-05","description":"","custom_fields":[{"id":1,"name":"Subdivision","value":"EC"},{"id":4,"name":"Milepost","value":"3.097"},{"id":17,"name":"Train ID","value":"206-05"},{"id":16,"name":"Locomotive ID","value":"4027"},{"id":130,"name":"Impact","value":""},{"id":150,"name":"Time of Event (Mountain Time)","value":"18:12:54"},{"id":151,"name":"Denver Issue ID","value":""},{"id":178,"name":"Operational Impact","value":"Yes"},{"id":179,"name":"Denver Segment Assigned","value":""}]}} | curl --insecure -X POST -H "Content-Type: application/json" -H "X-Redmine-API-Key: %REDMINEAPIKEY%" https://secure.xorail.net/redmine/issues.json --data @-</v>
      </c>
      <c r="Z7" s="159"/>
      <c r="AA7" s="47"/>
      <c r="AB7" s="47"/>
      <c r="AC7" s="115" t="str">
        <f t="shared" ref="AC7:AC51" si="7">"grep -hrE -A400 ""Enforcement Action"" "&amp;"/c/Users/stu/AppData/Local/Temp/OnboardLogs"&amp;"/RTDC"&amp;U7&amp;" --include=""*"&amp;U7&amp;"*"&amp;TEXT(A7-utc_offset/24,"YYYYMMDD")&amp;LEFT(TEXT(A7-utc_offset/24,"HH"),1)&amp;"*"" | grep -E ""((Enforcement Ac)|(PRM))"" -"</f>
        <v>grep -hrE -A400 "Enforcement Action" /c/Users/stu/AppData/Local/Temp/OnboardLogs/RTDC4027 --include="*4027*201710060*" | grep -E "((Enforcement Ac)|(PRM))" -</v>
      </c>
      <c r="AD7" s="1" t="str">
        <f>"grep -hSE ""Enforcement Action"" "&amp;search_path&amp;"\RTDC"&amp;U7&amp;"\*"&amp;U7&amp;"*"&amp;TEXT(A7-utc_offset/24,"YYYYMMDD")&amp;LEFT(TEXT(A7-utc_offset/24,"HH"),1)&amp;"* &gt;&gt; "&amp;TEXT(Variables!$A$2,"YYYY-MM-DD")&amp;"-SliceDisagreementCheck.txt"</f>
        <v>grep -hSE "Enforcement Action" "%USERPROFILE%\AppData\Local\Temp\OnboardLogs"\RTDC4027\*4027*201710060* &gt;&gt; 2017-10-05-SliceDisagreementCheck.txt</v>
      </c>
      <c r="AE7" s="145" t="str">
        <f t="shared" ref="AE7" si="8">"start /low /b "&amp;dls3logs&amp;" --loco "&amp;U7&amp;" --day "&amp;TEXT(V7,"YYYY-MM-DD")</f>
        <v>start /low /b %USERPROFILE%\Documents\GitHub\eaglep3\Utilities\DownloadLogsFromS3.py --loco 4027 --day 2017-10-06</v>
      </c>
    </row>
    <row r="8" spans="1:32" s="1" customFormat="1" x14ac:dyDescent="0.25">
      <c r="A8" s="31">
        <v>43013.558530092596</v>
      </c>
      <c r="B8" s="30" t="s">
        <v>600</v>
      </c>
      <c r="C8" s="30" t="s">
        <v>601</v>
      </c>
      <c r="D8" s="30" t="s">
        <v>49</v>
      </c>
      <c r="E8" s="30" t="s">
        <v>185</v>
      </c>
      <c r="F8" s="42">
        <v>0</v>
      </c>
      <c r="G8" s="42">
        <v>504</v>
      </c>
      <c r="H8" s="42">
        <v>44827</v>
      </c>
      <c r="I8" s="42">
        <v>43282</v>
      </c>
      <c r="J8" s="30" t="s">
        <v>186</v>
      </c>
      <c r="K8" s="42">
        <v>42961</v>
      </c>
      <c r="L8" s="131" t="s">
        <v>51</v>
      </c>
      <c r="M8" s="132">
        <f t="shared" si="0"/>
        <v>169.48799999999997</v>
      </c>
      <c r="N8" s="133" t="str">
        <f>VLOOKUP(C8,'Trips&amp;Operators'!$C$1:$G$99911,5,FALSE)</f>
        <v>BERLING GARY</v>
      </c>
      <c r="O8" s="176" t="s">
        <v>178</v>
      </c>
      <c r="P8" s="134" t="s">
        <v>360</v>
      </c>
      <c r="Q8" s="30"/>
      <c r="R8" s="81" t="str">
        <f>VLOOKUP(C8,'Train Runs'!$A$13:$AE$10010,31,0)</f>
        <v>aws s3 cp s3://rtdc.mdm.uploadarchive.raw/RTDC4043/ "%USERPROFILE%\AppData\Local\Temp\OnboardLogs"\RTDC4043\2017-10-05 --exclude "*" --recursive --include "*20171005*" &amp; "%USERPROFILE%\Documents\GitHub\mrs-test-scripts\Headless Mode &amp; Sideloading\WalkAndUnGZ.bat" "%USERPROFILE%\AppData\Local\Temp\OnboardLogs"\RTDC4043\2017-10-05 &amp; aws s3 cp s3://rtdc.mdm.uploadarchive.raw/RTDC4043/ "%USERPROFILE%\AppData\Local\Temp\OnboardLogs"\RTDC4043\2017-10-06 --exclude "*" --recursive --include "*20171006*" &amp; "%USERPROFILE%\Documents\GitHub\mrs-test-scripts\Headless Mode &amp; Sideloading\WalkAndUnGZ.bat" "%USERPROFILE%\AppData\Local\Temp\OnboardLogs"\RTDC4043\2017-10-06</v>
      </c>
      <c r="S8" s="84" t="str">
        <f>VLOOKUP(C8,'Train Runs'!$A$13:$AE$10010,22,0)</f>
        <v>https://d0f6bd738d7f1b3e5a7ca70fe4ff75f0.us-east-1.aws.found.io/app/kibana#/discover/Steve-Slow-Train-Analysis-(2080s-and-2083s)?_g=(refreshInterval:(display:Off,pause:!f,section:0,value:0),time:(from:'2017-10-05T11:47:31-0600',mode:absolute,to:'2017-10-05T14:37:06-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4043%22')),sort:!(Time.ISO8601,asc))</v>
      </c>
      <c r="T8" s="86" t="str">
        <f t="shared" si="1"/>
        <v>"C:\Program Files (x86)\AstroGrep\AstroGrep.exe" /e /r /s /spath="%USERPROFILE%\AppData\Local\Temp\OnboardLogs" /stypes="*4043*201710051*" /stext=" 19:.+((SYSTEM_STATE.+slice.+state.+changed )|(ment ac)|(multiple cpu faults)|(system.+state.+changed )|(\[timeout)|(PRM\|1\|D)|(kpr)|(kdp)|(train st.+moving)|(\|lc)|(penalty))"</v>
      </c>
      <c r="U8" s="9" t="str">
        <f t="shared" si="2"/>
        <v>4043</v>
      </c>
      <c r="V8" s="31">
        <f t="shared" si="3"/>
        <v>43013.808530092596</v>
      </c>
      <c r="W8" s="45" t="str">
        <f t="shared" si="4"/>
        <v>EC</v>
      </c>
      <c r="X8" s="22">
        <f t="shared" si="5"/>
        <v>168</v>
      </c>
      <c r="Y8" s="96" t="str">
        <f t="shared" si="6"/>
        <v>echo {"issue":{"subject":"Early Arrival","project_id":79,"tracker_id":40,"status_id":1,"priority_id":2,"assigned_to_id":338,"start_date":"2017-10-05","description":"","custom_fields":[{"id":1,"name":"Subdivision","value":"EC"},{"id":4,"name":"Milepost","value":"4.2961"},{"id":17,"name":"Train ID","value":"168-05"},{"id":16,"name":"Locomotive ID","value":"4043"},{"id":130,"name":"Impact","value":""},{"id":150,"name":"Time of Event (Mountain Time)","value":"13:24:17"},{"id":151,"name":"Denver Issue ID","value":""},{"id":178,"name":"Operational Impact","value":"Yes"},{"id":179,"name":"Denver Segment Assigned","value":""}]}} | curl --insecure -X POST -H "Content-Type: application/json" -H "X-Redmine-API-Key: %REDMINEAPIKEY%" https://secure.xorail.net/redmine/issues.json --data @-</v>
      </c>
      <c r="Z8" s="159"/>
      <c r="AA8" s="47"/>
      <c r="AB8" s="47"/>
      <c r="AC8" s="115" t="str">
        <f t="shared" si="7"/>
        <v>grep -hrE -A400 "Enforcement Action" /c/Users/stu/AppData/Local/Temp/OnboardLogs/RTDC4043 --include="*4043*201710051*" | grep -E "((Enforcement Ac)|(PRM))" -</v>
      </c>
      <c r="AD8" s="1" t="str">
        <f>"grep -hSE ""Enforcement Action"" "&amp;search_path&amp;"\RTDC"&amp;U8&amp;"\*"&amp;U8&amp;"*"&amp;TEXT(A8-utc_offset/24,"YYYYMMDD")&amp;LEFT(TEXT(A8-utc_offset/24,"HH"),1)&amp;"* &gt;&gt; "&amp;TEXT(Variables!$A$2,"YYYY-MM-DD")&amp;"-SliceDisagreementCheck.txt"</f>
        <v>grep -hSE "Enforcement Action" "%USERPROFILE%\AppData\Local\Temp\OnboardLogs"\RTDC4043\*4043*201710051* &gt;&gt; 2017-10-05-SliceDisagreementCheck.txt</v>
      </c>
      <c r="AE8" s="145" t="str">
        <f t="shared" ref="AE8:AE51" si="9">"start /low /b "&amp;dls3logs&amp;" --loco "&amp;U8&amp;" --day "&amp;TEXT(V8,"YYYY-MM-DD")</f>
        <v>start /low /b %USERPROFILE%\Documents\GitHub\eaglep3\Utilities\DownloadLogsFromS3.py --loco 4043 --day 2017-10-05</v>
      </c>
    </row>
    <row r="9" spans="1:32" s="1" customFormat="1" x14ac:dyDescent="0.25">
      <c r="A9" s="31">
        <v>43013.558981481481</v>
      </c>
      <c r="B9" s="30" t="s">
        <v>600</v>
      </c>
      <c r="C9" s="30" t="s">
        <v>601</v>
      </c>
      <c r="D9" s="30" t="s">
        <v>49</v>
      </c>
      <c r="E9" s="30" t="s">
        <v>185</v>
      </c>
      <c r="F9" s="42">
        <v>30</v>
      </c>
      <c r="G9" s="42">
        <v>90</v>
      </c>
      <c r="H9" s="42">
        <v>43179</v>
      </c>
      <c r="I9" s="42">
        <v>43030</v>
      </c>
      <c r="J9" s="30" t="s">
        <v>186</v>
      </c>
      <c r="K9" s="42">
        <v>42961</v>
      </c>
      <c r="L9" s="131" t="s">
        <v>51</v>
      </c>
      <c r="M9" s="132">
        <f t="shared" si="0"/>
        <v>36.432000000000002</v>
      </c>
      <c r="N9" s="133" t="str">
        <f>VLOOKUP(C9,'Trips&amp;Operators'!$C$1:$G$99911,5,FALSE)</f>
        <v>BERLING GARY</v>
      </c>
      <c r="O9" s="176" t="s">
        <v>178</v>
      </c>
      <c r="P9" s="134" t="s">
        <v>360</v>
      </c>
      <c r="Q9" s="30"/>
      <c r="R9" s="81" t="str">
        <f>VLOOKUP(C9,'Train Runs'!$A$13:$AE$10010,31,0)</f>
        <v>aws s3 cp s3://rtdc.mdm.uploadarchive.raw/RTDC4043/ "%USERPROFILE%\AppData\Local\Temp\OnboardLogs"\RTDC4043\2017-10-05 --exclude "*" --recursive --include "*20171005*" &amp; "%USERPROFILE%\Documents\GitHub\mrs-test-scripts\Headless Mode &amp; Sideloading\WalkAndUnGZ.bat" "%USERPROFILE%\AppData\Local\Temp\OnboardLogs"\RTDC4043\2017-10-05 &amp; aws s3 cp s3://rtdc.mdm.uploadarchive.raw/RTDC4043/ "%USERPROFILE%\AppData\Local\Temp\OnboardLogs"\RTDC4043\2017-10-06 --exclude "*" --recursive --include "*20171006*" &amp; "%USERPROFILE%\Documents\GitHub\mrs-test-scripts\Headless Mode &amp; Sideloading\WalkAndUnGZ.bat" "%USERPROFILE%\AppData\Local\Temp\OnboardLogs"\RTDC4043\2017-10-06</v>
      </c>
      <c r="S9" s="84" t="str">
        <f>VLOOKUP(C9,'Train Runs'!$A$13:$AE$10010,22,0)</f>
        <v>https://d0f6bd738d7f1b3e5a7ca70fe4ff75f0.us-east-1.aws.found.io/app/kibana#/discover/Steve-Slow-Train-Analysis-(2080s-and-2083s)?_g=(refreshInterval:(display:Off,pause:!f,section:0,value:0),time:(from:'2017-10-05T11:47:31-0600',mode:absolute,to:'2017-10-05T14:37:06-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4043%22')),sort:!(Time.ISO8601,asc))</v>
      </c>
      <c r="T9" s="86" t="str">
        <f t="shared" si="1"/>
        <v>"C:\Program Files (x86)\AstroGrep\AstroGrep.exe" /e /r /s /spath="%USERPROFILE%\AppData\Local\Temp\OnboardLogs" /stypes="*4043*201710051*" /stext=" 19:.+((SYSTEM_STATE.+slice.+state.+changed )|(ment ac)|(multiple cpu faults)|(system.+state.+changed )|(\[timeout)|(PRM\|1\|D)|(kpr)|(kdp)|(train st.+moving)|(\|lc)|(penalty))"</v>
      </c>
      <c r="U9" s="9" t="str">
        <f t="shared" si="2"/>
        <v>4043</v>
      </c>
      <c r="V9" s="31">
        <f t="shared" si="3"/>
        <v>43013.808981481481</v>
      </c>
      <c r="W9" s="45" t="str">
        <f t="shared" si="4"/>
        <v>EC</v>
      </c>
      <c r="X9" s="22">
        <f t="shared" si="5"/>
        <v>168</v>
      </c>
      <c r="Y9" s="96" t="str">
        <f t="shared" si="6"/>
        <v>echo {"issue":{"subject":"Early Arrival","project_id":79,"tracker_id":40,"status_id":1,"priority_id":2,"assigned_to_id":338,"start_date":"2017-10-05","description":"","custom_fields":[{"id":1,"name":"Subdivision","value":"EC"},{"id":4,"name":"Milepost","value":"4.2961"},{"id":17,"name":"Train ID","value":"168-05"},{"id":16,"name":"Locomotive ID","value":"4043"},{"id":130,"name":"Impact","value":""},{"id":150,"name":"Time of Event (Mountain Time)","value":"13:24:56"},{"id":151,"name":"Denver Issue ID","value":""},{"id":178,"name":"Operational Impact","value":"Yes"},{"id":179,"name":"Denver Segment Assigned","value":""}]}} | curl --insecure -X POST -H "Content-Type: application/json" -H "X-Redmine-API-Key: %REDMINEAPIKEY%" https://secure.xorail.net/redmine/issues.json --data @-</v>
      </c>
      <c r="Z9" s="159"/>
      <c r="AA9" s="47"/>
      <c r="AB9" s="47"/>
      <c r="AC9" s="115" t="str">
        <f t="shared" si="7"/>
        <v>grep -hrE -A400 "Enforcement Action" /c/Users/stu/AppData/Local/Temp/OnboardLogs/RTDC4043 --include="*4043*201710051*" | grep -E "((Enforcement Ac)|(PRM))" -</v>
      </c>
      <c r="AD9" s="1" t="str">
        <f>"grep -hSE ""Enforcement Action"" "&amp;search_path&amp;"\RTDC"&amp;U9&amp;"\*"&amp;U9&amp;"*"&amp;TEXT(A9-utc_offset/24,"YYYYMMDD")&amp;LEFT(TEXT(A9-utc_offset/24,"HH"),1)&amp;"* &gt;&gt; "&amp;TEXT(Variables!$A$2,"YYYY-MM-DD")&amp;"-SliceDisagreementCheck.txt"</f>
        <v>grep -hSE "Enforcement Action" "%USERPROFILE%\AppData\Local\Temp\OnboardLogs"\RTDC4043\*4043*201710051* &gt;&gt; 2017-10-05-SliceDisagreementCheck.txt</v>
      </c>
      <c r="AE9" s="145" t="str">
        <f t="shared" si="9"/>
        <v>start /low /b %USERPROFILE%\Documents\GitHub\eaglep3\Utilities\DownloadLogsFromS3.py --loco 4043 --day 2017-10-05</v>
      </c>
    </row>
    <row r="10" spans="1:32" s="1" customFormat="1" x14ac:dyDescent="0.25">
      <c r="A10" s="31">
        <v>43013.519166666665</v>
      </c>
      <c r="B10" s="30" t="s">
        <v>585</v>
      </c>
      <c r="C10" s="30" t="s">
        <v>596</v>
      </c>
      <c r="D10" s="30" t="s">
        <v>49</v>
      </c>
      <c r="E10" s="30" t="s">
        <v>185</v>
      </c>
      <c r="F10" s="42">
        <v>0</v>
      </c>
      <c r="G10" s="42">
        <v>615</v>
      </c>
      <c r="H10" s="42">
        <v>57949</v>
      </c>
      <c r="I10" s="42">
        <v>60558</v>
      </c>
      <c r="J10" s="30" t="s">
        <v>186</v>
      </c>
      <c r="K10" s="42">
        <v>58118</v>
      </c>
      <c r="L10" s="131" t="s">
        <v>50</v>
      </c>
      <c r="M10" s="132">
        <f t="shared" si="0"/>
        <v>-1288.32</v>
      </c>
      <c r="N10" s="133" t="str">
        <f>VLOOKUP(C10,'Trips&amp;Operators'!$C$1:$G$99911,5,FALSE)</f>
        <v>DELGADO DIANAH</v>
      </c>
      <c r="O10" s="176" t="s">
        <v>178</v>
      </c>
      <c r="P10" s="134" t="s">
        <v>360</v>
      </c>
      <c r="Q10" s="30"/>
      <c r="R10" s="81" t="str">
        <f>VLOOKUP(C10,'Train Runs'!$A$13:$AE$10010,31,0)</f>
        <v>aws s3 cp s3://rtdc.mdm.uploadarchive.raw/RTDC4012/ "%USERPROFILE%\AppData\Local\Temp\OnboardLogs"\RTDC4012\2017-10-05 --exclude "*" --recursive --include "*20171005*" &amp; "%USERPROFILE%\Documents\GitHub\mrs-test-scripts\Headless Mode &amp; Sideloading\WalkAndUnGZ.bat" "%USERPROFILE%\AppData\Local\Temp\OnboardLogs"\RTDC4012\2017-10-05 &amp; aws s3 cp s3://rtdc.mdm.uploadarchive.raw/RTDC4012/ "%USERPROFILE%\AppData\Local\Temp\OnboardLogs"\RTDC4012\2017-10-06 --exclude "*" --recursive --include "*20171006*" &amp; "%USERPROFILE%\Documents\GitHub\mrs-test-scripts\Headless Mode &amp; Sideloading\WalkAndUnGZ.bat" "%USERPROFILE%\AppData\Local\Temp\OnboardLogs"\RTDC4012\2017-10-06</v>
      </c>
      <c r="S10" s="84" t="str">
        <f>VLOOKUP(C10,'Train Runs'!$A$13:$AE$10010,22,0)</f>
        <v>https://d0f6bd738d7f1b3e5a7ca70fe4ff75f0.us-east-1.aws.found.io/app/kibana#/discover/Steve-Slow-Train-Analysis-(2080s-and-2083s)?_g=(refreshInterval:(display:Off,pause:!f,section:0,value:0),time:(from:'2017-10-05T11:06:25-0600',mode:absolute,to:'2017-10-05T13:50:50-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4012%22')),sort:!(Time.ISO8601,asc))</v>
      </c>
      <c r="T10" s="86" t="str">
        <f t="shared" si="1"/>
        <v>"C:\Program Files (x86)\AstroGrep\AstroGrep.exe" /e /r /s /spath="%USERPROFILE%\AppData\Local\Temp\OnboardLogs" /stypes="*4012*201710051*" /stext=" 18:.+((SYSTEM_STATE.+slice.+state.+changed )|(ment ac)|(multiple cpu faults)|(system.+state.+changed )|(\[timeout)|(PRM\|1\|D)|(kpr)|(kdp)|(train st.+moving)|(\|lc)|(penalty))"</v>
      </c>
      <c r="U10" s="9" t="str">
        <f t="shared" si="2"/>
        <v>4012</v>
      </c>
      <c r="V10" s="31">
        <f t="shared" si="3"/>
        <v>43013.769166666665</v>
      </c>
      <c r="W10" s="45" t="str">
        <f t="shared" si="4"/>
        <v>EC</v>
      </c>
      <c r="X10" s="22">
        <f t="shared" si="5"/>
        <v>169</v>
      </c>
      <c r="Y10" s="96" t="str">
        <f t="shared" si="6"/>
        <v>echo {"issue":{"subject":"Early Arrival","project_id":79,"tracker_id":40,"status_id":1,"priority_id":2,"assigned_to_id":338,"start_date":"2017-10-05","description":"","custom_fields":[{"id":1,"name":"Subdivision","value":"EC"},{"id":4,"name":"Milepost","value":"5.8118"},{"id":17,"name":"Train ID","value":"169-05"},{"id":16,"name":"Locomotive ID","value":"4012"},{"id":130,"name":"Impact","value":""},{"id":150,"name":"Time of Event (Mountain Time)","value":"12:27:36"},{"id":151,"name":"Denver Issue ID","value":""},{"id":178,"name":"Operational Impact","value":"Yes"},{"id":179,"name":"Denver Segment Assigned","value":""}]}} | curl --insecure -X POST -H "Content-Type: application/json" -H "X-Redmine-API-Key: %REDMINEAPIKEY%" https://secure.xorail.net/redmine/issues.json --data @-</v>
      </c>
      <c r="Z10" s="159"/>
      <c r="AA10" s="47"/>
      <c r="AB10" s="47"/>
      <c r="AC10" s="115" t="str">
        <f t="shared" si="7"/>
        <v>grep -hrE -A400 "Enforcement Action" /c/Users/stu/AppData/Local/Temp/OnboardLogs/RTDC4012 --include="*4012*201710051*" | grep -E "((Enforcement Ac)|(PRM))" -</v>
      </c>
      <c r="AD10" s="1" t="str">
        <f>"grep -hSE ""Enforcement Action"" "&amp;search_path&amp;"\RTDC"&amp;U10&amp;"\*"&amp;U10&amp;"*"&amp;TEXT(A10-utc_offset/24,"YYYYMMDD")&amp;LEFT(TEXT(A10-utc_offset/24,"HH"),1)&amp;"* &gt;&gt; "&amp;TEXT(Variables!$A$2,"YYYY-MM-DD")&amp;"-SliceDisagreementCheck.txt"</f>
        <v>grep -hSE "Enforcement Action" "%USERPROFILE%\AppData\Local\Temp\OnboardLogs"\RTDC4012\*4012*201710051* &gt;&gt; 2017-10-05-SliceDisagreementCheck.txt</v>
      </c>
      <c r="AE10" s="145" t="str">
        <f t="shared" si="9"/>
        <v>start /low /b %USERPROFILE%\Documents\GitHub\eaglep3\Utilities\DownloadLogsFromS3.py --loco 4012 --day 2017-10-05</v>
      </c>
    </row>
    <row r="11" spans="1:32" s="1" customFormat="1" x14ac:dyDescent="0.25">
      <c r="A11" s="31">
        <v>43013.550567129627</v>
      </c>
      <c r="B11" s="30" t="s">
        <v>391</v>
      </c>
      <c r="C11" s="30" t="s">
        <v>599</v>
      </c>
      <c r="D11" s="30" t="s">
        <v>49</v>
      </c>
      <c r="E11" s="30" t="s">
        <v>185</v>
      </c>
      <c r="F11" s="42">
        <v>10</v>
      </c>
      <c r="G11" s="42">
        <v>80</v>
      </c>
      <c r="H11" s="42">
        <v>58065</v>
      </c>
      <c r="I11" s="42">
        <v>58147</v>
      </c>
      <c r="J11" s="30" t="s">
        <v>186</v>
      </c>
      <c r="K11" s="42">
        <v>58118</v>
      </c>
      <c r="L11" s="131" t="s">
        <v>50</v>
      </c>
      <c r="M11" s="132">
        <f t="shared" si="0"/>
        <v>-15.311999999999999</v>
      </c>
      <c r="N11" s="133" t="str">
        <f>VLOOKUP(C11,'Trips&amp;Operators'!$C$1:$G$99911,5,FALSE)</f>
        <v>BRUDER RICHARD</v>
      </c>
      <c r="O11" s="176" t="s">
        <v>178</v>
      </c>
      <c r="P11" s="134" t="s">
        <v>360</v>
      </c>
      <c r="Q11" s="30"/>
      <c r="R11" s="81" t="str">
        <f>VLOOKUP(C11,'Train Runs'!$A$13:$AE$10010,31,0)</f>
        <v>aws s3 cp s3://rtdc.mdm.uploadarchive.raw/RTDC4010/ "%USERPROFILE%\AppData\Local\Temp\OnboardLogs"\RTDC4010\2017-10-05 --exclude "*" --recursive --include "*20171005*" &amp; "%USERPROFILE%\Documents\GitHub\mrs-test-scripts\Headless Mode &amp; Sideloading\WalkAndUnGZ.bat" "%USERPROFILE%\AppData\Local\Temp\OnboardLogs"\RTDC4010\2017-10-05 &amp; aws s3 cp s3://rtdc.mdm.uploadarchive.raw/RTDC4010/ "%USERPROFILE%\AppData\Local\Temp\OnboardLogs"\RTDC4010\2017-10-06 --exclude "*" --recursive --include "*20171006*" &amp; "%USERPROFILE%\Documents\GitHub\mrs-test-scripts\Headless Mode &amp; Sideloading\WalkAndUnGZ.bat" "%USERPROFILE%\AppData\Local\Temp\OnboardLogs"\RTDC4010\2017-10-06</v>
      </c>
      <c r="S11" s="84" t="str">
        <f>VLOOKUP(C11,'Train Runs'!$A$13:$AE$10010,22,0)</f>
        <v>https://d0f6bd738d7f1b3e5a7ca70fe4ff75f0.us-east-1.aws.found.io/app/kibana#/discover/Steve-Slow-Train-Analysis-(2080s-and-2083s)?_g=(refreshInterval:(display:Off,pause:!f,section:0,value:0),time:(from:'2017-10-05T11:53:34-0600',mode:absolute,to:'2017-10-05T14:37:44-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T11" s="86" t="str">
        <f t="shared" si="1"/>
        <v>"C:\Program Files (x86)\AstroGrep\AstroGrep.exe" /e /r /s /spath="%USERPROFILE%\AppData\Local\Temp\OnboardLogs" /stypes="*4010*201710051*" /stext=" 19:.+((SYSTEM_STATE.+slice.+state.+changed )|(ment ac)|(multiple cpu faults)|(system.+state.+changed )|(\[timeout)|(PRM\|1\|D)|(kpr)|(kdp)|(train st.+moving)|(\|lc)|(penalty))"</v>
      </c>
      <c r="U11" s="9" t="str">
        <f t="shared" si="2"/>
        <v>4010</v>
      </c>
      <c r="V11" s="31">
        <f t="shared" si="3"/>
        <v>43013.800567129627</v>
      </c>
      <c r="W11" s="45" t="str">
        <f t="shared" si="4"/>
        <v>EC</v>
      </c>
      <c r="X11" s="22">
        <f t="shared" si="5"/>
        <v>175</v>
      </c>
      <c r="Y11" s="96" t="str">
        <f t="shared" si="6"/>
        <v>echo {"issue":{"subject":"Early Arrival","project_id":79,"tracker_id":40,"status_id":1,"priority_id":2,"assigned_to_id":338,"start_date":"2017-10-05","description":"","custom_fields":[{"id":1,"name":"Subdivision","value":"EC"},{"id":4,"name":"Milepost","value":"5.8118"},{"id":17,"name":"Train ID","value":"175-05"},{"id":16,"name":"Locomotive ID","value":"4010"},{"id":130,"name":"Impact","value":""},{"id":150,"name":"Time of Event (Mountain Time)","value":"13:12:49"},{"id":151,"name":"Denver Issue ID","value":""},{"id":178,"name":"Operational Impact","value":"Yes"},{"id":179,"name":"Denver Segment Assigned","value":""}]}} | curl --insecure -X POST -H "Content-Type: application/json" -H "X-Redmine-API-Key: %REDMINEAPIKEY%" https://secure.xorail.net/redmine/issues.json --data @-</v>
      </c>
      <c r="Z11" s="159"/>
      <c r="AA11" s="47"/>
      <c r="AB11" s="47"/>
      <c r="AC11" s="115" t="str">
        <f t="shared" si="7"/>
        <v>grep -hrE -A400 "Enforcement Action" /c/Users/stu/AppData/Local/Temp/OnboardLogs/RTDC4010 --include="*4010*201710051*" | grep -E "((Enforcement Ac)|(PRM))" -</v>
      </c>
      <c r="AD11" s="1" t="str">
        <f>"grep -hSE ""Enforcement Action"" "&amp;search_path&amp;"\RTDC"&amp;U11&amp;"\*"&amp;U11&amp;"*"&amp;TEXT(A11-utc_offset/24,"YYYYMMDD")&amp;LEFT(TEXT(A11-utc_offset/24,"HH"),1)&amp;"* &gt;&gt; "&amp;TEXT(Variables!$A$2,"YYYY-MM-DD")&amp;"-SliceDisagreementCheck.txt"</f>
        <v>grep -hSE "Enforcement Action" "%USERPROFILE%\AppData\Local\Temp\OnboardLogs"\RTDC4010\*4010*201710051* &gt;&gt; 2017-10-05-SliceDisagreementCheck.txt</v>
      </c>
      <c r="AE11" s="145" t="str">
        <f t="shared" si="9"/>
        <v>start /low /b %USERPROFILE%\Documents\GitHub\eaglep3\Utilities\DownloadLogsFromS3.py --loco 4010 --day 2017-10-05</v>
      </c>
    </row>
    <row r="12" spans="1:32" x14ac:dyDescent="0.25">
      <c r="A12" s="31">
        <v>43013.546631944446</v>
      </c>
      <c r="B12" s="30" t="s">
        <v>573</v>
      </c>
      <c r="C12" s="30" t="s">
        <v>598</v>
      </c>
      <c r="D12" s="30" t="s">
        <v>95</v>
      </c>
      <c r="E12" s="30" t="s">
        <v>185</v>
      </c>
      <c r="F12" s="42">
        <v>280</v>
      </c>
      <c r="G12" s="42">
        <v>336</v>
      </c>
      <c r="H12" s="42">
        <v>58153</v>
      </c>
      <c r="I12" s="42">
        <v>57146</v>
      </c>
      <c r="J12" s="30" t="s">
        <v>186</v>
      </c>
      <c r="K12" s="42">
        <v>58301</v>
      </c>
      <c r="L12" s="131" t="s">
        <v>51</v>
      </c>
      <c r="M12" s="132">
        <f t="shared" si="0"/>
        <v>-609.84</v>
      </c>
      <c r="N12" s="133" t="str">
        <f>VLOOKUP(C12,'Trips&amp;Operators'!$C$1:$G$99911,5,FALSE)</f>
        <v>LEVIN SCOTT</v>
      </c>
      <c r="O12" s="176" t="s">
        <v>178</v>
      </c>
      <c r="P12" s="134" t="s">
        <v>360</v>
      </c>
      <c r="Q12" s="30"/>
      <c r="R12" s="81" t="str">
        <f>VLOOKUP(C12,'Train Runs'!$A$13:$AE$10010,31,0)</f>
        <v>aws s3 cp s3://rtdc.mdm.uploadarchive.raw/RTDC4041/ "%USERPROFILE%\AppData\Local\Temp\OnboardLogs"\RTDC4041\2017-10-05 --exclude "*" --recursive --include "*20171005*" &amp; "%USERPROFILE%\Documents\GitHub\mrs-test-scripts\Headless Mode &amp; Sideloading\WalkAndUnGZ.bat" "%USERPROFILE%\AppData\Local\Temp\OnboardLogs"\RTDC4041\2017-10-05 &amp; aws s3 cp s3://rtdc.mdm.uploadarchive.raw/RTDC4041/ "%USERPROFILE%\AppData\Local\Temp\OnboardLogs"\RTDC4041\2017-10-06 --exclude "*" --recursive --include "*20171006*" &amp; "%USERPROFILE%\Documents\GitHub\mrs-test-scripts\Headless Mode &amp; Sideloading\WalkAndUnGZ.bat" "%USERPROFILE%\AppData\Local\Temp\OnboardLogs"\RTDC4041\2017-10-06</v>
      </c>
      <c r="S12" s="84" t="str">
        <f>VLOOKUP(C12,'Train Runs'!$A$13:$AE$10010,22,0)</f>
        <v>https://d0f6bd738d7f1b3e5a7ca70fe4ff75f0.us-east-1.aws.found.io/app/kibana#/discover/Steve-Slow-Train-Analysis-(2080s-and-2083s)?_g=(refreshInterval:(display:Off,pause:!f,section:0,value:0),time:(from:'2017-10-05T11:35:28-0600',mode:absolute,to:'2017-10-05T14:21:51-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4041%22')),sort:!(Time.ISO8601,asc))</v>
      </c>
      <c r="T12" s="86" t="str">
        <f t="shared" si="1"/>
        <v>"C:\Program Files (x86)\AstroGrep\AstroGrep.exe" /e /r /s /spath="%USERPROFILE%\AppData\Local\Temp\OnboardLogs" /stypes="*4041*201710051*" /stext=" 19:.+((SYSTEM_STATE.+slice.+state.+changed )|(ment ac)|(multiple cpu faults)|(system.+state.+changed )|(\[timeout)|(PRM\|1\|D)|(kpr)|(kdp)|(train st.+moving)|(\|lc)|(penalty))"</v>
      </c>
      <c r="U12" s="9" t="str">
        <f t="shared" si="2"/>
        <v>4041</v>
      </c>
      <c r="V12" s="31">
        <f t="shared" si="3"/>
        <v>43013.796631944446</v>
      </c>
      <c r="W12" s="45" t="str">
        <f t="shared" si="4"/>
        <v>EC</v>
      </c>
      <c r="X12" s="22">
        <f t="shared" si="5"/>
        <v>166</v>
      </c>
      <c r="Y12" s="96" t="str">
        <f t="shared" si="6"/>
        <v>echo {"issue":{"subject":"Early Arrival","project_id":79,"tracker_id":40,"status_id":1,"priority_id":2,"assigned_to_id":338,"start_date":"2017-10-05","description":"","custom_fields":[{"id":1,"name":"Subdivision","value":"EC"},{"id":4,"name":"Milepost","value":"5.8301"},{"id":17,"name":"Train ID","value":"166-05"},{"id":16,"name":"Locomotive ID","value":"4041"},{"id":130,"name":"Impact","value":""},{"id":150,"name":"Time of Event (Mountain Time)","value":"13:07:09"},{"id":151,"name":"Denver Issue ID","value":""},{"id":178,"name":"Operational Impact","value":"Yes"},{"id":179,"name":"Denver Segment Assigned","value":""}]}} | curl --insecure -X POST -H "Content-Type: application/json" -H "X-Redmine-API-Key: %REDMINEAPIKEY%" https://secure.xorail.net/redmine/issues.json --data @-</v>
      </c>
      <c r="Z12" s="159"/>
      <c r="AA12" s="47"/>
      <c r="AB12" s="47"/>
      <c r="AC12" s="115" t="str">
        <f t="shared" si="7"/>
        <v>grep -hrE -A400 "Enforcement Action" /c/Users/stu/AppData/Local/Temp/OnboardLogs/RTDC4041 --include="*4041*201710051*" | grep -E "((Enforcement Ac)|(PRM))" -</v>
      </c>
      <c r="AD12" s="1" t="str">
        <f>"grep -hSE ""Enforcement Action"" "&amp;search_path&amp;"\RTDC"&amp;U12&amp;"\*"&amp;U12&amp;"*"&amp;TEXT(A12-utc_offset/24,"YYYYMMDD")&amp;LEFT(TEXT(A12-utc_offset/24,"HH"),1)&amp;"* &gt;&gt; "&amp;TEXT(Variables!$A$2,"YYYY-MM-DD")&amp;"-SliceDisagreementCheck.txt"</f>
        <v>grep -hSE "Enforcement Action" "%USERPROFILE%\AppData\Local\Temp\OnboardLogs"\RTDC4041\*4041*201710051* &gt;&gt; 2017-10-05-SliceDisagreementCheck.txt</v>
      </c>
      <c r="AE12" s="145" t="str">
        <f t="shared" si="9"/>
        <v>start /low /b %USERPROFILE%\Documents\GitHub\eaglep3\Utilities\DownloadLogsFromS3.py --loco 4041 --day 2017-10-05</v>
      </c>
      <c r="AF12" s="1"/>
    </row>
    <row r="13" spans="1:32" x14ac:dyDescent="0.25">
      <c r="A13" s="31">
        <v>43013.7</v>
      </c>
      <c r="B13" s="30" t="s">
        <v>391</v>
      </c>
      <c r="C13" s="30" t="s">
        <v>612</v>
      </c>
      <c r="D13" s="30" t="s">
        <v>49</v>
      </c>
      <c r="E13" s="30" t="s">
        <v>185</v>
      </c>
      <c r="F13" s="42">
        <v>0</v>
      </c>
      <c r="G13" s="42">
        <v>449</v>
      </c>
      <c r="H13" s="42">
        <v>62636</v>
      </c>
      <c r="I13" s="42">
        <v>63899</v>
      </c>
      <c r="J13" s="30" t="s">
        <v>186</v>
      </c>
      <c r="K13" s="42">
        <v>63069</v>
      </c>
      <c r="L13" s="131" t="s">
        <v>50</v>
      </c>
      <c r="M13" s="132">
        <f t="shared" si="0"/>
        <v>-438.24</v>
      </c>
      <c r="N13" s="133" t="str">
        <f>VLOOKUP(C13,'Trips&amp;Operators'!$C$1:$G$99911,5,FALSE)</f>
        <v>NATION TRACI</v>
      </c>
      <c r="O13" s="176" t="s">
        <v>178</v>
      </c>
      <c r="P13" s="134" t="s">
        <v>360</v>
      </c>
      <c r="Q13" s="30"/>
      <c r="R13" s="81" t="str">
        <f>VLOOKUP(C13,'Train Runs'!$A$13:$AE$10010,31,0)</f>
        <v>aws s3 cp s3://rtdc.mdm.uploadarchive.raw/RTDC4010/ "%USERPROFILE%\AppData\Local\Temp\OnboardLogs"\RTDC4010\2017-10-05 --exclude "*" --recursive --include "*20171005*" &amp; "%USERPROFILE%\Documents\GitHub\mrs-test-scripts\Headless Mode &amp; Sideloading\WalkAndUnGZ.bat" "%USERPROFILE%\AppData\Local\Temp\OnboardLogs"\RTDC4010\2017-10-05 &amp; aws s3 cp s3://rtdc.mdm.uploadarchive.raw/RTDC4010/ "%USERPROFILE%\AppData\Local\Temp\OnboardLogs"\RTDC4010\2017-10-06 --exclude "*" --recursive --include "*20171006*" &amp; "%USERPROFILE%\Documents\GitHub\mrs-test-scripts\Headless Mode &amp; Sideloading\WalkAndUnGZ.bat" "%USERPROFILE%\AppData\Local\Temp\OnboardLogs"\RTDC4010\2017-10-06</v>
      </c>
      <c r="S13" s="84" t="str">
        <f>VLOOKUP(C13,'Train Runs'!$A$13:$AE$10010,22,0)</f>
        <v>https://d0f6bd738d7f1b3e5a7ca70fe4ff75f0.us-east-1.aws.found.io/app/kibana#/discover/Steve-Slow-Train-Analysis-(2080s-and-2083s)?_g=(refreshInterval:(display:Off,pause:!f,section:0,value:0),time:(from:'2017-10-05T15:36:47-0600',mode:absolute,to:'2017-10-05T18:20:18-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T13" s="86" t="str">
        <f t="shared" si="1"/>
        <v>"C:\Program Files (x86)\AstroGrep\AstroGrep.exe" /e /r /s /spath="%USERPROFILE%\AppData\Local\Temp\OnboardLogs" /stypes="*4010*201710052*" /stext=" 22:.+((SYSTEM_STATE.+slice.+state.+changed )|(ment ac)|(multiple cpu faults)|(system.+state.+changed )|(\[timeout)|(PRM\|1\|D)|(kpr)|(kdp)|(train st.+moving)|(\|lc)|(penalty))"</v>
      </c>
      <c r="U13" s="9" t="str">
        <f t="shared" si="2"/>
        <v>4010</v>
      </c>
      <c r="V13" s="31">
        <f t="shared" si="3"/>
        <v>43013.95</v>
      </c>
      <c r="W13" s="45" t="str">
        <f t="shared" si="4"/>
        <v>EC</v>
      </c>
      <c r="X13" s="22">
        <f t="shared" si="5"/>
        <v>203</v>
      </c>
      <c r="Y13" s="96" t="str">
        <f t="shared" si="6"/>
        <v>echo {"issue":{"subject":"Early Arrival","project_id":79,"tracker_id":40,"status_id":1,"priority_id":2,"assigned_to_id":338,"start_date":"2017-10-05","description":"","custom_fields":[{"id":1,"name":"Subdivision","value":"EC"},{"id":4,"name":"Milepost","value":"6.3069"},{"id":17,"name":"Train ID","value":"203-05"},{"id":16,"name":"Locomotive ID","value":"4010"},{"id":130,"name":"Impact","value":""},{"id":150,"name":"Time of Event (Mountain Time)","value":"16:48:00"},{"id":151,"name":"Denver Issue ID","value":""},{"id":178,"name":"Operational Impact","value":"Yes"},{"id":179,"name":"Denver Segment Assigned","value":""}]}} | curl --insecure -X POST -H "Content-Type: application/json" -H "X-Redmine-API-Key: %REDMINEAPIKEY%" https://secure.xorail.net/redmine/issues.json --data @-</v>
      </c>
      <c r="Z13" s="159"/>
      <c r="AA13" s="47"/>
      <c r="AB13" s="47"/>
      <c r="AC13" s="115" t="str">
        <f t="shared" si="7"/>
        <v>grep -hrE -A400 "Enforcement Action" /c/Users/stu/AppData/Local/Temp/OnboardLogs/RTDC4010 --include="*4010*201710052*" | grep -E "((Enforcement Ac)|(PRM))" -</v>
      </c>
      <c r="AD13" s="1" t="str">
        <f>"grep -hSE ""Enforcement Action"" "&amp;search_path&amp;"\RTDC"&amp;U13&amp;"\*"&amp;U13&amp;"*"&amp;TEXT(A13-utc_offset/24,"YYYYMMDD")&amp;LEFT(TEXT(A13-utc_offset/24,"HH"),1)&amp;"* &gt;&gt; "&amp;TEXT(Variables!$A$2,"YYYY-MM-DD")&amp;"-SliceDisagreementCheck.txt"</f>
        <v>grep -hSE "Enforcement Action" "%USERPROFILE%\AppData\Local\Temp\OnboardLogs"\RTDC4010\*4010*201710052* &gt;&gt; 2017-10-05-SliceDisagreementCheck.txt</v>
      </c>
      <c r="AE13" s="145" t="str">
        <f t="shared" si="9"/>
        <v>start /low /b %USERPROFILE%\Documents\GitHub\eaglep3\Utilities\DownloadLogsFromS3.py --loco 4010 --day 2017-10-05</v>
      </c>
      <c r="AF13" s="1"/>
    </row>
    <row r="14" spans="1:32" x14ac:dyDescent="0.25">
      <c r="A14" s="31">
        <v>43013.37804398148</v>
      </c>
      <c r="B14" s="30" t="s">
        <v>585</v>
      </c>
      <c r="C14" s="30" t="s">
        <v>586</v>
      </c>
      <c r="D14" s="30" t="s">
        <v>49</v>
      </c>
      <c r="E14" s="30" t="s">
        <v>185</v>
      </c>
      <c r="F14" s="42">
        <v>0</v>
      </c>
      <c r="G14" s="42">
        <v>373</v>
      </c>
      <c r="H14" s="42">
        <v>106937</v>
      </c>
      <c r="I14" s="42">
        <v>107749</v>
      </c>
      <c r="J14" s="30" t="s">
        <v>186</v>
      </c>
      <c r="K14" s="42">
        <v>108954</v>
      </c>
      <c r="L14" s="131" t="s">
        <v>50</v>
      </c>
      <c r="M14" s="132">
        <f t="shared" si="0"/>
        <v>636.24</v>
      </c>
      <c r="N14" s="133" t="str">
        <f>VLOOKUP(C14,'Trips&amp;Operators'!$C$1:$G$99911,5,FALSE)</f>
        <v>YANAI IAN</v>
      </c>
      <c r="O14" s="176" t="s">
        <v>178</v>
      </c>
      <c r="P14" s="134" t="s">
        <v>360</v>
      </c>
      <c r="Q14" s="30"/>
      <c r="R14" s="81" t="str">
        <f>VLOOKUP(C14,'Train Runs'!$A$13:$AE$10010,31,0)</f>
        <v>aws s3 cp s3://rtdc.mdm.uploadarchive.raw/RTDC4012/ "%USERPROFILE%\AppData\Local\Temp\OnboardLogs"\RTDC4012\2017-10-05 --exclude "*" --recursive --include "*20171005*" &amp; "%USERPROFILE%\Documents\GitHub\mrs-test-scripts\Headless Mode &amp; Sideloading\WalkAndUnGZ.bat" "%USERPROFILE%\AppData\Local\Temp\OnboardLogs"\RTDC4012\2017-10-05 &amp; aws s3 cp s3://rtdc.mdm.uploadarchive.raw/RTDC4012/ "%USERPROFILE%\AppData\Local\Temp\OnboardLogs"\RTDC4012\2017-10-06 --exclude "*" --recursive --include "*20171006*" &amp; "%USERPROFILE%\Documents\GitHub\mrs-test-scripts\Headless Mode &amp; Sideloading\WalkAndUnGZ.bat" "%USERPROFILE%\AppData\Local\Temp\OnboardLogs"\RTDC4012\2017-10-06</v>
      </c>
      <c r="S14" s="84" t="str">
        <f>VLOOKUP(C14,'Train Runs'!$A$13:$AE$10010,22,0)</f>
        <v>https://d0f6bd738d7f1b3e5a7ca70fe4ff75f0.us-east-1.aws.found.io/app/kibana#/discover/Steve-Slow-Train-Analysis-(2080s-and-2083s)?_g=(refreshInterval:(display:Off,pause:!f,section:0,value:0),time:(from:'2017-10-05T07:40:36-0600',mode:absolute,to:'2017-10-05T10:22:00-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4012%22')),sort:!(Time.ISO8601,asc))</v>
      </c>
      <c r="T14" s="86" t="str">
        <f t="shared" si="1"/>
        <v>"C:\Program Files (x86)\AstroGrep\AstroGrep.exe" /e /r /s /spath="%USERPROFILE%\AppData\Local\Temp\OnboardLogs" /stypes="*4012*201710051*" /stext=" 15:.+((SYSTEM_STATE.+slice.+state.+changed )|(ment ac)|(multiple cpu faults)|(system.+state.+changed )|(\[timeout)|(PRM\|1\|D)|(kpr)|(kdp)|(train st.+moving)|(\|lc)|(penalty))"</v>
      </c>
      <c r="U14" s="9" t="str">
        <f t="shared" si="2"/>
        <v>4012</v>
      </c>
      <c r="V14" s="31">
        <f t="shared" si="3"/>
        <v>43013.62804398148</v>
      </c>
      <c r="W14" s="45" t="str">
        <f t="shared" si="4"/>
        <v>EC</v>
      </c>
      <c r="X14" s="22">
        <f t="shared" si="5"/>
        <v>141</v>
      </c>
      <c r="Y14" s="96" t="str">
        <f t="shared" si="6"/>
        <v>echo {"issue":{"subject":"Early Arrival","project_id":79,"tracker_id":40,"status_id":1,"priority_id":2,"assigned_to_id":338,"start_date":"2017-10-05","description":"","custom_fields":[{"id":1,"name":"Subdivision","value":"EC"},{"id":4,"name":"Milepost","value":"10.8954"},{"id":17,"name":"Train ID","value":"141-05"},{"id":16,"name":"Locomotive ID","value":"4012"},{"id":130,"name":"Impact","value":""},{"id":150,"name":"Time of Event (Mountain Time)","value":"09:04:23"},{"id":151,"name":"Denver Issue ID","value":""},{"id":178,"name":"Operational Impact","value":"Yes"},{"id":179,"name":"Denver Segment Assigned","value":""}]}} | curl --insecure -X POST -H "Content-Type: application/json" -H "X-Redmine-API-Key: %REDMINEAPIKEY%" https://secure.xorail.net/redmine/issues.json --data @-</v>
      </c>
      <c r="Z14" s="159"/>
      <c r="AA14" s="47"/>
      <c r="AB14" s="47"/>
      <c r="AC14" s="115" t="str">
        <f t="shared" si="7"/>
        <v>grep -hrE -A400 "Enforcement Action" /c/Users/stu/AppData/Local/Temp/OnboardLogs/RTDC4012 --include="*4012*201710051*" | grep -E "((Enforcement Ac)|(PRM))" -</v>
      </c>
      <c r="AD14" s="1" t="str">
        <f>"grep -hSE ""Enforcement Action"" "&amp;search_path&amp;"\RTDC"&amp;U14&amp;"\*"&amp;U14&amp;"*"&amp;TEXT(A14-utc_offset/24,"YYYYMMDD")&amp;LEFT(TEXT(A14-utc_offset/24,"HH"),1)&amp;"* &gt;&gt; "&amp;TEXT(Variables!$A$2,"YYYY-MM-DD")&amp;"-SliceDisagreementCheck.txt"</f>
        <v>grep -hSE "Enforcement Action" "%USERPROFILE%\AppData\Local\Temp\OnboardLogs"\RTDC4012\*4012*201710051* &gt;&gt; 2017-10-05-SliceDisagreementCheck.txt</v>
      </c>
      <c r="AE14" s="145" t="str">
        <f t="shared" si="9"/>
        <v>start /low /b %USERPROFILE%\Documents\GitHub\eaglep3\Utilities\DownloadLogsFromS3.py --loco 4012 --day 2017-10-05</v>
      </c>
      <c r="AF14" s="1"/>
    </row>
    <row r="15" spans="1:32" x14ac:dyDescent="0.25">
      <c r="A15" s="31">
        <v>43013.378472222219</v>
      </c>
      <c r="B15" s="30" t="s">
        <v>585</v>
      </c>
      <c r="C15" s="30" t="s">
        <v>586</v>
      </c>
      <c r="D15" s="30" t="s">
        <v>49</v>
      </c>
      <c r="E15" s="30" t="s">
        <v>185</v>
      </c>
      <c r="F15" s="42">
        <v>60</v>
      </c>
      <c r="G15" s="42">
        <v>116</v>
      </c>
      <c r="H15" s="42">
        <v>107935</v>
      </c>
      <c r="I15" s="42">
        <v>108037</v>
      </c>
      <c r="J15" s="30" t="s">
        <v>186</v>
      </c>
      <c r="K15" s="42">
        <v>108954</v>
      </c>
      <c r="L15" s="131" t="s">
        <v>50</v>
      </c>
      <c r="M15" s="132">
        <f t="shared" si="0"/>
        <v>484.17599999999999</v>
      </c>
      <c r="N15" s="133" t="str">
        <f>VLOOKUP(C15,'Trips&amp;Operators'!$C$1:$G$99911,5,FALSE)</f>
        <v>YANAI IAN</v>
      </c>
      <c r="O15" s="176" t="s">
        <v>178</v>
      </c>
      <c r="P15" s="134" t="s">
        <v>360</v>
      </c>
      <c r="Q15" s="30"/>
      <c r="R15" s="81" t="str">
        <f>VLOOKUP(C15,'Train Runs'!$A$13:$AE$10010,31,0)</f>
        <v>aws s3 cp s3://rtdc.mdm.uploadarchive.raw/RTDC4012/ "%USERPROFILE%\AppData\Local\Temp\OnboardLogs"\RTDC4012\2017-10-05 --exclude "*" --recursive --include "*20171005*" &amp; "%USERPROFILE%\Documents\GitHub\mrs-test-scripts\Headless Mode &amp; Sideloading\WalkAndUnGZ.bat" "%USERPROFILE%\AppData\Local\Temp\OnboardLogs"\RTDC4012\2017-10-05 &amp; aws s3 cp s3://rtdc.mdm.uploadarchive.raw/RTDC4012/ "%USERPROFILE%\AppData\Local\Temp\OnboardLogs"\RTDC4012\2017-10-06 --exclude "*" --recursive --include "*20171006*" &amp; "%USERPROFILE%\Documents\GitHub\mrs-test-scripts\Headless Mode &amp; Sideloading\WalkAndUnGZ.bat" "%USERPROFILE%\AppData\Local\Temp\OnboardLogs"\RTDC4012\2017-10-06</v>
      </c>
      <c r="S15" s="84" t="str">
        <f>VLOOKUP(C15,'Train Runs'!$A$13:$AE$10010,22,0)</f>
        <v>https://d0f6bd738d7f1b3e5a7ca70fe4ff75f0.us-east-1.aws.found.io/app/kibana#/discover/Steve-Slow-Train-Analysis-(2080s-and-2083s)?_g=(refreshInterval:(display:Off,pause:!f,section:0,value:0),time:(from:'2017-10-05T07:40:36-0600',mode:absolute,to:'2017-10-05T10:22:00-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4012%22')),sort:!(Time.ISO8601,asc))</v>
      </c>
      <c r="T15" s="86" t="str">
        <f t="shared" si="1"/>
        <v>"C:\Program Files (x86)\AstroGrep\AstroGrep.exe" /e /r /s /spath="%USERPROFILE%\AppData\Local\Temp\OnboardLogs" /stypes="*4012*201710051*" /stext=" 15:.+((SYSTEM_STATE.+slice.+state.+changed )|(ment ac)|(multiple cpu faults)|(system.+state.+changed )|(\[timeout)|(PRM\|1\|D)|(kpr)|(kdp)|(train st.+moving)|(\|lc)|(penalty))"</v>
      </c>
      <c r="U15" s="9" t="str">
        <f t="shared" si="2"/>
        <v>4012</v>
      </c>
      <c r="V15" s="31">
        <f t="shared" si="3"/>
        <v>43013.628472222219</v>
      </c>
      <c r="W15" s="45" t="str">
        <f t="shared" si="4"/>
        <v>EC</v>
      </c>
      <c r="X15" s="22">
        <f t="shared" si="5"/>
        <v>141</v>
      </c>
      <c r="Y15" s="96" t="str">
        <f t="shared" si="6"/>
        <v>echo {"issue":{"subject":"Early Arrival","project_id":79,"tracker_id":40,"status_id":1,"priority_id":2,"assigned_to_id":338,"start_date":"2017-10-05","description":"","custom_fields":[{"id":1,"name":"Subdivision","value":"EC"},{"id":4,"name":"Milepost","value":"10.8954"},{"id":17,"name":"Train ID","value":"141-05"},{"id":16,"name":"Locomotive ID","value":"4012"},{"id":130,"name":"Impact","value":""},{"id":150,"name":"Time of Event (Mountain Time)","value":"09:05:00"},{"id":151,"name":"Denver Issue ID","value":""},{"id":178,"name":"Operational Impact","value":"Yes"},{"id":179,"name":"Denver Segment Assigned","value":""}]}} | curl --insecure -X POST -H "Content-Type: application/json" -H "X-Redmine-API-Key: %REDMINEAPIKEY%" https://secure.xorail.net/redmine/issues.json --data @-</v>
      </c>
      <c r="Z15" s="159"/>
      <c r="AA15" s="47"/>
      <c r="AB15" s="47"/>
      <c r="AC15" s="115" t="str">
        <f t="shared" si="7"/>
        <v>grep -hrE -A400 "Enforcement Action" /c/Users/stu/AppData/Local/Temp/OnboardLogs/RTDC4012 --include="*4012*201710051*" | grep -E "((Enforcement Ac)|(PRM))" -</v>
      </c>
      <c r="AD15" s="1" t="str">
        <f>"grep -hSE ""Enforcement Action"" "&amp;search_path&amp;"\RTDC"&amp;U15&amp;"\*"&amp;U15&amp;"*"&amp;TEXT(A15-utc_offset/24,"YYYYMMDD")&amp;LEFT(TEXT(A15-utc_offset/24,"HH"),1)&amp;"* &gt;&gt; "&amp;TEXT(Variables!$A$2,"YYYY-MM-DD")&amp;"-SliceDisagreementCheck.txt"</f>
        <v>grep -hSE "Enforcement Action" "%USERPROFILE%\AppData\Local\Temp\OnboardLogs"\RTDC4012\*4012*201710051* &gt;&gt; 2017-10-05-SliceDisagreementCheck.txt</v>
      </c>
      <c r="AE15" s="145" t="str">
        <f t="shared" si="9"/>
        <v>start /low /b %USERPROFILE%\Documents\GitHub\eaglep3\Utilities\DownloadLogsFromS3.py --loco 4012 --day 2017-10-05</v>
      </c>
      <c r="AF15" s="1"/>
    </row>
    <row r="16" spans="1:32" x14ac:dyDescent="0.25">
      <c r="A16" s="31">
        <v>43013.303298611114</v>
      </c>
      <c r="B16" s="30" t="s">
        <v>511</v>
      </c>
      <c r="C16" s="30" t="s">
        <v>582</v>
      </c>
      <c r="D16" s="30" t="s">
        <v>49</v>
      </c>
      <c r="E16" s="30" t="s">
        <v>185</v>
      </c>
      <c r="F16" s="42">
        <v>0</v>
      </c>
      <c r="G16" s="42">
        <v>221</v>
      </c>
      <c r="H16" s="42">
        <v>110169</v>
      </c>
      <c r="I16" s="42">
        <v>107653</v>
      </c>
      <c r="J16" s="30" t="s">
        <v>186</v>
      </c>
      <c r="K16" s="42">
        <v>109135</v>
      </c>
      <c r="L16" s="131" t="s">
        <v>51</v>
      </c>
      <c r="M16" s="132">
        <f t="shared" si="0"/>
        <v>-782.49599999999998</v>
      </c>
      <c r="N16" s="133" t="str">
        <f>VLOOKUP(C16,'Trips&amp;Operators'!$C$1:$G$99911,5,FALSE)</f>
        <v>BONDS REYNALDO</v>
      </c>
      <c r="O16" s="176" t="s">
        <v>178</v>
      </c>
      <c r="P16" s="134" t="s">
        <v>1007</v>
      </c>
      <c r="Q16" s="30"/>
      <c r="R16" s="81" t="str">
        <f>VLOOKUP(C16,'Train Runs'!$A$13:$AE$10010,31,0)</f>
        <v>aws s3 cp s3://rtdc.mdm.uploadarchive.raw/RTDC4009/ "%USERPROFILE%\AppData\Local\Temp\OnboardLogs"\RTDC4009\2017-10-05 --exclude "*" --recursive --include "*20171005*" &amp; "%USERPROFILE%\Documents\GitHub\mrs-test-scripts\Headless Mode &amp; Sideloading\WalkAndUnGZ.bat" "%USERPROFILE%\AppData\Local\Temp\OnboardLogs"\RTDC4009\2017-10-05 &amp; aws s3 cp s3://rtdc.mdm.uploadarchive.raw/RTDC4009/ "%USERPROFILE%\AppData\Local\Temp\OnboardLogs"\RTDC4009\2017-10-06 --exclude "*" --recursive --include "*20171006*" &amp; "%USERPROFILE%\Documents\GitHub\mrs-test-scripts\Headless Mode &amp; Sideloading\WalkAndUnGZ.bat" "%USERPROFILE%\AppData\Local\Temp\OnboardLogs"\RTDC4009\2017-10-06</v>
      </c>
      <c r="S16" s="84" t="str">
        <f>VLOOKUP(C16,'Train Runs'!$A$13:$AE$10010,22,0)</f>
        <v>https://d0f6bd738d7f1b3e5a7ca70fe4ff75f0.us-east-1.aws.found.io/app/kibana#/discover/Steve-Slow-Train-Analysis-(2080s-and-2083s)?_g=(refreshInterval:(display:Off,pause:!f,section:0,value:0),time:(from:'2017-10-05T05:48:56-0600',mode:absolute,to:'2017-10-05T08:37:26-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T16" s="86" t="str">
        <f t="shared" si="1"/>
        <v>"C:\Program Files (x86)\AstroGrep\AstroGrep.exe" /e /r /s /spath="%USERPROFILE%\AppData\Local\Temp\OnboardLogs" /stypes="*4009*201710051*" /stext=" 13:.+((SYSTEM_STATE.+slice.+state.+changed )|(ment ac)|(multiple cpu faults)|(system.+state.+changed )|(\[timeout)|(PRM\|1\|D)|(kpr)|(kdp)|(train st.+moving)|(\|lc)|(penalty))"</v>
      </c>
      <c r="U16" s="9" t="str">
        <f t="shared" si="2"/>
        <v>4009</v>
      </c>
      <c r="V16" s="31">
        <f t="shared" si="3"/>
        <v>43013.553298611114</v>
      </c>
      <c r="W16" s="45" t="str">
        <f t="shared" si="4"/>
        <v>EC</v>
      </c>
      <c r="X16" s="22">
        <f t="shared" si="5"/>
        <v>120</v>
      </c>
      <c r="Y16" s="96" t="str">
        <f t="shared" si="6"/>
        <v>echo {"issue":{"subject":"Form C Enforcement","project_id":79,"tracker_id":40,"status_id":1,"priority_id":2,"assigned_to_id":338,"start_date":"2017-10-05","description":"","custom_fields":[{"id":1,"name":"Subdivision","value":"EC"},{"id":4,"name":"Milepost","value":"10.9135"},{"id":17,"name":"Train ID","value":"120-05"},{"id":16,"name":"Locomotive ID","value":"4009"},{"id":130,"name":"Impact","value":""},{"id":150,"name":"Time of Event (Mountain Time)","value":"07:16:45"},{"id":151,"name":"Denver Issue ID","value":""},{"id":178,"name":"Operational Impact","value":"Yes"},{"id":179,"name":"Denver Segment Assigned","value":""}]}} | curl --insecure -X POST -H "Content-Type: application/json" -H "X-Redmine-API-Key: %REDMINEAPIKEY%" https://secure.xorail.net/redmine/issues.json --data @-</v>
      </c>
      <c r="Z16" s="159"/>
      <c r="AA16" s="47"/>
      <c r="AB16" s="47"/>
      <c r="AC16" s="115" t="str">
        <f t="shared" si="7"/>
        <v>grep -hrE -A400 "Enforcement Action" /c/Users/stu/AppData/Local/Temp/OnboardLogs/RTDC4009 --include="*4009*201710051*" | grep -E "((Enforcement Ac)|(PRM))" -</v>
      </c>
      <c r="AD16" s="1" t="str">
        <f>"grep -hSE ""Enforcement Action"" "&amp;search_path&amp;"\RTDC"&amp;U16&amp;"\*"&amp;U16&amp;"*"&amp;TEXT(A16-utc_offset/24,"YYYYMMDD")&amp;LEFT(TEXT(A16-utc_offset/24,"HH"),1)&amp;"* &gt;&gt; "&amp;TEXT(Variables!$A$2,"YYYY-MM-DD")&amp;"-SliceDisagreementCheck.txt"</f>
        <v>grep -hSE "Enforcement Action" "%USERPROFILE%\AppData\Local\Temp\OnboardLogs"\RTDC4009\*4009*201710051* &gt;&gt; 2017-10-05-SliceDisagreementCheck.txt</v>
      </c>
      <c r="AE16" s="145" t="str">
        <f t="shared" si="9"/>
        <v>start /low /b %USERPROFILE%\Documents\GitHub\eaglep3\Utilities\DownloadLogsFromS3.py --loco 4009 --day 2017-10-05</v>
      </c>
      <c r="AF16" s="1"/>
    </row>
    <row r="17" spans="1:32" x14ac:dyDescent="0.25">
      <c r="A17" s="31">
        <v>43013.374791666669</v>
      </c>
      <c r="B17" s="30" t="s">
        <v>511</v>
      </c>
      <c r="C17" s="30" t="s">
        <v>584</v>
      </c>
      <c r="D17" s="30" t="s">
        <v>49</v>
      </c>
      <c r="E17" s="30" t="s">
        <v>185</v>
      </c>
      <c r="F17" s="42">
        <v>0</v>
      </c>
      <c r="G17" s="42">
        <v>127</v>
      </c>
      <c r="H17" s="42">
        <v>109471</v>
      </c>
      <c r="I17" s="42">
        <v>109359</v>
      </c>
      <c r="J17" s="30" t="s">
        <v>186</v>
      </c>
      <c r="K17" s="42">
        <v>109135</v>
      </c>
      <c r="L17" s="131" t="s">
        <v>51</v>
      </c>
      <c r="M17" s="132">
        <f t="shared" si="0"/>
        <v>118.27200000000001</v>
      </c>
      <c r="N17" s="133" t="str">
        <f>VLOOKUP(C17,'Trips&amp;Operators'!$C$1:$G$99911,5,FALSE)</f>
        <v>BONDS REYNALDO</v>
      </c>
      <c r="O17" s="176" t="s">
        <v>178</v>
      </c>
      <c r="P17" s="134" t="s">
        <v>1007</v>
      </c>
      <c r="Q17" s="30"/>
      <c r="R17" s="81" t="str">
        <f>VLOOKUP(C17,'Train Runs'!$A$13:$AE$10010,31,0)</f>
        <v>aws s3 cp s3://rtdc.mdm.uploadarchive.raw/RTDC4009/ "%USERPROFILE%\AppData\Local\Temp\OnboardLogs"\RTDC4009\2017-10-05 --exclude "*" --recursive --include "*20171005*" &amp; "%USERPROFILE%\Documents\GitHub\mrs-test-scripts\Headless Mode &amp; Sideloading\WalkAndUnGZ.bat" "%USERPROFILE%\AppData\Local\Temp\OnboardLogs"\RTDC4009\2017-10-05 &amp; aws s3 cp s3://rtdc.mdm.uploadarchive.raw/RTDC4009/ "%USERPROFILE%\AppData\Local\Temp\OnboardLogs"\RTDC4009\2017-10-06 --exclude "*" --recursive --include "*20171006*" &amp; "%USERPROFILE%\Documents\GitHub\mrs-test-scripts\Headless Mode &amp; Sideloading\WalkAndUnGZ.bat" "%USERPROFILE%\AppData\Local\Temp\OnboardLogs"\RTDC4009\2017-10-06</v>
      </c>
      <c r="S17" s="84" t="str">
        <f>VLOOKUP(C17,'Train Runs'!$A$13:$AE$10010,22,0)</f>
        <v>https://d0f6bd738d7f1b3e5a7ca70fe4ff75f0.us-east-1.aws.found.io/app/kibana#/discover/Steve-Slow-Train-Analysis-(2080s-and-2083s)?_g=(refreshInterval:(display:Off,pause:!f,section:0,value:0),time:(from:'2017-10-05T07:37:47-0600',mode:absolute,to:'2017-10-05T10:21:21-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4009%22')),sort:!(Time.ISO8601,asc))</v>
      </c>
      <c r="T17" s="86" t="str">
        <f t="shared" si="1"/>
        <v>"C:\Program Files (x86)\AstroGrep\AstroGrep.exe" /e /r /s /spath="%USERPROFILE%\AppData\Local\Temp\OnboardLogs" /stypes="*4009*201710051*" /stext=" 14:.+((SYSTEM_STATE.+slice.+state.+changed )|(ment ac)|(multiple cpu faults)|(system.+state.+changed )|(\[timeout)|(PRM\|1\|D)|(kpr)|(kdp)|(train st.+moving)|(\|lc)|(penalty))"</v>
      </c>
      <c r="U17" s="9" t="str">
        <f t="shared" si="2"/>
        <v>4009</v>
      </c>
      <c r="V17" s="31">
        <f t="shared" si="3"/>
        <v>43013.624791666669</v>
      </c>
      <c r="W17" s="45" t="str">
        <f t="shared" si="4"/>
        <v>EC</v>
      </c>
      <c r="X17" s="22">
        <f t="shared" si="5"/>
        <v>134</v>
      </c>
      <c r="Y17" s="96" t="str">
        <f t="shared" si="6"/>
        <v>echo {"issue":{"subject":"Form C Enforcement","project_id":79,"tracker_id":40,"status_id":1,"priority_id":2,"assigned_to_id":338,"start_date":"2017-10-05","description":"","custom_fields":[{"id":1,"name":"Subdivision","value":"EC"},{"id":4,"name":"Milepost","value":"10.9135"},{"id":17,"name":"Train ID","value":"134-05"},{"id":16,"name":"Locomotive ID","value":"4009"},{"id":130,"name":"Impact","value":""},{"id":150,"name":"Time of Event (Mountain Time)","value":"08:59:42"},{"id":151,"name":"Denver Issue ID","value":""},{"id":178,"name":"Operational Impact","value":"Yes"},{"id":179,"name":"Denver Segment Assigned","value":""}]}} | curl --insecure -X POST -H "Content-Type: application/json" -H "X-Redmine-API-Key: %REDMINEAPIKEY%" https://secure.xorail.net/redmine/issues.json --data @-</v>
      </c>
      <c r="Z17" s="159"/>
      <c r="AA17" s="47"/>
      <c r="AB17" s="47"/>
      <c r="AC17" s="115" t="str">
        <f t="shared" si="7"/>
        <v>grep -hrE -A400 "Enforcement Action" /c/Users/stu/AppData/Local/Temp/OnboardLogs/RTDC4009 --include="*4009*201710051*" | grep -E "((Enforcement Ac)|(PRM))" -</v>
      </c>
      <c r="AD17" s="1" t="str">
        <f>"grep -hSE ""Enforcement Action"" "&amp;search_path&amp;"\RTDC"&amp;U17&amp;"\*"&amp;U17&amp;"*"&amp;TEXT(A17-utc_offset/24,"YYYYMMDD")&amp;LEFT(TEXT(A17-utc_offset/24,"HH"),1)&amp;"* &gt;&gt; "&amp;TEXT(Variables!$A$2,"YYYY-MM-DD")&amp;"-SliceDisagreementCheck.txt"</f>
        <v>grep -hSE "Enforcement Action" "%USERPROFILE%\AppData\Local\Temp\OnboardLogs"\RTDC4009\*4009*201710051* &gt;&gt; 2017-10-05-SliceDisagreementCheck.txt</v>
      </c>
      <c r="AE17" s="145" t="str">
        <f t="shared" si="9"/>
        <v>start /low /b %USERPROFILE%\Documents\GitHub\eaglep3\Utilities\DownloadLogsFromS3.py --loco 4009 --day 2017-10-05</v>
      </c>
      <c r="AF17" s="1"/>
    </row>
    <row r="18" spans="1:32" x14ac:dyDescent="0.25">
      <c r="A18" s="31">
        <v>43013.66810185185</v>
      </c>
      <c r="B18" s="30" t="s">
        <v>610</v>
      </c>
      <c r="C18" s="30" t="s">
        <v>611</v>
      </c>
      <c r="D18" s="30" t="s">
        <v>49</v>
      </c>
      <c r="E18" s="30" t="s">
        <v>192</v>
      </c>
      <c r="F18" s="42">
        <v>200</v>
      </c>
      <c r="G18" s="42">
        <v>318</v>
      </c>
      <c r="H18" s="42">
        <v>6754</v>
      </c>
      <c r="I18" s="42">
        <v>6107</v>
      </c>
      <c r="J18" s="30" t="s">
        <v>193</v>
      </c>
      <c r="K18" s="42">
        <v>5457</v>
      </c>
      <c r="L18" s="131" t="s">
        <v>51</v>
      </c>
      <c r="M18" s="132">
        <f t="shared" si="0"/>
        <v>343.2</v>
      </c>
      <c r="N18" s="133" t="str">
        <f>VLOOKUP(C18,'Trips&amp;Operators'!$C$1:$G$99911,5,FALSE)</f>
        <v>HOLCOMB KAMDEN</v>
      </c>
      <c r="O18" s="176" t="s">
        <v>178</v>
      </c>
      <c r="P18" s="134"/>
      <c r="Q18" s="30"/>
      <c r="R18" s="81" t="str">
        <f>VLOOKUP(C18,'Train Runs'!$A$13:$AE$10010,31,0)</f>
        <v>aws s3 cp s3://rtdc.mdm.uploadarchive.raw/RTDC4015/ "%USERPROFILE%\AppData\Local\Temp\OnboardLogs"\RTDC4015\2017-10-05 --exclude "*" --recursive --include "*20171005*" &amp; "%USERPROFILE%\Documents\GitHub\mrs-test-scripts\Headless Mode &amp; Sideloading\WalkAndUnGZ.bat" "%USERPROFILE%\AppData\Local\Temp\OnboardLogs"\RTDC4015\2017-10-05 &amp; aws s3 cp s3://rtdc.mdm.uploadarchive.raw/RTDC4015/ "%USERPROFILE%\AppData\Local\Temp\OnboardLogs"\RTDC4015\2017-10-06 --exclude "*" --recursive --include "*20171006*" &amp; "%USERPROFILE%\Documents\GitHub\mrs-test-scripts\Headless Mode &amp; Sideloading\WalkAndUnGZ.bat" "%USERPROFILE%\AppData\Local\Temp\OnboardLogs"\RTDC4015\2017-10-06</v>
      </c>
      <c r="S18" s="84" t="str">
        <f>VLOOKUP(C18,'Train Runs'!$A$13:$AE$10010,22,0)</f>
        <v>https://d0f6bd738d7f1b3e5a7ca70fe4ff75f0.us-east-1.aws.found.io/app/kibana#/discover/Steve-Slow-Train-Analysis-(2080s-and-2083s)?_g=(refreshInterval:(display:Off,pause:!f,section:0,value:0),time:(from:'2017-10-05T14:21:09-0600',mode:absolute,to:'2017-10-05T17:05:13-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4015%22')),sort:!(Time.ISO8601,asc))</v>
      </c>
      <c r="T18" s="86" t="str">
        <f t="shared" si="1"/>
        <v>"C:\Program Files (x86)\AstroGrep\AstroGrep.exe" /e /r /s /spath="%USERPROFILE%\AppData\Local\Temp\OnboardLogs" /stypes="*4015*201710052*" /stext=" 22:.+((SYSTEM_STATE.+slice.+state.+changed )|(ment ac)|(multiple cpu faults)|(system.+state.+changed )|(\[timeout)|(PRM\|1\|D)|(kpr)|(kdp)|(train st.+moving)|(\|lc)|(penalty))"</v>
      </c>
      <c r="U18" s="9" t="str">
        <f t="shared" si="2"/>
        <v>4015</v>
      </c>
      <c r="V18" s="31">
        <f t="shared" si="3"/>
        <v>43013.91810185185</v>
      </c>
      <c r="W18" s="45" t="str">
        <f t="shared" si="4"/>
        <v>EC</v>
      </c>
      <c r="X18" s="22">
        <f t="shared" si="5"/>
        <v>188</v>
      </c>
      <c r="Y18" s="96" t="str">
        <f t="shared" si="6"/>
        <v>echo {"issue":{"subject":"","project_id":79,"tracker_id":40,"status_id":1,"priority_id":2,"assigned_to_id":338,"start_date":"2017-10-05","description":"","custom_fields":[{"id":1,"name":"Subdivision","value":"EC"},{"id":4,"name":"Milepost","value":"0.5457"},{"id":17,"name":"Train ID","value":"188-05"},{"id":16,"name":"Locomotive ID","value":"4015"},{"id":130,"name":"Impact","value":""},{"id":150,"name":"Time of Event (Mountain Time)","value":"16:02:04"},{"id":151,"name":"Denver Issue ID","value":""},{"id":178,"name":"Operational Impact","value":"Yes"},{"id":179,"name":"Denver Segment Assigned","value":""}]}} | curl --insecure -X POST -H "Content-Type: application/json" -H "X-Redmine-API-Key: %REDMINEAPIKEY%" https://secure.xorail.net/redmine/issues.json --data @-</v>
      </c>
      <c r="Z18" s="159"/>
      <c r="AA18" s="47"/>
      <c r="AB18" s="47"/>
      <c r="AC18" s="115" t="str">
        <f t="shared" si="7"/>
        <v>grep -hrE -A400 "Enforcement Action" /c/Users/stu/AppData/Local/Temp/OnboardLogs/RTDC4015 --include="*4015*201710052*" | grep -E "((Enforcement Ac)|(PRM))" -</v>
      </c>
      <c r="AD18" s="1" t="str">
        <f>"grep -hSE ""Enforcement Action"" "&amp;search_path&amp;"\RTDC"&amp;U18&amp;"\*"&amp;U18&amp;"*"&amp;TEXT(A18-utc_offset/24,"YYYYMMDD")&amp;LEFT(TEXT(A18-utc_offset/24,"HH"),1)&amp;"* &gt;&gt; "&amp;TEXT(Variables!$A$2,"YYYY-MM-DD")&amp;"-SliceDisagreementCheck.txt"</f>
        <v>grep -hSE "Enforcement Action" "%USERPROFILE%\AppData\Local\Temp\OnboardLogs"\RTDC4015\*4015*201710052* &gt;&gt; 2017-10-05-SliceDisagreementCheck.txt</v>
      </c>
      <c r="AE18" s="145" t="str">
        <f t="shared" si="9"/>
        <v>start /low /b %USERPROFILE%\Documents\GitHub\eaglep3\Utilities\DownloadLogsFromS3.py --loco 4015 --day 2017-10-05</v>
      </c>
      <c r="AF18" s="1"/>
    </row>
    <row r="19" spans="1:32" x14ac:dyDescent="0.25">
      <c r="A19" s="31">
        <v>43013.438194444447</v>
      </c>
      <c r="B19" s="30" t="s">
        <v>394</v>
      </c>
      <c r="C19" s="30" t="s">
        <v>591</v>
      </c>
      <c r="D19" s="30" t="s">
        <v>49</v>
      </c>
      <c r="E19" s="30" t="s">
        <v>192</v>
      </c>
      <c r="F19" s="42">
        <v>600</v>
      </c>
      <c r="G19" s="42">
        <v>695</v>
      </c>
      <c r="H19" s="42">
        <v>182026</v>
      </c>
      <c r="I19" s="42">
        <v>184892</v>
      </c>
      <c r="J19" s="30" t="s">
        <v>193</v>
      </c>
      <c r="K19" s="42">
        <v>183829</v>
      </c>
      <c r="L19" s="131" t="s">
        <v>50</v>
      </c>
      <c r="M19" s="132">
        <f t="shared" si="0"/>
        <v>-561.26400000000001</v>
      </c>
      <c r="N19" s="133" t="str">
        <f>VLOOKUP(C19,'Trips&amp;Operators'!$C$1:$G$99911,5,FALSE)</f>
        <v>WILLIAMS DONTE</v>
      </c>
      <c r="O19" s="176" t="s">
        <v>178</v>
      </c>
      <c r="P19" s="134"/>
      <c r="Q19" s="30"/>
      <c r="R19" s="81" t="str">
        <f>VLOOKUP(C19,'Train Runs'!$A$13:$AE$10010,31,0)</f>
        <v>aws s3 cp s3://rtdc.mdm.uploadarchive.raw/RTDC4042/ "%USERPROFILE%\AppData\Local\Temp\OnboardLogs"\RTDC4042\2017-10-05 --exclude "*" --recursive --include "*20171005*" &amp; "%USERPROFILE%\Documents\GitHub\mrs-test-scripts\Headless Mode &amp; Sideloading\WalkAndUnGZ.bat" "%USERPROFILE%\AppData\Local\Temp\OnboardLogs"\RTDC4042\2017-10-05 &amp; aws s3 cp s3://rtdc.mdm.uploadarchive.raw/RTDC4042/ "%USERPROFILE%\AppData\Local\Temp\OnboardLogs"\RTDC4042\2017-10-06 --exclude "*" --recursive --include "*20171006*" &amp; "%USERPROFILE%\Documents\GitHub\mrs-test-scripts\Headless Mode &amp; Sideloading\WalkAndUnGZ.bat" "%USERPROFILE%\AppData\Local\Temp\OnboardLogs"\RTDC4042\2017-10-06</v>
      </c>
      <c r="S19" s="84" t="str">
        <f>VLOOKUP(C19,'Train Runs'!$A$13:$AE$10010,22,0)</f>
        <v>https://d0f6bd738d7f1b3e5a7ca70fe4ff75f0.us-east-1.aws.found.io/app/kibana#/discover/Steve-Slow-Train-Analysis-(2080s-and-2083s)?_g=(refreshInterval:(display:Off,pause:!f,section:0,value:0),time:(from:'2017-10-05T08:54:55-0600',mode:absolute,to:'2017-10-05T11:38:46-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4042%22')),sort:!(Time.ISO8601,asc))</v>
      </c>
      <c r="T19" s="86" t="str">
        <f t="shared" si="1"/>
        <v>"C:\Program Files (x86)\AstroGrep\AstroGrep.exe" /e /r /s /spath="%USERPROFILE%\AppData\Local\Temp\OnboardLogs" /stypes="*4042*201710051*" /stext=" 16:.+((SYSTEM_STATE.+slice.+state.+changed )|(ment ac)|(multiple cpu faults)|(system.+state.+changed )|(\[timeout)|(PRM\|1\|D)|(kpr)|(kdp)|(train st.+moving)|(\|lc)|(penalty))"</v>
      </c>
      <c r="U19" s="9" t="str">
        <f t="shared" si="2"/>
        <v>4042</v>
      </c>
      <c r="V19" s="31">
        <f t="shared" si="3"/>
        <v>43013.688194444447</v>
      </c>
      <c r="W19" s="45" t="str">
        <f t="shared" si="4"/>
        <v>EC</v>
      </c>
      <c r="X19" s="22">
        <f t="shared" si="5"/>
        <v>151</v>
      </c>
      <c r="Y19" s="96" t="str">
        <f t="shared" si="6"/>
        <v>echo {"issue":{"subject":"","project_id":79,"tracker_id":40,"status_id":1,"priority_id":2,"assigned_to_id":338,"start_date":"2017-10-05","description":"","custom_fields":[{"id":1,"name":"Subdivision","value":"EC"},{"id":4,"name":"Milepost","value":"18.3829"},{"id":17,"name":"Train ID","value":"151-05"},{"id":16,"name":"Locomotive ID","value":"4042"},{"id":130,"name":"Impact","value":""},{"id":150,"name":"Time of Event (Mountain Time)","value":"10:31:00"},{"id":151,"name":"Denver Issue ID","value":""},{"id":178,"name":"Operational Impact","value":"Yes"},{"id":179,"name":"Denver Segment Assigned","value":""}]}} | curl --insecure -X POST -H "Content-Type: application/json" -H "X-Redmine-API-Key: %REDMINEAPIKEY%" https://secure.xorail.net/redmine/issues.json --data @-</v>
      </c>
      <c r="Z19" s="159"/>
      <c r="AA19" s="47"/>
      <c r="AB19" s="47"/>
      <c r="AC19" s="115" t="str">
        <f t="shared" si="7"/>
        <v>grep -hrE -A400 "Enforcement Action" /c/Users/stu/AppData/Local/Temp/OnboardLogs/RTDC4042 --include="*4042*201710051*" | grep -E "((Enforcement Ac)|(PRM))" -</v>
      </c>
      <c r="AD19" s="1" t="str">
        <f>"grep -hSE ""Enforcement Action"" "&amp;search_path&amp;"\RTDC"&amp;U19&amp;"\*"&amp;U19&amp;"*"&amp;TEXT(A19-utc_offset/24,"YYYYMMDD")&amp;LEFT(TEXT(A19-utc_offset/24,"HH"),1)&amp;"* &gt;&gt; "&amp;TEXT(Variables!$A$2,"YYYY-MM-DD")&amp;"-SliceDisagreementCheck.txt"</f>
        <v>grep -hSE "Enforcement Action" "%USERPROFILE%\AppData\Local\Temp\OnboardLogs"\RTDC4042\*4042*201710051* &gt;&gt; 2017-10-05-SliceDisagreementCheck.txt</v>
      </c>
      <c r="AE19" s="145" t="str">
        <f t="shared" si="9"/>
        <v>start /low /b %USERPROFILE%\Documents\GitHub\eaglep3\Utilities\DownloadLogsFromS3.py --loco 4042 --day 2017-10-05</v>
      </c>
      <c r="AF19" s="1"/>
    </row>
    <row r="20" spans="1:32" x14ac:dyDescent="0.25">
      <c r="A20" s="31">
        <v>43013.703506944446</v>
      </c>
      <c r="B20" s="30" t="s">
        <v>605</v>
      </c>
      <c r="C20" s="30" t="s">
        <v>613</v>
      </c>
      <c r="D20" s="30" t="s">
        <v>49</v>
      </c>
      <c r="E20" s="30" t="s">
        <v>192</v>
      </c>
      <c r="F20" s="42">
        <v>550</v>
      </c>
      <c r="G20" s="42">
        <v>794</v>
      </c>
      <c r="H20" s="42">
        <v>217781</v>
      </c>
      <c r="I20" s="42">
        <v>221510</v>
      </c>
      <c r="J20" s="30" t="s">
        <v>193</v>
      </c>
      <c r="K20" s="42">
        <v>222090</v>
      </c>
      <c r="L20" s="131" t="s">
        <v>50</v>
      </c>
      <c r="M20" s="132">
        <f t="shared" si="0"/>
        <v>306.24</v>
      </c>
      <c r="N20" s="133" t="str">
        <f>VLOOKUP(C20,'Trips&amp;Operators'!$C$1:$G$99911,5,FALSE)</f>
        <v>HOLCOMB KAMDEN</v>
      </c>
      <c r="O20" s="176" t="s">
        <v>178</v>
      </c>
      <c r="P20" s="134"/>
      <c r="Q20" s="30"/>
      <c r="R20" s="81" t="str">
        <f>VLOOKUP(C20,'Train Runs'!$A$13:$AE$10010,31,0)</f>
        <v>aws s3 cp s3://rtdc.mdm.uploadarchive.raw/RTDC4016/ "%USERPROFILE%\AppData\Local\Temp\OnboardLogs"\RTDC4016\2017-10-05 --exclude "*" --recursive --include "*20171005*" &amp; "%USERPROFILE%\Documents\GitHub\mrs-test-scripts\Headless Mode &amp; Sideloading\WalkAndUnGZ.bat" "%USERPROFILE%\AppData\Local\Temp\OnboardLogs"\RTDC4016\2017-10-05 &amp; aws s3 cp s3://rtdc.mdm.uploadarchive.raw/RTDC4016/ "%USERPROFILE%\AppData\Local\Temp\OnboardLogs"\RTDC4016\2017-10-06 --exclude "*" --recursive --include "*20171006*" &amp; "%USERPROFILE%\Documents\GitHub\mrs-test-scripts\Headless Mode &amp; Sideloading\WalkAndUnGZ.bat" "%USERPROFILE%\AppData\Local\Temp\OnboardLogs"\RTDC4016\2017-10-06</v>
      </c>
      <c r="S20" s="84" t="str">
        <f>VLOOKUP(C20,'Train Runs'!$A$13:$AE$10010,22,0)</f>
        <v>https://d0f6bd738d7f1b3e5a7ca70fe4ff75f0.us-east-1.aws.found.io/app/kibana#/discover/Steve-Slow-Train-Analysis-(2080s-and-2083s)?_g=(refreshInterval:(display:Off,pause:!f,section:0,value:0),time:(from:'2017-10-05T15:12:10-0600',mode:absolute,to:'2017-10-05T17:56:50-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T20" s="86" t="str">
        <f t="shared" si="1"/>
        <v>"C:\Program Files (x86)\AstroGrep\AstroGrep.exe" /e /r /s /spath="%USERPROFILE%\AppData\Local\Temp\OnboardLogs" /stypes="*4016*201710052*" /stext=" 22:.+((SYSTEM_STATE.+slice.+state.+changed )|(ment ac)|(multiple cpu faults)|(system.+state.+changed )|(\[timeout)|(PRM\|1\|D)|(kpr)|(kdp)|(train st.+moving)|(\|lc)|(penalty))"</v>
      </c>
      <c r="U20" s="9" t="str">
        <f t="shared" si="2"/>
        <v>4016</v>
      </c>
      <c r="V20" s="31">
        <f t="shared" si="3"/>
        <v>43013.953506944446</v>
      </c>
      <c r="W20" s="45" t="str">
        <f t="shared" si="4"/>
        <v>EC</v>
      </c>
      <c r="X20" s="22">
        <f t="shared" si="5"/>
        <v>201</v>
      </c>
      <c r="Y20" s="96" t="str">
        <f t="shared" si="6"/>
        <v>echo {"issue":{"subject":"","project_id":79,"tracker_id":40,"status_id":1,"priority_id":2,"assigned_to_id":338,"start_date":"2017-10-05","description":"","custom_fields":[{"id":1,"name":"Subdivision","value":"EC"},{"id":4,"name":"Milepost","value":"22.209"},{"id":17,"name":"Train ID","value":"201-05"},{"id":16,"name":"Locomotive ID","value":"4016"},{"id":130,"name":"Impact","value":""},{"id":150,"name":"Time of Event (Mountain Time)","value":"16:53:03"},{"id":151,"name":"Denver Issue ID","value":""},{"id":178,"name":"Operational Impact","value":"Yes"},{"id":179,"name":"Denver Segment Assigned","value":""}]}} | curl --insecure -X POST -H "Content-Type: application/json" -H "X-Redmine-API-Key: %REDMINEAPIKEY%" https://secure.xorail.net/redmine/issues.json --data @-</v>
      </c>
      <c r="Z20" s="159"/>
      <c r="AA20" s="47"/>
      <c r="AB20" s="47"/>
      <c r="AC20" s="115" t="str">
        <f t="shared" si="7"/>
        <v>grep -hrE -A400 "Enforcement Action" /c/Users/stu/AppData/Local/Temp/OnboardLogs/RTDC4016 --include="*4016*201710052*" | grep -E "((Enforcement Ac)|(PRM))" -</v>
      </c>
      <c r="AD20" s="1" t="str">
        <f>"grep -hSE ""Enforcement Action"" "&amp;search_path&amp;"\RTDC"&amp;U20&amp;"\*"&amp;U20&amp;"*"&amp;TEXT(A20-utc_offset/24,"YYYYMMDD")&amp;LEFT(TEXT(A20-utc_offset/24,"HH"),1)&amp;"* &gt;&gt; "&amp;TEXT(Variables!$A$2,"YYYY-MM-DD")&amp;"-SliceDisagreementCheck.txt"</f>
        <v>grep -hSE "Enforcement Action" "%USERPROFILE%\AppData\Local\Temp\OnboardLogs"\RTDC4016\*4016*201710052* &gt;&gt; 2017-10-05-SliceDisagreementCheck.txt</v>
      </c>
      <c r="AE20" s="145" t="str">
        <f t="shared" si="9"/>
        <v>start /low /b %USERPROFILE%\Documents\GitHub\eaglep3\Utilities\DownloadLogsFromS3.py --loco 4016 --day 2017-10-05</v>
      </c>
      <c r="AF20" s="1"/>
    </row>
    <row r="21" spans="1:32" x14ac:dyDescent="0.25">
      <c r="A21" s="31">
        <v>43013.402233796296</v>
      </c>
      <c r="B21" s="30" t="s">
        <v>573</v>
      </c>
      <c r="C21" s="30" t="s">
        <v>588</v>
      </c>
      <c r="D21" s="30" t="s">
        <v>49</v>
      </c>
      <c r="E21" s="30" t="s">
        <v>357</v>
      </c>
      <c r="F21" s="42">
        <v>0</v>
      </c>
      <c r="G21" s="42">
        <v>520</v>
      </c>
      <c r="H21" s="42">
        <v>53807</v>
      </c>
      <c r="I21" s="42">
        <v>51894</v>
      </c>
      <c r="J21" s="30" t="s">
        <v>358</v>
      </c>
      <c r="K21" s="42">
        <v>50763</v>
      </c>
      <c r="L21" s="131" t="s">
        <v>51</v>
      </c>
      <c r="M21" s="132">
        <f t="shared" si="0"/>
        <v>597.16800000000001</v>
      </c>
      <c r="N21" s="133" t="str">
        <f>VLOOKUP(C21,'Trips&amp;Operators'!$C$1:$G$99911,5,FALSE)</f>
        <v>PAGE MARCUS</v>
      </c>
      <c r="O21" s="176" t="s">
        <v>386</v>
      </c>
      <c r="P21" s="134" t="s">
        <v>1012</v>
      </c>
      <c r="Q21" s="30"/>
      <c r="R21" s="81" t="str">
        <f>VLOOKUP(C21,'Train Runs'!$A$13:$AE$10010,31,0)</f>
        <v>aws s3 cp s3://rtdc.mdm.uploadarchive.raw/RTDC4041/ "%USERPROFILE%\AppData\Local\Temp\OnboardLogs"\RTDC4041\2017-10-05 --exclude "*" --recursive --include "*20171005*" &amp; "%USERPROFILE%\Documents\GitHub\mrs-test-scripts\Headless Mode &amp; Sideloading\WalkAndUnGZ.bat" "%USERPROFILE%\AppData\Local\Temp\OnboardLogs"\RTDC4041\2017-10-05 &amp; aws s3 cp s3://rtdc.mdm.uploadarchive.raw/RTDC4041/ "%USERPROFILE%\AppData\Local\Temp\OnboardLogs"\RTDC4041\2017-10-06 --exclude "*" --recursive --include "*20171006*" &amp; "%USERPROFILE%\Documents\GitHub\mrs-test-scripts\Headless Mode &amp; Sideloading\WalkAndUnGZ.bat" "%USERPROFILE%\AppData\Local\Temp\OnboardLogs"\RTDC4041\2017-10-06</v>
      </c>
      <c r="S21" s="84" t="str">
        <f>VLOOKUP(C21,'Train Runs'!$A$13:$AE$10010,22,0)</f>
        <v>https://d0f6bd738d7f1b3e5a7ca70fe4ff75f0.us-east-1.aws.found.io/app/kibana#/discover/Steve-Slow-Train-Analysis-(2080s-and-2083s)?_g=(refreshInterval:(display:Off,pause:!f,section:0,value:0),time:(from:'2017-10-05T08:03:21-0600',mode:absolute,to:'2017-10-05T10:52:27-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4041%22')),sort:!(Time.ISO8601,asc))</v>
      </c>
      <c r="T21" s="86" t="str">
        <f t="shared" si="1"/>
        <v>"C:\Program Files (x86)\AstroGrep\AstroGrep.exe" /e /r /s /spath="%USERPROFILE%\AppData\Local\Temp\OnboardLogs" /stypes="*4041*201710051*" /stext=" 15:.+((SYSTEM_STATE.+slice.+state.+changed )|(ment ac)|(multiple cpu faults)|(system.+state.+changed )|(\[timeout)|(PRM\|1\|D)|(kpr)|(kdp)|(train st.+moving)|(\|lc)|(penalty))"</v>
      </c>
      <c r="U21" s="9" t="str">
        <f t="shared" si="2"/>
        <v>4041</v>
      </c>
      <c r="V21" s="31">
        <f t="shared" si="3"/>
        <v>43013.652233796296</v>
      </c>
      <c r="W21" s="45" t="str">
        <f t="shared" si="4"/>
        <v>EC</v>
      </c>
      <c r="X21" s="22">
        <f t="shared" si="5"/>
        <v>138</v>
      </c>
      <c r="Y21" s="96" t="str">
        <f t="shared" si="6"/>
        <v>echo {"issue":{"subject":"Wi-MAX data drop, GPS antenna needed servicing @ Monaco Tower","project_id":79,"tracker_id":40,"status_id":1,"priority_id":2,"assigned_to_id":338,"start_date":"2017-10-05","description":"","custom_fields":[{"id":1,"name":"Subdivision","value":"EC"},{"id":4,"name":"Milepost","value":"5.0763"},{"id":17,"name":"Train ID","value":"138-05"},{"id":16,"name":"Locomotive ID","value":"4041"},{"id":130,"name":"Impact","value":""},{"id":150,"name":"Time of Event (Mountain Time)","value":"09:39:13"},{"id":151,"name":"Denver Issue ID","value":""},{"id":178,"name":"Operational Impact","value":"Yes"},{"id":179,"name":"Denver Segment Assigned","value":""}]}} | curl --insecure -X POST -H "Content-Type: application/json" -H "X-Redmine-API-Key: %REDMINEAPIKEY%" https://secure.xorail.net/redmine/issues.json --data @-</v>
      </c>
      <c r="Z21" s="159"/>
      <c r="AA21" s="47"/>
      <c r="AB21" s="47"/>
      <c r="AC21" s="115" t="str">
        <f t="shared" si="7"/>
        <v>grep -hrE -A400 "Enforcement Action" /c/Users/stu/AppData/Local/Temp/OnboardLogs/RTDC4041 --include="*4041*201710051*" | grep -E "((Enforcement Ac)|(PRM))" -</v>
      </c>
      <c r="AD21" s="1" t="str">
        <f>"grep -hSE ""Enforcement Action"" "&amp;search_path&amp;"\RTDC"&amp;U21&amp;"\*"&amp;U21&amp;"*"&amp;TEXT(A21-utc_offset/24,"YYYYMMDD")&amp;LEFT(TEXT(A21-utc_offset/24,"HH"),1)&amp;"* &gt;&gt; "&amp;TEXT(Variables!$A$2,"YYYY-MM-DD")&amp;"-SliceDisagreementCheck.txt"</f>
        <v>grep -hSE "Enforcement Action" "%USERPROFILE%\AppData\Local\Temp\OnboardLogs"\RTDC4041\*4041*201710051* &gt;&gt; 2017-10-05-SliceDisagreementCheck.txt</v>
      </c>
      <c r="AE21" s="145" t="str">
        <f t="shared" si="9"/>
        <v>start /low /b %USERPROFILE%\Documents\GitHub\eaglep3\Utilities\DownloadLogsFromS3.py --loco 4041 --day 2017-10-05</v>
      </c>
      <c r="AF21" s="1"/>
    </row>
    <row r="22" spans="1:32" x14ac:dyDescent="0.25">
      <c r="A22" s="31">
        <v>43013.497106481482</v>
      </c>
      <c r="B22" s="30" t="s">
        <v>503</v>
      </c>
      <c r="C22" s="30" t="s">
        <v>593</v>
      </c>
      <c r="D22" s="30" t="s">
        <v>49</v>
      </c>
      <c r="E22" s="30" t="s">
        <v>357</v>
      </c>
      <c r="F22" s="42">
        <v>0</v>
      </c>
      <c r="G22" s="42">
        <v>736</v>
      </c>
      <c r="H22" s="42">
        <v>147496</v>
      </c>
      <c r="I22" s="42">
        <v>150826</v>
      </c>
      <c r="J22" s="30" t="s">
        <v>358</v>
      </c>
      <c r="K22" s="42">
        <v>149694</v>
      </c>
      <c r="L22" s="131" t="s">
        <v>50</v>
      </c>
      <c r="M22" s="132">
        <f t="shared" si="0"/>
        <v>-597.69600000000003</v>
      </c>
      <c r="N22" s="133" t="str">
        <f>VLOOKUP(C22,'Trips&amp;Operators'!$C$1:$G$99911,5,FALSE)</f>
        <v>DAVIDSON DAVID</v>
      </c>
      <c r="O22" s="176" t="s">
        <v>386</v>
      </c>
      <c r="P22" s="134" t="s">
        <v>430</v>
      </c>
      <c r="Q22" s="30"/>
      <c r="R22" s="81" t="str">
        <f>VLOOKUP(C22,'Train Runs'!$A$13:$AE$10010,31,0)</f>
        <v>aws s3 cp s3://rtdc.mdm.uploadarchive.raw/RTDC4028/ "%USERPROFILE%\AppData\Local\Temp\OnboardLogs"\RTDC4028\2017-10-05 --exclude "*" --recursive --include "*20171005*" &amp; "%USERPROFILE%\Documents\GitHub\mrs-test-scripts\Headless Mode &amp; Sideloading\WalkAndUnGZ.bat" "%USERPROFILE%\AppData\Local\Temp\OnboardLogs"\RTDC4028\2017-10-05 &amp; aws s3 cp s3://rtdc.mdm.uploadarchive.raw/RTDC4028/ "%USERPROFILE%\AppData\Local\Temp\OnboardLogs"\RTDC4028\2017-10-06 --exclude "*" --recursive --include "*20171006*" &amp; "%USERPROFILE%\Documents\GitHub\mrs-test-scripts\Headless Mode &amp; Sideloading\WalkAndUnGZ.bat" "%USERPROFILE%\AppData\Local\Temp\OnboardLogs"\RTDC4028\2017-10-06</v>
      </c>
      <c r="S22" s="84" t="str">
        <f>VLOOKUP(C22,'Train Runs'!$A$13:$AE$10010,22,0)</f>
        <v>https://d0f6bd738d7f1b3e5a7ca70fe4ff75f0.us-east-1.aws.found.io/app/kibana#/discover/Steve-Slow-Train-Analysis-(2080s-and-2083s)?_g=(refreshInterval:(display:Off,pause:!f,section:0,value:0),time:(from:'2017-10-05T10:25:19-0600',mode:absolute,to:'2017-10-05T13:08:17-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4028%22')),sort:!(Time.ISO8601,asc))</v>
      </c>
      <c r="T22" s="86" t="str">
        <f t="shared" si="1"/>
        <v>"C:\Program Files (x86)\AstroGrep\AstroGrep.exe" /e /r /s /spath="%USERPROFILE%\AppData\Local\Temp\OnboardLogs" /stypes="*4028*201710051*" /stext=" 17:.+((SYSTEM_STATE.+slice.+state.+changed )|(ment ac)|(multiple cpu faults)|(system.+state.+changed )|(\[timeout)|(PRM\|1\|D)|(kpr)|(kdp)|(train st.+moving)|(\|lc)|(penalty))"</v>
      </c>
      <c r="U22" s="9" t="str">
        <f t="shared" si="2"/>
        <v>4028</v>
      </c>
      <c r="V22" s="31">
        <f t="shared" si="3"/>
        <v>43013.747106481482</v>
      </c>
      <c r="W22" s="45" t="str">
        <f t="shared" si="4"/>
        <v>EC</v>
      </c>
      <c r="X22" s="22">
        <f t="shared" si="5"/>
        <v>163</v>
      </c>
      <c r="Y22" s="96" t="str">
        <f t="shared" si="6"/>
        <v>echo {"issue":{"subject":"Wi-MAX data drop","project_id":79,"tracker_id":40,"status_id":1,"priority_id":2,"assigned_to_id":338,"start_date":"2017-10-05","description":"","custom_fields":[{"id":1,"name":"Subdivision","value":"EC"},{"id":4,"name":"Milepost","value":"14.9694"},{"id":17,"name":"Train ID","value":"163-05"},{"id":16,"name":"Locomotive ID","value":"4028"},{"id":130,"name":"Impact","value":""},{"id":150,"name":"Time of Event (Mountain Time)","value":"11:55:50"},{"id":151,"name":"Denver Issue ID","value":""},{"id":178,"name":"Operational Impact","value":"Yes"},{"id":179,"name":"Denver Segment Assigned","value":""}]}} | curl --insecure -X POST -H "Content-Type: application/json" -H "X-Redmine-API-Key: %REDMINEAPIKEY%" https://secure.xorail.net/redmine/issues.json --data @-</v>
      </c>
      <c r="Z22" s="159"/>
      <c r="AA22" s="47"/>
      <c r="AB22" s="47"/>
      <c r="AC22" s="115" t="str">
        <f t="shared" si="7"/>
        <v>grep -hrE -A400 "Enforcement Action" /c/Users/stu/AppData/Local/Temp/OnboardLogs/RTDC4028 --include="*4028*201710051*" | grep -E "((Enforcement Ac)|(PRM))" -</v>
      </c>
      <c r="AD22" s="1" t="str">
        <f>"grep -hSE ""Enforcement Action"" "&amp;search_path&amp;"\RTDC"&amp;U22&amp;"\*"&amp;U22&amp;"*"&amp;TEXT(A22-utc_offset/24,"YYYYMMDD")&amp;LEFT(TEXT(A22-utc_offset/24,"HH"),1)&amp;"* &gt;&gt; "&amp;TEXT(Variables!$A$2,"YYYY-MM-DD")&amp;"-SliceDisagreementCheck.txt"</f>
        <v>grep -hSE "Enforcement Action" "%USERPROFILE%\AppData\Local\Temp\OnboardLogs"\RTDC4028\*4028*201710051* &gt;&gt; 2017-10-05-SliceDisagreementCheck.txt</v>
      </c>
      <c r="AE22" s="145" t="str">
        <f t="shared" si="9"/>
        <v>start /low /b %USERPROFILE%\Documents\GitHub\eaglep3\Utilities\DownloadLogsFromS3.py --loco 4028 --day 2017-10-05</v>
      </c>
      <c r="AF22" s="1"/>
    </row>
    <row r="23" spans="1:32" x14ac:dyDescent="0.25">
      <c r="A23" s="31">
        <v>43013.550196759257</v>
      </c>
      <c r="B23" s="30" t="s">
        <v>391</v>
      </c>
      <c r="C23" s="30" t="s">
        <v>599</v>
      </c>
      <c r="D23" s="30" t="s">
        <v>49</v>
      </c>
      <c r="E23" s="30" t="s">
        <v>506</v>
      </c>
      <c r="F23" s="42">
        <v>0</v>
      </c>
      <c r="G23" s="42">
        <v>521</v>
      </c>
      <c r="H23" s="42">
        <v>56387</v>
      </c>
      <c r="I23" s="42">
        <v>57895</v>
      </c>
      <c r="J23" s="30" t="s">
        <v>507</v>
      </c>
      <c r="K23" s="42">
        <v>56976</v>
      </c>
      <c r="L23" s="131" t="s">
        <v>50</v>
      </c>
      <c r="M23" s="132">
        <f t="shared" si="0"/>
        <v>-485.23200000000003</v>
      </c>
      <c r="N23" s="133" t="str">
        <f>VLOOKUP(C23,'Trips&amp;Operators'!$C$1:$G$99911,5,FALSE)</f>
        <v>BRUDER RICHARD</v>
      </c>
      <c r="O23" s="176" t="s">
        <v>386</v>
      </c>
      <c r="P23" s="134" t="s">
        <v>1012</v>
      </c>
      <c r="Q23" s="30"/>
      <c r="R23" s="81" t="str">
        <f>VLOOKUP(C23,'Train Runs'!$A$13:$AE$10010,31,0)</f>
        <v>aws s3 cp s3://rtdc.mdm.uploadarchive.raw/RTDC4010/ "%USERPROFILE%\AppData\Local\Temp\OnboardLogs"\RTDC4010\2017-10-05 --exclude "*" --recursive --include "*20171005*" &amp; "%USERPROFILE%\Documents\GitHub\mrs-test-scripts\Headless Mode &amp; Sideloading\WalkAndUnGZ.bat" "%USERPROFILE%\AppData\Local\Temp\OnboardLogs"\RTDC4010\2017-10-05 &amp; aws s3 cp s3://rtdc.mdm.uploadarchive.raw/RTDC4010/ "%USERPROFILE%\AppData\Local\Temp\OnboardLogs"\RTDC4010\2017-10-06 --exclude "*" --recursive --include "*20171006*" &amp; "%USERPROFILE%\Documents\GitHub\mrs-test-scripts\Headless Mode &amp; Sideloading\WalkAndUnGZ.bat" "%USERPROFILE%\AppData\Local\Temp\OnboardLogs"\RTDC4010\2017-10-06</v>
      </c>
      <c r="S23" s="84" t="str">
        <f>VLOOKUP(C23,'Train Runs'!$A$13:$AE$10010,22,0)</f>
        <v>https://d0f6bd738d7f1b3e5a7ca70fe4ff75f0.us-east-1.aws.found.io/app/kibana#/discover/Steve-Slow-Train-Analysis-(2080s-and-2083s)?_g=(refreshInterval:(display:Off,pause:!f,section:0,value:0),time:(from:'2017-10-05T11:53:34-0600',mode:absolute,to:'2017-10-05T14:37:44-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T23" s="86" t="str">
        <f t="shared" si="1"/>
        <v>"C:\Program Files (x86)\AstroGrep\AstroGrep.exe" /e /r /s /spath="%USERPROFILE%\AppData\Local\Temp\OnboardLogs" /stypes="*4010*201710051*" /stext=" 19:.+((SYSTEM_STATE.+slice.+state.+changed )|(ment ac)|(multiple cpu faults)|(system.+state.+changed )|(\[timeout)|(PRM\|1\|D)|(kpr)|(kdp)|(train st.+moving)|(\|lc)|(penalty))"</v>
      </c>
      <c r="U23" s="9" t="str">
        <f t="shared" si="2"/>
        <v>4010</v>
      </c>
      <c r="V23" s="31">
        <f t="shared" si="3"/>
        <v>43013.800196759257</v>
      </c>
      <c r="W23" s="45" t="str">
        <f t="shared" si="4"/>
        <v>EC</v>
      </c>
      <c r="X23" s="22">
        <f t="shared" si="5"/>
        <v>175</v>
      </c>
      <c r="Y23" s="96" t="str">
        <f t="shared" si="6"/>
        <v>echo {"issue":{"subject":"Wi-MAX data drop, GPS antenna needed servicing @ Monaco Tower","project_id":79,"tracker_id":40,"status_id":1,"priority_id":2,"assigned_to_id":338,"start_date":"2017-10-05","description":"","custom_fields":[{"id":1,"name":"Subdivision","value":"EC"},{"id":4,"name":"Milepost","value":"5.6976"},{"id":17,"name":"Train ID","value":"175-05"},{"id":16,"name":"Locomotive ID","value":"4010"},{"id":130,"name":"Impact","value":""},{"id":150,"name":"Time of Event (Mountain Time)","value":"13:12:17"},{"id":151,"name":"Denver Issue ID","value":""},{"id":178,"name":"Operational Impact","value":"Yes"},{"id":179,"name":"Denver Segment Assigned","value":""}]}} | curl --insecure -X POST -H "Content-Type: application/json" -H "X-Redmine-API-Key: %REDMINEAPIKEY%" https://secure.xorail.net/redmine/issues.json --data @-</v>
      </c>
      <c r="Z23" s="159"/>
      <c r="AA23" s="47"/>
      <c r="AB23" s="47"/>
      <c r="AC23" s="115" t="str">
        <f t="shared" si="7"/>
        <v>grep -hrE -A400 "Enforcement Action" /c/Users/stu/AppData/Local/Temp/OnboardLogs/RTDC4010 --include="*4010*201710051*" | grep -E "((Enforcement Ac)|(PRM))" -</v>
      </c>
      <c r="AD23" s="1" t="str">
        <f>"grep -hSE ""Enforcement Action"" "&amp;search_path&amp;"\RTDC"&amp;U23&amp;"\*"&amp;U23&amp;"*"&amp;TEXT(A23-utc_offset/24,"YYYYMMDD")&amp;LEFT(TEXT(A23-utc_offset/24,"HH"),1)&amp;"* &gt;&gt; "&amp;TEXT(Variables!$A$2,"YYYY-MM-DD")&amp;"-SliceDisagreementCheck.txt"</f>
        <v>grep -hSE "Enforcement Action" "%USERPROFILE%\AppData\Local\Temp\OnboardLogs"\RTDC4010\*4010*201710051* &gt;&gt; 2017-10-05-SliceDisagreementCheck.txt</v>
      </c>
      <c r="AE23" s="145" t="str">
        <f t="shared" si="9"/>
        <v>start /low /b %USERPROFILE%\Documents\GitHub\eaglep3\Utilities\DownloadLogsFromS3.py --loco 4010 --day 2017-10-05</v>
      </c>
      <c r="AF23" s="1"/>
    </row>
    <row r="24" spans="1:32" x14ac:dyDescent="0.25">
      <c r="A24" s="31">
        <v>43013.592731481483</v>
      </c>
      <c r="B24" s="30" t="s">
        <v>585</v>
      </c>
      <c r="C24" s="30" t="s">
        <v>604</v>
      </c>
      <c r="D24" s="30" t="s">
        <v>49</v>
      </c>
      <c r="E24" s="30" t="s">
        <v>506</v>
      </c>
      <c r="F24" s="42">
        <v>0</v>
      </c>
      <c r="G24" s="42">
        <v>517</v>
      </c>
      <c r="H24" s="42">
        <v>55943</v>
      </c>
      <c r="I24" s="42">
        <v>0</v>
      </c>
      <c r="J24" s="30" t="s">
        <v>507</v>
      </c>
      <c r="K24" s="42">
        <v>56976</v>
      </c>
      <c r="L24" s="131" t="s">
        <v>50</v>
      </c>
      <c r="M24" s="132">
        <f t="shared" si="0"/>
        <v>30083.328000000001</v>
      </c>
      <c r="N24" s="133" t="str">
        <f>VLOOKUP(C24,'Trips&amp;Operators'!$C$1:$G$99911,5,FALSE)</f>
        <v>NATION TRACI</v>
      </c>
      <c r="O24" s="176" t="s">
        <v>386</v>
      </c>
      <c r="P24" s="134" t="s">
        <v>1012</v>
      </c>
      <c r="Q24" s="30"/>
      <c r="R24" s="81" t="str">
        <f>VLOOKUP(C24,'Train Runs'!$A$13:$AE$10010,31,0)</f>
        <v>aws s3 cp s3://rtdc.mdm.uploadarchive.raw/RTDC4012/ "%USERPROFILE%\AppData\Local\Temp\OnboardLogs"\RTDC4012\2017-10-05 --exclude "*" --recursive --include "*20171005*" &amp; "%USERPROFILE%\Documents\GitHub\mrs-test-scripts\Headless Mode &amp; Sideloading\WalkAndUnGZ.bat" "%USERPROFILE%\AppData\Local\Temp\OnboardLogs"\RTDC4012\2017-10-05 &amp; aws s3 cp s3://rtdc.mdm.uploadarchive.raw/RTDC4012/ "%USERPROFILE%\AppData\Local\Temp\OnboardLogs"\RTDC4012\2017-10-06 --exclude "*" --recursive --include "*20171006*" &amp; "%USERPROFILE%\Documents\GitHub\mrs-test-scripts\Headless Mode &amp; Sideloading\WalkAndUnGZ.bat" "%USERPROFILE%\AppData\Local\Temp\OnboardLogs"\RTDC4012\2017-10-06</v>
      </c>
      <c r="S24" s="84" t="str">
        <f>VLOOKUP(C24,'Train Runs'!$A$13:$AE$10010,22,0)</f>
        <v>https://d0f6bd738d7f1b3e5a7ca70fe4ff75f0.us-east-1.aws.found.io/app/kibana#/discover/Steve-Slow-Train-Analysis-(2080s-and-2083s)?_g=(refreshInterval:(display:Off,pause:!f,section:0,value:0),time:(from:'2017-10-05T12:53:03-0600',mode:absolute,to:'2017-10-05T15:43:52-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4012%22')),sort:!(Time.ISO8601,asc))</v>
      </c>
      <c r="T24" s="86" t="str">
        <f t="shared" si="1"/>
        <v>"C:\Program Files (x86)\AstroGrep\AstroGrep.exe" /e /r /s /spath="%USERPROFILE%\AppData\Local\Temp\OnboardLogs" /stypes="*4012*201710052*" /stext=" 20:.+((SYSTEM_STATE.+slice.+state.+changed )|(ment ac)|(multiple cpu faults)|(system.+state.+changed )|(\[timeout)|(PRM\|1\|D)|(kpr)|(kdp)|(train st.+moving)|(\|lc)|(penalty))"</v>
      </c>
      <c r="U24" s="9" t="str">
        <f t="shared" si="2"/>
        <v>4012</v>
      </c>
      <c r="V24" s="31">
        <f t="shared" si="3"/>
        <v>43013.842731481483</v>
      </c>
      <c r="W24" s="45" t="str">
        <f t="shared" si="4"/>
        <v>EC</v>
      </c>
      <c r="X24" s="22">
        <f t="shared" si="5"/>
        <v>183</v>
      </c>
      <c r="Y24" s="96" t="str">
        <f t="shared" si="6"/>
        <v>echo {"issue":{"subject":"Wi-MAX data drop, GPS antenna needed servicing @ Monaco Tower","project_id":79,"tracker_id":40,"status_id":1,"priority_id":2,"assigned_to_id":338,"start_date":"2017-10-05","description":"","custom_fields":[{"id":1,"name":"Subdivision","value":"EC"},{"id":4,"name":"Milepost","value":"5.6976"},{"id":17,"name":"Train ID","value":"183-05"},{"id":16,"name":"Locomotive ID","value":"4012"},{"id":130,"name":"Impact","value":""},{"id":150,"name":"Time of Event (Mountain Time)","value":"14:13:32"},{"id":151,"name":"Denver Issue ID","value":""},{"id":178,"name":"Operational Impact","value":"Yes"},{"id":179,"name":"Denver Segment Assigned","value":""}]}} | curl --insecure -X POST -H "Content-Type: application/json" -H "X-Redmine-API-Key: %REDMINEAPIKEY%" https://secure.xorail.net/redmine/issues.json --data @-</v>
      </c>
      <c r="Z24" s="159"/>
      <c r="AA24" s="47"/>
      <c r="AB24" s="47"/>
      <c r="AC24" s="115" t="str">
        <f t="shared" si="7"/>
        <v>grep -hrE -A400 "Enforcement Action" /c/Users/stu/AppData/Local/Temp/OnboardLogs/RTDC4012 --include="*4012*201710052*" | grep -E "((Enforcement Ac)|(PRM))" -</v>
      </c>
      <c r="AD24" s="1" t="str">
        <f>"grep -hSE ""Enforcement Action"" "&amp;search_path&amp;"\RTDC"&amp;U24&amp;"\*"&amp;U24&amp;"*"&amp;TEXT(A24-utc_offset/24,"YYYYMMDD")&amp;LEFT(TEXT(A24-utc_offset/24,"HH"),1)&amp;"* &gt;&gt; "&amp;TEXT(Variables!$A$2,"YYYY-MM-DD")&amp;"-SliceDisagreementCheck.txt"</f>
        <v>grep -hSE "Enforcement Action" "%USERPROFILE%\AppData\Local\Temp\OnboardLogs"\RTDC4012\*4012*201710052* &gt;&gt; 2017-10-05-SliceDisagreementCheck.txt</v>
      </c>
      <c r="AE24" s="145" t="str">
        <f t="shared" si="9"/>
        <v>start /low /b %USERPROFILE%\Documents\GitHub\eaglep3\Utilities\DownloadLogsFromS3.py --loco 4012 --day 2017-10-05</v>
      </c>
      <c r="AF24" s="1"/>
    </row>
    <row r="25" spans="1:32" x14ac:dyDescent="0.25">
      <c r="A25" s="31">
        <v>43013.612673611111</v>
      </c>
      <c r="B25" s="30" t="s">
        <v>605</v>
      </c>
      <c r="C25" s="30" t="s">
        <v>606</v>
      </c>
      <c r="D25" s="30" t="s">
        <v>49</v>
      </c>
      <c r="E25" s="30" t="s">
        <v>506</v>
      </c>
      <c r="F25" s="42">
        <v>0</v>
      </c>
      <c r="G25" s="42">
        <v>307</v>
      </c>
      <c r="H25" s="42">
        <v>54922</v>
      </c>
      <c r="I25" s="42">
        <v>55581</v>
      </c>
      <c r="J25" s="30" t="s">
        <v>507</v>
      </c>
      <c r="K25" s="42">
        <v>56976</v>
      </c>
      <c r="L25" s="131" t="s">
        <v>50</v>
      </c>
      <c r="M25" s="132">
        <f t="shared" si="0"/>
        <v>736.56</v>
      </c>
      <c r="N25" s="133" t="str">
        <f>VLOOKUP(C25,'Trips&amp;Operators'!$C$1:$G$99911,5,FALSE)</f>
        <v>HOLCOMB KAMDEN</v>
      </c>
      <c r="O25" s="176" t="s">
        <v>386</v>
      </c>
      <c r="P25" s="134" t="s">
        <v>1012</v>
      </c>
      <c r="Q25" s="30"/>
      <c r="R25" s="81" t="str">
        <f>VLOOKUP(C25,'Train Runs'!$A$13:$AE$10010,31,0)</f>
        <v>aws s3 cp s3://rtdc.mdm.uploadarchive.raw/RTDC4016/ "%USERPROFILE%\AppData\Local\Temp\OnboardLogs"\RTDC4016\2017-10-05 --exclude "*" --recursive --include "*20171005*" &amp; "%USERPROFILE%\Documents\GitHub\mrs-test-scripts\Headless Mode &amp; Sideloading\WalkAndUnGZ.bat" "%USERPROFILE%\AppData\Local\Temp\OnboardLogs"\RTDC4016\2017-10-05 &amp; aws s3 cp s3://rtdc.mdm.uploadarchive.raw/RTDC4016/ "%USERPROFILE%\AppData\Local\Temp\OnboardLogs"\RTDC4016\2017-10-06 --exclude "*" --recursive --include "*20171006*" &amp; "%USERPROFILE%\Documents\GitHub\mrs-test-scripts\Headless Mode &amp; Sideloading\WalkAndUnGZ.bat" "%USERPROFILE%\AppData\Local\Temp\OnboardLogs"\RTDC4016\2017-10-06</v>
      </c>
      <c r="S25" s="84" t="str">
        <f>VLOOKUP(C25,'Train Runs'!$A$13:$AE$10010,22,0)</f>
        <v>https://d0f6bd738d7f1b3e5a7ca70fe4ff75f0.us-east-1.aws.found.io/app/kibana#/discover/Steve-Slow-Train-Analysis-(2080s-and-2083s)?_g=(refreshInterval:(display:Off,pause:!f,section:0,value:0),time:(from:'2017-10-05T13:20:35-0600',mode:absolute,to:'2017-10-05T16:10:29-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T25" s="86" t="str">
        <f t="shared" si="1"/>
        <v>"C:\Program Files (x86)\AstroGrep\AstroGrep.exe" /e /r /s /spath="%USERPROFILE%\AppData\Local\Temp\OnboardLogs" /stypes="*4016*201710052*" /stext=" 20:.+((SYSTEM_STATE.+slice.+state.+changed )|(ment ac)|(multiple cpu faults)|(system.+state.+changed )|(\[timeout)|(PRM\|1\|D)|(kpr)|(kdp)|(train st.+moving)|(\|lc)|(penalty))"</v>
      </c>
      <c r="U25" s="9" t="str">
        <f t="shared" si="2"/>
        <v>4016</v>
      </c>
      <c r="V25" s="31">
        <f t="shared" si="3"/>
        <v>43013.862673611111</v>
      </c>
      <c r="W25" s="45" t="str">
        <f t="shared" si="4"/>
        <v>EC</v>
      </c>
      <c r="X25" s="22">
        <f t="shared" si="5"/>
        <v>187</v>
      </c>
      <c r="Y25" s="96" t="str">
        <f t="shared" si="6"/>
        <v>echo {"issue":{"subject":"Wi-MAX data drop, GPS antenna needed servicing @ Monaco Tower","project_id":79,"tracker_id":40,"status_id":1,"priority_id":2,"assigned_to_id":338,"start_date":"2017-10-05","description":"","custom_fields":[{"id":1,"name":"Subdivision","value":"EC"},{"id":4,"name":"Milepost","value":"5.6976"},{"id":17,"name":"Train ID","value":"187-05"},{"id":16,"name":"Locomotive ID","value":"4016"},{"id":130,"name":"Impact","value":""},{"id":150,"name":"Time of Event (Mountain Time)","value":"14:42:15"},{"id":151,"name":"Denver Issue ID","value":""},{"id":178,"name":"Operational Impact","value":"Yes"},{"id":179,"name":"Denver Segment Assigned","value":""}]}} | curl --insecure -X POST -H "Content-Type: application/json" -H "X-Redmine-API-Key: %REDMINEAPIKEY%" https://secure.xorail.net/redmine/issues.json --data @-</v>
      </c>
      <c r="Z25" s="159"/>
      <c r="AA25" s="47"/>
      <c r="AB25" s="47"/>
      <c r="AC25" s="115" t="str">
        <f t="shared" si="7"/>
        <v>grep -hrE -A400 "Enforcement Action" /c/Users/stu/AppData/Local/Temp/OnboardLogs/RTDC4016 --include="*4016*201710052*" | grep -E "((Enforcement Ac)|(PRM))" -</v>
      </c>
      <c r="AD25" s="1" t="str">
        <f>"grep -hSE ""Enforcement Action"" "&amp;search_path&amp;"\RTDC"&amp;U25&amp;"\*"&amp;U25&amp;"*"&amp;TEXT(A25-utc_offset/24,"YYYYMMDD")&amp;LEFT(TEXT(A25-utc_offset/24,"HH"),1)&amp;"* &gt;&gt; "&amp;TEXT(Variables!$A$2,"YYYY-MM-DD")&amp;"-SliceDisagreementCheck.txt"</f>
        <v>grep -hSE "Enforcement Action" "%USERPROFILE%\AppData\Local\Temp\OnboardLogs"\RTDC4016\*4016*201710052* &gt;&gt; 2017-10-05-SliceDisagreementCheck.txt</v>
      </c>
      <c r="AE25" s="145" t="str">
        <f t="shared" si="9"/>
        <v>start /low /b %USERPROFILE%\Documents\GitHub\eaglep3\Utilities\DownloadLogsFromS3.py --loco 4016 --day 2017-10-05</v>
      </c>
      <c r="AF25" s="1"/>
    </row>
    <row r="26" spans="1:32" x14ac:dyDescent="0.25">
      <c r="A26" s="31">
        <v>43013.613368055558</v>
      </c>
      <c r="B26" s="30" t="s">
        <v>605</v>
      </c>
      <c r="C26" s="30" t="s">
        <v>606</v>
      </c>
      <c r="D26" s="30" t="s">
        <v>49</v>
      </c>
      <c r="E26" s="30" t="s">
        <v>506</v>
      </c>
      <c r="F26" s="42">
        <v>0</v>
      </c>
      <c r="G26" s="42">
        <v>307</v>
      </c>
      <c r="H26" s="42">
        <v>54922</v>
      </c>
      <c r="I26" s="42">
        <v>55583</v>
      </c>
      <c r="J26" s="30" t="s">
        <v>507</v>
      </c>
      <c r="K26" s="42">
        <v>56976</v>
      </c>
      <c r="L26" s="131" t="s">
        <v>50</v>
      </c>
      <c r="M26" s="132">
        <f t="shared" si="0"/>
        <v>735.50400000000002</v>
      </c>
      <c r="N26" s="133" t="str">
        <f>VLOOKUP(C26,'Trips&amp;Operators'!$C$1:$G$99911,5,FALSE)</f>
        <v>HOLCOMB KAMDEN</v>
      </c>
      <c r="O26" s="176" t="s">
        <v>386</v>
      </c>
      <c r="P26" s="134" t="s">
        <v>1012</v>
      </c>
      <c r="Q26" s="30"/>
      <c r="R26" s="81" t="str">
        <f>VLOOKUP(C26,'Train Runs'!$A$13:$AE$10010,31,0)</f>
        <v>aws s3 cp s3://rtdc.mdm.uploadarchive.raw/RTDC4016/ "%USERPROFILE%\AppData\Local\Temp\OnboardLogs"\RTDC4016\2017-10-05 --exclude "*" --recursive --include "*20171005*" &amp; "%USERPROFILE%\Documents\GitHub\mrs-test-scripts\Headless Mode &amp; Sideloading\WalkAndUnGZ.bat" "%USERPROFILE%\AppData\Local\Temp\OnboardLogs"\RTDC4016\2017-10-05 &amp; aws s3 cp s3://rtdc.mdm.uploadarchive.raw/RTDC4016/ "%USERPROFILE%\AppData\Local\Temp\OnboardLogs"\RTDC4016\2017-10-06 --exclude "*" --recursive --include "*20171006*" &amp; "%USERPROFILE%\Documents\GitHub\mrs-test-scripts\Headless Mode &amp; Sideloading\WalkAndUnGZ.bat" "%USERPROFILE%\AppData\Local\Temp\OnboardLogs"\RTDC4016\2017-10-06</v>
      </c>
      <c r="S26" s="84" t="str">
        <f>VLOOKUP(C26,'Train Runs'!$A$13:$AE$10010,22,0)</f>
        <v>https://d0f6bd738d7f1b3e5a7ca70fe4ff75f0.us-east-1.aws.found.io/app/kibana#/discover/Steve-Slow-Train-Analysis-(2080s-and-2083s)?_g=(refreshInterval:(display:Off,pause:!f,section:0,value:0),time:(from:'2017-10-05T13:20:35-0600',mode:absolute,to:'2017-10-05T16:10:29-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4016%22')),sort:!(Time.ISO8601,asc))</v>
      </c>
      <c r="T26" s="86" t="str">
        <f t="shared" si="1"/>
        <v>"C:\Program Files (x86)\AstroGrep\AstroGrep.exe" /e /r /s /spath="%USERPROFILE%\AppData\Local\Temp\OnboardLogs" /stypes="*4016*201710052*" /stext=" 20:.+((SYSTEM_STATE.+slice.+state.+changed )|(ment ac)|(multiple cpu faults)|(system.+state.+changed )|(\[timeout)|(PRM\|1\|D)|(kpr)|(kdp)|(train st.+moving)|(\|lc)|(penalty))"</v>
      </c>
      <c r="U26" s="9" t="str">
        <f t="shared" si="2"/>
        <v>4016</v>
      </c>
      <c r="V26" s="31">
        <f t="shared" si="3"/>
        <v>43013.863368055558</v>
      </c>
      <c r="W26" s="45" t="str">
        <f t="shared" si="4"/>
        <v>EC</v>
      </c>
      <c r="X26" s="22">
        <f t="shared" si="5"/>
        <v>187</v>
      </c>
      <c r="Y26" s="96" t="str">
        <f t="shared" si="6"/>
        <v>echo {"issue":{"subject":"Wi-MAX data drop, GPS antenna needed servicing @ Monaco Tower","project_id":79,"tracker_id":40,"status_id":1,"priority_id":2,"assigned_to_id":338,"start_date":"2017-10-05","description":"","custom_fields":[{"id":1,"name":"Subdivision","value":"EC"},{"id":4,"name":"Milepost","value":"5.6976"},{"id":17,"name":"Train ID","value":"187-05"},{"id":16,"name":"Locomotive ID","value":"4016"},{"id":130,"name":"Impact","value":""},{"id":150,"name":"Time of Event (Mountain Time)","value":"14:43:15"},{"id":151,"name":"Denver Issue ID","value":""},{"id":178,"name":"Operational Impact","value":"Yes"},{"id":179,"name":"Denver Segment Assigned","value":""}]}} | curl --insecure -X POST -H "Content-Type: application/json" -H "X-Redmine-API-Key: %REDMINEAPIKEY%" https://secure.xorail.net/redmine/issues.json --data @-</v>
      </c>
      <c r="Z26" s="159"/>
      <c r="AA26" s="47"/>
      <c r="AB26" s="47"/>
      <c r="AC26" s="115" t="str">
        <f t="shared" si="7"/>
        <v>grep -hrE -A400 "Enforcement Action" /c/Users/stu/AppData/Local/Temp/OnboardLogs/RTDC4016 --include="*4016*201710052*" | grep -E "((Enforcement Ac)|(PRM))" -</v>
      </c>
      <c r="AD26" s="1" t="str">
        <f>"grep -hSE ""Enforcement Action"" "&amp;search_path&amp;"\RTDC"&amp;U26&amp;"\*"&amp;U26&amp;"*"&amp;TEXT(A26-utc_offset/24,"YYYYMMDD")&amp;LEFT(TEXT(A26-utc_offset/24,"HH"),1)&amp;"* &gt;&gt; "&amp;TEXT(Variables!$A$2,"YYYY-MM-DD")&amp;"-SliceDisagreementCheck.txt"</f>
        <v>grep -hSE "Enforcement Action" "%USERPROFILE%\AppData\Local\Temp\OnboardLogs"\RTDC4016\*4016*201710052* &gt;&gt; 2017-10-05-SliceDisagreementCheck.txt</v>
      </c>
      <c r="AE26" s="145" t="str">
        <f t="shared" si="9"/>
        <v>start /low /b %USERPROFILE%\Documents\GitHub\eaglep3\Utilities\DownloadLogsFromS3.py --loco 4016 --day 2017-10-05</v>
      </c>
      <c r="AF26" s="1"/>
    </row>
    <row r="27" spans="1:32" x14ac:dyDescent="0.25">
      <c r="A27" s="31">
        <v>43013.589085648149</v>
      </c>
      <c r="B27" s="30" t="s">
        <v>470</v>
      </c>
      <c r="C27" s="30" t="s">
        <v>603</v>
      </c>
      <c r="D27" s="30" t="s">
        <v>49</v>
      </c>
      <c r="E27" s="30" t="s">
        <v>179</v>
      </c>
      <c r="F27" s="42">
        <v>0</v>
      </c>
      <c r="G27" s="42">
        <v>42</v>
      </c>
      <c r="H27" s="42">
        <v>141</v>
      </c>
      <c r="I27" s="42">
        <v>109</v>
      </c>
      <c r="J27" s="30" t="s">
        <v>180</v>
      </c>
      <c r="K27" s="42">
        <v>1</v>
      </c>
      <c r="L27" s="131" t="s">
        <v>51</v>
      </c>
      <c r="M27" s="132">
        <f t="shared" si="0"/>
        <v>57.024000000000001</v>
      </c>
      <c r="N27" s="133" t="str">
        <f>VLOOKUP(C27,'Trips&amp;Operators'!$C$1:$G$99911,5,FALSE)</f>
        <v>BADERTSCHER DIANE</v>
      </c>
      <c r="O27" s="176" t="s">
        <v>178</v>
      </c>
      <c r="P27" s="134"/>
      <c r="Q27" s="30"/>
      <c r="R27" s="81" t="str">
        <f>VLOOKUP(C27,'Train Runs'!$A$13:$AE$10010,31,0)</f>
        <v>aws s3 cp s3://rtdc.mdm.uploadarchive.raw/RTDC4007/ "%USERPROFILE%\AppData\Local\Temp\OnboardLogs"\RTDC4007\2017-10-05 --exclude "*" --recursive --include "*20171005*" &amp; "%USERPROFILE%\Documents\GitHub\mrs-test-scripts\Headless Mode &amp; Sideloading\WalkAndUnGZ.bat" "%USERPROFILE%\AppData\Local\Temp\OnboardLogs"\RTDC4007\2017-10-05 &amp; aws s3 cp s3://rtdc.mdm.uploadarchive.raw/RTDC4007/ "%USERPROFILE%\AppData\Local\Temp\OnboardLogs"\RTDC4007\2017-10-06 --exclude "*" --recursive --include "*20171006*" &amp; "%USERPROFILE%\Documents\GitHub\mrs-test-scripts\Headless Mode &amp; Sideloading\WalkAndUnGZ.bat" "%USERPROFILE%\AppData\Local\Temp\OnboardLogs"\RTDC4007\2017-10-06</v>
      </c>
      <c r="S27" s="84" t="str">
        <f>VLOOKUP(C27,'Train Runs'!$A$13:$AE$10010,22,0)</f>
        <v>https://d0f6bd738d7f1b3e5a7ca70fe4ff75f0.us-east-1.aws.found.io/app/kibana#/discover/Steve-Slow-Train-Analysis-(2080s-and-2083s)?_g=(refreshInterval:(display:Off,pause:!f,section:0,value:0),time:(from:'2017-10-05T12:18:17-0600',mode:absolute,to:'2017-10-05T15:08:16-0600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4007%22')),sort:!(Time.ISO8601,asc))</v>
      </c>
      <c r="T27" s="86" t="str">
        <f t="shared" si="1"/>
        <v>"C:\Program Files (x86)\AstroGrep\AstroGrep.exe" /e /r /s /spath="%USERPROFILE%\AppData\Local\Temp\OnboardLogs" /stypes="*4007*201710052*" /stext=" 20:.+((SYSTEM_STATE.+slice.+state.+changed )|(ment ac)|(multiple cpu faults)|(system.+state.+changed )|(\[timeout)|(PRM\|1\|D)|(kpr)|(kdp)|(train st.+moving)|(\|lc)|(penalty))"</v>
      </c>
      <c r="U27" s="9" t="str">
        <f t="shared" si="2"/>
        <v>4007</v>
      </c>
      <c r="V27" s="31">
        <f t="shared" si="3"/>
        <v>43013.839085648149</v>
      </c>
      <c r="W27" s="45" t="str">
        <f t="shared" si="4"/>
        <v>EC</v>
      </c>
      <c r="X27" s="22">
        <f t="shared" si="5"/>
        <v>172</v>
      </c>
      <c r="Y27" s="96" t="str">
        <f t="shared" si="6"/>
        <v>echo {"issue":{"subject":"","project_id":79,"tracker_id":40,"status_id":1,"priority_id":2,"assigned_to_id":338,"start_date":"2017-10-05","description":"","custom_fields":[{"id":1,"name":"Subdivision","value":"EC"},{"id":4,"name":"Milepost","value":"0.0001"},{"id":17,"name":"Train ID","value":"172-05"},{"id":16,"name":"Locomotive ID","value":"4007"},{"id":130,"name":"Impact","value":""},{"id":150,"name":"Time of Event (Mountain Time)","value":"14:08:17"},{"id":151,"name":"Denver Issue ID","value":""},{"id":178,"name":"Operational Impact","value":"Yes"},{"id":179,"name":"Denver Segment Assigned","value":""}]}} | curl --insecure -X POST -H "Content-Type: application/json" -H "X-Redmine-API-Key: %REDMINEAPIKEY%" https://secure.xorail.net/redmine/issues.json --data @-</v>
      </c>
      <c r="Z27" s="159"/>
      <c r="AA27" s="47"/>
      <c r="AB27" s="47"/>
      <c r="AC27" s="115" t="str">
        <f t="shared" si="7"/>
        <v>grep -hrE -A400 "Enforcement Action" /c/Users/stu/AppData/Local/Temp/OnboardLogs/RTDC4007 --include="*4007*201710052*" | grep -E "((Enforcement Ac)|(PRM))" -</v>
      </c>
      <c r="AD27" s="1" t="str">
        <f>"grep -hSE ""Enforcement Action"" "&amp;search_path&amp;"\RTDC"&amp;U27&amp;"\*"&amp;U27&amp;"*"&amp;TEXT(A27-utc_offset/24,"YYYYMMDD")&amp;LEFT(TEXT(A27-utc_offset/24,"HH"),1)&amp;"* &gt;&gt; "&amp;TEXT(Variables!$A$2,"YYYY-MM-DD")&amp;"-SliceDisagreementCheck.txt"</f>
        <v>grep -hSE "Enforcement Action" "%USERPROFILE%\AppData\Local\Temp\OnboardLogs"\RTDC4007\*4007*201710052* &gt;&gt; 2017-10-05-SliceDisagreementCheck.txt</v>
      </c>
      <c r="AE27" s="145" t="str">
        <f t="shared" si="9"/>
        <v>start /low /b %USERPROFILE%\Documents\GitHub\eaglep3\Utilities\DownloadLogsFromS3.py --loco 4007 --day 2017-10-05</v>
      </c>
      <c r="AF27" s="1"/>
    </row>
    <row r="28" spans="1:32" x14ac:dyDescent="0.25">
      <c r="A28" s="31">
        <v>43013.784571759257</v>
      </c>
      <c r="B28" s="30" t="s">
        <v>420</v>
      </c>
      <c r="C28" s="30" t="s">
        <v>615</v>
      </c>
      <c r="D28" s="30" t="s">
        <v>49</v>
      </c>
      <c r="E28" s="30" t="s">
        <v>179</v>
      </c>
      <c r="F28" s="42">
        <v>0</v>
      </c>
      <c r="G28" s="42">
        <v>31</v>
      </c>
      <c r="H28" s="42">
        <v>90</v>
      </c>
      <c r="I28" s="42">
        <v>77</v>
      </c>
      <c r="J28" s="30" t="s">
        <v>180</v>
      </c>
      <c r="K28" s="42">
        <v>1</v>
      </c>
      <c r="L28" s="131" t="s">
        <v>51</v>
      </c>
      <c r="M28" s="132">
        <f t="shared" si="0"/>
        <v>40.128</v>
      </c>
      <c r="N28" s="133" t="str">
        <f>VLOOKUP(C28,'Trips&amp;Operators'!$C$1:$G$99911,5,FALSE)</f>
        <v>DELGADO DIANAH</v>
      </c>
      <c r="O28" s="176" t="s">
        <v>178</v>
      </c>
      <c r="P28" s="134"/>
      <c r="Q28" s="30"/>
      <c r="R28" s="81" t="str">
        <f>VLOOKUP(C28,'Train Runs'!$A$13:$AE$10010,31,0)</f>
        <v>aws s3 cp s3://rtdc.mdm.uploadarchive.raw/RTDC4055/ "%USERPROFILE%\AppData\Local\Temp\OnboardLogs"\RTDC4055\2017-10-05 --exclude "*" --recursive --include "*20171005*" &amp; "%USERPROFILE%\Documents\GitHub\mrs-test-scripts\Headless Mode &amp; Sideloading\WalkAndUnGZ.bat" "%USERPROFILE%\AppData\Local\Temp\OnboardLogs"\RTDC4055\2017-10-05 &amp; aws s3 cp s3://rtdc.mdm.uploadarchive.raw/RTDC4055/ "%USERPROFILE%\AppData\Local\Temp\OnboardLogs"\RTDC4055\2017-10-06 --exclude "*" --recursive --include "*20171006*" &amp; "%USERPROFILE%\Documents\GitHub\mrs-test-scripts\Headless Mode &amp; Sideloading\WalkAndUnGZ.bat" "%USERPROFILE%\AppData\Local\Temp\OnboardLogs"\RTDC4055\2017-10-06</v>
      </c>
      <c r="S28" s="84" t="str">
        <f>VLOOKUP(C28,'Train Runs'!$A$13:$AE$10010,22,0)</f>
        <v>https://d0f6bd738d7f1b3e5a7ca70fe4ff75f0.us-east-1.aws.found.io/app/kibana#/discover/Steve-Slow-Train-Analysis-(2080s-and-2083s)?_g=(refreshInterval:(display:Off,pause:!f,section:0,value:0),time:(from:'2017-10-05T16:42:50-0600',mode:absolute,to:'2017-10-05T19:49:52-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4055%22')),sort:!(Time.ISO8601,asc))</v>
      </c>
      <c r="T28" s="86" t="str">
        <f t="shared" si="1"/>
        <v>"C:\Program Files (x86)\AstroGrep\AstroGrep.exe" /e /r /s /spath="%USERPROFILE%\AppData\Local\Temp\OnboardLogs" /stypes="*4055*201710060*" /stext=" 00:.+((SYSTEM_STATE.+slice.+state.+changed )|(ment ac)|(multiple cpu faults)|(system.+state.+changed )|(\[timeout)|(PRM\|1\|D)|(kpr)|(kdp)|(train st.+moving)|(\|lc)|(penalty))"</v>
      </c>
      <c r="U28" s="9" t="str">
        <f t="shared" si="2"/>
        <v>4055</v>
      </c>
      <c r="V28" s="31">
        <f t="shared" si="3"/>
        <v>43014.034571759257</v>
      </c>
      <c r="W28" s="45" t="str">
        <f t="shared" si="4"/>
        <v>EC</v>
      </c>
      <c r="X28" s="22">
        <f t="shared" si="5"/>
        <v>210</v>
      </c>
      <c r="Y28" s="96" t="str">
        <f t="shared" si="6"/>
        <v>echo {"issue":{"subject":"","project_id":79,"tracker_id":40,"status_id":1,"priority_id":2,"assigned_to_id":338,"start_date":"2017-10-05","description":"","custom_fields":[{"id":1,"name":"Subdivision","value":"EC"},{"id":4,"name":"Milepost","value":"0.0001"},{"id":17,"name":"Train ID","value":"210-05"},{"id":16,"name":"Locomotive ID","value":"4055"},{"id":130,"name":"Impact","value":""},{"id":150,"name":"Time of Event (Mountain Time)","value":"18:49:47"},{"id":151,"name":"Denver Issue ID","value":""},{"id":178,"name":"Operational Impact","value":"Yes"},{"id":179,"name":"Denver Segment Assigned","value":""}]}} | curl --insecure -X POST -H "Content-Type: application/json" -H "X-Redmine-API-Key: %REDMINEAPIKEY%" https://secure.xorail.net/redmine/issues.json --data @-</v>
      </c>
      <c r="Z28" s="159"/>
      <c r="AA28" s="47"/>
      <c r="AB28" s="47"/>
      <c r="AC28" s="115" t="str">
        <f t="shared" si="7"/>
        <v>grep -hrE -A400 "Enforcement Action" /c/Users/stu/AppData/Local/Temp/OnboardLogs/RTDC4055 --include="*4055*201710060*" | grep -E "((Enforcement Ac)|(PRM))" -</v>
      </c>
      <c r="AD28" s="1" t="str">
        <f>"grep -hSE ""Enforcement Action"" "&amp;search_path&amp;"\RTDC"&amp;U28&amp;"\*"&amp;U28&amp;"*"&amp;TEXT(A28-utc_offset/24,"YYYYMMDD")&amp;LEFT(TEXT(A28-utc_offset/24,"HH"),1)&amp;"* &gt;&gt; "&amp;TEXT(Variables!$A$2,"YYYY-MM-DD")&amp;"-SliceDisagreementCheck.txt"</f>
        <v>grep -hSE "Enforcement Action" "%USERPROFILE%\AppData\Local\Temp\OnboardLogs"\RTDC4055\*4055*201710060* &gt;&gt; 2017-10-05-SliceDisagreementCheck.txt</v>
      </c>
      <c r="AE28" s="145" t="str">
        <f t="shared" si="9"/>
        <v>start /low /b %USERPROFILE%\Documents\GitHub\eaglep3\Utilities\DownloadLogsFromS3.py --loco 4055 --day 2017-10-06</v>
      </c>
      <c r="AF28" s="1"/>
    </row>
    <row r="29" spans="1:32" x14ac:dyDescent="0.25">
      <c r="A29" s="31">
        <v>43013.587245370371</v>
      </c>
      <c r="B29" s="30" t="s">
        <v>394</v>
      </c>
      <c r="C29" s="30" t="s">
        <v>602</v>
      </c>
      <c r="D29" s="30" t="s">
        <v>49</v>
      </c>
      <c r="E29" s="30" t="s">
        <v>179</v>
      </c>
      <c r="F29" s="42">
        <v>0</v>
      </c>
      <c r="G29" s="42">
        <v>40</v>
      </c>
      <c r="H29" s="42">
        <v>233310</v>
      </c>
      <c r="I29" s="42">
        <v>233334</v>
      </c>
      <c r="J29" s="30" t="s">
        <v>180</v>
      </c>
      <c r="K29" s="42">
        <v>233491</v>
      </c>
      <c r="L29" s="131" t="s">
        <v>50</v>
      </c>
      <c r="M29" s="132">
        <f t="shared" si="0"/>
        <v>82.895999999999987</v>
      </c>
      <c r="N29" s="133" t="str">
        <f>VLOOKUP(C29,'Trips&amp;Operators'!$C$1:$G$99911,5,FALSE)</f>
        <v>LEVIN SCOTT</v>
      </c>
      <c r="O29" s="176" t="s">
        <v>178</v>
      </c>
      <c r="P29" s="134"/>
      <c r="Q29" s="30"/>
      <c r="R29" s="81" t="str">
        <f>VLOOKUP(C29,'Train Runs'!$A$13:$AE$10010,31,0)</f>
        <v>aws s3 cp s3://rtdc.mdm.uploadarchive.raw/RTDC4042/ "%USERPROFILE%\AppData\Local\Temp\OnboardLogs"\RTDC4042\2017-10-05 --exclude "*" --recursive --include "*20171005*" &amp; "%USERPROFILE%\Documents\GitHub\mrs-test-scripts\Headless Mode &amp; Sideloading\WalkAndUnGZ.bat" "%USERPROFILE%\AppData\Local\Temp\OnboardLogs"\RTDC4042\2017-10-05 &amp; aws s3 cp s3://rtdc.mdm.uploadarchive.raw/RTDC4042/ "%USERPROFILE%\AppData\Local\Temp\OnboardLogs"\RTDC4042\2017-10-06 --exclude "*" --recursive --include "*20171006*" &amp; "%USERPROFILE%\Documents\GitHub\mrs-test-scripts\Headless Mode &amp; Sideloading\WalkAndUnGZ.bat" "%USERPROFILE%\AppData\Local\Temp\OnboardLogs"\RTDC4042\2017-10-06</v>
      </c>
      <c r="S29" s="84" t="str">
        <f>VLOOKUP(C29,'Train Runs'!$A$13:$AE$10010,22,0)</f>
        <v>https://d0f6bd738d7f1b3e5a7ca70fe4ff75f0.us-east-1.aws.found.io/app/kibana#/discover/Steve-Slow-Train-Analysis-(2080s-and-2083s)?_g=(refreshInterval:(display:Off,pause:!f,section:0,value:0),time:(from:'2017-10-05T12:24:03-0600',mode:absolute,to:'2017-10-05T15:05:22-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4042%22')),sort:!(Time.ISO8601,asc))</v>
      </c>
      <c r="T29" s="86" t="str">
        <f t="shared" si="1"/>
        <v>"C:\Program Files (x86)\AstroGrep\AstroGrep.exe" /e /r /s /spath="%USERPROFILE%\AppData\Local\Temp\OnboardLogs" /stypes="*4042*201710052*" /stext=" 20:.+((SYSTEM_STATE.+slice.+state.+changed )|(ment ac)|(multiple cpu faults)|(system.+state.+changed )|(\[timeout)|(PRM\|1\|D)|(kpr)|(kdp)|(train st.+moving)|(\|lc)|(penalty))"</v>
      </c>
      <c r="U29" s="9" t="str">
        <f t="shared" si="2"/>
        <v>4042</v>
      </c>
      <c r="V29" s="31">
        <f t="shared" si="3"/>
        <v>43013.837245370371</v>
      </c>
      <c r="W29" s="45" t="str">
        <f t="shared" si="4"/>
        <v>EC</v>
      </c>
      <c r="X29" s="22">
        <f t="shared" si="5"/>
        <v>179</v>
      </c>
      <c r="Y29" s="96" t="str">
        <f t="shared" si="6"/>
        <v>echo {"issue":{"subject":"","project_id":79,"tracker_id":40,"status_id":1,"priority_id":2,"assigned_to_id":338,"start_date":"2017-10-05","description":"","custom_fields":[{"id":1,"name":"Subdivision","value":"EC"},{"id":4,"name":"Milepost","value":"23.3491"},{"id":17,"name":"Train ID","value":"179-05"},{"id":16,"name":"Locomotive ID","value":"4042"},{"id":130,"name":"Impact","value":""},{"id":150,"name":"Time of Event (Mountain Time)","value":"14:05:38"},{"id":151,"name":"Denver Issue ID","value":""},{"id":178,"name":"Operational Impact","value":"Yes"},{"id":179,"name":"Denver Segment Assigned","value":""}]}} | curl --insecure -X POST -H "Content-Type: application/json" -H "X-Redmine-API-Key: %REDMINEAPIKEY%" https://secure.xorail.net/redmine/issues.json --data @-</v>
      </c>
      <c r="Z29" s="159"/>
      <c r="AA29" s="47"/>
      <c r="AB29" s="47"/>
      <c r="AC29" s="115" t="str">
        <f t="shared" si="7"/>
        <v>grep -hrE -A400 "Enforcement Action" /c/Users/stu/AppData/Local/Temp/OnboardLogs/RTDC4042 --include="*4042*201710052*" | grep -E "((Enforcement Ac)|(PRM))" -</v>
      </c>
      <c r="AD29" s="1" t="str">
        <f>"grep -hSE ""Enforcement Action"" "&amp;search_path&amp;"\RTDC"&amp;U29&amp;"\*"&amp;U29&amp;"*"&amp;TEXT(A29-utc_offset/24,"YYYYMMDD")&amp;LEFT(TEXT(A29-utc_offset/24,"HH"),1)&amp;"* &gt;&gt; "&amp;TEXT(Variables!$A$2,"YYYY-MM-DD")&amp;"-SliceDisagreementCheck.txt"</f>
        <v>grep -hSE "Enforcement Action" "%USERPROFILE%\AppData\Local\Temp\OnboardLogs"\RTDC4042\*4042*201710052* &gt;&gt; 2017-10-05-SliceDisagreementCheck.txt</v>
      </c>
      <c r="AE29" s="145" t="str">
        <f t="shared" si="9"/>
        <v>start /low /b %USERPROFILE%\Documents\GitHub\eaglep3\Utilities\DownloadLogsFromS3.py --loco 4042 --day 2017-10-05</v>
      </c>
      <c r="AF29" s="1"/>
    </row>
    <row r="30" spans="1:32" x14ac:dyDescent="0.25">
      <c r="A30" s="31">
        <v>43013.659502314818</v>
      </c>
      <c r="B30" s="30" t="s">
        <v>394</v>
      </c>
      <c r="C30" s="30" t="s">
        <v>608</v>
      </c>
      <c r="D30" s="30" t="s">
        <v>49</v>
      </c>
      <c r="E30" s="30" t="s">
        <v>179</v>
      </c>
      <c r="F30" s="42">
        <v>0</v>
      </c>
      <c r="G30" s="42">
        <v>37</v>
      </c>
      <c r="H30" s="42">
        <v>233305</v>
      </c>
      <c r="I30" s="42">
        <v>233318</v>
      </c>
      <c r="J30" s="30" t="s">
        <v>180</v>
      </c>
      <c r="K30" s="42">
        <v>233491</v>
      </c>
      <c r="L30" s="131" t="s">
        <v>50</v>
      </c>
      <c r="M30" s="132">
        <f t="shared" si="0"/>
        <v>91.343999999999994</v>
      </c>
      <c r="N30" s="133" t="str">
        <f>VLOOKUP(C30,'Trips&amp;Operators'!$C$1:$G$99911,5,FALSE)</f>
        <v>LEVIN SCOTT</v>
      </c>
      <c r="O30" s="176" t="s">
        <v>178</v>
      </c>
      <c r="P30" s="134"/>
      <c r="Q30" s="30"/>
      <c r="R30" s="81" t="str">
        <f>VLOOKUP(C30,'Train Runs'!$A$13:$AE$10010,31,0)</f>
        <v>aws s3 cp s3://rtdc.mdm.uploadarchive.raw/RTDC4042/ "%USERPROFILE%\AppData\Local\Temp\OnboardLogs"\RTDC4042\2017-10-05 --exclude "*" --recursive --include "*20171005*" &amp; "%USERPROFILE%\Documents\GitHub\mrs-test-scripts\Headless Mode &amp; Sideloading\WalkAndUnGZ.bat" "%USERPROFILE%\AppData\Local\Temp\OnboardLogs"\RTDC4042\2017-10-05 &amp; aws s3 cp s3://rtdc.mdm.uploadarchive.raw/RTDC4042/ "%USERPROFILE%\AppData\Local\Temp\OnboardLogs"\RTDC4042\2017-10-06 --exclude "*" --recursive --include "*20171006*" &amp; "%USERPROFILE%\Documents\GitHub\mrs-test-scripts\Headless Mode &amp; Sideloading\WalkAndUnGZ.bat" "%USERPROFILE%\AppData\Local\Temp\OnboardLogs"\RTDC4042\2017-10-06</v>
      </c>
      <c r="S30" s="84" t="str">
        <f>VLOOKUP(C30,'Train Runs'!$A$13:$AE$10010,22,0)</f>
        <v>https://d0f6bd738d7f1b3e5a7ca70fe4ff75f0.us-east-1.aws.found.io/app/kibana#/discover/Steve-Slow-Train-Analysis-(2080s-and-2083s)?_g=(refreshInterval:(display:Off,pause:!f,section:0,value:0),time:(from:'2017-10-05T14:13:14-0600',mode:absolute,to:'2017-10-05T16:49:40-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4042%22')),sort:!(Time.ISO8601,asc))</v>
      </c>
      <c r="T30" s="86" t="str">
        <f t="shared" si="1"/>
        <v>"C:\Program Files (x86)\AstroGrep\AstroGrep.exe" /e /r /s /spath="%USERPROFILE%\AppData\Local\Temp\OnboardLogs" /stypes="*4042*201710052*" /stext=" 21:.+((SYSTEM_STATE.+slice.+state.+changed )|(ment ac)|(multiple cpu faults)|(system.+state.+changed )|(\[timeout)|(PRM\|1\|D)|(kpr)|(kdp)|(train st.+moving)|(\|lc)|(penalty))"</v>
      </c>
      <c r="U30" s="9" t="str">
        <f t="shared" si="2"/>
        <v>4042</v>
      </c>
      <c r="V30" s="31">
        <f t="shared" si="3"/>
        <v>43013.909502314818</v>
      </c>
      <c r="W30" s="45" t="str">
        <f t="shared" si="4"/>
        <v>EC</v>
      </c>
      <c r="X30" s="22">
        <f t="shared" si="5"/>
        <v>193</v>
      </c>
      <c r="Y30" s="96" t="str">
        <f t="shared" si="6"/>
        <v>echo {"issue":{"subject":"","project_id":79,"tracker_id":40,"status_id":1,"priority_id":2,"assigned_to_id":338,"start_date":"2017-10-05","description":"","custom_fields":[{"id":1,"name":"Subdivision","value":"EC"},{"id":4,"name":"Milepost","value":"23.3491"},{"id":17,"name":"Train ID","value":"193-05"},{"id":16,"name":"Locomotive ID","value":"4042"},{"id":130,"name":"Impact","value":""},{"id":150,"name":"Time of Event (Mountain Time)","value":"15:49:41"},{"id":151,"name":"Denver Issue ID","value":""},{"id":178,"name":"Operational Impact","value":"Yes"},{"id":179,"name":"Denver Segment Assigned","value":""}]}} | curl --insecure -X POST -H "Content-Type: application/json" -H "X-Redmine-API-Key: %REDMINEAPIKEY%" https://secure.xorail.net/redmine/issues.json --data @-</v>
      </c>
      <c r="Z30" s="159"/>
      <c r="AA30" s="47"/>
      <c r="AB30" s="47"/>
      <c r="AC30" s="115" t="str">
        <f t="shared" si="7"/>
        <v>grep -hrE -A400 "Enforcement Action" /c/Users/stu/AppData/Local/Temp/OnboardLogs/RTDC4042 --include="*4042*201710052*" | grep -E "((Enforcement Ac)|(PRM))" -</v>
      </c>
      <c r="AD30" s="1" t="str">
        <f>"grep -hSE ""Enforcement Action"" "&amp;search_path&amp;"\RTDC"&amp;U30&amp;"\*"&amp;U30&amp;"*"&amp;TEXT(A30-utc_offset/24,"YYYYMMDD")&amp;LEFT(TEXT(A30-utc_offset/24,"HH"),1)&amp;"* &gt;&gt; "&amp;TEXT(Variables!$A$2,"YYYY-MM-DD")&amp;"-SliceDisagreementCheck.txt"</f>
        <v>grep -hSE "Enforcement Action" "%USERPROFILE%\AppData\Local\Temp\OnboardLogs"\RTDC4042\*4042*201710052* &gt;&gt; 2017-10-05-SliceDisagreementCheck.txt</v>
      </c>
      <c r="AE30" s="145" t="str">
        <f t="shared" si="9"/>
        <v>start /low /b %USERPROFILE%\Documents\GitHub\eaglep3\Utilities\DownloadLogsFromS3.py --loco 4042 --day 2017-10-05</v>
      </c>
      <c r="AF30" s="1"/>
    </row>
    <row r="31" spans="1:32" x14ac:dyDescent="0.25">
      <c r="A31" s="31">
        <v>43013.860162037039</v>
      </c>
      <c r="B31" s="30" t="s">
        <v>391</v>
      </c>
      <c r="C31" s="30" t="s">
        <v>616</v>
      </c>
      <c r="D31" s="30" t="s">
        <v>49</v>
      </c>
      <c r="E31" s="30" t="s">
        <v>179</v>
      </c>
      <c r="F31" s="42">
        <v>0</v>
      </c>
      <c r="G31" s="42">
        <v>146</v>
      </c>
      <c r="H31" s="42">
        <v>232900</v>
      </c>
      <c r="I31" s="42">
        <v>233094</v>
      </c>
      <c r="J31" s="30" t="s">
        <v>180</v>
      </c>
      <c r="K31" s="42">
        <v>233491</v>
      </c>
      <c r="L31" s="131" t="s">
        <v>50</v>
      </c>
      <c r="M31" s="132">
        <f t="shared" si="0"/>
        <v>209.61600000000001</v>
      </c>
      <c r="N31" s="133" t="str">
        <f>VLOOKUP(C31,'Trips&amp;Operators'!$C$1:$G$99911,5,FALSE)</f>
        <v>NICHOLSON WESLEY</v>
      </c>
      <c r="O31" s="176" t="s">
        <v>178</v>
      </c>
      <c r="P31" s="134"/>
      <c r="Q31" s="30"/>
      <c r="R31" s="81" t="str">
        <f>VLOOKUP(C31,'Train Runs'!$A$13:$AE$10010,31,0)</f>
        <v>aws s3 cp s3://rtdc.mdm.uploadarchive.raw/RTDC4010/ "%USERPROFILE%\AppData\Local\Temp\OnboardLogs"\RTDC4010\2017-10-05 --exclude "*" --recursive --include "*20171005*" &amp; "%USERPROFILE%\Documents\GitHub\mrs-test-scripts\Headless Mode &amp; Sideloading\WalkAndUnGZ.bat" "%USERPROFILE%\AppData\Local\Temp\OnboardLogs"\RTDC4010\2017-10-05 &amp; aws s3 cp s3://rtdc.mdm.uploadarchive.raw/RTDC4010/ "%USERPROFILE%\AppData\Local\Temp\OnboardLogs"\RTDC4010\2017-10-06 --exclude "*" --recursive --include "*20171006*" &amp; "%USERPROFILE%\Documents\GitHub\mrs-test-scripts\Headless Mode &amp; Sideloading\WalkAndUnGZ.bat" "%USERPROFILE%\AppData\Local\Temp\OnboardLogs"\RTDC4010\2017-10-06</v>
      </c>
      <c r="S31" s="84" t="str">
        <f>VLOOKUP(C31,'Train Runs'!$A$13:$AE$10010,22,0)</f>
        <v>https://d0f6bd738d7f1b3e5a7ca70fe4ff75f0.us-east-1.aws.found.io/app/kibana#/discover/Steve-Slow-Train-Analysis-(2080s-and-2083s)?_g=(refreshInterval:(display:Off,pause:!f,section:0,value:0),time:(from:'2017-10-05T18:56:47-0600',mode:absolute,to:'2017-10-05T21:38:38-0600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4010%22')),sort:!(Time.ISO8601,asc))</v>
      </c>
      <c r="T31" s="86" t="str">
        <f t="shared" si="1"/>
        <v>"C:\Program Files (x86)\AstroGrep\AstroGrep.exe" /e /r /s /spath="%USERPROFILE%\AppData\Local\Temp\OnboardLogs" /stypes="*4010*201710060*" /stext=" 02:.+((SYSTEM_STATE.+slice.+state.+changed )|(ment ac)|(multiple cpu faults)|(system.+state.+changed )|(\[timeout)|(PRM\|1\|D)|(kpr)|(kdp)|(train st.+moving)|(\|lc)|(penalty))"</v>
      </c>
      <c r="U31" s="9" t="str">
        <f t="shared" si="2"/>
        <v>4010</v>
      </c>
      <c r="V31" s="31">
        <f t="shared" si="3"/>
        <v>43014.110162037039</v>
      </c>
      <c r="W31" s="45" t="str">
        <f t="shared" si="4"/>
        <v>EC</v>
      </c>
      <c r="X31" s="22">
        <f t="shared" si="5"/>
        <v>225</v>
      </c>
      <c r="Y31" s="96" t="str">
        <f t="shared" si="6"/>
        <v>echo {"issue":{"subject":"","project_id":79,"tracker_id":40,"status_id":1,"priority_id":2,"assigned_to_id":338,"start_date":"2017-10-05","description":"","custom_fields":[{"id":1,"name":"Subdivision","value":"EC"},{"id":4,"name":"Milepost","value":"23.3491"},{"id":17,"name":"Train ID","value":"225-05"},{"id":16,"name":"Locomotive ID","value":"4010"},{"id":130,"name":"Impact","value":""},{"id":150,"name":"Time of Event (Mountain Time)","value":"20:38:38"},{"id":151,"name":"Denver Issue ID","value":""},{"id":178,"name":"Operational Impact","value":"Yes"},{"id":179,"name":"Denver Segment Assigned","value":""}]}} | curl --insecure -X POST -H "Content-Type: application/json" -H "X-Redmine-API-Key: %REDMINEAPIKEY%" https://secure.xorail.net/redmine/issues.json --data @-</v>
      </c>
      <c r="Z31" s="159"/>
      <c r="AA31" s="47"/>
      <c r="AB31" s="47"/>
      <c r="AC31" s="115" t="str">
        <f t="shared" si="7"/>
        <v>grep -hrE -A400 "Enforcement Action" /c/Users/stu/AppData/Local/Temp/OnboardLogs/RTDC4010 --include="*4010*201710060*" | grep -E "((Enforcement Ac)|(PRM))" -</v>
      </c>
      <c r="AD31" s="1" t="str">
        <f>"grep -hSE ""Enforcement Action"" "&amp;search_path&amp;"\RTDC"&amp;U31&amp;"\*"&amp;U31&amp;"*"&amp;TEXT(A31-utc_offset/24,"YYYYMMDD")&amp;LEFT(TEXT(A31-utc_offset/24,"HH"),1)&amp;"* &gt;&gt; "&amp;TEXT(Variables!$A$2,"YYYY-MM-DD")&amp;"-SliceDisagreementCheck.txt"</f>
        <v>grep -hSE "Enforcement Action" "%USERPROFILE%\AppData\Local\Temp\OnboardLogs"\RTDC4010\*4010*201710060* &gt;&gt; 2017-10-05-SliceDisagreementCheck.txt</v>
      </c>
      <c r="AE31" s="145" t="str">
        <f t="shared" si="9"/>
        <v>start /low /b %USERPROFILE%\Documents\GitHub\eaglep3\Utilities\DownloadLogsFromS3.py --loco 4010 --day 2017-10-06</v>
      </c>
      <c r="AF31" s="1"/>
    </row>
    <row r="32" spans="1:32" x14ac:dyDescent="0.25">
      <c r="A32" s="31">
        <v>43013.45207175926</v>
      </c>
      <c r="B32" s="30" t="s">
        <v>576</v>
      </c>
      <c r="C32" s="30" t="s">
        <v>592</v>
      </c>
      <c r="D32" s="30" t="s">
        <v>49</v>
      </c>
      <c r="E32" s="30" t="s">
        <v>185</v>
      </c>
      <c r="F32" s="42">
        <v>0</v>
      </c>
      <c r="G32" s="42">
        <v>185</v>
      </c>
      <c r="H32" s="42">
        <v>11074</v>
      </c>
      <c r="I32" s="42">
        <v>10657</v>
      </c>
      <c r="J32" s="30" t="s">
        <v>186</v>
      </c>
      <c r="K32" s="42">
        <v>10988</v>
      </c>
      <c r="L32" s="131" t="s">
        <v>51</v>
      </c>
      <c r="M32" s="132">
        <f t="shared" si="0"/>
        <v>-174.76799999999997</v>
      </c>
      <c r="N32" s="133" t="str">
        <f>VLOOKUP(C32,'Trips&amp;Operators'!$C$1:$G$99911,5,FALSE)</f>
        <v>FORTUNATO FRANK</v>
      </c>
      <c r="O32" s="176" t="s">
        <v>178</v>
      </c>
      <c r="P32" s="134" t="s">
        <v>360</v>
      </c>
      <c r="Q32" s="30"/>
      <c r="R32" s="81" t="str">
        <f>VLOOKUP(C32,'Train Runs'!$A$13:$AE$10010,31,0)</f>
        <v>aws s3 cp s3://rtdc.mdm.uploadarchive.raw/RTDC4001/ "%USERPROFILE%\AppData\Local\Temp\OnboardLogs"\RTDC4001\2017-10-05 --exclude "*" --recursive --include "*20171005*" &amp; "%USERPROFILE%\Documents\GitHub\mrs-test-scripts\Headless Mode &amp; Sideloading\WalkAndUnGZ.bat" "%USERPROFILE%\AppData\Local\Temp\OnboardLogs"\RTDC4001\2017-10-05 &amp; aws s3 cp s3://rtdc.mdm.uploadarchive.raw/RTDC4001/ "%USERPROFILE%\AppData\Local\Temp\OnboardLogs"\RTDC4001\2017-10-06 --exclude "*" --recursive --include "*20171006*" &amp; "%USERPROFILE%\Documents\GitHub\mrs-test-scripts\Headless Mode &amp; Sideloading\WalkAndUnGZ.bat" "%USERPROFILE%\AppData\Local\Temp\OnboardLogs"\RTDC4001\2017-10-06</v>
      </c>
      <c r="S32" s="84" t="str">
        <f>VLOOKUP(C32,'Train Runs'!$A$13:$AE$10010,22,0)</f>
        <v>https://d0f6bd738d7f1b3e5a7ca70fe4ff75f0.us-east-1.aws.found.io/app/kibana#/discover/Steve-Slow-Train-Analysis-(2080s-and-2083s)?_g=(refreshInterval:(display:Off,pause:!f,section:0,value:0),time:(from:'2017-10-05T09:27:38-0600',mode:absolute,to:'2017-10-05T11:56:47-0600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T32" s="86" t="str">
        <f t="shared" si="1"/>
        <v>"C:\Program Files (x86)\AstroGrep\AstroGrep.exe" /e /r /s /spath="%USERPROFILE%\AppData\Local\Temp\OnboardLogs" /stypes="*4001*201710051*" /stext=" 16:.+((SYSTEM_STATE.+slice.+state.+changed )|(ment ac)|(multiple cpu faults)|(system.+state.+changed )|(\[timeout)|(PRM\|1\|D)|(kpr)|(kdp)|(train st.+moving)|(\|lc)|(penalty))"</v>
      </c>
      <c r="U32" s="9" t="str">
        <f t="shared" si="2"/>
        <v>4001</v>
      </c>
      <c r="V32" s="31">
        <f t="shared" si="3"/>
        <v>43013.70207175926</v>
      </c>
      <c r="W32" s="45" t="str">
        <f t="shared" si="4"/>
        <v>NW</v>
      </c>
      <c r="X32" s="22">
        <f t="shared" si="5"/>
        <v>816</v>
      </c>
      <c r="Y32" s="96" t="str">
        <f t="shared" si="6"/>
        <v>echo {"issue":{"subject":"Early Arrival","project_id":79,"tracker_id":40,"status_id":1,"priority_id":2,"assigned_to_id":338,"start_date":"2017-10-05","description":"","custom_fields":[{"id":1,"name":"Subdivision","value":"NW"},{"id":4,"name":"Milepost","value":"1.0988"},{"id":17,"name":"Train ID","value":"816-05"},{"id":16,"name":"Locomotive ID","value":"4001"},{"id":130,"name":"Impact","value":""},{"id":150,"name":"Time of Event (Mountain Time)","value":"10:50:59"},{"id":151,"name":"Denver Issue ID","value":""},{"id":178,"name":"Operational Impact","value":"Yes"},{"id":179,"name":"Denver Segment Assigned","value":""}]}} | curl --insecure -X POST -H "Content-Type: application/json" -H "X-Redmine-API-Key: %REDMINEAPIKEY%" https://secure.xorail.net/redmine/issues.json --data @-</v>
      </c>
      <c r="Z32" s="159"/>
      <c r="AA32" s="47"/>
      <c r="AB32" s="47"/>
      <c r="AC32" s="115" t="str">
        <f t="shared" si="7"/>
        <v>grep -hrE -A400 "Enforcement Action" /c/Users/stu/AppData/Local/Temp/OnboardLogs/RTDC4001 --include="*4001*201710051*" | grep -E "((Enforcement Ac)|(PRM))" -</v>
      </c>
      <c r="AD32" s="1" t="str">
        <f>"grep -hSE ""Enforcement Action"" "&amp;search_path&amp;"\RTDC"&amp;U32&amp;"\*"&amp;U32&amp;"*"&amp;TEXT(A32-utc_offset/24,"YYYYMMDD")&amp;LEFT(TEXT(A32-utc_offset/24,"HH"),1)&amp;"* &gt;&gt; "&amp;TEXT(Variables!$A$2,"YYYY-MM-DD")&amp;"-SliceDisagreementCheck.txt"</f>
        <v>grep -hSE "Enforcement Action" "%USERPROFILE%\AppData\Local\Temp\OnboardLogs"\RTDC4001\*4001*201710051* &gt;&gt; 2017-10-05-SliceDisagreementCheck.txt</v>
      </c>
      <c r="AE32" s="145" t="str">
        <f t="shared" si="9"/>
        <v>start /low /b %USERPROFILE%\Documents\GitHub\eaglep3\Utilities\DownloadLogsFromS3.py --loco 4001 --day 2017-10-05</v>
      </c>
      <c r="AF32" s="1"/>
    </row>
    <row r="33" spans="1:32" x14ac:dyDescent="0.25">
      <c r="A33" s="31">
        <v>43013.38175925926</v>
      </c>
      <c r="B33" s="30" t="s">
        <v>504</v>
      </c>
      <c r="C33" s="30" t="s">
        <v>587</v>
      </c>
      <c r="D33" s="30" t="s">
        <v>95</v>
      </c>
      <c r="E33" s="30" t="s">
        <v>357</v>
      </c>
      <c r="F33" s="42">
        <v>0</v>
      </c>
      <c r="G33" s="42">
        <v>102</v>
      </c>
      <c r="H33" s="42">
        <v>1897</v>
      </c>
      <c r="I33" s="42">
        <v>2016</v>
      </c>
      <c r="J33" s="30" t="s">
        <v>358</v>
      </c>
      <c r="K33" s="42">
        <v>1725</v>
      </c>
      <c r="L33" s="131" t="s">
        <v>50</v>
      </c>
      <c r="M33" s="132">
        <f t="shared" si="0"/>
        <v>-153.648</v>
      </c>
      <c r="N33" s="133" t="str">
        <f>VLOOKUP(C33,'Trips&amp;Operators'!$C$1:$G$99911,5,FALSE)</f>
        <v>FORTUNATO FRANK</v>
      </c>
      <c r="O33" s="176" t="s">
        <v>386</v>
      </c>
      <c r="P33" s="134" t="s">
        <v>1004</v>
      </c>
      <c r="Q33" s="30"/>
      <c r="R33" s="81" t="str">
        <f>VLOOKUP(C33,'Train Runs'!$A$13:$AE$10010,31,0)</f>
        <v>aws s3 cp s3://rtdc.mdm.uploadarchive.raw/RTDC4018/ "%USERPROFILE%\AppData\Local\Temp\OnboardLogs"\RTDC4018\2017-10-05 --exclude "*" --recursive --include "*20171005*" &amp; "%USERPROFILE%\Documents\GitHub\mrs-test-scripts\Headless Mode &amp; Sideloading\WalkAndUnGZ.bat" "%USERPROFILE%\AppData\Local\Temp\OnboardLogs"\RTDC4018\2017-10-05 &amp; aws s3 cp s3://rtdc.mdm.uploadarchive.raw/RTDC4018/ "%USERPROFILE%\AppData\Local\Temp\OnboardLogs"\RTDC4018\2017-10-06 --exclude "*" --recursive --include "*20171006*" &amp; "%USERPROFILE%\Documents\GitHub\mrs-test-scripts\Headless Mode &amp; Sideloading\WalkAndUnGZ.bat" "%USERPROFILE%\AppData\Local\Temp\OnboardLogs"\RTDC4018\2017-10-06</v>
      </c>
      <c r="S33" s="84" t="str">
        <f>VLOOKUP(C33,'Train Runs'!$A$13:$AE$10010,22,0)</f>
        <v>https://d0f6bd738d7f1b3e5a7ca70fe4ff75f0.us-east-1.aws.found.io/app/kibana#/discover/Steve-Slow-Train-Analysis-(2080s-and-2083s)?_g=(refreshInterval:(display:Off,pause:!f,section:0,value:0),time:(from:'2017-10-05T07:58:37-0600',mode:absolute,to:'2017-10-05T10:09:44-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4018%22')),sort:!(Time.ISO8601,asc))</v>
      </c>
      <c r="T33" s="86" t="str">
        <f t="shared" si="1"/>
        <v>"C:\Program Files (x86)\AstroGrep\AstroGrep.exe" /e /r /s /spath="%USERPROFILE%\AppData\Local\Temp\OnboardLogs" /stypes="*4018*201710051*" /stext=" 15:.+((SYSTEM_STATE.+slice.+state.+changed )|(ment ac)|(multiple cpu faults)|(system.+state.+changed )|(\[timeout)|(PRM\|1\|D)|(kpr)|(kdp)|(train st.+moving)|(\|lc)|(penalty))"</v>
      </c>
      <c r="U33" s="9" t="str">
        <f t="shared" si="2"/>
        <v>4018</v>
      </c>
      <c r="V33" s="31">
        <f t="shared" si="3"/>
        <v>43013.63175925926</v>
      </c>
      <c r="W33" s="45" t="str">
        <f t="shared" si="4"/>
        <v>NW</v>
      </c>
      <c r="X33" s="22">
        <f t="shared" si="5"/>
        <v>813</v>
      </c>
      <c r="Y33" s="96" t="str">
        <f t="shared" si="6"/>
        <v>echo {"issue":{"subject":"Poor GPS at DUS","project_id":79,"tracker_id":40,"status_id":1,"priority_id":2,"assigned_to_id":338,"start_date":"2017-10-05","description":"","custom_fields":[{"id":1,"name":"Subdivision","value":"NW"},{"id":4,"name":"Milepost","value":"0.1725"},{"id":17,"name":"Train ID","value":"813-05"},{"id":16,"name":"Locomotive ID","value":"4018"},{"id":130,"name":"Impact","value":""},{"id":150,"name":"Time of Event (Mountain Time)","value":"09:09:44"},{"id":151,"name":"Denver Issue ID","value":""},{"id":178,"name":"Operational Impact","value":"Yes"},{"id":179,"name":"Denver Segment Assigned","value":""}]}} | curl --insecure -X POST -H "Content-Type: application/json" -H "X-Redmine-API-Key: %REDMINEAPIKEY%" https://secure.xorail.net/redmine/issues.json --data @-</v>
      </c>
      <c r="Z33" s="159"/>
      <c r="AA33" s="47"/>
      <c r="AB33" s="47"/>
      <c r="AC33" s="115" t="str">
        <f t="shared" si="7"/>
        <v>grep -hrE -A400 "Enforcement Action" /c/Users/stu/AppData/Local/Temp/OnboardLogs/RTDC4018 --include="*4018*201710051*" | grep -E "((Enforcement Ac)|(PRM))" -</v>
      </c>
      <c r="AD33" s="1" t="str">
        <f>"grep -hSE ""Enforcement Action"" "&amp;search_path&amp;"\RTDC"&amp;U33&amp;"\*"&amp;U33&amp;"*"&amp;TEXT(A33-utc_offset/24,"YYYYMMDD")&amp;LEFT(TEXT(A33-utc_offset/24,"HH"),1)&amp;"* &gt;&gt; "&amp;TEXT(Variables!$A$2,"YYYY-MM-DD")&amp;"-SliceDisagreementCheck.txt"</f>
        <v>grep -hSE "Enforcement Action" "%USERPROFILE%\AppData\Local\Temp\OnboardLogs"\RTDC4018\*4018*201710051* &gt;&gt; 2017-10-05-SliceDisagreementCheck.txt</v>
      </c>
      <c r="AE33" s="145" t="str">
        <f t="shared" si="9"/>
        <v>start /low /b %USERPROFILE%\Documents\GitHub\eaglep3\Utilities\DownloadLogsFromS3.py --loco 4018 --day 2017-10-05</v>
      </c>
      <c r="AF33" s="1"/>
    </row>
    <row r="34" spans="1:32" x14ac:dyDescent="0.25">
      <c r="A34" s="31">
        <v>43013.266435185185</v>
      </c>
      <c r="B34" s="30" t="s">
        <v>576</v>
      </c>
      <c r="C34" s="30" t="s">
        <v>579</v>
      </c>
      <c r="D34" s="30" t="s">
        <v>95</v>
      </c>
      <c r="E34" s="30" t="s">
        <v>357</v>
      </c>
      <c r="F34" s="42">
        <v>0</v>
      </c>
      <c r="G34" s="42">
        <v>98</v>
      </c>
      <c r="H34" s="42">
        <v>4779</v>
      </c>
      <c r="I34" s="42">
        <v>4617</v>
      </c>
      <c r="J34" s="30" t="s">
        <v>358</v>
      </c>
      <c r="K34" s="42">
        <v>4798</v>
      </c>
      <c r="L34" s="131" t="s">
        <v>51</v>
      </c>
      <c r="M34" s="132">
        <f t="shared" si="0"/>
        <v>-95.567999999999998</v>
      </c>
      <c r="N34" s="133" t="str">
        <f>VLOOKUP(C34,'Trips&amp;Operators'!$C$1:$G$99911,5,FALSE)</f>
        <v>DAVIS WENDY</v>
      </c>
      <c r="O34" s="176" t="s">
        <v>386</v>
      </c>
      <c r="P34" s="134" t="s">
        <v>1006</v>
      </c>
      <c r="Q34" s="30"/>
      <c r="R34" s="81" t="str">
        <f>VLOOKUP(C34,'Train Runs'!$A$13:$AE$10010,31,0)</f>
        <v>aws s3 cp s3://rtdc.mdm.uploadarchive.raw/RTDC4001/ "%USERPROFILE%\AppData\Local\Temp\OnboardLogs"\RTDC4001\2017-10-05 --exclude "*" --recursive --include "*20171005*" &amp; "%USERPROFILE%\Documents\GitHub\mrs-test-scripts\Headless Mode &amp; Sideloading\WalkAndUnGZ.bat" "%USERPROFILE%\AppData\Local\Temp\OnboardLogs"\RTDC4001\2017-10-05 &amp; aws s3 cp s3://rtdc.mdm.uploadarchive.raw/RTDC4001/ "%USERPROFILE%\AppData\Local\Temp\OnboardLogs"\RTDC4001\2017-10-06 --exclude "*" --recursive --include "*20171006*" &amp; "%USERPROFILE%\Documents\GitHub\mrs-test-scripts\Headless Mode &amp; Sideloading\WalkAndUnGZ.bat" "%USERPROFILE%\AppData\Local\Temp\OnboardLogs"\RTDC4001\2017-10-06</v>
      </c>
      <c r="S34" s="84" t="str">
        <f>VLOOKUP(C34,'Train Runs'!$A$13:$AE$10010,22,0)</f>
        <v>https://d0f6bd738d7f1b3e5a7ca70fe4ff75f0.us-east-1.aws.found.io/app/kibana#/discover/Steve-Slow-Train-Analysis-(2080s-and-2083s)?_g=(refreshInterval:(display:Off,pause:!f,section:0,value:0),time:(from:'2017-10-05T04:56:20-0600',mode:absolute,to:'2017-10-05T07:23:41-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T34" s="86" t="str">
        <f t="shared" si="1"/>
        <v>"C:\Program Files (x86)\AstroGrep\AstroGrep.exe" /e /r /s /spath="%USERPROFILE%\AppData\Local\Temp\OnboardLogs" /stypes="*4001*201710051*" /stext=" 12:.+((SYSTEM_STATE.+slice.+state.+changed )|(ment ac)|(multiple cpu faults)|(system.+state.+changed )|(\[timeout)|(PRM\|1\|D)|(kpr)|(kdp)|(train st.+moving)|(\|lc)|(penalty))"</v>
      </c>
      <c r="U34" s="9" t="str">
        <f t="shared" si="2"/>
        <v>4001</v>
      </c>
      <c r="V34" s="31">
        <f t="shared" si="3"/>
        <v>43013.516435185185</v>
      </c>
      <c r="W34" s="45" t="str">
        <f t="shared" si="4"/>
        <v>NW</v>
      </c>
      <c r="X34" s="22">
        <f t="shared" si="5"/>
        <v>802</v>
      </c>
      <c r="Y34" s="96" t="str">
        <f t="shared" si="6"/>
        <v>echo {"issue":{"subject":"Poor GPS at Wewatta St. overpass","project_id":79,"tracker_id":40,"status_id":1,"priority_id":2,"assigned_to_id":338,"start_date":"2017-10-05","description":"","custom_fields":[{"id":1,"name":"Subdivision","value":"NW"},{"id":4,"name":"Milepost","value":"0.4798"},{"id":17,"name":"Train ID","value":"802-05"},{"id":16,"name":"Locomotive ID","value":"4001"},{"id":130,"name":"Impact","value":""},{"id":150,"name":"Time of Event (Mountain Time)","value":"06:23:40"},{"id":151,"name":"Denver Issue ID","value":""},{"id":178,"name":"Operational Impact","value":"Yes"},{"id":179,"name":"Denver Segment Assigned","value":""}]}} | curl --insecure -X POST -H "Content-Type: application/json" -H "X-Redmine-API-Key: %REDMINEAPIKEY%" https://secure.xorail.net/redmine/issues.json --data @-</v>
      </c>
      <c r="Z34" s="159"/>
      <c r="AA34" s="47"/>
      <c r="AB34" s="47"/>
      <c r="AC34" s="115" t="str">
        <f t="shared" si="7"/>
        <v>grep -hrE -A400 "Enforcement Action" /c/Users/stu/AppData/Local/Temp/OnboardLogs/RTDC4001 --include="*4001*201710051*" | grep -E "((Enforcement Ac)|(PRM))" -</v>
      </c>
      <c r="AD34" s="1" t="str">
        <f>"grep -hSE ""Enforcement Action"" "&amp;search_path&amp;"\RTDC"&amp;U34&amp;"\*"&amp;U34&amp;"*"&amp;TEXT(A34-utc_offset/24,"YYYYMMDD")&amp;LEFT(TEXT(A34-utc_offset/24,"HH"),1)&amp;"* &gt;&gt; "&amp;TEXT(Variables!$A$2,"YYYY-MM-DD")&amp;"-SliceDisagreementCheck.txt"</f>
        <v>grep -hSE "Enforcement Action" "%USERPROFILE%\AppData\Local\Temp\OnboardLogs"\RTDC4001\*4001*201710051* &gt;&gt; 2017-10-05-SliceDisagreementCheck.txt</v>
      </c>
      <c r="AE34" s="145" t="str">
        <f t="shared" si="9"/>
        <v>start /low /b %USERPROFILE%\Documents\GitHub\eaglep3\Utilities\DownloadLogsFromS3.py --loco 4001 --day 2017-10-05</v>
      </c>
      <c r="AF34" s="1"/>
    </row>
    <row r="35" spans="1:32" x14ac:dyDescent="0.25">
      <c r="A35" s="31">
        <v>43013.538703703707</v>
      </c>
      <c r="B35" s="30" t="s">
        <v>576</v>
      </c>
      <c r="C35" s="30" t="s">
        <v>597</v>
      </c>
      <c r="D35" s="30" t="s">
        <v>95</v>
      </c>
      <c r="E35" s="30" t="s">
        <v>357</v>
      </c>
      <c r="F35" s="42">
        <v>0</v>
      </c>
      <c r="G35" s="42">
        <v>87</v>
      </c>
      <c r="H35" s="42">
        <v>4792</v>
      </c>
      <c r="I35" s="42">
        <v>4638</v>
      </c>
      <c r="J35" s="30" t="s">
        <v>358</v>
      </c>
      <c r="K35" s="42">
        <v>4798</v>
      </c>
      <c r="L35" s="131" t="s">
        <v>51</v>
      </c>
      <c r="M35" s="132">
        <f t="shared" si="0"/>
        <v>-84.48</v>
      </c>
      <c r="N35" s="133" t="str">
        <f>VLOOKUP(C35,'Trips&amp;Operators'!$C$1:$G$99911,5,FALSE)</f>
        <v>FORTUNATO FRANK</v>
      </c>
      <c r="O35" s="176" t="s">
        <v>386</v>
      </c>
      <c r="P35" s="134" t="s">
        <v>1006</v>
      </c>
      <c r="Q35" s="30"/>
      <c r="R35" s="81" t="str">
        <f>VLOOKUP(C35,'Train Runs'!$A$13:$AE$10010,31,0)</f>
        <v>aws s3 cp s3://rtdc.mdm.uploadarchive.raw/RTDC4001/ "%USERPROFILE%\AppData\Local\Temp\OnboardLogs"\RTDC4001\2017-10-05 --exclude "*" --recursive --include "*20171005*" &amp; "%USERPROFILE%\Documents\GitHub\mrs-test-scripts\Headless Mode &amp; Sideloading\WalkAndUnGZ.bat" "%USERPROFILE%\AppData\Local\Temp\OnboardLogs"\RTDC4001\2017-10-05 &amp; aws s3 cp s3://rtdc.mdm.uploadarchive.raw/RTDC4001/ "%USERPROFILE%\AppData\Local\Temp\OnboardLogs"\RTDC4001\2017-10-06 --exclude "*" --recursive --include "*20171006*" &amp; "%USERPROFILE%\Documents\GitHub\mrs-test-scripts\Headless Mode &amp; Sideloading\WalkAndUnGZ.bat" "%USERPROFILE%\AppData\Local\Temp\OnboardLogs"\RTDC4001\2017-10-06</v>
      </c>
      <c r="S35" s="84" t="str">
        <f>VLOOKUP(C35,'Train Runs'!$A$13:$AE$10010,22,0)</f>
        <v>https://d0f6bd738d7f1b3e5a7ca70fe4ff75f0.us-east-1.aws.found.io/app/kibana#/discover/Steve-Slow-Train-Analysis-(2080s-and-2083s)?_g=(refreshInterval:(display:Off,pause:!f,section:0,value:0),time:(from:'2017-10-05T11:25:54-0600',mode:absolute,to:'2017-10-05T13:55:44-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T35" s="86" t="str">
        <f t="shared" si="1"/>
        <v>"C:\Program Files (x86)\AstroGrep\AstroGrep.exe" /e /r /s /spath="%USERPROFILE%\AppData\Local\Temp\OnboardLogs" /stypes="*4001*201710051*" /stext=" 18:.+((SYSTEM_STATE.+slice.+state.+changed )|(ment ac)|(multiple cpu faults)|(system.+state.+changed )|(\[timeout)|(PRM\|1\|D)|(kpr)|(kdp)|(train st.+moving)|(\|lc)|(penalty))"</v>
      </c>
      <c r="U35" s="9" t="str">
        <f t="shared" si="2"/>
        <v>4001</v>
      </c>
      <c r="V35" s="31">
        <f t="shared" si="3"/>
        <v>43013.788703703707</v>
      </c>
      <c r="W35" s="45" t="str">
        <f t="shared" si="4"/>
        <v>NW</v>
      </c>
      <c r="X35" s="22">
        <f t="shared" si="5"/>
        <v>820</v>
      </c>
      <c r="Y35" s="96" t="str">
        <f t="shared" si="6"/>
        <v>echo {"issue":{"subject":"Poor GPS at Wewatta St. overpass","project_id":79,"tracker_id":40,"status_id":1,"priority_id":2,"assigned_to_id":338,"start_date":"2017-10-05","description":"","custom_fields":[{"id":1,"name":"Subdivision","value":"NW"},{"id":4,"name":"Milepost","value":"0.4798"},{"id":17,"name":"Train ID","value":"820-05"},{"id":16,"name":"Locomotive ID","value":"4001"},{"id":130,"name":"Impact","value":""},{"id":150,"name":"Time of Event (Mountain Time)","value":"12:55:44"},{"id":151,"name":"Denver Issue ID","value":""},{"id":178,"name":"Operational Impact","value":"Yes"},{"id":179,"name":"Denver Segment Assigned","value":""}]}} | curl --insecure -X POST -H "Content-Type: application/json" -H "X-Redmine-API-Key: %REDMINEAPIKEY%" https://secure.xorail.net/redmine/issues.json --data @-</v>
      </c>
      <c r="Z35" s="159"/>
      <c r="AA35" s="47"/>
      <c r="AB35" s="47"/>
      <c r="AC35" s="115" t="str">
        <f t="shared" si="7"/>
        <v>grep -hrE -A400 "Enforcement Action" /c/Users/stu/AppData/Local/Temp/OnboardLogs/RTDC4001 --include="*4001*201710051*" | grep -E "((Enforcement Ac)|(PRM))" -</v>
      </c>
      <c r="AD35" s="1" t="str">
        <f>"grep -hSE ""Enforcement Action"" "&amp;search_path&amp;"\RTDC"&amp;U35&amp;"\*"&amp;U35&amp;"*"&amp;TEXT(A35-utc_offset/24,"YYYYMMDD")&amp;LEFT(TEXT(A35-utc_offset/24,"HH"),1)&amp;"* &gt;&gt; "&amp;TEXT(Variables!$A$2,"YYYY-MM-DD")&amp;"-SliceDisagreementCheck.txt"</f>
        <v>grep -hSE "Enforcement Action" "%USERPROFILE%\AppData\Local\Temp\OnboardLogs"\RTDC4001\*4001*201710051* &gt;&gt; 2017-10-05-SliceDisagreementCheck.txt</v>
      </c>
      <c r="AE35" s="145" t="str">
        <f t="shared" si="9"/>
        <v>start /low /b %USERPROFILE%\Documents\GitHub\eaglep3\Utilities\DownloadLogsFromS3.py --loco 4001 --day 2017-10-05</v>
      </c>
      <c r="AF35" s="1"/>
    </row>
    <row r="36" spans="1:32" x14ac:dyDescent="0.25">
      <c r="A36" s="31">
        <v>43013.66202546296</v>
      </c>
      <c r="B36" s="30" t="s">
        <v>576</v>
      </c>
      <c r="C36" s="30" t="s">
        <v>609</v>
      </c>
      <c r="D36" s="30" t="s">
        <v>49</v>
      </c>
      <c r="E36" s="30" t="s">
        <v>357</v>
      </c>
      <c r="F36" s="42">
        <v>0</v>
      </c>
      <c r="G36" s="42">
        <v>102</v>
      </c>
      <c r="H36" s="42">
        <v>4817</v>
      </c>
      <c r="I36" s="42">
        <v>4666</v>
      </c>
      <c r="J36" s="30" t="s">
        <v>358</v>
      </c>
      <c r="K36" s="42">
        <v>4798</v>
      </c>
      <c r="L36" s="131" t="s">
        <v>51</v>
      </c>
      <c r="M36" s="132">
        <f t="shared" si="0"/>
        <v>-69.695999999999998</v>
      </c>
      <c r="N36" s="133" t="str">
        <f>VLOOKUP(C36,'Trips&amp;Operators'!$C$1:$G$99911,5,FALSE)</f>
        <v>BIRKHOLZ NADINE</v>
      </c>
      <c r="O36" s="176" t="s">
        <v>386</v>
      </c>
      <c r="P36" s="134" t="s">
        <v>1006</v>
      </c>
      <c r="Q36" s="30"/>
      <c r="R36" s="81" t="str">
        <f>VLOOKUP(C36,'Train Runs'!$A$13:$AE$10010,31,0)</f>
        <v>aws s3 cp s3://rtdc.mdm.uploadarchive.raw/RTDC4001/ "%USERPROFILE%\AppData\Local\Temp\OnboardLogs"\RTDC4001\2017-10-05 --exclude "*" --recursive --include "*20171005*" &amp; "%USERPROFILE%\Documents\GitHub\mrs-test-scripts\Headless Mode &amp; Sideloading\WalkAndUnGZ.bat" "%USERPROFILE%\AppData\Local\Temp\OnboardLogs"\RTDC4001\2017-10-05 &amp; aws s3 cp s3://rtdc.mdm.uploadarchive.raw/RTDC4001/ "%USERPROFILE%\AppData\Local\Temp\OnboardLogs"\RTDC4001\2017-10-06 --exclude "*" --recursive --include "*20171006*" &amp; "%USERPROFILE%\Documents\GitHub\mrs-test-scripts\Headless Mode &amp; Sideloading\WalkAndUnGZ.bat" "%USERPROFILE%\AppData\Local\Temp\OnboardLogs"\RTDC4001\2017-10-06</v>
      </c>
      <c r="S36" s="84" t="str">
        <f>VLOOKUP(C36,'Train Runs'!$A$13:$AE$10010,22,0)</f>
        <v>https://d0f6bd738d7f1b3e5a7ca70fe4ff75f0.us-east-1.aws.found.io/app/kibana#/discover/Steve-Slow-Train-Analysis-(2080s-and-2083s)?_g=(refreshInterval:(display:Off,pause:!f,section:0,value:0),time:(from:'2017-10-05T14:28:35-0600',mode:absolute,to:'2017-10-05T16:53:19-0600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T36" s="86" t="str">
        <f t="shared" si="1"/>
        <v>"C:\Program Files (x86)\AstroGrep\AstroGrep.exe" /e /r /s /spath="%USERPROFILE%\AppData\Local\Temp\OnboardLogs" /stypes="*4001*201710052*" /stext=" 21:.+((SYSTEM_STATE.+slice.+state.+changed )|(ment ac)|(multiple cpu faults)|(system.+state.+changed )|(\[timeout)|(PRM\|1\|D)|(kpr)|(kdp)|(train st.+moving)|(\|lc)|(penalty))"</v>
      </c>
      <c r="U36" s="9" t="str">
        <f t="shared" si="2"/>
        <v>4001</v>
      </c>
      <c r="V36" s="31">
        <f t="shared" si="3"/>
        <v>43013.91202546296</v>
      </c>
      <c r="W36" s="45" t="str">
        <f t="shared" si="4"/>
        <v>NW</v>
      </c>
      <c r="X36" s="22">
        <f t="shared" si="5"/>
        <v>826</v>
      </c>
      <c r="Y36" s="96" t="str">
        <f t="shared" si="6"/>
        <v>echo {"issue":{"subject":"Poor GPS at Wewatta St. overpass","project_id":79,"tracker_id":40,"status_id":1,"priority_id":2,"assigned_to_id":338,"start_date":"2017-10-05","description":"","custom_fields":[{"id":1,"name":"Subdivision","value":"NW"},{"id":4,"name":"Milepost","value":"0.4798"},{"id":17,"name":"Train ID","value":"826-05"},{"id":16,"name":"Locomotive ID","value":"4001"},{"id":130,"name":"Impact","value":""},{"id":150,"name":"Time of Event (Mountain Time)","value":"15:53:19"},{"id":151,"name":"Denver Issue ID","value":""},{"id":178,"name":"Operational Impact","value":"Yes"},{"id":179,"name":"Denver Segment Assigned","value":""}]}} | curl --insecure -X POST -H "Content-Type: application/json" -H "X-Redmine-API-Key: %REDMINEAPIKEY%" https://secure.xorail.net/redmine/issues.json --data @-</v>
      </c>
      <c r="Z36" s="159"/>
      <c r="AA36" s="47"/>
      <c r="AB36" s="47"/>
      <c r="AC36" s="115" t="str">
        <f t="shared" si="7"/>
        <v>grep -hrE -A400 "Enforcement Action" /c/Users/stu/AppData/Local/Temp/OnboardLogs/RTDC4001 --include="*4001*201710052*" | grep -E "((Enforcement Ac)|(PRM))" -</v>
      </c>
      <c r="AD36" s="1" t="str">
        <f>"grep -hSE ""Enforcement Action"" "&amp;search_path&amp;"\RTDC"&amp;U36&amp;"\*"&amp;U36&amp;"*"&amp;TEXT(A36-utc_offset/24,"YYYYMMDD")&amp;LEFT(TEXT(A36-utc_offset/24,"HH"),1)&amp;"* &gt;&gt; "&amp;TEXT(Variables!$A$2,"YYYY-MM-DD")&amp;"-SliceDisagreementCheck.txt"</f>
        <v>grep -hSE "Enforcement Action" "%USERPROFILE%\AppData\Local\Temp\OnboardLogs"\RTDC4001\*4001*201710052* &gt;&gt; 2017-10-05-SliceDisagreementCheck.txt</v>
      </c>
      <c r="AE36" s="145" t="str">
        <f t="shared" si="9"/>
        <v>start /low /b %USERPROFILE%\Documents\GitHub\eaglep3\Utilities\DownloadLogsFromS3.py --loco 4001 --day 2017-10-05</v>
      </c>
      <c r="AF36" s="1"/>
    </row>
    <row r="37" spans="1:32" x14ac:dyDescent="0.25">
      <c r="A37" s="31">
        <v>43013.51935185185</v>
      </c>
      <c r="B37" s="30" t="s">
        <v>576</v>
      </c>
      <c r="C37" s="30" t="s">
        <v>597</v>
      </c>
      <c r="D37" s="30" t="s">
        <v>95</v>
      </c>
      <c r="E37" s="30" t="s">
        <v>357</v>
      </c>
      <c r="F37" s="42">
        <v>0</v>
      </c>
      <c r="G37" s="42">
        <v>55</v>
      </c>
      <c r="H37" s="42">
        <v>58465</v>
      </c>
      <c r="I37" s="42">
        <v>58426</v>
      </c>
      <c r="J37" s="30" t="s">
        <v>358</v>
      </c>
      <c r="K37" s="42">
        <v>58472</v>
      </c>
      <c r="L37" s="131" t="s">
        <v>51</v>
      </c>
      <c r="M37" s="132">
        <f t="shared" si="0"/>
        <v>-24.288</v>
      </c>
      <c r="N37" s="133" t="str">
        <f>VLOOKUP(C37,'Trips&amp;Operators'!$C$1:$G$99911,5,FALSE)</f>
        <v>FORTUNATO FRANK</v>
      </c>
      <c r="O37" s="176" t="s">
        <v>386</v>
      </c>
      <c r="P37" s="134" t="s">
        <v>1005</v>
      </c>
      <c r="Q37" s="30"/>
      <c r="R37" s="81" t="str">
        <f>VLOOKUP(C37,'Train Runs'!$A$13:$AE$10010,31,0)</f>
        <v>aws s3 cp s3://rtdc.mdm.uploadarchive.raw/RTDC4001/ "%USERPROFILE%\AppData\Local\Temp\OnboardLogs"\RTDC4001\2017-10-05 --exclude "*" --recursive --include "*20171005*" &amp; "%USERPROFILE%\Documents\GitHub\mrs-test-scripts\Headless Mode &amp; Sideloading\WalkAndUnGZ.bat" "%USERPROFILE%\AppData\Local\Temp\OnboardLogs"\RTDC4001\2017-10-05 &amp; aws s3 cp s3://rtdc.mdm.uploadarchive.raw/RTDC4001/ "%USERPROFILE%\AppData\Local\Temp\OnboardLogs"\RTDC4001\2017-10-06 --exclude "*" --recursive --include "*20171006*" &amp; "%USERPROFILE%\Documents\GitHub\mrs-test-scripts\Headless Mode &amp; Sideloading\WalkAndUnGZ.bat" "%USERPROFILE%\AppData\Local\Temp\OnboardLogs"\RTDC4001\2017-10-06</v>
      </c>
      <c r="S37" s="84" t="str">
        <f>VLOOKUP(C37,'Train Runs'!$A$13:$AE$10010,22,0)</f>
        <v>https://d0f6bd738d7f1b3e5a7ca70fe4ff75f0.us-east-1.aws.found.io/app/kibana#/discover/Steve-Slow-Train-Analysis-(2080s-and-2083s)?_g=(refreshInterval:(display:Off,pause:!f,section:0,value:0),time:(from:'2017-10-05T11:25:54-0600',mode:absolute,to:'2017-10-05T13:55:44-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T37" s="86" t="str">
        <f t="shared" si="1"/>
        <v>"C:\Program Files (x86)\AstroGrep\AstroGrep.exe" /e /r /s /spath="%USERPROFILE%\AppData\Local\Temp\OnboardLogs" /stypes="*4001*201710051*" /stext=" 18:.+((SYSTEM_STATE.+slice.+state.+changed )|(ment ac)|(multiple cpu faults)|(system.+state.+changed )|(\[timeout)|(PRM\|1\|D)|(kpr)|(kdp)|(train st.+moving)|(\|lc)|(penalty))"</v>
      </c>
      <c r="U37" s="9" t="str">
        <f t="shared" si="2"/>
        <v>4001</v>
      </c>
      <c r="V37" s="31">
        <f t="shared" si="3"/>
        <v>43013.76935185185</v>
      </c>
      <c r="W37" s="45" t="str">
        <f t="shared" si="4"/>
        <v>NW</v>
      </c>
      <c r="X37" s="22">
        <f t="shared" si="5"/>
        <v>820</v>
      </c>
      <c r="Y37" s="96" t="str">
        <f t="shared" si="6"/>
        <v>echo {"issue":{"subject":"Went active too close to Westminster 2S","project_id":79,"tracker_id":40,"status_id":1,"priority_id":2,"assigned_to_id":338,"start_date":"2017-10-05","description":"","custom_fields":[{"id":1,"name":"Subdivision","value":"NW"},{"id":4,"name":"Milepost","value":"5.8472"},{"id":17,"name":"Train ID","value":"820-05"},{"id":16,"name":"Locomotive ID","value":"4001"},{"id":130,"name":"Impact","value":""},{"id":150,"name":"Time of Event (Mountain Time)","value":"12:27:52"},{"id":151,"name":"Denver Issue ID","value":""},{"id":178,"name":"Operational Impact","value":"Yes"},{"id":179,"name":"Denver Segment Assigned","value":""}]}} | curl --insecure -X POST -H "Content-Type: application/json" -H "X-Redmine-API-Key: %REDMINEAPIKEY%" https://secure.xorail.net/redmine/issues.json --data @-</v>
      </c>
      <c r="Z37" s="159"/>
      <c r="AA37" s="47"/>
      <c r="AB37" s="47"/>
      <c r="AC37" s="115" t="str">
        <f t="shared" si="7"/>
        <v>grep -hrE -A400 "Enforcement Action" /c/Users/stu/AppData/Local/Temp/OnboardLogs/RTDC4001 --include="*4001*201710051*" | grep -E "((Enforcement Ac)|(PRM))" -</v>
      </c>
      <c r="AD37" s="1" t="str">
        <f>"grep -hSE ""Enforcement Action"" "&amp;search_path&amp;"\RTDC"&amp;U37&amp;"\*"&amp;U37&amp;"*"&amp;TEXT(A37-utc_offset/24,"YYYYMMDD")&amp;LEFT(TEXT(A37-utc_offset/24,"HH"),1)&amp;"* &gt;&gt; "&amp;TEXT(Variables!$A$2,"YYYY-MM-DD")&amp;"-SliceDisagreementCheck.txt"</f>
        <v>grep -hSE "Enforcement Action" "%USERPROFILE%\AppData\Local\Temp\OnboardLogs"\RTDC4001\*4001*201710051* &gt;&gt; 2017-10-05-SliceDisagreementCheck.txt</v>
      </c>
      <c r="AE37" s="145" t="str">
        <f t="shared" si="9"/>
        <v>start /low /b %USERPROFILE%\Documents\GitHub\eaglep3\Utilities\DownloadLogsFromS3.py --loco 4001 --day 2017-10-05</v>
      </c>
      <c r="AF37" s="1"/>
    </row>
    <row r="38" spans="1:32" x14ac:dyDescent="0.25">
      <c r="A38" s="31">
        <v>43013.413437499999</v>
      </c>
      <c r="B38" s="30" t="s">
        <v>505</v>
      </c>
      <c r="C38" s="30" t="s">
        <v>589</v>
      </c>
      <c r="D38" s="30" t="s">
        <v>49</v>
      </c>
      <c r="E38" s="30" t="s">
        <v>179</v>
      </c>
      <c r="F38" s="42">
        <v>0</v>
      </c>
      <c r="G38" s="42">
        <v>59</v>
      </c>
      <c r="H38" s="42">
        <v>186</v>
      </c>
      <c r="I38" s="42">
        <v>138</v>
      </c>
      <c r="J38" s="30" t="s">
        <v>180</v>
      </c>
      <c r="K38" s="42">
        <v>1</v>
      </c>
      <c r="L38" s="131" t="s">
        <v>51</v>
      </c>
      <c r="M38" s="132">
        <f t="shared" si="0"/>
        <v>72.335999999999999</v>
      </c>
      <c r="N38" s="133" t="str">
        <f>VLOOKUP(C38,'Trips&amp;Operators'!$C$1:$G$99911,5,FALSE)</f>
        <v>FORTUNATO FRANK</v>
      </c>
      <c r="O38" s="176" t="s">
        <v>178</v>
      </c>
      <c r="P38" s="134"/>
      <c r="Q38" s="30"/>
      <c r="R38" s="81" t="str">
        <f>VLOOKUP(C38,'Train Runs'!$A$13:$AE$10010,31,0)</f>
        <v>aws s3 cp s3://rtdc.mdm.uploadarchive.raw/RTDC4017/ "%USERPROFILE%\AppData\Local\Temp\OnboardLogs"\RTDC4017\2017-10-05 --exclude "*" --recursive --include "*20171005*" &amp; "%USERPROFILE%\Documents\GitHub\mrs-test-scripts\Headless Mode &amp; Sideloading\WalkAndUnGZ.bat" "%USERPROFILE%\AppData\Local\Temp\OnboardLogs"\RTDC4017\2017-10-05 &amp; aws s3 cp s3://rtdc.mdm.uploadarchive.raw/RTDC4017/ "%USERPROFILE%\AppData\Local\Temp\OnboardLogs"\RTDC4017\2017-10-06 --exclude "*" --recursive --include "*20171006*" &amp; "%USERPROFILE%\Documents\GitHub\mrs-test-scripts\Headless Mode &amp; Sideloading\WalkAndUnGZ.bat" "%USERPROFILE%\AppData\Local\Temp\OnboardLogs"\RTDC4017\2017-10-06</v>
      </c>
      <c r="S38" s="84" t="str">
        <f>VLOOKUP(C38,'Train Runs'!$A$13:$AE$10010,22,0)</f>
        <v>https://d0f6bd738d7f1b3e5a7ca70fe4ff75f0.us-east-1.aws.found.io/app/kibana#/discover/Steve-Slow-Train-Analysis-(2080s-and-2083s)?_g=(refreshInterval:(display:Off,pause:!f,section:0,value:0),time:(from:'2017-10-05T08:26:12-0600',mode:absolute,to:'2017-10-05T10:55:21-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4017%22')),sort:!(Time.ISO8601,asc))</v>
      </c>
      <c r="T38" s="86" t="str">
        <f t="shared" si="1"/>
        <v>"C:\Program Files (x86)\AstroGrep\AstroGrep.exe" /e /r /s /spath="%USERPROFILE%\AppData\Local\Temp\OnboardLogs" /stypes="*4017*201710051*" /stext=" 15:.+((SYSTEM_STATE.+slice.+state.+changed )|(ment ac)|(multiple cpu faults)|(system.+state.+changed )|(\[timeout)|(PRM\|1\|D)|(kpr)|(kdp)|(train st.+moving)|(\|lc)|(penalty))"</v>
      </c>
      <c r="U38" s="9" t="str">
        <f t="shared" si="2"/>
        <v>4017</v>
      </c>
      <c r="V38" s="31">
        <f t="shared" si="3"/>
        <v>43013.663437499999</v>
      </c>
      <c r="W38" s="45" t="str">
        <f t="shared" si="4"/>
        <v>NW</v>
      </c>
      <c r="X38" s="22">
        <f t="shared" si="5"/>
        <v>814</v>
      </c>
      <c r="Y38" s="96" t="str">
        <f t="shared" si="6"/>
        <v>echo {"issue":{"subject":"","project_id":79,"tracker_id":40,"status_id":1,"priority_id":2,"assigned_to_id":338,"start_date":"2017-10-05","description":"","custom_fields":[{"id":1,"name":"Subdivision","value":"NW"},{"id":4,"name":"Milepost","value":"0.0001"},{"id":17,"name":"Train ID","value":"814-05"},{"id":16,"name":"Locomotive ID","value":"4017"},{"id":130,"name":"Impact","value":""},{"id":150,"name":"Time of Event (Mountain Time)","value":"09:55:21"},{"id":151,"name":"Denver Issue ID","value":""},{"id":178,"name":"Operational Impact","value":"Yes"},{"id":179,"name":"Denver Segment Assigned","value":""}]}} | curl --insecure -X POST -H "Content-Type: application/json" -H "X-Redmine-API-Key: %REDMINEAPIKEY%" https://secure.xorail.net/redmine/issues.json --data @-</v>
      </c>
      <c r="Z38" s="159"/>
      <c r="AA38" s="47"/>
      <c r="AB38" s="47"/>
      <c r="AC38" s="115" t="str">
        <f t="shared" si="7"/>
        <v>grep -hrE -A400 "Enforcement Action" /c/Users/stu/AppData/Local/Temp/OnboardLogs/RTDC4017 --include="*4017*201710051*" | grep -E "((Enforcement Ac)|(PRM))" -</v>
      </c>
      <c r="AD38" s="1" t="str">
        <f>"grep -hSE ""Enforcement Action"" "&amp;search_path&amp;"\RTDC"&amp;U38&amp;"\*"&amp;U38&amp;"*"&amp;TEXT(A38-utc_offset/24,"YYYYMMDD")&amp;LEFT(TEXT(A38-utc_offset/24,"HH"),1)&amp;"* &gt;&gt; "&amp;TEXT(Variables!$A$2,"YYYY-MM-DD")&amp;"-SliceDisagreementCheck.txt"</f>
        <v>grep -hSE "Enforcement Action" "%USERPROFILE%\AppData\Local\Temp\OnboardLogs"\RTDC4017\*4017*201710051* &gt;&gt; 2017-10-05-SliceDisagreementCheck.txt</v>
      </c>
      <c r="AE38" s="145" t="str">
        <f t="shared" si="9"/>
        <v>start /low /b %USERPROFILE%\Documents\GitHub\eaglep3\Utilities\DownloadLogsFromS3.py --loco 4017 --day 2017-10-05</v>
      </c>
      <c r="AF38" s="1"/>
    </row>
    <row r="39" spans="1:32" x14ac:dyDescent="0.25">
      <c r="A39" s="31">
        <v>43013.22755787037</v>
      </c>
      <c r="B39" s="30" t="s">
        <v>576</v>
      </c>
      <c r="C39" s="30" t="s">
        <v>577</v>
      </c>
      <c r="D39" s="30" t="s">
        <v>49</v>
      </c>
      <c r="E39" s="30" t="s">
        <v>179</v>
      </c>
      <c r="F39" s="42">
        <v>0</v>
      </c>
      <c r="G39" s="42">
        <v>25</v>
      </c>
      <c r="H39" s="42">
        <v>636</v>
      </c>
      <c r="I39" s="42">
        <v>608</v>
      </c>
      <c r="J39" s="30" t="s">
        <v>180</v>
      </c>
      <c r="K39" s="42">
        <v>575</v>
      </c>
      <c r="L39" s="131" t="s">
        <v>51</v>
      </c>
      <c r="M39" s="132">
        <f t="shared" si="0"/>
        <v>17.423999999999999</v>
      </c>
      <c r="N39" s="133" t="str">
        <f>VLOOKUP(C39,'Trips&amp;Operators'!$C$1:$G$99911,5,FALSE)</f>
        <v>DAVIS WENDY</v>
      </c>
      <c r="O39" s="176" t="s">
        <v>178</v>
      </c>
      <c r="P39" s="134"/>
      <c r="Q39" s="30"/>
      <c r="R39" s="81" t="str">
        <f>VLOOKUP(C39,'Train Runs'!$A$13:$AE$10010,31,0)</f>
        <v>aws s3 cp s3://rtdc.mdm.uploadarchive.raw/RTDC4001/ "%USERPROFILE%\AppData\Local\Temp\OnboardLogs"\RTDC4001\2017-10-05 --exclude "*" --recursive --include "*20171005*" &amp; "%USERPROFILE%\Documents\GitHub\mrs-test-scripts\Headless Mode &amp; Sideloading\WalkAndUnGZ.bat" "%USERPROFILE%\AppData\Local\Temp\OnboardLogs"\RTDC4001\2017-10-05 &amp; aws s3 cp s3://rtdc.mdm.uploadarchive.raw/RTDC4001/ "%USERPROFILE%\AppData\Local\Temp\OnboardLogs"\RTDC4001\2017-10-06 --exclude "*" --recursive --include "*20171006*" &amp; "%USERPROFILE%\Documents\GitHub\mrs-test-scripts\Headless Mode &amp; Sideloading\WalkAndUnGZ.bat" "%USERPROFILE%\AppData\Local\Temp\OnboardLogs"\RTDC4001\2017-10-06</v>
      </c>
      <c r="S39" s="84" t="str">
        <f>VLOOKUP(C39,'Train Runs'!$A$13:$AE$10010,22,0)</f>
        <v>https://d0f6bd738d7f1b3e5a7ca70fe4ff75f0.us-east-1.aws.found.io/app/kibana#/discover/Steve-Slow-Train-Analysis-(2080s-and-2083s)?_g=(refreshInterval:(display:Off,pause:!f,section:0,value:0),time:(from:'2017-10-05T04:12:02-0600',mode:absolute,to:'2017-10-05T06:27:42-0600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T39" s="86" t="str">
        <f t="shared" si="1"/>
        <v>"C:\Program Files (x86)\AstroGrep\AstroGrep.exe" /e /r /s /spath="%USERPROFILE%\AppData\Local\Temp\OnboardLogs" /stypes="*4001*201710051*" /stext=" 11:.+((SYSTEM_STATE.+slice.+state.+changed )|(ment ac)|(multiple cpu faults)|(system.+state.+changed )|(\[timeout)|(PRM\|1\|D)|(kpr)|(kdp)|(train st.+moving)|(\|lc)|(penalty))"</v>
      </c>
      <c r="U39" s="9" t="str">
        <f t="shared" si="2"/>
        <v>4001</v>
      </c>
      <c r="V39" s="31">
        <f t="shared" si="3"/>
        <v>43013.47755787037</v>
      </c>
      <c r="W39" s="45" t="str">
        <f t="shared" si="4"/>
        <v>NW</v>
      </c>
      <c r="X39" s="22">
        <f t="shared" si="5"/>
        <v>800</v>
      </c>
      <c r="Y39" s="96" t="str">
        <f t="shared" si="6"/>
        <v>echo {"issue":{"subject":"","project_id":79,"tracker_id":40,"status_id":1,"priority_id":2,"assigned_to_id":338,"start_date":"2017-10-05","description":"","custom_fields":[{"id":1,"name":"Subdivision","value":"NW"},{"id":4,"name":"Milepost","value":"0.0575"},{"id":17,"name":"Train ID","value":"800-05"},{"id":16,"name":"Locomotive ID","value":"4001"},{"id":130,"name":"Impact","value":""},{"id":150,"name":"Time of Event (Mountain Time)","value":"05:27:41"},{"id":151,"name":"Denver Issue ID","value":""},{"id":178,"name":"Operational Impact","value":"Yes"},{"id":179,"name":"Denver Segment Assigned","value":""}]}} | curl --insecure -X POST -H "Content-Type: application/json" -H "X-Redmine-API-Key: %REDMINEAPIKEY%" https://secure.xorail.net/redmine/issues.json --data @-</v>
      </c>
      <c r="Z39" s="159"/>
      <c r="AA39" s="47"/>
      <c r="AB39" s="47"/>
      <c r="AC39" s="115" t="str">
        <f t="shared" si="7"/>
        <v>grep -hrE -A400 "Enforcement Action" /c/Users/stu/AppData/Local/Temp/OnboardLogs/RTDC4001 --include="*4001*201710051*" | grep -E "((Enforcement Ac)|(PRM))" -</v>
      </c>
      <c r="AD39" s="1" t="str">
        <f>"grep -hSE ""Enforcement Action"" "&amp;search_path&amp;"\RTDC"&amp;U39&amp;"\*"&amp;U39&amp;"*"&amp;TEXT(A39-utc_offset/24,"YYYYMMDD")&amp;LEFT(TEXT(A39-utc_offset/24,"HH"),1)&amp;"* &gt;&gt; "&amp;TEXT(Variables!$A$2,"YYYY-MM-DD")&amp;"-SliceDisagreementCheck.txt"</f>
        <v>grep -hSE "Enforcement Action" "%USERPROFILE%\AppData\Local\Temp\OnboardLogs"\RTDC4001\*4001*201710051* &gt;&gt; 2017-10-05-SliceDisagreementCheck.txt</v>
      </c>
      <c r="AE39" s="145" t="str">
        <f t="shared" si="9"/>
        <v>start /low /b %USERPROFILE%\Documents\GitHub\eaglep3\Utilities\DownloadLogsFromS3.py --loco 4001 --day 2017-10-05</v>
      </c>
      <c r="AF39" s="1"/>
    </row>
    <row r="40" spans="1:32" x14ac:dyDescent="0.25">
      <c r="A40" s="31">
        <v>43013.288310185184</v>
      </c>
      <c r="B40" s="30" t="s">
        <v>505</v>
      </c>
      <c r="C40" s="30" t="s">
        <v>580</v>
      </c>
      <c r="D40" s="30" t="s">
        <v>49</v>
      </c>
      <c r="E40" s="30" t="s">
        <v>179</v>
      </c>
      <c r="F40" s="42">
        <v>0</v>
      </c>
      <c r="G40" s="42">
        <v>156</v>
      </c>
      <c r="H40" s="42">
        <v>1490</v>
      </c>
      <c r="I40" s="42">
        <v>1319</v>
      </c>
      <c r="J40" s="30" t="s">
        <v>180</v>
      </c>
      <c r="K40" s="42">
        <v>575</v>
      </c>
      <c r="L40" s="131" t="s">
        <v>51</v>
      </c>
      <c r="M40" s="132">
        <f t="shared" si="0"/>
        <v>392.83199999999999</v>
      </c>
      <c r="N40" s="133" t="str">
        <f>VLOOKUP(C40,'Trips&amp;Operators'!$C$1:$G$99911,5,FALSE)</f>
        <v>FORTUNATO FRANK</v>
      </c>
      <c r="O40" s="176" t="s">
        <v>178</v>
      </c>
      <c r="P40" s="134"/>
      <c r="Q40" s="30"/>
      <c r="R40" s="81" t="str">
        <f>VLOOKUP(C40,'Train Runs'!$A$13:$AE$10010,31,0)</f>
        <v>aws s3 cp s3://rtdc.mdm.uploadarchive.raw/RTDC4017/ "%USERPROFILE%\AppData\Local\Temp\OnboardLogs"\RTDC4017\2017-10-05 --exclude "*" --recursive --include "*20171005*" &amp; "%USERPROFILE%\Documents\GitHub\mrs-test-scripts\Headless Mode &amp; Sideloading\WalkAndUnGZ.bat" "%USERPROFILE%\AppData\Local\Temp\OnboardLogs"\RTDC4017\2017-10-05 &amp; aws s3 cp s3://rtdc.mdm.uploadarchive.raw/RTDC4017/ "%USERPROFILE%\AppData\Local\Temp\OnboardLogs"\RTDC4017\2017-10-06 --exclude "*" --recursive --include "*20171006*" &amp; "%USERPROFILE%\Documents\GitHub\mrs-test-scripts\Headless Mode &amp; Sideloading\WalkAndUnGZ.bat" "%USERPROFILE%\AppData\Local\Temp\OnboardLogs"\RTDC4017\2017-10-06</v>
      </c>
      <c r="S40" s="84" t="str">
        <f>VLOOKUP(C40,'Train Runs'!$A$13:$AE$10010,22,0)</f>
        <v>https://d0f6bd738d7f1b3e5a7ca70fe4ff75f0.us-east-1.aws.found.io/app/kibana#/discover/Steve-Slow-Train-Analysis-(2080s-and-2083s)?_g=(refreshInterval:(display:Off,pause:!f,section:0,value:0),time:(from:'2017-10-05T05:26:01-0600',mode:absolute,to:'2017-10-05T07:55:10-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4017%22')),sort:!(Time.ISO8601,asc))</v>
      </c>
      <c r="T40" s="86" t="str">
        <f t="shared" si="1"/>
        <v>"C:\Program Files (x86)\AstroGrep\AstroGrep.exe" /e /r /s /spath="%USERPROFILE%\AppData\Local\Temp\OnboardLogs" /stypes="*4017*201710051*" /stext=" 12:.+((SYSTEM_STATE.+slice.+state.+changed )|(ment ac)|(multiple cpu faults)|(system.+state.+changed )|(\[timeout)|(PRM\|1\|D)|(kpr)|(kdp)|(train st.+moving)|(\|lc)|(penalty))"</v>
      </c>
      <c r="U40" s="9" t="str">
        <f t="shared" si="2"/>
        <v>4017</v>
      </c>
      <c r="V40" s="31">
        <f t="shared" si="3"/>
        <v>43013.538310185184</v>
      </c>
      <c r="W40" s="45" t="str">
        <f t="shared" si="4"/>
        <v>NW</v>
      </c>
      <c r="X40" s="22">
        <f t="shared" si="5"/>
        <v>804</v>
      </c>
      <c r="Y40" s="96" t="str">
        <f t="shared" si="6"/>
        <v>echo {"issue":{"subject":"","project_id":79,"tracker_id":40,"status_id":1,"priority_id":2,"assigned_to_id":338,"start_date":"2017-10-05","description":"","custom_fields":[{"id":1,"name":"Subdivision","value":"NW"},{"id":4,"name":"Milepost","value":"0.0575"},{"id":17,"name":"Train ID","value":"804-05"},{"id":16,"name":"Locomotive ID","value":"4017"},{"id":130,"name":"Impact","value":""},{"id":150,"name":"Time of Event (Mountain Time)","value":"06:55:10"},{"id":151,"name":"Denver Issue ID","value":""},{"id":178,"name":"Operational Impact","value":"Yes"},{"id":179,"name":"Denver Segment Assigned","value":""}]}} | curl --insecure -X POST -H "Content-Type: application/json" -H "X-Redmine-API-Key: %REDMINEAPIKEY%" https://secure.xorail.net/redmine/issues.json --data @-</v>
      </c>
      <c r="Z40" s="159"/>
      <c r="AA40" s="47"/>
      <c r="AB40" s="47"/>
      <c r="AC40" s="115" t="str">
        <f t="shared" si="7"/>
        <v>grep -hrE -A400 "Enforcement Action" /c/Users/stu/AppData/Local/Temp/OnboardLogs/RTDC4017 --include="*4017*201710051*" | grep -E "((Enforcement Ac)|(PRM))" -</v>
      </c>
      <c r="AD40" s="1" t="str">
        <f>"grep -hSE ""Enforcement Action"" "&amp;search_path&amp;"\RTDC"&amp;U40&amp;"\*"&amp;U40&amp;"*"&amp;TEXT(A40-utc_offset/24,"YYYYMMDD")&amp;LEFT(TEXT(A40-utc_offset/24,"HH"),1)&amp;"* &gt;&gt; "&amp;TEXT(Variables!$A$2,"YYYY-MM-DD")&amp;"-SliceDisagreementCheck.txt"</f>
        <v>grep -hSE "Enforcement Action" "%USERPROFILE%\AppData\Local\Temp\OnboardLogs"\RTDC4017\*4017*201710051* &gt;&gt; 2017-10-05-SliceDisagreementCheck.txt</v>
      </c>
      <c r="AE40" s="145" t="str">
        <f t="shared" si="9"/>
        <v>start /low /b %USERPROFILE%\Documents\GitHub\eaglep3\Utilities\DownloadLogsFromS3.py --loco 4017 --day 2017-10-05</v>
      </c>
      <c r="AF40" s="1"/>
    </row>
    <row r="41" spans="1:32" x14ac:dyDescent="0.25">
      <c r="A41" s="31">
        <v>43013.310127314813</v>
      </c>
      <c r="B41" s="30" t="s">
        <v>576</v>
      </c>
      <c r="C41" s="30" t="s">
        <v>583</v>
      </c>
      <c r="D41" s="30" t="s">
        <v>49</v>
      </c>
      <c r="E41" s="30" t="s">
        <v>179</v>
      </c>
      <c r="F41" s="42">
        <v>0</v>
      </c>
      <c r="G41" s="42">
        <v>24</v>
      </c>
      <c r="H41" s="42">
        <v>717</v>
      </c>
      <c r="I41" s="42">
        <v>698</v>
      </c>
      <c r="J41" s="30" t="s">
        <v>180</v>
      </c>
      <c r="K41" s="42">
        <v>575</v>
      </c>
      <c r="L41" s="131" t="s">
        <v>51</v>
      </c>
      <c r="M41" s="132">
        <f t="shared" si="0"/>
        <v>64.944000000000003</v>
      </c>
      <c r="N41" s="133" t="str">
        <f>VLOOKUP(C41,'Trips&amp;Operators'!$C$1:$G$99911,5,FALSE)</f>
        <v>DAVIS WENDY</v>
      </c>
      <c r="O41" s="176" t="s">
        <v>178</v>
      </c>
      <c r="P41" s="134"/>
      <c r="Q41" s="30"/>
      <c r="R41" s="81" t="str">
        <f>VLOOKUP(C41,'Train Runs'!$A$13:$AE$10010,31,0)</f>
        <v>aws s3 cp s3://rtdc.mdm.uploadarchive.raw/RTDC4001/ "%USERPROFILE%\AppData\Local\Temp\OnboardLogs"\RTDC4001\2017-10-05 --exclude "*" --recursive --include "*20171005*" &amp; "%USERPROFILE%\Documents\GitHub\mrs-test-scripts\Headless Mode &amp; Sideloading\WalkAndUnGZ.bat" "%USERPROFILE%\AppData\Local\Temp\OnboardLogs"\RTDC4001\2017-10-05 &amp; aws s3 cp s3://rtdc.mdm.uploadarchive.raw/RTDC4001/ "%USERPROFILE%\AppData\Local\Temp\OnboardLogs"\RTDC4001\2017-10-06 --exclude "*" --recursive --include "*20171006*" &amp; "%USERPROFILE%\Documents\GitHub\mrs-test-scripts\Headless Mode &amp; Sideloading\WalkAndUnGZ.bat" "%USERPROFILE%\AppData\Local\Temp\OnboardLogs"\RTDC4001\2017-10-06</v>
      </c>
      <c r="S41" s="84" t="str">
        <f>VLOOKUP(C41,'Train Runs'!$A$13:$AE$10010,22,0)</f>
        <v>https://d0f6bd738d7f1b3e5a7ca70fe4ff75f0.us-east-1.aws.found.io/app/kibana#/discover/Steve-Slow-Train-Analysis-(2080s-and-2083s)?_g=(refreshInterval:(display:Off,pause:!f,section:0,value:0),time:(from:'2017-10-05T05:56:44-0600',mode:absolute,to:'2017-10-05T08:26:35-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T41" s="86" t="str">
        <f t="shared" si="1"/>
        <v>"C:\Program Files (x86)\AstroGrep\AstroGrep.exe" /e /r /s /spath="%USERPROFILE%\AppData\Local\Temp\OnboardLogs" /stypes="*4001*201710051*" /stext=" 13:.+((SYSTEM_STATE.+slice.+state.+changed )|(ment ac)|(multiple cpu faults)|(system.+state.+changed )|(\[timeout)|(PRM\|1\|D)|(kpr)|(kdp)|(train st.+moving)|(\|lc)|(penalty))"</v>
      </c>
      <c r="U41" s="9" t="str">
        <f t="shared" si="2"/>
        <v>4001</v>
      </c>
      <c r="V41" s="31">
        <f t="shared" si="3"/>
        <v>43013.560127314813</v>
      </c>
      <c r="W41" s="45" t="str">
        <f t="shared" si="4"/>
        <v>NW</v>
      </c>
      <c r="X41" s="22">
        <f t="shared" si="5"/>
        <v>806</v>
      </c>
      <c r="Y41" s="96" t="str">
        <f t="shared" si="6"/>
        <v>echo {"issue":{"subject":"","project_id":79,"tracker_id":40,"status_id":1,"priority_id":2,"assigned_to_id":338,"start_date":"2017-10-05","description":"","custom_fields":[{"id":1,"name":"Subdivision","value":"NW"},{"id":4,"name":"Milepost","value":"0.0575"},{"id":17,"name":"Train ID","value":"806-05"},{"id":16,"name":"Locomotive ID","value":"4001"},{"id":130,"name":"Impact","value":""},{"id":150,"name":"Time of Event (Mountain Time)","value":"07:26:35"},{"id":151,"name":"Denver Issue ID","value":""},{"id":178,"name":"Operational Impact","value":"Yes"},{"id":179,"name":"Denver Segment Assigned","value":""}]}} | curl --insecure -X POST -H "Content-Type: application/json" -H "X-Redmine-API-Key: %REDMINEAPIKEY%" https://secure.xorail.net/redmine/issues.json --data @-</v>
      </c>
      <c r="Z41" s="159"/>
      <c r="AA41" s="47"/>
      <c r="AB41" s="47"/>
      <c r="AC41" s="115" t="str">
        <f t="shared" si="7"/>
        <v>grep -hrE -A400 "Enforcement Action" /c/Users/stu/AppData/Local/Temp/OnboardLogs/RTDC4001 --include="*4001*201710051*" | grep -E "((Enforcement Ac)|(PRM))" -</v>
      </c>
      <c r="AD41" s="1" t="str">
        <f>"grep -hSE ""Enforcement Action"" "&amp;search_path&amp;"\RTDC"&amp;U41&amp;"\*"&amp;U41&amp;"*"&amp;TEXT(A41-utc_offset/24,"YYYYMMDD")&amp;LEFT(TEXT(A41-utc_offset/24,"HH"),1)&amp;"* &gt;&gt; "&amp;TEXT(Variables!$A$2,"YYYY-MM-DD")&amp;"-SliceDisagreementCheck.txt"</f>
        <v>grep -hSE "Enforcement Action" "%USERPROFILE%\AppData\Local\Temp\OnboardLogs"\RTDC4001\*4001*201710051* &gt;&gt; 2017-10-05-SliceDisagreementCheck.txt</v>
      </c>
      <c r="AE41" s="145" t="str">
        <f t="shared" si="9"/>
        <v>start /low /b %USERPROFILE%\Documents\GitHub\eaglep3\Utilities\DownloadLogsFromS3.py --loco 4001 --day 2017-10-05</v>
      </c>
      <c r="AF41" s="1"/>
    </row>
    <row r="42" spans="1:32" x14ac:dyDescent="0.25">
      <c r="A42" s="31">
        <v>43013.31050925926</v>
      </c>
      <c r="B42" s="30" t="s">
        <v>576</v>
      </c>
      <c r="C42" s="30" t="s">
        <v>583</v>
      </c>
      <c r="D42" s="30" t="s">
        <v>49</v>
      </c>
      <c r="E42" s="30" t="s">
        <v>179</v>
      </c>
      <c r="F42" s="42">
        <v>0</v>
      </c>
      <c r="G42" s="42">
        <v>14</v>
      </c>
      <c r="H42" s="42">
        <v>638</v>
      </c>
      <c r="I42" s="42">
        <v>631</v>
      </c>
      <c r="J42" s="30" t="s">
        <v>180</v>
      </c>
      <c r="K42" s="42">
        <v>575</v>
      </c>
      <c r="L42" s="131" t="s">
        <v>51</v>
      </c>
      <c r="M42" s="132">
        <f t="shared" si="0"/>
        <v>29.568000000000001</v>
      </c>
      <c r="N42" s="133" t="str">
        <f>VLOOKUP(C42,'Trips&amp;Operators'!$C$1:$G$99911,5,FALSE)</f>
        <v>DAVIS WENDY</v>
      </c>
      <c r="O42" s="176" t="s">
        <v>178</v>
      </c>
      <c r="P42" s="134"/>
      <c r="Q42" s="30"/>
      <c r="R42" s="81" t="str">
        <f>VLOOKUP(C42,'Train Runs'!$A$13:$AE$10010,31,0)</f>
        <v>aws s3 cp s3://rtdc.mdm.uploadarchive.raw/RTDC4001/ "%USERPROFILE%\AppData\Local\Temp\OnboardLogs"\RTDC4001\2017-10-05 --exclude "*" --recursive --include "*20171005*" &amp; "%USERPROFILE%\Documents\GitHub\mrs-test-scripts\Headless Mode &amp; Sideloading\WalkAndUnGZ.bat" "%USERPROFILE%\AppData\Local\Temp\OnboardLogs"\RTDC4001\2017-10-05 &amp; aws s3 cp s3://rtdc.mdm.uploadarchive.raw/RTDC4001/ "%USERPROFILE%\AppData\Local\Temp\OnboardLogs"\RTDC4001\2017-10-06 --exclude "*" --recursive --include "*20171006*" &amp; "%USERPROFILE%\Documents\GitHub\mrs-test-scripts\Headless Mode &amp; Sideloading\WalkAndUnGZ.bat" "%USERPROFILE%\AppData\Local\Temp\OnboardLogs"\RTDC4001\2017-10-06</v>
      </c>
      <c r="S42" s="84" t="str">
        <f>VLOOKUP(C42,'Train Runs'!$A$13:$AE$10010,22,0)</f>
        <v>https://d0f6bd738d7f1b3e5a7ca70fe4ff75f0.us-east-1.aws.found.io/app/kibana#/discover/Steve-Slow-Train-Analysis-(2080s-and-2083s)?_g=(refreshInterval:(display:Off,pause:!f,section:0,value:0),time:(from:'2017-10-05T05:56:44-0600',mode:absolute,to:'2017-10-05T08:26:35-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4001%22')),sort:!(Time.ISO8601,asc))</v>
      </c>
      <c r="T42" s="86" t="str">
        <f t="shared" si="1"/>
        <v>"C:\Program Files (x86)\AstroGrep\AstroGrep.exe" /e /r /s /spath="%USERPROFILE%\AppData\Local\Temp\OnboardLogs" /stypes="*4001*201710051*" /stext=" 13:.+((SYSTEM_STATE.+slice.+state.+changed )|(ment ac)|(multiple cpu faults)|(system.+state.+changed )|(\[timeout)|(PRM\|1\|D)|(kpr)|(kdp)|(train st.+moving)|(\|lc)|(penalty))"</v>
      </c>
      <c r="U42" s="9" t="str">
        <f t="shared" si="2"/>
        <v>4001</v>
      </c>
      <c r="V42" s="31">
        <f t="shared" si="3"/>
        <v>43013.56050925926</v>
      </c>
      <c r="W42" s="45" t="str">
        <f t="shared" si="4"/>
        <v>NW</v>
      </c>
      <c r="X42" s="22">
        <f t="shared" si="5"/>
        <v>806</v>
      </c>
      <c r="Y42" s="96" t="str">
        <f t="shared" si="6"/>
        <v>echo {"issue":{"subject":"","project_id":79,"tracker_id":40,"status_id":1,"priority_id":2,"assigned_to_id":338,"start_date":"2017-10-05","description":"","custom_fields":[{"id":1,"name":"Subdivision","value":"NW"},{"id":4,"name":"Milepost","value":"0.0575"},{"id":17,"name":"Train ID","value":"806-05"},{"id":16,"name":"Locomotive ID","value":"4001"},{"id":130,"name":"Impact","value":""},{"id":150,"name":"Time of Event (Mountain Time)","value":"07:27:08"},{"id":151,"name":"Denver Issue ID","value":""},{"id":178,"name":"Operational Impact","value":"Yes"},{"id":179,"name":"Denver Segment Assigned","value":""}]}} | curl --insecure -X POST -H "Content-Type: application/json" -H "X-Redmine-API-Key: %REDMINEAPIKEY%" https://secure.xorail.net/redmine/issues.json --data @-</v>
      </c>
      <c r="Z42" s="159"/>
      <c r="AA42" s="47"/>
      <c r="AB42" s="47"/>
      <c r="AC42" s="115" t="str">
        <f t="shared" si="7"/>
        <v>grep -hrE -A400 "Enforcement Action" /c/Users/stu/AppData/Local/Temp/OnboardLogs/RTDC4001 --include="*4001*201710051*" | grep -E "((Enforcement Ac)|(PRM))" -</v>
      </c>
      <c r="AD42" s="1" t="str">
        <f>"grep -hSE ""Enforcement Action"" "&amp;search_path&amp;"\RTDC"&amp;U42&amp;"\*"&amp;U42&amp;"*"&amp;TEXT(A42-utc_offset/24,"YYYYMMDD")&amp;LEFT(TEXT(A42-utc_offset/24,"HH"),1)&amp;"* &gt;&gt; "&amp;TEXT(Variables!$A$2,"YYYY-MM-DD")&amp;"-SliceDisagreementCheck.txt"</f>
        <v>grep -hSE "Enforcement Action" "%USERPROFILE%\AppData\Local\Temp\OnboardLogs"\RTDC4001\*4001*201710051* &gt;&gt; 2017-10-05-SliceDisagreementCheck.txt</v>
      </c>
      <c r="AE42" s="145" t="str">
        <f t="shared" si="9"/>
        <v>start /low /b %USERPROFILE%\Documents\GitHub\eaglep3\Utilities\DownloadLogsFromS3.py --loco 4001 --day 2017-10-05</v>
      </c>
      <c r="AF42" s="1"/>
    </row>
    <row r="43" spans="1:32" x14ac:dyDescent="0.25">
      <c r="A43" s="31">
        <v>43013.246064814812</v>
      </c>
      <c r="B43" s="30" t="s">
        <v>446</v>
      </c>
      <c r="C43" s="30" t="s">
        <v>578</v>
      </c>
      <c r="D43" s="30" t="s">
        <v>49</v>
      </c>
      <c r="E43" s="30" t="s">
        <v>179</v>
      </c>
      <c r="F43" s="42">
        <v>0</v>
      </c>
      <c r="G43" s="42">
        <v>5</v>
      </c>
      <c r="H43" s="42">
        <v>59046</v>
      </c>
      <c r="I43" s="42">
        <v>59046</v>
      </c>
      <c r="J43" s="30" t="s">
        <v>180</v>
      </c>
      <c r="K43" s="42">
        <v>59048</v>
      </c>
      <c r="L43" s="131" t="s">
        <v>50</v>
      </c>
      <c r="M43" s="132">
        <f t="shared" si="0"/>
        <v>1.056</v>
      </c>
      <c r="N43" s="133" t="str">
        <f>VLOOKUP(C43,'Trips&amp;Operators'!$C$1:$G$99911,5,FALSE)</f>
        <v>DAVIS WENDY</v>
      </c>
      <c r="O43" s="176" t="s">
        <v>178</v>
      </c>
      <c r="P43" s="134"/>
      <c r="Q43" s="30"/>
      <c r="R43" s="81" t="str">
        <f>VLOOKUP(C43,'Train Runs'!$A$13:$AE$10010,31,0)</f>
        <v>aws s3 cp s3://rtdc.mdm.uploadarchive.raw/RTDC4002/ "%USERPROFILE%\AppData\Local\Temp\OnboardLogs"\RTDC4002\2017-10-05 --exclude "*" --recursive --include "*20171005*" &amp; "%USERPROFILE%\Documents\GitHub\mrs-test-scripts\Headless Mode &amp; Sideloading\WalkAndUnGZ.bat" "%USERPROFILE%\AppData\Local\Temp\OnboardLogs"\RTDC4002\2017-10-05 &amp; aws s3 cp s3://rtdc.mdm.uploadarchive.raw/RTDC4002/ "%USERPROFILE%\AppData\Local\Temp\OnboardLogs"\RTDC4002\2017-10-06 --exclude "*" --recursive --include "*20171006*" &amp; "%USERPROFILE%\Documents\GitHub\mrs-test-scripts\Headless Mode &amp; Sideloading\WalkAndUnGZ.bat" "%USERPROFILE%\AppData\Local\Temp\OnboardLogs"\RTDC4002\2017-10-06</v>
      </c>
      <c r="S43" s="84" t="str">
        <f>VLOOKUP(C43,'Train Runs'!$A$13:$AE$10010,22,0)</f>
        <v>https://d0f6bd738d7f1b3e5a7ca70fe4ff75f0.us-east-1.aws.found.io/app/kibana#/discover/Steve-Slow-Train-Analysis-(2080s-and-2083s)?_g=(refreshInterval:(display:Off,pause:!f,section:0,value:0),time:(from:'2017-10-05T04:32:53-0600',mode:absolute,to:'2017-10-05T06:54:21-0600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T43" s="86" t="str">
        <f t="shared" si="1"/>
        <v>"C:\Program Files (x86)\AstroGrep\AstroGrep.exe" /e /r /s /spath="%USERPROFILE%\AppData\Local\Temp\OnboardLogs" /stypes="*4002*201710051*" /stext=" 11:.+((SYSTEM_STATE.+slice.+state.+changed )|(ment ac)|(multiple cpu faults)|(system.+state.+changed )|(\[timeout)|(PRM\|1\|D)|(kpr)|(kdp)|(train st.+moving)|(\|lc)|(penalty))"</v>
      </c>
      <c r="U43" s="9" t="str">
        <f t="shared" si="2"/>
        <v>4002</v>
      </c>
      <c r="V43" s="31">
        <f t="shared" si="3"/>
        <v>43013.496064814812</v>
      </c>
      <c r="W43" s="45" t="str">
        <f t="shared" si="4"/>
        <v>NW</v>
      </c>
      <c r="X43" s="22">
        <f t="shared" si="5"/>
        <v>801</v>
      </c>
      <c r="Y43" s="96" t="str">
        <f t="shared" si="6"/>
        <v>echo {"issue":{"subject":"","project_id":79,"tracker_id":40,"status_id":1,"priority_id":2,"assigned_to_id":338,"start_date":"2017-10-05","description":"","custom_fields":[{"id":1,"name":"Subdivision","value":"NW"},{"id":4,"name":"Milepost","value":"5.9048"},{"id":17,"name":"Train ID","value":"801-05"},{"id":16,"name":"Locomotive ID","value":"4002"},{"id":130,"name":"Impact","value":""},{"id":150,"name":"Time of Event (Mountain Time)","value":"05:54:20"},{"id":151,"name":"Denver Issue ID","value":""},{"id":178,"name":"Operational Impact","value":"Yes"},{"id":179,"name":"Denver Segment Assigned","value":""}]}} | curl --insecure -X POST -H "Content-Type: application/json" -H "X-Redmine-API-Key: %REDMINEAPIKEY%" https://secure.xorail.net/redmine/issues.json --data @-</v>
      </c>
      <c r="Z43" s="159"/>
      <c r="AA43" s="47"/>
      <c r="AB43" s="47"/>
      <c r="AC43" s="115" t="str">
        <f t="shared" si="7"/>
        <v>grep -hrE -A400 "Enforcement Action" /c/Users/stu/AppData/Local/Temp/OnboardLogs/RTDC4002 --include="*4002*201710051*" | grep -E "((Enforcement Ac)|(PRM))" -</v>
      </c>
      <c r="AD43" s="1" t="str">
        <f>"grep -hSE ""Enforcement Action"" "&amp;search_path&amp;"\RTDC"&amp;U43&amp;"\*"&amp;U43&amp;"*"&amp;TEXT(A43-utc_offset/24,"YYYYMMDD")&amp;LEFT(TEXT(A43-utc_offset/24,"HH"),1)&amp;"* &gt;&gt; "&amp;TEXT(Variables!$A$2,"YYYY-MM-DD")&amp;"-SliceDisagreementCheck.txt"</f>
        <v>grep -hSE "Enforcement Action" "%USERPROFILE%\AppData\Local\Temp\OnboardLogs"\RTDC4002\*4002*201710051* &gt;&gt; 2017-10-05-SliceDisagreementCheck.txt</v>
      </c>
      <c r="AE43" s="145" t="str">
        <f t="shared" si="9"/>
        <v>start /low /b %USERPROFILE%\Documents\GitHub\eaglep3\Utilities\DownloadLogsFromS3.py --loco 4002 --day 2017-10-05</v>
      </c>
      <c r="AF43" s="1"/>
    </row>
    <row r="44" spans="1:32" x14ac:dyDescent="0.25">
      <c r="A44" s="31">
        <v>43013.288460648146</v>
      </c>
      <c r="B44" s="30" t="s">
        <v>446</v>
      </c>
      <c r="C44" s="30" t="s">
        <v>581</v>
      </c>
      <c r="D44" s="30" t="s">
        <v>49</v>
      </c>
      <c r="E44" s="30" t="s">
        <v>179</v>
      </c>
      <c r="F44" s="42">
        <v>0</v>
      </c>
      <c r="G44" s="42">
        <v>4</v>
      </c>
      <c r="H44" s="42">
        <v>59046</v>
      </c>
      <c r="I44" s="42">
        <v>59046</v>
      </c>
      <c r="J44" s="30" t="s">
        <v>180</v>
      </c>
      <c r="K44" s="42">
        <v>59048</v>
      </c>
      <c r="L44" s="131" t="s">
        <v>50</v>
      </c>
      <c r="M44" s="132">
        <f t="shared" si="0"/>
        <v>1.056</v>
      </c>
      <c r="N44" s="133" t="str">
        <f>VLOOKUP(C44,'Trips&amp;Operators'!$C$1:$G$99911,5,FALSE)</f>
        <v>DAVIS WENDY</v>
      </c>
      <c r="O44" s="176" t="s">
        <v>178</v>
      </c>
      <c r="P44" s="134"/>
      <c r="Q44" s="30"/>
      <c r="R44" s="81" t="str">
        <f>VLOOKUP(C44,'Train Runs'!$A$13:$AE$10010,31,0)</f>
        <v>aws s3 cp s3://rtdc.mdm.uploadarchive.raw/RTDC4002/ "%USERPROFILE%\AppData\Local\Temp\OnboardLogs"\RTDC4002\2017-10-05 --exclude "*" --recursive --include "*20171005*" &amp; "%USERPROFILE%\Documents\GitHub\mrs-test-scripts\Headless Mode &amp; Sideloading\WalkAndUnGZ.bat" "%USERPROFILE%\AppData\Local\Temp\OnboardLogs"\RTDC4002\2017-10-05 &amp; aws s3 cp s3://rtdc.mdm.uploadarchive.raw/RTDC4002/ "%USERPROFILE%\AppData\Local\Temp\OnboardLogs"\RTDC4002\2017-10-06 --exclude "*" --recursive --include "*20171006*" &amp; "%USERPROFILE%\Documents\GitHub\mrs-test-scripts\Headless Mode &amp; Sideloading\WalkAndUnGZ.bat" "%USERPROFILE%\AppData\Local\Temp\OnboardLogs"\RTDC4002\2017-10-06</v>
      </c>
      <c r="S44" s="84" t="str">
        <f>VLOOKUP(C44,'Train Runs'!$A$13:$AE$10010,22,0)</f>
        <v>https://d0f6bd738d7f1b3e5a7ca70fe4ff75f0.us-east-1.aws.found.io/app/kibana#/discover/Steve-Slow-Train-Analysis-(2080s-and-2083s)?_g=(refreshInterval:(display:Off,pause:!f,section:0,value:0),time:(from:'2017-10-05T05:29:25-0600',mode:absolute,to:'2017-10-05T07:55:23-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T44" s="86" t="str">
        <f t="shared" si="1"/>
        <v>"C:\Program Files (x86)\AstroGrep\AstroGrep.exe" /e /r /s /spath="%USERPROFILE%\AppData\Local\Temp\OnboardLogs" /stypes="*4002*201710051*" /stext=" 12:.+((SYSTEM_STATE.+slice.+state.+changed )|(ment ac)|(multiple cpu faults)|(system.+state.+changed )|(\[timeout)|(PRM\|1\|D)|(kpr)|(kdp)|(train st.+moving)|(\|lc)|(penalty))"</v>
      </c>
      <c r="U44" s="9" t="str">
        <f t="shared" si="2"/>
        <v>4002</v>
      </c>
      <c r="V44" s="31">
        <f t="shared" si="3"/>
        <v>43013.538460648146</v>
      </c>
      <c r="W44" s="45" t="str">
        <f t="shared" si="4"/>
        <v>NW</v>
      </c>
      <c r="X44" s="22">
        <f t="shared" si="5"/>
        <v>805</v>
      </c>
      <c r="Y44" s="96" t="str">
        <f t="shared" si="6"/>
        <v>echo {"issue":{"subject":"","project_id":79,"tracker_id":40,"status_id":1,"priority_id":2,"assigned_to_id":338,"start_date":"2017-10-05","description":"","custom_fields":[{"id":1,"name":"Subdivision","value":"NW"},{"id":4,"name":"Milepost","value":"5.9048"},{"id":17,"name":"Train ID","value":"805-05"},{"id":16,"name":"Locomotive ID","value":"4002"},{"id":130,"name":"Impact","value":""},{"id":150,"name":"Time of Event (Mountain Time)","value":"06:55:23"},{"id":151,"name":"Denver Issue ID","value":""},{"id":178,"name":"Operational Impact","value":"Yes"},{"id":179,"name":"Denver Segment Assigned","value":""}]}} | curl --insecure -X POST -H "Content-Type: application/json" -H "X-Redmine-API-Key: %REDMINEAPIKEY%" https://secure.xorail.net/redmine/issues.json --data @-</v>
      </c>
      <c r="Z44" s="159"/>
      <c r="AA44" s="47"/>
      <c r="AB44" s="47"/>
      <c r="AC44" s="115" t="str">
        <f t="shared" si="7"/>
        <v>grep -hrE -A400 "Enforcement Action" /c/Users/stu/AppData/Local/Temp/OnboardLogs/RTDC4002 --include="*4002*201710051*" | grep -E "((Enforcement Ac)|(PRM))" -</v>
      </c>
      <c r="AD44" s="1" t="str">
        <f>"grep -hSE ""Enforcement Action"" "&amp;search_path&amp;"\RTDC"&amp;U44&amp;"\*"&amp;U44&amp;"*"&amp;TEXT(A44-utc_offset/24,"YYYYMMDD")&amp;LEFT(TEXT(A44-utc_offset/24,"HH"),1)&amp;"* &gt;&gt; "&amp;TEXT(Variables!$A$2,"YYYY-MM-DD")&amp;"-SliceDisagreementCheck.txt"</f>
        <v>grep -hSE "Enforcement Action" "%USERPROFILE%\AppData\Local\Temp\OnboardLogs"\RTDC4002\*4002*201710051* &gt;&gt; 2017-10-05-SliceDisagreementCheck.txt</v>
      </c>
      <c r="AE44" s="145" t="str">
        <f t="shared" si="9"/>
        <v>start /low /b %USERPROFILE%\Documents\GitHub\eaglep3\Utilities\DownloadLogsFromS3.py --loco 4002 --day 2017-10-05</v>
      </c>
      <c r="AF44" s="1"/>
    </row>
    <row r="45" spans="1:32" x14ac:dyDescent="0.25">
      <c r="A45" s="31">
        <v>43013.974826388891</v>
      </c>
      <c r="B45" s="30" t="s">
        <v>446</v>
      </c>
      <c r="C45" s="30" t="s">
        <v>617</v>
      </c>
      <c r="D45" s="30" t="s">
        <v>49</v>
      </c>
      <c r="E45" s="30" t="s">
        <v>179</v>
      </c>
      <c r="F45" s="42">
        <v>0</v>
      </c>
      <c r="G45" s="42">
        <v>15</v>
      </c>
      <c r="H45" s="42">
        <v>59008</v>
      </c>
      <c r="I45" s="42">
        <v>59016</v>
      </c>
      <c r="J45" s="30" t="s">
        <v>180</v>
      </c>
      <c r="K45" s="42">
        <v>59048</v>
      </c>
      <c r="L45" s="131" t="s">
        <v>50</v>
      </c>
      <c r="M45" s="132">
        <f t="shared" si="0"/>
        <v>16.896000000000001</v>
      </c>
      <c r="N45" s="133" t="str">
        <f>VLOOKUP(C45,'Trips&amp;Operators'!$C$1:$G$99911,5,FALSE)</f>
        <v>ZEWDU DEREJE</v>
      </c>
      <c r="O45" s="176" t="s">
        <v>178</v>
      </c>
      <c r="P45" s="134"/>
      <c r="Q45" s="30"/>
      <c r="R45" s="81" t="str">
        <f>VLOOKUP(C45,'Train Runs'!$A$13:$AE$10010,31,0)</f>
        <v>aws s3 cp s3://rtdc.mdm.uploadarchive.raw/RTDC4002/ "%USERPROFILE%\AppData\Local\Temp\OnboardLogs"\RTDC4002\2017-10-05 --exclude "*" --recursive --include "*20171005*" &amp; "%USERPROFILE%\Documents\GitHub\mrs-test-scripts\Headless Mode &amp; Sideloading\WalkAndUnGZ.bat" "%USERPROFILE%\AppData\Local\Temp\OnboardLogs"\RTDC4002\2017-10-05 &amp; aws s3 cp s3://rtdc.mdm.uploadarchive.raw/RTDC4002/ "%USERPROFILE%\AppData\Local\Temp\OnboardLogs"\RTDC4002\2017-10-06 --exclude "*" --recursive --include "*20171006*" &amp; "%USERPROFILE%\Documents\GitHub\mrs-test-scripts\Headless Mode &amp; Sideloading\WalkAndUnGZ.bat" "%USERPROFILE%\AppData\Local\Temp\OnboardLogs"\RTDC4002\2017-10-06</v>
      </c>
      <c r="S45" s="84" t="str">
        <f>VLOOKUP(C45,'Train Runs'!$A$13:$AE$10010,22,0)</f>
        <v>https://d0f6bd738d7f1b3e5a7ca70fe4ff75f0.us-east-1.aws.found.io/app/kibana#/discover/Steve-Slow-Train-Analysis-(2080s-and-2083s)?_g=(refreshInterval:(display:Off,pause:!f,section:0,value:0),time:(from:'2017-10-05T22:00:07-0600',mode:absolute,to:'2017-10-06T00:23:45-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T45" s="86" t="str">
        <f t="shared" si="1"/>
        <v>"C:\Program Files (x86)\AstroGrep\AstroGrep.exe" /e /r /s /spath="%USERPROFILE%\AppData\Local\Temp\OnboardLogs" /stypes="*4002*201710060*" /stext=" 05:.+((SYSTEM_STATE.+slice.+state.+changed )|(ment ac)|(multiple cpu faults)|(system.+state.+changed )|(\[timeout)|(PRM\|1\|D)|(kpr)|(kdp)|(train st.+moving)|(\|lc)|(penalty))"</v>
      </c>
      <c r="U45" s="9" t="str">
        <f t="shared" si="2"/>
        <v>4002</v>
      </c>
      <c r="V45" s="31">
        <f t="shared" si="3"/>
        <v>43014.224826388891</v>
      </c>
      <c r="W45" s="45" t="str">
        <f t="shared" si="4"/>
        <v>NW</v>
      </c>
      <c r="X45" s="22">
        <f t="shared" si="5"/>
        <v>849</v>
      </c>
      <c r="Y45" s="96" t="str">
        <f t="shared" si="6"/>
        <v>echo {"issue":{"subject":"","project_id":79,"tracker_id":40,"status_id":1,"priority_id":2,"assigned_to_id":338,"start_date":"2017-10-05","description":"","custom_fields":[{"id":1,"name":"Subdivision","value":"NW"},{"id":4,"name":"Milepost","value":"5.9048"},{"id":17,"name":"Train ID","value":"849-05"},{"id":16,"name":"Locomotive ID","value":"4002"},{"id":130,"name":"Impact","value":""},{"id":150,"name":"Time of Event (Mountain Time)","value":"23:23:45"},{"id":151,"name":"Denver Issue ID","value":""},{"id":178,"name":"Operational Impact","value":"Yes"},{"id":179,"name":"Denver Segment Assigned","value":""}]}} | curl --insecure -X POST -H "Content-Type: application/json" -H "X-Redmine-API-Key: %REDMINEAPIKEY%" https://secure.xorail.net/redmine/issues.json --data @-</v>
      </c>
      <c r="Z45" s="159"/>
      <c r="AA45" s="47"/>
      <c r="AB45" s="47"/>
      <c r="AC45" s="115" t="str">
        <f t="shared" si="7"/>
        <v>grep -hrE -A400 "Enforcement Action" /c/Users/stu/AppData/Local/Temp/OnboardLogs/RTDC4002 --include="*4002*201710060*" | grep -E "((Enforcement Ac)|(PRM))" -</v>
      </c>
      <c r="AD45" s="1" t="str">
        <f>"grep -hSE ""Enforcement Action"" "&amp;search_path&amp;"\RTDC"&amp;U45&amp;"\*"&amp;U45&amp;"*"&amp;TEXT(A45-utc_offset/24,"YYYYMMDD")&amp;LEFT(TEXT(A45-utc_offset/24,"HH"),1)&amp;"* &gt;&gt; "&amp;TEXT(Variables!$A$2,"YYYY-MM-DD")&amp;"-SliceDisagreementCheck.txt"</f>
        <v>grep -hSE "Enforcement Action" "%USERPROFILE%\AppData\Local\Temp\OnboardLogs"\RTDC4002\*4002*201710060* &gt;&gt; 2017-10-05-SliceDisagreementCheck.txt</v>
      </c>
      <c r="AE45" s="145" t="str">
        <f t="shared" si="9"/>
        <v>start /low /b %USERPROFILE%\Documents\GitHub\eaglep3\Utilities\DownloadLogsFromS3.py --loco 4002 --day 2017-10-06</v>
      </c>
      <c r="AF45" s="1"/>
    </row>
    <row r="46" spans="1:32" x14ac:dyDescent="0.25">
      <c r="A46" s="31">
        <v>43013.186226851853</v>
      </c>
      <c r="B46" s="30" t="s">
        <v>573</v>
      </c>
      <c r="C46" s="30" t="s">
        <v>574</v>
      </c>
      <c r="D46" s="30" t="s">
        <v>49</v>
      </c>
      <c r="E46" s="30" t="s">
        <v>357</v>
      </c>
      <c r="F46" s="42">
        <v>0</v>
      </c>
      <c r="G46" s="42">
        <v>95</v>
      </c>
      <c r="H46" s="42">
        <v>4814</v>
      </c>
      <c r="I46" s="42">
        <v>4670</v>
      </c>
      <c r="J46" s="30" t="s">
        <v>358</v>
      </c>
      <c r="K46" s="42">
        <v>4790</v>
      </c>
      <c r="L46" s="131" t="s">
        <v>51</v>
      </c>
      <c r="M46" s="132">
        <f t="shared" si="0"/>
        <v>-63.36</v>
      </c>
      <c r="N46" s="133" t="str">
        <f>VLOOKUP(C46,'Trips&amp;Operators'!$C$1:$G$99911,5,FALSE)</f>
        <v>WILLIAMS DONTE</v>
      </c>
      <c r="O46" s="176" t="s">
        <v>178</v>
      </c>
      <c r="P46" s="134"/>
      <c r="Q46" s="30"/>
      <c r="R46" s="81" t="str">
        <f>VLOOKUP(C46,'Train Runs'!$A$13:$AE$10010,31,0)</f>
        <v>aws s3 cp s3://rtdc.mdm.uploadarchive.raw/RTDC4041/ "%USERPROFILE%\AppData\Local\Temp\OnboardLogs"\RTDC4041\2017-10-05 --exclude "*" --recursive --include "*20171005*" &amp; "%USERPROFILE%\Documents\GitHub\mrs-test-scripts\Headless Mode &amp; Sideloading\WalkAndUnGZ.bat" "%USERPROFILE%\AppData\Local\Temp\OnboardLogs"\RTDC4041\2017-10-05 &amp; aws s3 cp s3://rtdc.mdm.uploadarchive.raw/RTDC4041/ "%USERPROFILE%\AppData\Local\Temp\OnboardLogs"\RTDC4041\2017-10-06 --exclude "*" --recursive --include "*20171006*" &amp; "%USERPROFILE%\Documents\GitHub\mrs-test-scripts\Headless Mode &amp; Sideloading\WalkAndUnGZ.bat" "%USERPROFILE%\AppData\Local\Temp\OnboardLogs"\RTDC4041\2017-10-06</v>
      </c>
      <c r="S46" s="84" t="str">
        <f>VLOOKUP(C46,'Train Runs'!$A$13:$AE$10010,22,0)</f>
        <v>https://d0f6bd738d7f1b3e5a7ca70fe4ff75f0.us-east-1.aws.found.io/app/kibana#/discover/Steve-Slow-Train-Analysis-(2080s-and-2083s)?_g=(refreshInterval:(display:Off,pause:!f,section:0,value:0),time:(from:'2017-10-05T03:12:17-0600',mode:absolute,to:'2017-10-05T05:28:10-0600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4041%22')),sort:!(Time.ISO8601,asc))</v>
      </c>
      <c r="T46" s="86" t="str">
        <f t="shared" si="1"/>
        <v>"C:\Program Files (x86)\AstroGrep\AstroGrep.exe" /e /r /s /spath="%USERPROFILE%\AppData\Local\Temp\OnboardLogs" /stypes="*4041*201710051*" /stext=" 10:.+((SYSTEM_STATE.+slice.+state.+changed )|(ment ac)|(multiple cpu faults)|(system.+state.+changed )|(\[timeout)|(PRM\|1\|D)|(kpr)|(kdp)|(train st.+moving)|(\|lc)|(penalty))"</v>
      </c>
      <c r="U46" s="9" t="str">
        <f t="shared" si="2"/>
        <v>4041</v>
      </c>
      <c r="V46" s="31">
        <f t="shared" si="3"/>
        <v>43013.436226851853</v>
      </c>
      <c r="W46" s="45" t="str">
        <f t="shared" si="4"/>
        <v>Other</v>
      </c>
      <c r="X46" s="22">
        <f t="shared" si="5"/>
        <v>308</v>
      </c>
      <c r="Y46" s="96" t="str">
        <f t="shared" si="6"/>
        <v>echo {"issue":{"subject":"","project_id":79,"tracker_id":40,"status_id":1,"priority_id":2,"assigned_to_id":338,"start_date":"2017-10-05","description":"","custom_fields":[{"id":1,"name":"Subdivision","value":"Other"},{"id":4,"name":"Milepost","value":"0.479"},{"id":17,"name":"Train ID","value":"308-05"},{"id":16,"name":"Locomotive ID","value":"4041"},{"id":130,"name":"Impact","value":""},{"id":150,"name":"Time of Event (Mountain Time)","value":"04:28:10"},{"id":151,"name":"Denver Issue ID","value":""},{"id":178,"name":"Operational Impact","value":"Yes"},{"id":179,"name":"Denver Segment Assigned","value":""}]}} | curl --insecure -X POST -H "Content-Type: application/json" -H "X-Redmine-API-Key: %REDMINEAPIKEY%" https://secure.xorail.net/redmine/issues.json --data @-</v>
      </c>
      <c r="Z46" s="159"/>
      <c r="AA46" s="47"/>
      <c r="AB46" s="47"/>
      <c r="AC46" s="115" t="str">
        <f t="shared" si="7"/>
        <v>grep -hrE -A400 "Enforcement Action" /c/Users/stu/AppData/Local/Temp/OnboardLogs/RTDC4041 --include="*4041*201710051*" | grep -E "((Enforcement Ac)|(PRM))" -</v>
      </c>
      <c r="AD46" s="1" t="str">
        <f>"grep -hSE ""Enforcement Action"" "&amp;search_path&amp;"\RTDC"&amp;U46&amp;"\*"&amp;U46&amp;"*"&amp;TEXT(A46-utc_offset/24,"YYYYMMDD")&amp;LEFT(TEXT(A46-utc_offset/24,"HH"),1)&amp;"* &gt;&gt; "&amp;TEXT(Variables!$A$2,"YYYY-MM-DD")&amp;"-SliceDisagreementCheck.txt"</f>
        <v>grep -hSE "Enforcement Action" "%USERPROFILE%\AppData\Local\Temp\OnboardLogs"\RTDC4041\*4041*201710051* &gt;&gt; 2017-10-05-SliceDisagreementCheck.txt</v>
      </c>
      <c r="AE46" s="145" t="str">
        <f t="shared" si="9"/>
        <v>start /low /b %USERPROFILE%\Documents\GitHub\eaglep3\Utilities\DownloadLogsFromS3.py --loco 4041 --day 2017-10-05</v>
      </c>
      <c r="AF46" s="1"/>
    </row>
    <row r="47" spans="1:32" x14ac:dyDescent="0.25">
      <c r="A47" s="31">
        <v>43013.121481481481</v>
      </c>
      <c r="B47" s="30" t="s">
        <v>419</v>
      </c>
      <c r="C47" s="30" t="s">
        <v>529</v>
      </c>
      <c r="D47" s="30" t="s">
        <v>49</v>
      </c>
      <c r="E47" s="30" t="s">
        <v>357</v>
      </c>
      <c r="F47" s="42">
        <v>0</v>
      </c>
      <c r="G47" s="42">
        <v>76</v>
      </c>
      <c r="H47" s="42">
        <v>4807</v>
      </c>
      <c r="I47" s="42">
        <v>4673</v>
      </c>
      <c r="J47" s="30" t="s">
        <v>358</v>
      </c>
      <c r="K47" s="42">
        <v>4798</v>
      </c>
      <c r="L47" s="131" t="s">
        <v>51</v>
      </c>
      <c r="M47" s="132">
        <f t="shared" si="0"/>
        <v>-66</v>
      </c>
      <c r="N47" s="133" t="str">
        <f>VLOOKUP(C47,'Trips&amp;Operators'!$C$1:$G$99911,5,FALSE)</f>
        <v>YORK EDGAR</v>
      </c>
      <c r="O47" s="176" t="s">
        <v>178</v>
      </c>
      <c r="P47" s="134"/>
      <c r="Q47" s="30"/>
      <c r="R47" s="81" t="e">
        <f>VLOOKUP(C47,'Train Runs'!$A$13:$AE$10010,31,0)</f>
        <v>#N/A</v>
      </c>
      <c r="S47" s="84" t="e">
        <f>VLOOKUP(C47,'Train Runs'!$A$13:$AE$10010,22,0)</f>
        <v>#N/A</v>
      </c>
      <c r="T47" s="86" t="str">
        <f t="shared" si="1"/>
        <v>"C:\Program Files (x86)\AstroGrep\AstroGrep.exe" /e /r /s /spath="%USERPROFILE%\AppData\Local\Temp\OnboardLogs" /stypes="*4061*201710050*" /stext=" 08:.+((SYSTEM_STATE.+slice.+state.+changed )|(ment ac)|(multiple cpu faults)|(system.+state.+changed )|(\[timeout)|(PRM\|1\|D)|(kpr)|(kdp)|(train st.+moving)|(\|lc)|(penalty))"</v>
      </c>
      <c r="U47" s="9" t="str">
        <f t="shared" si="2"/>
        <v>4061</v>
      </c>
      <c r="V47" s="31">
        <f t="shared" si="3"/>
        <v>43013.371481481481</v>
      </c>
      <c r="W47" s="45" t="str">
        <f t="shared" si="4"/>
        <v>Other</v>
      </c>
      <c r="X47" s="22">
        <f t="shared" si="5"/>
        <v>300</v>
      </c>
      <c r="Y47" s="96" t="str">
        <f t="shared" si="6"/>
        <v>echo {"issue":{"subject":"","project_id":79,"tracker_id":40,"status_id":1,"priority_id":2,"assigned_to_id":338,"start_date":"2017-10-05","description":"","custom_fields":[{"id":1,"name":"Subdivision","value":"Other"},{"id":4,"name":"Milepost","value":"0.4798"},{"id":17,"name":"Train ID","value":"300-05"},{"id":16,"name":"Locomotive ID","value":"4061"},{"id":130,"name":"Impact","value":""},{"id":150,"name":"Time of Event (Mountain Time)","value":"02:54:56"},{"id":151,"name":"Denver Issue ID","value":""},{"id":178,"name":"Operational Impact","value":"Yes"},{"id":179,"name":"Denver Segment Assigned","value":""}]}} | curl --insecure -X POST -H "Content-Type: application/json" -H "X-Redmine-API-Key: %REDMINEAPIKEY%" https://secure.xorail.net/redmine/issues.json --data @-</v>
      </c>
      <c r="Z47" s="159"/>
      <c r="AA47" s="47"/>
      <c r="AB47" s="47"/>
      <c r="AC47" s="115" t="str">
        <f t="shared" si="7"/>
        <v>grep -hrE -A400 "Enforcement Action" /c/Users/stu/AppData/Local/Temp/OnboardLogs/RTDC4061 --include="*4061*201710050*" | grep -E "((Enforcement Ac)|(PRM))" -</v>
      </c>
      <c r="AD47" s="1" t="str">
        <f>"grep -hSE ""Enforcement Action"" "&amp;search_path&amp;"\RTDC"&amp;U47&amp;"\*"&amp;U47&amp;"*"&amp;TEXT(A47-utc_offset/24,"YYYYMMDD")&amp;LEFT(TEXT(A47-utc_offset/24,"HH"),1)&amp;"* &gt;&gt; "&amp;TEXT(Variables!$A$2,"YYYY-MM-DD")&amp;"-SliceDisagreementCheck.txt"</f>
        <v>grep -hSE "Enforcement Action" "%USERPROFILE%\AppData\Local\Temp\OnboardLogs"\RTDC4061\*4061*201710050* &gt;&gt; 2017-10-05-SliceDisagreementCheck.txt</v>
      </c>
      <c r="AE47" s="145" t="str">
        <f t="shared" si="9"/>
        <v>start /low /b %USERPROFILE%\Documents\GitHub\eaglep3\Utilities\DownloadLogsFromS3.py --loco 4061 --day 2017-10-05</v>
      </c>
      <c r="AF47" s="1"/>
    </row>
    <row r="48" spans="1:32" x14ac:dyDescent="0.25">
      <c r="A48" s="31">
        <v>43013.647604166668</v>
      </c>
      <c r="B48" s="30" t="s">
        <v>594</v>
      </c>
      <c r="C48" s="30" t="s">
        <v>607</v>
      </c>
      <c r="D48" s="30" t="s">
        <v>95</v>
      </c>
      <c r="E48" s="30" t="s">
        <v>357</v>
      </c>
      <c r="F48" s="42">
        <v>0</v>
      </c>
      <c r="G48" s="42">
        <v>119</v>
      </c>
      <c r="H48" s="42">
        <v>22849</v>
      </c>
      <c r="I48" s="42">
        <v>22653</v>
      </c>
      <c r="J48" s="30" t="s">
        <v>358</v>
      </c>
      <c r="K48" s="42">
        <v>24161</v>
      </c>
      <c r="L48" s="131" t="s">
        <v>51</v>
      </c>
      <c r="M48" s="132">
        <f t="shared" si="0"/>
        <v>-796.22400000000005</v>
      </c>
      <c r="N48" s="133" t="str">
        <f>VLOOKUP(C48,'Trips&amp;Operators'!$C$1:$G$99911,5,FALSE)</f>
        <v>ZEWDU DEREJE</v>
      </c>
      <c r="O48" s="176" t="s">
        <v>178</v>
      </c>
      <c r="P48" s="134" t="s">
        <v>1011</v>
      </c>
      <c r="Q48" s="30"/>
      <c r="R48" s="81" t="str">
        <f>VLOOKUP(C48,'Train Runs'!$A$13:$AE$10010,31,0)</f>
        <v>aws s3 cp s3://rtdc.mdm.uploadarchive.raw/RTDC4019/ "%USERPROFILE%\AppData\Local\Temp\OnboardLogs"\RTDC4019\2017-10-05 --exclude "*" --recursive --include "*20171005*" &amp; "%USERPROFILE%\Documents\GitHub\mrs-test-scripts\Headless Mode &amp; Sideloading\WalkAndUnGZ.bat" "%USERPROFILE%\AppData\Local\Temp\OnboardLogs"\RTDC4019\2017-10-05 &amp; aws s3 cp s3://rtdc.mdm.uploadarchive.raw/RTDC4019/ "%USERPROFILE%\AppData\Local\Temp\OnboardLogs"\RTDC4019\2017-10-06 --exclude "*" --recursive --include "*20171006*" &amp; "%USERPROFILE%\Documents\GitHub\mrs-test-scripts\Headless Mode &amp; Sideloading\WalkAndUnGZ.bat" "%USERPROFILE%\AppData\Local\Temp\OnboardLogs"\RTDC4019\2017-10-06</v>
      </c>
      <c r="S48" s="84" t="str">
        <f>VLOOKUP(C48,'Train Runs'!$A$13:$AE$10010,22,0)</f>
        <v>https://d0f6bd738d7f1b3e5a7ca70fe4ff75f0.us-east-1.aws.found.io/app/kibana#/discover/Steve-Slow-Train-Analysis-(2080s-and-2083s)?_g=(refreshInterval:(display:Off,pause:!f,section:0,value:0),time:(from:'2017-10-05T14:28:33-0600',mode:absolute,to:'2017-10-05T16:32:33-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4019%22')),sort:!(Time.ISO8601,asc))</v>
      </c>
      <c r="T48" s="86" t="str">
        <f t="shared" si="1"/>
        <v>"C:\Program Files (x86)\AstroGrep\AstroGrep.exe" /e /r /s /spath="%USERPROFILE%\AppData\Local\Temp\OnboardLogs" /stypes="*4019*201710052*" /stext=" 21:.+((SYSTEM_STATE.+slice.+state.+changed )|(ment ac)|(multiple cpu faults)|(system.+state.+changed )|(\[timeout)|(PRM\|1\|D)|(kpr)|(kdp)|(train st.+moving)|(\|lc)|(penalty))"</v>
      </c>
      <c r="U48" s="9" t="str">
        <f t="shared" si="2"/>
        <v>4019</v>
      </c>
      <c r="V48" s="31">
        <f t="shared" si="3"/>
        <v>43013.897604166668</v>
      </c>
      <c r="W48" s="45" t="str">
        <f t="shared" si="4"/>
        <v>Other</v>
      </c>
      <c r="X48" s="22">
        <f t="shared" si="5"/>
        <v>904</v>
      </c>
      <c r="Y48" s="96" t="str">
        <f t="shared" si="6"/>
        <v>echo {"issue":{"subject":"Went active too close to signal","project_id":79,"tracker_id":40,"status_id":1,"priority_id":2,"assigned_to_id":338,"start_date":"2017-10-05","description":"","custom_fields":[{"id":1,"name":"Subdivision","value":"Other"},{"id":4,"name":"Milepost","value":"2.4161"},{"id":17,"name":"Train ID","value":"904-05"},{"id":16,"name":"Locomotive ID","value":"4019"},{"id":130,"name":"Impact","value":""},{"id":150,"name":"Time of Event (Mountain Time)","value":"15:32:33"},{"id":151,"name":"Denver Issue ID","value":""},{"id":178,"name":"Operational Impact","value":"Yes"},{"id":179,"name":"Denver Segment Assigned","value":""}]}} | curl --insecure -X POST -H "Content-Type: application/json" -H "X-Redmine-API-Key: %REDMINEAPIKEY%" https://secure.xorail.net/redmine/issues.json --data @-</v>
      </c>
      <c r="Z48" s="159"/>
      <c r="AA48" s="47"/>
      <c r="AB48" s="47"/>
      <c r="AC48" s="115" t="str">
        <f t="shared" si="7"/>
        <v>grep -hrE -A400 "Enforcement Action" /c/Users/stu/AppData/Local/Temp/OnboardLogs/RTDC4019 --include="*4019*201710052*" | grep -E "((Enforcement Ac)|(PRM))" -</v>
      </c>
      <c r="AD48" s="1" t="str">
        <f>"grep -hSE ""Enforcement Action"" "&amp;search_path&amp;"\RTDC"&amp;U48&amp;"\*"&amp;U48&amp;"*"&amp;TEXT(A48-utc_offset/24,"YYYYMMDD")&amp;LEFT(TEXT(A48-utc_offset/24,"HH"),1)&amp;"* &gt;&gt; "&amp;TEXT(Variables!$A$2,"YYYY-MM-DD")&amp;"-SliceDisagreementCheck.txt"</f>
        <v>grep -hSE "Enforcement Action" "%USERPROFILE%\AppData\Local\Temp\OnboardLogs"\RTDC4019\*4019*201710052* &gt;&gt; 2017-10-05-SliceDisagreementCheck.txt</v>
      </c>
      <c r="AE48" s="145" t="str">
        <f t="shared" si="9"/>
        <v>start /low /b %USERPROFILE%\Documents\GitHub\eaglep3\Utilities\DownloadLogsFromS3.py --loco 4019 --day 2017-10-05</v>
      </c>
      <c r="AF48" s="1"/>
    </row>
    <row r="49" spans="1:32" x14ac:dyDescent="0.25">
      <c r="A49" s="31">
        <v>43013.21565972222</v>
      </c>
      <c r="B49" s="30" t="s">
        <v>446</v>
      </c>
      <c r="C49" s="30" t="s">
        <v>575</v>
      </c>
      <c r="D49" s="30" t="s">
        <v>49</v>
      </c>
      <c r="E49" s="30" t="s">
        <v>179</v>
      </c>
      <c r="F49" s="42">
        <v>0</v>
      </c>
      <c r="G49" s="42">
        <v>8</v>
      </c>
      <c r="H49" s="42">
        <v>59044</v>
      </c>
      <c r="I49" s="42">
        <v>59048</v>
      </c>
      <c r="J49" s="30" t="s">
        <v>180</v>
      </c>
      <c r="K49" s="42">
        <v>59048</v>
      </c>
      <c r="L49" s="131" t="s">
        <v>50</v>
      </c>
      <c r="M49" s="132">
        <f t="shared" si="0"/>
        <v>0</v>
      </c>
      <c r="N49" s="133" t="str">
        <f>VLOOKUP(C49,'Trips&amp;Operators'!$C$1:$G$99911,5,FALSE)</f>
        <v>DAVIS WENDY</v>
      </c>
      <c r="O49" s="176" t="s">
        <v>178</v>
      </c>
      <c r="P49" s="134"/>
      <c r="Q49" s="30"/>
      <c r="R49" s="81" t="str">
        <f>VLOOKUP(C49,'Train Runs'!$A$13:$AE$10010,31,0)</f>
        <v>aws s3 cp s3://rtdc.mdm.uploadarchive.raw/RTDC4002/ "%USERPROFILE%\AppData\Local\Temp\OnboardLogs"\RTDC4002\2017-10-05 --exclude "*" --recursive --include "*20171005*" &amp; "%USERPROFILE%\Documents\GitHub\mrs-test-scripts\Headless Mode &amp; Sideloading\WalkAndUnGZ.bat" "%USERPROFILE%\AppData\Local\Temp\OnboardLogs"\RTDC4002\2017-10-05 &amp; aws s3 cp s3://rtdc.mdm.uploadarchive.raw/RTDC4002/ "%USERPROFILE%\AppData\Local\Temp\OnboardLogs"\RTDC4002\2017-10-06 --exclude "*" --recursive --include "*20171006*" &amp; "%USERPROFILE%\Documents\GitHub\mrs-test-scripts\Headless Mode &amp; Sideloading\WalkAndUnGZ.bat" "%USERPROFILE%\AppData\Local\Temp\OnboardLogs"\RTDC4002\2017-10-06</v>
      </c>
      <c r="S49" s="84" t="str">
        <f>VLOOKUP(C49,'Train Runs'!$A$13:$AE$10010,22,0)</f>
        <v>https://d0f6bd738d7f1b3e5a7ca70fe4ff75f0.us-east-1.aws.found.io/app/kibana#/discover/Steve-Slow-Train-Analysis-(2080s-and-2083s)?_g=(refreshInterval:(display:Off,pause:!f,section:0,value:0),time:(from:'2017-10-05T03:55:25-0600',mode:absolute,to:'2017-10-05T06:10:34-0600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4002%22')),sort:!(Time.ISO8601,asc))</v>
      </c>
      <c r="T49" s="86" t="str">
        <f t="shared" si="1"/>
        <v>"C:\Program Files (x86)\AstroGrep\AstroGrep.exe" /e /r /s /spath="%USERPROFILE%\AppData\Local\Temp\OnboardLogs" /stypes="*4002*201710051*" /stext=" 11:.+((SYSTEM_STATE.+slice.+state.+changed )|(ment ac)|(multiple cpu faults)|(system.+state.+changed )|(\[timeout)|(PRM\|1\|D)|(kpr)|(kdp)|(train st.+moving)|(\|lc)|(penalty))"</v>
      </c>
      <c r="U49" s="9" t="str">
        <f t="shared" si="2"/>
        <v>4002</v>
      </c>
      <c r="V49" s="31">
        <f t="shared" si="3"/>
        <v>43013.46565972222</v>
      </c>
      <c r="W49" s="45" t="str">
        <f t="shared" si="4"/>
        <v>Other</v>
      </c>
      <c r="X49" s="22">
        <f t="shared" si="5"/>
        <v>901</v>
      </c>
      <c r="Y49" s="96" t="str">
        <f t="shared" si="6"/>
        <v>echo {"issue":{"subject":"","project_id":79,"tracker_id":40,"status_id":1,"priority_id":2,"assigned_to_id":338,"start_date":"2017-10-05","description":"","custom_fields":[{"id":1,"name":"Subdivision","value":"Other"},{"id":4,"name":"Milepost","value":"5.9048"},{"id":17,"name":"Train ID","value":"901-05"},{"id":16,"name":"Locomotive ID","value":"4002"},{"id":130,"name":"Impact","value":""},{"id":150,"name":"Time of Event (Mountain Time)","value":"05:10:33"},{"id":151,"name":"Denver Issue ID","value":""},{"id":178,"name":"Operational Impact","value":"Yes"},{"id":179,"name":"Denver Segment Assigned","value":""}]}} | curl --insecure -X POST -H "Content-Type: application/json" -H "X-Redmine-API-Key: %REDMINEAPIKEY%" https://secure.xorail.net/redmine/issues.json --data @-</v>
      </c>
      <c r="Z49" s="159"/>
      <c r="AA49" s="47"/>
      <c r="AB49" s="47"/>
      <c r="AC49" s="115" t="str">
        <f t="shared" si="7"/>
        <v>grep -hrE -A400 "Enforcement Action" /c/Users/stu/AppData/Local/Temp/OnboardLogs/RTDC4002 --include="*4002*201710051*" | grep -E "((Enforcement Ac)|(PRM))" -</v>
      </c>
      <c r="AD49" s="1" t="str">
        <f>"grep -hSE ""Enforcement Action"" "&amp;search_path&amp;"\RTDC"&amp;U49&amp;"\*"&amp;U49&amp;"*"&amp;TEXT(A49-utc_offset/24,"YYYYMMDD")&amp;LEFT(TEXT(A49-utc_offset/24,"HH"),1)&amp;"* &gt;&gt; "&amp;TEXT(Variables!$A$2,"YYYY-MM-DD")&amp;"-SliceDisagreementCheck.txt"</f>
        <v>grep -hSE "Enforcement Action" "%USERPROFILE%\AppData\Local\Temp\OnboardLogs"\RTDC4002\*4002*201710051* &gt;&gt; 2017-10-05-SliceDisagreementCheck.txt</v>
      </c>
      <c r="AE49" s="145" t="str">
        <f t="shared" si="9"/>
        <v>start /low /b %USERPROFILE%\Documents\GitHub\eaglep3\Utilities\DownloadLogsFromS3.py --loco 4002 --day 2017-10-05</v>
      </c>
      <c r="AF49" s="1"/>
    </row>
    <row r="50" spans="1:32" x14ac:dyDescent="0.25">
      <c r="A50" s="31">
        <v>43013.513726851852</v>
      </c>
      <c r="B50" s="30" t="s">
        <v>594</v>
      </c>
      <c r="C50" s="30" t="s">
        <v>595</v>
      </c>
      <c r="D50" s="30" t="s">
        <v>95</v>
      </c>
      <c r="E50" s="30" t="s">
        <v>357</v>
      </c>
      <c r="F50" s="42">
        <v>0</v>
      </c>
      <c r="G50" s="42">
        <v>122</v>
      </c>
      <c r="H50" s="42">
        <v>4760</v>
      </c>
      <c r="I50" s="42">
        <v>4560</v>
      </c>
      <c r="J50" s="30" t="s">
        <v>358</v>
      </c>
      <c r="K50" s="42">
        <v>4790</v>
      </c>
      <c r="L50" s="131" t="s">
        <v>51</v>
      </c>
      <c r="M50" s="132">
        <f t="shared" si="0"/>
        <v>-121.44</v>
      </c>
      <c r="N50" s="133" t="str">
        <f>VLOOKUP(C50,'Trips&amp;Operators'!$C$1:$G$99911,5,FALSE)</f>
        <v>MOSES BRADLEY</v>
      </c>
      <c r="O50" s="176" t="s">
        <v>178</v>
      </c>
      <c r="P50" s="134"/>
      <c r="Q50" s="30"/>
      <c r="R50" s="81" t="str">
        <f>VLOOKUP(C50,'Train Runs'!$A$13:$AE$10010,31,0)</f>
        <v>aws s3 cp s3://rtdc.mdm.uploadarchive.raw/RTDC4019/ "%USERPROFILE%\AppData\Local\Temp\OnboardLogs"\RTDC4019\2017-10-05 --exclude "*" --recursive --include "*20171005*" &amp; "%USERPROFILE%\Documents\GitHub\mrs-test-scripts\Headless Mode &amp; Sideloading\WalkAndUnGZ.bat" "%USERPROFILE%\AppData\Local\Temp\OnboardLogs"\RTDC4019\2017-10-05 &amp; aws s3 cp s3://rtdc.mdm.uploadarchive.raw/RTDC4019/ "%USERPROFILE%\AppData\Local\Temp\OnboardLogs"\RTDC4019\2017-10-06 --exclude "*" --recursive --include "*20171006*" &amp; "%USERPROFILE%\Documents\GitHub\mrs-test-scripts\Headless Mode &amp; Sideloading\WalkAndUnGZ.bat" "%USERPROFILE%\AppData\Local\Temp\OnboardLogs"\RTDC4019\2017-10-06</v>
      </c>
      <c r="S50" s="84" t="str">
        <f>VLOOKUP(C50,'Train Runs'!$A$13:$AE$10010,22,0)</f>
        <v>https://d0f6bd738d7f1b3e5a7ca70fe4ff75f0.us-east-1.aws.found.io/app/kibana#/discover/Steve-Slow-Train-Analysis-(2080s-and-2083s)?_g=(refreshInterval:(display:Off,pause:!f,section:0,value:0),time:(from:'2017-10-05T10:43:50-0600',mode:absolute,to:'2017-10-05T13:56:13-0600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4019%22')),sort:!(Time.ISO8601,asc))</v>
      </c>
      <c r="T50" s="86" t="str">
        <f t="shared" si="1"/>
        <v>"C:\Program Files (x86)\AstroGrep\AstroGrep.exe" /e /r /s /spath="%USERPROFILE%\AppData\Local\Temp\OnboardLogs" /stypes="*4019*201710051*" /stext=" 18:.+((SYSTEM_STATE.+slice.+state.+changed )|(ment ac)|(multiple cpu faults)|(system.+state.+changed )|(\[timeout)|(PRM\|1\|D)|(kpr)|(kdp)|(train st.+moving)|(\|lc)|(penalty))"</v>
      </c>
      <c r="U50" s="9" t="str">
        <f t="shared" si="2"/>
        <v>4019</v>
      </c>
      <c r="V50" s="31">
        <f t="shared" si="3"/>
        <v>43013.763726851852</v>
      </c>
      <c r="W50" s="45" t="str">
        <f t="shared" si="4"/>
        <v>Shuttle/Test</v>
      </c>
      <c r="X50" s="22">
        <f t="shared" si="5"/>
        <v>54</v>
      </c>
      <c r="Y50" s="96" t="str">
        <f t="shared" si="6"/>
        <v>echo {"issue":{"subject":"","project_id":79,"tracker_id":40,"status_id":1,"priority_id":2,"assigned_to_id":338,"start_date":"2017-10-05","description":"","custom_fields":[{"id":1,"name":"Subdivision","value":"Shuttle/Test"},{"id":4,"name":"Milepost","value":"0.479"},{"id":17,"name":"Train ID","value":"54-05"},{"id":16,"name":"Locomotive ID","value":"4019"},{"id":130,"name":"Impact","value":""},{"id":150,"name":"Time of Event (Mountain Time)","value":"12:19:46"},{"id":151,"name":"Denver Issue ID","value":""},{"id":178,"name":"Operational Impact","value":"Yes"},{"id":179,"name":"Denver Segment Assigned","value":""}]}} | curl --insecure -X POST -H "Content-Type: application/json" -H "X-Redmine-API-Key: %REDMINEAPIKEY%" https://secure.xorail.net/redmine/issues.json --data @-</v>
      </c>
      <c r="Z50" s="159"/>
      <c r="AA50" s="47"/>
      <c r="AB50" s="47"/>
      <c r="AC50" s="115" t="str">
        <f t="shared" si="7"/>
        <v>grep -hrE -A400 "Enforcement Action" /c/Users/stu/AppData/Local/Temp/OnboardLogs/RTDC4019 --include="*4019*201710051*" | grep -E "((Enforcement Ac)|(PRM))" -</v>
      </c>
      <c r="AD50" s="1" t="str">
        <f>"grep -hSE ""Enforcement Action"" "&amp;search_path&amp;"\RTDC"&amp;U50&amp;"\*"&amp;U50&amp;"*"&amp;TEXT(A50-utc_offset/24,"YYYYMMDD")&amp;LEFT(TEXT(A50-utc_offset/24,"HH"),1)&amp;"* &gt;&gt; "&amp;TEXT(Variables!$A$2,"YYYY-MM-DD")&amp;"-SliceDisagreementCheck.txt"</f>
        <v>grep -hSE "Enforcement Action" "%USERPROFILE%\AppData\Local\Temp\OnboardLogs"\RTDC4019\*4019*201710051* &gt;&gt; 2017-10-05-SliceDisagreementCheck.txt</v>
      </c>
      <c r="AE50" s="145" t="str">
        <f t="shared" si="9"/>
        <v>start /low /b %USERPROFILE%\Documents\GitHub\eaglep3\Utilities\DownloadLogsFromS3.py --loco 4019 --day 2017-10-05</v>
      </c>
      <c r="AF50" s="1"/>
    </row>
    <row r="51" spans="1:32" x14ac:dyDescent="0.25">
      <c r="A51" s="31">
        <v>43013.421574074076</v>
      </c>
      <c r="B51" s="30" t="s">
        <v>576</v>
      </c>
      <c r="C51" s="30" t="s">
        <v>590</v>
      </c>
      <c r="D51" s="30" t="s">
        <v>49</v>
      </c>
      <c r="E51" s="30" t="s">
        <v>179</v>
      </c>
      <c r="F51" s="42">
        <v>0</v>
      </c>
      <c r="G51" s="42">
        <v>26</v>
      </c>
      <c r="H51" s="42">
        <v>652</v>
      </c>
      <c r="I51" s="42">
        <v>631</v>
      </c>
      <c r="J51" s="30" t="s">
        <v>180</v>
      </c>
      <c r="K51" s="42">
        <v>575</v>
      </c>
      <c r="L51" s="131" t="s">
        <v>51</v>
      </c>
      <c r="M51" s="132">
        <f t="shared" si="0"/>
        <v>29.568000000000001</v>
      </c>
      <c r="N51" s="133" t="str">
        <f>VLOOKUP(C51,'Trips&amp;Operators'!$C$1:$G$99911,5,FALSE)</f>
        <v>SPECTOR MICHAEL</v>
      </c>
      <c r="O51" s="176" t="s">
        <v>178</v>
      </c>
      <c r="P51" s="134"/>
      <c r="Q51" s="30"/>
      <c r="R51" s="81" t="str">
        <f>VLOOKUP(C51,'Train Runs'!$A$13:$AE$10010,31,0)</f>
        <v>aws s3 cp s3://rtdc.mdm.uploadarchive.raw/RTDC4062/ "%USERPROFILE%\AppData\Local\Temp\OnboardLogs"\RTDC4062\2017-10-05 --exclude "*" --recursive --include "*20171005*" &amp; "%USERPROFILE%\Documents\GitHub\mrs-test-scripts\Headless Mode &amp; Sideloading\WalkAndUnGZ.bat" "%USERPROFILE%\AppData\Local\Temp\OnboardLogs"\RTDC4062\2017-10-05 &amp; aws s3 cp s3://rtdc.mdm.uploadarchive.raw/RTDC4062/ "%USERPROFILE%\AppData\Local\Temp\OnboardLogs"\RTDC4062\2017-10-06 --exclude "*" --recursive --include "*20171006*" &amp; "%USERPROFILE%\Documents\GitHub\mrs-test-scripts\Headless Mode &amp; Sideloading\WalkAndUnGZ.bat" "%USERPROFILE%\AppData\Local\Temp\OnboardLogs"\RTDC4062\2017-10-06</v>
      </c>
      <c r="S51" s="84" t="str">
        <f>VLOOKUP(C51,'Train Runs'!$A$13:$AE$10010,22,0)</f>
        <v>https://d0f6bd738d7f1b3e5a7ca70fe4ff75f0.us-east-1.aws.found.io/app/kibana#/discover/Steve-Slow-Train-Analysis-(2080s-and-2083s)?_g=(refreshInterval:(display:Off,pause:!f,section:0,value:0),time:(from:'2017-10-05T02:00:51-0600',mode:absolute,to:'2017-10-05T04:19:05-0600'))&amp;_a=(columns:!('Locomotive+ID','Data.Head+End+Milepost',Data.Speed,'Data.Locomotive+State','Data.Train+ID','Data.Warning%2FEnforcement+Type','Data.Target+Start+Milepost','Data.Target+Description','Data.Target+Speed','Data.Enforcement+Train+Speed','Data.Enforcement+Start+Milepost','Data.Target+Type','Data.Enforcement+Direction+of+Travel','Message+ID','Data.Body+of+Summary+Text','Data.Head+End+Track+name'),filters:!(),index:'emp_*',interval:auto,query:(query_string:(analyze_wildcard:!t,query:'Message%5C+ID:(2083+OR+2080+OR+1041+OR+2003+OR+1051+OR+1043+OR+1053)+AND+%22rtdc.l.rtdc.4062%22')),sort:!(Time.ISO8601,asc))</v>
      </c>
      <c r="T51" s="86" t="str">
        <f t="shared" si="1"/>
        <v>"C:\Program Files (x86)\AstroGrep\AstroGrep.exe" /e /r /s /spath="%USERPROFILE%\AppData\Local\Temp\OnboardLogs" /stypes="*4001*201710051*" /stext=" 16:.+((SYSTEM_STATE.+slice.+state.+changed )|(ment ac)|(multiple cpu faults)|(system.+state.+changed )|(\[timeout)|(PRM\|1\|D)|(kpr)|(kdp)|(train st.+moving)|(\|lc)|(penalty))"</v>
      </c>
      <c r="U51" s="9" t="str">
        <f t="shared" si="2"/>
        <v>4001</v>
      </c>
      <c r="V51" s="31">
        <f t="shared" si="3"/>
        <v>43013.671574074076</v>
      </c>
      <c r="W51" s="45" t="str">
        <f t="shared" si="4"/>
        <v>Shuttle/Test</v>
      </c>
      <c r="X51" s="22">
        <f t="shared" si="5"/>
        <v>51</v>
      </c>
      <c r="Y51" s="96" t="str">
        <f t="shared" si="6"/>
        <v>echo {"issue":{"subject":"","project_id":79,"tracker_id":40,"status_id":1,"priority_id":2,"assigned_to_id":338,"start_date":"2017-10-05","description":"","custom_fields":[{"id":1,"name":"Subdivision","value":"Shuttle/Test"},{"id":4,"name":"Milepost","value":"0.0575"},{"id":17,"name":"Train ID","value":"51-05"},{"id":16,"name":"Locomotive ID","value":"4001"},{"id":130,"name":"Impact","value":""},{"id":150,"name":"Time of Event (Mountain Time)","value":"10:07:04"},{"id":151,"name":"Denver Issue ID","value":""},{"id":178,"name":"Operational Impact","value":"Yes"},{"id":179,"name":"Denver Segment Assigned","value":""}]}} | curl --insecure -X POST -H "Content-Type: application/json" -H "X-Redmine-API-Key: %REDMINEAPIKEY%" https://secure.xorail.net/redmine/issues.json --data @-</v>
      </c>
      <c r="Z51" s="159"/>
      <c r="AA51" s="47"/>
      <c r="AB51" s="47"/>
      <c r="AC51" s="115" t="str">
        <f t="shared" si="7"/>
        <v>grep -hrE -A400 "Enforcement Action" /c/Users/stu/AppData/Local/Temp/OnboardLogs/RTDC4001 --include="*4001*201710051*" | grep -E "((Enforcement Ac)|(PRM))" -</v>
      </c>
      <c r="AD51" s="1" t="str">
        <f>"grep -hSE ""Enforcement Action"" "&amp;search_path&amp;"\RTDC"&amp;U51&amp;"\*"&amp;U51&amp;"*"&amp;TEXT(A51-utc_offset/24,"YYYYMMDD")&amp;LEFT(TEXT(A51-utc_offset/24,"HH"),1)&amp;"* &gt;&gt; "&amp;TEXT(Variables!$A$2,"YYYY-MM-DD")&amp;"-SliceDisagreementCheck.txt"</f>
        <v>grep -hSE "Enforcement Action" "%USERPROFILE%\AppData\Local\Temp\OnboardLogs"\RTDC4001\*4001*201710051* &gt;&gt; 2017-10-05-SliceDisagreementCheck.txt</v>
      </c>
      <c r="AE51" s="145" t="str">
        <f t="shared" si="9"/>
        <v>start /low /b %USERPROFILE%\Documents\GitHub\eaglep3\Utilities\DownloadLogsFromS3.py --loco 4001 --day 2017-10-05</v>
      </c>
      <c r="AF51" s="1"/>
    </row>
    <row r="52" spans="1:32" x14ac:dyDescent="0.25">
      <c r="A52"/>
      <c r="D52"/>
      <c r="E52"/>
      <c r="F52"/>
      <c r="G52"/>
      <c r="H52"/>
      <c r="I52"/>
      <c r="J52"/>
      <c r="K52"/>
      <c r="L52"/>
      <c r="M52"/>
      <c r="N52"/>
      <c r="O52"/>
      <c r="P52"/>
      <c r="R52"/>
      <c r="S52"/>
      <c r="T52"/>
      <c r="V52"/>
      <c r="X52"/>
      <c r="Z52"/>
      <c r="AC52"/>
      <c r="AE52"/>
    </row>
    <row r="53" spans="1:32" x14ac:dyDescent="0.25">
      <c r="A53"/>
      <c r="D53"/>
      <c r="E53"/>
      <c r="F53"/>
      <c r="G53"/>
      <c r="H53"/>
      <c r="I53"/>
      <c r="J53"/>
      <c r="K53"/>
      <c r="L53"/>
      <c r="M53"/>
      <c r="N53"/>
      <c r="O53"/>
      <c r="P53"/>
      <c r="R53"/>
      <c r="S53"/>
      <c r="T53"/>
      <c r="V53"/>
      <c r="X53"/>
      <c r="Z53"/>
      <c r="AC53"/>
      <c r="AE53"/>
    </row>
    <row r="54" spans="1:32" x14ac:dyDescent="0.25">
      <c r="A54"/>
      <c r="D54"/>
      <c r="E54"/>
      <c r="F54"/>
      <c r="G54"/>
      <c r="H54"/>
      <c r="I54"/>
      <c r="J54"/>
      <c r="K54"/>
      <c r="L54"/>
      <c r="M54"/>
      <c r="N54"/>
      <c r="O54"/>
      <c r="P54"/>
      <c r="R54"/>
      <c r="S54"/>
      <c r="T54"/>
      <c r="V54"/>
      <c r="X54"/>
      <c r="Z54"/>
      <c r="AC54"/>
      <c r="AE54"/>
    </row>
    <row r="55" spans="1:32" x14ac:dyDescent="0.25">
      <c r="A55"/>
      <c r="D55"/>
      <c r="E55"/>
      <c r="F55"/>
      <c r="G55"/>
      <c r="H55"/>
      <c r="I55"/>
      <c r="J55"/>
      <c r="K55"/>
      <c r="L55"/>
      <c r="M55"/>
      <c r="N55"/>
      <c r="O55"/>
      <c r="P55"/>
      <c r="R55"/>
      <c r="S55"/>
      <c r="T55"/>
      <c r="V55"/>
      <c r="X55"/>
      <c r="Z55"/>
      <c r="AC55"/>
      <c r="AE55"/>
    </row>
    <row r="56" spans="1:32" x14ac:dyDescent="0.25">
      <c r="A56"/>
      <c r="D56"/>
      <c r="E56"/>
      <c r="F56"/>
      <c r="G56"/>
      <c r="H56"/>
      <c r="I56"/>
      <c r="J56"/>
      <c r="K56"/>
      <c r="L56"/>
      <c r="M56"/>
      <c r="N56"/>
      <c r="O56"/>
      <c r="P56"/>
      <c r="R56"/>
      <c r="S56"/>
      <c r="T56"/>
      <c r="V56"/>
      <c r="X56"/>
      <c r="Z56"/>
      <c r="AC56"/>
      <c r="AE56"/>
    </row>
    <row r="57" spans="1:32" x14ac:dyDescent="0.25">
      <c r="A57"/>
      <c r="D57"/>
      <c r="E57"/>
      <c r="F57"/>
      <c r="G57"/>
      <c r="H57"/>
      <c r="I57"/>
      <c r="J57"/>
      <c r="K57"/>
      <c r="L57"/>
      <c r="M57"/>
      <c r="N57"/>
      <c r="O57"/>
      <c r="P57"/>
      <c r="R57"/>
      <c r="S57"/>
      <c r="T57"/>
      <c r="V57"/>
      <c r="X57"/>
      <c r="Z57"/>
      <c r="AC57"/>
      <c r="AE57"/>
    </row>
  </sheetData>
  <autoFilter ref="A6:AC42">
    <sortState ref="A7:AC51">
      <sortCondition ref="W7:W51"/>
      <sortCondition ref="E7:E51"/>
      <sortCondition ref="K7:K51"/>
      <sortCondition ref="F7:F51"/>
    </sortState>
  </autoFilter>
  <sortState ref="A7:AE27">
    <sortCondition ref="W7:W27"/>
    <sortCondition ref="E7:E27"/>
    <sortCondition ref="K7:K27"/>
    <sortCondition ref="C7:C27"/>
    <sortCondition ref="F7:F27"/>
  </sortState>
  <mergeCells count="1">
    <mergeCell ref="A5:O5"/>
  </mergeCells>
  <conditionalFormatting sqref="O6:P6 R6 O58:O1048576 O7:O51">
    <cfRule type="cellIs" dxfId="3" priority="40" operator="equal">
      <formula>"Y"</formula>
    </cfRule>
  </conditionalFormatting>
  <conditionalFormatting sqref="O2:O3">
    <cfRule type="cellIs" dxfId="2" priority="31" operator="equal">
      <formula>"Y"</formula>
    </cfRule>
  </conditionalFormatting>
  <conditionalFormatting sqref="A7:P51">
    <cfRule type="expression" dxfId="1" priority="24">
      <formula>$O7="Y"</formula>
    </cfRule>
  </conditionalFormatting>
  <pageMargins left="0.7" right="0.7" top="0.75" bottom="0.75" header="0.3" footer="0.3"/>
  <pageSetup scale="24"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1]!DailyMorningStuff_Enforcements">
                <anchor moveWithCells="1" sizeWithCells="1">
                  <from>
                    <xdr:col>15</xdr:col>
                    <xdr:colOff>352425</xdr:colOff>
                    <xdr:row>1</xdr:row>
                    <xdr:rowOff>28575</xdr:rowOff>
                  </from>
                  <to>
                    <xdr:col>15</xdr:col>
                    <xdr:colOff>1152525</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'Redmine List Values'!$A$2:$A$7</xm:f>
          </x14:formula1>
          <xm:sqref>AA7:AA51</xm:sqref>
        </x14:dataValidation>
        <x14:dataValidation type="list" allowBlank="1" showInputMessage="1" showErrorMessage="1">
          <x14:formula1>
            <xm:f>'Redmine List Values'!$C$2:$C$15</xm:f>
          </x14:formula1>
          <xm:sqref>AB7:AB51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74"/>
  <sheetViews>
    <sheetView workbookViewId="0">
      <selection activeCell="A4" sqref="A4"/>
    </sheetView>
  </sheetViews>
  <sheetFormatPr defaultRowHeight="15" x14ac:dyDescent="0.25"/>
  <cols>
    <col min="1" max="1" width="8" style="196" customWidth="1"/>
    <col min="2" max="2" width="9.140625" style="2" customWidth="1"/>
    <col min="3" max="3" width="8" style="88" bestFit="1" customWidth="1"/>
    <col min="4" max="4" width="9.85546875" style="139" bestFit="1" customWidth="1"/>
    <col min="5" max="5" width="50.85546875" bestFit="1" customWidth="1"/>
    <col min="6" max="6" width="20.42578125" bestFit="1" customWidth="1"/>
    <col min="7" max="7" width="13.5703125" customWidth="1"/>
    <col min="8" max="8" width="14.7109375" customWidth="1"/>
    <col min="9" max="9" width="9.140625" style="189" customWidth="1"/>
    <col min="10" max="10" width="9.140625" customWidth="1"/>
  </cols>
  <sheetData>
    <row r="1" spans="1:10" s="20" customFormat="1" x14ac:dyDescent="0.25">
      <c r="A1" s="196"/>
      <c r="B1" s="226" t="str">
        <f>"Trips that did not appear in PTC Data "&amp;TEXT(Variables!$A$2,"YYYY-mm-dd")</f>
        <v>Trips that did not appear in PTC Data 2017-10-05</v>
      </c>
      <c r="C1" s="226"/>
      <c r="D1" s="226"/>
      <c r="E1" s="226"/>
      <c r="F1" s="226"/>
      <c r="I1" s="189"/>
    </row>
    <row r="2" spans="1:10" s="23" customFormat="1" ht="45" x14ac:dyDescent="0.25">
      <c r="A2" s="224" t="s">
        <v>146</v>
      </c>
      <c r="B2" s="90" t="s">
        <v>58</v>
      </c>
      <c r="C2" s="87" t="s">
        <v>59</v>
      </c>
      <c r="D2" s="152" t="s">
        <v>60</v>
      </c>
      <c r="E2" s="23" t="s">
        <v>56</v>
      </c>
      <c r="F2" s="23" t="s">
        <v>57</v>
      </c>
      <c r="G2" s="23" t="s">
        <v>61</v>
      </c>
      <c r="H2" s="28" t="s">
        <v>62</v>
      </c>
      <c r="I2" s="190" t="s">
        <v>101</v>
      </c>
      <c r="J2" s="28" t="s">
        <v>60</v>
      </c>
    </row>
    <row r="3" spans="1:10" x14ac:dyDescent="0.25">
      <c r="A3" s="198"/>
      <c r="B3" s="42" t="str">
        <f>A3&amp;"-"&amp;IF(DAY(Variables!$A$2)&lt;10,0,"")&amp;DAY(Variables!$A$2)</f>
        <v>-05</v>
      </c>
      <c r="C3" s="135"/>
      <c r="D3" s="153" t="e">
        <f>VLOOKUP(B3,'Trips&amp;Operators'!$C$1:$H$1072,6,FALSE)</f>
        <v>#N/A</v>
      </c>
      <c r="E3" s="30"/>
      <c r="F3" s="21" t="e">
        <f>VLOOKUP(B3,'Trips&amp;Operators'!$C$2:$E$9912,3,FALSE)</f>
        <v>#N/A</v>
      </c>
      <c r="G3" s="21" t="e">
        <f>VLOOKUP(B3,'Trips&amp;Operators'!$C$1:$F$9912,4,FALSE)</f>
        <v>#N/A</v>
      </c>
      <c r="H3" s="29" t="e">
        <f>VLOOKUP(B3,'Trips&amp;Operators'!$C$1:$H$9912,5,FALSE)</f>
        <v>#N/A</v>
      </c>
      <c r="I3" s="191" t="str">
        <f t="shared" ref="I3:I18" si="0">"https://d0f6bd738d7f1b3e5a7ca70fe4ff75f0.us-east-1.aws.found.io/app/kibana#/discover/Steve-Slow-Train-Analysis-(2080s-and-2083s)?_g="&amp;"(refreshInterval:(display:Off,pause:!f,section:0,value:0),time:(from:now-7d,mode:quick,to:now))&amp;_a=(columns:!('Locomotive%20ID','Data.Train%20ID','Message%20ID'),filters:!(),"&amp;"index:'emp_*',interval:auto,query:(query_string:(analyze_wildcard:!t,query:%22"&amp;B3&amp;"%22)),sort:!(Time.ISO8601,asc))"</f>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3" s="30" t="e">
        <f>VLOOKUP(B3,'Train Runs'!$A$13:$A$100007,1,FALSE)</f>
        <v>#N/A</v>
      </c>
    </row>
    <row r="4" spans="1:10" x14ac:dyDescent="0.25">
      <c r="A4" s="198"/>
      <c r="B4" s="42" t="str">
        <f>A4&amp;"-"&amp;IF(DAY(Variables!$A$2)&lt;10,0,"")&amp;DAY(Variables!$A$2)</f>
        <v>-05</v>
      </c>
      <c r="C4" s="135"/>
      <c r="D4" s="153" t="e">
        <f>VLOOKUP(B4,'Trips&amp;Operators'!$C$1:$H$1072,6,FALSE)</f>
        <v>#N/A</v>
      </c>
      <c r="E4" s="30"/>
      <c r="F4" s="21" t="e">
        <f>VLOOKUP(B4,'Trips&amp;Operators'!$C$2:$E$9912,3,FALSE)</f>
        <v>#N/A</v>
      </c>
      <c r="G4" s="21" t="e">
        <f>VLOOKUP(B4,'Trips&amp;Operators'!$C$1:$F$9912,4,FALSE)</f>
        <v>#N/A</v>
      </c>
      <c r="H4" s="29" t="e">
        <f>VLOOKUP(B4,'Trips&amp;Operators'!$C$1:$H$9912,5,FALSE)</f>
        <v>#N/A</v>
      </c>
      <c r="I4" s="191"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4" s="30" t="e">
        <f>VLOOKUP(B4,'Train Runs'!$A$13:$A$100007,1,FALSE)</f>
        <v>#N/A</v>
      </c>
    </row>
    <row r="5" spans="1:10" x14ac:dyDescent="0.25">
      <c r="A5" s="198"/>
      <c r="B5" s="42" t="str">
        <f>A5&amp;"-"&amp;IF(DAY(Variables!$A$2)&lt;10,0,"")&amp;DAY(Variables!$A$2)</f>
        <v>-05</v>
      </c>
      <c r="C5" s="135"/>
      <c r="D5" s="153" t="e">
        <f>VLOOKUP(B5,'Trips&amp;Operators'!$C$1:$H$1072,6,FALSE)</f>
        <v>#N/A</v>
      </c>
      <c r="E5" s="30"/>
      <c r="F5" s="21" t="e">
        <f>VLOOKUP(B5,'Trips&amp;Operators'!$C$2:$E$9912,3,FALSE)</f>
        <v>#N/A</v>
      </c>
      <c r="G5" s="21" t="e">
        <f>VLOOKUP(B5,'Trips&amp;Operators'!$C$1:$F$9912,4,FALSE)</f>
        <v>#N/A</v>
      </c>
      <c r="H5" s="29" t="e">
        <f>VLOOKUP(B5,'Trips&amp;Operators'!$C$1:$H$9912,5,FALSE)</f>
        <v>#N/A</v>
      </c>
      <c r="I5" s="191"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5" s="30" t="e">
        <f>VLOOKUP(B5,'Train Runs'!$A$13:$A$100007,1,FALSE)</f>
        <v>#N/A</v>
      </c>
    </row>
    <row r="6" spans="1:10" x14ac:dyDescent="0.25">
      <c r="A6" s="198"/>
      <c r="B6" s="42" t="str">
        <f>A6&amp;"-"&amp;IF(DAY(Variables!$A$2)&lt;10,0,"")&amp;DAY(Variables!$A$2)</f>
        <v>-05</v>
      </c>
      <c r="C6" s="135"/>
      <c r="D6" s="153" t="e">
        <f>VLOOKUP(B6,'Trips&amp;Operators'!$C$1:$H$1072,6,FALSE)</f>
        <v>#N/A</v>
      </c>
      <c r="E6" s="30"/>
      <c r="F6" s="21" t="e">
        <f>VLOOKUP(B6,'Trips&amp;Operators'!$C$2:$E$9912,3,FALSE)</f>
        <v>#N/A</v>
      </c>
      <c r="G6" s="21" t="e">
        <f>VLOOKUP(B6,'Trips&amp;Operators'!$C$1:$F$9912,4,FALSE)</f>
        <v>#N/A</v>
      </c>
      <c r="H6" s="29" t="e">
        <f>VLOOKUP(B6,'Trips&amp;Operators'!$C$1:$H$9912,5,FALSE)</f>
        <v>#N/A</v>
      </c>
      <c r="I6" s="191"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6" s="30" t="e">
        <f>VLOOKUP(B6,'Train Runs'!$A$13:$A$100007,1,FALSE)</f>
        <v>#N/A</v>
      </c>
    </row>
    <row r="7" spans="1:10" x14ac:dyDescent="0.25">
      <c r="A7" s="198"/>
      <c r="B7" s="42" t="str">
        <f>A7&amp;"-"&amp;IF(DAY(Variables!$A$2)&lt;10,0,"")&amp;DAY(Variables!$A$2)</f>
        <v>-05</v>
      </c>
      <c r="C7" s="135"/>
      <c r="D7" s="153" t="e">
        <f>VLOOKUP(B7,'Trips&amp;Operators'!$C$1:$H$1072,6,FALSE)</f>
        <v>#N/A</v>
      </c>
      <c r="E7" s="30"/>
      <c r="F7" s="21" t="e">
        <f>VLOOKUP(B7,'Trips&amp;Operators'!$C$2:$E$9912,3,FALSE)</f>
        <v>#N/A</v>
      </c>
      <c r="G7" s="21" t="e">
        <f>VLOOKUP(B7,'Trips&amp;Operators'!$C$1:$F$9912,4,FALSE)</f>
        <v>#N/A</v>
      </c>
      <c r="H7" s="29" t="e">
        <f>VLOOKUP(B7,'Trips&amp;Operators'!$C$1:$H$9912,5,FALSE)</f>
        <v>#N/A</v>
      </c>
      <c r="I7" s="191"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7" s="30" t="e">
        <f>VLOOKUP(B7,'Train Runs'!$A$13:$A$100007,1,FALSE)</f>
        <v>#N/A</v>
      </c>
    </row>
    <row r="8" spans="1:10" x14ac:dyDescent="0.25">
      <c r="A8" s="198"/>
      <c r="B8" s="42" t="str">
        <f>A8&amp;"-"&amp;IF(DAY(Variables!$A$2)&lt;10,0,"")&amp;DAY(Variables!$A$2)</f>
        <v>-05</v>
      </c>
      <c r="C8" s="135"/>
      <c r="D8" s="153" t="e">
        <f>VLOOKUP(B8,'Trips&amp;Operators'!$C$1:$H$1072,6,FALSE)</f>
        <v>#N/A</v>
      </c>
      <c r="E8" s="30"/>
      <c r="F8" s="21" t="e">
        <f>VLOOKUP(B8,'Trips&amp;Operators'!$C$2:$E$9912,3,FALSE)</f>
        <v>#N/A</v>
      </c>
      <c r="G8" s="21" t="e">
        <f>VLOOKUP(B8,'Trips&amp;Operators'!$C$1:$F$9912,4,FALSE)</f>
        <v>#N/A</v>
      </c>
      <c r="H8" s="29" t="e">
        <f>VLOOKUP(B8,'Trips&amp;Operators'!$C$1:$H$9912,5,FALSE)</f>
        <v>#N/A</v>
      </c>
      <c r="I8" s="191"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8" s="30" t="e">
        <f>VLOOKUP(B8,'Train Runs'!$A$13:$A$100007,1,FALSE)</f>
        <v>#N/A</v>
      </c>
    </row>
    <row r="9" spans="1:10" x14ac:dyDescent="0.25">
      <c r="A9" s="198"/>
      <c r="B9" s="42" t="str">
        <f>A9&amp;"-"&amp;IF(DAY(Variables!$A$2)&lt;10,0,"")&amp;DAY(Variables!$A$2)</f>
        <v>-05</v>
      </c>
      <c r="C9" s="135"/>
      <c r="D9" s="153" t="e">
        <f>VLOOKUP(B9,'Trips&amp;Operators'!$C$1:$H$1072,6,FALSE)</f>
        <v>#N/A</v>
      </c>
      <c r="E9" s="30"/>
      <c r="F9" s="21" t="e">
        <f>VLOOKUP(B9,'Trips&amp;Operators'!$C$2:$E$9912,3,FALSE)</f>
        <v>#N/A</v>
      </c>
      <c r="G9" s="21" t="e">
        <f>VLOOKUP(B9,'Trips&amp;Operators'!$C$1:$F$9912,4,FALSE)</f>
        <v>#N/A</v>
      </c>
      <c r="H9" s="29" t="e">
        <f>VLOOKUP(B9,'Trips&amp;Operators'!$C$1:$H$9912,5,FALSE)</f>
        <v>#N/A</v>
      </c>
      <c r="I9" s="191"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9" s="30" t="e">
        <f>VLOOKUP(B9,'Train Runs'!$A$13:$A$100007,1,FALSE)</f>
        <v>#N/A</v>
      </c>
    </row>
    <row r="10" spans="1:10" x14ac:dyDescent="0.25">
      <c r="A10" s="198"/>
      <c r="B10" s="42" t="str">
        <f>A10&amp;"-"&amp;IF(DAY(Variables!$A$2)&lt;10,0,"")&amp;DAY(Variables!$A$2)</f>
        <v>-05</v>
      </c>
      <c r="C10" s="135"/>
      <c r="D10" s="153" t="e">
        <f>VLOOKUP(B10,'Trips&amp;Operators'!$C$1:$H$1072,6,FALSE)</f>
        <v>#N/A</v>
      </c>
      <c r="E10" s="30"/>
      <c r="F10" s="21" t="e">
        <f>VLOOKUP(B10,'Trips&amp;Operators'!$C$2:$E$9912,3,FALSE)</f>
        <v>#N/A</v>
      </c>
      <c r="G10" s="21" t="e">
        <f>VLOOKUP(B10,'Trips&amp;Operators'!$C$1:$F$9912,4,FALSE)</f>
        <v>#N/A</v>
      </c>
      <c r="H10" s="29" t="e">
        <f>VLOOKUP(B10,'Trips&amp;Operators'!$C$1:$H$9912,5,FALSE)</f>
        <v>#N/A</v>
      </c>
      <c r="I10" s="191"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0" s="30" t="e">
        <f>VLOOKUP(B10,'Train Runs'!$A$13:$A$100007,1,FALSE)</f>
        <v>#N/A</v>
      </c>
    </row>
    <row r="11" spans="1:10" x14ac:dyDescent="0.25">
      <c r="A11" s="198"/>
      <c r="B11" s="42" t="str">
        <f>A11&amp;"-"&amp;IF(DAY(Variables!$A$2)&lt;10,0,"")&amp;DAY(Variables!$A$2)</f>
        <v>-05</v>
      </c>
      <c r="C11" s="135"/>
      <c r="D11" s="153" t="e">
        <f>VLOOKUP(B11,'Trips&amp;Operators'!$C$1:$H$1072,6,FALSE)</f>
        <v>#N/A</v>
      </c>
      <c r="E11" s="30"/>
      <c r="F11" s="21" t="e">
        <f>VLOOKUP(B11,'Trips&amp;Operators'!$C$2:$E$9912,3,FALSE)</f>
        <v>#N/A</v>
      </c>
      <c r="G11" s="21" t="e">
        <f>VLOOKUP(B11,'Trips&amp;Operators'!$C$1:$F$9912,4,FALSE)</f>
        <v>#N/A</v>
      </c>
      <c r="H11" s="29" t="e">
        <f>VLOOKUP(B11,'Trips&amp;Operators'!$C$1:$H$9912,5,FALSE)</f>
        <v>#N/A</v>
      </c>
      <c r="I11" s="191"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1" s="30" t="e">
        <f>VLOOKUP(B11,'Train Runs'!$A$13:$A$100007,1,FALSE)</f>
        <v>#N/A</v>
      </c>
    </row>
    <row r="12" spans="1:10" x14ac:dyDescent="0.25">
      <c r="A12" s="198"/>
      <c r="B12" s="42" t="str">
        <f>A12&amp;"-"&amp;IF(DAY(Variables!$A$2)&lt;10,0,"")&amp;DAY(Variables!$A$2)</f>
        <v>-05</v>
      </c>
      <c r="C12" s="135"/>
      <c r="D12" s="153" t="e">
        <f>VLOOKUP(B12,'Trips&amp;Operators'!$C$1:$H$1072,6,FALSE)</f>
        <v>#N/A</v>
      </c>
      <c r="E12" s="30"/>
      <c r="F12" s="21" t="e">
        <f>VLOOKUP(B12,'Trips&amp;Operators'!$C$2:$E$9912,3,FALSE)</f>
        <v>#N/A</v>
      </c>
      <c r="G12" s="21" t="e">
        <f>VLOOKUP(B12,'Trips&amp;Operators'!$C$1:$F$9912,4,FALSE)</f>
        <v>#N/A</v>
      </c>
      <c r="H12" s="29" t="e">
        <f>VLOOKUP(B12,'Trips&amp;Operators'!$C$1:$H$9912,5,FALSE)</f>
        <v>#N/A</v>
      </c>
      <c r="I12" s="191"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2" s="30" t="e">
        <f>VLOOKUP(B12,'Train Runs'!$A$13:$A$100007,1,FALSE)</f>
        <v>#N/A</v>
      </c>
    </row>
    <row r="13" spans="1:10" x14ac:dyDescent="0.25">
      <c r="A13" s="198"/>
      <c r="B13" s="42" t="str">
        <f>A13&amp;"-"&amp;IF(DAY(Variables!$A$2)&lt;10,0,"")&amp;DAY(Variables!$A$2)</f>
        <v>-05</v>
      </c>
      <c r="C13" s="135"/>
      <c r="D13" s="153" t="e">
        <f>VLOOKUP(B13,'Trips&amp;Operators'!$C$1:$H$1072,6,FALSE)</f>
        <v>#N/A</v>
      </c>
      <c r="E13" s="30"/>
      <c r="F13" s="21" t="e">
        <f>VLOOKUP(B13,'Trips&amp;Operators'!$C$2:$E$9912,3,FALSE)</f>
        <v>#N/A</v>
      </c>
      <c r="G13" s="21" t="e">
        <f>VLOOKUP(B13,'Trips&amp;Operators'!$C$1:$F$9912,4,FALSE)</f>
        <v>#N/A</v>
      </c>
      <c r="H13" s="29" t="e">
        <f>VLOOKUP(B13,'Trips&amp;Operators'!$C$1:$H$9912,5,FALSE)</f>
        <v>#N/A</v>
      </c>
      <c r="I13" s="191"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3" s="30" t="e">
        <f>VLOOKUP(B13,'Train Runs'!$A$13:$A$100007,1,FALSE)</f>
        <v>#N/A</v>
      </c>
    </row>
    <row r="14" spans="1:10" x14ac:dyDescent="0.25">
      <c r="A14" s="198"/>
      <c r="B14" s="42" t="str">
        <f>A14&amp;"-"&amp;IF(DAY(Variables!$A$2)&lt;10,0,"")&amp;DAY(Variables!$A$2)</f>
        <v>-05</v>
      </c>
      <c r="C14" s="135"/>
      <c r="D14" s="153" t="e">
        <f>VLOOKUP(B14,'Trips&amp;Operators'!$C$1:$H$1072,6,FALSE)</f>
        <v>#N/A</v>
      </c>
      <c r="E14" s="30"/>
      <c r="F14" s="21" t="e">
        <f>VLOOKUP(B14,'Trips&amp;Operators'!$C$2:$E$9912,3,FALSE)</f>
        <v>#N/A</v>
      </c>
      <c r="G14" s="21" t="e">
        <f>VLOOKUP(B14,'Trips&amp;Operators'!$C$1:$F$9912,4,FALSE)</f>
        <v>#N/A</v>
      </c>
      <c r="H14" s="29" t="e">
        <f>VLOOKUP(B14,'Trips&amp;Operators'!$C$1:$H$9912,5,FALSE)</f>
        <v>#N/A</v>
      </c>
      <c r="I14" s="191"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4" s="30" t="e">
        <f>VLOOKUP(B14,'Train Runs'!$A$13:$A$100007,1,FALSE)</f>
        <v>#N/A</v>
      </c>
    </row>
    <row r="15" spans="1:10" x14ac:dyDescent="0.25">
      <c r="A15" s="198"/>
      <c r="B15" s="42" t="str">
        <f>A15&amp;"-"&amp;IF(DAY(Variables!$A$2)&lt;10,0,"")&amp;DAY(Variables!$A$2)</f>
        <v>-05</v>
      </c>
      <c r="C15" s="135"/>
      <c r="D15" s="153" t="e">
        <f>VLOOKUP(B15,'Trips&amp;Operators'!$C$1:$H$1072,6,FALSE)</f>
        <v>#N/A</v>
      </c>
      <c r="E15" s="30"/>
      <c r="F15" s="21" t="e">
        <f>VLOOKUP(B15,'Trips&amp;Operators'!$C$2:$E$9912,3,FALSE)</f>
        <v>#N/A</v>
      </c>
      <c r="G15" s="21" t="e">
        <f>VLOOKUP(B15,'Trips&amp;Operators'!$C$1:$F$9912,4,FALSE)</f>
        <v>#N/A</v>
      </c>
      <c r="H15" s="29" t="e">
        <f>VLOOKUP(B15,'Trips&amp;Operators'!$C$1:$H$9912,5,FALSE)</f>
        <v>#N/A</v>
      </c>
      <c r="I15" s="191"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5" s="30" t="e">
        <f>VLOOKUP(B15,'Train Runs'!$A$13:$A$100007,1,FALSE)</f>
        <v>#N/A</v>
      </c>
    </row>
    <row r="16" spans="1:10" x14ac:dyDescent="0.25">
      <c r="A16" s="198"/>
      <c r="B16" s="42" t="str">
        <f>A16&amp;"-"&amp;IF(DAY(Variables!$A$2)&lt;10,0,"")&amp;DAY(Variables!$A$2)</f>
        <v>-05</v>
      </c>
      <c r="C16" s="135"/>
      <c r="D16" s="153" t="e">
        <f>VLOOKUP(B16,'Trips&amp;Operators'!$C$1:$H$1072,6,FALSE)</f>
        <v>#N/A</v>
      </c>
      <c r="E16" s="30"/>
      <c r="F16" s="21" t="e">
        <f>VLOOKUP(B16,'Trips&amp;Operators'!$C$2:$E$9912,3,FALSE)</f>
        <v>#N/A</v>
      </c>
      <c r="G16" s="21" t="e">
        <f>VLOOKUP(B16,'Trips&amp;Operators'!$C$1:$F$9912,4,FALSE)</f>
        <v>#N/A</v>
      </c>
      <c r="H16" s="29" t="e">
        <f>VLOOKUP(B16,'Trips&amp;Operators'!$C$1:$H$9912,5,FALSE)</f>
        <v>#N/A</v>
      </c>
      <c r="I16" s="191"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6" s="30" t="e">
        <f>VLOOKUP(B16,'Train Runs'!$A$13:$A$100007,1,FALSE)</f>
        <v>#N/A</v>
      </c>
    </row>
    <row r="17" spans="1:10" x14ac:dyDescent="0.25">
      <c r="A17" s="198"/>
      <c r="B17" s="42" t="str">
        <f>A17&amp;"-"&amp;IF(DAY(Variables!$A$2)&lt;10,0,"")&amp;DAY(Variables!$A$2)</f>
        <v>-05</v>
      </c>
      <c r="C17" s="135"/>
      <c r="D17" s="153" t="e">
        <f>VLOOKUP(B17,'Trips&amp;Operators'!$C$1:$H$1072,6,FALSE)</f>
        <v>#N/A</v>
      </c>
      <c r="E17" s="30"/>
      <c r="F17" s="21" t="e">
        <f>VLOOKUP(B17,'Trips&amp;Operators'!$C$2:$E$9912,3,FALSE)</f>
        <v>#N/A</v>
      </c>
      <c r="G17" s="21" t="e">
        <f>VLOOKUP(B17,'Trips&amp;Operators'!$C$1:$F$9912,4,FALSE)</f>
        <v>#N/A</v>
      </c>
      <c r="H17" s="29" t="e">
        <f>VLOOKUP(B17,'Trips&amp;Operators'!$C$1:$H$9912,5,FALSE)</f>
        <v>#N/A</v>
      </c>
      <c r="I17" s="191"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7" s="30" t="e">
        <f>VLOOKUP(B17,'Train Runs'!$A$13:$A$100007,1,FALSE)</f>
        <v>#N/A</v>
      </c>
    </row>
    <row r="18" spans="1:10" x14ac:dyDescent="0.25">
      <c r="A18" s="198"/>
      <c r="B18" s="42" t="str">
        <f>A18&amp;"-"&amp;IF(DAY(Variables!$A$2)&lt;10,0,"")&amp;DAY(Variables!$A$2)</f>
        <v>-05</v>
      </c>
      <c r="C18" s="135"/>
      <c r="D18" s="153" t="e">
        <f>VLOOKUP(B18,'Trips&amp;Operators'!$C$1:$H$1072,6,FALSE)</f>
        <v>#N/A</v>
      </c>
      <c r="E18" s="30"/>
      <c r="F18" s="21" t="e">
        <f>VLOOKUP(B18,'Trips&amp;Operators'!$C$2:$E$9912,3,FALSE)</f>
        <v>#N/A</v>
      </c>
      <c r="G18" s="21" t="e">
        <f>VLOOKUP(B18,'Trips&amp;Operators'!$C$1:$F$9912,4,FALSE)</f>
        <v>#N/A</v>
      </c>
      <c r="H18" s="29" t="e">
        <f>VLOOKUP(B18,'Trips&amp;Operators'!$C$1:$H$9912,5,FALSE)</f>
        <v>#N/A</v>
      </c>
      <c r="I18" s="191" t="str">
        <f t="shared" si="0"/>
        <v>https://d0f6bd738d7f1b3e5a7ca70fe4ff75f0.us-east-1.aws.found.io/app/kibana#/discover/Steve-Slow-Train-Analysis-(2080s-and-2083s)?_g=(refreshInterval:(display:Off,pause:!f,section:0,value:0),time:(from:now-7d,mode:quick,to:now))&amp;_a=(columns:!('Locomotive%20ID','Data.Train%20ID','Message%20ID'),filters:!(),index:'emp_*',interval:auto,query:(query_string:(analyze_wildcard:!t,query:%22-05%22)),sort:!(Time.ISO8601,asc))</v>
      </c>
      <c r="J18" s="30" t="e">
        <f>VLOOKUP(B18,'Train Runs'!$A$13:$A$100007,1,FALSE)</f>
        <v>#N/A</v>
      </c>
    </row>
    <row r="19" spans="1:10" x14ac:dyDescent="0.25">
      <c r="A19" s="198"/>
      <c r="B19" s="42"/>
      <c r="C19" s="135"/>
      <c r="D19" s="153"/>
      <c r="E19" s="30"/>
      <c r="F19" s="21"/>
      <c r="G19" s="21"/>
      <c r="H19" s="29"/>
      <c r="I19" s="191"/>
      <c r="J19" s="30"/>
    </row>
    <row r="20" spans="1:10" x14ac:dyDescent="0.25">
      <c r="A20" s="198"/>
      <c r="B20" s="42"/>
      <c r="C20" s="135"/>
      <c r="D20" s="153"/>
      <c r="E20" s="30"/>
      <c r="F20" s="21"/>
      <c r="G20" s="21"/>
      <c r="H20" s="29"/>
      <c r="I20" s="191"/>
      <c r="J20" s="30"/>
    </row>
    <row r="21" spans="1:10" x14ac:dyDescent="0.25">
      <c r="A21" s="198"/>
      <c r="B21" s="42"/>
      <c r="C21" s="135"/>
      <c r="D21" s="153"/>
      <c r="E21" s="30"/>
      <c r="F21" s="21"/>
      <c r="G21" s="21"/>
      <c r="H21" s="29"/>
      <c r="I21" s="191"/>
      <c r="J21" s="30"/>
    </row>
    <row r="22" spans="1:10" x14ac:dyDescent="0.25">
      <c r="A22" s="198"/>
      <c r="B22" s="42"/>
      <c r="C22" s="135"/>
      <c r="D22" s="153"/>
      <c r="E22" s="30"/>
      <c r="F22" s="21"/>
      <c r="G22" s="21"/>
      <c r="H22" s="29"/>
      <c r="I22" s="191"/>
      <c r="J22" s="30"/>
    </row>
    <row r="23" spans="1:10" x14ac:dyDescent="0.25">
      <c r="A23" s="198"/>
      <c r="B23" s="42"/>
      <c r="C23" s="135"/>
      <c r="D23" s="153"/>
      <c r="E23" s="30"/>
      <c r="F23" s="21"/>
      <c r="G23" s="21"/>
      <c r="H23" s="29"/>
      <c r="I23" s="191"/>
      <c r="J23" s="30"/>
    </row>
    <row r="24" spans="1:10" x14ac:dyDescent="0.25">
      <c r="A24" s="198"/>
      <c r="B24" s="42"/>
      <c r="C24" s="135"/>
      <c r="D24" s="153"/>
      <c r="E24" s="30"/>
      <c r="F24" s="21"/>
      <c r="G24" s="21"/>
      <c r="H24" s="29"/>
      <c r="I24" s="191"/>
      <c r="J24" s="30"/>
    </row>
    <row r="25" spans="1:10" x14ac:dyDescent="0.25">
      <c r="A25" s="198"/>
      <c r="B25" s="42"/>
      <c r="C25" s="135"/>
      <c r="D25" s="153"/>
      <c r="E25" s="30"/>
      <c r="F25" s="21"/>
      <c r="G25" s="21"/>
      <c r="H25" s="29"/>
      <c r="I25" s="191"/>
      <c r="J25" s="30"/>
    </row>
    <row r="26" spans="1:10" x14ac:dyDescent="0.25">
      <c r="A26" s="198"/>
      <c r="B26" s="42"/>
      <c r="C26" s="135"/>
      <c r="D26" s="153"/>
      <c r="E26" s="30"/>
      <c r="F26" s="21"/>
      <c r="G26" s="21"/>
      <c r="H26" s="29"/>
      <c r="I26" s="191"/>
      <c r="J26" s="30"/>
    </row>
    <row r="27" spans="1:10" x14ac:dyDescent="0.25">
      <c r="A27" s="198"/>
      <c r="B27" s="42"/>
      <c r="C27" s="135"/>
      <c r="D27" s="153"/>
      <c r="E27" s="30"/>
      <c r="F27" s="21"/>
      <c r="G27" s="21"/>
      <c r="H27" s="29"/>
      <c r="I27" s="191"/>
      <c r="J27" s="30"/>
    </row>
    <row r="28" spans="1:10" x14ac:dyDescent="0.25">
      <c r="A28" s="198"/>
      <c r="B28" s="42"/>
      <c r="C28" s="135"/>
      <c r="D28" s="153"/>
      <c r="E28" s="30"/>
      <c r="F28" s="21"/>
      <c r="G28" s="21"/>
      <c r="H28" s="29"/>
      <c r="I28" s="191"/>
      <c r="J28" s="30"/>
    </row>
    <row r="29" spans="1:10" x14ac:dyDescent="0.25">
      <c r="A29" s="198"/>
      <c r="B29" s="42"/>
      <c r="C29" s="135"/>
      <c r="D29" s="153"/>
      <c r="E29" s="30"/>
      <c r="F29" s="21"/>
      <c r="G29" s="21"/>
      <c r="H29" s="29"/>
      <c r="I29" s="191"/>
      <c r="J29" s="30"/>
    </row>
    <row r="30" spans="1:10" x14ac:dyDescent="0.25">
      <c r="A30" s="198"/>
      <c r="B30" s="42"/>
      <c r="C30" s="135"/>
      <c r="D30" s="153"/>
      <c r="E30" s="30"/>
      <c r="F30" s="21"/>
      <c r="G30" s="21"/>
      <c r="H30" s="29"/>
      <c r="I30" s="191"/>
      <c r="J30" s="30"/>
    </row>
    <row r="31" spans="1:10" x14ac:dyDescent="0.25">
      <c r="A31" s="198"/>
      <c r="B31" s="42"/>
      <c r="C31" s="135"/>
      <c r="D31" s="153"/>
      <c r="E31" s="30"/>
      <c r="F31" s="21"/>
      <c r="G31" s="21"/>
      <c r="H31" s="29"/>
      <c r="I31" s="191"/>
      <c r="J31" s="30"/>
    </row>
    <row r="32" spans="1:10" x14ac:dyDescent="0.25">
      <c r="A32" s="198"/>
      <c r="B32" s="42"/>
      <c r="C32" s="135"/>
      <c r="D32" s="153"/>
      <c r="E32" s="30"/>
      <c r="F32" s="21"/>
      <c r="G32" s="21"/>
      <c r="H32" s="29"/>
      <c r="I32" s="191"/>
      <c r="J32" s="30"/>
    </row>
    <row r="33" spans="1:10" x14ac:dyDescent="0.25">
      <c r="A33" s="198"/>
      <c r="B33" s="42"/>
      <c r="C33" s="135"/>
      <c r="D33" s="153"/>
      <c r="E33" s="30"/>
      <c r="F33" s="21"/>
      <c r="G33" s="21"/>
      <c r="H33" s="29"/>
      <c r="I33" s="191"/>
      <c r="J33" s="30"/>
    </row>
    <row r="34" spans="1:10" x14ac:dyDescent="0.25">
      <c r="A34" s="198"/>
      <c r="B34" s="42"/>
      <c r="C34" s="135"/>
      <c r="D34" s="153"/>
      <c r="E34" s="30"/>
      <c r="F34" s="21"/>
      <c r="G34" s="21"/>
      <c r="H34" s="29"/>
      <c r="I34" s="191"/>
      <c r="J34" s="30"/>
    </row>
    <row r="35" spans="1:10" x14ac:dyDescent="0.25">
      <c r="A35" s="198"/>
      <c r="B35" s="42"/>
      <c r="C35" s="135"/>
      <c r="D35" s="153"/>
      <c r="E35" s="30"/>
      <c r="F35" s="21"/>
      <c r="G35" s="21"/>
      <c r="H35" s="29"/>
      <c r="I35" s="191"/>
      <c r="J35" s="30"/>
    </row>
    <row r="36" spans="1:10" x14ac:dyDescent="0.25">
      <c r="A36" s="198"/>
      <c r="B36" s="42"/>
      <c r="C36" s="135"/>
      <c r="D36" s="153"/>
      <c r="E36" s="30"/>
      <c r="F36" s="21"/>
      <c r="G36" s="21"/>
      <c r="H36" s="29"/>
      <c r="I36" s="191"/>
      <c r="J36" s="30"/>
    </row>
    <row r="37" spans="1:10" x14ac:dyDescent="0.25">
      <c r="A37" s="198"/>
      <c r="B37" s="42"/>
      <c r="C37" s="135"/>
      <c r="D37" s="153"/>
      <c r="E37" s="30"/>
      <c r="F37" s="21"/>
      <c r="G37" s="21"/>
      <c r="H37" s="29"/>
      <c r="I37" s="191"/>
      <c r="J37" s="30"/>
    </row>
    <row r="38" spans="1:10" x14ac:dyDescent="0.25">
      <c r="A38" s="198"/>
      <c r="B38" s="42"/>
      <c r="C38" s="135"/>
      <c r="D38" s="153"/>
      <c r="E38" s="30"/>
      <c r="F38" s="21"/>
      <c r="G38" s="21"/>
      <c r="H38" s="29"/>
      <c r="I38" s="191"/>
      <c r="J38" s="30"/>
    </row>
    <row r="39" spans="1:10" x14ac:dyDescent="0.25">
      <c r="A39" s="198"/>
      <c r="B39" s="42"/>
      <c r="C39" s="135"/>
      <c r="D39" s="153"/>
      <c r="E39" s="30"/>
      <c r="F39" s="21"/>
      <c r="G39" s="21"/>
      <c r="H39" s="29"/>
      <c r="I39" s="191"/>
      <c r="J39" s="30"/>
    </row>
    <row r="40" spans="1:10" x14ac:dyDescent="0.25">
      <c r="A40" s="198"/>
      <c r="B40" s="42"/>
      <c r="C40" s="135"/>
      <c r="D40" s="153"/>
      <c r="E40" s="30"/>
      <c r="F40" s="21"/>
      <c r="G40" s="21"/>
      <c r="H40" s="29"/>
      <c r="I40" s="191"/>
      <c r="J40" s="30"/>
    </row>
    <row r="41" spans="1:10" x14ac:dyDescent="0.25">
      <c r="A41" s="198"/>
      <c r="B41" s="42"/>
      <c r="C41" s="135"/>
      <c r="D41" s="153"/>
      <c r="E41" s="30"/>
      <c r="F41" s="21"/>
      <c r="G41" s="21"/>
      <c r="H41" s="29"/>
      <c r="I41" s="191"/>
      <c r="J41" s="30"/>
    </row>
    <row r="42" spans="1:10" x14ac:dyDescent="0.25">
      <c r="A42" s="198"/>
      <c r="B42" s="42"/>
      <c r="C42" s="135"/>
      <c r="D42" s="153"/>
      <c r="E42" s="30"/>
      <c r="F42" s="21"/>
      <c r="G42" s="21"/>
      <c r="H42" s="29"/>
      <c r="I42" s="191"/>
      <c r="J42" s="30"/>
    </row>
    <row r="43" spans="1:10" x14ac:dyDescent="0.25">
      <c r="A43" s="198"/>
      <c r="B43" s="42"/>
      <c r="C43" s="135"/>
      <c r="D43" s="153"/>
      <c r="E43" s="30"/>
      <c r="F43" s="21"/>
      <c r="G43" s="21"/>
      <c r="H43" s="29"/>
      <c r="I43" s="191"/>
      <c r="J43" s="30"/>
    </row>
    <row r="44" spans="1:10" x14ac:dyDescent="0.25">
      <c r="A44" s="198"/>
      <c r="B44" s="42"/>
      <c r="C44" s="135"/>
      <c r="D44" s="153"/>
      <c r="E44" s="30"/>
      <c r="F44" s="21"/>
      <c r="G44" s="21"/>
      <c r="H44" s="29"/>
      <c r="I44" s="191"/>
      <c r="J44" s="30"/>
    </row>
    <row r="45" spans="1:10" x14ac:dyDescent="0.25">
      <c r="A45" s="198"/>
      <c r="B45" s="42"/>
      <c r="C45" s="135"/>
      <c r="D45" s="153"/>
      <c r="E45" s="30"/>
      <c r="F45" s="21"/>
      <c r="G45" s="21"/>
      <c r="H45" s="29"/>
      <c r="I45" s="191"/>
      <c r="J45" s="30"/>
    </row>
    <row r="46" spans="1:10" x14ac:dyDescent="0.25">
      <c r="A46" s="198"/>
      <c r="B46" s="42"/>
      <c r="C46" s="135"/>
      <c r="D46" s="153"/>
      <c r="E46" s="30"/>
      <c r="F46" s="21"/>
      <c r="G46" s="21"/>
      <c r="H46" s="29"/>
      <c r="I46" s="191"/>
      <c r="J46" s="30"/>
    </row>
    <row r="47" spans="1:10" x14ac:dyDescent="0.25">
      <c r="A47" s="198"/>
      <c r="B47" s="42"/>
      <c r="C47" s="135"/>
      <c r="D47" s="153"/>
      <c r="E47" s="30"/>
      <c r="F47" s="21"/>
      <c r="G47" s="21"/>
      <c r="H47" s="29"/>
      <c r="I47" s="191"/>
      <c r="J47" s="30"/>
    </row>
    <row r="48" spans="1:10" x14ac:dyDescent="0.25">
      <c r="A48" s="198"/>
      <c r="B48" s="42"/>
      <c r="C48" s="135"/>
      <c r="D48" s="153"/>
      <c r="E48" s="30"/>
      <c r="F48" s="21"/>
      <c r="G48" s="21"/>
      <c r="H48" s="29"/>
      <c r="I48" s="191"/>
      <c r="J48" s="30"/>
    </row>
    <row r="49" spans="1:10" x14ac:dyDescent="0.25">
      <c r="A49" s="198"/>
      <c r="B49" s="42"/>
      <c r="C49" s="135"/>
      <c r="D49" s="153"/>
      <c r="E49" s="30"/>
      <c r="F49" s="21"/>
      <c r="G49" s="21"/>
      <c r="H49" s="29"/>
      <c r="I49" s="191"/>
      <c r="J49" s="30"/>
    </row>
    <row r="50" spans="1:10" x14ac:dyDescent="0.25">
      <c r="A50" s="198"/>
      <c r="B50" s="42"/>
      <c r="C50" s="135"/>
      <c r="D50" s="153"/>
      <c r="E50" s="30"/>
      <c r="F50" s="21"/>
      <c r="G50" s="21"/>
      <c r="H50" s="29"/>
      <c r="I50" s="191"/>
      <c r="J50" s="30"/>
    </row>
    <row r="51" spans="1:10" x14ac:dyDescent="0.25">
      <c r="A51" s="198"/>
      <c r="B51" s="42"/>
      <c r="C51" s="135"/>
      <c r="D51" s="153"/>
      <c r="E51" s="30"/>
      <c r="F51" s="21"/>
      <c r="G51" s="21"/>
      <c r="H51" s="29"/>
      <c r="I51" s="191"/>
      <c r="J51" s="30"/>
    </row>
    <row r="52" spans="1:10" x14ac:dyDescent="0.25">
      <c r="A52" s="198"/>
      <c r="B52" s="42"/>
      <c r="C52" s="135"/>
      <c r="D52" s="153"/>
      <c r="E52" s="30"/>
      <c r="F52" s="21"/>
      <c r="G52" s="21"/>
      <c r="H52" s="29"/>
      <c r="I52" s="191"/>
      <c r="J52" s="30"/>
    </row>
    <row r="53" spans="1:10" x14ac:dyDescent="0.25">
      <c r="A53" s="198"/>
      <c r="B53" s="42"/>
      <c r="C53" s="135"/>
      <c r="D53" s="153"/>
      <c r="E53" s="30"/>
      <c r="F53" s="21"/>
      <c r="G53" s="21"/>
      <c r="H53" s="29"/>
      <c r="I53" s="191"/>
      <c r="J53" s="30"/>
    </row>
    <row r="54" spans="1:10" x14ac:dyDescent="0.25">
      <c r="A54" s="198"/>
      <c r="B54" s="42"/>
      <c r="C54" s="135"/>
      <c r="D54" s="153"/>
      <c r="E54" s="30"/>
      <c r="F54" s="21"/>
      <c r="G54" s="21"/>
      <c r="H54" s="29"/>
      <c r="I54" s="191"/>
      <c r="J54" s="30"/>
    </row>
    <row r="55" spans="1:10" x14ac:dyDescent="0.25">
      <c r="A55" s="198"/>
      <c r="B55" s="42"/>
      <c r="C55" s="135"/>
      <c r="D55" s="153"/>
      <c r="E55" s="30"/>
      <c r="F55" s="21"/>
      <c r="G55" s="21"/>
      <c r="H55" s="29"/>
      <c r="I55" s="191"/>
      <c r="J55" s="30"/>
    </row>
    <row r="56" spans="1:10" x14ac:dyDescent="0.25">
      <c r="A56" s="198"/>
      <c r="B56" s="42"/>
      <c r="C56" s="135"/>
      <c r="D56" s="153"/>
      <c r="E56" s="30"/>
      <c r="F56" s="21"/>
      <c r="G56" s="21"/>
      <c r="H56" s="29"/>
      <c r="I56" s="191"/>
      <c r="J56" s="30"/>
    </row>
    <row r="57" spans="1:10" x14ac:dyDescent="0.25">
      <c r="A57" s="198"/>
      <c r="B57" s="42"/>
      <c r="C57" s="135"/>
      <c r="D57" s="153"/>
      <c r="E57" s="30"/>
      <c r="F57" s="21"/>
      <c r="G57" s="21"/>
      <c r="H57" s="29"/>
      <c r="I57" s="191"/>
      <c r="J57" s="30"/>
    </row>
    <row r="58" spans="1:10" x14ac:dyDescent="0.25">
      <c r="A58" s="198"/>
      <c r="B58" s="42"/>
      <c r="C58" s="135"/>
      <c r="D58" s="153"/>
      <c r="E58" s="30"/>
      <c r="F58" s="21"/>
      <c r="G58" s="21"/>
      <c r="H58" s="29"/>
      <c r="I58" s="191"/>
      <c r="J58" s="30"/>
    </row>
    <row r="59" spans="1:10" x14ac:dyDescent="0.25">
      <c r="A59" s="198"/>
      <c r="B59" s="42"/>
      <c r="C59" s="135"/>
      <c r="D59" s="153"/>
      <c r="E59" s="30"/>
      <c r="F59" s="21"/>
      <c r="G59" s="21"/>
      <c r="H59" s="29"/>
      <c r="I59" s="191"/>
      <c r="J59" s="30"/>
    </row>
    <row r="60" spans="1:10" x14ac:dyDescent="0.25">
      <c r="A60" s="198"/>
      <c r="B60" s="42"/>
      <c r="C60" s="135"/>
      <c r="D60" s="153"/>
      <c r="E60" s="30"/>
      <c r="F60" s="21"/>
      <c r="G60" s="21"/>
      <c r="H60" s="29"/>
      <c r="I60" s="191"/>
      <c r="J60" s="30"/>
    </row>
    <row r="61" spans="1:10" x14ac:dyDescent="0.25">
      <c r="A61" s="198"/>
      <c r="B61" s="42"/>
      <c r="C61" s="135"/>
      <c r="D61" s="153"/>
      <c r="E61" s="30"/>
      <c r="F61" s="21"/>
      <c r="G61" s="21"/>
      <c r="H61" s="29"/>
      <c r="I61" s="191"/>
      <c r="J61" s="30"/>
    </row>
    <row r="62" spans="1:10" x14ac:dyDescent="0.25">
      <c r="A62" s="198"/>
      <c r="B62" s="42"/>
      <c r="C62" s="135"/>
      <c r="D62" s="153"/>
      <c r="E62" s="30"/>
      <c r="F62" s="21"/>
      <c r="G62" s="21"/>
      <c r="H62" s="29"/>
      <c r="I62" s="191"/>
      <c r="J62" s="30"/>
    </row>
    <row r="63" spans="1:10" x14ac:dyDescent="0.25">
      <c r="A63" s="198"/>
      <c r="B63" s="42"/>
      <c r="C63" s="135"/>
      <c r="D63" s="153"/>
      <c r="E63" s="30"/>
      <c r="F63" s="21"/>
      <c r="G63" s="21"/>
      <c r="H63" s="29"/>
      <c r="I63" s="191"/>
      <c r="J63" s="30"/>
    </row>
    <row r="64" spans="1:10" x14ac:dyDescent="0.25">
      <c r="A64" s="198"/>
      <c r="B64" s="42"/>
      <c r="C64" s="135"/>
      <c r="D64" s="153"/>
      <c r="E64" s="30"/>
      <c r="F64" s="21"/>
      <c r="G64" s="21"/>
      <c r="H64" s="29"/>
      <c r="I64" s="191"/>
      <c r="J64" s="30"/>
    </row>
    <row r="65" spans="1:10" x14ac:dyDescent="0.25">
      <c r="A65" s="198"/>
      <c r="B65" s="42"/>
      <c r="C65" s="135"/>
      <c r="D65" s="153"/>
      <c r="E65" s="30"/>
      <c r="F65" s="21"/>
      <c r="G65" s="21"/>
      <c r="H65" s="29"/>
      <c r="I65" s="191"/>
      <c r="J65" s="30"/>
    </row>
    <row r="66" spans="1:10" x14ac:dyDescent="0.25">
      <c r="A66" s="198"/>
      <c r="B66" s="42"/>
      <c r="C66" s="135"/>
      <c r="D66" s="153"/>
      <c r="E66" s="30"/>
      <c r="F66" s="21"/>
      <c r="G66" s="21"/>
      <c r="H66" s="29"/>
      <c r="I66" s="191"/>
      <c r="J66" s="30"/>
    </row>
    <row r="67" spans="1:10" x14ac:dyDescent="0.25">
      <c r="A67" s="198"/>
      <c r="B67" s="42"/>
      <c r="C67" s="135"/>
      <c r="D67" s="153"/>
      <c r="E67" s="30"/>
      <c r="F67" s="21"/>
      <c r="G67" s="21"/>
      <c r="H67" s="29"/>
      <c r="I67" s="191"/>
      <c r="J67" s="30"/>
    </row>
    <row r="68" spans="1:10" x14ac:dyDescent="0.25">
      <c r="A68" s="198"/>
      <c r="B68" s="42"/>
      <c r="C68" s="135"/>
      <c r="D68" s="153"/>
      <c r="E68" s="30"/>
      <c r="F68" s="21"/>
      <c r="G68" s="21"/>
      <c r="H68" s="29"/>
      <c r="I68" s="191"/>
      <c r="J68" s="30"/>
    </row>
    <row r="69" spans="1:10" x14ac:dyDescent="0.25">
      <c r="A69" s="198"/>
      <c r="B69" s="42"/>
      <c r="C69" s="135"/>
      <c r="D69" s="153"/>
      <c r="E69" s="30"/>
      <c r="F69" s="21"/>
      <c r="G69" s="21"/>
      <c r="H69" s="29"/>
      <c r="I69" s="191"/>
      <c r="J69" s="30"/>
    </row>
    <row r="70" spans="1:10" x14ac:dyDescent="0.25">
      <c r="A70" s="198"/>
      <c r="B70" s="42"/>
      <c r="C70" s="135"/>
      <c r="D70" s="153"/>
      <c r="E70" s="30"/>
      <c r="F70" s="21"/>
      <c r="G70" s="21"/>
      <c r="H70" s="29"/>
      <c r="I70" s="191"/>
      <c r="J70" s="30"/>
    </row>
    <row r="71" spans="1:10" x14ac:dyDescent="0.25">
      <c r="A71" s="198"/>
      <c r="B71" s="42"/>
      <c r="C71" s="135"/>
      <c r="D71" s="153"/>
      <c r="E71" s="30"/>
      <c r="F71" s="21"/>
      <c r="G71" s="21"/>
      <c r="H71" s="29"/>
      <c r="I71" s="191"/>
      <c r="J71" s="30"/>
    </row>
    <row r="72" spans="1:10" x14ac:dyDescent="0.25">
      <c r="A72" s="198"/>
      <c r="B72" s="42"/>
      <c r="C72" s="135"/>
      <c r="D72" s="153"/>
      <c r="E72" s="30"/>
      <c r="F72" s="21"/>
      <c r="G72" s="21"/>
      <c r="H72" s="29"/>
      <c r="I72" s="191"/>
      <c r="J72" s="30"/>
    </row>
    <row r="73" spans="1:10" x14ac:dyDescent="0.25">
      <c r="A73" s="198"/>
      <c r="B73" s="42"/>
      <c r="C73" s="135"/>
      <c r="D73" s="153"/>
      <c r="E73" s="30"/>
      <c r="F73" s="21"/>
      <c r="G73" s="21"/>
      <c r="H73" s="29"/>
      <c r="I73" s="191"/>
      <c r="J73" s="30"/>
    </row>
    <row r="74" spans="1:10" x14ac:dyDescent="0.25">
      <c r="A74" s="198"/>
      <c r="B74" s="42"/>
      <c r="C74" s="135"/>
      <c r="D74" s="153"/>
      <c r="E74" s="30"/>
      <c r="F74" s="21"/>
      <c r="G74" s="21"/>
      <c r="H74" s="29"/>
      <c r="I74" s="191"/>
      <c r="J74" s="30"/>
    </row>
  </sheetData>
  <autoFilter ref="A2:J26"/>
  <sortState ref="A3:J18">
    <sortCondition ref="A3:A18"/>
  </sortState>
  <mergeCells count="1">
    <mergeCell ref="B1:F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sheetPr>
  <dimension ref="A1:H276"/>
  <sheetViews>
    <sheetView workbookViewId="0">
      <selection sqref="A1:F269"/>
    </sheetView>
  </sheetViews>
  <sheetFormatPr defaultRowHeight="15" x14ac:dyDescent="0.25"/>
  <cols>
    <col min="1" max="1" width="18.28515625" style="8" bestFit="1" customWidth="1"/>
    <col min="2" max="2" width="17" bestFit="1" customWidth="1"/>
    <col min="3" max="3" width="10.140625" bestFit="1" customWidth="1"/>
    <col min="4" max="4" width="9.28515625" style="138" customWidth="1"/>
    <col min="5" max="5" width="19.7109375" bestFit="1" customWidth="1"/>
    <col min="6" max="6" width="17" style="20" bestFit="1" customWidth="1"/>
    <col min="7" max="7" width="18.28515625" style="8" bestFit="1" customWidth="1"/>
  </cols>
  <sheetData>
    <row r="1" spans="1:8" s="20" customFormat="1" x14ac:dyDescent="0.25">
      <c r="A1" s="8" t="s">
        <v>168</v>
      </c>
      <c r="B1" s="20" t="s">
        <v>169</v>
      </c>
      <c r="C1" s="20" t="s">
        <v>0</v>
      </c>
      <c r="D1" s="138" t="s">
        <v>170</v>
      </c>
      <c r="E1" s="20" t="s">
        <v>171</v>
      </c>
      <c r="F1" s="20" t="s">
        <v>188</v>
      </c>
      <c r="G1" s="8" t="s">
        <v>187</v>
      </c>
      <c r="H1" s="20" t="s">
        <v>60</v>
      </c>
    </row>
    <row r="2" spans="1:8" x14ac:dyDescent="0.25">
      <c r="A2" s="8">
        <v>43013.038958333331</v>
      </c>
      <c r="B2" s="20" t="s">
        <v>508</v>
      </c>
      <c r="C2" s="20" t="s">
        <v>524</v>
      </c>
      <c r="D2" s="138">
        <v>890000</v>
      </c>
      <c r="E2" s="20" t="s">
        <v>362</v>
      </c>
      <c r="F2" s="20" t="s">
        <v>363</v>
      </c>
      <c r="G2" s="8" t="str">
        <f>E2&amp;" "&amp;F2</f>
        <v>LOZA FIDEL</v>
      </c>
      <c r="H2" t="str">
        <f>MID(B2,13,4)</f>
        <v>4065</v>
      </c>
    </row>
    <row r="3" spans="1:8" x14ac:dyDescent="0.25">
      <c r="A3" s="8">
        <v>43013.047430555554</v>
      </c>
      <c r="B3" s="20" t="s">
        <v>392</v>
      </c>
      <c r="C3" s="20" t="s">
        <v>525</v>
      </c>
      <c r="D3" s="138">
        <v>2680000</v>
      </c>
      <c r="E3" s="20" t="s">
        <v>368</v>
      </c>
      <c r="F3" s="20" t="s">
        <v>369</v>
      </c>
      <c r="G3" s="8" t="str">
        <f t="shared" ref="G3:G66" si="0">E3&amp;" "&amp;F3</f>
        <v>DUNCAN SHEILA</v>
      </c>
      <c r="H3" s="20" t="str">
        <f t="shared" ref="H3:H66" si="1">MID(B3,13,4)</f>
        <v>4040</v>
      </c>
    </row>
    <row r="4" spans="1:8" x14ac:dyDescent="0.25">
      <c r="A4" s="8">
        <v>43013.056331018517</v>
      </c>
      <c r="B4" s="20" t="s">
        <v>393</v>
      </c>
      <c r="C4" s="20" t="s">
        <v>526</v>
      </c>
      <c r="D4" s="138">
        <v>2540000</v>
      </c>
      <c r="E4" s="20" t="s">
        <v>522</v>
      </c>
      <c r="F4" s="20" t="s">
        <v>523</v>
      </c>
      <c r="G4" s="8" t="str">
        <f t="shared" si="0"/>
        <v>MCREYNOLDS KYLE</v>
      </c>
      <c r="H4" s="20" t="str">
        <f t="shared" si="1"/>
        <v>4063</v>
      </c>
    </row>
    <row r="5" spans="1:8" x14ac:dyDescent="0.25">
      <c r="A5" s="8">
        <v>43013.06894675926</v>
      </c>
      <c r="B5" s="20" t="s">
        <v>501</v>
      </c>
      <c r="C5" s="20" t="s">
        <v>509</v>
      </c>
      <c r="D5" s="138">
        <v>890000</v>
      </c>
      <c r="E5" s="20" t="s">
        <v>362</v>
      </c>
      <c r="F5" s="20" t="s">
        <v>363</v>
      </c>
      <c r="G5" s="8" t="str">
        <f t="shared" si="0"/>
        <v>LOZA FIDEL</v>
      </c>
      <c r="H5" s="20" t="str">
        <f t="shared" si="1"/>
        <v>4066</v>
      </c>
    </row>
    <row r="6" spans="1:8" x14ac:dyDescent="0.25">
      <c r="A6" s="8">
        <v>43013.090011574073</v>
      </c>
      <c r="B6" s="20" t="s">
        <v>395</v>
      </c>
      <c r="C6" s="20" t="s">
        <v>527</v>
      </c>
      <c r="D6" s="138">
        <v>2540000</v>
      </c>
      <c r="E6" s="20" t="s">
        <v>522</v>
      </c>
      <c r="F6" s="20" t="s">
        <v>523</v>
      </c>
      <c r="G6" s="8" t="str">
        <f t="shared" si="0"/>
        <v>MCREYNOLDS KYLE</v>
      </c>
      <c r="H6" s="20" t="str">
        <f t="shared" si="1"/>
        <v>4064</v>
      </c>
    </row>
    <row r="7" spans="1:8" x14ac:dyDescent="0.25">
      <c r="A7" s="8">
        <v>43013.10837962963</v>
      </c>
      <c r="B7" s="20" t="s">
        <v>420</v>
      </c>
      <c r="C7" s="20" t="s">
        <v>528</v>
      </c>
      <c r="D7" s="138">
        <v>900000</v>
      </c>
      <c r="E7" s="20" t="s">
        <v>396</v>
      </c>
      <c r="F7" s="20" t="s">
        <v>397</v>
      </c>
      <c r="G7" s="8" t="str">
        <f t="shared" si="0"/>
        <v>ROCHA YAOTL</v>
      </c>
      <c r="H7" s="20" t="str">
        <f t="shared" si="1"/>
        <v>4055</v>
      </c>
    </row>
    <row r="8" spans="1:8" x14ac:dyDescent="0.25">
      <c r="A8" s="8">
        <v>43013.109976851854</v>
      </c>
      <c r="B8" s="20" t="s">
        <v>420</v>
      </c>
      <c r="C8" s="20" t="s">
        <v>528</v>
      </c>
      <c r="D8" s="138">
        <v>900000</v>
      </c>
      <c r="E8" s="20" t="s">
        <v>396</v>
      </c>
      <c r="F8" s="20" t="s">
        <v>397</v>
      </c>
      <c r="G8" s="8" t="str">
        <f t="shared" si="0"/>
        <v>ROCHA YAOTL</v>
      </c>
      <c r="H8" s="20" t="str">
        <f t="shared" si="1"/>
        <v>4055</v>
      </c>
    </row>
    <row r="9" spans="1:8" ht="15.75" thickBot="1" x14ac:dyDescent="0.3">
      <c r="A9" s="24">
        <v>43013.111643518518</v>
      </c>
      <c r="B9" s="20" t="s">
        <v>419</v>
      </c>
      <c r="C9" s="20" t="s">
        <v>529</v>
      </c>
      <c r="D9" s="138">
        <v>1830000</v>
      </c>
      <c r="E9" s="20" t="s">
        <v>383</v>
      </c>
      <c r="F9" s="20" t="s">
        <v>384</v>
      </c>
      <c r="G9" s="8" t="str">
        <f t="shared" si="0"/>
        <v>YORK EDGAR</v>
      </c>
      <c r="H9" s="20" t="str">
        <f t="shared" si="1"/>
        <v>4061</v>
      </c>
    </row>
    <row r="10" spans="1:8" x14ac:dyDescent="0.25">
      <c r="A10" s="8">
        <v>43013.112997685188</v>
      </c>
      <c r="B10" s="20" t="s">
        <v>419</v>
      </c>
      <c r="C10" s="20" t="s">
        <v>529</v>
      </c>
      <c r="D10" s="138">
        <v>1830000</v>
      </c>
      <c r="E10" s="20" t="s">
        <v>383</v>
      </c>
      <c r="F10" s="20" t="s">
        <v>384</v>
      </c>
      <c r="G10" s="8" t="str">
        <f t="shared" si="0"/>
        <v>YORK EDGAR</v>
      </c>
      <c r="H10" s="20" t="str">
        <f t="shared" si="1"/>
        <v>4061</v>
      </c>
    </row>
    <row r="11" spans="1:8" x14ac:dyDescent="0.25">
      <c r="A11" s="8">
        <v>43013.113483796296</v>
      </c>
      <c r="B11" s="20" t="s">
        <v>419</v>
      </c>
      <c r="C11" s="20" t="s">
        <v>529</v>
      </c>
      <c r="D11" s="138">
        <v>1830000</v>
      </c>
      <c r="E11" s="20" t="s">
        <v>383</v>
      </c>
      <c r="F11" s="20" t="s">
        <v>384</v>
      </c>
      <c r="G11" s="8" t="str">
        <f t="shared" si="0"/>
        <v>YORK EDGAR</v>
      </c>
      <c r="H11" s="20" t="str">
        <f t="shared" si="1"/>
        <v>4061</v>
      </c>
    </row>
    <row r="12" spans="1:8" x14ac:dyDescent="0.25">
      <c r="A12" s="8">
        <v>43013.126134259262</v>
      </c>
      <c r="B12" s="20" t="s">
        <v>618</v>
      </c>
      <c r="C12" s="20" t="s">
        <v>590</v>
      </c>
      <c r="D12" s="138">
        <v>1090000</v>
      </c>
      <c r="E12" s="20" t="s">
        <v>441</v>
      </c>
      <c r="F12" s="20" t="s">
        <v>431</v>
      </c>
      <c r="G12" s="8" t="str">
        <f t="shared" si="0"/>
        <v>SPECTOR MICHAEL</v>
      </c>
      <c r="H12" s="20" t="str">
        <f t="shared" si="1"/>
        <v>4062</v>
      </c>
    </row>
    <row r="13" spans="1:8" x14ac:dyDescent="0.25">
      <c r="A13" s="8">
        <v>43013.127337962964</v>
      </c>
      <c r="B13" s="20" t="s">
        <v>619</v>
      </c>
      <c r="C13" s="20" t="s">
        <v>620</v>
      </c>
      <c r="D13" s="138">
        <v>1830000</v>
      </c>
      <c r="E13" s="20" t="s">
        <v>383</v>
      </c>
      <c r="F13" s="20" t="s">
        <v>384</v>
      </c>
      <c r="G13" s="8" t="str">
        <f t="shared" si="0"/>
        <v>YORK EDGAR</v>
      </c>
      <c r="H13" s="20" t="str">
        <f t="shared" si="1"/>
        <v>4044</v>
      </c>
    </row>
    <row r="14" spans="1:8" x14ac:dyDescent="0.25">
      <c r="A14" s="8">
        <v>43013.139803240738</v>
      </c>
      <c r="B14" s="20" t="s">
        <v>419</v>
      </c>
      <c r="C14" s="20" t="s">
        <v>621</v>
      </c>
      <c r="D14" s="138">
        <v>1090000</v>
      </c>
      <c r="E14" s="20" t="s">
        <v>441</v>
      </c>
      <c r="F14" s="20" t="s">
        <v>431</v>
      </c>
      <c r="G14" s="8" t="str">
        <f t="shared" si="0"/>
        <v>SPECTOR MICHAEL</v>
      </c>
      <c r="H14" s="20" t="str">
        <f t="shared" si="1"/>
        <v>4061</v>
      </c>
    </row>
    <row r="15" spans="1:8" x14ac:dyDescent="0.25">
      <c r="A15" s="8">
        <v>43013.142106481479</v>
      </c>
      <c r="B15" s="20" t="s">
        <v>470</v>
      </c>
      <c r="C15" s="20" t="s">
        <v>622</v>
      </c>
      <c r="D15" s="138">
        <v>2010000</v>
      </c>
      <c r="E15" s="20" t="s">
        <v>623</v>
      </c>
      <c r="F15" s="20" t="s">
        <v>624</v>
      </c>
      <c r="G15" s="8" t="str">
        <f t="shared" si="0"/>
        <v>MAELZER KURT</v>
      </c>
      <c r="H15" s="20" t="str">
        <f t="shared" si="1"/>
        <v>4007</v>
      </c>
    </row>
    <row r="16" spans="1:8" x14ac:dyDescent="0.25">
      <c r="A16" s="8">
        <v>43013.153344907405</v>
      </c>
      <c r="B16" s="20" t="s">
        <v>432</v>
      </c>
      <c r="C16" s="20" t="s">
        <v>625</v>
      </c>
      <c r="D16" s="138">
        <v>2010000</v>
      </c>
      <c r="E16" s="20" t="s">
        <v>623</v>
      </c>
      <c r="F16" s="20" t="s">
        <v>624</v>
      </c>
      <c r="G16" s="8" t="str">
        <f t="shared" si="0"/>
        <v>MAELZER KURT</v>
      </c>
      <c r="H16" s="20" t="str">
        <f t="shared" si="1"/>
        <v>4008</v>
      </c>
    </row>
    <row r="17" spans="1:8" x14ac:dyDescent="0.25">
      <c r="A17" s="8">
        <v>43013.161226851851</v>
      </c>
      <c r="B17" s="20" t="s">
        <v>600</v>
      </c>
      <c r="C17" s="20" t="s">
        <v>626</v>
      </c>
      <c r="D17" s="138">
        <v>1830000</v>
      </c>
      <c r="E17" s="20" t="s">
        <v>383</v>
      </c>
      <c r="F17" s="20" t="s">
        <v>384</v>
      </c>
      <c r="G17" s="8" t="str">
        <f t="shared" si="0"/>
        <v>YORK EDGAR</v>
      </c>
      <c r="H17" s="20" t="str">
        <f t="shared" si="1"/>
        <v>4043</v>
      </c>
    </row>
    <row r="18" spans="1:8" x14ac:dyDescent="0.25">
      <c r="A18" s="8">
        <v>43013.161944444444</v>
      </c>
      <c r="B18" s="20" t="s">
        <v>511</v>
      </c>
      <c r="C18" s="20" t="s">
        <v>627</v>
      </c>
      <c r="D18" s="138">
        <v>940000</v>
      </c>
      <c r="E18" s="20" t="s">
        <v>442</v>
      </c>
      <c r="F18" s="20" t="s">
        <v>443</v>
      </c>
      <c r="G18" s="8" t="str">
        <f t="shared" si="0"/>
        <v>BONDS REYNALDO</v>
      </c>
      <c r="H18" s="20" t="str">
        <f t="shared" si="1"/>
        <v>4009</v>
      </c>
    </row>
    <row r="19" spans="1:8" x14ac:dyDescent="0.25">
      <c r="A19" s="8">
        <v>43013.169699074075</v>
      </c>
      <c r="B19" s="20" t="s">
        <v>502</v>
      </c>
      <c r="C19" s="20" t="s">
        <v>628</v>
      </c>
      <c r="D19" s="138">
        <v>1100000</v>
      </c>
      <c r="E19" s="20" t="s">
        <v>512</v>
      </c>
      <c r="F19" s="20" t="s">
        <v>513</v>
      </c>
      <c r="G19" s="8" t="str">
        <f t="shared" si="0"/>
        <v>GEBRETEKLE DAGNEW</v>
      </c>
      <c r="H19" s="20" t="str">
        <f t="shared" si="1"/>
        <v>4027</v>
      </c>
    </row>
    <row r="20" spans="1:8" x14ac:dyDescent="0.25">
      <c r="A20" s="8">
        <v>43013.1721875</v>
      </c>
      <c r="B20" s="20" t="s">
        <v>391</v>
      </c>
      <c r="C20" s="20" t="s">
        <v>629</v>
      </c>
      <c r="D20" s="138">
        <v>940000</v>
      </c>
      <c r="E20" s="20" t="s">
        <v>442</v>
      </c>
      <c r="F20" s="20" t="s">
        <v>443</v>
      </c>
      <c r="G20" s="8" t="str">
        <f t="shared" si="0"/>
        <v>BONDS REYNALDO</v>
      </c>
      <c r="H20" s="20" t="str">
        <f t="shared" si="1"/>
        <v>4010</v>
      </c>
    </row>
    <row r="21" spans="1:8" x14ac:dyDescent="0.25">
      <c r="A21" s="8">
        <v>43013.176863425928</v>
      </c>
      <c r="B21" s="20" t="s">
        <v>573</v>
      </c>
      <c r="C21" s="20" t="s">
        <v>574</v>
      </c>
      <c r="D21" s="138">
        <v>3040000</v>
      </c>
      <c r="E21" s="20" t="s">
        <v>630</v>
      </c>
      <c r="F21" s="20" t="s">
        <v>631</v>
      </c>
      <c r="G21" s="8" t="str">
        <f t="shared" si="0"/>
        <v>WILLIAMS DONTE</v>
      </c>
      <c r="H21" s="20" t="str">
        <f t="shared" si="1"/>
        <v>4041</v>
      </c>
    </row>
    <row r="22" spans="1:8" x14ac:dyDescent="0.25">
      <c r="A22" s="26">
        <v>43013.183449074073</v>
      </c>
      <c r="B22" s="20" t="s">
        <v>503</v>
      </c>
      <c r="C22" s="20" t="s">
        <v>632</v>
      </c>
      <c r="D22" s="138">
        <v>1100000</v>
      </c>
      <c r="E22" s="20" t="s">
        <v>512</v>
      </c>
      <c r="F22" s="20" t="s">
        <v>513</v>
      </c>
      <c r="G22" s="8" t="str">
        <f t="shared" si="0"/>
        <v>GEBRETEKLE DAGNEW</v>
      </c>
      <c r="H22" s="20" t="str">
        <f t="shared" si="1"/>
        <v>4028</v>
      </c>
    </row>
    <row r="23" spans="1:8" x14ac:dyDescent="0.25">
      <c r="A23" s="8">
        <v>43013.186782407407</v>
      </c>
      <c r="B23" s="20" t="s">
        <v>470</v>
      </c>
      <c r="C23" s="20" t="s">
        <v>633</v>
      </c>
      <c r="D23" s="138">
        <v>2010000</v>
      </c>
      <c r="E23" s="20" t="s">
        <v>623</v>
      </c>
      <c r="F23" s="20" t="s">
        <v>624</v>
      </c>
      <c r="G23" s="8" t="str">
        <f t="shared" si="0"/>
        <v>MAELZER KURT</v>
      </c>
      <c r="H23" s="20" t="str">
        <f t="shared" si="1"/>
        <v>4007</v>
      </c>
    </row>
    <row r="24" spans="1:8" x14ac:dyDescent="0.25">
      <c r="A24" s="8">
        <v>43013.194560185184</v>
      </c>
      <c r="B24" s="20" t="s">
        <v>634</v>
      </c>
      <c r="C24" s="20" t="s">
        <v>635</v>
      </c>
      <c r="D24" s="138">
        <v>1230000</v>
      </c>
      <c r="E24" s="20" t="s">
        <v>447</v>
      </c>
      <c r="F24" s="20" t="s">
        <v>448</v>
      </c>
      <c r="G24" s="8" t="str">
        <f t="shared" si="0"/>
        <v>YANAI IAN</v>
      </c>
      <c r="H24" s="20" t="str">
        <f t="shared" si="1"/>
        <v>4011</v>
      </c>
    </row>
    <row r="25" spans="1:8" x14ac:dyDescent="0.25">
      <c r="A25" s="8">
        <v>43013.194849537038</v>
      </c>
      <c r="B25" s="20" t="s">
        <v>394</v>
      </c>
      <c r="C25" s="20" t="s">
        <v>636</v>
      </c>
      <c r="D25" s="138">
        <v>3040000</v>
      </c>
      <c r="E25" s="20" t="s">
        <v>630</v>
      </c>
      <c r="F25" s="20" t="s">
        <v>631</v>
      </c>
      <c r="G25" s="8" t="str">
        <f t="shared" si="0"/>
        <v>WILLIAMS DONTE</v>
      </c>
      <c r="H25" s="20" t="str">
        <f t="shared" si="1"/>
        <v>4042</v>
      </c>
    </row>
    <row r="26" spans="1:8" x14ac:dyDescent="0.25">
      <c r="A26" s="8">
        <v>43013.203657407408</v>
      </c>
      <c r="B26" s="20" t="s">
        <v>619</v>
      </c>
      <c r="C26" s="20" t="s">
        <v>637</v>
      </c>
      <c r="D26" s="138">
        <v>1830000</v>
      </c>
      <c r="E26" s="20" t="s">
        <v>383</v>
      </c>
      <c r="F26" s="20" t="s">
        <v>384</v>
      </c>
      <c r="G26" s="8" t="str">
        <f t="shared" si="0"/>
        <v>YORK EDGAR</v>
      </c>
      <c r="H26" s="20" t="str">
        <f t="shared" si="1"/>
        <v>4044</v>
      </c>
    </row>
    <row r="27" spans="1:8" x14ac:dyDescent="0.25">
      <c r="A27" s="8">
        <v>43013.204618055555</v>
      </c>
      <c r="B27" s="20" t="s">
        <v>585</v>
      </c>
      <c r="C27" s="20" t="s">
        <v>638</v>
      </c>
      <c r="D27" s="138">
        <v>1230000</v>
      </c>
      <c r="E27" s="20" t="s">
        <v>447</v>
      </c>
      <c r="F27" s="20" t="s">
        <v>448</v>
      </c>
      <c r="G27" s="8" t="str">
        <f t="shared" si="0"/>
        <v>YANAI IAN</v>
      </c>
      <c r="H27" s="20" t="str">
        <f t="shared" si="1"/>
        <v>4012</v>
      </c>
    </row>
    <row r="28" spans="1:8" x14ac:dyDescent="0.25">
      <c r="A28" s="8">
        <v>43013.205648148149</v>
      </c>
      <c r="B28" s="20" t="s">
        <v>446</v>
      </c>
      <c r="C28" s="20" t="s">
        <v>575</v>
      </c>
      <c r="D28" s="138">
        <v>1990000</v>
      </c>
      <c r="E28" s="20" t="s">
        <v>342</v>
      </c>
      <c r="F28" s="20" t="s">
        <v>510</v>
      </c>
      <c r="G28" s="8" t="str">
        <f t="shared" si="0"/>
        <v>DAVIS WENDY</v>
      </c>
      <c r="H28" s="20" t="str">
        <f t="shared" si="1"/>
        <v>4002</v>
      </c>
    </row>
    <row r="29" spans="1:8" x14ac:dyDescent="0.25">
      <c r="A29" s="8">
        <v>43013.213680555556</v>
      </c>
      <c r="B29" s="20" t="s">
        <v>502</v>
      </c>
      <c r="C29" s="20" t="s">
        <v>639</v>
      </c>
      <c r="D29" s="138">
        <v>1100000</v>
      </c>
      <c r="E29" s="20" t="s">
        <v>512</v>
      </c>
      <c r="F29" s="20" t="s">
        <v>513</v>
      </c>
      <c r="G29" s="8" t="str">
        <f t="shared" si="0"/>
        <v>GEBRETEKLE DAGNEW</v>
      </c>
      <c r="H29" s="20" t="str">
        <f t="shared" si="1"/>
        <v>4027</v>
      </c>
    </row>
    <row r="30" spans="1:8" x14ac:dyDescent="0.25">
      <c r="A30" s="8">
        <v>43013.214328703703</v>
      </c>
      <c r="B30" s="20" t="s">
        <v>511</v>
      </c>
      <c r="C30" s="20" t="s">
        <v>640</v>
      </c>
      <c r="D30" s="138">
        <v>940000</v>
      </c>
      <c r="E30" s="20" t="s">
        <v>442</v>
      </c>
      <c r="F30" s="20" t="s">
        <v>443</v>
      </c>
      <c r="G30" s="8" t="str">
        <f t="shared" si="0"/>
        <v>BONDS REYNALDO</v>
      </c>
      <c r="H30" s="20" t="str">
        <f t="shared" si="1"/>
        <v>4009</v>
      </c>
    </row>
    <row r="31" spans="1:8" x14ac:dyDescent="0.25">
      <c r="A31" s="8">
        <v>43013.217187499999</v>
      </c>
      <c r="B31" s="20" t="s">
        <v>576</v>
      </c>
      <c r="C31" s="20" t="s">
        <v>577</v>
      </c>
      <c r="D31" s="138">
        <v>1990000</v>
      </c>
      <c r="E31" s="20" t="s">
        <v>342</v>
      </c>
      <c r="F31" s="20" t="s">
        <v>510</v>
      </c>
      <c r="G31" s="8" t="str">
        <f t="shared" si="0"/>
        <v>DAVIS WENDY</v>
      </c>
      <c r="H31" s="20" t="str">
        <f t="shared" si="1"/>
        <v>4001</v>
      </c>
    </row>
    <row r="32" spans="1:8" x14ac:dyDescent="0.25">
      <c r="A32" s="8">
        <v>43013.219513888886</v>
      </c>
      <c r="B32" s="20" t="s">
        <v>610</v>
      </c>
      <c r="C32" s="20" t="s">
        <v>641</v>
      </c>
      <c r="D32" s="138">
        <v>2730000</v>
      </c>
      <c r="E32" s="20" t="s">
        <v>444</v>
      </c>
      <c r="F32" s="20" t="s">
        <v>445</v>
      </c>
      <c r="G32" s="8" t="str">
        <f t="shared" si="0"/>
        <v>YANG JAN</v>
      </c>
      <c r="H32" s="20" t="str">
        <f t="shared" si="1"/>
        <v>4015</v>
      </c>
    </row>
    <row r="33" spans="1:8" x14ac:dyDescent="0.25">
      <c r="A33" s="8">
        <v>43013.226574074077</v>
      </c>
      <c r="B33" s="20" t="s">
        <v>432</v>
      </c>
      <c r="C33" s="20" t="s">
        <v>642</v>
      </c>
      <c r="D33" s="138">
        <v>2010000</v>
      </c>
      <c r="E33" s="20" t="s">
        <v>623</v>
      </c>
      <c r="F33" s="20" t="s">
        <v>624</v>
      </c>
      <c r="G33" s="8" t="str">
        <f t="shared" si="0"/>
        <v>MAELZER KURT</v>
      </c>
      <c r="H33" s="20" t="str">
        <f t="shared" si="1"/>
        <v>4008</v>
      </c>
    </row>
    <row r="34" spans="1:8" x14ac:dyDescent="0.25">
      <c r="A34" s="8">
        <v>43013.231400462966</v>
      </c>
      <c r="B34" s="20" t="s">
        <v>605</v>
      </c>
      <c r="C34" s="20" t="s">
        <v>643</v>
      </c>
      <c r="D34" s="138">
        <v>2730000</v>
      </c>
      <c r="E34" s="20" t="s">
        <v>444</v>
      </c>
      <c r="F34" s="20" t="s">
        <v>445</v>
      </c>
      <c r="G34" s="8" t="str">
        <f t="shared" si="0"/>
        <v>YANG JAN</v>
      </c>
      <c r="H34" s="20" t="str">
        <f t="shared" si="1"/>
        <v>4016</v>
      </c>
    </row>
    <row r="35" spans="1:8" x14ac:dyDescent="0.25">
      <c r="A35" s="8">
        <v>43013.23165509259</v>
      </c>
      <c r="B35" s="20" t="s">
        <v>446</v>
      </c>
      <c r="C35" s="20" t="s">
        <v>578</v>
      </c>
      <c r="D35" s="138">
        <v>1990000</v>
      </c>
      <c r="E35" s="20" t="s">
        <v>342</v>
      </c>
      <c r="F35" s="20" t="s">
        <v>510</v>
      </c>
      <c r="G35" s="8" t="str">
        <f t="shared" si="0"/>
        <v>DAVIS WENDY</v>
      </c>
      <c r="H35" s="20" t="str">
        <f t="shared" si="1"/>
        <v>4002</v>
      </c>
    </row>
    <row r="36" spans="1:8" x14ac:dyDescent="0.25">
      <c r="A36" s="8">
        <v>43013.232569444444</v>
      </c>
      <c r="B36" s="20" t="s">
        <v>573</v>
      </c>
      <c r="C36" s="20" t="s">
        <v>644</v>
      </c>
      <c r="D36" s="138">
        <v>3040000</v>
      </c>
      <c r="E36" s="20" t="s">
        <v>630</v>
      </c>
      <c r="F36" s="20" t="s">
        <v>631</v>
      </c>
      <c r="G36" s="8" t="str">
        <f t="shared" si="0"/>
        <v>WILLIAMS DONTE</v>
      </c>
      <c r="H36" s="20" t="str">
        <f t="shared" si="1"/>
        <v>4041</v>
      </c>
    </row>
    <row r="37" spans="1:8" x14ac:dyDescent="0.25">
      <c r="A37" s="8">
        <v>43013.235300925924</v>
      </c>
      <c r="B37" s="20" t="s">
        <v>600</v>
      </c>
      <c r="C37" s="20" t="s">
        <v>645</v>
      </c>
      <c r="D37" s="138">
        <v>1830000</v>
      </c>
      <c r="E37" s="20" t="s">
        <v>383</v>
      </c>
      <c r="F37" s="20" t="s">
        <v>384</v>
      </c>
      <c r="G37" s="8" t="str">
        <f t="shared" si="0"/>
        <v>YORK EDGAR</v>
      </c>
      <c r="H37" s="20" t="str">
        <f t="shared" si="1"/>
        <v>4043</v>
      </c>
    </row>
    <row r="38" spans="1:8" x14ac:dyDescent="0.25">
      <c r="A38" s="8">
        <v>43013.239282407405</v>
      </c>
      <c r="B38" s="20" t="s">
        <v>505</v>
      </c>
      <c r="C38" s="20" t="s">
        <v>646</v>
      </c>
      <c r="D38" s="138">
        <v>3000000</v>
      </c>
      <c r="E38" s="20" t="s">
        <v>471</v>
      </c>
      <c r="F38" s="20" t="s">
        <v>472</v>
      </c>
      <c r="G38" s="8" t="str">
        <f t="shared" si="0"/>
        <v>FORTUNATO FRANK</v>
      </c>
      <c r="H38" s="20" t="str">
        <f t="shared" si="1"/>
        <v>4017</v>
      </c>
    </row>
    <row r="39" spans="1:8" x14ac:dyDescent="0.25">
      <c r="A39" s="8">
        <v>43013.245682870373</v>
      </c>
      <c r="B39" s="20" t="s">
        <v>634</v>
      </c>
      <c r="C39" s="20" t="s">
        <v>647</v>
      </c>
      <c r="D39" s="138">
        <v>1230000</v>
      </c>
      <c r="E39" s="20" t="s">
        <v>447</v>
      </c>
      <c r="F39" s="20" t="s">
        <v>448</v>
      </c>
      <c r="G39" s="8" t="str">
        <f t="shared" si="0"/>
        <v>YANAI IAN</v>
      </c>
      <c r="H39" s="20" t="str">
        <f t="shared" si="1"/>
        <v>4011</v>
      </c>
    </row>
    <row r="40" spans="1:8" x14ac:dyDescent="0.25">
      <c r="A40" s="8">
        <v>43013.247465277775</v>
      </c>
      <c r="B40" s="25" t="s">
        <v>391</v>
      </c>
      <c r="C40" s="20" t="s">
        <v>648</v>
      </c>
      <c r="D40" s="138">
        <v>940000</v>
      </c>
      <c r="E40" s="20" t="s">
        <v>442</v>
      </c>
      <c r="F40" s="20" t="s">
        <v>443</v>
      </c>
      <c r="G40" s="8" t="str">
        <f t="shared" si="0"/>
        <v>BONDS REYNALDO</v>
      </c>
      <c r="H40" s="20" t="str">
        <f t="shared" si="1"/>
        <v>4010</v>
      </c>
    </row>
    <row r="41" spans="1:8" x14ac:dyDescent="0.25">
      <c r="A41" s="8">
        <v>43013.247881944444</v>
      </c>
      <c r="B41" s="20" t="s">
        <v>576</v>
      </c>
      <c r="C41" s="20" t="s">
        <v>579</v>
      </c>
      <c r="D41" s="138">
        <v>1990000</v>
      </c>
      <c r="E41" s="20" t="s">
        <v>342</v>
      </c>
      <c r="F41" s="20" t="s">
        <v>510</v>
      </c>
      <c r="G41" s="8" t="str">
        <f t="shared" si="0"/>
        <v>DAVIS WENDY</v>
      </c>
      <c r="H41" s="20" t="str">
        <f t="shared" si="1"/>
        <v>4001</v>
      </c>
    </row>
    <row r="42" spans="1:8" x14ac:dyDescent="0.25">
      <c r="A42" s="8">
        <v>43013.249131944445</v>
      </c>
      <c r="B42" s="20" t="s">
        <v>504</v>
      </c>
      <c r="C42" s="20" t="s">
        <v>649</v>
      </c>
      <c r="D42" s="138">
        <v>3000000</v>
      </c>
      <c r="E42" s="20" t="s">
        <v>471</v>
      </c>
      <c r="F42" s="20" t="s">
        <v>472</v>
      </c>
      <c r="G42" s="8" t="str">
        <f t="shared" si="0"/>
        <v>FORTUNATO FRANK</v>
      </c>
      <c r="H42" s="20" t="str">
        <f t="shared" si="1"/>
        <v>4018</v>
      </c>
    </row>
    <row r="43" spans="1:8" x14ac:dyDescent="0.25">
      <c r="A43" s="8">
        <v>43013.256192129629</v>
      </c>
      <c r="B43" s="20" t="s">
        <v>503</v>
      </c>
      <c r="C43" s="20" t="s">
        <v>650</v>
      </c>
      <c r="D43" s="138">
        <v>1100000</v>
      </c>
      <c r="E43" s="20" t="s">
        <v>512</v>
      </c>
      <c r="F43" s="20" t="s">
        <v>513</v>
      </c>
      <c r="G43" s="8" t="str">
        <f t="shared" si="0"/>
        <v>GEBRETEKLE DAGNEW</v>
      </c>
      <c r="H43" s="20" t="str">
        <f t="shared" si="1"/>
        <v>4028</v>
      </c>
    </row>
    <row r="44" spans="1:8" x14ac:dyDescent="0.25">
      <c r="A44" s="8">
        <v>43013.264236111114</v>
      </c>
      <c r="B44" s="20" t="s">
        <v>470</v>
      </c>
      <c r="C44" s="20" t="s">
        <v>651</v>
      </c>
      <c r="D44" s="138">
        <v>2010000</v>
      </c>
      <c r="E44" s="20" t="s">
        <v>623</v>
      </c>
      <c r="F44" s="20" t="s">
        <v>624</v>
      </c>
      <c r="G44" s="8" t="str">
        <f t="shared" si="0"/>
        <v>MAELZER KURT</v>
      </c>
      <c r="H44" s="20" t="str">
        <f t="shared" si="1"/>
        <v>4007</v>
      </c>
    </row>
    <row r="45" spans="1:8" x14ac:dyDescent="0.25">
      <c r="A45" s="8">
        <v>43013.268553240741</v>
      </c>
      <c r="B45" s="20" t="s">
        <v>505</v>
      </c>
      <c r="C45" s="20" t="s">
        <v>580</v>
      </c>
      <c r="D45" s="138">
        <v>3000000</v>
      </c>
      <c r="E45" s="20" t="s">
        <v>471</v>
      </c>
      <c r="F45" s="20" t="s">
        <v>472</v>
      </c>
      <c r="G45" s="8" t="str">
        <f t="shared" si="0"/>
        <v>FORTUNATO FRANK</v>
      </c>
      <c r="H45" s="20" t="str">
        <f t="shared" si="1"/>
        <v>4017</v>
      </c>
    </row>
    <row r="46" spans="1:8" x14ac:dyDescent="0.25">
      <c r="A46" s="8">
        <v>43013.268692129626</v>
      </c>
      <c r="B46" s="20" t="s">
        <v>394</v>
      </c>
      <c r="C46" s="20" t="s">
        <v>652</v>
      </c>
      <c r="D46" s="138">
        <v>3040000</v>
      </c>
      <c r="E46" s="20" t="s">
        <v>630</v>
      </c>
      <c r="F46" s="20" t="s">
        <v>631</v>
      </c>
      <c r="G46" s="8" t="str">
        <f t="shared" si="0"/>
        <v>WILLIAMS DONTE</v>
      </c>
      <c r="H46" s="20" t="str">
        <f t="shared" si="1"/>
        <v>4042</v>
      </c>
    </row>
    <row r="47" spans="1:8" x14ac:dyDescent="0.25">
      <c r="A47" s="8">
        <v>43013.270960648151</v>
      </c>
      <c r="B47" s="20" t="s">
        <v>446</v>
      </c>
      <c r="C47" s="20" t="s">
        <v>581</v>
      </c>
      <c r="D47" s="138">
        <v>1990000</v>
      </c>
      <c r="E47" s="20" t="s">
        <v>342</v>
      </c>
      <c r="F47" s="20" t="s">
        <v>510</v>
      </c>
      <c r="G47" s="8" t="str">
        <f t="shared" si="0"/>
        <v>DAVIS WENDY</v>
      </c>
      <c r="H47" s="20" t="str">
        <f t="shared" si="1"/>
        <v>4002</v>
      </c>
    </row>
    <row r="48" spans="1:8" x14ac:dyDescent="0.25">
      <c r="A48" s="8">
        <v>43013.275127314817</v>
      </c>
      <c r="B48" s="20" t="s">
        <v>619</v>
      </c>
      <c r="C48" s="20" t="s">
        <v>653</v>
      </c>
      <c r="D48" s="138">
        <v>1830000</v>
      </c>
      <c r="E48" s="20" t="s">
        <v>383</v>
      </c>
      <c r="F48" s="20" t="s">
        <v>384</v>
      </c>
      <c r="G48" s="8" t="str">
        <f t="shared" si="0"/>
        <v>YORK EDGAR</v>
      </c>
      <c r="H48" s="20" t="str">
        <f t="shared" si="1"/>
        <v>4044</v>
      </c>
    </row>
    <row r="49" spans="1:8" x14ac:dyDescent="0.25">
      <c r="A49" s="8">
        <v>43013.276990740742</v>
      </c>
      <c r="B49" s="20" t="s">
        <v>610</v>
      </c>
      <c r="C49" s="20" t="s">
        <v>654</v>
      </c>
      <c r="D49" s="138">
        <v>2730000</v>
      </c>
      <c r="E49" s="20" t="s">
        <v>444</v>
      </c>
      <c r="F49" s="20" t="s">
        <v>445</v>
      </c>
      <c r="G49" s="8" t="str">
        <f t="shared" si="0"/>
        <v>YANG JAN</v>
      </c>
      <c r="H49" s="20" t="str">
        <f t="shared" si="1"/>
        <v>4015</v>
      </c>
    </row>
    <row r="50" spans="1:8" x14ac:dyDescent="0.25">
      <c r="A50" s="8">
        <v>43013.284363425926</v>
      </c>
      <c r="B50" s="20" t="s">
        <v>511</v>
      </c>
      <c r="C50" s="20" t="s">
        <v>582</v>
      </c>
      <c r="D50" s="138">
        <v>940000</v>
      </c>
      <c r="E50" s="20" t="s">
        <v>442</v>
      </c>
      <c r="F50" s="20" t="s">
        <v>443</v>
      </c>
      <c r="G50" s="8" t="str">
        <f t="shared" si="0"/>
        <v>BONDS REYNALDO</v>
      </c>
      <c r="H50" s="20" t="str">
        <f t="shared" si="1"/>
        <v>4009</v>
      </c>
    </row>
    <row r="51" spans="1:8" x14ac:dyDescent="0.25">
      <c r="A51" s="8">
        <v>43013.286458333336</v>
      </c>
      <c r="B51" s="20" t="s">
        <v>502</v>
      </c>
      <c r="C51" s="20" t="s">
        <v>655</v>
      </c>
      <c r="D51" s="138">
        <v>1100000</v>
      </c>
      <c r="E51" s="20" t="s">
        <v>512</v>
      </c>
      <c r="F51" s="20" t="s">
        <v>513</v>
      </c>
      <c r="G51" s="8" t="str">
        <f t="shared" si="0"/>
        <v>GEBRETEKLE DAGNEW</v>
      </c>
      <c r="H51" s="20" t="str">
        <f t="shared" si="1"/>
        <v>4027</v>
      </c>
    </row>
    <row r="52" spans="1:8" x14ac:dyDescent="0.25">
      <c r="A52" s="8">
        <v>43013.287800925929</v>
      </c>
      <c r="B52" s="20" t="s">
        <v>585</v>
      </c>
      <c r="C52" s="20" t="s">
        <v>656</v>
      </c>
      <c r="D52" s="138">
        <v>1230000</v>
      </c>
      <c r="E52" s="20" t="s">
        <v>447</v>
      </c>
      <c r="F52" s="20" t="s">
        <v>448</v>
      </c>
      <c r="G52" s="8" t="str">
        <f t="shared" si="0"/>
        <v>YANAI IAN</v>
      </c>
      <c r="H52" s="20" t="str">
        <f t="shared" si="1"/>
        <v>4012</v>
      </c>
    </row>
    <row r="53" spans="1:8" x14ac:dyDescent="0.25">
      <c r="A53" s="8">
        <v>43013.289861111109</v>
      </c>
      <c r="B53" s="20" t="s">
        <v>576</v>
      </c>
      <c r="C53" s="20" t="s">
        <v>583</v>
      </c>
      <c r="D53" s="138">
        <v>1990000</v>
      </c>
      <c r="E53" s="20" t="s">
        <v>342</v>
      </c>
      <c r="F53" s="20" t="s">
        <v>510</v>
      </c>
      <c r="G53" s="8" t="str">
        <f t="shared" si="0"/>
        <v>DAVIS WENDY</v>
      </c>
      <c r="H53" s="20" t="str">
        <f t="shared" si="1"/>
        <v>4001</v>
      </c>
    </row>
    <row r="54" spans="1:8" x14ac:dyDescent="0.25">
      <c r="A54" s="8">
        <v>43013.291284722225</v>
      </c>
      <c r="B54" s="20" t="s">
        <v>504</v>
      </c>
      <c r="C54" s="20" t="s">
        <v>657</v>
      </c>
      <c r="D54" s="138">
        <v>3000000</v>
      </c>
      <c r="E54" s="20" t="s">
        <v>471</v>
      </c>
      <c r="F54" s="20" t="s">
        <v>472</v>
      </c>
      <c r="G54" s="8" t="str">
        <f t="shared" si="0"/>
        <v>FORTUNATO FRANK</v>
      </c>
      <c r="H54" s="20" t="str">
        <f t="shared" si="1"/>
        <v>4018</v>
      </c>
    </row>
    <row r="55" spans="1:8" x14ac:dyDescent="0.25">
      <c r="A55" s="8">
        <v>43013.306342592594</v>
      </c>
      <c r="B55" s="20" t="s">
        <v>432</v>
      </c>
      <c r="C55" s="20" t="s">
        <v>658</v>
      </c>
      <c r="D55" s="138">
        <v>2010000</v>
      </c>
      <c r="E55" s="20" t="s">
        <v>623</v>
      </c>
      <c r="F55" s="20" t="s">
        <v>624</v>
      </c>
      <c r="G55" s="8" t="str">
        <f t="shared" si="0"/>
        <v>MAELZER KURT</v>
      </c>
      <c r="H55" s="20" t="str">
        <f t="shared" si="1"/>
        <v>4008</v>
      </c>
    </row>
    <row r="56" spans="1:8" x14ac:dyDescent="0.25">
      <c r="A56" s="8">
        <v>43013.307662037034</v>
      </c>
      <c r="B56" s="20" t="s">
        <v>573</v>
      </c>
      <c r="C56" s="20" t="s">
        <v>659</v>
      </c>
      <c r="D56" s="138">
        <v>3040000</v>
      </c>
      <c r="E56" s="20" t="s">
        <v>630</v>
      </c>
      <c r="F56" s="20" t="s">
        <v>631</v>
      </c>
      <c r="G56" s="8" t="str">
        <f t="shared" si="0"/>
        <v>WILLIAMS DONTE</v>
      </c>
      <c r="H56" s="20" t="str">
        <f t="shared" si="1"/>
        <v>4041</v>
      </c>
    </row>
    <row r="57" spans="1:8" x14ac:dyDescent="0.25">
      <c r="A57" s="8">
        <v>43013.308576388888</v>
      </c>
      <c r="B57" s="20" t="s">
        <v>600</v>
      </c>
      <c r="C57" s="20" t="s">
        <v>660</v>
      </c>
      <c r="D57" s="138">
        <v>1830000</v>
      </c>
      <c r="E57" s="20" t="s">
        <v>383</v>
      </c>
      <c r="F57" s="20" t="s">
        <v>384</v>
      </c>
      <c r="G57" s="8" t="str">
        <f t="shared" si="0"/>
        <v>YORK EDGAR</v>
      </c>
      <c r="H57" s="20" t="str">
        <f t="shared" si="1"/>
        <v>4043</v>
      </c>
    </row>
    <row r="58" spans="1:8" x14ac:dyDescent="0.25">
      <c r="A58" s="8">
        <v>43013.310358796298</v>
      </c>
      <c r="B58" s="20" t="s">
        <v>505</v>
      </c>
      <c r="C58" s="20" t="s">
        <v>661</v>
      </c>
      <c r="D58" s="138">
        <v>3000000</v>
      </c>
      <c r="E58" s="20" t="s">
        <v>471</v>
      </c>
      <c r="F58" s="20" t="s">
        <v>472</v>
      </c>
      <c r="G58" s="8" t="str">
        <f t="shared" si="0"/>
        <v>FORTUNATO FRANK</v>
      </c>
      <c r="H58" s="20" t="str">
        <f t="shared" si="1"/>
        <v>4017</v>
      </c>
    </row>
    <row r="59" spans="1:8" x14ac:dyDescent="0.25">
      <c r="A59" s="8">
        <v>43013.311053240737</v>
      </c>
      <c r="B59" s="20" t="s">
        <v>605</v>
      </c>
      <c r="C59" s="20" t="s">
        <v>662</v>
      </c>
      <c r="D59" s="138">
        <v>2730000</v>
      </c>
      <c r="E59" s="20" t="s">
        <v>444</v>
      </c>
      <c r="F59" s="20" t="s">
        <v>445</v>
      </c>
      <c r="G59" s="8" t="str">
        <f t="shared" si="0"/>
        <v>YANG JAN</v>
      </c>
      <c r="H59" s="20" t="str">
        <f t="shared" si="1"/>
        <v>4016</v>
      </c>
    </row>
    <row r="60" spans="1:8" x14ac:dyDescent="0.25">
      <c r="A60" s="8">
        <v>43013.311956018515</v>
      </c>
      <c r="B60" s="20" t="s">
        <v>446</v>
      </c>
      <c r="C60" s="20" t="s">
        <v>663</v>
      </c>
      <c r="D60" s="138">
        <v>1990000</v>
      </c>
      <c r="E60" s="20" t="s">
        <v>342</v>
      </c>
      <c r="F60" s="20" t="s">
        <v>510</v>
      </c>
      <c r="G60" s="8" t="str">
        <f t="shared" si="0"/>
        <v>DAVIS WENDY</v>
      </c>
      <c r="H60" s="20" t="str">
        <f t="shared" si="1"/>
        <v>4002</v>
      </c>
    </row>
    <row r="61" spans="1:8" x14ac:dyDescent="0.25">
      <c r="A61" s="8">
        <v>43013.319872685184</v>
      </c>
      <c r="B61" s="20" t="s">
        <v>634</v>
      </c>
      <c r="C61" s="20" t="s">
        <v>664</v>
      </c>
      <c r="D61" s="138">
        <v>1230000</v>
      </c>
      <c r="E61" s="20" t="s">
        <v>447</v>
      </c>
      <c r="F61" s="20" t="s">
        <v>448</v>
      </c>
      <c r="G61" s="8" t="str">
        <f t="shared" si="0"/>
        <v>YANAI IAN</v>
      </c>
      <c r="H61" s="20" t="str">
        <f t="shared" si="1"/>
        <v>4011</v>
      </c>
    </row>
    <row r="62" spans="1:8" x14ac:dyDescent="0.25">
      <c r="A62" s="8">
        <v>43013.319953703707</v>
      </c>
      <c r="B62" s="20" t="s">
        <v>391</v>
      </c>
      <c r="C62" s="20" t="s">
        <v>665</v>
      </c>
      <c r="D62" s="138">
        <v>940000</v>
      </c>
      <c r="E62" s="20" t="s">
        <v>442</v>
      </c>
      <c r="F62" s="20" t="s">
        <v>443</v>
      </c>
      <c r="G62" s="8" t="str">
        <f t="shared" si="0"/>
        <v>BONDS REYNALDO</v>
      </c>
      <c r="H62" s="20" t="str">
        <f t="shared" si="1"/>
        <v>4010</v>
      </c>
    </row>
    <row r="63" spans="1:8" x14ac:dyDescent="0.25">
      <c r="A63" s="8">
        <v>43013.330949074072</v>
      </c>
      <c r="B63" s="20" t="s">
        <v>503</v>
      </c>
      <c r="C63" s="20" t="s">
        <v>666</v>
      </c>
      <c r="D63" s="138">
        <v>1100000</v>
      </c>
      <c r="E63" s="20" t="s">
        <v>512</v>
      </c>
      <c r="F63" s="20" t="s">
        <v>513</v>
      </c>
      <c r="G63" s="8" t="str">
        <f t="shared" si="0"/>
        <v>GEBRETEKLE DAGNEW</v>
      </c>
      <c r="H63" s="20" t="str">
        <f t="shared" si="1"/>
        <v>4028</v>
      </c>
    </row>
    <row r="64" spans="1:8" x14ac:dyDescent="0.25">
      <c r="A64" s="26">
        <v>43013.33116898148</v>
      </c>
      <c r="B64" s="20" t="s">
        <v>576</v>
      </c>
      <c r="C64" s="20" t="s">
        <v>667</v>
      </c>
      <c r="D64" s="138">
        <v>1990000</v>
      </c>
      <c r="E64" s="20" t="s">
        <v>342</v>
      </c>
      <c r="F64" s="20" t="s">
        <v>510</v>
      </c>
      <c r="G64" s="8" t="str">
        <f t="shared" si="0"/>
        <v>DAVIS WENDY</v>
      </c>
      <c r="H64" s="20" t="str">
        <f t="shared" si="1"/>
        <v>4001</v>
      </c>
    </row>
    <row r="65" spans="1:8" x14ac:dyDescent="0.25">
      <c r="A65" s="8">
        <v>43013.331944444442</v>
      </c>
      <c r="B65" s="20" t="s">
        <v>504</v>
      </c>
      <c r="C65" s="20" t="s">
        <v>668</v>
      </c>
      <c r="D65" s="138">
        <v>3000000</v>
      </c>
      <c r="E65" s="20" t="s">
        <v>471</v>
      </c>
      <c r="F65" s="20" t="s">
        <v>472</v>
      </c>
      <c r="G65" s="8" t="str">
        <f t="shared" si="0"/>
        <v>FORTUNATO FRANK</v>
      </c>
      <c r="H65" s="20" t="str">
        <f t="shared" si="1"/>
        <v>4018</v>
      </c>
    </row>
    <row r="66" spans="1:8" x14ac:dyDescent="0.25">
      <c r="A66" s="8">
        <v>43013.340092592596</v>
      </c>
      <c r="B66" s="20" t="s">
        <v>470</v>
      </c>
      <c r="C66" s="20" t="s">
        <v>669</v>
      </c>
      <c r="D66" s="138">
        <v>2010000</v>
      </c>
      <c r="E66" s="20" t="s">
        <v>623</v>
      </c>
      <c r="F66" s="20" t="s">
        <v>624</v>
      </c>
      <c r="G66" s="8" t="str">
        <f t="shared" si="0"/>
        <v>MAELZER KURT</v>
      </c>
      <c r="H66" s="20" t="str">
        <f t="shared" si="1"/>
        <v>4007</v>
      </c>
    </row>
    <row r="67" spans="1:8" x14ac:dyDescent="0.25">
      <c r="A67" s="8">
        <v>43013.342048611114</v>
      </c>
      <c r="B67" s="20" t="s">
        <v>394</v>
      </c>
      <c r="C67" s="20" t="s">
        <v>670</v>
      </c>
      <c r="D67" s="138">
        <v>3260000</v>
      </c>
      <c r="E67" s="20" t="s">
        <v>514</v>
      </c>
      <c r="F67" s="20" t="s">
        <v>515</v>
      </c>
      <c r="G67" s="8" t="str">
        <f t="shared" ref="G67:G130" si="2">E67&amp;" "&amp;F67</f>
        <v>PAGE MARCUS</v>
      </c>
      <c r="H67" s="20" t="str">
        <f t="shared" ref="H67:H130" si="3">MID(B67,13,4)</f>
        <v>4042</v>
      </c>
    </row>
    <row r="68" spans="1:8" x14ac:dyDescent="0.25">
      <c r="A68" s="8">
        <v>43013.34746527778</v>
      </c>
      <c r="B68" s="20" t="s">
        <v>610</v>
      </c>
      <c r="C68" s="20" t="s">
        <v>671</v>
      </c>
      <c r="D68" s="138">
        <v>2730000</v>
      </c>
      <c r="E68" s="20" t="s">
        <v>444</v>
      </c>
      <c r="F68" s="20" t="s">
        <v>445</v>
      </c>
      <c r="G68" s="8" t="str">
        <f t="shared" si="2"/>
        <v>YANG JAN</v>
      </c>
      <c r="H68" s="20" t="str">
        <f t="shared" si="3"/>
        <v>4015</v>
      </c>
    </row>
    <row r="69" spans="1:8" x14ac:dyDescent="0.25">
      <c r="A69" s="8">
        <v>43013.349803240744</v>
      </c>
      <c r="B69" s="20" t="s">
        <v>619</v>
      </c>
      <c r="C69" s="20" t="s">
        <v>672</v>
      </c>
      <c r="D69" s="138">
        <v>1830000</v>
      </c>
      <c r="E69" s="20" t="s">
        <v>383</v>
      </c>
      <c r="F69" s="20" t="s">
        <v>384</v>
      </c>
      <c r="G69" s="8" t="str">
        <f t="shared" si="2"/>
        <v>YORK EDGAR</v>
      </c>
      <c r="H69" s="20" t="str">
        <f t="shared" si="3"/>
        <v>4044</v>
      </c>
    </row>
    <row r="70" spans="1:8" x14ac:dyDescent="0.25">
      <c r="A70" s="8">
        <v>43013.352210648147</v>
      </c>
      <c r="B70" s="20" t="s">
        <v>505</v>
      </c>
      <c r="C70" s="20" t="s">
        <v>673</v>
      </c>
      <c r="D70" s="138">
        <v>3000000</v>
      </c>
      <c r="E70" s="20" t="s">
        <v>471</v>
      </c>
      <c r="F70" s="20" t="s">
        <v>472</v>
      </c>
      <c r="G70" s="8" t="str">
        <f t="shared" si="2"/>
        <v>FORTUNATO FRANK</v>
      </c>
      <c r="H70" s="20" t="str">
        <f t="shared" si="3"/>
        <v>4017</v>
      </c>
    </row>
    <row r="71" spans="1:8" x14ac:dyDescent="0.25">
      <c r="A71" s="8">
        <v>43013.353125000001</v>
      </c>
      <c r="B71" s="20" t="s">
        <v>446</v>
      </c>
      <c r="C71" s="20" t="s">
        <v>674</v>
      </c>
      <c r="D71" s="138">
        <v>1990000</v>
      </c>
      <c r="E71" s="20" t="s">
        <v>342</v>
      </c>
      <c r="F71" s="20" t="s">
        <v>510</v>
      </c>
      <c r="G71" s="8" t="str">
        <f t="shared" si="2"/>
        <v>DAVIS WENDY</v>
      </c>
      <c r="H71" s="20" t="str">
        <f t="shared" si="3"/>
        <v>4002</v>
      </c>
    </row>
    <row r="72" spans="1:8" x14ac:dyDescent="0.25">
      <c r="A72" s="8">
        <v>43013.359907407408</v>
      </c>
      <c r="B72" s="20" t="s">
        <v>511</v>
      </c>
      <c r="C72" s="20" t="s">
        <v>584</v>
      </c>
      <c r="D72" s="138">
        <v>940000</v>
      </c>
      <c r="E72" s="20" t="s">
        <v>442</v>
      </c>
      <c r="F72" s="20" t="s">
        <v>443</v>
      </c>
      <c r="G72" s="8" t="str">
        <f t="shared" si="2"/>
        <v>BONDS REYNALDO</v>
      </c>
      <c r="H72" s="20" t="str">
        <f t="shared" si="3"/>
        <v>4009</v>
      </c>
    </row>
    <row r="73" spans="1:8" x14ac:dyDescent="0.25">
      <c r="A73" s="8">
        <v>43013.360844907409</v>
      </c>
      <c r="B73" s="20" t="s">
        <v>502</v>
      </c>
      <c r="C73" s="20" t="s">
        <v>675</v>
      </c>
      <c r="D73" s="138">
        <v>1100000</v>
      </c>
      <c r="E73" s="20" t="s">
        <v>512</v>
      </c>
      <c r="F73" s="20" t="s">
        <v>513</v>
      </c>
      <c r="G73" s="8" t="str">
        <f t="shared" si="2"/>
        <v>GEBRETEKLE DAGNEW</v>
      </c>
      <c r="H73" s="20" t="str">
        <f t="shared" si="3"/>
        <v>4027</v>
      </c>
    </row>
    <row r="74" spans="1:8" x14ac:dyDescent="0.25">
      <c r="A74" s="8">
        <v>43013.36204861111</v>
      </c>
      <c r="B74" s="20" t="s">
        <v>585</v>
      </c>
      <c r="C74" s="20" t="s">
        <v>586</v>
      </c>
      <c r="D74" s="138">
        <v>1230000</v>
      </c>
      <c r="E74" s="20" t="s">
        <v>447</v>
      </c>
      <c r="F74" s="20" t="s">
        <v>448</v>
      </c>
      <c r="G74" s="8" t="str">
        <f t="shared" si="2"/>
        <v>YANAI IAN</v>
      </c>
      <c r="H74" s="20" t="str">
        <f t="shared" si="3"/>
        <v>4012</v>
      </c>
    </row>
    <row r="75" spans="1:8" x14ac:dyDescent="0.25">
      <c r="A75" s="8">
        <v>43013.371724537035</v>
      </c>
      <c r="B75" s="20" t="s">
        <v>432</v>
      </c>
      <c r="C75" s="20" t="s">
        <v>676</v>
      </c>
      <c r="D75" s="138">
        <v>2010000</v>
      </c>
      <c r="E75" s="20" t="s">
        <v>623</v>
      </c>
      <c r="F75" s="20" t="s">
        <v>624</v>
      </c>
      <c r="G75" s="8" t="str">
        <f t="shared" si="2"/>
        <v>MAELZER KURT</v>
      </c>
      <c r="H75" s="20" t="str">
        <f t="shared" si="3"/>
        <v>4008</v>
      </c>
    </row>
    <row r="76" spans="1:8" x14ac:dyDescent="0.25">
      <c r="A76" s="8">
        <v>43013.374421296299</v>
      </c>
      <c r="B76" s="20" t="s">
        <v>504</v>
      </c>
      <c r="C76" s="20" t="s">
        <v>587</v>
      </c>
      <c r="D76" s="138">
        <v>3000000</v>
      </c>
      <c r="E76" s="20" t="s">
        <v>471</v>
      </c>
      <c r="F76" s="20" t="s">
        <v>472</v>
      </c>
      <c r="G76" s="8" t="str">
        <f t="shared" si="2"/>
        <v>FORTUNATO FRANK</v>
      </c>
      <c r="H76" s="20" t="str">
        <f t="shared" si="3"/>
        <v>4018</v>
      </c>
    </row>
    <row r="77" spans="1:8" x14ac:dyDescent="0.25">
      <c r="A77" s="8">
        <v>43013.378067129626</v>
      </c>
      <c r="B77" s="20" t="s">
        <v>573</v>
      </c>
      <c r="C77" s="20" t="s">
        <v>588</v>
      </c>
      <c r="D77" s="138">
        <v>3260000</v>
      </c>
      <c r="E77" s="20" t="s">
        <v>514</v>
      </c>
      <c r="F77" s="20" t="s">
        <v>515</v>
      </c>
      <c r="G77" s="8" t="str">
        <f t="shared" si="2"/>
        <v>PAGE MARCUS</v>
      </c>
      <c r="H77" s="20" t="str">
        <f t="shared" si="3"/>
        <v>4041</v>
      </c>
    </row>
    <row r="78" spans="1:8" x14ac:dyDescent="0.25">
      <c r="A78" s="8">
        <v>43013.382187499999</v>
      </c>
      <c r="B78" s="20" t="s">
        <v>605</v>
      </c>
      <c r="C78" s="20" t="s">
        <v>677</v>
      </c>
      <c r="D78" s="138">
        <v>2730000</v>
      </c>
      <c r="E78" s="20" t="s">
        <v>444</v>
      </c>
      <c r="F78" s="20" t="s">
        <v>445</v>
      </c>
      <c r="G78" s="8" t="str">
        <f t="shared" si="2"/>
        <v>YANG JAN</v>
      </c>
      <c r="H78" s="20" t="str">
        <f t="shared" si="3"/>
        <v>4016</v>
      </c>
    </row>
    <row r="79" spans="1:8" x14ac:dyDescent="0.25">
      <c r="A79" s="8">
        <v>43013.391585648147</v>
      </c>
      <c r="B79" s="20" t="s">
        <v>634</v>
      </c>
      <c r="C79" s="20" t="s">
        <v>678</v>
      </c>
      <c r="D79" s="138">
        <v>1230000</v>
      </c>
      <c r="E79" s="20" t="s">
        <v>447</v>
      </c>
      <c r="F79" s="20" t="s">
        <v>448</v>
      </c>
      <c r="G79" s="8" t="str">
        <f t="shared" si="2"/>
        <v>YANAI IAN</v>
      </c>
      <c r="H79" s="20" t="str">
        <f t="shared" si="3"/>
        <v>4011</v>
      </c>
    </row>
    <row r="80" spans="1:8" x14ac:dyDescent="0.25">
      <c r="A80" s="8">
        <v>43013.39166666667</v>
      </c>
      <c r="B80" s="20" t="s">
        <v>391</v>
      </c>
      <c r="C80" s="20" t="s">
        <v>679</v>
      </c>
      <c r="D80" s="138">
        <v>940000</v>
      </c>
      <c r="E80" s="20" t="s">
        <v>442</v>
      </c>
      <c r="F80" s="20" t="s">
        <v>443</v>
      </c>
      <c r="G80" s="8" t="str">
        <f t="shared" si="2"/>
        <v>BONDS REYNALDO</v>
      </c>
      <c r="H80" s="20" t="str">
        <f t="shared" si="3"/>
        <v>4010</v>
      </c>
    </row>
    <row r="81" spans="1:8" x14ac:dyDescent="0.25">
      <c r="A81" s="8">
        <v>43013.392395833333</v>
      </c>
      <c r="B81" s="20" t="s">
        <v>600</v>
      </c>
      <c r="C81" s="20" t="s">
        <v>680</v>
      </c>
      <c r="D81" s="138">
        <v>1830000</v>
      </c>
      <c r="E81" s="20" t="s">
        <v>383</v>
      </c>
      <c r="F81" s="20" t="s">
        <v>384</v>
      </c>
      <c r="G81" s="8" t="str">
        <f t="shared" si="2"/>
        <v>YORK EDGAR</v>
      </c>
      <c r="H81" s="20" t="str">
        <f t="shared" si="3"/>
        <v>4043</v>
      </c>
    </row>
    <row r="82" spans="1:8" x14ac:dyDescent="0.25">
      <c r="A82" s="8">
        <v>43013.393553240741</v>
      </c>
      <c r="B82" s="20" t="s">
        <v>505</v>
      </c>
      <c r="C82" s="20" t="s">
        <v>589</v>
      </c>
      <c r="D82" s="138">
        <v>3000000</v>
      </c>
      <c r="E82" s="20" t="s">
        <v>471</v>
      </c>
      <c r="F82" s="20" t="s">
        <v>472</v>
      </c>
      <c r="G82" s="8" t="str">
        <f t="shared" si="2"/>
        <v>FORTUNATO FRANK</v>
      </c>
      <c r="H82" s="20" t="str">
        <f t="shared" si="3"/>
        <v>4017</v>
      </c>
    </row>
    <row r="83" spans="1:8" x14ac:dyDescent="0.25">
      <c r="A83" s="8">
        <v>43013.403645833336</v>
      </c>
      <c r="B83" s="20" t="s">
        <v>503</v>
      </c>
      <c r="C83" s="20" t="s">
        <v>681</v>
      </c>
      <c r="D83" s="138">
        <v>1100000</v>
      </c>
      <c r="E83" s="20" t="s">
        <v>512</v>
      </c>
      <c r="F83" s="20" t="s">
        <v>513</v>
      </c>
      <c r="G83" s="8" t="str">
        <f t="shared" si="2"/>
        <v>GEBRETEKLE DAGNEW</v>
      </c>
      <c r="H83" s="20" t="str">
        <f t="shared" si="3"/>
        <v>4028</v>
      </c>
    </row>
    <row r="84" spans="1:8" x14ac:dyDescent="0.25">
      <c r="A84" s="8">
        <v>43013.406307870369</v>
      </c>
      <c r="B84" s="20" t="s">
        <v>470</v>
      </c>
      <c r="C84" s="20" t="s">
        <v>682</v>
      </c>
      <c r="D84" s="138">
        <v>2010000</v>
      </c>
      <c r="E84" s="20" t="s">
        <v>623</v>
      </c>
      <c r="F84" s="20" t="s">
        <v>624</v>
      </c>
      <c r="G84" s="8" t="str">
        <f t="shared" si="2"/>
        <v>MAELZER KURT</v>
      </c>
      <c r="H84" s="20" t="str">
        <f t="shared" si="3"/>
        <v>4007</v>
      </c>
    </row>
    <row r="85" spans="1:8" x14ac:dyDescent="0.25">
      <c r="A85" s="8">
        <v>43013.414178240739</v>
      </c>
      <c r="B85" s="20" t="s">
        <v>576</v>
      </c>
      <c r="C85" s="20" t="s">
        <v>590</v>
      </c>
      <c r="D85" s="138">
        <v>900000</v>
      </c>
      <c r="E85" s="20" t="s">
        <v>396</v>
      </c>
      <c r="F85" s="20" t="s">
        <v>397</v>
      </c>
      <c r="G85" s="8" t="str">
        <f t="shared" si="2"/>
        <v>ROCHA YAOTL</v>
      </c>
      <c r="H85" s="20" t="str">
        <f t="shared" si="3"/>
        <v>4001</v>
      </c>
    </row>
    <row r="86" spans="1:8" x14ac:dyDescent="0.25">
      <c r="A86" s="8">
        <v>43013.414502314816</v>
      </c>
      <c r="B86" s="20" t="s">
        <v>394</v>
      </c>
      <c r="C86" s="20" t="s">
        <v>591</v>
      </c>
      <c r="D86" s="138">
        <v>3040000</v>
      </c>
      <c r="E86" s="20" t="s">
        <v>630</v>
      </c>
      <c r="F86" s="20" t="s">
        <v>631</v>
      </c>
      <c r="G86" s="8" t="str">
        <f t="shared" si="2"/>
        <v>WILLIAMS DONTE</v>
      </c>
      <c r="H86" s="20" t="str">
        <f t="shared" si="3"/>
        <v>4042</v>
      </c>
    </row>
    <row r="87" spans="1:8" x14ac:dyDescent="0.25">
      <c r="A87" s="8">
        <v>43013.421203703707</v>
      </c>
      <c r="B87" s="20" t="s">
        <v>610</v>
      </c>
      <c r="C87" s="20" t="s">
        <v>683</v>
      </c>
      <c r="D87" s="138">
        <v>2730000</v>
      </c>
      <c r="E87" s="20" t="s">
        <v>444</v>
      </c>
      <c r="F87" s="20" t="s">
        <v>445</v>
      </c>
      <c r="G87" s="8" t="str">
        <f t="shared" si="2"/>
        <v>YANG JAN</v>
      </c>
      <c r="H87" s="20" t="str">
        <f t="shared" si="3"/>
        <v>4015</v>
      </c>
    </row>
    <row r="88" spans="1:8" x14ac:dyDescent="0.25">
      <c r="A88" s="8">
        <v>43013.422766203701</v>
      </c>
      <c r="B88" s="20" t="s">
        <v>446</v>
      </c>
      <c r="C88" s="20" t="s">
        <v>684</v>
      </c>
      <c r="D88" s="138">
        <v>3000000</v>
      </c>
      <c r="E88" s="20" t="s">
        <v>471</v>
      </c>
      <c r="F88" s="20" t="s">
        <v>472</v>
      </c>
      <c r="G88" s="8" t="str">
        <f t="shared" si="2"/>
        <v>FORTUNATO FRANK</v>
      </c>
      <c r="H88" s="20" t="str">
        <f t="shared" si="3"/>
        <v>4002</v>
      </c>
    </row>
    <row r="89" spans="1:8" x14ac:dyDescent="0.25">
      <c r="A89" s="8">
        <v>43013.423078703701</v>
      </c>
      <c r="B89" s="20" t="s">
        <v>619</v>
      </c>
      <c r="C89" s="20" t="s">
        <v>685</v>
      </c>
      <c r="D89" s="138">
        <v>1990000</v>
      </c>
      <c r="E89" s="20" t="s">
        <v>342</v>
      </c>
      <c r="F89" s="20" t="s">
        <v>510</v>
      </c>
      <c r="G89" s="8" t="str">
        <f t="shared" si="2"/>
        <v>DAVIS WENDY</v>
      </c>
      <c r="H89" s="20" t="str">
        <f t="shared" si="3"/>
        <v>4044</v>
      </c>
    </row>
    <row r="90" spans="1:8" x14ac:dyDescent="0.25">
      <c r="A90" s="8">
        <v>43013.426168981481</v>
      </c>
      <c r="B90" s="20" t="s">
        <v>504</v>
      </c>
      <c r="C90" s="20" t="s">
        <v>686</v>
      </c>
      <c r="D90" s="138">
        <v>900000</v>
      </c>
      <c r="E90" s="20" t="s">
        <v>396</v>
      </c>
      <c r="F90" s="20" t="s">
        <v>397</v>
      </c>
      <c r="G90" s="8" t="str">
        <f t="shared" si="2"/>
        <v>ROCHA YAOTL</v>
      </c>
      <c r="H90" s="20" t="str">
        <f t="shared" si="3"/>
        <v>4018</v>
      </c>
    </row>
    <row r="91" spans="1:8" x14ac:dyDescent="0.25">
      <c r="A91" s="8">
        <v>43013.431446759256</v>
      </c>
      <c r="B91" s="20" t="s">
        <v>511</v>
      </c>
      <c r="C91" s="20" t="s">
        <v>687</v>
      </c>
      <c r="D91" s="138">
        <v>940000</v>
      </c>
      <c r="E91" s="20" t="s">
        <v>442</v>
      </c>
      <c r="F91" s="20" t="s">
        <v>443</v>
      </c>
      <c r="G91" s="8" t="str">
        <f t="shared" si="2"/>
        <v>BONDS REYNALDO</v>
      </c>
      <c r="H91" s="20" t="str">
        <f t="shared" si="3"/>
        <v>4009</v>
      </c>
    </row>
    <row r="92" spans="1:8" x14ac:dyDescent="0.25">
      <c r="A92" s="8">
        <v>43013.432442129626</v>
      </c>
      <c r="B92" s="20" t="s">
        <v>502</v>
      </c>
      <c r="C92" s="20" t="s">
        <v>688</v>
      </c>
      <c r="D92" s="138">
        <v>1100000</v>
      </c>
      <c r="E92" s="20" t="s">
        <v>512</v>
      </c>
      <c r="F92" s="20" t="s">
        <v>513</v>
      </c>
      <c r="G92" s="8" t="str">
        <f t="shared" si="2"/>
        <v>GEBRETEKLE DAGNEW</v>
      </c>
      <c r="H92" s="20" t="str">
        <f t="shared" si="3"/>
        <v>4027</v>
      </c>
    </row>
    <row r="93" spans="1:8" x14ac:dyDescent="0.25">
      <c r="A93" s="8">
        <v>43013.436319444445</v>
      </c>
      <c r="B93" s="20" t="s">
        <v>576</v>
      </c>
      <c r="C93" s="20" t="s">
        <v>592</v>
      </c>
      <c r="D93" s="138">
        <v>3000000</v>
      </c>
      <c r="E93" s="20" t="s">
        <v>471</v>
      </c>
      <c r="F93" s="20" t="s">
        <v>472</v>
      </c>
      <c r="G93" s="8" t="str">
        <f t="shared" si="2"/>
        <v>FORTUNATO FRANK</v>
      </c>
      <c r="H93" s="20" t="str">
        <f t="shared" si="3"/>
        <v>4001</v>
      </c>
    </row>
    <row r="94" spans="1:8" x14ac:dyDescent="0.25">
      <c r="A94" s="8">
        <v>43013.436377314814</v>
      </c>
      <c r="B94" s="20" t="s">
        <v>585</v>
      </c>
      <c r="C94" s="20" t="s">
        <v>689</v>
      </c>
      <c r="D94" s="138">
        <v>1230000</v>
      </c>
      <c r="E94" s="20" t="s">
        <v>447</v>
      </c>
      <c r="F94" s="20" t="s">
        <v>448</v>
      </c>
      <c r="G94" s="8" t="str">
        <f t="shared" si="2"/>
        <v>YANAI IAN</v>
      </c>
      <c r="H94" s="20" t="str">
        <f t="shared" si="3"/>
        <v>4012</v>
      </c>
    </row>
    <row r="95" spans="1:8" x14ac:dyDescent="0.25">
      <c r="A95" s="8">
        <v>43013.438993055555</v>
      </c>
      <c r="B95" s="20" t="s">
        <v>619</v>
      </c>
      <c r="C95" s="20" t="s">
        <v>685</v>
      </c>
      <c r="D95" s="138">
        <v>1990000</v>
      </c>
      <c r="E95" s="20" t="s">
        <v>342</v>
      </c>
      <c r="F95" s="20" t="s">
        <v>510</v>
      </c>
      <c r="G95" s="8" t="str">
        <f t="shared" si="2"/>
        <v>DAVIS WENDY</v>
      </c>
      <c r="H95" s="20" t="str">
        <f t="shared" si="3"/>
        <v>4044</v>
      </c>
    </row>
    <row r="96" spans="1:8" x14ac:dyDescent="0.25">
      <c r="A96" s="8">
        <v>43013.44326388889</v>
      </c>
      <c r="B96" s="20" t="s">
        <v>432</v>
      </c>
      <c r="C96" s="20" t="s">
        <v>690</v>
      </c>
      <c r="D96" s="138">
        <v>2550000</v>
      </c>
      <c r="E96" s="20" t="s">
        <v>691</v>
      </c>
      <c r="F96" s="20" t="s">
        <v>692</v>
      </c>
      <c r="G96" s="8" t="str">
        <f t="shared" si="2"/>
        <v>BADERTSCHER DIANE</v>
      </c>
      <c r="H96" s="20" t="str">
        <f t="shared" si="3"/>
        <v>4008</v>
      </c>
    </row>
    <row r="97" spans="1:8" x14ac:dyDescent="0.25">
      <c r="A97" s="8">
        <v>43013.451458333337</v>
      </c>
      <c r="B97" s="20" t="s">
        <v>573</v>
      </c>
      <c r="C97" s="20" t="s">
        <v>693</v>
      </c>
      <c r="D97" s="138">
        <v>3040000</v>
      </c>
      <c r="E97" s="20" t="s">
        <v>630</v>
      </c>
      <c r="F97" s="20" t="s">
        <v>631</v>
      </c>
      <c r="G97" s="8" t="str">
        <f t="shared" si="2"/>
        <v>WILLIAMS DONTE</v>
      </c>
      <c r="H97" s="20" t="str">
        <f t="shared" si="3"/>
        <v>4041</v>
      </c>
    </row>
    <row r="98" spans="1:8" x14ac:dyDescent="0.25">
      <c r="A98" s="8">
        <v>43013.455185185187</v>
      </c>
      <c r="B98" s="20" t="s">
        <v>605</v>
      </c>
      <c r="C98" s="20" t="s">
        <v>694</v>
      </c>
      <c r="D98" s="138">
        <v>2730000</v>
      </c>
      <c r="E98" s="20" t="s">
        <v>444</v>
      </c>
      <c r="F98" s="20" t="s">
        <v>445</v>
      </c>
      <c r="G98" s="8" t="str">
        <f t="shared" si="2"/>
        <v>YANG JAN</v>
      </c>
      <c r="H98" s="20" t="str">
        <f t="shared" si="3"/>
        <v>4016</v>
      </c>
    </row>
    <row r="99" spans="1:8" x14ac:dyDescent="0.25">
      <c r="A99" s="8">
        <v>43013.457905092589</v>
      </c>
      <c r="B99" s="20" t="s">
        <v>446</v>
      </c>
      <c r="C99" s="20" t="s">
        <v>695</v>
      </c>
      <c r="D99" s="138">
        <v>3000000</v>
      </c>
      <c r="E99" s="20" t="s">
        <v>471</v>
      </c>
      <c r="F99" s="20" t="s">
        <v>472</v>
      </c>
      <c r="G99" s="8" t="str">
        <f t="shared" si="2"/>
        <v>FORTUNATO FRANK</v>
      </c>
      <c r="H99" s="20" t="str">
        <f t="shared" si="3"/>
        <v>4002</v>
      </c>
    </row>
    <row r="100" spans="1:8" x14ac:dyDescent="0.25">
      <c r="A100" s="8">
        <v>43013.462685185186</v>
      </c>
      <c r="B100" s="20" t="s">
        <v>600</v>
      </c>
      <c r="C100" s="20" t="s">
        <v>696</v>
      </c>
      <c r="D100" s="138">
        <v>1990000</v>
      </c>
      <c r="E100" s="20" t="s">
        <v>342</v>
      </c>
      <c r="F100" s="20" t="s">
        <v>510</v>
      </c>
      <c r="G100" s="8" t="str">
        <f t="shared" si="2"/>
        <v>DAVIS WENDY</v>
      </c>
      <c r="H100" s="20" t="str">
        <f t="shared" si="3"/>
        <v>4043</v>
      </c>
    </row>
    <row r="101" spans="1:8" x14ac:dyDescent="0.25">
      <c r="A101" s="8">
        <v>43013.464999999997</v>
      </c>
      <c r="B101" s="20" t="s">
        <v>634</v>
      </c>
      <c r="C101" s="20" t="s">
        <v>697</v>
      </c>
      <c r="D101" s="138">
        <v>1230000</v>
      </c>
      <c r="E101" s="20" t="s">
        <v>447</v>
      </c>
      <c r="F101" s="20" t="s">
        <v>448</v>
      </c>
      <c r="G101" s="8" t="str">
        <f t="shared" si="2"/>
        <v>YANAI IAN</v>
      </c>
      <c r="H101" s="20" t="str">
        <f t="shared" si="3"/>
        <v>4011</v>
      </c>
    </row>
    <row r="102" spans="1:8" x14ac:dyDescent="0.25">
      <c r="A102" s="8">
        <v>43013.466944444444</v>
      </c>
      <c r="B102" s="20" t="s">
        <v>391</v>
      </c>
      <c r="C102" s="20" t="s">
        <v>698</v>
      </c>
      <c r="D102" s="138">
        <v>1770000</v>
      </c>
      <c r="E102" s="20" t="s">
        <v>475</v>
      </c>
      <c r="F102" s="20" t="s">
        <v>476</v>
      </c>
      <c r="G102" s="8" t="str">
        <f t="shared" si="2"/>
        <v>BRUDER RICHARD</v>
      </c>
      <c r="H102" s="20" t="str">
        <f t="shared" si="3"/>
        <v>4010</v>
      </c>
    </row>
    <row r="103" spans="1:8" x14ac:dyDescent="0.25">
      <c r="A103" s="8">
        <v>43013.477048611108</v>
      </c>
      <c r="B103" s="20" t="s">
        <v>503</v>
      </c>
      <c r="C103" s="20" t="s">
        <v>593</v>
      </c>
      <c r="D103" s="138">
        <v>2600000</v>
      </c>
      <c r="E103" s="20" t="s">
        <v>449</v>
      </c>
      <c r="F103" s="20" t="s">
        <v>422</v>
      </c>
      <c r="G103" s="8" t="str">
        <f t="shared" si="2"/>
        <v>DAVIDSON DAVID</v>
      </c>
      <c r="H103" s="20" t="str">
        <f t="shared" si="3"/>
        <v>4028</v>
      </c>
    </row>
    <row r="104" spans="1:8" x14ac:dyDescent="0.25">
      <c r="A104" s="8">
        <v>43013.47724537037</v>
      </c>
      <c r="B104" s="20" t="s">
        <v>576</v>
      </c>
      <c r="C104" s="20" t="s">
        <v>699</v>
      </c>
      <c r="D104" s="138">
        <v>3000000</v>
      </c>
      <c r="E104" s="20" t="s">
        <v>471</v>
      </c>
      <c r="F104" s="20" t="s">
        <v>472</v>
      </c>
      <c r="G104" s="8" t="str">
        <f t="shared" si="2"/>
        <v>FORTUNATO FRANK</v>
      </c>
      <c r="H104" s="20" t="str">
        <f t="shared" si="3"/>
        <v>4001</v>
      </c>
    </row>
    <row r="105" spans="1:8" x14ac:dyDescent="0.25">
      <c r="A105" s="8">
        <v>43013.478622685187</v>
      </c>
      <c r="B105" s="20" t="s">
        <v>470</v>
      </c>
      <c r="C105" s="20" t="s">
        <v>700</v>
      </c>
      <c r="D105" s="138">
        <v>2550000</v>
      </c>
      <c r="E105" s="20" t="s">
        <v>691</v>
      </c>
      <c r="F105" s="20" t="s">
        <v>692</v>
      </c>
      <c r="G105" s="8" t="str">
        <f t="shared" si="2"/>
        <v>BADERTSCHER DIANE</v>
      </c>
      <c r="H105" s="20" t="str">
        <f t="shared" si="3"/>
        <v>4007</v>
      </c>
    </row>
    <row r="106" spans="1:8" x14ac:dyDescent="0.25">
      <c r="A106" s="8">
        <v>43013.486446759256</v>
      </c>
      <c r="B106" s="20" t="s">
        <v>394</v>
      </c>
      <c r="C106" s="20" t="s">
        <v>701</v>
      </c>
      <c r="D106" s="138">
        <v>1300000</v>
      </c>
      <c r="E106" s="20" t="s">
        <v>452</v>
      </c>
      <c r="F106" s="20" t="s">
        <v>453</v>
      </c>
      <c r="G106" s="8" t="str">
        <f t="shared" si="2"/>
        <v>LEVIN SCOTT</v>
      </c>
      <c r="H106" s="20" t="str">
        <f t="shared" si="3"/>
        <v>4042</v>
      </c>
    </row>
    <row r="107" spans="1:8" x14ac:dyDescent="0.25">
      <c r="A107" s="8">
        <v>43013.492152777777</v>
      </c>
      <c r="B107" s="20" t="s">
        <v>594</v>
      </c>
      <c r="C107" s="20" t="s">
        <v>595</v>
      </c>
      <c r="D107" s="138">
        <v>2040000</v>
      </c>
      <c r="E107" s="20" t="s">
        <v>473</v>
      </c>
      <c r="F107" s="20" t="s">
        <v>474</v>
      </c>
      <c r="G107" s="8" t="str">
        <f t="shared" si="2"/>
        <v>MOSES BRADLEY</v>
      </c>
      <c r="H107" s="20" t="str">
        <f t="shared" si="3"/>
        <v>4019</v>
      </c>
    </row>
    <row r="108" spans="1:8" x14ac:dyDescent="0.25">
      <c r="A108" s="8">
        <v>43013.492164351854</v>
      </c>
      <c r="B108" s="20" t="s">
        <v>610</v>
      </c>
      <c r="C108" s="20" t="s">
        <v>702</v>
      </c>
      <c r="D108" s="138">
        <v>2730000</v>
      </c>
      <c r="E108" s="20" t="s">
        <v>444</v>
      </c>
      <c r="F108" s="20" t="s">
        <v>445</v>
      </c>
      <c r="G108" s="8" t="str">
        <f t="shared" si="2"/>
        <v>YANG JAN</v>
      </c>
      <c r="H108" s="20" t="str">
        <f t="shared" si="3"/>
        <v>4015</v>
      </c>
    </row>
    <row r="109" spans="1:8" x14ac:dyDescent="0.25">
      <c r="A109" s="8">
        <v>43013.49790509259</v>
      </c>
      <c r="B109" s="20" t="s">
        <v>619</v>
      </c>
      <c r="C109" s="20" t="s">
        <v>703</v>
      </c>
      <c r="D109" s="138">
        <v>2350000</v>
      </c>
      <c r="E109" s="20" t="s">
        <v>516</v>
      </c>
      <c r="F109" s="20" t="s">
        <v>517</v>
      </c>
      <c r="G109" s="8" t="str">
        <f t="shared" si="2"/>
        <v>BERLING GARY</v>
      </c>
      <c r="H109" s="20" t="str">
        <f t="shared" si="3"/>
        <v>4044</v>
      </c>
    </row>
    <row r="110" spans="1:8" x14ac:dyDescent="0.25">
      <c r="A110" s="8">
        <v>43013.499155092592</v>
      </c>
      <c r="B110" s="20" t="s">
        <v>446</v>
      </c>
      <c r="C110" s="20" t="s">
        <v>704</v>
      </c>
      <c r="D110" s="138">
        <v>3000000</v>
      </c>
      <c r="E110" s="20" t="s">
        <v>471</v>
      </c>
      <c r="F110" s="20" t="s">
        <v>472</v>
      </c>
      <c r="G110" s="8" t="str">
        <f t="shared" si="2"/>
        <v>FORTUNATO FRANK</v>
      </c>
      <c r="H110" s="20" t="str">
        <f t="shared" si="3"/>
        <v>4002</v>
      </c>
    </row>
    <row r="111" spans="1:8" x14ac:dyDescent="0.25">
      <c r="A111" s="8">
        <v>43013.505057870374</v>
      </c>
      <c r="B111" s="20" t="s">
        <v>585</v>
      </c>
      <c r="C111" s="20" t="s">
        <v>596</v>
      </c>
      <c r="D111" s="138">
        <v>2370000</v>
      </c>
      <c r="E111" s="20" t="s">
        <v>518</v>
      </c>
      <c r="F111" s="20" t="s">
        <v>519</v>
      </c>
      <c r="G111" s="8" t="str">
        <f t="shared" si="2"/>
        <v>DELGADO DIANAH</v>
      </c>
      <c r="H111" s="20" t="str">
        <f t="shared" si="3"/>
        <v>4012</v>
      </c>
    </row>
    <row r="112" spans="1:8" x14ac:dyDescent="0.25">
      <c r="A112" s="8">
        <v>43013.505706018521</v>
      </c>
      <c r="B112" s="20" t="s">
        <v>511</v>
      </c>
      <c r="C112" s="20" t="s">
        <v>705</v>
      </c>
      <c r="D112" s="138">
        <v>1770000</v>
      </c>
      <c r="E112" s="20" t="s">
        <v>475</v>
      </c>
      <c r="F112" s="20" t="s">
        <v>476</v>
      </c>
      <c r="G112" s="8" t="str">
        <f t="shared" si="2"/>
        <v>BRUDER RICHARD</v>
      </c>
      <c r="H112" s="20" t="str">
        <f t="shared" si="3"/>
        <v>4009</v>
      </c>
    </row>
    <row r="113" spans="1:8" x14ac:dyDescent="0.25">
      <c r="A113" s="8">
        <v>43013.508414351854</v>
      </c>
      <c r="B113" s="20" t="s">
        <v>502</v>
      </c>
      <c r="C113" s="20" t="s">
        <v>706</v>
      </c>
      <c r="D113" s="138">
        <v>2600000</v>
      </c>
      <c r="E113" s="20" t="s">
        <v>449</v>
      </c>
      <c r="F113" s="20" t="s">
        <v>422</v>
      </c>
      <c r="G113" s="8" t="str">
        <f t="shared" si="2"/>
        <v>DAVIDSON DAVID</v>
      </c>
      <c r="H113" s="20" t="str">
        <f t="shared" si="3"/>
        <v>4027</v>
      </c>
    </row>
    <row r="114" spans="1:8" x14ac:dyDescent="0.25">
      <c r="A114" s="8">
        <v>43013.516736111109</v>
      </c>
      <c r="B114" s="20" t="s">
        <v>502</v>
      </c>
      <c r="C114" s="20" t="s">
        <v>706</v>
      </c>
      <c r="D114" s="138">
        <v>2600000</v>
      </c>
      <c r="E114" s="20" t="s">
        <v>449</v>
      </c>
      <c r="F114" s="20" t="s">
        <v>422</v>
      </c>
      <c r="G114" s="8" t="str">
        <f t="shared" si="2"/>
        <v>DAVIDSON DAVID</v>
      </c>
      <c r="H114" s="20" t="str">
        <f t="shared" si="3"/>
        <v>4027</v>
      </c>
    </row>
    <row r="115" spans="1:8" x14ac:dyDescent="0.25">
      <c r="A115" s="8">
        <v>43013.518101851849</v>
      </c>
      <c r="B115" s="20" t="s">
        <v>432</v>
      </c>
      <c r="C115" s="20" t="s">
        <v>707</v>
      </c>
      <c r="D115" s="138">
        <v>2550000</v>
      </c>
      <c r="E115" s="20" t="s">
        <v>691</v>
      </c>
      <c r="F115" s="20" t="s">
        <v>692</v>
      </c>
      <c r="G115" s="8" t="str">
        <f t="shared" si="2"/>
        <v>BADERTSCHER DIANE</v>
      </c>
      <c r="H115" s="20" t="str">
        <f t="shared" si="3"/>
        <v>4008</v>
      </c>
    </row>
    <row r="116" spans="1:8" x14ac:dyDescent="0.25">
      <c r="A116" s="8">
        <v>43013.518321759257</v>
      </c>
      <c r="B116" s="20" t="s">
        <v>576</v>
      </c>
      <c r="C116" s="20" t="s">
        <v>597</v>
      </c>
      <c r="D116" s="138">
        <v>3000000</v>
      </c>
      <c r="E116" s="20" t="s">
        <v>471</v>
      </c>
      <c r="F116" s="20" t="s">
        <v>472</v>
      </c>
      <c r="G116" s="8" t="str">
        <f t="shared" si="2"/>
        <v>FORTUNATO FRANK</v>
      </c>
      <c r="H116" s="20" t="str">
        <f t="shared" si="3"/>
        <v>4001</v>
      </c>
    </row>
    <row r="117" spans="1:8" x14ac:dyDescent="0.25">
      <c r="A117" s="8">
        <v>43013.52076388889</v>
      </c>
      <c r="B117" s="20" t="s">
        <v>708</v>
      </c>
      <c r="C117" s="20" t="s">
        <v>595</v>
      </c>
      <c r="D117" s="138">
        <v>2040000</v>
      </c>
      <c r="E117" s="20" t="s">
        <v>473</v>
      </c>
      <c r="F117" s="20" t="s">
        <v>474</v>
      </c>
      <c r="G117" s="8" t="str">
        <f t="shared" si="2"/>
        <v>MOSES BRADLEY</v>
      </c>
      <c r="H117" s="20" t="str">
        <f t="shared" si="3"/>
        <v>4020</v>
      </c>
    </row>
    <row r="118" spans="1:8" x14ac:dyDescent="0.25">
      <c r="A118" s="8">
        <v>43013.525092592594</v>
      </c>
      <c r="B118" s="20" t="s">
        <v>576</v>
      </c>
      <c r="C118" s="20" t="s">
        <v>597</v>
      </c>
      <c r="D118" s="138">
        <v>3000000</v>
      </c>
      <c r="E118" s="20" t="s">
        <v>471</v>
      </c>
      <c r="F118" s="20" t="s">
        <v>472</v>
      </c>
      <c r="G118" s="8" t="str">
        <f t="shared" si="2"/>
        <v>FORTUNATO FRANK</v>
      </c>
      <c r="H118" s="20" t="str">
        <f t="shared" si="3"/>
        <v>4001</v>
      </c>
    </row>
    <row r="119" spans="1:8" x14ac:dyDescent="0.25">
      <c r="A119" s="8">
        <v>43013.525520833333</v>
      </c>
      <c r="B119" s="20" t="s">
        <v>573</v>
      </c>
      <c r="C119" s="20" t="s">
        <v>598</v>
      </c>
      <c r="D119" s="138">
        <v>1300000</v>
      </c>
      <c r="E119" s="20" t="s">
        <v>452</v>
      </c>
      <c r="F119" s="20" t="s">
        <v>453</v>
      </c>
      <c r="G119" s="8" t="str">
        <f t="shared" si="2"/>
        <v>LEVIN SCOTT</v>
      </c>
      <c r="H119" s="20" t="str">
        <f t="shared" si="3"/>
        <v>4041</v>
      </c>
    </row>
    <row r="120" spans="1:8" x14ac:dyDescent="0.25">
      <c r="A120" s="8">
        <v>43013.527488425927</v>
      </c>
      <c r="B120" s="20" t="s">
        <v>605</v>
      </c>
      <c r="C120" s="20" t="s">
        <v>709</v>
      </c>
      <c r="D120" s="138">
        <v>2140000</v>
      </c>
      <c r="E120" s="20" t="s">
        <v>407</v>
      </c>
      <c r="F120" s="20" t="s">
        <v>408</v>
      </c>
      <c r="G120" s="8" t="str">
        <f t="shared" si="2"/>
        <v>ROBINSON KADDIBA</v>
      </c>
      <c r="H120" s="20" t="str">
        <f t="shared" si="3"/>
        <v>4016</v>
      </c>
    </row>
    <row r="121" spans="1:8" x14ac:dyDescent="0.25">
      <c r="A121" s="8">
        <v>43013.529421296298</v>
      </c>
      <c r="B121" s="20" t="s">
        <v>594</v>
      </c>
      <c r="C121" s="20" t="s">
        <v>595</v>
      </c>
      <c r="D121" s="138">
        <v>2040000</v>
      </c>
      <c r="E121" s="20" t="s">
        <v>473</v>
      </c>
      <c r="F121" s="20" t="s">
        <v>474</v>
      </c>
      <c r="G121" s="8" t="str">
        <f t="shared" si="2"/>
        <v>MOSES BRADLEY</v>
      </c>
      <c r="H121" s="20" t="str">
        <f t="shared" si="3"/>
        <v>4019</v>
      </c>
    </row>
    <row r="122" spans="1:8" x14ac:dyDescent="0.25">
      <c r="A122" s="8">
        <v>43013.529930555553</v>
      </c>
      <c r="B122" s="25" t="s">
        <v>594</v>
      </c>
      <c r="C122" s="20" t="s">
        <v>595</v>
      </c>
      <c r="D122" s="138">
        <v>2040000</v>
      </c>
      <c r="E122" s="20" t="s">
        <v>473</v>
      </c>
      <c r="F122" s="20" t="s">
        <v>474</v>
      </c>
      <c r="G122" s="8" t="str">
        <f t="shared" si="2"/>
        <v>MOSES BRADLEY</v>
      </c>
      <c r="H122" s="20" t="str">
        <f t="shared" si="3"/>
        <v>4019</v>
      </c>
    </row>
    <row r="123" spans="1:8" x14ac:dyDescent="0.25">
      <c r="A123" s="8">
        <v>43013.531030092592</v>
      </c>
      <c r="B123" s="20" t="s">
        <v>594</v>
      </c>
      <c r="C123" s="20" t="s">
        <v>595</v>
      </c>
      <c r="D123" s="138">
        <v>2040000</v>
      </c>
      <c r="E123" s="20" t="s">
        <v>473</v>
      </c>
      <c r="F123" s="20" t="s">
        <v>474</v>
      </c>
      <c r="G123" s="8" t="str">
        <f t="shared" si="2"/>
        <v>MOSES BRADLEY</v>
      </c>
      <c r="H123" s="20" t="str">
        <f t="shared" si="3"/>
        <v>4019</v>
      </c>
    </row>
    <row r="124" spans="1:8" x14ac:dyDescent="0.25">
      <c r="A124" s="8">
        <v>43013.535960648151</v>
      </c>
      <c r="B124" s="20" t="s">
        <v>600</v>
      </c>
      <c r="C124" s="20" t="s">
        <v>601</v>
      </c>
      <c r="D124" s="138">
        <v>2350000</v>
      </c>
      <c r="E124" s="20" t="s">
        <v>516</v>
      </c>
      <c r="F124" s="20" t="s">
        <v>517</v>
      </c>
      <c r="G124" s="8" t="str">
        <f t="shared" si="2"/>
        <v>BERLING GARY</v>
      </c>
      <c r="H124" s="20" t="str">
        <f t="shared" si="3"/>
        <v>4043</v>
      </c>
    </row>
    <row r="125" spans="1:8" x14ac:dyDescent="0.25">
      <c r="A125" s="8">
        <v>43013.537581018521</v>
      </c>
      <c r="B125" s="20" t="s">
        <v>391</v>
      </c>
      <c r="C125" s="20" t="s">
        <v>599</v>
      </c>
      <c r="D125" s="138">
        <v>1770000</v>
      </c>
      <c r="E125" s="20" t="s">
        <v>475</v>
      </c>
      <c r="F125" s="20" t="s">
        <v>476</v>
      </c>
      <c r="G125" s="8" t="str">
        <f t="shared" si="2"/>
        <v>BRUDER RICHARD</v>
      </c>
      <c r="H125" s="20" t="str">
        <f t="shared" si="3"/>
        <v>4010</v>
      </c>
    </row>
    <row r="126" spans="1:8" x14ac:dyDescent="0.25">
      <c r="A126" s="8">
        <v>43013.537604166668</v>
      </c>
      <c r="B126" s="20" t="s">
        <v>634</v>
      </c>
      <c r="C126" s="20" t="s">
        <v>710</v>
      </c>
      <c r="D126" s="138">
        <v>2370000</v>
      </c>
      <c r="E126" s="20" t="s">
        <v>518</v>
      </c>
      <c r="F126" s="20" t="s">
        <v>519</v>
      </c>
      <c r="G126" s="8" t="str">
        <f t="shared" si="2"/>
        <v>DELGADO DIANAH</v>
      </c>
      <c r="H126" s="20" t="str">
        <f t="shared" si="3"/>
        <v>4011</v>
      </c>
    </row>
    <row r="127" spans="1:8" x14ac:dyDescent="0.25">
      <c r="A127" s="8">
        <v>43013.542187500003</v>
      </c>
      <c r="B127" s="20" t="s">
        <v>708</v>
      </c>
      <c r="C127" s="20" t="s">
        <v>595</v>
      </c>
      <c r="D127" s="138">
        <v>2040000</v>
      </c>
      <c r="E127" s="20" t="s">
        <v>473</v>
      </c>
      <c r="F127" s="20" t="s">
        <v>474</v>
      </c>
      <c r="G127" s="8" t="str">
        <f t="shared" si="2"/>
        <v>MOSES BRADLEY</v>
      </c>
      <c r="H127" s="20" t="str">
        <f t="shared" si="3"/>
        <v>4020</v>
      </c>
    </row>
    <row r="128" spans="1:8" x14ac:dyDescent="0.25">
      <c r="A128" s="8">
        <v>43013.543263888889</v>
      </c>
      <c r="B128" s="20" t="s">
        <v>446</v>
      </c>
      <c r="C128" s="20" t="s">
        <v>711</v>
      </c>
      <c r="D128" s="138">
        <v>3280000</v>
      </c>
      <c r="E128" s="20" t="s">
        <v>478</v>
      </c>
      <c r="F128" s="20" t="s">
        <v>479</v>
      </c>
      <c r="G128" s="8" t="str">
        <f t="shared" si="2"/>
        <v>BIRKHOLZ NADINE</v>
      </c>
      <c r="H128" s="20" t="str">
        <f t="shared" si="3"/>
        <v>4002</v>
      </c>
    </row>
    <row r="129" spans="1:8" x14ac:dyDescent="0.25">
      <c r="A129" s="8">
        <v>43013.548634259256</v>
      </c>
      <c r="B129" s="20" t="s">
        <v>503</v>
      </c>
      <c r="C129" s="20" t="s">
        <v>712</v>
      </c>
      <c r="D129" s="138">
        <v>880000</v>
      </c>
      <c r="E129" s="20" t="s">
        <v>713</v>
      </c>
      <c r="F129" s="20" t="s">
        <v>431</v>
      </c>
      <c r="G129" s="8" t="str">
        <f t="shared" si="2"/>
        <v>STEWART MICHAEL</v>
      </c>
      <c r="H129" s="20" t="str">
        <f t="shared" si="3"/>
        <v>4028</v>
      </c>
    </row>
    <row r="130" spans="1:8" x14ac:dyDescent="0.25">
      <c r="A130" s="8">
        <v>43013.552002314813</v>
      </c>
      <c r="B130" s="20" t="s">
        <v>594</v>
      </c>
      <c r="C130" s="20" t="s">
        <v>595</v>
      </c>
      <c r="D130" s="138">
        <v>2040000</v>
      </c>
      <c r="E130" s="20" t="s">
        <v>473</v>
      </c>
      <c r="F130" s="20" t="s">
        <v>474</v>
      </c>
      <c r="G130" s="8" t="str">
        <f t="shared" si="2"/>
        <v>MOSES BRADLEY</v>
      </c>
      <c r="H130" s="20" t="str">
        <f t="shared" si="3"/>
        <v>4019</v>
      </c>
    </row>
    <row r="131" spans="1:8" x14ac:dyDescent="0.25">
      <c r="A131" s="8">
        <v>43013.554756944446</v>
      </c>
      <c r="B131" s="20" t="s">
        <v>470</v>
      </c>
      <c r="C131" s="20" t="s">
        <v>603</v>
      </c>
      <c r="D131" s="138">
        <v>2550000</v>
      </c>
      <c r="E131" s="20" t="s">
        <v>691</v>
      </c>
      <c r="F131" s="20" t="s">
        <v>692</v>
      </c>
      <c r="G131" s="8" t="str">
        <f t="shared" ref="G131:G194" si="4">E131&amp;" "&amp;F131</f>
        <v>BADERTSCHER DIANE</v>
      </c>
      <c r="H131" s="20" t="str">
        <f t="shared" ref="H131:H194" si="5">MID(B131,13,4)</f>
        <v>4007</v>
      </c>
    </row>
    <row r="132" spans="1:8" x14ac:dyDescent="0.25">
      <c r="A132" s="8">
        <v>43013.558877314812</v>
      </c>
      <c r="B132" s="20" t="s">
        <v>394</v>
      </c>
      <c r="C132" s="20" t="s">
        <v>602</v>
      </c>
      <c r="D132" s="138">
        <v>1300000</v>
      </c>
      <c r="E132" s="20" t="s">
        <v>452</v>
      </c>
      <c r="F132" s="20" t="s">
        <v>453</v>
      </c>
      <c r="G132" s="8" t="str">
        <f t="shared" si="4"/>
        <v>LEVIN SCOTT</v>
      </c>
      <c r="H132" s="20" t="str">
        <f t="shared" si="5"/>
        <v>4042</v>
      </c>
    </row>
    <row r="133" spans="1:8" x14ac:dyDescent="0.25">
      <c r="A133" s="8">
        <v>43013.560960648145</v>
      </c>
      <c r="B133" s="20" t="s">
        <v>576</v>
      </c>
      <c r="C133" s="20" t="s">
        <v>714</v>
      </c>
      <c r="D133" s="138">
        <v>3280000</v>
      </c>
      <c r="E133" s="20" t="s">
        <v>478</v>
      </c>
      <c r="F133" s="20" t="s">
        <v>479</v>
      </c>
      <c r="G133" s="8" t="str">
        <f t="shared" si="4"/>
        <v>BIRKHOLZ NADINE</v>
      </c>
      <c r="H133" s="20" t="str">
        <f t="shared" si="5"/>
        <v>4001</v>
      </c>
    </row>
    <row r="134" spans="1:8" x14ac:dyDescent="0.25">
      <c r="A134" s="8">
        <v>43013.561423611114</v>
      </c>
      <c r="B134" s="20" t="s">
        <v>708</v>
      </c>
      <c r="C134" s="20" t="s">
        <v>595</v>
      </c>
      <c r="D134" s="138">
        <v>2040000</v>
      </c>
      <c r="E134" s="20" t="s">
        <v>473</v>
      </c>
      <c r="F134" s="20" t="s">
        <v>474</v>
      </c>
      <c r="G134" s="8" t="str">
        <f t="shared" si="4"/>
        <v>MOSES BRADLEY</v>
      </c>
      <c r="H134" s="20" t="str">
        <f t="shared" si="5"/>
        <v>4020</v>
      </c>
    </row>
    <row r="135" spans="1:8" x14ac:dyDescent="0.25">
      <c r="A135" s="8">
        <v>43013.561956018515</v>
      </c>
      <c r="B135" s="20" t="s">
        <v>708</v>
      </c>
      <c r="C135" s="20" t="s">
        <v>595</v>
      </c>
      <c r="D135" s="138">
        <v>2040000</v>
      </c>
      <c r="E135" s="20" t="s">
        <v>473</v>
      </c>
      <c r="F135" s="20" t="s">
        <v>474</v>
      </c>
      <c r="G135" s="8" t="str">
        <f t="shared" si="4"/>
        <v>MOSES BRADLEY</v>
      </c>
      <c r="H135" s="20" t="str">
        <f t="shared" si="5"/>
        <v>4020</v>
      </c>
    </row>
    <row r="136" spans="1:8" x14ac:dyDescent="0.25">
      <c r="A136" s="8">
        <v>43013.563611111109</v>
      </c>
      <c r="B136" s="20" t="s">
        <v>708</v>
      </c>
      <c r="C136" s="20" t="s">
        <v>595</v>
      </c>
      <c r="D136" s="138">
        <v>2040000</v>
      </c>
      <c r="E136" s="20" t="s">
        <v>473</v>
      </c>
      <c r="F136" s="20" t="s">
        <v>474</v>
      </c>
      <c r="G136" s="8" t="str">
        <f t="shared" si="4"/>
        <v>MOSES BRADLEY</v>
      </c>
      <c r="H136" s="20" t="str">
        <f t="shared" si="5"/>
        <v>4020</v>
      </c>
    </row>
    <row r="137" spans="1:8" x14ac:dyDescent="0.25">
      <c r="A137" s="8">
        <v>43013.568495370368</v>
      </c>
      <c r="B137" s="20" t="s">
        <v>610</v>
      </c>
      <c r="C137" s="20" t="s">
        <v>715</v>
      </c>
      <c r="D137" s="138">
        <v>2140000</v>
      </c>
      <c r="E137" s="20" t="s">
        <v>407</v>
      </c>
      <c r="F137" s="20" t="s">
        <v>408</v>
      </c>
      <c r="G137" s="8" t="str">
        <f t="shared" si="4"/>
        <v>ROBINSON KADDIBA</v>
      </c>
      <c r="H137" s="20" t="str">
        <f t="shared" si="5"/>
        <v>4015</v>
      </c>
    </row>
    <row r="138" spans="1:8" x14ac:dyDescent="0.25">
      <c r="A138" s="8">
        <v>43013.56925925926</v>
      </c>
      <c r="B138" s="20" t="s">
        <v>619</v>
      </c>
      <c r="C138" s="20" t="s">
        <v>716</v>
      </c>
      <c r="D138" s="138">
        <v>2350000</v>
      </c>
      <c r="E138" s="20" t="s">
        <v>516</v>
      </c>
      <c r="F138" s="20" t="s">
        <v>517</v>
      </c>
      <c r="G138" s="8" t="str">
        <f t="shared" si="4"/>
        <v>BERLING GARY</v>
      </c>
      <c r="H138" s="20" t="str">
        <f t="shared" si="5"/>
        <v>4044</v>
      </c>
    </row>
    <row r="139" spans="1:8" x14ac:dyDescent="0.25">
      <c r="A139" s="8">
        <v>43013.571643518517</v>
      </c>
      <c r="B139" s="20" t="s">
        <v>594</v>
      </c>
      <c r="C139" s="20" t="s">
        <v>595</v>
      </c>
      <c r="D139" s="138">
        <v>2040000</v>
      </c>
      <c r="E139" s="20" t="s">
        <v>473</v>
      </c>
      <c r="F139" s="20" t="s">
        <v>474</v>
      </c>
      <c r="G139" s="8" t="str">
        <f t="shared" si="4"/>
        <v>MOSES BRADLEY</v>
      </c>
      <c r="H139" s="20" t="str">
        <f t="shared" si="5"/>
        <v>4019</v>
      </c>
    </row>
    <row r="140" spans="1:8" x14ac:dyDescent="0.25">
      <c r="A140" s="8">
        <v>43013.578344907408</v>
      </c>
      <c r="B140" s="20" t="s">
        <v>511</v>
      </c>
      <c r="C140" s="20" t="s">
        <v>717</v>
      </c>
      <c r="D140" s="138">
        <v>1770000</v>
      </c>
      <c r="E140" s="20" t="s">
        <v>475</v>
      </c>
      <c r="F140" s="20" t="s">
        <v>476</v>
      </c>
      <c r="G140" s="8" t="str">
        <f t="shared" si="4"/>
        <v>BRUDER RICHARD</v>
      </c>
      <c r="H140" s="20" t="str">
        <f t="shared" si="5"/>
        <v>4009</v>
      </c>
    </row>
    <row r="141" spans="1:8" x14ac:dyDescent="0.25">
      <c r="A141" s="8">
        <v>43013.579618055555</v>
      </c>
      <c r="B141" s="20" t="s">
        <v>585</v>
      </c>
      <c r="C141" s="20" t="s">
        <v>604</v>
      </c>
      <c r="D141" s="138">
        <v>750000</v>
      </c>
      <c r="E141" s="20" t="s">
        <v>718</v>
      </c>
      <c r="F141" s="20" t="s">
        <v>719</v>
      </c>
      <c r="G141" s="8" t="str">
        <f t="shared" si="4"/>
        <v>NATION TRACI</v>
      </c>
      <c r="H141" s="20" t="str">
        <f t="shared" si="5"/>
        <v>4012</v>
      </c>
    </row>
    <row r="142" spans="1:8" x14ac:dyDescent="0.25">
      <c r="A142" s="8">
        <v>43013.583553240744</v>
      </c>
      <c r="B142" s="20" t="s">
        <v>708</v>
      </c>
      <c r="C142" s="20" t="s">
        <v>595</v>
      </c>
      <c r="D142" s="138">
        <v>2040000</v>
      </c>
      <c r="E142" s="20" t="s">
        <v>473</v>
      </c>
      <c r="F142" s="20" t="s">
        <v>474</v>
      </c>
      <c r="G142" s="8" t="str">
        <f t="shared" si="4"/>
        <v>MOSES BRADLEY</v>
      </c>
      <c r="H142" s="20" t="str">
        <f t="shared" si="5"/>
        <v>4020</v>
      </c>
    </row>
    <row r="143" spans="1:8" x14ac:dyDescent="0.25">
      <c r="A143" s="8">
        <v>43013.586319444446</v>
      </c>
      <c r="B143" s="20" t="s">
        <v>446</v>
      </c>
      <c r="C143" s="20" t="s">
        <v>720</v>
      </c>
      <c r="D143" s="138">
        <v>3280000</v>
      </c>
      <c r="E143" s="20" t="s">
        <v>478</v>
      </c>
      <c r="F143" s="20" t="s">
        <v>479</v>
      </c>
      <c r="G143" s="8" t="str">
        <f t="shared" si="4"/>
        <v>BIRKHOLZ NADINE</v>
      </c>
      <c r="H143" s="20" t="str">
        <f t="shared" si="5"/>
        <v>4002</v>
      </c>
    </row>
    <row r="144" spans="1:8" x14ac:dyDescent="0.25">
      <c r="A144" s="8">
        <v>43013.589131944442</v>
      </c>
      <c r="B144" s="20" t="s">
        <v>502</v>
      </c>
      <c r="C144" s="20" t="s">
        <v>721</v>
      </c>
      <c r="D144" s="138">
        <v>880000</v>
      </c>
      <c r="E144" s="20" t="s">
        <v>713</v>
      </c>
      <c r="F144" s="20" t="s">
        <v>431</v>
      </c>
      <c r="G144" s="8" t="str">
        <f t="shared" si="4"/>
        <v>STEWART MICHAEL</v>
      </c>
      <c r="H144" s="20" t="str">
        <f t="shared" si="5"/>
        <v>4027</v>
      </c>
    </row>
    <row r="145" spans="1:8" x14ac:dyDescent="0.25">
      <c r="A145" s="8">
        <v>43013.591157407405</v>
      </c>
      <c r="B145" s="20" t="s">
        <v>432</v>
      </c>
      <c r="C145" s="20" t="s">
        <v>722</v>
      </c>
      <c r="D145" s="138">
        <v>2550000</v>
      </c>
      <c r="E145" s="20" t="s">
        <v>691</v>
      </c>
      <c r="F145" s="20" t="s">
        <v>692</v>
      </c>
      <c r="G145" s="8" t="str">
        <f t="shared" si="4"/>
        <v>BADERTSCHER DIANE</v>
      </c>
      <c r="H145" s="20" t="str">
        <f t="shared" si="5"/>
        <v>4008</v>
      </c>
    </row>
    <row r="146" spans="1:8" x14ac:dyDescent="0.25">
      <c r="A146" s="8">
        <v>43013.592118055552</v>
      </c>
      <c r="B146" s="20" t="s">
        <v>594</v>
      </c>
      <c r="C146" s="20" t="s">
        <v>595</v>
      </c>
      <c r="D146" s="138">
        <v>2040000</v>
      </c>
      <c r="E146" s="20" t="s">
        <v>473</v>
      </c>
      <c r="F146" s="20" t="s">
        <v>474</v>
      </c>
      <c r="G146" s="8" t="str">
        <f t="shared" si="4"/>
        <v>MOSES BRADLEY</v>
      </c>
      <c r="H146" s="20" t="str">
        <f t="shared" si="5"/>
        <v>4019</v>
      </c>
    </row>
    <row r="147" spans="1:8" x14ac:dyDescent="0.25">
      <c r="A147" s="8">
        <v>43013.594166666669</v>
      </c>
      <c r="B147" s="20" t="s">
        <v>594</v>
      </c>
      <c r="C147" s="20" t="s">
        <v>595</v>
      </c>
      <c r="D147" s="138">
        <v>2040000</v>
      </c>
      <c r="E147" s="20" t="s">
        <v>473</v>
      </c>
      <c r="F147" s="20" t="s">
        <v>474</v>
      </c>
      <c r="G147" s="8" t="str">
        <f t="shared" si="4"/>
        <v>MOSES BRADLEY</v>
      </c>
      <c r="H147" s="20" t="str">
        <f t="shared" si="5"/>
        <v>4019</v>
      </c>
    </row>
    <row r="148" spans="1:8" x14ac:dyDescent="0.25">
      <c r="A148" s="8">
        <v>43013.596168981479</v>
      </c>
      <c r="B148" s="20" t="s">
        <v>585</v>
      </c>
      <c r="C148" s="20" t="s">
        <v>604</v>
      </c>
      <c r="D148" s="138">
        <v>750000</v>
      </c>
      <c r="E148" s="20" t="s">
        <v>718</v>
      </c>
      <c r="F148" s="20" t="s">
        <v>719</v>
      </c>
      <c r="G148" s="8" t="str">
        <f t="shared" si="4"/>
        <v>NATION TRACI</v>
      </c>
      <c r="H148" s="20" t="str">
        <f t="shared" si="5"/>
        <v>4012</v>
      </c>
    </row>
    <row r="149" spans="1:8" x14ac:dyDescent="0.25">
      <c r="A149" s="8">
        <v>43013.598923611113</v>
      </c>
      <c r="B149" s="20" t="s">
        <v>573</v>
      </c>
      <c r="C149" s="20" t="s">
        <v>723</v>
      </c>
      <c r="D149" s="138">
        <v>1300000</v>
      </c>
      <c r="E149" s="20" t="s">
        <v>452</v>
      </c>
      <c r="F149" s="20" t="s">
        <v>453</v>
      </c>
      <c r="G149" s="8" t="str">
        <f t="shared" si="4"/>
        <v>LEVIN SCOTT</v>
      </c>
      <c r="H149" s="20" t="str">
        <f t="shared" si="5"/>
        <v>4041</v>
      </c>
    </row>
    <row r="150" spans="1:8" x14ac:dyDescent="0.25">
      <c r="A150" s="8">
        <v>43013.599050925928</v>
      </c>
      <c r="B150" s="20" t="s">
        <v>605</v>
      </c>
      <c r="C150" s="20" t="s">
        <v>606</v>
      </c>
      <c r="D150" s="138">
        <v>2420000</v>
      </c>
      <c r="E150" s="20" t="s">
        <v>520</v>
      </c>
      <c r="F150" s="20" t="s">
        <v>521</v>
      </c>
      <c r="G150" s="8" t="str">
        <f t="shared" si="4"/>
        <v>HOLCOMB KAMDEN</v>
      </c>
      <c r="H150" s="20" t="str">
        <f t="shared" si="5"/>
        <v>4016</v>
      </c>
    </row>
    <row r="151" spans="1:8" x14ac:dyDescent="0.25">
      <c r="A151" s="8">
        <v>43013.602083333331</v>
      </c>
      <c r="B151" s="20" t="s">
        <v>576</v>
      </c>
      <c r="C151" s="20" t="s">
        <v>724</v>
      </c>
      <c r="D151" s="138">
        <v>3280000</v>
      </c>
      <c r="E151" s="20" t="s">
        <v>478</v>
      </c>
      <c r="F151" s="20" t="s">
        <v>479</v>
      </c>
      <c r="G151" s="8" t="str">
        <f t="shared" si="4"/>
        <v>BIRKHOLZ NADINE</v>
      </c>
      <c r="H151" s="20" t="str">
        <f t="shared" si="5"/>
        <v>4001</v>
      </c>
    </row>
    <row r="152" spans="1:8" x14ac:dyDescent="0.25">
      <c r="A152" s="8">
        <v>43013.603182870371</v>
      </c>
      <c r="B152" s="20" t="s">
        <v>708</v>
      </c>
      <c r="C152" s="20" t="s">
        <v>595</v>
      </c>
      <c r="D152" s="138">
        <v>2040000</v>
      </c>
      <c r="E152" s="20" t="s">
        <v>473</v>
      </c>
      <c r="F152" s="20" t="s">
        <v>474</v>
      </c>
      <c r="G152" s="8" t="str">
        <f t="shared" si="4"/>
        <v>MOSES BRADLEY</v>
      </c>
      <c r="H152" s="20" t="str">
        <f t="shared" si="5"/>
        <v>4020</v>
      </c>
    </row>
    <row r="153" spans="1:8" x14ac:dyDescent="0.25">
      <c r="A153" s="8">
        <v>43013.603854166664</v>
      </c>
      <c r="B153" s="20" t="s">
        <v>600</v>
      </c>
      <c r="C153" s="20" t="s">
        <v>725</v>
      </c>
      <c r="D153" s="138">
        <v>2350000</v>
      </c>
      <c r="E153" s="20" t="s">
        <v>516</v>
      </c>
      <c r="F153" s="20" t="s">
        <v>517</v>
      </c>
      <c r="G153" s="8" t="str">
        <f t="shared" si="4"/>
        <v>BERLING GARY</v>
      </c>
      <c r="H153" s="20" t="str">
        <f t="shared" si="5"/>
        <v>4043</v>
      </c>
    </row>
    <row r="154" spans="1:8" x14ac:dyDescent="0.25">
      <c r="A154" s="8">
        <v>43013.607372685183</v>
      </c>
      <c r="B154" s="20" t="s">
        <v>600</v>
      </c>
      <c r="C154" s="20" t="s">
        <v>725</v>
      </c>
      <c r="D154" s="138">
        <v>2350000</v>
      </c>
      <c r="E154" s="20" t="s">
        <v>516</v>
      </c>
      <c r="F154" s="20" t="s">
        <v>517</v>
      </c>
      <c r="G154" s="8" t="str">
        <f t="shared" si="4"/>
        <v>BERLING GARY</v>
      </c>
      <c r="H154" s="20" t="str">
        <f t="shared" si="5"/>
        <v>4043</v>
      </c>
    </row>
    <row r="155" spans="1:8" x14ac:dyDescent="0.25">
      <c r="A155" s="8">
        <v>43013.611111111109</v>
      </c>
      <c r="B155" s="20" t="s">
        <v>391</v>
      </c>
      <c r="C155" s="20" t="s">
        <v>726</v>
      </c>
      <c r="D155" s="138">
        <v>1770000</v>
      </c>
      <c r="E155" s="20" t="s">
        <v>475</v>
      </c>
      <c r="F155" s="20" t="s">
        <v>476</v>
      </c>
      <c r="G155" s="8" t="str">
        <f t="shared" si="4"/>
        <v>BRUDER RICHARD</v>
      </c>
      <c r="H155" s="20" t="str">
        <f t="shared" si="5"/>
        <v>4010</v>
      </c>
    </row>
    <row r="156" spans="1:8" x14ac:dyDescent="0.25">
      <c r="A156" s="8">
        <v>43013.615219907406</v>
      </c>
      <c r="B156" s="20" t="s">
        <v>605</v>
      </c>
      <c r="C156" s="20" t="s">
        <v>606</v>
      </c>
      <c r="D156" s="138">
        <v>2420000</v>
      </c>
      <c r="E156" s="20" t="s">
        <v>520</v>
      </c>
      <c r="F156" s="20" t="s">
        <v>521</v>
      </c>
      <c r="G156" s="8" t="str">
        <f t="shared" si="4"/>
        <v>HOLCOMB KAMDEN</v>
      </c>
      <c r="H156" s="20" t="str">
        <f t="shared" si="5"/>
        <v>4016</v>
      </c>
    </row>
    <row r="157" spans="1:8" x14ac:dyDescent="0.25">
      <c r="A157" s="8">
        <v>43013.620451388888</v>
      </c>
      <c r="B157" s="20" t="s">
        <v>634</v>
      </c>
      <c r="C157" s="20" t="s">
        <v>727</v>
      </c>
      <c r="D157" s="138">
        <v>750000</v>
      </c>
      <c r="E157" s="20" t="s">
        <v>718</v>
      </c>
      <c r="F157" s="20" t="s">
        <v>719</v>
      </c>
      <c r="G157" s="8" t="str">
        <f t="shared" si="4"/>
        <v>NATION TRACI</v>
      </c>
      <c r="H157" s="20" t="str">
        <f t="shared" si="5"/>
        <v>4011</v>
      </c>
    </row>
    <row r="158" spans="1:8" x14ac:dyDescent="0.25">
      <c r="A158" s="8">
        <v>43013.623449074075</v>
      </c>
      <c r="B158" s="20" t="s">
        <v>503</v>
      </c>
      <c r="C158" s="20" t="s">
        <v>728</v>
      </c>
      <c r="D158" s="138">
        <v>880000</v>
      </c>
      <c r="E158" s="20" t="s">
        <v>713</v>
      </c>
      <c r="F158" s="20" t="s">
        <v>431</v>
      </c>
      <c r="G158" s="8" t="str">
        <f t="shared" si="4"/>
        <v>STEWART MICHAEL</v>
      </c>
      <c r="H158" s="20" t="str">
        <f t="shared" si="5"/>
        <v>4028</v>
      </c>
    </row>
    <row r="159" spans="1:8" x14ac:dyDescent="0.25">
      <c r="A159" s="8">
        <v>43013.628171296295</v>
      </c>
      <c r="B159" s="20" t="s">
        <v>470</v>
      </c>
      <c r="C159" s="20" t="s">
        <v>729</v>
      </c>
      <c r="D159" s="138">
        <v>2550000</v>
      </c>
      <c r="E159" s="20" t="s">
        <v>691</v>
      </c>
      <c r="F159" s="20" t="s">
        <v>692</v>
      </c>
      <c r="G159" s="8" t="str">
        <f t="shared" si="4"/>
        <v>BADERTSCHER DIANE</v>
      </c>
      <c r="H159" s="20" t="str">
        <f t="shared" si="5"/>
        <v>4007</v>
      </c>
    </row>
    <row r="160" spans="1:8" x14ac:dyDescent="0.25">
      <c r="A160" s="8">
        <v>43013.629374999997</v>
      </c>
      <c r="B160" s="20" t="s">
        <v>446</v>
      </c>
      <c r="C160" s="20" t="s">
        <v>730</v>
      </c>
      <c r="D160" s="138">
        <v>3280000</v>
      </c>
      <c r="E160" s="20" t="s">
        <v>478</v>
      </c>
      <c r="F160" s="20" t="s">
        <v>479</v>
      </c>
      <c r="G160" s="8" t="str">
        <f t="shared" si="4"/>
        <v>BIRKHOLZ NADINE</v>
      </c>
      <c r="H160" s="20" t="str">
        <f t="shared" si="5"/>
        <v>4002</v>
      </c>
    </row>
    <row r="161" spans="1:8" x14ac:dyDescent="0.25">
      <c r="A161" s="8">
        <v>43013.63453703704</v>
      </c>
      <c r="B161" s="20" t="s">
        <v>394</v>
      </c>
      <c r="C161" s="20" t="s">
        <v>608</v>
      </c>
      <c r="D161" s="138">
        <v>1300000</v>
      </c>
      <c r="E161" s="20" t="s">
        <v>452</v>
      </c>
      <c r="F161" s="20" t="s">
        <v>453</v>
      </c>
      <c r="G161" s="8" t="str">
        <f t="shared" si="4"/>
        <v>LEVIN SCOTT</v>
      </c>
      <c r="H161" s="20" t="str">
        <f t="shared" si="5"/>
        <v>4042</v>
      </c>
    </row>
    <row r="162" spans="1:8" x14ac:dyDescent="0.25">
      <c r="A162" s="8">
        <v>43013.640474537038</v>
      </c>
      <c r="B162" s="20" t="s">
        <v>610</v>
      </c>
      <c r="C162" s="20" t="s">
        <v>611</v>
      </c>
      <c r="D162" s="138">
        <v>2420000</v>
      </c>
      <c r="E162" s="20" t="s">
        <v>520</v>
      </c>
      <c r="F162" s="20" t="s">
        <v>521</v>
      </c>
      <c r="G162" s="8" t="str">
        <f t="shared" si="4"/>
        <v>HOLCOMB KAMDEN</v>
      </c>
      <c r="H162" s="20" t="str">
        <f t="shared" si="5"/>
        <v>4015</v>
      </c>
    </row>
    <row r="163" spans="1:8" x14ac:dyDescent="0.25">
      <c r="A163" s="8">
        <v>43013.64340277778</v>
      </c>
      <c r="B163" s="20" t="s">
        <v>619</v>
      </c>
      <c r="C163" s="20" t="s">
        <v>731</v>
      </c>
      <c r="D163" s="138">
        <v>2350000</v>
      </c>
      <c r="E163" s="20" t="s">
        <v>516</v>
      </c>
      <c r="F163" s="20" t="s">
        <v>517</v>
      </c>
      <c r="G163" s="8" t="str">
        <f t="shared" si="4"/>
        <v>BERLING GARY</v>
      </c>
      <c r="H163" s="20" t="str">
        <f t="shared" si="5"/>
        <v>4044</v>
      </c>
    </row>
    <row r="164" spans="1:8" x14ac:dyDescent="0.25">
      <c r="A164" s="8">
        <v>43013.645266203705</v>
      </c>
      <c r="B164" s="20" t="s">
        <v>576</v>
      </c>
      <c r="C164" s="20" t="s">
        <v>609</v>
      </c>
      <c r="D164" s="138">
        <v>3280000</v>
      </c>
      <c r="E164" s="20" t="s">
        <v>478</v>
      </c>
      <c r="F164" s="20" t="s">
        <v>479</v>
      </c>
      <c r="G164" s="8" t="str">
        <f t="shared" si="4"/>
        <v>BIRKHOLZ NADINE</v>
      </c>
      <c r="H164" s="20" t="str">
        <f t="shared" si="5"/>
        <v>4001</v>
      </c>
    </row>
    <row r="165" spans="1:8" x14ac:dyDescent="0.25">
      <c r="A165" s="8">
        <v>43013.645486111112</v>
      </c>
      <c r="B165" s="20" t="s">
        <v>594</v>
      </c>
      <c r="C165" s="20" t="s">
        <v>607</v>
      </c>
      <c r="D165" s="138">
        <v>3130000</v>
      </c>
      <c r="E165" s="20" t="s">
        <v>480</v>
      </c>
      <c r="F165" s="20" t="s">
        <v>481</v>
      </c>
      <c r="G165" s="8" t="str">
        <f t="shared" si="4"/>
        <v>ZEWDU DEREJE</v>
      </c>
      <c r="H165" s="20" t="str">
        <f t="shared" si="5"/>
        <v>4019</v>
      </c>
    </row>
    <row r="166" spans="1:8" x14ac:dyDescent="0.25">
      <c r="A166" s="8">
        <v>43013.651886574073</v>
      </c>
      <c r="B166" s="20" t="s">
        <v>511</v>
      </c>
      <c r="C166" s="20" t="s">
        <v>732</v>
      </c>
      <c r="D166" s="138">
        <v>1770000</v>
      </c>
      <c r="E166" s="20" t="s">
        <v>475</v>
      </c>
      <c r="F166" s="20" t="s">
        <v>476</v>
      </c>
      <c r="G166" s="8" t="str">
        <f t="shared" si="4"/>
        <v>BRUDER RICHARD</v>
      </c>
      <c r="H166" s="20" t="str">
        <f t="shared" si="5"/>
        <v>4009</v>
      </c>
    </row>
    <row r="167" spans="1:8" x14ac:dyDescent="0.25">
      <c r="A167" s="8">
        <v>43013.655150462961</v>
      </c>
      <c r="B167" s="20" t="s">
        <v>708</v>
      </c>
      <c r="C167" s="20" t="s">
        <v>733</v>
      </c>
      <c r="D167" s="138">
        <v>3130000</v>
      </c>
      <c r="E167" s="20" t="s">
        <v>480</v>
      </c>
      <c r="F167" s="20" t="s">
        <v>481</v>
      </c>
      <c r="G167" s="8" t="str">
        <f t="shared" si="4"/>
        <v>ZEWDU DEREJE</v>
      </c>
      <c r="H167" s="20" t="str">
        <f t="shared" si="5"/>
        <v>4020</v>
      </c>
    </row>
    <row r="168" spans="1:8" x14ac:dyDescent="0.25">
      <c r="A168" s="8">
        <v>43013.655300925922</v>
      </c>
      <c r="B168" s="20" t="s">
        <v>585</v>
      </c>
      <c r="C168" s="20" t="s">
        <v>734</v>
      </c>
      <c r="D168" s="138">
        <v>1180000</v>
      </c>
      <c r="E168" s="20" t="s">
        <v>450</v>
      </c>
      <c r="F168" s="20" t="s">
        <v>451</v>
      </c>
      <c r="G168" s="8" t="str">
        <f t="shared" si="4"/>
        <v>LEVERE CRAIG</v>
      </c>
      <c r="H168" s="20" t="str">
        <f t="shared" si="5"/>
        <v>4012</v>
      </c>
    </row>
    <row r="169" spans="1:8" x14ac:dyDescent="0.25">
      <c r="A169" s="8">
        <v>43013.660763888889</v>
      </c>
      <c r="B169" s="20" t="s">
        <v>502</v>
      </c>
      <c r="C169" s="20" t="s">
        <v>735</v>
      </c>
      <c r="D169" s="138">
        <v>880000</v>
      </c>
      <c r="E169" s="20" t="s">
        <v>713</v>
      </c>
      <c r="F169" s="20" t="s">
        <v>431</v>
      </c>
      <c r="G169" s="8" t="str">
        <f t="shared" si="4"/>
        <v>STEWART MICHAEL</v>
      </c>
      <c r="H169" s="20" t="str">
        <f t="shared" si="5"/>
        <v>4027</v>
      </c>
    </row>
    <row r="170" spans="1:8" x14ac:dyDescent="0.25">
      <c r="A170" s="8">
        <v>43013.663657407407</v>
      </c>
      <c r="B170" s="20" t="s">
        <v>432</v>
      </c>
      <c r="C170" s="20" t="s">
        <v>736</v>
      </c>
      <c r="D170" s="138">
        <v>2550000</v>
      </c>
      <c r="E170" s="20" t="s">
        <v>691</v>
      </c>
      <c r="F170" s="20" t="s">
        <v>692</v>
      </c>
      <c r="G170" s="8" t="str">
        <f t="shared" si="4"/>
        <v>BADERTSCHER DIANE</v>
      </c>
      <c r="H170" s="20" t="str">
        <f t="shared" si="5"/>
        <v>4008</v>
      </c>
    </row>
    <row r="171" spans="1:8" x14ac:dyDescent="0.25">
      <c r="A171" s="8">
        <v>43013.668541666666</v>
      </c>
      <c r="B171" s="20" t="s">
        <v>594</v>
      </c>
      <c r="C171" s="20" t="s">
        <v>737</v>
      </c>
      <c r="D171" s="138">
        <v>3130000</v>
      </c>
      <c r="E171" s="20" t="s">
        <v>480</v>
      </c>
      <c r="F171" s="20" t="s">
        <v>481</v>
      </c>
      <c r="G171" s="8" t="str">
        <f t="shared" si="4"/>
        <v>ZEWDU DEREJE</v>
      </c>
      <c r="H171" s="20" t="str">
        <f t="shared" si="5"/>
        <v>4019</v>
      </c>
    </row>
    <row r="172" spans="1:8" x14ac:dyDescent="0.25">
      <c r="A172" s="8">
        <v>43013.668576388889</v>
      </c>
      <c r="B172" s="20" t="s">
        <v>446</v>
      </c>
      <c r="C172" s="20" t="s">
        <v>738</v>
      </c>
      <c r="D172" s="138">
        <v>3280000</v>
      </c>
      <c r="E172" s="20" t="s">
        <v>478</v>
      </c>
      <c r="F172" s="20" t="s">
        <v>479</v>
      </c>
      <c r="G172" s="8" t="str">
        <f t="shared" si="4"/>
        <v>BIRKHOLZ NADINE</v>
      </c>
      <c r="H172" s="20" t="str">
        <f t="shared" si="5"/>
        <v>4002</v>
      </c>
    </row>
    <row r="173" spans="1:8" x14ac:dyDescent="0.25">
      <c r="A173" s="8">
        <v>43013.672233796293</v>
      </c>
      <c r="B173" s="20" t="s">
        <v>573</v>
      </c>
      <c r="C173" s="20" t="s">
        <v>739</v>
      </c>
      <c r="D173" s="138">
        <v>1300000</v>
      </c>
      <c r="E173" s="20" t="s">
        <v>452</v>
      </c>
      <c r="F173" s="20" t="s">
        <v>453</v>
      </c>
      <c r="G173" s="8" t="str">
        <f t="shared" si="4"/>
        <v>LEVIN SCOTT</v>
      </c>
      <c r="H173" s="20" t="str">
        <f t="shared" si="5"/>
        <v>4041</v>
      </c>
    </row>
    <row r="174" spans="1:8" x14ac:dyDescent="0.25">
      <c r="A174" s="8">
        <v>43013.675451388888</v>
      </c>
      <c r="B174" s="20" t="s">
        <v>605</v>
      </c>
      <c r="C174" s="20" t="s">
        <v>613</v>
      </c>
      <c r="D174" s="138">
        <v>2420000</v>
      </c>
      <c r="E174" s="20" t="s">
        <v>520</v>
      </c>
      <c r="F174" s="20" t="s">
        <v>521</v>
      </c>
      <c r="G174" s="8" t="str">
        <f t="shared" si="4"/>
        <v>HOLCOMB KAMDEN</v>
      </c>
      <c r="H174" s="20" t="str">
        <f t="shared" si="5"/>
        <v>4016</v>
      </c>
    </row>
    <row r="175" spans="1:8" x14ac:dyDescent="0.25">
      <c r="A175" s="8">
        <v>43013.679560185185</v>
      </c>
      <c r="B175" s="20" t="s">
        <v>600</v>
      </c>
      <c r="C175" s="20" t="s">
        <v>740</v>
      </c>
      <c r="D175" s="138">
        <v>2350000</v>
      </c>
      <c r="E175" s="20" t="s">
        <v>516</v>
      </c>
      <c r="F175" s="20" t="s">
        <v>517</v>
      </c>
      <c r="G175" s="8" t="str">
        <f t="shared" si="4"/>
        <v>BERLING GARY</v>
      </c>
      <c r="H175" s="20" t="str">
        <f t="shared" si="5"/>
        <v>4043</v>
      </c>
    </row>
    <row r="176" spans="1:8" x14ac:dyDescent="0.25">
      <c r="A176" s="8">
        <v>43013.683356481481</v>
      </c>
      <c r="B176" s="20" t="s">
        <v>391</v>
      </c>
      <c r="C176" s="20" t="s">
        <v>612</v>
      </c>
      <c r="D176" s="138">
        <v>750000</v>
      </c>
      <c r="E176" s="20" t="s">
        <v>718</v>
      </c>
      <c r="F176" s="20" t="s">
        <v>719</v>
      </c>
      <c r="G176" s="8" t="str">
        <f t="shared" si="4"/>
        <v>NATION TRACI</v>
      </c>
      <c r="H176" s="20" t="str">
        <f t="shared" si="5"/>
        <v>4010</v>
      </c>
    </row>
    <row r="177" spans="1:8" x14ac:dyDescent="0.25">
      <c r="A177" s="8">
        <v>43013.68577546296</v>
      </c>
      <c r="B177" s="20" t="s">
        <v>576</v>
      </c>
      <c r="C177" s="20" t="s">
        <v>741</v>
      </c>
      <c r="D177" s="138">
        <v>3280000</v>
      </c>
      <c r="E177" s="20" t="s">
        <v>478</v>
      </c>
      <c r="F177" s="20" t="s">
        <v>479</v>
      </c>
      <c r="G177" s="8" t="str">
        <f t="shared" si="4"/>
        <v>BIRKHOLZ NADINE</v>
      </c>
      <c r="H177" s="20" t="str">
        <f t="shared" si="5"/>
        <v>4001</v>
      </c>
    </row>
    <row r="178" spans="1:8" x14ac:dyDescent="0.25">
      <c r="A178" s="8">
        <v>43013.68712962963</v>
      </c>
      <c r="B178" s="20" t="s">
        <v>618</v>
      </c>
      <c r="C178" s="20" t="s">
        <v>742</v>
      </c>
      <c r="D178" s="138">
        <v>1810000</v>
      </c>
      <c r="E178" s="20" t="s">
        <v>477</v>
      </c>
      <c r="F178" s="20" t="s">
        <v>365</v>
      </c>
      <c r="G178" s="8" t="str">
        <f t="shared" si="4"/>
        <v>NEWELL JAMES</v>
      </c>
      <c r="H178" s="20" t="str">
        <f t="shared" si="5"/>
        <v>4062</v>
      </c>
    </row>
    <row r="179" spans="1:8" x14ac:dyDescent="0.25">
      <c r="A179" s="8">
        <v>43013.687268518515</v>
      </c>
      <c r="B179" s="20" t="s">
        <v>708</v>
      </c>
      <c r="C179" s="20" t="s">
        <v>743</v>
      </c>
      <c r="D179" s="138">
        <v>3130000</v>
      </c>
      <c r="E179" s="20" t="s">
        <v>480</v>
      </c>
      <c r="F179" s="20" t="s">
        <v>481</v>
      </c>
      <c r="G179" s="8" t="str">
        <f t="shared" si="4"/>
        <v>ZEWDU DEREJE</v>
      </c>
      <c r="H179" s="20" t="str">
        <f t="shared" si="5"/>
        <v>4020</v>
      </c>
    </row>
    <row r="180" spans="1:8" x14ac:dyDescent="0.25">
      <c r="A180" s="8">
        <v>43013.688136574077</v>
      </c>
      <c r="B180" s="20" t="s">
        <v>618</v>
      </c>
      <c r="C180" s="20" t="s">
        <v>742</v>
      </c>
      <c r="D180" s="138">
        <v>1810000</v>
      </c>
      <c r="E180" s="20" t="s">
        <v>477</v>
      </c>
      <c r="F180" s="20" t="s">
        <v>365</v>
      </c>
      <c r="G180" s="8" t="str">
        <f t="shared" si="4"/>
        <v>NEWELL JAMES</v>
      </c>
      <c r="H180" s="20" t="str">
        <f t="shared" si="5"/>
        <v>4062</v>
      </c>
    </row>
    <row r="181" spans="1:8" x14ac:dyDescent="0.25">
      <c r="A181" s="8">
        <v>43013.691006944442</v>
      </c>
      <c r="B181" s="20" t="s">
        <v>634</v>
      </c>
      <c r="C181" s="20" t="s">
        <v>744</v>
      </c>
      <c r="D181" s="138">
        <v>1180000</v>
      </c>
      <c r="E181" s="20" t="s">
        <v>450</v>
      </c>
      <c r="F181" s="20" t="s">
        <v>451</v>
      </c>
      <c r="G181" s="8" t="str">
        <f t="shared" si="4"/>
        <v>LEVERE CRAIG</v>
      </c>
      <c r="H181" s="20" t="str">
        <f t="shared" si="5"/>
        <v>4011</v>
      </c>
    </row>
    <row r="182" spans="1:8" x14ac:dyDescent="0.25">
      <c r="A182" s="8">
        <v>43013.692442129628</v>
      </c>
      <c r="B182" s="20" t="s">
        <v>391</v>
      </c>
      <c r="C182" s="20" t="s">
        <v>612</v>
      </c>
      <c r="D182" s="138">
        <v>750000</v>
      </c>
      <c r="E182" s="20" t="s">
        <v>718</v>
      </c>
      <c r="F182" s="20" t="s">
        <v>719</v>
      </c>
      <c r="G182" s="8" t="str">
        <f t="shared" si="4"/>
        <v>NATION TRACI</v>
      </c>
      <c r="H182" s="20" t="str">
        <f t="shared" si="5"/>
        <v>4010</v>
      </c>
    </row>
    <row r="183" spans="1:8" x14ac:dyDescent="0.25">
      <c r="A183" s="8">
        <v>43013.693437499998</v>
      </c>
      <c r="B183" s="20" t="s">
        <v>502</v>
      </c>
      <c r="C183" s="20" t="s">
        <v>735</v>
      </c>
      <c r="D183" s="138">
        <v>880000</v>
      </c>
      <c r="E183" s="20" t="s">
        <v>713</v>
      </c>
      <c r="F183" s="20" t="s">
        <v>431</v>
      </c>
      <c r="G183" s="8" t="str">
        <f t="shared" si="4"/>
        <v>STEWART MICHAEL</v>
      </c>
      <c r="H183" s="20" t="str">
        <f t="shared" si="5"/>
        <v>4027</v>
      </c>
    </row>
    <row r="184" spans="1:8" x14ac:dyDescent="0.25">
      <c r="A184" s="8">
        <v>43013.694768518515</v>
      </c>
      <c r="B184" s="20" t="s">
        <v>503</v>
      </c>
      <c r="C184" s="20" t="s">
        <v>745</v>
      </c>
      <c r="D184" s="138">
        <v>880000</v>
      </c>
      <c r="E184" s="20" t="s">
        <v>713</v>
      </c>
      <c r="F184" s="20" t="s">
        <v>431</v>
      </c>
      <c r="G184" s="8" t="str">
        <f t="shared" si="4"/>
        <v>STEWART MICHAEL</v>
      </c>
      <c r="H184" s="20" t="str">
        <f t="shared" si="5"/>
        <v>4028</v>
      </c>
    </row>
    <row r="185" spans="1:8" x14ac:dyDescent="0.25">
      <c r="A185" s="8">
        <v>43013.70040509259</v>
      </c>
      <c r="B185" s="20" t="s">
        <v>470</v>
      </c>
      <c r="C185" s="20" t="s">
        <v>746</v>
      </c>
      <c r="D185" s="138">
        <v>2550000</v>
      </c>
      <c r="E185" s="20" t="s">
        <v>691</v>
      </c>
      <c r="F185" s="20" t="s">
        <v>692</v>
      </c>
      <c r="G185" s="8" t="str">
        <f t="shared" si="4"/>
        <v>BADERTSCHER DIANE</v>
      </c>
      <c r="H185" s="20" t="str">
        <f t="shared" si="5"/>
        <v>4007</v>
      </c>
    </row>
    <row r="186" spans="1:8" x14ac:dyDescent="0.25">
      <c r="A186" s="8">
        <v>43013.701516203706</v>
      </c>
      <c r="B186" s="20" t="s">
        <v>421</v>
      </c>
      <c r="C186" s="20" t="s">
        <v>747</v>
      </c>
      <c r="D186" s="138">
        <v>2370000</v>
      </c>
      <c r="E186" s="20" t="s">
        <v>518</v>
      </c>
      <c r="F186" s="20" t="s">
        <v>519</v>
      </c>
      <c r="G186" s="8" t="str">
        <f t="shared" si="4"/>
        <v>DELGADO DIANAH</v>
      </c>
      <c r="H186" s="20" t="str">
        <f t="shared" si="5"/>
        <v>4056</v>
      </c>
    </row>
    <row r="187" spans="1:8" x14ac:dyDescent="0.25">
      <c r="A187" s="8">
        <v>43013.702210648145</v>
      </c>
      <c r="B187" s="20" t="s">
        <v>600</v>
      </c>
      <c r="C187" s="20" t="s">
        <v>740</v>
      </c>
      <c r="D187" s="138">
        <v>2350000</v>
      </c>
      <c r="E187" s="20" t="s">
        <v>516</v>
      </c>
      <c r="F187" s="20" t="s">
        <v>517</v>
      </c>
      <c r="G187" s="8" t="str">
        <f t="shared" si="4"/>
        <v>BERLING GARY</v>
      </c>
      <c r="H187" s="20" t="str">
        <f t="shared" si="5"/>
        <v>4043</v>
      </c>
    </row>
    <row r="188" spans="1:8" x14ac:dyDescent="0.25">
      <c r="A188" s="8">
        <v>43013.703946759262</v>
      </c>
      <c r="B188" s="20" t="s">
        <v>600</v>
      </c>
      <c r="C188" s="20" t="s">
        <v>740</v>
      </c>
      <c r="D188" s="138">
        <v>2350000</v>
      </c>
      <c r="E188" s="20" t="s">
        <v>516</v>
      </c>
      <c r="F188" s="20" t="s">
        <v>517</v>
      </c>
      <c r="G188" s="8" t="str">
        <f t="shared" si="4"/>
        <v>BERLING GARY</v>
      </c>
      <c r="H188" s="20" t="str">
        <f t="shared" si="5"/>
        <v>4043</v>
      </c>
    </row>
    <row r="189" spans="1:8" x14ac:dyDescent="0.25">
      <c r="A189" s="8">
        <v>43013.704340277778</v>
      </c>
      <c r="B189" s="20" t="s">
        <v>420</v>
      </c>
      <c r="C189" s="20" t="s">
        <v>747</v>
      </c>
      <c r="D189" s="138">
        <v>2370000</v>
      </c>
      <c r="E189" s="20" t="s">
        <v>518</v>
      </c>
      <c r="F189" s="20" t="s">
        <v>519</v>
      </c>
      <c r="G189" s="8" t="str">
        <f t="shared" si="4"/>
        <v>DELGADO DIANAH</v>
      </c>
      <c r="H189" s="20" t="str">
        <f t="shared" si="5"/>
        <v>4055</v>
      </c>
    </row>
    <row r="190" spans="1:8" x14ac:dyDescent="0.25">
      <c r="A190" s="8">
        <v>43013.704976851855</v>
      </c>
      <c r="B190" s="20" t="s">
        <v>394</v>
      </c>
      <c r="C190" s="20" t="s">
        <v>748</v>
      </c>
      <c r="D190" s="138">
        <v>1300000</v>
      </c>
      <c r="E190" s="20" t="s">
        <v>452</v>
      </c>
      <c r="F190" s="20" t="s">
        <v>453</v>
      </c>
      <c r="G190" s="8" t="str">
        <f t="shared" si="4"/>
        <v>LEVIN SCOTT</v>
      </c>
      <c r="H190" s="20" t="str">
        <f t="shared" si="5"/>
        <v>4042</v>
      </c>
    </row>
    <row r="191" spans="1:8" x14ac:dyDescent="0.25">
      <c r="A191" s="8">
        <v>43013.705069444448</v>
      </c>
      <c r="B191" s="20" t="s">
        <v>420</v>
      </c>
      <c r="C191" s="20" t="s">
        <v>747</v>
      </c>
      <c r="D191" s="138">
        <v>2370000</v>
      </c>
      <c r="E191" s="20" t="s">
        <v>518</v>
      </c>
      <c r="F191" s="20" t="s">
        <v>519</v>
      </c>
      <c r="G191" s="8" t="str">
        <f t="shared" si="4"/>
        <v>DELGADO DIANAH</v>
      </c>
      <c r="H191" s="20" t="str">
        <f t="shared" si="5"/>
        <v>4055</v>
      </c>
    </row>
    <row r="192" spans="1:8" x14ac:dyDescent="0.25">
      <c r="A192" s="8">
        <v>43013.705868055556</v>
      </c>
      <c r="B192" s="20" t="s">
        <v>420</v>
      </c>
      <c r="C192" s="20" t="s">
        <v>747</v>
      </c>
      <c r="D192" s="138">
        <v>2370000</v>
      </c>
      <c r="E192" s="20" t="s">
        <v>518</v>
      </c>
      <c r="F192" s="20" t="s">
        <v>519</v>
      </c>
      <c r="G192" s="8" t="str">
        <f t="shared" si="4"/>
        <v>DELGADO DIANAH</v>
      </c>
      <c r="H192" s="20" t="str">
        <f t="shared" si="5"/>
        <v>4055</v>
      </c>
    </row>
    <row r="193" spans="1:8" x14ac:dyDescent="0.25">
      <c r="A193" s="8">
        <v>43013.710868055554</v>
      </c>
      <c r="B193" s="20" t="s">
        <v>446</v>
      </c>
      <c r="C193" s="20" t="s">
        <v>749</v>
      </c>
      <c r="D193" s="138">
        <v>3280000</v>
      </c>
      <c r="E193" s="20" t="s">
        <v>478</v>
      </c>
      <c r="F193" s="20" t="s">
        <v>479</v>
      </c>
      <c r="G193" s="8" t="str">
        <f t="shared" si="4"/>
        <v>BIRKHOLZ NADINE</v>
      </c>
      <c r="H193" s="20" t="str">
        <f t="shared" si="5"/>
        <v>4002</v>
      </c>
    </row>
    <row r="194" spans="1:8" x14ac:dyDescent="0.25">
      <c r="A194" s="8">
        <v>43013.710925925923</v>
      </c>
      <c r="B194" s="20" t="s">
        <v>421</v>
      </c>
      <c r="C194" s="20" t="s">
        <v>750</v>
      </c>
      <c r="D194" s="138">
        <v>2370000</v>
      </c>
      <c r="E194" s="20" t="s">
        <v>518</v>
      </c>
      <c r="F194" s="20" t="s">
        <v>519</v>
      </c>
      <c r="G194" s="8" t="str">
        <f t="shared" si="4"/>
        <v>DELGADO DIANAH</v>
      </c>
      <c r="H194" s="20" t="str">
        <f t="shared" si="5"/>
        <v>4056</v>
      </c>
    </row>
    <row r="195" spans="1:8" x14ac:dyDescent="0.25">
      <c r="A195" s="8">
        <v>43013.7112037037</v>
      </c>
      <c r="B195" s="20" t="s">
        <v>594</v>
      </c>
      <c r="C195" s="20" t="s">
        <v>751</v>
      </c>
      <c r="D195" s="138">
        <v>3130000</v>
      </c>
      <c r="E195" s="20" t="s">
        <v>480</v>
      </c>
      <c r="F195" s="20" t="s">
        <v>481</v>
      </c>
      <c r="G195" s="8" t="str">
        <f t="shared" ref="G195:G258" si="6">E195&amp;" "&amp;F195</f>
        <v>ZEWDU DEREJE</v>
      </c>
      <c r="H195" s="20" t="str">
        <f t="shared" ref="H195:H258" si="7">MID(B195,13,4)</f>
        <v>4019</v>
      </c>
    </row>
    <row r="196" spans="1:8" x14ac:dyDescent="0.25">
      <c r="A196" s="8">
        <v>43013.712708333333</v>
      </c>
      <c r="B196" s="20" t="s">
        <v>610</v>
      </c>
      <c r="C196" s="20" t="s">
        <v>752</v>
      </c>
      <c r="D196" s="138">
        <v>2420000</v>
      </c>
      <c r="E196" s="20" t="s">
        <v>520</v>
      </c>
      <c r="F196" s="20" t="s">
        <v>521</v>
      </c>
      <c r="G196" s="8" t="str">
        <f t="shared" si="6"/>
        <v>HOLCOMB KAMDEN</v>
      </c>
      <c r="H196" s="20" t="str">
        <f t="shared" si="7"/>
        <v>4015</v>
      </c>
    </row>
    <row r="197" spans="1:8" x14ac:dyDescent="0.25">
      <c r="A197" s="8">
        <v>43013.72519675926</v>
      </c>
      <c r="B197" s="20" t="s">
        <v>511</v>
      </c>
      <c r="C197" s="20" t="s">
        <v>753</v>
      </c>
      <c r="D197" s="138">
        <v>750000</v>
      </c>
      <c r="E197" s="20" t="s">
        <v>718</v>
      </c>
      <c r="F197" s="20" t="s">
        <v>719</v>
      </c>
      <c r="G197" s="8" t="str">
        <f t="shared" si="6"/>
        <v>NATION TRACI</v>
      </c>
      <c r="H197" s="20" t="str">
        <f t="shared" si="7"/>
        <v>4009</v>
      </c>
    </row>
    <row r="198" spans="1:8" x14ac:dyDescent="0.25">
      <c r="A198" s="8">
        <v>43013.727743055555</v>
      </c>
      <c r="B198" s="20" t="s">
        <v>576</v>
      </c>
      <c r="C198" s="20" t="s">
        <v>754</v>
      </c>
      <c r="D198" s="138">
        <v>3280000</v>
      </c>
      <c r="E198" s="20" t="s">
        <v>478</v>
      </c>
      <c r="F198" s="20" t="s">
        <v>479</v>
      </c>
      <c r="G198" s="8" t="str">
        <f t="shared" si="6"/>
        <v>BIRKHOLZ NADINE</v>
      </c>
      <c r="H198" s="20" t="str">
        <f t="shared" si="7"/>
        <v>4001</v>
      </c>
    </row>
    <row r="199" spans="1:8" x14ac:dyDescent="0.25">
      <c r="A199" s="8">
        <v>43013.729178240741</v>
      </c>
      <c r="B199" s="20" t="s">
        <v>708</v>
      </c>
      <c r="C199" s="20" t="s">
        <v>755</v>
      </c>
      <c r="D199" s="138">
        <v>3130000</v>
      </c>
      <c r="E199" s="20" t="s">
        <v>480</v>
      </c>
      <c r="F199" s="20" t="s">
        <v>481</v>
      </c>
      <c r="G199" s="8" t="str">
        <f t="shared" si="6"/>
        <v>ZEWDU DEREJE</v>
      </c>
      <c r="H199" s="20" t="str">
        <f t="shared" si="7"/>
        <v>4020</v>
      </c>
    </row>
    <row r="200" spans="1:8" x14ac:dyDescent="0.25">
      <c r="A200" s="8">
        <v>43013.729861111111</v>
      </c>
      <c r="B200" s="20" t="s">
        <v>585</v>
      </c>
      <c r="C200" s="20" t="s">
        <v>756</v>
      </c>
      <c r="D200" s="138">
        <v>1180000</v>
      </c>
      <c r="E200" s="20" t="s">
        <v>450</v>
      </c>
      <c r="F200" s="20" t="s">
        <v>451</v>
      </c>
      <c r="G200" s="8" t="str">
        <f t="shared" si="6"/>
        <v>LEVERE CRAIG</v>
      </c>
      <c r="H200" s="20" t="str">
        <f t="shared" si="7"/>
        <v>4012</v>
      </c>
    </row>
    <row r="201" spans="1:8" x14ac:dyDescent="0.25">
      <c r="A201" s="8">
        <v>43013.733715277776</v>
      </c>
      <c r="B201" s="20" t="s">
        <v>502</v>
      </c>
      <c r="C201" s="20" t="s">
        <v>614</v>
      </c>
      <c r="D201" s="138">
        <v>880000</v>
      </c>
      <c r="E201" s="20" t="s">
        <v>713</v>
      </c>
      <c r="F201" s="20" t="s">
        <v>431</v>
      </c>
      <c r="G201" s="8" t="str">
        <f t="shared" si="6"/>
        <v>STEWART MICHAEL</v>
      </c>
      <c r="H201" s="20" t="str">
        <f t="shared" si="7"/>
        <v>4027</v>
      </c>
    </row>
    <row r="202" spans="1:8" x14ac:dyDescent="0.25">
      <c r="A202" s="26">
        <v>43013.738229166665</v>
      </c>
      <c r="B202" s="20" t="s">
        <v>432</v>
      </c>
      <c r="C202" s="20" t="s">
        <v>757</v>
      </c>
      <c r="D202" s="138">
        <v>890000</v>
      </c>
      <c r="E202" s="20" t="s">
        <v>362</v>
      </c>
      <c r="F202" s="20" t="s">
        <v>363</v>
      </c>
      <c r="G202" s="8" t="str">
        <f t="shared" si="6"/>
        <v>LOZA FIDEL</v>
      </c>
      <c r="H202" s="20" t="str">
        <f t="shared" si="7"/>
        <v>4008</v>
      </c>
    </row>
    <row r="203" spans="1:8" x14ac:dyDescent="0.25">
      <c r="A203" s="8">
        <v>43013.739479166667</v>
      </c>
      <c r="B203" s="20" t="s">
        <v>573</v>
      </c>
      <c r="C203" s="20" t="s">
        <v>758</v>
      </c>
      <c r="D203" s="138">
        <v>1300000</v>
      </c>
      <c r="E203" s="20" t="s">
        <v>452</v>
      </c>
      <c r="F203" s="20" t="s">
        <v>453</v>
      </c>
      <c r="G203" s="8" t="str">
        <f t="shared" si="6"/>
        <v>LEVIN SCOTT</v>
      </c>
      <c r="H203" s="20" t="str">
        <f t="shared" si="7"/>
        <v>4041</v>
      </c>
    </row>
    <row r="204" spans="1:8" x14ac:dyDescent="0.25">
      <c r="A204" s="8">
        <v>43013.742615740739</v>
      </c>
      <c r="B204" s="20" t="s">
        <v>385</v>
      </c>
      <c r="C204" s="20" t="s">
        <v>759</v>
      </c>
      <c r="D204" s="138">
        <v>3490000</v>
      </c>
      <c r="E204" s="20" t="s">
        <v>760</v>
      </c>
      <c r="F204" s="20" t="s">
        <v>761</v>
      </c>
      <c r="G204" s="8" t="str">
        <f t="shared" si="6"/>
        <v>WEST BRYAN</v>
      </c>
      <c r="H204" s="20" t="str">
        <f t="shared" si="7"/>
        <v>4057</v>
      </c>
    </row>
    <row r="205" spans="1:8" x14ac:dyDescent="0.25">
      <c r="A205" s="8">
        <v>43013.743819444448</v>
      </c>
      <c r="B205" s="20" t="s">
        <v>385</v>
      </c>
      <c r="C205" s="20" t="s">
        <v>759</v>
      </c>
      <c r="D205" s="138">
        <v>3490000</v>
      </c>
      <c r="E205" s="20" t="s">
        <v>760</v>
      </c>
      <c r="F205" s="20" t="s">
        <v>761</v>
      </c>
      <c r="G205" s="8" t="str">
        <f t="shared" si="6"/>
        <v>WEST BRYAN</v>
      </c>
      <c r="H205" s="20" t="str">
        <f t="shared" si="7"/>
        <v>4057</v>
      </c>
    </row>
    <row r="206" spans="1:8" x14ac:dyDescent="0.25">
      <c r="A206" s="8">
        <v>43013.747337962966</v>
      </c>
      <c r="B206" s="20" t="s">
        <v>605</v>
      </c>
      <c r="C206" s="20" t="s">
        <v>762</v>
      </c>
      <c r="D206" s="138">
        <v>2420000</v>
      </c>
      <c r="E206" s="20" t="s">
        <v>520</v>
      </c>
      <c r="F206" s="20" t="s">
        <v>521</v>
      </c>
      <c r="G206" s="8" t="str">
        <f t="shared" si="6"/>
        <v>HOLCOMB KAMDEN</v>
      </c>
      <c r="H206" s="20" t="str">
        <f t="shared" si="7"/>
        <v>4016</v>
      </c>
    </row>
    <row r="207" spans="1:8" x14ac:dyDescent="0.25">
      <c r="A207" s="8">
        <v>43013.749351851853</v>
      </c>
      <c r="B207" s="20" t="s">
        <v>420</v>
      </c>
      <c r="C207" s="20" t="s">
        <v>615</v>
      </c>
      <c r="D207" s="138">
        <v>2370000</v>
      </c>
      <c r="E207" s="20" t="s">
        <v>518</v>
      </c>
      <c r="F207" s="20" t="s">
        <v>519</v>
      </c>
      <c r="G207" s="8" t="str">
        <f t="shared" si="6"/>
        <v>DELGADO DIANAH</v>
      </c>
      <c r="H207" s="20" t="str">
        <f t="shared" si="7"/>
        <v>4055</v>
      </c>
    </row>
    <row r="208" spans="1:8" x14ac:dyDescent="0.25">
      <c r="A208" s="8">
        <v>43013.753240740742</v>
      </c>
      <c r="B208" s="20" t="s">
        <v>446</v>
      </c>
      <c r="C208" s="20" t="s">
        <v>763</v>
      </c>
      <c r="D208" s="138">
        <v>3280000</v>
      </c>
      <c r="E208" s="20" t="s">
        <v>478</v>
      </c>
      <c r="F208" s="20" t="s">
        <v>479</v>
      </c>
      <c r="G208" s="8" t="str">
        <f t="shared" si="6"/>
        <v>BIRKHOLZ NADINE</v>
      </c>
      <c r="H208" s="20" t="str">
        <f t="shared" si="7"/>
        <v>4002</v>
      </c>
    </row>
    <row r="209" spans="1:8" x14ac:dyDescent="0.25">
      <c r="A209" s="8">
        <v>43013.754479166666</v>
      </c>
      <c r="B209" s="20" t="s">
        <v>594</v>
      </c>
      <c r="C209" s="20" t="s">
        <v>764</v>
      </c>
      <c r="D209" s="138">
        <v>3130000</v>
      </c>
      <c r="E209" s="20" t="s">
        <v>480</v>
      </c>
      <c r="F209" s="20" t="s">
        <v>481</v>
      </c>
      <c r="G209" s="8" t="str">
        <f t="shared" si="6"/>
        <v>ZEWDU DEREJE</v>
      </c>
      <c r="H209" s="20" t="str">
        <f t="shared" si="7"/>
        <v>4019</v>
      </c>
    </row>
    <row r="210" spans="1:8" x14ac:dyDescent="0.25">
      <c r="A210" s="8">
        <v>43013.762314814812</v>
      </c>
      <c r="B210" s="20" t="s">
        <v>391</v>
      </c>
      <c r="C210" s="20" t="s">
        <v>765</v>
      </c>
      <c r="D210" s="138">
        <v>3320000</v>
      </c>
      <c r="E210" s="20" t="s">
        <v>373</v>
      </c>
      <c r="F210" s="20" t="s">
        <v>374</v>
      </c>
      <c r="G210" s="8" t="str">
        <f t="shared" si="6"/>
        <v>NICHOLSON WESLEY</v>
      </c>
      <c r="H210" s="20" t="str">
        <f t="shared" si="7"/>
        <v>4010</v>
      </c>
    </row>
    <row r="211" spans="1:8" x14ac:dyDescent="0.25">
      <c r="A211" s="8">
        <v>43013.766979166663</v>
      </c>
      <c r="B211" s="20" t="s">
        <v>634</v>
      </c>
      <c r="C211" s="20" t="s">
        <v>766</v>
      </c>
      <c r="D211" s="138">
        <v>1180000</v>
      </c>
      <c r="E211" s="20" t="s">
        <v>450</v>
      </c>
      <c r="F211" s="20" t="s">
        <v>451</v>
      </c>
      <c r="G211" s="8" t="str">
        <f t="shared" si="6"/>
        <v>LEVERE CRAIG</v>
      </c>
      <c r="H211" s="20" t="str">
        <f t="shared" si="7"/>
        <v>4011</v>
      </c>
    </row>
    <row r="212" spans="1:8" x14ac:dyDescent="0.25">
      <c r="A212" s="8">
        <v>43013.769837962966</v>
      </c>
      <c r="B212" s="20" t="s">
        <v>576</v>
      </c>
      <c r="C212" s="20" t="s">
        <v>767</v>
      </c>
      <c r="D212" s="138">
        <v>3280000</v>
      </c>
      <c r="E212" s="20" t="s">
        <v>478</v>
      </c>
      <c r="F212" s="20" t="s">
        <v>479</v>
      </c>
      <c r="G212" s="8" t="str">
        <f t="shared" si="6"/>
        <v>BIRKHOLZ NADINE</v>
      </c>
      <c r="H212" s="20" t="str">
        <f t="shared" si="7"/>
        <v>4001</v>
      </c>
    </row>
    <row r="213" spans="1:8" x14ac:dyDescent="0.25">
      <c r="A213" s="8">
        <v>43013.770162037035</v>
      </c>
      <c r="B213" s="20" t="s">
        <v>503</v>
      </c>
      <c r="C213" s="20" t="s">
        <v>768</v>
      </c>
      <c r="D213" s="138">
        <v>2540000</v>
      </c>
      <c r="E213" s="20" t="s">
        <v>522</v>
      </c>
      <c r="F213" s="20" t="s">
        <v>523</v>
      </c>
      <c r="G213" s="8" t="str">
        <f t="shared" si="6"/>
        <v>MCREYNOLDS KYLE</v>
      </c>
      <c r="H213" s="20" t="str">
        <f t="shared" si="7"/>
        <v>4028</v>
      </c>
    </row>
    <row r="214" spans="1:8" x14ac:dyDescent="0.25">
      <c r="A214" s="8">
        <v>43013.771215277775</v>
      </c>
      <c r="B214" s="20" t="s">
        <v>708</v>
      </c>
      <c r="C214" s="20" t="s">
        <v>769</v>
      </c>
      <c r="D214" s="138">
        <v>3130000</v>
      </c>
      <c r="E214" s="20" t="s">
        <v>480</v>
      </c>
      <c r="F214" s="20" t="s">
        <v>481</v>
      </c>
      <c r="G214" s="8" t="str">
        <f t="shared" si="6"/>
        <v>ZEWDU DEREJE</v>
      </c>
      <c r="H214" s="20" t="str">
        <f t="shared" si="7"/>
        <v>4020</v>
      </c>
    </row>
    <row r="215" spans="1:8" x14ac:dyDescent="0.25">
      <c r="A215" s="8">
        <v>43013.776817129627</v>
      </c>
      <c r="B215" s="20" t="s">
        <v>394</v>
      </c>
      <c r="C215" s="20" t="s">
        <v>770</v>
      </c>
      <c r="D215" s="138">
        <v>1300000</v>
      </c>
      <c r="E215" s="20" t="s">
        <v>452</v>
      </c>
      <c r="F215" s="20" t="s">
        <v>453</v>
      </c>
      <c r="G215" s="8" t="str">
        <f t="shared" si="6"/>
        <v>LEVIN SCOTT</v>
      </c>
      <c r="H215" s="20" t="str">
        <f t="shared" si="7"/>
        <v>4042</v>
      </c>
    </row>
    <row r="216" spans="1:8" x14ac:dyDescent="0.25">
      <c r="A216" s="8">
        <v>43013.777662037035</v>
      </c>
      <c r="B216" s="20" t="s">
        <v>470</v>
      </c>
      <c r="C216" s="20" t="s">
        <v>771</v>
      </c>
      <c r="D216" s="138">
        <v>890000</v>
      </c>
      <c r="E216" s="20" t="s">
        <v>362</v>
      </c>
      <c r="F216" s="20" t="s">
        <v>363</v>
      </c>
      <c r="G216" s="8" t="str">
        <f t="shared" si="6"/>
        <v>LOZA FIDEL</v>
      </c>
      <c r="H216" s="20" t="str">
        <f t="shared" si="7"/>
        <v>4007</v>
      </c>
    </row>
    <row r="217" spans="1:8" x14ac:dyDescent="0.25">
      <c r="A217" s="8">
        <v>43013.786319444444</v>
      </c>
      <c r="B217" s="20" t="s">
        <v>619</v>
      </c>
      <c r="C217" s="20" t="s">
        <v>772</v>
      </c>
      <c r="D217" s="138">
        <v>3190000</v>
      </c>
      <c r="E217" s="20" t="s">
        <v>370</v>
      </c>
      <c r="F217" s="20" t="s">
        <v>371</v>
      </c>
      <c r="G217" s="8" t="str">
        <f t="shared" si="6"/>
        <v>HART KEVIN</v>
      </c>
      <c r="H217" s="20" t="str">
        <f t="shared" si="7"/>
        <v>4044</v>
      </c>
    </row>
    <row r="218" spans="1:8" x14ac:dyDescent="0.25">
      <c r="A218" s="8">
        <v>43013.78702546296</v>
      </c>
      <c r="B218" s="20" t="s">
        <v>610</v>
      </c>
      <c r="C218" s="20" t="s">
        <v>773</v>
      </c>
      <c r="D218" s="138">
        <v>2420000</v>
      </c>
      <c r="E218" s="20" t="s">
        <v>520</v>
      </c>
      <c r="F218" s="20" t="s">
        <v>521</v>
      </c>
      <c r="G218" s="8" t="str">
        <f t="shared" si="6"/>
        <v>HOLCOMB KAMDEN</v>
      </c>
      <c r="H218" s="20" t="str">
        <f t="shared" si="7"/>
        <v>4015</v>
      </c>
    </row>
    <row r="219" spans="1:8" x14ac:dyDescent="0.25">
      <c r="A219" s="8">
        <v>43013.788472222222</v>
      </c>
      <c r="B219" s="20" t="s">
        <v>421</v>
      </c>
      <c r="C219" s="20" t="s">
        <v>774</v>
      </c>
      <c r="D219" s="138">
        <v>2370000</v>
      </c>
      <c r="E219" s="20" t="s">
        <v>518</v>
      </c>
      <c r="F219" s="20" t="s">
        <v>519</v>
      </c>
      <c r="G219" s="8" t="str">
        <f t="shared" si="6"/>
        <v>DELGADO DIANAH</v>
      </c>
      <c r="H219" s="20" t="str">
        <f t="shared" si="7"/>
        <v>4056</v>
      </c>
    </row>
    <row r="220" spans="1:8" x14ac:dyDescent="0.25">
      <c r="A220" s="8">
        <v>43013.789444444446</v>
      </c>
      <c r="B220" s="20" t="s">
        <v>600</v>
      </c>
      <c r="C220" s="20" t="s">
        <v>772</v>
      </c>
      <c r="D220" s="138">
        <v>3190000</v>
      </c>
      <c r="E220" s="20" t="s">
        <v>370</v>
      </c>
      <c r="F220" s="20" t="s">
        <v>371</v>
      </c>
      <c r="G220" s="8" t="str">
        <f t="shared" si="6"/>
        <v>HART KEVIN</v>
      </c>
      <c r="H220" s="20" t="str">
        <f t="shared" si="7"/>
        <v>4043</v>
      </c>
    </row>
    <row r="221" spans="1:8" x14ac:dyDescent="0.25">
      <c r="A221" s="8">
        <v>43013.789490740739</v>
      </c>
      <c r="B221" s="20" t="s">
        <v>594</v>
      </c>
      <c r="C221" s="20" t="s">
        <v>775</v>
      </c>
      <c r="D221" s="138">
        <v>3130000</v>
      </c>
      <c r="E221" s="20" t="s">
        <v>480</v>
      </c>
      <c r="F221" s="20" t="s">
        <v>481</v>
      </c>
      <c r="G221" s="8" t="str">
        <f t="shared" si="6"/>
        <v>ZEWDU DEREJE</v>
      </c>
      <c r="H221" s="20" t="str">
        <f t="shared" si="7"/>
        <v>4019</v>
      </c>
    </row>
    <row r="222" spans="1:8" x14ac:dyDescent="0.25">
      <c r="A222" s="8">
        <v>43013.790324074071</v>
      </c>
      <c r="B222" s="20" t="s">
        <v>600</v>
      </c>
      <c r="C222" s="20" t="s">
        <v>772</v>
      </c>
      <c r="D222" s="138">
        <v>3190000</v>
      </c>
      <c r="E222" s="20" t="s">
        <v>370</v>
      </c>
      <c r="F222" s="20" t="s">
        <v>371</v>
      </c>
      <c r="G222" s="8" t="str">
        <f t="shared" si="6"/>
        <v>HART KEVIN</v>
      </c>
      <c r="H222" s="20" t="str">
        <f t="shared" si="7"/>
        <v>4043</v>
      </c>
    </row>
    <row r="223" spans="1:8" x14ac:dyDescent="0.25">
      <c r="A223" s="8">
        <v>43013.793668981481</v>
      </c>
      <c r="B223" s="20" t="s">
        <v>511</v>
      </c>
      <c r="C223" s="20" t="s">
        <v>776</v>
      </c>
      <c r="D223" s="138">
        <v>3320000</v>
      </c>
      <c r="E223" s="20" t="s">
        <v>373</v>
      </c>
      <c r="F223" s="20" t="s">
        <v>374</v>
      </c>
      <c r="G223" s="8" t="str">
        <f t="shared" si="6"/>
        <v>NICHOLSON WESLEY</v>
      </c>
      <c r="H223" s="20" t="str">
        <f t="shared" si="7"/>
        <v>4009</v>
      </c>
    </row>
    <row r="224" spans="1:8" x14ac:dyDescent="0.25">
      <c r="A224" s="8">
        <v>43013.794317129628</v>
      </c>
      <c r="B224" t="s">
        <v>619</v>
      </c>
      <c r="C224" t="s">
        <v>777</v>
      </c>
      <c r="D224" s="138">
        <v>3190000</v>
      </c>
      <c r="E224" t="s">
        <v>370</v>
      </c>
      <c r="F224" s="20" t="s">
        <v>371</v>
      </c>
      <c r="G224" s="8" t="str">
        <f t="shared" si="6"/>
        <v>HART KEVIN</v>
      </c>
      <c r="H224" s="20" t="str">
        <f t="shared" si="7"/>
        <v>4044</v>
      </c>
    </row>
    <row r="225" spans="1:8" x14ac:dyDescent="0.25">
      <c r="A225" s="8">
        <v>43013.795046296298</v>
      </c>
      <c r="B225" t="s">
        <v>446</v>
      </c>
      <c r="C225" t="s">
        <v>778</v>
      </c>
      <c r="D225" s="138">
        <v>3280000</v>
      </c>
      <c r="E225" t="s">
        <v>478</v>
      </c>
      <c r="F225" s="20" t="s">
        <v>479</v>
      </c>
      <c r="G225" s="8" t="str">
        <f t="shared" si="6"/>
        <v>BIRKHOLZ NADINE</v>
      </c>
      <c r="H225" s="20" t="str">
        <f t="shared" si="7"/>
        <v>4002</v>
      </c>
    </row>
    <row r="226" spans="1:8" x14ac:dyDescent="0.25">
      <c r="A226" s="8">
        <v>43013.800069444442</v>
      </c>
      <c r="B226" t="s">
        <v>585</v>
      </c>
      <c r="C226" t="s">
        <v>779</v>
      </c>
      <c r="D226" s="138">
        <v>1180000</v>
      </c>
      <c r="E226" t="s">
        <v>450</v>
      </c>
      <c r="F226" s="20" t="s">
        <v>451</v>
      </c>
      <c r="G226" s="8" t="str">
        <f t="shared" si="6"/>
        <v>LEVERE CRAIG</v>
      </c>
      <c r="H226" s="20" t="str">
        <f t="shared" si="7"/>
        <v>4012</v>
      </c>
    </row>
    <row r="227" spans="1:8" x14ac:dyDescent="0.25">
      <c r="A227" s="8">
        <v>43013.805520833332</v>
      </c>
      <c r="B227" t="s">
        <v>502</v>
      </c>
      <c r="C227" t="s">
        <v>780</v>
      </c>
      <c r="D227" s="138">
        <v>2540000</v>
      </c>
      <c r="E227" t="s">
        <v>522</v>
      </c>
      <c r="F227" s="20" t="s">
        <v>523</v>
      </c>
      <c r="G227" s="8" t="str">
        <f t="shared" si="6"/>
        <v>MCREYNOLDS KYLE</v>
      </c>
      <c r="H227" s="20" t="str">
        <f t="shared" si="7"/>
        <v>4027</v>
      </c>
    </row>
    <row r="228" spans="1:8" x14ac:dyDescent="0.25">
      <c r="A228" s="8">
        <v>43013.810671296298</v>
      </c>
      <c r="B228" t="s">
        <v>576</v>
      </c>
      <c r="C228" t="s">
        <v>781</v>
      </c>
      <c r="D228" s="138">
        <v>3280000</v>
      </c>
      <c r="E228" t="s">
        <v>478</v>
      </c>
      <c r="F228" s="20" t="s">
        <v>479</v>
      </c>
      <c r="G228" s="8" t="str">
        <f t="shared" si="6"/>
        <v>BIRKHOLZ NADINE</v>
      </c>
      <c r="H228" s="20" t="str">
        <f t="shared" si="7"/>
        <v>4001</v>
      </c>
    </row>
    <row r="229" spans="1:8" x14ac:dyDescent="0.25">
      <c r="A229" s="8">
        <v>43013.81082175926</v>
      </c>
      <c r="B229" t="s">
        <v>432</v>
      </c>
      <c r="C229" t="s">
        <v>782</v>
      </c>
      <c r="D229" s="138">
        <v>890000</v>
      </c>
      <c r="E229" t="s">
        <v>362</v>
      </c>
      <c r="F229" s="20" t="s">
        <v>363</v>
      </c>
      <c r="G229" s="8" t="str">
        <f t="shared" si="6"/>
        <v>LOZA FIDEL</v>
      </c>
      <c r="H229" s="20" t="str">
        <f t="shared" si="7"/>
        <v>4008</v>
      </c>
    </row>
    <row r="230" spans="1:8" x14ac:dyDescent="0.25">
      <c r="A230" s="8">
        <v>43013.821504629632</v>
      </c>
      <c r="B230" t="s">
        <v>605</v>
      </c>
      <c r="C230" t="s">
        <v>783</v>
      </c>
      <c r="D230" s="138">
        <v>2420000</v>
      </c>
      <c r="E230" t="s">
        <v>520</v>
      </c>
      <c r="F230" s="20" t="s">
        <v>521</v>
      </c>
      <c r="G230" s="8" t="str">
        <f t="shared" si="6"/>
        <v>HOLCOMB KAMDEN</v>
      </c>
      <c r="H230" s="20" t="str">
        <f t="shared" si="7"/>
        <v>4016</v>
      </c>
    </row>
    <row r="231" spans="1:8" x14ac:dyDescent="0.25">
      <c r="A231" s="8">
        <v>43013.824108796296</v>
      </c>
      <c r="B231" t="s">
        <v>377</v>
      </c>
      <c r="C231" t="s">
        <v>759</v>
      </c>
      <c r="D231" s="138">
        <v>3490000</v>
      </c>
      <c r="E231" t="s">
        <v>760</v>
      </c>
      <c r="F231" s="20" t="s">
        <v>761</v>
      </c>
      <c r="G231" s="8" t="str">
        <f t="shared" si="6"/>
        <v>WEST BRYAN</v>
      </c>
      <c r="H231" s="20" t="str">
        <f t="shared" si="7"/>
        <v>4058</v>
      </c>
    </row>
    <row r="232" spans="1:8" x14ac:dyDescent="0.25">
      <c r="A232" s="8">
        <v>43013.824629629627</v>
      </c>
      <c r="B232" t="s">
        <v>377</v>
      </c>
      <c r="C232" t="s">
        <v>759</v>
      </c>
      <c r="D232" s="138">
        <v>3490000</v>
      </c>
      <c r="E232" t="s">
        <v>760</v>
      </c>
      <c r="F232" s="20" t="s">
        <v>761</v>
      </c>
      <c r="G232" s="8" t="str">
        <f t="shared" si="6"/>
        <v>WEST BRYAN</v>
      </c>
      <c r="H232" s="20" t="str">
        <f t="shared" si="7"/>
        <v>4058</v>
      </c>
    </row>
    <row r="233" spans="1:8" x14ac:dyDescent="0.25">
      <c r="A233" s="8">
        <v>43013.825520833336</v>
      </c>
      <c r="B233" t="s">
        <v>377</v>
      </c>
      <c r="C233" t="s">
        <v>759</v>
      </c>
      <c r="D233" s="138">
        <v>3490000</v>
      </c>
      <c r="E233" t="s">
        <v>760</v>
      </c>
      <c r="F233" s="20" t="s">
        <v>761</v>
      </c>
      <c r="G233" s="8" t="str">
        <f t="shared" si="6"/>
        <v>WEST BRYAN</v>
      </c>
      <c r="H233" s="20" t="str">
        <f t="shared" si="7"/>
        <v>4058</v>
      </c>
    </row>
    <row r="234" spans="1:8" x14ac:dyDescent="0.25">
      <c r="A234" s="8">
        <v>43013.829305555555</v>
      </c>
      <c r="B234" t="s">
        <v>600</v>
      </c>
      <c r="C234" t="s">
        <v>784</v>
      </c>
      <c r="D234" s="138">
        <v>3190000</v>
      </c>
      <c r="E234" t="s">
        <v>370</v>
      </c>
      <c r="F234" s="20" t="s">
        <v>371</v>
      </c>
      <c r="G234" s="8" t="str">
        <f t="shared" si="6"/>
        <v>HART KEVIN</v>
      </c>
      <c r="H234" s="20" t="str">
        <f t="shared" si="7"/>
        <v>4043</v>
      </c>
    </row>
    <row r="235" spans="1:8" x14ac:dyDescent="0.25">
      <c r="A235" s="8">
        <v>43013.829988425925</v>
      </c>
      <c r="B235" t="s">
        <v>385</v>
      </c>
      <c r="C235" t="s">
        <v>759</v>
      </c>
      <c r="D235" s="138">
        <v>3490000</v>
      </c>
      <c r="E235" t="s">
        <v>760</v>
      </c>
      <c r="F235" s="20" t="s">
        <v>761</v>
      </c>
      <c r="G235" s="8" t="str">
        <f t="shared" si="6"/>
        <v>WEST BRYAN</v>
      </c>
      <c r="H235" s="20" t="str">
        <f t="shared" si="7"/>
        <v>4057</v>
      </c>
    </row>
    <row r="236" spans="1:8" x14ac:dyDescent="0.25">
      <c r="A236" s="8">
        <v>43013.832569444443</v>
      </c>
      <c r="B236" t="s">
        <v>391</v>
      </c>
      <c r="C236" t="s">
        <v>616</v>
      </c>
      <c r="D236" s="138">
        <v>3320000</v>
      </c>
      <c r="E236" t="s">
        <v>373</v>
      </c>
      <c r="F236" s="20" t="s">
        <v>374</v>
      </c>
      <c r="G236" s="8" t="str">
        <f t="shared" si="6"/>
        <v>NICHOLSON WESLEY</v>
      </c>
      <c r="H236" s="20" t="str">
        <f t="shared" si="7"/>
        <v>4010</v>
      </c>
    </row>
    <row r="237" spans="1:8" x14ac:dyDescent="0.25">
      <c r="A237" s="8">
        <v>43013.837268518517</v>
      </c>
      <c r="B237" t="s">
        <v>446</v>
      </c>
      <c r="C237" t="s">
        <v>785</v>
      </c>
      <c r="D237" s="138">
        <v>3280000</v>
      </c>
      <c r="E237" t="s">
        <v>478</v>
      </c>
      <c r="F237" s="20" t="s">
        <v>479</v>
      </c>
      <c r="G237" s="8" t="str">
        <f t="shared" si="6"/>
        <v>BIRKHOLZ NADINE</v>
      </c>
      <c r="H237" s="20" t="str">
        <f t="shared" si="7"/>
        <v>4002</v>
      </c>
    </row>
    <row r="238" spans="1:8" x14ac:dyDescent="0.25">
      <c r="A238" s="8">
        <v>43013.849212962959</v>
      </c>
      <c r="B238" t="s">
        <v>503</v>
      </c>
      <c r="C238" t="s">
        <v>786</v>
      </c>
      <c r="D238" s="138">
        <v>2540000</v>
      </c>
      <c r="E238" t="s">
        <v>522</v>
      </c>
      <c r="F238" s="20" t="s">
        <v>523</v>
      </c>
      <c r="G238" s="8" t="str">
        <f t="shared" si="6"/>
        <v>MCREYNOLDS KYLE</v>
      </c>
      <c r="H238" s="20" t="str">
        <f t="shared" si="7"/>
        <v>4028</v>
      </c>
    </row>
    <row r="239" spans="1:8" x14ac:dyDescent="0.25">
      <c r="A239" s="8">
        <v>43013.852094907408</v>
      </c>
      <c r="B239" t="s">
        <v>470</v>
      </c>
      <c r="C239" t="s">
        <v>787</v>
      </c>
      <c r="D239" s="138">
        <v>890000</v>
      </c>
      <c r="E239" t="s">
        <v>362</v>
      </c>
      <c r="F239" s="20" t="s">
        <v>363</v>
      </c>
      <c r="G239" s="8" t="str">
        <f t="shared" si="6"/>
        <v>LOZA FIDEL</v>
      </c>
      <c r="H239" s="20" t="str">
        <f t="shared" si="7"/>
        <v>4007</v>
      </c>
    </row>
    <row r="240" spans="1:8" x14ac:dyDescent="0.25">
      <c r="A240" s="8">
        <v>43013.85255787037</v>
      </c>
      <c r="B240" t="s">
        <v>576</v>
      </c>
      <c r="C240" t="s">
        <v>788</v>
      </c>
      <c r="D240" s="138">
        <v>3280000</v>
      </c>
      <c r="E240" t="s">
        <v>478</v>
      </c>
      <c r="F240" s="20" t="s">
        <v>479</v>
      </c>
      <c r="G240" s="8" t="str">
        <f t="shared" si="6"/>
        <v>BIRKHOLZ NADINE</v>
      </c>
      <c r="H240" s="20" t="str">
        <f t="shared" si="7"/>
        <v>4001</v>
      </c>
    </row>
    <row r="241" spans="1:8" x14ac:dyDescent="0.25">
      <c r="A241" s="8">
        <v>43013.865543981483</v>
      </c>
      <c r="B241" t="s">
        <v>511</v>
      </c>
      <c r="C241" t="s">
        <v>789</v>
      </c>
      <c r="D241" s="138">
        <v>3320000</v>
      </c>
      <c r="E241" t="s">
        <v>373</v>
      </c>
      <c r="F241" s="20" t="s">
        <v>374</v>
      </c>
      <c r="G241" s="8" t="str">
        <f t="shared" si="6"/>
        <v>NICHOLSON WESLEY</v>
      </c>
      <c r="H241" s="20" t="str">
        <f t="shared" si="7"/>
        <v>4009</v>
      </c>
    </row>
    <row r="242" spans="1:8" x14ac:dyDescent="0.25">
      <c r="A242" s="8">
        <v>43013.870868055557</v>
      </c>
      <c r="B242" t="s">
        <v>619</v>
      </c>
      <c r="C242" t="s">
        <v>790</v>
      </c>
      <c r="D242" s="138">
        <v>3190000</v>
      </c>
      <c r="E242" t="s">
        <v>370</v>
      </c>
      <c r="F242" s="20" t="s">
        <v>371</v>
      </c>
      <c r="G242" s="8" t="str">
        <f t="shared" si="6"/>
        <v>HART KEVIN</v>
      </c>
      <c r="H242" s="20" t="str">
        <f t="shared" si="7"/>
        <v>4044</v>
      </c>
    </row>
    <row r="243" spans="1:8" x14ac:dyDescent="0.25">
      <c r="A243" s="8">
        <v>43013.876504629632</v>
      </c>
      <c r="B243" t="s">
        <v>446</v>
      </c>
      <c r="C243" t="s">
        <v>791</v>
      </c>
      <c r="D243" s="138">
        <v>3130000</v>
      </c>
      <c r="E243" t="s">
        <v>480</v>
      </c>
      <c r="F243" s="20" t="s">
        <v>481</v>
      </c>
      <c r="G243" s="8" t="str">
        <f t="shared" si="6"/>
        <v>ZEWDU DEREJE</v>
      </c>
      <c r="H243" s="20" t="str">
        <f t="shared" si="7"/>
        <v>4002</v>
      </c>
    </row>
    <row r="244" spans="1:8" x14ac:dyDescent="0.25">
      <c r="A244" s="8">
        <v>43013.887060185189</v>
      </c>
      <c r="B244" t="s">
        <v>432</v>
      </c>
      <c r="C244" t="s">
        <v>792</v>
      </c>
      <c r="D244" s="138">
        <v>890000</v>
      </c>
      <c r="E244" t="s">
        <v>362</v>
      </c>
      <c r="F244" s="20" t="s">
        <v>363</v>
      </c>
      <c r="G244" s="8" t="str">
        <f t="shared" si="6"/>
        <v>LOZA FIDEL</v>
      </c>
      <c r="H244" s="20" t="str">
        <f t="shared" si="7"/>
        <v>4008</v>
      </c>
    </row>
    <row r="245" spans="1:8" x14ac:dyDescent="0.25">
      <c r="A245" s="8">
        <v>43013.888090277775</v>
      </c>
      <c r="B245" t="s">
        <v>502</v>
      </c>
      <c r="C245" t="s">
        <v>793</v>
      </c>
      <c r="D245" s="138">
        <v>2540000</v>
      </c>
      <c r="E245" t="s">
        <v>522</v>
      </c>
      <c r="F245" s="20" t="s">
        <v>523</v>
      </c>
      <c r="G245" s="8" t="str">
        <f t="shared" si="6"/>
        <v>MCREYNOLDS KYLE</v>
      </c>
      <c r="H245" s="20" t="str">
        <f t="shared" si="7"/>
        <v>4027</v>
      </c>
    </row>
    <row r="246" spans="1:8" x14ac:dyDescent="0.25">
      <c r="A246" s="8">
        <v>43013.893553240741</v>
      </c>
      <c r="B246" t="s">
        <v>576</v>
      </c>
      <c r="C246" t="s">
        <v>794</v>
      </c>
      <c r="D246" s="138">
        <v>3130000</v>
      </c>
      <c r="E246" t="s">
        <v>480</v>
      </c>
      <c r="F246" s="20" t="s">
        <v>481</v>
      </c>
      <c r="G246" s="8" t="str">
        <f t="shared" si="6"/>
        <v>ZEWDU DEREJE</v>
      </c>
      <c r="H246" s="20" t="str">
        <f t="shared" si="7"/>
        <v>4001</v>
      </c>
    </row>
    <row r="247" spans="1:8" x14ac:dyDescent="0.25">
      <c r="A247" s="8">
        <v>43013.904421296298</v>
      </c>
      <c r="B247" t="s">
        <v>391</v>
      </c>
      <c r="C247" t="s">
        <v>795</v>
      </c>
      <c r="D247" s="138">
        <v>3320000</v>
      </c>
      <c r="E247" t="s">
        <v>373</v>
      </c>
      <c r="F247" s="20" t="s">
        <v>374</v>
      </c>
      <c r="G247" s="8" t="str">
        <f t="shared" si="6"/>
        <v>NICHOLSON WESLEY</v>
      </c>
      <c r="H247" s="20" t="str">
        <f t="shared" si="7"/>
        <v>4010</v>
      </c>
    </row>
    <row r="248" spans="1:8" x14ac:dyDescent="0.25">
      <c r="A248" s="8">
        <v>43013.912349537037</v>
      </c>
      <c r="B248" t="s">
        <v>600</v>
      </c>
      <c r="C248" t="s">
        <v>796</v>
      </c>
      <c r="D248" s="138">
        <v>3190000</v>
      </c>
      <c r="E248" t="s">
        <v>370</v>
      </c>
      <c r="F248" s="20" t="s">
        <v>371</v>
      </c>
      <c r="G248" s="8" t="str">
        <f t="shared" si="6"/>
        <v>HART KEVIN</v>
      </c>
      <c r="H248" s="20" t="str">
        <f t="shared" si="7"/>
        <v>4043</v>
      </c>
    </row>
    <row r="249" spans="1:8" x14ac:dyDescent="0.25">
      <c r="A249" s="8">
        <v>43013.915439814817</v>
      </c>
      <c r="B249" t="s">
        <v>446</v>
      </c>
      <c r="C249" t="s">
        <v>797</v>
      </c>
      <c r="D249" s="138">
        <v>3130000</v>
      </c>
      <c r="E249" t="s">
        <v>480</v>
      </c>
      <c r="F249" s="20" t="s">
        <v>481</v>
      </c>
      <c r="G249" s="8" t="str">
        <f t="shared" si="6"/>
        <v>ZEWDU DEREJE</v>
      </c>
      <c r="H249" s="20" t="str">
        <f t="shared" si="7"/>
        <v>4002</v>
      </c>
    </row>
    <row r="250" spans="1:8" x14ac:dyDescent="0.25">
      <c r="A250" s="8">
        <v>43013.930925925924</v>
      </c>
      <c r="B250" t="s">
        <v>503</v>
      </c>
      <c r="C250" t="s">
        <v>798</v>
      </c>
      <c r="D250" s="138">
        <v>2540000</v>
      </c>
      <c r="E250" t="s">
        <v>522</v>
      </c>
      <c r="F250" s="20" t="s">
        <v>523</v>
      </c>
      <c r="G250" s="8" t="str">
        <f t="shared" si="6"/>
        <v>MCREYNOLDS KYLE</v>
      </c>
      <c r="H250" s="20" t="str">
        <f t="shared" si="7"/>
        <v>4028</v>
      </c>
    </row>
    <row r="251" spans="1:8" x14ac:dyDescent="0.25">
      <c r="A251" s="8">
        <v>43013.93372685185</v>
      </c>
      <c r="B251" t="s">
        <v>470</v>
      </c>
      <c r="C251" t="s">
        <v>799</v>
      </c>
      <c r="D251" s="138">
        <v>890000</v>
      </c>
      <c r="E251" t="s">
        <v>362</v>
      </c>
      <c r="F251" s="20" t="s">
        <v>363</v>
      </c>
      <c r="G251" s="8" t="str">
        <f t="shared" si="6"/>
        <v>LOZA FIDEL</v>
      </c>
      <c r="H251" s="20" t="str">
        <f t="shared" si="7"/>
        <v>4007</v>
      </c>
    </row>
    <row r="252" spans="1:8" x14ac:dyDescent="0.25">
      <c r="A252" s="8">
        <v>43013.934965277775</v>
      </c>
      <c r="B252" t="s">
        <v>576</v>
      </c>
      <c r="C252" t="s">
        <v>800</v>
      </c>
      <c r="D252" s="138">
        <v>3130000</v>
      </c>
      <c r="E252" t="s">
        <v>480</v>
      </c>
      <c r="F252" s="20" t="s">
        <v>481</v>
      </c>
      <c r="G252" s="8" t="str">
        <f t="shared" si="6"/>
        <v>ZEWDU DEREJE</v>
      </c>
      <c r="H252" s="20" t="str">
        <f t="shared" si="7"/>
        <v>4001</v>
      </c>
    </row>
    <row r="253" spans="1:8" x14ac:dyDescent="0.25">
      <c r="A253" s="8">
        <v>43013.949525462966</v>
      </c>
      <c r="B253" t="s">
        <v>511</v>
      </c>
      <c r="C253" t="s">
        <v>801</v>
      </c>
      <c r="D253" s="138">
        <v>3320000</v>
      </c>
      <c r="E253" t="s">
        <v>373</v>
      </c>
      <c r="F253" s="20" t="s">
        <v>374</v>
      </c>
      <c r="G253" s="8" t="str">
        <f t="shared" si="6"/>
        <v>NICHOLSON WESLEY</v>
      </c>
      <c r="H253" s="20" t="str">
        <f t="shared" si="7"/>
        <v>4009</v>
      </c>
    </row>
    <row r="254" spans="1:8" x14ac:dyDescent="0.25">
      <c r="A254" s="8">
        <v>43013.95521990741</v>
      </c>
      <c r="B254" t="s">
        <v>619</v>
      </c>
      <c r="C254" t="s">
        <v>802</v>
      </c>
      <c r="D254" s="138">
        <v>3190000</v>
      </c>
      <c r="E254" t="s">
        <v>370</v>
      </c>
      <c r="F254" s="20" t="s">
        <v>371</v>
      </c>
      <c r="G254" s="8" t="str">
        <f t="shared" si="6"/>
        <v>HART KEVIN</v>
      </c>
      <c r="H254" s="20" t="str">
        <f t="shared" si="7"/>
        <v>4044</v>
      </c>
    </row>
    <row r="255" spans="1:8" x14ac:dyDescent="0.25">
      <c r="A255" s="8">
        <v>43013.958831018521</v>
      </c>
      <c r="B255" t="s">
        <v>446</v>
      </c>
      <c r="C255" t="s">
        <v>617</v>
      </c>
      <c r="D255" s="138">
        <v>3130000</v>
      </c>
      <c r="E255" t="s">
        <v>480</v>
      </c>
      <c r="F255" s="20" t="s">
        <v>481</v>
      </c>
      <c r="G255" s="8" t="str">
        <f t="shared" si="6"/>
        <v>ZEWDU DEREJE</v>
      </c>
      <c r="H255" s="20" t="str">
        <f t="shared" si="7"/>
        <v>4002</v>
      </c>
    </row>
    <row r="256" spans="1:8" x14ac:dyDescent="0.25">
      <c r="A256" s="8">
        <v>43013.966817129629</v>
      </c>
      <c r="B256" t="s">
        <v>432</v>
      </c>
      <c r="C256" t="s">
        <v>803</v>
      </c>
      <c r="D256" s="138">
        <v>890000</v>
      </c>
      <c r="E256" t="s">
        <v>362</v>
      </c>
      <c r="F256" s="20" t="s">
        <v>363</v>
      </c>
      <c r="G256" s="8" t="str">
        <f t="shared" si="6"/>
        <v>LOZA FIDEL</v>
      </c>
      <c r="H256" s="20" t="str">
        <f t="shared" si="7"/>
        <v>4008</v>
      </c>
    </row>
    <row r="257" spans="1:8" x14ac:dyDescent="0.25">
      <c r="A257" s="8">
        <v>43013.972060185188</v>
      </c>
      <c r="B257" t="s">
        <v>502</v>
      </c>
      <c r="C257" t="s">
        <v>804</v>
      </c>
      <c r="D257" s="138">
        <v>2540000</v>
      </c>
      <c r="E257" t="s">
        <v>522</v>
      </c>
      <c r="F257" s="20" t="s">
        <v>523</v>
      </c>
      <c r="G257" s="8" t="str">
        <f t="shared" si="6"/>
        <v>MCREYNOLDS KYLE</v>
      </c>
      <c r="H257" s="20" t="str">
        <f t="shared" si="7"/>
        <v>4027</v>
      </c>
    </row>
    <row r="258" spans="1:8" x14ac:dyDescent="0.25">
      <c r="A258" s="8">
        <v>43013.976585648146</v>
      </c>
      <c r="B258" t="s">
        <v>576</v>
      </c>
      <c r="C258" t="s">
        <v>805</v>
      </c>
      <c r="D258" s="138">
        <v>3130000</v>
      </c>
      <c r="E258" t="s">
        <v>480</v>
      </c>
      <c r="F258" s="20" t="s">
        <v>481</v>
      </c>
      <c r="G258" s="8" t="str">
        <f t="shared" si="6"/>
        <v>ZEWDU DEREJE</v>
      </c>
      <c r="H258" s="20" t="str">
        <f t="shared" si="7"/>
        <v>4001</v>
      </c>
    </row>
    <row r="259" spans="1:8" x14ac:dyDescent="0.25">
      <c r="A259" s="8">
        <v>43013.993784722225</v>
      </c>
      <c r="B259" t="s">
        <v>391</v>
      </c>
      <c r="C259" t="s">
        <v>806</v>
      </c>
      <c r="D259" s="138">
        <v>3320000</v>
      </c>
      <c r="E259" t="s">
        <v>373</v>
      </c>
      <c r="F259" s="20" t="s">
        <v>374</v>
      </c>
      <c r="G259" s="8" t="str">
        <f t="shared" ref="G259:G273" si="8">E259&amp;" "&amp;F259</f>
        <v>NICHOLSON WESLEY</v>
      </c>
      <c r="H259" s="20" t="str">
        <f t="shared" ref="H259:H273" si="9">MID(B259,13,4)</f>
        <v>4010</v>
      </c>
    </row>
    <row r="260" spans="1:8" x14ac:dyDescent="0.25">
      <c r="A260" s="8">
        <v>43013.995775462965</v>
      </c>
      <c r="B260" t="s">
        <v>600</v>
      </c>
      <c r="C260" t="s">
        <v>807</v>
      </c>
      <c r="D260" s="138">
        <v>3190000</v>
      </c>
      <c r="E260" t="s">
        <v>370</v>
      </c>
      <c r="F260" s="20" t="s">
        <v>371</v>
      </c>
      <c r="G260" s="8" t="str">
        <f t="shared" si="8"/>
        <v>HART KEVIN</v>
      </c>
      <c r="H260" s="20" t="str">
        <f t="shared" si="9"/>
        <v>4043</v>
      </c>
    </row>
    <row r="261" spans="1:8" x14ac:dyDescent="0.25">
      <c r="A261" s="8">
        <v>43014.016296296293</v>
      </c>
      <c r="B261" t="s">
        <v>503</v>
      </c>
      <c r="C261" t="s">
        <v>808</v>
      </c>
      <c r="D261" s="138">
        <v>2540000</v>
      </c>
      <c r="E261" t="s">
        <v>522</v>
      </c>
      <c r="F261" s="20" t="s">
        <v>523</v>
      </c>
      <c r="G261" s="8" t="str">
        <f t="shared" si="8"/>
        <v>MCREYNOLDS KYLE</v>
      </c>
      <c r="H261" s="20" t="str">
        <f t="shared" si="9"/>
        <v>4028</v>
      </c>
    </row>
    <row r="262" spans="1:8" x14ac:dyDescent="0.25">
      <c r="A262" s="8">
        <v>43014.01730324074</v>
      </c>
      <c r="B262" t="s">
        <v>470</v>
      </c>
      <c r="C262" t="s">
        <v>809</v>
      </c>
      <c r="D262" s="138">
        <v>890000</v>
      </c>
      <c r="E262" t="s">
        <v>362</v>
      </c>
      <c r="F262" s="20" t="s">
        <v>363</v>
      </c>
      <c r="G262" s="8" t="str">
        <f t="shared" si="8"/>
        <v>LOZA FIDEL</v>
      </c>
      <c r="H262" s="20" t="str">
        <f t="shared" si="9"/>
        <v>4007</v>
      </c>
    </row>
    <row r="263" spans="1:8" x14ac:dyDescent="0.25">
      <c r="A263" s="8">
        <v>43014.025231481479</v>
      </c>
      <c r="B263" t="s">
        <v>619</v>
      </c>
      <c r="C263" t="s">
        <v>810</v>
      </c>
      <c r="D263" s="138">
        <v>3190000</v>
      </c>
      <c r="E263" t="s">
        <v>370</v>
      </c>
      <c r="F263" s="20" t="s">
        <v>371</v>
      </c>
      <c r="G263" s="8" t="str">
        <f t="shared" si="8"/>
        <v>HART KEVIN</v>
      </c>
      <c r="H263" s="20" t="str">
        <f t="shared" si="9"/>
        <v>4044</v>
      </c>
    </row>
    <row r="264" spans="1:8" x14ac:dyDescent="0.25">
      <c r="A264" s="8">
        <v>43014.03460648148</v>
      </c>
      <c r="B264" t="s">
        <v>511</v>
      </c>
      <c r="C264" t="s">
        <v>811</v>
      </c>
      <c r="D264" s="138">
        <v>3320000</v>
      </c>
      <c r="E264" t="s">
        <v>373</v>
      </c>
      <c r="F264" s="20" t="s">
        <v>374</v>
      </c>
      <c r="G264" s="8" t="str">
        <f t="shared" si="8"/>
        <v>NICHOLSON WESLEY</v>
      </c>
      <c r="H264" s="20" t="str">
        <f t="shared" si="9"/>
        <v>4009</v>
      </c>
    </row>
    <row r="265" spans="1:8" x14ac:dyDescent="0.25">
      <c r="A265" s="8">
        <v>43014.049490740741</v>
      </c>
      <c r="B265" t="s">
        <v>432</v>
      </c>
      <c r="C265" t="s">
        <v>812</v>
      </c>
      <c r="D265" s="138">
        <v>890000</v>
      </c>
      <c r="E265" t="s">
        <v>362</v>
      </c>
      <c r="F265" s="20" t="s">
        <v>363</v>
      </c>
      <c r="G265" s="8" t="str">
        <f t="shared" si="8"/>
        <v>LOZA FIDEL</v>
      </c>
      <c r="H265" s="20" t="str">
        <f t="shared" si="9"/>
        <v>4008</v>
      </c>
    </row>
    <row r="266" spans="1:8" x14ac:dyDescent="0.25">
      <c r="A266" s="8">
        <v>43014.055567129632</v>
      </c>
      <c r="B266" t="s">
        <v>502</v>
      </c>
      <c r="C266" t="s">
        <v>813</v>
      </c>
      <c r="D266" s="138">
        <v>2540000</v>
      </c>
      <c r="E266" t="s">
        <v>522</v>
      </c>
      <c r="F266" s="20" t="s">
        <v>523</v>
      </c>
      <c r="G266" s="8" t="str">
        <f t="shared" si="8"/>
        <v>MCREYNOLDS KYLE</v>
      </c>
      <c r="H266" s="20" t="str">
        <f t="shared" si="9"/>
        <v>4027</v>
      </c>
    </row>
    <row r="267" spans="1:8" x14ac:dyDescent="0.25">
      <c r="A267" s="8">
        <v>43014.071423611109</v>
      </c>
      <c r="B267" t="s">
        <v>391</v>
      </c>
      <c r="C267" t="s">
        <v>814</v>
      </c>
      <c r="D267" s="138">
        <v>3320000</v>
      </c>
      <c r="E267" t="s">
        <v>373</v>
      </c>
      <c r="F267" s="20" t="s">
        <v>374</v>
      </c>
      <c r="G267" s="8" t="str">
        <f t="shared" si="8"/>
        <v>NICHOLSON WESLEY</v>
      </c>
      <c r="H267" s="20" t="str">
        <f t="shared" si="9"/>
        <v>4010</v>
      </c>
    </row>
    <row r="268" spans="1:8" x14ac:dyDescent="0.25">
      <c r="A268" s="8">
        <v>43014.088414351849</v>
      </c>
      <c r="B268" t="s">
        <v>503</v>
      </c>
      <c r="C268" t="s">
        <v>815</v>
      </c>
      <c r="D268" s="138">
        <v>2540000</v>
      </c>
      <c r="E268" t="s">
        <v>522</v>
      </c>
      <c r="F268" s="20" t="s">
        <v>523</v>
      </c>
      <c r="G268" s="8" t="str">
        <f t="shared" si="8"/>
        <v>MCREYNOLDS KYLE</v>
      </c>
      <c r="H268" s="20" t="str">
        <f t="shared" si="9"/>
        <v>4028</v>
      </c>
    </row>
    <row r="269" spans="1:8" x14ac:dyDescent="0.25">
      <c r="A269" s="8">
        <v>43014.113668981481</v>
      </c>
      <c r="B269" t="s">
        <v>505</v>
      </c>
      <c r="C269" t="s">
        <v>816</v>
      </c>
      <c r="D269" s="138">
        <v>1830000</v>
      </c>
      <c r="E269" t="s">
        <v>383</v>
      </c>
      <c r="F269" s="20" t="s">
        <v>384</v>
      </c>
      <c r="G269" s="8" t="str">
        <f t="shared" si="8"/>
        <v>YORK EDGAR</v>
      </c>
      <c r="H269" s="20" t="str">
        <f t="shared" si="9"/>
        <v>4017</v>
      </c>
    </row>
    <row r="270" spans="1:8" x14ac:dyDescent="0.25">
      <c r="A270" s="8">
        <v>43013.06894675926</v>
      </c>
      <c r="B270" t="s">
        <v>501</v>
      </c>
      <c r="C270" t="s">
        <v>509</v>
      </c>
      <c r="D270" s="138">
        <v>890000</v>
      </c>
      <c r="E270" t="s">
        <v>362</v>
      </c>
      <c r="F270" s="20" t="s">
        <v>363</v>
      </c>
      <c r="G270" s="8" t="str">
        <f t="shared" si="8"/>
        <v>LOZA FIDEL</v>
      </c>
      <c r="H270" s="20" t="str">
        <f t="shared" si="9"/>
        <v>4066</v>
      </c>
    </row>
    <row r="271" spans="1:8" x14ac:dyDescent="0.25">
      <c r="A271" s="8">
        <v>43013.090011574073</v>
      </c>
      <c r="B271" t="s">
        <v>395</v>
      </c>
      <c r="C271" t="s">
        <v>527</v>
      </c>
      <c r="D271" s="138">
        <v>2540000</v>
      </c>
      <c r="E271" t="s">
        <v>522</v>
      </c>
      <c r="F271" s="20" t="s">
        <v>523</v>
      </c>
      <c r="G271" s="8" t="str">
        <f t="shared" si="8"/>
        <v>MCREYNOLDS KYLE</v>
      </c>
      <c r="H271" s="20" t="str">
        <f t="shared" si="9"/>
        <v>4064</v>
      </c>
    </row>
    <row r="272" spans="1:8" x14ac:dyDescent="0.25">
      <c r="A272" s="8">
        <v>43013.10837962963</v>
      </c>
      <c r="B272" t="s">
        <v>420</v>
      </c>
      <c r="C272" t="s">
        <v>528</v>
      </c>
      <c r="D272" s="138">
        <v>900000</v>
      </c>
      <c r="E272" t="s">
        <v>396</v>
      </c>
      <c r="F272" s="20" t="s">
        <v>397</v>
      </c>
      <c r="G272" s="8" t="str">
        <f t="shared" si="8"/>
        <v>ROCHA YAOTL</v>
      </c>
      <c r="H272" s="20" t="str">
        <f t="shared" si="9"/>
        <v>4055</v>
      </c>
    </row>
    <row r="273" spans="1:8" x14ac:dyDescent="0.25">
      <c r="A273" s="8">
        <v>43013.109976851854</v>
      </c>
      <c r="B273" t="s">
        <v>420</v>
      </c>
      <c r="C273" t="s">
        <v>528</v>
      </c>
      <c r="D273" s="138">
        <v>900000</v>
      </c>
      <c r="E273" t="s">
        <v>396</v>
      </c>
      <c r="F273" s="20" t="s">
        <v>397</v>
      </c>
      <c r="G273" s="8" t="str">
        <f t="shared" si="8"/>
        <v>ROCHA YAOTL</v>
      </c>
      <c r="H273" s="20" t="str">
        <f t="shared" si="9"/>
        <v>4055</v>
      </c>
    </row>
    <row r="274" spans="1:8" x14ac:dyDescent="0.25">
      <c r="A274" s="8">
        <v>43013.111643518518</v>
      </c>
      <c r="B274" t="s">
        <v>419</v>
      </c>
      <c r="C274" t="s">
        <v>529</v>
      </c>
      <c r="D274" s="138">
        <v>1830000</v>
      </c>
      <c r="E274" t="s">
        <v>383</v>
      </c>
      <c r="F274" s="20" t="s">
        <v>384</v>
      </c>
    </row>
    <row r="275" spans="1:8" x14ac:dyDescent="0.25">
      <c r="A275" s="8">
        <v>43013.112997685188</v>
      </c>
      <c r="B275" t="s">
        <v>419</v>
      </c>
      <c r="C275" t="s">
        <v>529</v>
      </c>
      <c r="D275" s="138">
        <v>1830000</v>
      </c>
      <c r="E275" t="s">
        <v>383</v>
      </c>
      <c r="F275" s="20" t="s">
        <v>384</v>
      </c>
    </row>
    <row r="276" spans="1:8" x14ac:dyDescent="0.25">
      <c r="A276" s="8">
        <v>43013.113483796296</v>
      </c>
      <c r="B276" t="s">
        <v>419</v>
      </c>
      <c r="C276" t="s">
        <v>529</v>
      </c>
      <c r="D276" s="138">
        <v>1830000</v>
      </c>
      <c r="E276" t="s">
        <v>383</v>
      </c>
      <c r="F276" s="20" t="s">
        <v>384</v>
      </c>
    </row>
  </sheetData>
  <sortState ref="A1:E223">
    <sortCondition ref="C1:C223"/>
  </sortState>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sheetPr>
  <dimension ref="A1:S33"/>
  <sheetViews>
    <sheetView workbookViewId="0">
      <selection sqref="A1:S29"/>
    </sheetView>
  </sheetViews>
  <sheetFormatPr defaultColWidth="9.140625" defaultRowHeight="15" x14ac:dyDescent="0.25"/>
  <cols>
    <col min="1" max="1" width="22.5703125" style="141" customWidth="1"/>
    <col min="2" max="2" width="8.42578125" style="141" bestFit="1" customWidth="1"/>
    <col min="3" max="3" width="12.5703125" style="141" bestFit="1" customWidth="1"/>
    <col min="4" max="4" width="18.5703125" style="130" bestFit="1" customWidth="1"/>
    <col min="5" max="5" width="9.85546875" style="141" bestFit="1" customWidth="1"/>
    <col min="6" max="6" width="9" style="141" bestFit="1" customWidth="1"/>
    <col min="7" max="7" width="8.85546875" style="141" bestFit="1" customWidth="1"/>
    <col min="8" max="8" width="14" style="141" bestFit="1" customWidth="1"/>
    <col min="9" max="9" width="21.140625" style="141" bestFit="1" customWidth="1"/>
    <col min="10" max="10" width="8.7109375" style="141" bestFit="1" customWidth="1"/>
    <col min="11" max="11" width="11.28515625" style="141" bestFit="1" customWidth="1"/>
    <col min="12" max="12" width="11" style="141" bestFit="1" customWidth="1"/>
    <col min="13" max="13" width="11.28515625" style="141" bestFit="1" customWidth="1"/>
    <col min="14" max="14" width="13.7109375" style="141" bestFit="1" customWidth="1"/>
    <col min="15" max="15" width="14.85546875" style="141" bestFit="1" customWidth="1"/>
    <col min="16" max="16" width="16.7109375" style="141" bestFit="1" customWidth="1"/>
    <col min="17" max="17" width="9.42578125" style="110" bestFit="1" customWidth="1"/>
    <col min="18" max="16384" width="9.140625" style="110"/>
  </cols>
  <sheetData>
    <row r="1" spans="1:19" s="111" customFormat="1" x14ac:dyDescent="0.25">
      <c r="A1" s="218" t="s">
        <v>156</v>
      </c>
      <c r="B1" s="218" t="s">
        <v>159</v>
      </c>
      <c r="C1" s="218" t="s">
        <v>152</v>
      </c>
      <c r="D1" s="136" t="s">
        <v>164</v>
      </c>
      <c r="E1" s="218" t="s">
        <v>153</v>
      </c>
      <c r="F1" s="218" t="s">
        <v>151</v>
      </c>
      <c r="G1" s="218" t="s">
        <v>149</v>
      </c>
      <c r="H1" s="218" t="s">
        <v>162</v>
      </c>
      <c r="I1" s="218" t="s">
        <v>163</v>
      </c>
      <c r="J1" s="218" t="s">
        <v>399</v>
      </c>
      <c r="K1" s="218" t="s">
        <v>157</v>
      </c>
      <c r="L1" s="218" t="s">
        <v>155</v>
      </c>
      <c r="M1" s="218" t="s">
        <v>150</v>
      </c>
      <c r="N1" s="218" t="s">
        <v>160</v>
      </c>
      <c r="O1" s="218" t="s">
        <v>344</v>
      </c>
      <c r="P1" s="218" t="s">
        <v>154</v>
      </c>
      <c r="Q1" s="218" t="s">
        <v>161</v>
      </c>
      <c r="R1" s="218" t="s">
        <v>345</v>
      </c>
      <c r="S1" s="218" t="s">
        <v>158</v>
      </c>
    </row>
    <row r="2" spans="1:19" x14ac:dyDescent="0.25">
      <c r="A2" s="196">
        <v>51.65</v>
      </c>
      <c r="B2" s="196">
        <v>0.03</v>
      </c>
      <c r="C2" s="196">
        <v>48.23</v>
      </c>
      <c r="D2" s="8">
        <v>43013</v>
      </c>
      <c r="E2" s="196">
        <v>0.88</v>
      </c>
      <c r="F2" s="196" t="s">
        <v>482</v>
      </c>
      <c r="G2" s="196">
        <v>270.58</v>
      </c>
      <c r="H2" s="196">
        <v>0</v>
      </c>
      <c r="I2" s="196">
        <v>0</v>
      </c>
      <c r="J2" s="196"/>
      <c r="K2" s="196">
        <v>1017.14</v>
      </c>
      <c r="L2" s="196" t="s">
        <v>483</v>
      </c>
      <c r="M2" s="196">
        <v>51.65</v>
      </c>
      <c r="N2" s="196">
        <v>1507183200</v>
      </c>
      <c r="O2" s="196">
        <v>0</v>
      </c>
      <c r="P2" s="196">
        <v>3.3</v>
      </c>
      <c r="Q2" s="196">
        <v>218</v>
      </c>
      <c r="R2" s="196">
        <v>1.63</v>
      </c>
      <c r="S2" s="196">
        <v>0.48</v>
      </c>
    </row>
    <row r="3" spans="1:19" x14ac:dyDescent="0.25">
      <c r="A3" s="196">
        <v>50.62</v>
      </c>
      <c r="B3" s="196">
        <v>0.02</v>
      </c>
      <c r="C3" s="196">
        <v>47.52</v>
      </c>
      <c r="D3" s="8">
        <v>43013.041666666664</v>
      </c>
      <c r="E3" s="196">
        <v>0.89</v>
      </c>
      <c r="F3" s="196" t="s">
        <v>482</v>
      </c>
      <c r="G3" s="196">
        <v>271.07</v>
      </c>
      <c r="H3" s="196">
        <v>0</v>
      </c>
      <c r="I3" s="196">
        <v>0</v>
      </c>
      <c r="J3" s="196"/>
      <c r="K3" s="196">
        <v>1016.85</v>
      </c>
      <c r="L3" s="196" t="s">
        <v>483</v>
      </c>
      <c r="M3" s="196">
        <v>50.62</v>
      </c>
      <c r="N3" s="196">
        <v>1507186800</v>
      </c>
      <c r="O3" s="196">
        <v>0</v>
      </c>
      <c r="P3" s="196">
        <v>3.25</v>
      </c>
      <c r="Q3" s="196">
        <v>212</v>
      </c>
      <c r="R3" s="196">
        <v>1.5</v>
      </c>
      <c r="S3" s="196">
        <v>0.42</v>
      </c>
    </row>
    <row r="4" spans="1:19" x14ac:dyDescent="0.25">
      <c r="A4" s="196">
        <v>49.89</v>
      </c>
      <c r="B4" s="196">
        <v>0.03</v>
      </c>
      <c r="C4" s="196">
        <v>47.26</v>
      </c>
      <c r="D4" s="8">
        <v>43013.083333333336</v>
      </c>
      <c r="E4" s="196">
        <v>0.91</v>
      </c>
      <c r="F4" s="196" t="s">
        <v>482</v>
      </c>
      <c r="G4" s="196">
        <v>271.56</v>
      </c>
      <c r="H4" s="196">
        <v>0</v>
      </c>
      <c r="I4" s="196">
        <v>0</v>
      </c>
      <c r="J4" s="196"/>
      <c r="K4" s="196">
        <v>1016.77</v>
      </c>
      <c r="L4" s="196" t="s">
        <v>483</v>
      </c>
      <c r="M4" s="196">
        <v>49.89</v>
      </c>
      <c r="N4" s="196">
        <v>1507190400</v>
      </c>
      <c r="O4" s="196">
        <v>0</v>
      </c>
      <c r="P4" s="196">
        <v>3.48</v>
      </c>
      <c r="Q4" s="196">
        <v>273</v>
      </c>
      <c r="R4" s="196">
        <v>1.55</v>
      </c>
      <c r="S4" s="196">
        <v>0.16</v>
      </c>
    </row>
    <row r="5" spans="1:19" x14ac:dyDescent="0.25">
      <c r="A5" s="196">
        <v>49.5</v>
      </c>
      <c r="B5" s="196">
        <v>0.48</v>
      </c>
      <c r="C5" s="196">
        <v>47.08</v>
      </c>
      <c r="D5" s="8">
        <v>43013.125</v>
      </c>
      <c r="E5" s="196">
        <v>0.91</v>
      </c>
      <c r="F5" s="196" t="s">
        <v>401</v>
      </c>
      <c r="G5" s="196">
        <v>271.81</v>
      </c>
      <c r="H5" s="196">
        <v>0</v>
      </c>
      <c r="I5" s="196">
        <v>0</v>
      </c>
      <c r="J5" s="196"/>
      <c r="K5" s="196">
        <v>1016.76</v>
      </c>
      <c r="L5" s="196" t="s">
        <v>409</v>
      </c>
      <c r="M5" s="196">
        <v>49.5</v>
      </c>
      <c r="N5" s="196">
        <v>1507194000</v>
      </c>
      <c r="O5" s="196">
        <v>0</v>
      </c>
      <c r="P5" s="196">
        <v>2.67</v>
      </c>
      <c r="Q5" s="196">
        <v>357</v>
      </c>
      <c r="R5" s="196">
        <v>1.88</v>
      </c>
      <c r="S5" s="196">
        <v>0.44</v>
      </c>
    </row>
    <row r="6" spans="1:19" x14ac:dyDescent="0.25">
      <c r="A6" s="196">
        <v>50.36</v>
      </c>
      <c r="B6" s="196">
        <v>0.74</v>
      </c>
      <c r="C6" s="196">
        <v>48.13</v>
      </c>
      <c r="D6" s="8">
        <v>43013.166666666664</v>
      </c>
      <c r="E6" s="196">
        <v>0.92</v>
      </c>
      <c r="F6" s="196" t="s">
        <v>817</v>
      </c>
      <c r="G6" s="196">
        <v>271.81</v>
      </c>
      <c r="H6" s="196">
        <v>0</v>
      </c>
      <c r="I6" s="196">
        <v>0</v>
      </c>
      <c r="J6" s="196"/>
      <c r="K6" s="196">
        <v>1016.96</v>
      </c>
      <c r="L6" s="196" t="s">
        <v>818</v>
      </c>
      <c r="M6" s="196">
        <v>50.36</v>
      </c>
      <c r="N6" s="196">
        <v>1507197600</v>
      </c>
      <c r="O6" s="196">
        <v>0</v>
      </c>
      <c r="P6" s="196">
        <v>1.88</v>
      </c>
      <c r="Q6" s="196">
        <v>332</v>
      </c>
      <c r="R6" s="196">
        <v>2.41</v>
      </c>
      <c r="S6" s="196">
        <v>0.74</v>
      </c>
    </row>
    <row r="7" spans="1:19" x14ac:dyDescent="0.25">
      <c r="A7" s="196">
        <v>51.08</v>
      </c>
      <c r="B7" s="196">
        <v>0.86</v>
      </c>
      <c r="C7" s="196">
        <v>48.99</v>
      </c>
      <c r="D7" s="8">
        <v>43013.208333333336</v>
      </c>
      <c r="E7" s="196">
        <v>0.93</v>
      </c>
      <c r="F7" s="196" t="s">
        <v>817</v>
      </c>
      <c r="G7" s="196">
        <v>271.69</v>
      </c>
      <c r="H7" s="196">
        <v>0</v>
      </c>
      <c r="I7" s="196">
        <v>0</v>
      </c>
      <c r="J7" s="196"/>
      <c r="K7" s="196">
        <v>1017.16</v>
      </c>
      <c r="L7" s="196" t="s">
        <v>818</v>
      </c>
      <c r="M7" s="196">
        <v>51.08</v>
      </c>
      <c r="N7" s="196">
        <v>1507201200</v>
      </c>
      <c r="O7" s="196">
        <v>0</v>
      </c>
      <c r="P7" s="196">
        <v>1.56</v>
      </c>
      <c r="Q7" s="196">
        <v>328</v>
      </c>
      <c r="R7" s="196">
        <v>2.86</v>
      </c>
      <c r="S7" s="196">
        <v>1.21</v>
      </c>
    </row>
    <row r="8" spans="1:19" x14ac:dyDescent="0.25">
      <c r="A8" s="196">
        <v>51.12</v>
      </c>
      <c r="B8" s="196">
        <v>0.83</v>
      </c>
      <c r="C8" s="196">
        <v>49.08</v>
      </c>
      <c r="D8" s="8">
        <v>43013.25</v>
      </c>
      <c r="E8" s="196">
        <v>0.93</v>
      </c>
      <c r="F8" s="196" t="s">
        <v>401</v>
      </c>
      <c r="G8" s="196">
        <v>271.8</v>
      </c>
      <c r="H8" s="196">
        <v>0</v>
      </c>
      <c r="I8" s="196">
        <v>0</v>
      </c>
      <c r="J8" s="196"/>
      <c r="K8" s="196">
        <v>1018.19</v>
      </c>
      <c r="L8" s="196" t="s">
        <v>402</v>
      </c>
      <c r="M8" s="196">
        <v>51.12</v>
      </c>
      <c r="N8" s="196">
        <v>1507204800</v>
      </c>
      <c r="O8" s="196">
        <v>0</v>
      </c>
      <c r="P8" s="196">
        <v>2.0699999999999998</v>
      </c>
      <c r="Q8" s="196">
        <v>313</v>
      </c>
      <c r="R8" s="196">
        <v>3.21</v>
      </c>
      <c r="S8" s="196">
        <v>1.37</v>
      </c>
    </row>
    <row r="9" spans="1:19" x14ac:dyDescent="0.25">
      <c r="A9" s="196">
        <v>50.63</v>
      </c>
      <c r="B9" s="196">
        <v>0.64</v>
      </c>
      <c r="C9" s="196">
        <v>48.59</v>
      </c>
      <c r="D9" s="8">
        <v>43013.291666666664</v>
      </c>
      <c r="E9" s="196">
        <v>0.93</v>
      </c>
      <c r="F9" s="196" t="s">
        <v>401</v>
      </c>
      <c r="G9" s="196">
        <v>271.68</v>
      </c>
      <c r="H9" s="196">
        <v>0</v>
      </c>
      <c r="I9" s="196">
        <v>0</v>
      </c>
      <c r="J9" s="196"/>
      <c r="K9" s="196">
        <v>1018.83</v>
      </c>
      <c r="L9" s="196" t="s">
        <v>402</v>
      </c>
      <c r="M9" s="196">
        <v>50.63</v>
      </c>
      <c r="N9" s="196">
        <v>1507208400</v>
      </c>
      <c r="O9" s="196">
        <v>0</v>
      </c>
      <c r="P9" s="196">
        <v>2.21</v>
      </c>
      <c r="Q9" s="196">
        <v>291</v>
      </c>
      <c r="R9" s="196">
        <v>3.31</v>
      </c>
      <c r="S9" s="196">
        <v>1.38</v>
      </c>
    </row>
    <row r="10" spans="1:19" x14ac:dyDescent="0.25">
      <c r="A10" s="196">
        <v>50.65</v>
      </c>
      <c r="B10" s="196">
        <v>0.31</v>
      </c>
      <c r="C10" s="196">
        <v>48.31</v>
      </c>
      <c r="D10" s="8">
        <v>43013.333333333336</v>
      </c>
      <c r="E10" s="196">
        <v>0.92</v>
      </c>
      <c r="F10" s="196" t="s">
        <v>403</v>
      </c>
      <c r="G10" s="196">
        <v>271.55</v>
      </c>
      <c r="H10" s="196">
        <v>0</v>
      </c>
      <c r="I10" s="196">
        <v>0</v>
      </c>
      <c r="J10" s="196"/>
      <c r="K10" s="196">
        <v>1019.45</v>
      </c>
      <c r="L10" s="196" t="s">
        <v>409</v>
      </c>
      <c r="M10" s="196">
        <v>50.65</v>
      </c>
      <c r="N10" s="196">
        <v>1507212000</v>
      </c>
      <c r="O10" s="196">
        <v>1</v>
      </c>
      <c r="P10" s="196">
        <v>3.14</v>
      </c>
      <c r="Q10" s="196">
        <v>282</v>
      </c>
      <c r="R10" s="196">
        <v>3.28</v>
      </c>
      <c r="S10" s="196">
        <v>1.32</v>
      </c>
    </row>
    <row r="11" spans="1:19" x14ac:dyDescent="0.25">
      <c r="A11" s="196">
        <v>53.74</v>
      </c>
      <c r="B11" s="196">
        <v>0.31</v>
      </c>
      <c r="C11" s="196">
        <v>49.25</v>
      </c>
      <c r="D11" s="8">
        <v>43013.375</v>
      </c>
      <c r="E11" s="196">
        <v>0.85</v>
      </c>
      <c r="F11" s="196" t="s">
        <v>403</v>
      </c>
      <c r="G11" s="196">
        <v>271.19</v>
      </c>
      <c r="H11" s="196">
        <v>0</v>
      </c>
      <c r="I11" s="196">
        <v>0</v>
      </c>
      <c r="J11" s="196"/>
      <c r="K11" s="196">
        <v>1019.52</v>
      </c>
      <c r="L11" s="196" t="s">
        <v>409</v>
      </c>
      <c r="M11" s="196">
        <v>53.74</v>
      </c>
      <c r="N11" s="196">
        <v>1507215600</v>
      </c>
      <c r="O11" s="196">
        <v>1</v>
      </c>
      <c r="P11" s="196">
        <v>5.96</v>
      </c>
      <c r="Q11" s="196">
        <v>286</v>
      </c>
      <c r="R11" s="196">
        <v>3.16</v>
      </c>
      <c r="S11" s="196">
        <v>1.27</v>
      </c>
    </row>
    <row r="12" spans="1:19" x14ac:dyDescent="0.25">
      <c r="A12" s="196">
        <v>58.67</v>
      </c>
      <c r="B12" s="196">
        <v>0.28000000000000003</v>
      </c>
      <c r="C12" s="196">
        <v>45.57</v>
      </c>
      <c r="D12" s="8">
        <v>43013.416666666664</v>
      </c>
      <c r="E12" s="196">
        <v>0.62</v>
      </c>
      <c r="F12" s="196" t="s">
        <v>403</v>
      </c>
      <c r="G12" s="196">
        <v>270.83</v>
      </c>
      <c r="H12" s="196">
        <v>2.0000000000000001E-4</v>
      </c>
      <c r="I12" s="196">
        <v>0.02</v>
      </c>
      <c r="J12" s="196" t="s">
        <v>400</v>
      </c>
      <c r="K12" s="196">
        <v>1019.06</v>
      </c>
      <c r="L12" s="196" t="s">
        <v>409</v>
      </c>
      <c r="M12" s="196">
        <v>58.67</v>
      </c>
      <c r="N12" s="196">
        <v>1507219200</v>
      </c>
      <c r="O12" s="196">
        <v>2</v>
      </c>
      <c r="P12" s="196">
        <v>10</v>
      </c>
      <c r="Q12" s="196">
        <v>341</v>
      </c>
      <c r="R12" s="196">
        <v>3.48</v>
      </c>
      <c r="S12" s="196">
        <v>2</v>
      </c>
    </row>
    <row r="13" spans="1:19" x14ac:dyDescent="0.25">
      <c r="A13" s="196">
        <v>61.24</v>
      </c>
      <c r="B13" s="196">
        <v>0.45</v>
      </c>
      <c r="C13" s="196">
        <v>42.19</v>
      </c>
      <c r="D13" s="8">
        <v>43013.458333333336</v>
      </c>
      <c r="E13" s="196">
        <v>0.5</v>
      </c>
      <c r="F13" s="196" t="s">
        <v>403</v>
      </c>
      <c r="G13" s="196">
        <v>270.45999999999998</v>
      </c>
      <c r="H13" s="196">
        <v>0</v>
      </c>
      <c r="I13" s="196">
        <v>0</v>
      </c>
      <c r="J13" s="196"/>
      <c r="K13" s="196">
        <v>1018.46</v>
      </c>
      <c r="L13" s="196" t="s">
        <v>409</v>
      </c>
      <c r="M13" s="196">
        <v>61.24</v>
      </c>
      <c r="N13" s="196">
        <v>1507222800</v>
      </c>
      <c r="O13" s="196">
        <v>3</v>
      </c>
      <c r="P13" s="196">
        <v>4.3600000000000003</v>
      </c>
      <c r="Q13" s="196">
        <v>10</v>
      </c>
      <c r="R13" s="196">
        <v>6.76</v>
      </c>
      <c r="S13" s="196">
        <v>2.67</v>
      </c>
    </row>
    <row r="14" spans="1:19" x14ac:dyDescent="0.25">
      <c r="A14" s="196">
        <v>63.05</v>
      </c>
      <c r="B14" s="196">
        <v>0.08</v>
      </c>
      <c r="C14" s="196">
        <v>41.19</v>
      </c>
      <c r="D14" s="8">
        <v>43013.5</v>
      </c>
      <c r="E14" s="196">
        <v>0.45</v>
      </c>
      <c r="F14" s="196" t="s">
        <v>530</v>
      </c>
      <c r="G14" s="196">
        <v>268</v>
      </c>
      <c r="H14" s="196">
        <v>0</v>
      </c>
      <c r="I14" s="196">
        <v>0</v>
      </c>
      <c r="J14" s="196"/>
      <c r="K14" s="196">
        <v>1017.33</v>
      </c>
      <c r="L14" s="196" t="s">
        <v>483</v>
      </c>
      <c r="M14" s="196">
        <v>63.05</v>
      </c>
      <c r="N14" s="196">
        <v>1507226400</v>
      </c>
      <c r="O14" s="196">
        <v>5</v>
      </c>
      <c r="P14" s="196">
        <v>4.0999999999999996</v>
      </c>
      <c r="Q14" s="196">
        <v>27</v>
      </c>
      <c r="R14" s="196">
        <v>8.07</v>
      </c>
      <c r="S14" s="196">
        <v>3.19</v>
      </c>
    </row>
    <row r="15" spans="1:19" x14ac:dyDescent="0.25">
      <c r="A15" s="196">
        <v>64.28</v>
      </c>
      <c r="B15" s="196">
        <v>0.09</v>
      </c>
      <c r="C15" s="196">
        <v>41.59</v>
      </c>
      <c r="D15" s="8">
        <v>43013.541666666664</v>
      </c>
      <c r="E15" s="196">
        <v>0.43</v>
      </c>
      <c r="F15" s="196" t="s">
        <v>530</v>
      </c>
      <c r="G15" s="196">
        <v>267.87</v>
      </c>
      <c r="H15" s="196">
        <v>0</v>
      </c>
      <c r="I15" s="196">
        <v>0</v>
      </c>
      <c r="J15" s="196"/>
      <c r="K15" s="196">
        <v>1016.41</v>
      </c>
      <c r="L15" s="196" t="s">
        <v>483</v>
      </c>
      <c r="M15" s="196">
        <v>64.28</v>
      </c>
      <c r="N15" s="196">
        <v>1507230000</v>
      </c>
      <c r="O15" s="196">
        <v>6</v>
      </c>
      <c r="P15" s="196">
        <v>4.0999999999999996</v>
      </c>
      <c r="Q15" s="196">
        <v>33</v>
      </c>
      <c r="R15" s="196">
        <v>7.74</v>
      </c>
      <c r="S15" s="196">
        <v>2.89</v>
      </c>
    </row>
    <row r="16" spans="1:19" x14ac:dyDescent="0.25">
      <c r="A16" s="196">
        <v>65.27</v>
      </c>
      <c r="B16" s="196">
        <v>7.0000000000000007E-2</v>
      </c>
      <c r="C16" s="196">
        <v>41.81</v>
      </c>
      <c r="D16" s="8">
        <v>43013.583333333336</v>
      </c>
      <c r="E16" s="196">
        <v>0.42</v>
      </c>
      <c r="F16" s="196" t="s">
        <v>530</v>
      </c>
      <c r="G16" s="196">
        <v>268</v>
      </c>
      <c r="H16" s="196">
        <v>0</v>
      </c>
      <c r="I16" s="196">
        <v>0</v>
      </c>
      <c r="J16" s="196"/>
      <c r="K16" s="196">
        <v>1015.06</v>
      </c>
      <c r="L16" s="196" t="s">
        <v>483</v>
      </c>
      <c r="M16" s="196">
        <v>65.27</v>
      </c>
      <c r="N16" s="196">
        <v>1507233600</v>
      </c>
      <c r="O16" s="196">
        <v>5</v>
      </c>
      <c r="P16" s="196">
        <v>4.3600000000000003</v>
      </c>
      <c r="Q16" s="196">
        <v>40</v>
      </c>
      <c r="R16" s="196">
        <v>7.7</v>
      </c>
      <c r="S16" s="196">
        <v>2.98</v>
      </c>
    </row>
    <row r="17" spans="1:19" x14ac:dyDescent="0.25">
      <c r="A17" s="196">
        <v>65.08</v>
      </c>
      <c r="B17" s="196">
        <v>0.06</v>
      </c>
      <c r="C17" s="196">
        <v>42.48</v>
      </c>
      <c r="D17" s="8">
        <v>43013.625</v>
      </c>
      <c r="E17" s="196">
        <v>0.44</v>
      </c>
      <c r="F17" s="196" t="s">
        <v>530</v>
      </c>
      <c r="G17" s="196">
        <v>268.37</v>
      </c>
      <c r="H17" s="196">
        <v>0</v>
      </c>
      <c r="I17" s="196">
        <v>0</v>
      </c>
      <c r="J17" s="196"/>
      <c r="K17" s="196">
        <v>1014.55</v>
      </c>
      <c r="L17" s="196" t="s">
        <v>483</v>
      </c>
      <c r="M17" s="196">
        <v>65.08</v>
      </c>
      <c r="N17" s="196">
        <v>1507237200</v>
      </c>
      <c r="O17" s="196">
        <v>3</v>
      </c>
      <c r="P17" s="196">
        <v>3.66</v>
      </c>
      <c r="Q17" s="196">
        <v>34</v>
      </c>
      <c r="R17" s="196">
        <v>7.23</v>
      </c>
      <c r="S17" s="196">
        <v>2.67</v>
      </c>
    </row>
    <row r="18" spans="1:19" x14ac:dyDescent="0.25">
      <c r="A18" s="196">
        <v>64.41</v>
      </c>
      <c r="B18" s="196">
        <v>0.3</v>
      </c>
      <c r="C18" s="196">
        <v>43.12</v>
      </c>
      <c r="D18" s="8">
        <v>43013.666666666664</v>
      </c>
      <c r="E18" s="196">
        <v>0.46</v>
      </c>
      <c r="F18" s="196" t="s">
        <v>403</v>
      </c>
      <c r="G18" s="196">
        <v>268.87</v>
      </c>
      <c r="H18" s="196">
        <v>0</v>
      </c>
      <c r="I18" s="196">
        <v>0</v>
      </c>
      <c r="J18" s="196"/>
      <c r="K18" s="196">
        <v>1013.89</v>
      </c>
      <c r="L18" s="196" t="s">
        <v>409</v>
      </c>
      <c r="M18" s="196">
        <v>64.41</v>
      </c>
      <c r="N18" s="196">
        <v>1507240800</v>
      </c>
      <c r="O18" s="196">
        <v>2</v>
      </c>
      <c r="P18" s="196">
        <v>4.38</v>
      </c>
      <c r="Q18" s="196">
        <v>38</v>
      </c>
      <c r="R18" s="196">
        <v>5.49</v>
      </c>
      <c r="S18" s="196">
        <v>2.08</v>
      </c>
    </row>
    <row r="19" spans="1:19" x14ac:dyDescent="0.25">
      <c r="A19" s="196">
        <v>64.31</v>
      </c>
      <c r="B19" s="196">
        <v>0.18</v>
      </c>
      <c r="C19" s="196">
        <v>44.07</v>
      </c>
      <c r="D19" s="8">
        <v>43013.708333333336</v>
      </c>
      <c r="E19" s="196">
        <v>0.48</v>
      </c>
      <c r="F19" s="196" t="s">
        <v>530</v>
      </c>
      <c r="G19" s="196">
        <v>269.49</v>
      </c>
      <c r="H19" s="196">
        <v>6.9999999999999999E-4</v>
      </c>
      <c r="I19" s="196">
        <v>0.01</v>
      </c>
      <c r="J19" s="196" t="s">
        <v>400</v>
      </c>
      <c r="K19" s="196">
        <v>1013.23</v>
      </c>
      <c r="L19" s="196" t="s">
        <v>483</v>
      </c>
      <c r="M19" s="196">
        <v>64.31</v>
      </c>
      <c r="N19" s="196">
        <v>1507244400</v>
      </c>
      <c r="O19" s="196">
        <v>1</v>
      </c>
      <c r="P19" s="196">
        <v>4.46</v>
      </c>
      <c r="Q19" s="196">
        <v>41</v>
      </c>
      <c r="R19" s="196">
        <v>5.29</v>
      </c>
      <c r="S19" s="196">
        <v>1.64</v>
      </c>
    </row>
    <row r="20" spans="1:19" x14ac:dyDescent="0.25">
      <c r="A20" s="196">
        <v>62.67</v>
      </c>
      <c r="B20" s="196">
        <v>0.08</v>
      </c>
      <c r="C20" s="196">
        <v>45.43</v>
      </c>
      <c r="D20" s="8">
        <v>43013.75</v>
      </c>
      <c r="E20" s="196">
        <v>0.53</v>
      </c>
      <c r="F20" s="196" t="s">
        <v>530</v>
      </c>
      <c r="G20" s="196">
        <v>269.74</v>
      </c>
      <c r="H20" s="196">
        <v>1E-4</v>
      </c>
      <c r="I20" s="196">
        <v>0.02</v>
      </c>
      <c r="J20" s="196" t="s">
        <v>400</v>
      </c>
      <c r="K20" s="196">
        <v>1013.3</v>
      </c>
      <c r="L20" s="196" t="s">
        <v>483</v>
      </c>
      <c r="M20" s="196">
        <v>62.67</v>
      </c>
      <c r="N20" s="196">
        <v>1507248000</v>
      </c>
      <c r="O20" s="196">
        <v>0</v>
      </c>
      <c r="P20" s="196">
        <v>4.3600000000000003</v>
      </c>
      <c r="Q20" s="196">
        <v>42</v>
      </c>
      <c r="R20" s="196">
        <v>3.94</v>
      </c>
      <c r="S20" s="196">
        <v>1.29</v>
      </c>
    </row>
    <row r="21" spans="1:19" x14ac:dyDescent="0.25">
      <c r="A21" s="196">
        <v>59.25</v>
      </c>
      <c r="B21" s="196">
        <v>0.18</v>
      </c>
      <c r="C21" s="196">
        <v>47.04</v>
      </c>
      <c r="D21" s="8">
        <v>43013.791666666664</v>
      </c>
      <c r="E21" s="196">
        <v>0.64</v>
      </c>
      <c r="F21" s="196" t="s">
        <v>482</v>
      </c>
      <c r="G21" s="196">
        <v>269.99</v>
      </c>
      <c r="H21" s="196">
        <v>0</v>
      </c>
      <c r="I21" s="196">
        <v>0</v>
      </c>
      <c r="J21" s="196"/>
      <c r="K21" s="196">
        <v>1013.95</v>
      </c>
      <c r="L21" s="196" t="s">
        <v>483</v>
      </c>
      <c r="M21" s="196">
        <v>59.25</v>
      </c>
      <c r="N21" s="196">
        <v>1507251600</v>
      </c>
      <c r="O21" s="196">
        <v>0</v>
      </c>
      <c r="P21" s="196">
        <v>4.2</v>
      </c>
      <c r="Q21" s="196">
        <v>69</v>
      </c>
      <c r="R21" s="196">
        <v>3.8</v>
      </c>
      <c r="S21" s="196">
        <v>1.1399999999999999</v>
      </c>
    </row>
    <row r="22" spans="1:19" x14ac:dyDescent="0.25">
      <c r="A22" s="196">
        <v>56.86</v>
      </c>
      <c r="B22" s="196">
        <v>0.67</v>
      </c>
      <c r="C22" s="196">
        <v>49.06</v>
      </c>
      <c r="D22" s="8">
        <v>43013.833333333336</v>
      </c>
      <c r="E22" s="196">
        <v>0.75</v>
      </c>
      <c r="F22" s="196" t="s">
        <v>401</v>
      </c>
      <c r="G22" s="196">
        <v>270.37</v>
      </c>
      <c r="H22" s="196">
        <v>2.9999999999999997E-4</v>
      </c>
      <c r="I22" s="196">
        <v>0.01</v>
      </c>
      <c r="J22" s="196" t="s">
        <v>400</v>
      </c>
      <c r="K22" s="196">
        <v>1014.41</v>
      </c>
      <c r="L22" s="196" t="s">
        <v>402</v>
      </c>
      <c r="M22" s="196">
        <v>56.86</v>
      </c>
      <c r="N22" s="196">
        <v>1507255200</v>
      </c>
      <c r="O22" s="196">
        <v>0</v>
      </c>
      <c r="P22" s="196">
        <v>4.2</v>
      </c>
      <c r="Q22" s="196">
        <v>74</v>
      </c>
      <c r="R22" s="196">
        <v>4.79</v>
      </c>
      <c r="S22" s="196">
        <v>1.82</v>
      </c>
    </row>
    <row r="23" spans="1:19" x14ac:dyDescent="0.25">
      <c r="A23" s="196">
        <v>56.4</v>
      </c>
      <c r="B23" s="196">
        <v>0.95</v>
      </c>
      <c r="C23" s="196">
        <v>50.05</v>
      </c>
      <c r="D23" s="8">
        <v>43013.875</v>
      </c>
      <c r="E23" s="196">
        <v>0.79</v>
      </c>
      <c r="F23" s="196" t="s">
        <v>819</v>
      </c>
      <c r="G23" s="196">
        <v>270.86</v>
      </c>
      <c r="H23" s="196">
        <v>5.0000000000000001E-4</v>
      </c>
      <c r="I23" s="196">
        <v>0.01</v>
      </c>
      <c r="J23" s="196" t="s">
        <v>400</v>
      </c>
      <c r="K23" s="196">
        <v>1014.53</v>
      </c>
      <c r="L23" s="196" t="s">
        <v>820</v>
      </c>
      <c r="M23" s="196">
        <v>56.4</v>
      </c>
      <c r="N23" s="196">
        <v>1507258800</v>
      </c>
      <c r="O23" s="196">
        <v>0</v>
      </c>
      <c r="P23" s="196">
        <v>4.2</v>
      </c>
      <c r="Q23" s="196">
        <v>80</v>
      </c>
      <c r="R23" s="196">
        <v>4.41</v>
      </c>
      <c r="S23" s="196">
        <v>1.55</v>
      </c>
    </row>
    <row r="24" spans="1:19" x14ac:dyDescent="0.25">
      <c r="A24" s="196">
        <v>56.16</v>
      </c>
      <c r="B24" s="196">
        <v>0.86</v>
      </c>
      <c r="C24" s="196">
        <v>50.67</v>
      </c>
      <c r="D24" s="8">
        <v>43013.916666666664</v>
      </c>
      <c r="E24" s="196">
        <v>0.82</v>
      </c>
      <c r="F24" s="196" t="s">
        <v>401</v>
      </c>
      <c r="G24" s="196">
        <v>271.72000000000003</v>
      </c>
      <c r="H24" s="196">
        <v>2.9999999999999997E-4</v>
      </c>
      <c r="I24" s="196">
        <v>0.01</v>
      </c>
      <c r="J24" s="196" t="s">
        <v>400</v>
      </c>
      <c r="K24" s="196">
        <v>1014.21</v>
      </c>
      <c r="L24" s="196" t="s">
        <v>402</v>
      </c>
      <c r="M24" s="196">
        <v>56.16</v>
      </c>
      <c r="N24" s="196">
        <v>1507262400</v>
      </c>
      <c r="O24" s="196">
        <v>0</v>
      </c>
      <c r="P24" s="196">
        <v>4.3600000000000003</v>
      </c>
      <c r="Q24" s="196">
        <v>70</v>
      </c>
      <c r="R24" s="196">
        <v>3.6</v>
      </c>
      <c r="S24" s="196">
        <v>1.25</v>
      </c>
    </row>
    <row r="25" spans="1:19" x14ac:dyDescent="0.25">
      <c r="A25" s="196">
        <v>55.23</v>
      </c>
      <c r="B25" s="196">
        <v>0.84</v>
      </c>
      <c r="C25" s="196">
        <v>50.51</v>
      </c>
      <c r="D25" s="8">
        <v>43013.958333333336</v>
      </c>
      <c r="E25" s="196">
        <v>0.84</v>
      </c>
      <c r="F25" s="196" t="s">
        <v>401</v>
      </c>
      <c r="G25" s="196">
        <v>272.93</v>
      </c>
      <c r="H25" s="196">
        <v>0</v>
      </c>
      <c r="I25" s="196">
        <v>0</v>
      </c>
      <c r="J25" s="196"/>
      <c r="K25" s="196">
        <v>1013.42</v>
      </c>
      <c r="L25" s="196" t="s">
        <v>402</v>
      </c>
      <c r="M25" s="196">
        <v>55.23</v>
      </c>
      <c r="N25" s="196">
        <v>1507266000</v>
      </c>
      <c r="O25" s="196">
        <v>0</v>
      </c>
      <c r="P25" s="196">
        <v>3.83</v>
      </c>
      <c r="Q25" s="196">
        <v>21</v>
      </c>
      <c r="R25" s="196">
        <v>2.76</v>
      </c>
      <c r="S25" s="196">
        <v>0.56999999999999995</v>
      </c>
    </row>
    <row r="26" spans="1:19" x14ac:dyDescent="0.25">
      <c r="A26" s="196">
        <v>54.22</v>
      </c>
      <c r="B26" s="196">
        <v>0.81</v>
      </c>
      <c r="C26" s="196">
        <v>49.92</v>
      </c>
      <c r="D26" s="8">
        <v>43014</v>
      </c>
      <c r="E26" s="196">
        <v>0.85</v>
      </c>
      <c r="F26" s="196" t="s">
        <v>401</v>
      </c>
      <c r="G26" s="196">
        <v>276.19</v>
      </c>
      <c r="H26" s="196">
        <v>0</v>
      </c>
      <c r="I26" s="196">
        <v>0</v>
      </c>
      <c r="J26" s="196"/>
      <c r="K26" s="196">
        <v>1013.02</v>
      </c>
      <c r="L26" s="196" t="s">
        <v>402</v>
      </c>
      <c r="M26" s="196">
        <v>54.22</v>
      </c>
      <c r="N26" s="196">
        <v>1507269600</v>
      </c>
      <c r="O26" s="196">
        <v>0</v>
      </c>
      <c r="P26" s="196">
        <v>3.66</v>
      </c>
      <c r="Q26" s="196">
        <v>344</v>
      </c>
      <c r="R26" s="196">
        <v>2.4900000000000002</v>
      </c>
      <c r="S26" s="196">
        <v>0.95</v>
      </c>
    </row>
    <row r="27" spans="1:19" x14ac:dyDescent="0.25">
      <c r="A27" s="196">
        <v>53.28</v>
      </c>
      <c r="B27" s="196">
        <v>0.79</v>
      </c>
      <c r="C27" s="196">
        <v>49.62</v>
      </c>
      <c r="D27" s="8">
        <v>43014.041666666664</v>
      </c>
      <c r="E27" s="196">
        <v>0.87</v>
      </c>
      <c r="F27" s="196" t="s">
        <v>401</v>
      </c>
      <c r="G27" s="196">
        <v>277.74</v>
      </c>
      <c r="H27" s="196">
        <v>0</v>
      </c>
      <c r="I27" s="196">
        <v>0</v>
      </c>
      <c r="J27" s="196"/>
      <c r="K27" s="196">
        <v>1012.55</v>
      </c>
      <c r="L27" s="196" t="s">
        <v>402</v>
      </c>
      <c r="M27" s="196">
        <v>53.28</v>
      </c>
      <c r="N27" s="196">
        <v>1507273200</v>
      </c>
      <c r="O27" s="196">
        <v>0</v>
      </c>
      <c r="P27" s="196">
        <v>3.36</v>
      </c>
      <c r="Q27" s="196">
        <v>342</v>
      </c>
      <c r="R27" s="196">
        <v>3.06</v>
      </c>
      <c r="S27" s="196">
        <v>1.1599999999999999</v>
      </c>
    </row>
    <row r="28" spans="1:19" x14ac:dyDescent="0.25">
      <c r="A28" s="196">
        <v>53.44</v>
      </c>
      <c r="B28" s="196">
        <v>0.89</v>
      </c>
      <c r="C28" s="196">
        <v>49.41</v>
      </c>
      <c r="D28" s="8">
        <v>43014.083333333336</v>
      </c>
      <c r="E28" s="196">
        <v>0.86</v>
      </c>
      <c r="F28" s="196" t="s">
        <v>401</v>
      </c>
      <c r="G28" s="196">
        <v>279.16000000000003</v>
      </c>
      <c r="H28" s="196">
        <v>0</v>
      </c>
      <c r="I28" s="196">
        <v>0</v>
      </c>
      <c r="J28" s="196"/>
      <c r="K28" s="196">
        <v>1012.25</v>
      </c>
      <c r="L28" s="196" t="s">
        <v>402</v>
      </c>
      <c r="M28" s="196">
        <v>53.44</v>
      </c>
      <c r="N28" s="196">
        <v>1507276800</v>
      </c>
      <c r="O28" s="196">
        <v>0</v>
      </c>
      <c r="P28" s="196">
        <v>3.16</v>
      </c>
      <c r="Q28" s="196">
        <v>319</v>
      </c>
      <c r="R28" s="196">
        <v>3.36</v>
      </c>
      <c r="S28" s="196">
        <v>1.1399999999999999</v>
      </c>
    </row>
    <row r="29" spans="1:19" x14ac:dyDescent="0.25">
      <c r="A29" s="196">
        <v>53.09</v>
      </c>
      <c r="B29" s="196">
        <v>0.88</v>
      </c>
      <c r="C29" s="196">
        <v>48.71</v>
      </c>
      <c r="D29" s="8">
        <v>43014.125</v>
      </c>
      <c r="E29" s="196">
        <v>0.85</v>
      </c>
      <c r="F29" s="196" t="s">
        <v>401</v>
      </c>
      <c r="G29" s="196">
        <v>280.33999999999997</v>
      </c>
      <c r="H29" s="196">
        <v>0</v>
      </c>
      <c r="I29" s="196">
        <v>0</v>
      </c>
      <c r="J29" s="196"/>
      <c r="K29" s="196">
        <v>1011.73</v>
      </c>
      <c r="L29" s="196" t="s">
        <v>402</v>
      </c>
      <c r="M29" s="196">
        <v>53.09</v>
      </c>
      <c r="N29" s="196">
        <v>1507280400</v>
      </c>
      <c r="O29" s="196">
        <v>0</v>
      </c>
      <c r="P29" s="196">
        <v>2.69</v>
      </c>
      <c r="Q29" s="196">
        <v>307</v>
      </c>
      <c r="R29" s="196">
        <v>3.37</v>
      </c>
      <c r="S29" s="196">
        <v>1.3</v>
      </c>
    </row>
    <row r="30" spans="1:19" x14ac:dyDescent="0.25">
      <c r="A30" s="140"/>
      <c r="B30" s="140"/>
      <c r="C30" s="140"/>
      <c r="D30" s="8"/>
      <c r="E30" s="140"/>
      <c r="F30" s="140"/>
      <c r="G30" s="140"/>
      <c r="H30" s="140"/>
      <c r="I30" s="140"/>
      <c r="J30" s="140"/>
      <c r="K30" s="140"/>
      <c r="L30" s="140"/>
      <c r="M30" s="140"/>
      <c r="N30" s="140"/>
      <c r="O30" s="140"/>
      <c r="P30" s="140"/>
    </row>
    <row r="31" spans="1:19" x14ac:dyDescent="0.25">
      <c r="A31" s="141" t="s">
        <v>181</v>
      </c>
    </row>
    <row r="33" spans="1:1" x14ac:dyDescent="0.25">
      <c r="A33" s="141" t="s">
        <v>173</v>
      </c>
    </row>
  </sheetData>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sheetPr>
  <dimension ref="A1:AF37"/>
  <sheetViews>
    <sheetView workbookViewId="0">
      <selection activeCell="C18" sqref="C18:C37"/>
    </sheetView>
  </sheetViews>
  <sheetFormatPr defaultRowHeight="15" x14ac:dyDescent="0.25"/>
  <cols>
    <col min="1" max="1" width="32.140625" customWidth="1"/>
    <col min="3" max="3" width="24" customWidth="1"/>
    <col min="4" max="4" width="19.140625" style="56" customWidth="1"/>
    <col min="10" max="10" width="24.28515625" style="140" bestFit="1" customWidth="1"/>
    <col min="11" max="11" width="15.28515625" style="140" hidden="1" customWidth="1"/>
    <col min="12" max="12" width="13.5703125" style="140" hidden="1" customWidth="1"/>
    <col min="13" max="13" width="9" style="154" bestFit="1" customWidth="1"/>
    <col min="14" max="17" width="9.140625" style="140"/>
    <col min="20" max="24" width="9.140625" style="154"/>
    <col min="29" max="29" width="12.42578125" customWidth="1"/>
    <col min="30" max="30" width="9.140625" style="168"/>
    <col min="31" max="32" width="9.140625" style="56"/>
  </cols>
  <sheetData>
    <row r="1" spans="1:32" ht="45.75" x14ac:dyDescent="0.3">
      <c r="A1" s="11" t="s">
        <v>25</v>
      </c>
      <c r="C1" s="119" t="s">
        <v>96</v>
      </c>
      <c r="D1" s="120" t="s">
        <v>97</v>
      </c>
      <c r="J1" s="146" t="s">
        <v>98</v>
      </c>
      <c r="K1" s="146" t="s">
        <v>66</v>
      </c>
      <c r="L1" s="146" t="s">
        <v>67</v>
      </c>
      <c r="O1" s="147" t="s">
        <v>99</v>
      </c>
      <c r="T1" s="156" t="s">
        <v>326</v>
      </c>
      <c r="U1" s="156"/>
      <c r="V1" s="156"/>
      <c r="W1" s="156"/>
      <c r="X1" s="156"/>
    </row>
    <row r="2" spans="1:32" ht="15.75" thickBot="1" x14ac:dyDescent="0.3">
      <c r="A2" s="12">
        <v>43013</v>
      </c>
      <c r="B2" s="4"/>
      <c r="C2" s="121">
        <v>50</v>
      </c>
      <c r="D2" s="122">
        <v>25</v>
      </c>
      <c r="F2" t="s">
        <v>110</v>
      </c>
      <c r="J2" s="146"/>
      <c r="K2" s="146" t="s">
        <v>66</v>
      </c>
      <c r="L2" s="146" t="s">
        <v>67</v>
      </c>
      <c r="T2" s="155" t="s">
        <v>327</v>
      </c>
      <c r="U2" s="155">
        <v>167</v>
      </c>
      <c r="V2" s="155">
        <v>168</v>
      </c>
      <c r="W2" s="155">
        <v>199</v>
      </c>
      <c r="X2" s="155">
        <v>200</v>
      </c>
      <c r="AD2" t="s">
        <v>348</v>
      </c>
      <c r="AE2" s="56" t="s">
        <v>351</v>
      </c>
      <c r="AF2" s="56" t="s">
        <v>352</v>
      </c>
    </row>
    <row r="3" spans="1:32" x14ac:dyDescent="0.25">
      <c r="C3" s="56"/>
      <c r="F3" t="s">
        <v>52</v>
      </c>
      <c r="J3" s="148" t="s">
        <v>68</v>
      </c>
      <c r="K3" s="149">
        <v>2.7052</v>
      </c>
      <c r="L3" s="149">
        <v>2.7349999999999999</v>
      </c>
      <c r="M3" s="154">
        <f t="shared" ref="M3:M14" si="0">AVERAGE(K3:L3)</f>
        <v>2.7201</v>
      </c>
      <c r="O3" s="140" t="s">
        <v>100</v>
      </c>
      <c r="P3" s="140">
        <f>AVERAGE(1.0714,1.1016)</f>
        <v>1.0865</v>
      </c>
      <c r="T3" s="155" t="s">
        <v>328</v>
      </c>
      <c r="U3" s="155">
        <v>174</v>
      </c>
      <c r="V3" s="155">
        <v>176</v>
      </c>
      <c r="W3" s="155">
        <v>207</v>
      </c>
      <c r="X3" s="155">
        <v>210</v>
      </c>
      <c r="AC3" s="30" t="s">
        <v>102</v>
      </c>
      <c r="AD3" s="131">
        <v>23</v>
      </c>
      <c r="AE3" s="42">
        <v>100</v>
      </c>
      <c r="AF3" s="42">
        <v>299</v>
      </c>
    </row>
    <row r="4" spans="1:32" ht="45" x14ac:dyDescent="0.25">
      <c r="C4" s="119" t="s">
        <v>96</v>
      </c>
      <c r="D4" s="120" t="s">
        <v>97</v>
      </c>
      <c r="F4" t="s">
        <v>53</v>
      </c>
      <c r="J4" s="148" t="s">
        <v>69</v>
      </c>
      <c r="K4" s="149">
        <v>3.0830000000000002</v>
      </c>
      <c r="L4" s="149">
        <v>3.097</v>
      </c>
      <c r="M4" s="154">
        <f t="shared" si="0"/>
        <v>3.09</v>
      </c>
      <c r="T4" s="155" t="s">
        <v>329</v>
      </c>
      <c r="U4" s="155">
        <v>173</v>
      </c>
      <c r="V4" s="155">
        <v>175</v>
      </c>
      <c r="W4" s="155">
        <v>208</v>
      </c>
      <c r="X4" s="155">
        <v>209</v>
      </c>
      <c r="AC4" s="30" t="s">
        <v>103</v>
      </c>
      <c r="AD4" s="131">
        <v>5.65</v>
      </c>
      <c r="AE4" s="42">
        <v>800</v>
      </c>
      <c r="AF4" s="42">
        <v>899</v>
      </c>
    </row>
    <row r="5" spans="1:32" x14ac:dyDescent="0.25">
      <c r="C5" s="56">
        <v>30</v>
      </c>
      <c r="D5" s="56">
        <v>9</v>
      </c>
      <c r="J5" s="148" t="s">
        <v>70</v>
      </c>
      <c r="K5" s="149">
        <v>3.3136000000000001</v>
      </c>
      <c r="L5" s="149">
        <v>3.3256999999999999</v>
      </c>
      <c r="M5" s="154">
        <f t="shared" si="0"/>
        <v>3.3196500000000002</v>
      </c>
      <c r="T5" s="155" t="s">
        <v>330</v>
      </c>
      <c r="U5" s="155">
        <v>187</v>
      </c>
      <c r="V5" s="155">
        <v>188</v>
      </c>
      <c r="W5" s="155">
        <v>223</v>
      </c>
      <c r="X5" s="155">
        <v>224</v>
      </c>
      <c r="AC5" s="30" t="s">
        <v>349</v>
      </c>
      <c r="AD5" s="131">
        <v>11.15</v>
      </c>
      <c r="AE5" s="42">
        <v>400</v>
      </c>
      <c r="AF5" s="42">
        <v>600</v>
      </c>
    </row>
    <row r="6" spans="1:32" x14ac:dyDescent="0.25">
      <c r="C6" s="56"/>
      <c r="F6" t="s">
        <v>111</v>
      </c>
      <c r="J6" s="148" t="s">
        <v>71</v>
      </c>
      <c r="K6" s="149">
        <v>4.2778999999999998</v>
      </c>
      <c r="L6" s="149">
        <v>4.2961</v>
      </c>
      <c r="M6" s="154">
        <f t="shared" si="0"/>
        <v>4.2869999999999999</v>
      </c>
      <c r="T6" s="155"/>
      <c r="U6" s="155"/>
      <c r="V6" s="155"/>
      <c r="W6" s="155"/>
      <c r="X6" s="155"/>
      <c r="AC6" s="45" t="s">
        <v>103</v>
      </c>
      <c r="AD6" s="183">
        <v>5.65</v>
      </c>
      <c r="AE6" s="42">
        <v>1800</v>
      </c>
      <c r="AF6" s="42">
        <v>1899</v>
      </c>
    </row>
    <row r="7" spans="1:32" x14ac:dyDescent="0.25">
      <c r="C7" s="56"/>
      <c r="F7" t="s">
        <v>343</v>
      </c>
      <c r="J7" s="148" t="s">
        <v>72</v>
      </c>
      <c r="K7" s="149">
        <v>4.7865000000000002</v>
      </c>
      <c r="L7" s="149">
        <v>4.8048000000000002</v>
      </c>
      <c r="M7" s="154">
        <f t="shared" si="0"/>
        <v>4.7956500000000002</v>
      </c>
      <c r="T7" s="155"/>
      <c r="U7" s="155"/>
      <c r="V7" s="155"/>
      <c r="W7" s="155"/>
      <c r="X7" s="155"/>
      <c r="AC7" s="30" t="s">
        <v>350</v>
      </c>
      <c r="AD7" s="131">
        <v>99</v>
      </c>
      <c r="AE7" s="42">
        <v>0</v>
      </c>
      <c r="AF7" s="42">
        <v>99</v>
      </c>
    </row>
    <row r="8" spans="1:32" x14ac:dyDescent="0.25">
      <c r="C8" s="56"/>
      <c r="F8" t="s">
        <v>389</v>
      </c>
      <c r="J8" s="148" t="s">
        <v>73</v>
      </c>
      <c r="K8" s="149">
        <v>5.3155000000000001</v>
      </c>
      <c r="L8" s="149">
        <v>5.3277000000000001</v>
      </c>
      <c r="M8" s="154">
        <f t="shared" si="0"/>
        <v>5.3216000000000001</v>
      </c>
      <c r="T8" s="155"/>
      <c r="U8" s="155"/>
      <c r="V8" s="155"/>
      <c r="W8" s="155"/>
      <c r="X8" s="155"/>
      <c r="AC8" s="45" t="s">
        <v>353</v>
      </c>
      <c r="AD8" s="174">
        <v>9999</v>
      </c>
      <c r="AE8" s="131">
        <v>9999</v>
      </c>
      <c r="AF8" s="131">
        <v>9999</v>
      </c>
    </row>
    <row r="9" spans="1:32" x14ac:dyDescent="0.25">
      <c r="C9" s="56"/>
      <c r="J9" s="148" t="s">
        <v>74</v>
      </c>
      <c r="K9" s="149">
        <v>5.8117000000000001</v>
      </c>
      <c r="L9" s="149">
        <v>5.8300999999999998</v>
      </c>
      <c r="M9" s="154">
        <f t="shared" si="0"/>
        <v>5.8209</v>
      </c>
      <c r="T9" s="155"/>
      <c r="U9" s="155"/>
      <c r="V9" s="155"/>
      <c r="W9" s="155"/>
      <c r="X9" s="155"/>
    </row>
    <row r="10" spans="1:32" x14ac:dyDescent="0.25">
      <c r="C10" s="56"/>
      <c r="J10" s="148" t="s">
        <v>75</v>
      </c>
      <c r="K10" s="149">
        <v>5.8783000000000003</v>
      </c>
      <c r="L10" s="149">
        <v>5.8903999999999996</v>
      </c>
      <c r="M10" s="154">
        <f t="shared" si="0"/>
        <v>5.8843499999999995</v>
      </c>
      <c r="T10" s="155"/>
      <c r="U10" s="155"/>
      <c r="V10" s="155"/>
      <c r="W10" s="155"/>
      <c r="X10" s="155"/>
    </row>
    <row r="11" spans="1:32" x14ac:dyDescent="0.25">
      <c r="C11" s="56"/>
      <c r="J11" s="148" t="s">
        <v>76</v>
      </c>
      <c r="K11" s="149">
        <v>6.3068</v>
      </c>
      <c r="L11" s="149">
        <v>6.3308999999999997</v>
      </c>
      <c r="M11" s="154">
        <f t="shared" si="0"/>
        <v>6.3188499999999994</v>
      </c>
      <c r="T11" s="155"/>
      <c r="U11" s="155"/>
      <c r="V11" s="155"/>
      <c r="W11" s="155"/>
      <c r="X11" s="155"/>
    </row>
    <row r="12" spans="1:32" x14ac:dyDescent="0.25">
      <c r="C12" s="56"/>
      <c r="J12" s="148" t="s">
        <v>77</v>
      </c>
      <c r="K12" s="149">
        <v>7.8349000000000002</v>
      </c>
      <c r="L12" s="149">
        <v>7.8468999999999998</v>
      </c>
      <c r="M12" s="154">
        <f t="shared" si="0"/>
        <v>7.8408999999999995</v>
      </c>
      <c r="T12" s="155"/>
      <c r="U12" s="155"/>
      <c r="V12" s="155"/>
      <c r="W12" s="155"/>
      <c r="X12" s="155"/>
    </row>
    <row r="13" spans="1:32" x14ac:dyDescent="0.25">
      <c r="C13" s="56"/>
      <c r="J13" s="148" t="s">
        <v>78</v>
      </c>
      <c r="K13" s="149">
        <v>10.373799999999999</v>
      </c>
      <c r="L13" s="149">
        <v>10.38</v>
      </c>
      <c r="M13" s="154">
        <f t="shared" si="0"/>
        <v>10.376899999999999</v>
      </c>
      <c r="T13" s="155"/>
      <c r="U13" s="155"/>
      <c r="V13" s="155"/>
      <c r="W13" s="155"/>
      <c r="X13" s="155"/>
    </row>
    <row r="14" spans="1:32" x14ac:dyDescent="0.25">
      <c r="C14" s="56"/>
      <c r="J14" s="148" t="s">
        <v>79</v>
      </c>
      <c r="K14" s="149">
        <v>10.8954</v>
      </c>
      <c r="L14" s="149">
        <v>10.913500000000001</v>
      </c>
      <c r="M14" s="154">
        <f t="shared" si="0"/>
        <v>10.904450000000001</v>
      </c>
      <c r="T14" s="155"/>
      <c r="U14" s="155"/>
      <c r="V14" s="155"/>
      <c r="W14" s="155"/>
      <c r="X14" s="155"/>
    </row>
    <row r="15" spans="1:32" x14ac:dyDescent="0.25">
      <c r="C15" s="56"/>
      <c r="J15" s="148"/>
      <c r="K15" s="149"/>
      <c r="L15" s="149"/>
      <c r="T15" s="155"/>
      <c r="U15" s="155"/>
      <c r="V15" s="155"/>
      <c r="W15" s="155"/>
      <c r="X15" s="155"/>
    </row>
    <row r="16" spans="1:32" x14ac:dyDescent="0.25">
      <c r="C16" s="56"/>
      <c r="J16" s="148"/>
      <c r="K16" s="149"/>
      <c r="L16" s="149"/>
      <c r="T16" s="155"/>
      <c r="U16" s="155"/>
      <c r="V16" s="155"/>
      <c r="W16" s="155"/>
      <c r="X16" s="155"/>
    </row>
    <row r="17" spans="3:24" x14ac:dyDescent="0.25">
      <c r="C17" s="137" t="s">
        <v>182</v>
      </c>
      <c r="J17" s="148"/>
      <c r="K17" s="149"/>
      <c r="L17" s="149"/>
      <c r="T17" s="155"/>
      <c r="U17" s="155"/>
      <c r="V17" s="155"/>
      <c r="W17" s="155"/>
      <c r="X17" s="155"/>
    </row>
    <row r="18" spans="3:24" x14ac:dyDescent="0.25">
      <c r="C18" t="s">
        <v>981</v>
      </c>
      <c r="J18" s="148" t="s">
        <v>85</v>
      </c>
      <c r="K18" s="149"/>
      <c r="L18" s="149"/>
      <c r="M18" s="154" t="str">
        <f>"""C:\Program Files (x86)\AstroGrep\AstroGrep.exe"""</f>
        <v>"C:\Program Files (x86)\AstroGrep\AstroGrep.exe"</v>
      </c>
      <c r="T18" s="155"/>
      <c r="U18" s="155"/>
      <c r="V18" s="155"/>
      <c r="W18" s="155"/>
      <c r="X18" s="155"/>
    </row>
    <row r="19" spans="3:24" x14ac:dyDescent="0.25">
      <c r="C19" t="s">
        <v>982</v>
      </c>
      <c r="J19" s="148" t="s">
        <v>86</v>
      </c>
      <c r="K19" s="149"/>
      <c r="L19" s="149"/>
      <c r="M19" s="154" t="s">
        <v>109</v>
      </c>
      <c r="T19" s="155"/>
      <c r="U19" s="155"/>
      <c r="V19" s="155"/>
      <c r="W19" s="155"/>
      <c r="X19" s="155"/>
    </row>
    <row r="20" spans="3:24" x14ac:dyDescent="0.25">
      <c r="C20" t="s">
        <v>983</v>
      </c>
      <c r="J20" s="140" t="s">
        <v>87</v>
      </c>
      <c r="M20" s="154" t="s">
        <v>341</v>
      </c>
      <c r="N20" s="154" t="s">
        <v>325</v>
      </c>
      <c r="T20" s="155"/>
      <c r="U20" s="155"/>
      <c r="V20" s="155"/>
      <c r="W20" s="155"/>
      <c r="X20" s="155"/>
    </row>
    <row r="21" spans="3:24" x14ac:dyDescent="0.25">
      <c r="C21" t="s">
        <v>984</v>
      </c>
      <c r="J21" s="140" t="s">
        <v>90</v>
      </c>
      <c r="K21" s="140" t="s">
        <v>91</v>
      </c>
      <c r="M21" s="154" t="s">
        <v>172</v>
      </c>
      <c r="T21" s="155"/>
      <c r="U21" s="155"/>
      <c r="V21" s="155"/>
      <c r="W21" s="155"/>
      <c r="X21" s="155"/>
    </row>
    <row r="22" spans="3:24" x14ac:dyDescent="0.25">
      <c r="C22" t="s">
        <v>985</v>
      </c>
      <c r="J22" s="140" t="s">
        <v>92</v>
      </c>
      <c r="K22" s="140" t="s">
        <v>108</v>
      </c>
      <c r="M22" s="154" t="s">
        <v>108</v>
      </c>
      <c r="T22" s="155"/>
      <c r="U22" s="155"/>
      <c r="V22" s="155"/>
      <c r="W22" s="155"/>
      <c r="X22" s="155"/>
    </row>
    <row r="23" spans="3:24" x14ac:dyDescent="0.25">
      <c r="C23" t="s">
        <v>986</v>
      </c>
      <c r="J23" s="150" t="s">
        <v>94</v>
      </c>
      <c r="M23" s="154" t="str">
        <f>"-06"</f>
        <v>-06</v>
      </c>
      <c r="T23" s="155"/>
      <c r="U23" s="155"/>
      <c r="V23" s="155"/>
      <c r="W23" s="155"/>
      <c r="X23" s="155"/>
    </row>
    <row r="24" spans="3:24" x14ac:dyDescent="0.25">
      <c r="C24" t="s">
        <v>987</v>
      </c>
      <c r="J24" s="140" t="s">
        <v>105</v>
      </c>
      <c r="M24" s="154" t="s">
        <v>107</v>
      </c>
      <c r="T24" s="155"/>
      <c r="U24" s="155"/>
      <c r="V24" s="155"/>
      <c r="W24" s="155"/>
      <c r="X24" s="155"/>
    </row>
    <row r="25" spans="3:24" x14ac:dyDescent="0.25">
      <c r="C25" t="s">
        <v>988</v>
      </c>
      <c r="J25" s="140" t="s">
        <v>144</v>
      </c>
      <c r="M25" s="154" t="b">
        <v>1</v>
      </c>
    </row>
    <row r="26" spans="3:24" x14ac:dyDescent="0.25">
      <c r="C26" t="s">
        <v>989</v>
      </c>
      <c r="J26" s="140" t="s">
        <v>145</v>
      </c>
      <c r="M26" s="154" t="str">
        <f>"%USERPROFILE%\Documents\GitHub\eaglep3-reporting\EC\"&amp;TEXT(A2,"yyyy-mm-dd")&amp;"-refined-times.txt"</f>
        <v>%USERPROFILE%\Documents\GitHub\eaglep3-reporting\EC\2017-10-05-refined-times.txt</v>
      </c>
    </row>
    <row r="27" spans="3:24" x14ac:dyDescent="0.25">
      <c r="C27" t="s">
        <v>990</v>
      </c>
      <c r="J27" s="140" t="s">
        <v>174</v>
      </c>
      <c r="M27" s="154" t="str">
        <f>"%USERPROFILE%\Documents\GitHub\eaglep3-reporting\EC\"&amp;TEXT(A2,"YYYY-MM-DD")&amp;"-Enforcements.txt"</f>
        <v>%USERPROFILE%\Documents\GitHub\eaglep3-reporting\EC\2017-10-05-Enforcements.txt</v>
      </c>
    </row>
    <row r="28" spans="3:24" x14ac:dyDescent="0.25">
      <c r="C28" t="s">
        <v>991</v>
      </c>
      <c r="J28" s="140" t="s">
        <v>175</v>
      </c>
      <c r="M28" s="154" t="str">
        <f>"%USERPROFILE%\Documents\GitHub\eaglep3-reporting\EC\"&amp;TEXT(A2,"YYYY-MM-DD")&amp;"-Runs-refined.txt"</f>
        <v>%USERPROFILE%\Documents\GitHub\eaglep3-reporting\EC\2017-10-05-Runs-refined.txt</v>
      </c>
    </row>
    <row r="29" spans="3:24" x14ac:dyDescent="0.25">
      <c r="C29" t="s">
        <v>992</v>
      </c>
      <c r="J29" s="140" t="s">
        <v>176</v>
      </c>
      <c r="M29" s="154" t="str">
        <f>"%USERPROFILE%\Documents\GitHub\eaglep3-reporting\EC\"&amp;TEXT(A2,"YYYY-MM-DD")&amp;"-Trips.txt"</f>
        <v>%USERPROFILE%\Documents\GitHub\eaglep3-reporting\EC\2017-10-05-Trips.txt</v>
      </c>
    </row>
    <row r="30" spans="3:24" x14ac:dyDescent="0.25">
      <c r="C30" t="s">
        <v>993</v>
      </c>
      <c r="J30" s="140" t="s">
        <v>177</v>
      </c>
      <c r="M30" s="154" t="str">
        <f>"%USERPROFILE%\Documents\GitHub\eaglep3-reporting\EC\"&amp;TEXT(A2,"YYYY-MM-DD")&amp;"-Weather.txt"</f>
        <v>%USERPROFILE%\Documents\GitHub\eaglep3-reporting\EC\2017-10-05-Weather.txt</v>
      </c>
    </row>
    <row r="31" spans="3:24" x14ac:dyDescent="0.25">
      <c r="C31" t="s">
        <v>994</v>
      </c>
      <c r="J31" s="140" t="s">
        <v>190</v>
      </c>
      <c r="M31" s="154" t="s">
        <v>191</v>
      </c>
    </row>
    <row r="32" spans="3:24" x14ac:dyDescent="0.25">
      <c r="C32" t="s">
        <v>995</v>
      </c>
    </row>
    <row r="33" spans="3:3" x14ac:dyDescent="0.25">
      <c r="C33" t="s">
        <v>996</v>
      </c>
    </row>
    <row r="34" spans="3:3" x14ac:dyDescent="0.25">
      <c r="C34" t="s">
        <v>997</v>
      </c>
    </row>
    <row r="35" spans="3:3" x14ac:dyDescent="0.25">
      <c r="C35" t="s">
        <v>998</v>
      </c>
    </row>
    <row r="36" spans="3:3" x14ac:dyDescent="0.25">
      <c r="C36" t="s">
        <v>999</v>
      </c>
    </row>
    <row r="37" spans="3:3" x14ac:dyDescent="0.25">
      <c r="C37" t="s">
        <v>1000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1]!Mail_workbook_Outlook">
                <anchor moveWithCells="1" sizeWithCells="1">
                  <from>
                    <xdr:col>0</xdr:col>
                    <xdr:colOff>295275</xdr:colOff>
                    <xdr:row>5</xdr:row>
                    <xdr:rowOff>47625</xdr:rowOff>
                  </from>
                  <to>
                    <xdr:col>0</xdr:col>
                    <xdr:colOff>1628775</xdr:colOff>
                    <xdr:row>8</xdr:row>
                    <xdr:rowOff>66675</xdr:rowOff>
                  </to>
                </anchor>
              </controlPr>
            </control>
          </mc:Choice>
        </mc:AlternateContent>
        <mc:AlternateContent xmlns:mc="http://schemas.openxmlformats.org/markup-compatibility/2006">
          <mc:Choice Requires="x14">
            <control shapeId="6146" r:id="rId5" name="Button 2">
              <controlPr defaultSize="0" print="0" autoFill="0" autoPict="0" macro="[1]!ImportRawText">
                <anchor moveWithCells="1" sizeWithCells="1">
                  <from>
                    <xdr:col>0</xdr:col>
                    <xdr:colOff>304800</xdr:colOff>
                    <xdr:row>9</xdr:row>
                    <xdr:rowOff>85725</xdr:rowOff>
                  </from>
                  <to>
                    <xdr:col>0</xdr:col>
                    <xdr:colOff>1552575</xdr:colOff>
                    <xdr:row>12</xdr:row>
                    <xdr:rowOff>38100</xdr:rowOff>
                  </to>
                </anchor>
              </controlPr>
            </control>
          </mc:Choice>
        </mc:AlternateContent>
        <mc:AlternateContent xmlns:mc="http://schemas.openxmlformats.org/markup-compatibility/2006">
          <mc:Choice Requires="x14">
            <control shapeId="6147" r:id="rId6" name="Button 3">
              <controlPr defaultSize="0" print="0" autoFill="0" autoPict="0" macro="[1]!SetTodaysDate">
                <anchor moveWithCells="1" sizeWithCells="1">
                  <from>
                    <xdr:col>0</xdr:col>
                    <xdr:colOff>295275</xdr:colOff>
                    <xdr:row>12</xdr:row>
                    <xdr:rowOff>142875</xdr:rowOff>
                  </from>
                  <to>
                    <xdr:col>0</xdr:col>
                    <xdr:colOff>1543050</xdr:colOff>
                    <xdr:row>15</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sheetPr>
  <dimension ref="A1:K15"/>
  <sheetViews>
    <sheetView workbookViewId="0">
      <selection activeCell="I1" sqref="I1"/>
    </sheetView>
  </sheetViews>
  <sheetFormatPr defaultColWidth="9.140625" defaultRowHeight="15" x14ac:dyDescent="0.25"/>
  <cols>
    <col min="1" max="1" width="32.85546875" style="93" bestFit="1" customWidth="1"/>
    <col min="2" max="7" width="9.140625" style="93"/>
    <col min="8" max="8" width="17.7109375" style="188" bestFit="1" customWidth="1"/>
    <col min="9" max="10" width="9.140625" style="188"/>
    <col min="11" max="16384" width="9.140625" style="93"/>
  </cols>
  <sheetData>
    <row r="1" spans="1:11" x14ac:dyDescent="0.25">
      <c r="A1" s="92" t="s">
        <v>115</v>
      </c>
      <c r="B1" s="92" t="s">
        <v>116</v>
      </c>
      <c r="C1" s="93" t="s">
        <v>117</v>
      </c>
      <c r="H1" s="168" t="s">
        <v>112</v>
      </c>
      <c r="I1" s="186" t="s">
        <v>572</v>
      </c>
      <c r="J1" s="168" t="s">
        <v>332</v>
      </c>
    </row>
    <row r="2" spans="1:11" x14ac:dyDescent="0.25">
      <c r="A2" s="93" t="s">
        <v>118</v>
      </c>
      <c r="B2" s="93" t="s">
        <v>119</v>
      </c>
      <c r="C2" s="93" t="s">
        <v>120</v>
      </c>
      <c r="H2" s="168" t="s">
        <v>113</v>
      </c>
      <c r="I2" s="168" t="s">
        <v>114</v>
      </c>
      <c r="J2" s="168" t="s">
        <v>333</v>
      </c>
    </row>
    <row r="3" spans="1:11" x14ac:dyDescent="0.25">
      <c r="A3" s="93" t="s">
        <v>121</v>
      </c>
      <c r="B3" s="93" t="s">
        <v>122</v>
      </c>
      <c r="C3" s="93" t="s">
        <v>123</v>
      </c>
      <c r="H3" s="168" t="s">
        <v>137</v>
      </c>
      <c r="I3" s="168">
        <v>1</v>
      </c>
      <c r="J3" s="168">
        <v>1</v>
      </c>
      <c r="K3" s="55"/>
    </row>
    <row r="4" spans="1:11" x14ac:dyDescent="0.25">
      <c r="A4" s="93" t="s">
        <v>124</v>
      </c>
      <c r="C4" s="93" t="s">
        <v>125</v>
      </c>
      <c r="H4" s="168" t="s">
        <v>138</v>
      </c>
      <c r="I4" s="168">
        <v>2</v>
      </c>
      <c r="J4" s="168">
        <v>1</v>
      </c>
      <c r="K4" s="55"/>
    </row>
    <row r="5" spans="1:11" x14ac:dyDescent="0.25">
      <c r="A5" s="93" t="s">
        <v>126</v>
      </c>
      <c r="C5" s="93" t="s">
        <v>127</v>
      </c>
      <c r="H5" s="168" t="s">
        <v>139</v>
      </c>
      <c r="I5" s="168">
        <v>338</v>
      </c>
      <c r="J5" s="168">
        <v>10</v>
      </c>
      <c r="K5" s="55"/>
    </row>
    <row r="6" spans="1:11" x14ac:dyDescent="0.25">
      <c r="A6" s="93" t="s">
        <v>128</v>
      </c>
      <c r="C6" s="93" t="s">
        <v>129</v>
      </c>
      <c r="H6" s="187" t="s">
        <v>140</v>
      </c>
      <c r="I6" s="187" t="s">
        <v>119</v>
      </c>
    </row>
    <row r="7" spans="1:11" x14ac:dyDescent="0.25">
      <c r="A7" s="93" t="s">
        <v>130</v>
      </c>
      <c r="C7" s="93" t="s">
        <v>131</v>
      </c>
    </row>
    <row r="8" spans="1:11" x14ac:dyDescent="0.25">
      <c r="C8" s="93" t="s">
        <v>132</v>
      </c>
    </row>
    <row r="9" spans="1:11" x14ac:dyDescent="0.25">
      <c r="C9" s="94" t="s">
        <v>165</v>
      </c>
    </row>
    <row r="10" spans="1:11" x14ac:dyDescent="0.25">
      <c r="C10" s="93" t="s">
        <v>133</v>
      </c>
    </row>
    <row r="11" spans="1:11" x14ac:dyDescent="0.25">
      <c r="C11" s="93" t="s">
        <v>134</v>
      </c>
    </row>
    <row r="12" spans="1:11" x14ac:dyDescent="0.25">
      <c r="C12" s="93" t="s">
        <v>135</v>
      </c>
    </row>
    <row r="13" spans="1:11" x14ac:dyDescent="0.25">
      <c r="C13" s="93" t="s">
        <v>136</v>
      </c>
    </row>
    <row r="14" spans="1:11" x14ac:dyDescent="0.25">
      <c r="C14" s="94" t="s">
        <v>166</v>
      </c>
    </row>
    <row r="15" spans="1:11" x14ac:dyDescent="0.25">
      <c r="C15" s="94" t="s">
        <v>183</v>
      </c>
    </row>
  </sheetData>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81"/>
  <sheetViews>
    <sheetView workbookViewId="0"/>
  </sheetViews>
  <sheetFormatPr defaultRowHeight="15" x14ac:dyDescent="0.25"/>
  <cols>
    <col min="2" max="2" width="22.28515625" bestFit="1" customWidth="1"/>
    <col min="3" max="3" width="9.7109375" customWidth="1"/>
  </cols>
  <sheetData>
    <row r="1" spans="1:3" x14ac:dyDescent="0.25">
      <c r="A1" t="s">
        <v>195</v>
      </c>
      <c r="B1" t="str">
        <f t="shared" ref="B1:B30" si="0">MID(A1,6,23)</f>
        <v>2017/03/01 11:03:17.741</v>
      </c>
      <c r="C1" t="e">
        <f>ABS(B1-#REF!)</f>
        <v>#REF!</v>
      </c>
    </row>
    <row r="2" spans="1:3" x14ac:dyDescent="0.25">
      <c r="A2" t="s">
        <v>196</v>
      </c>
      <c r="B2" s="20" t="str">
        <f t="shared" si="0"/>
        <v>2017/03/01 11:03:17.810</v>
      </c>
      <c r="C2">
        <f>ABS(B2-B1)</f>
        <v>7.9861638369038701E-7</v>
      </c>
    </row>
    <row r="3" spans="1:3" x14ac:dyDescent="0.25">
      <c r="A3" t="s">
        <v>197</v>
      </c>
      <c r="B3" s="20" t="str">
        <f t="shared" si="0"/>
        <v>2017/03/01 11:03:18.030</v>
      </c>
      <c r="C3" s="20">
        <f t="shared" ref="C3:C30" si="1">ABS(B3-B2)</f>
        <v>2.5462941266596317E-6</v>
      </c>
    </row>
    <row r="4" spans="1:3" x14ac:dyDescent="0.25">
      <c r="A4" t="s">
        <v>198</v>
      </c>
      <c r="B4" s="20" t="str">
        <f t="shared" si="0"/>
        <v>2017/03/01 11:24:06.574</v>
      </c>
      <c r="C4" s="20">
        <f t="shared" si="1"/>
        <v>1.4450740738539025E-2</v>
      </c>
    </row>
    <row r="5" spans="1:3" x14ac:dyDescent="0.25">
      <c r="A5" t="s">
        <v>199</v>
      </c>
      <c r="B5" s="20" t="str">
        <f t="shared" si="0"/>
        <v>2017/03/01 12:17:19.475</v>
      </c>
      <c r="C5" s="20">
        <f t="shared" si="1"/>
        <v>3.6954872688511387E-2</v>
      </c>
    </row>
    <row r="6" spans="1:3" x14ac:dyDescent="0.25">
      <c r="A6" t="s">
        <v>200</v>
      </c>
      <c r="B6" s="20" t="str">
        <f t="shared" si="0"/>
        <v>2017/03/01 12:17:19.924</v>
      </c>
      <c r="C6" s="20">
        <f t="shared" si="1"/>
        <v>5.1967581384815276E-6</v>
      </c>
    </row>
    <row r="7" spans="1:3" x14ac:dyDescent="0.25">
      <c r="A7" t="s">
        <v>201</v>
      </c>
      <c r="B7" s="20" t="str">
        <f t="shared" si="0"/>
        <v>2017/03/01 12:17:20.397</v>
      </c>
      <c r="C7" s="20">
        <f t="shared" si="1"/>
        <v>5.4745396482758224E-6</v>
      </c>
    </row>
    <row r="8" spans="1:3" x14ac:dyDescent="0.25">
      <c r="A8" t="s">
        <v>202</v>
      </c>
      <c r="B8" s="20" t="str">
        <f t="shared" si="0"/>
        <v>2017/03/01 12:32:44.588</v>
      </c>
      <c r="C8" s="20">
        <f t="shared" si="1"/>
        <v>1.0696655088395346E-2</v>
      </c>
    </row>
    <row r="9" spans="1:3" x14ac:dyDescent="0.25">
      <c r="A9" t="s">
        <v>203</v>
      </c>
      <c r="B9" s="20" t="str">
        <f t="shared" si="0"/>
        <v>2017/03/01 12:32:44.912</v>
      </c>
      <c r="C9" s="20">
        <f t="shared" si="1"/>
        <v>3.749999450519681E-6</v>
      </c>
    </row>
    <row r="10" spans="1:3" x14ac:dyDescent="0.25">
      <c r="A10" t="s">
        <v>204</v>
      </c>
      <c r="B10" s="20" t="str">
        <f t="shared" si="0"/>
        <v>2017/03/01 12:32:45.103</v>
      </c>
      <c r="C10" s="20">
        <f t="shared" si="1"/>
        <v>2.2106469259597361E-6</v>
      </c>
    </row>
    <row r="11" spans="1:3" x14ac:dyDescent="0.25">
      <c r="A11" t="s">
        <v>205</v>
      </c>
      <c r="B11" s="20" t="str">
        <f t="shared" si="0"/>
        <v>2017/03/01 12:52:12.025</v>
      </c>
      <c r="C11" s="20">
        <f t="shared" si="1"/>
        <v>1.3506041672371794E-2</v>
      </c>
    </row>
    <row r="12" spans="1:3" x14ac:dyDescent="0.25">
      <c r="A12" t="s">
        <v>206</v>
      </c>
      <c r="B12" s="20" t="str">
        <f t="shared" si="0"/>
        <v>2017/03/01 12:52:12.733</v>
      </c>
      <c r="C12" s="20">
        <f t="shared" si="1"/>
        <v>8.1944381236098707E-6</v>
      </c>
    </row>
    <row r="13" spans="1:3" x14ac:dyDescent="0.25">
      <c r="A13" t="s">
        <v>207</v>
      </c>
      <c r="B13" s="20" t="str">
        <f t="shared" si="0"/>
        <v>2017/03/01 12:52:12.806</v>
      </c>
      <c r="C13" s="20">
        <f t="shared" si="1"/>
        <v>8.4491330198943615E-7</v>
      </c>
    </row>
    <row r="14" spans="1:3" x14ac:dyDescent="0.25">
      <c r="A14" t="s">
        <v>208</v>
      </c>
      <c r="B14" s="20" t="str">
        <f t="shared" si="0"/>
        <v>2017/03/01 13:10:35.575</v>
      </c>
      <c r="C14" s="20">
        <f t="shared" si="1"/>
        <v>1.2763530088705011E-2</v>
      </c>
    </row>
    <row r="15" spans="1:3" x14ac:dyDescent="0.25">
      <c r="A15" t="s">
        <v>209</v>
      </c>
      <c r="B15" s="20" t="str">
        <f t="shared" si="0"/>
        <v>2017/03/01 13:10:35.884</v>
      </c>
      <c r="C15" s="20">
        <f t="shared" si="1"/>
        <v>3.5763878258876503E-6</v>
      </c>
    </row>
    <row r="16" spans="1:3" x14ac:dyDescent="0.25">
      <c r="A16" t="s">
        <v>210</v>
      </c>
      <c r="B16" s="20" t="str">
        <f t="shared" si="0"/>
        <v>2017/03/01 13:10:36.086</v>
      </c>
      <c r="C16" s="20">
        <f t="shared" si="1"/>
        <v>2.3379616322927177E-6</v>
      </c>
    </row>
    <row r="17" spans="1:3" x14ac:dyDescent="0.25">
      <c r="A17" t="s">
        <v>211</v>
      </c>
      <c r="B17" s="20" t="str">
        <f t="shared" si="0"/>
        <v>2017/03/01 13:20:52.810</v>
      </c>
      <c r="C17" s="20">
        <f t="shared" si="1"/>
        <v>7.1380092631443404E-3</v>
      </c>
    </row>
    <row r="18" spans="1:3" x14ac:dyDescent="0.25">
      <c r="A18" t="s">
        <v>212</v>
      </c>
      <c r="B18" s="20" t="str">
        <f t="shared" si="0"/>
        <v>2017/03/01 13:20:52.980</v>
      </c>
      <c r="C18" s="20">
        <f t="shared" si="1"/>
        <v>1.9675935618579388E-6</v>
      </c>
    </row>
    <row r="19" spans="1:3" x14ac:dyDescent="0.25">
      <c r="A19" t="s">
        <v>213</v>
      </c>
      <c r="B19" s="20" t="str">
        <f t="shared" si="0"/>
        <v>2017/03/01 13:58:52.710</v>
      </c>
      <c r="C19" s="20">
        <f t="shared" si="1"/>
        <v>2.6385763885627966E-2</v>
      </c>
    </row>
    <row r="20" spans="1:3" x14ac:dyDescent="0.25">
      <c r="A20" t="s">
        <v>214</v>
      </c>
      <c r="B20" s="20" t="str">
        <f t="shared" si="0"/>
        <v>2017/03/01 13:58:53.276</v>
      </c>
      <c r="C20" s="20">
        <f t="shared" si="1"/>
        <v>6.5509302658028901E-6</v>
      </c>
    </row>
    <row r="21" spans="1:3" x14ac:dyDescent="0.25">
      <c r="A21" t="s">
        <v>215</v>
      </c>
      <c r="B21" s="20" t="str">
        <f t="shared" si="0"/>
        <v>2017/03/01 13:58:53.627</v>
      </c>
      <c r="C21" s="20">
        <f t="shared" si="1"/>
        <v>4.0624945540912449E-6</v>
      </c>
    </row>
    <row r="22" spans="1:3" x14ac:dyDescent="0.25">
      <c r="A22" t="s">
        <v>216</v>
      </c>
      <c r="B22" s="20" t="str">
        <f t="shared" si="0"/>
        <v>2017/03/01 14:00:31.007</v>
      </c>
      <c r="C22" s="20">
        <f t="shared" si="1"/>
        <v>1.1270833347225562E-3</v>
      </c>
    </row>
    <row r="23" spans="1:3" x14ac:dyDescent="0.25">
      <c r="A23" t="s">
        <v>217</v>
      </c>
      <c r="B23" s="20" t="str">
        <f t="shared" si="0"/>
        <v>2017/03/01 14:00:31.373</v>
      </c>
      <c r="C23" s="20">
        <f t="shared" si="1"/>
        <v>4.2361134546808898E-6</v>
      </c>
    </row>
    <row r="24" spans="1:3" x14ac:dyDescent="0.25">
      <c r="A24" t="s">
        <v>218</v>
      </c>
      <c r="B24" s="20" t="str">
        <f t="shared" si="0"/>
        <v>2017/03/01 14:00:31.869</v>
      </c>
      <c r="C24" s="20">
        <f t="shared" si="1"/>
        <v>5.7407378335483372E-6</v>
      </c>
    </row>
    <row r="25" spans="1:3" x14ac:dyDescent="0.25">
      <c r="A25" t="s">
        <v>219</v>
      </c>
      <c r="B25" s="20" t="str">
        <f t="shared" si="0"/>
        <v>2017/03/01 14:08:42.962</v>
      </c>
      <c r="C25" s="20">
        <f t="shared" si="1"/>
        <v>5.6839467652025633E-3</v>
      </c>
    </row>
    <row r="26" spans="1:3" x14ac:dyDescent="0.25">
      <c r="A26" t="s">
        <v>220</v>
      </c>
      <c r="B26" s="20" t="str">
        <f t="shared" si="0"/>
        <v>2017/03/01 14:08:43.936</v>
      </c>
      <c r="C26" s="20">
        <f t="shared" si="1"/>
        <v>1.127314317272976E-5</v>
      </c>
    </row>
    <row r="27" spans="1:3" x14ac:dyDescent="0.25">
      <c r="A27" t="s">
        <v>221</v>
      </c>
      <c r="B27" s="20" t="str">
        <f t="shared" si="0"/>
        <v>2017/03/01 14:08:44.822</v>
      </c>
      <c r="C27" s="20">
        <f t="shared" si="1"/>
        <v>1.0254632798023522E-5</v>
      </c>
    </row>
    <row r="28" spans="1:3" x14ac:dyDescent="0.25">
      <c r="A28" t="s">
        <v>222</v>
      </c>
      <c r="B28" s="20" t="str">
        <f t="shared" si="0"/>
        <v>2017/03/01 14:40:19.043</v>
      </c>
      <c r="C28" s="20">
        <f t="shared" si="1"/>
        <v>2.1923854161286727E-2</v>
      </c>
    </row>
    <row r="29" spans="1:3" x14ac:dyDescent="0.25">
      <c r="A29" t="s">
        <v>223</v>
      </c>
      <c r="B29" s="20" t="str">
        <f t="shared" si="0"/>
        <v>2017/03/01 14:40:20.484</v>
      </c>
      <c r="C29" s="20">
        <f t="shared" si="1"/>
        <v>1.6678241081535816E-5</v>
      </c>
    </row>
    <row r="30" spans="1:3" x14ac:dyDescent="0.25">
      <c r="A30" t="s">
        <v>224</v>
      </c>
      <c r="B30" s="20" t="str">
        <f t="shared" si="0"/>
        <v>2017/03/01 14:42:29.040</v>
      </c>
      <c r="C30" s="20">
        <f t="shared" si="1"/>
        <v>1.4879166701575741E-3</v>
      </c>
    </row>
    <row r="31" spans="1:3" x14ac:dyDescent="0.25">
      <c r="A31" t="s">
        <v>225</v>
      </c>
      <c r="B31" s="20" t="str">
        <f t="shared" ref="B31:B32" si="2">MID(A31,6,23)</f>
        <v>2017/03/01 14:42:30.164</v>
      </c>
      <c r="C31" s="20">
        <f t="shared" ref="C31:C32" si="3">ABS(B31-B30)</f>
        <v>1.3009259419050068E-5</v>
      </c>
    </row>
    <row r="32" spans="1:3" x14ac:dyDescent="0.25">
      <c r="A32" t="s">
        <v>226</v>
      </c>
      <c r="B32" s="20" t="str">
        <f t="shared" si="2"/>
        <v>2017/03/01 14:42:30.410</v>
      </c>
      <c r="C32" s="20">
        <f t="shared" si="3"/>
        <v>2.847220457624644E-6</v>
      </c>
    </row>
    <row r="33" spans="1:3" x14ac:dyDescent="0.25">
      <c r="A33" t="s">
        <v>227</v>
      </c>
      <c r="B33" s="20" t="str">
        <f t="shared" ref="B33:B49" si="4">MID(A33,6,23)</f>
        <v>2017/03/01 15:16:01.045</v>
      </c>
      <c r="C33" s="20">
        <f t="shared" ref="C33:C49" si="5">ABS(B33-B32)</f>
        <v>2.3271238424058538E-2</v>
      </c>
    </row>
    <row r="34" spans="1:3" x14ac:dyDescent="0.25">
      <c r="A34" t="s">
        <v>228</v>
      </c>
      <c r="B34" s="20" t="str">
        <f t="shared" si="4"/>
        <v>2017/03/01 15:16:01.400</v>
      </c>
      <c r="C34" s="20">
        <f t="shared" si="5"/>
        <v>4.1087987483479083E-6</v>
      </c>
    </row>
    <row r="35" spans="1:3" x14ac:dyDescent="0.25">
      <c r="A35" t="s">
        <v>229</v>
      </c>
      <c r="B35" s="20" t="str">
        <f t="shared" si="4"/>
        <v>2017/03/01 15:17:18.045</v>
      </c>
      <c r="C35" s="20">
        <f t="shared" si="5"/>
        <v>8.8709490955807269E-4</v>
      </c>
    </row>
    <row r="36" spans="1:3" x14ac:dyDescent="0.25">
      <c r="A36" t="s">
        <v>230</v>
      </c>
      <c r="B36" s="20" t="str">
        <f t="shared" si="4"/>
        <v>2017/03/01 15:17:18.415</v>
      </c>
      <c r="C36" s="20">
        <f t="shared" si="5"/>
        <v>4.2824030970223248E-6</v>
      </c>
    </row>
    <row r="37" spans="1:3" x14ac:dyDescent="0.25">
      <c r="A37" t="s">
        <v>231</v>
      </c>
      <c r="B37" s="20" t="str">
        <f t="shared" si="4"/>
        <v>2017/03/01 15:17:19.155</v>
      </c>
      <c r="C37" s="20">
        <f t="shared" si="5"/>
        <v>8.564820745959878E-6</v>
      </c>
    </row>
    <row r="38" spans="1:3" x14ac:dyDescent="0.25">
      <c r="A38" t="s">
        <v>232</v>
      </c>
      <c r="B38" s="20" t="str">
        <f t="shared" si="4"/>
        <v>2017/03/01 16:13:17.582</v>
      </c>
      <c r="C38" s="20">
        <f t="shared" si="5"/>
        <v>3.8870682867127471E-2</v>
      </c>
    </row>
    <row r="39" spans="1:3" x14ac:dyDescent="0.25">
      <c r="A39" t="s">
        <v>233</v>
      </c>
      <c r="B39" s="20" t="str">
        <f t="shared" si="4"/>
        <v>2017/03/01 16:13:17.910</v>
      </c>
      <c r="C39" s="20">
        <f t="shared" si="5"/>
        <v>3.7962963688187301E-6</v>
      </c>
    </row>
    <row r="40" spans="1:3" x14ac:dyDescent="0.25">
      <c r="A40" t="s">
        <v>234</v>
      </c>
      <c r="B40" s="20" t="str">
        <f t="shared" si="4"/>
        <v>2017/03/01 16:33:53.680</v>
      </c>
      <c r="C40" s="20">
        <f t="shared" si="5"/>
        <v>1.4302893519925419E-2</v>
      </c>
    </row>
    <row r="41" spans="1:3" x14ac:dyDescent="0.25">
      <c r="A41" t="s">
        <v>235</v>
      </c>
      <c r="B41" s="20" t="str">
        <f t="shared" si="4"/>
        <v>2017/03/01 16:33:53.828</v>
      </c>
      <c r="C41" s="20">
        <f t="shared" si="5"/>
        <v>1.7129641491919756E-6</v>
      </c>
    </row>
    <row r="42" spans="1:3" x14ac:dyDescent="0.25">
      <c r="A42" t="s">
        <v>236</v>
      </c>
      <c r="B42" s="20" t="str">
        <f t="shared" si="4"/>
        <v>2017/03/01 16:33:53.912</v>
      </c>
      <c r="C42" s="20">
        <f t="shared" si="5"/>
        <v>9.7222073236480355E-7</v>
      </c>
    </row>
    <row r="43" spans="1:3" x14ac:dyDescent="0.25">
      <c r="A43" t="s">
        <v>237</v>
      </c>
      <c r="B43" s="20" t="str">
        <f t="shared" si="4"/>
        <v>2017/03/01 17:25:14.718</v>
      </c>
      <c r="C43" s="20">
        <f t="shared" si="5"/>
        <v>3.5657476852065884E-2</v>
      </c>
    </row>
    <row r="44" spans="1:3" x14ac:dyDescent="0.25">
      <c r="A44" t="s">
        <v>238</v>
      </c>
      <c r="B44" s="20" t="str">
        <f t="shared" si="4"/>
        <v>2017/03/01 17:25:14.865</v>
      </c>
      <c r="C44" s="20">
        <f t="shared" si="5"/>
        <v>1.7013881006278098E-6</v>
      </c>
    </row>
    <row r="45" spans="1:3" x14ac:dyDescent="0.25">
      <c r="A45" t="s">
        <v>239</v>
      </c>
      <c r="B45" s="20" t="str">
        <f t="shared" si="4"/>
        <v>2017/03/01 17:25:14.945</v>
      </c>
      <c r="C45" s="20">
        <f t="shared" si="5"/>
        <v>9.2592381406575441E-7</v>
      </c>
    </row>
    <row r="46" spans="1:3" x14ac:dyDescent="0.25">
      <c r="A46" t="s">
        <v>240</v>
      </c>
      <c r="B46" s="20" t="str">
        <f t="shared" si="4"/>
        <v>2017/03/01 17:51:17.905</v>
      </c>
      <c r="C46" s="20">
        <f t="shared" si="5"/>
        <v>1.8089814817358274E-2</v>
      </c>
    </row>
    <row r="47" spans="1:3" x14ac:dyDescent="0.25">
      <c r="A47" t="s">
        <v>241</v>
      </c>
      <c r="B47" s="20" t="str">
        <f t="shared" si="4"/>
        <v>2017/03/01 17:51:18.582</v>
      </c>
      <c r="C47" s="20">
        <f t="shared" si="5"/>
        <v>7.8356461017392576E-6</v>
      </c>
    </row>
    <row r="48" spans="1:3" x14ac:dyDescent="0.25">
      <c r="A48" t="s">
        <v>242</v>
      </c>
      <c r="B48" s="20" t="str">
        <f t="shared" si="4"/>
        <v>2017/03/01 17:53:38.687</v>
      </c>
      <c r="C48" s="20">
        <f t="shared" si="5"/>
        <v>1.6215856521739624E-3</v>
      </c>
    </row>
    <row r="49" spans="1:3" x14ac:dyDescent="0.25">
      <c r="A49" t="s">
        <v>243</v>
      </c>
      <c r="B49" s="20" t="str">
        <f t="shared" si="4"/>
        <v>2017/03/01 17:53:38.949</v>
      </c>
      <c r="C49" s="20">
        <f t="shared" si="5"/>
        <v>3.0324081308208406E-6</v>
      </c>
    </row>
    <row r="50" spans="1:3" x14ac:dyDescent="0.25">
      <c r="A50" t="s">
        <v>244</v>
      </c>
      <c r="B50" s="20" t="str">
        <f t="shared" ref="B50:B54" si="6">MID(A50,6,23)</f>
        <v>2017/03/01 17:54:21.586</v>
      </c>
      <c r="C50" s="20">
        <f t="shared" ref="C50:C54" si="7">ABS(B50-B49)</f>
        <v>4.934837925247848E-4</v>
      </c>
    </row>
    <row r="51" spans="1:3" x14ac:dyDescent="0.25">
      <c r="A51" t="s">
        <v>245</v>
      </c>
      <c r="B51" s="20" t="str">
        <f t="shared" si="6"/>
        <v>2017/03/01 17:54:21.919</v>
      </c>
      <c r="C51" s="20">
        <f t="shared" si="7"/>
        <v>3.8541693356819451E-6</v>
      </c>
    </row>
    <row r="52" spans="1:3" x14ac:dyDescent="0.25">
      <c r="A52" t="s">
        <v>246</v>
      </c>
      <c r="B52" s="20" t="str">
        <f t="shared" si="6"/>
        <v>2017/03/01 17:55:16.336</v>
      </c>
      <c r="C52" s="20">
        <f t="shared" si="7"/>
        <v>6.2982638337416574E-4</v>
      </c>
    </row>
    <row r="53" spans="1:3" x14ac:dyDescent="0.25">
      <c r="A53" t="s">
        <v>247</v>
      </c>
      <c r="B53" s="20" t="str">
        <f t="shared" si="6"/>
        <v>2017/03/01 17:55:16.384</v>
      </c>
      <c r="C53" s="20">
        <f t="shared" si="7"/>
        <v>5.5555574363097548E-7</v>
      </c>
    </row>
    <row r="54" spans="1:3" x14ac:dyDescent="0.25">
      <c r="A54" t="s">
        <v>248</v>
      </c>
      <c r="B54" s="20" t="str">
        <f t="shared" si="6"/>
        <v>2017/03/01 17:55:16.839</v>
      </c>
      <c r="C54" s="20">
        <f t="shared" si="7"/>
        <v>5.2662071539089084E-6</v>
      </c>
    </row>
    <row r="55" spans="1:3" x14ac:dyDescent="0.25">
      <c r="A55" t="s">
        <v>249</v>
      </c>
      <c r="B55" s="20" t="str">
        <f t="shared" ref="B55:B62" si="8">MID(A55,6,23)</f>
        <v>2017/03/01 18:13:47.810</v>
      </c>
      <c r="C55" s="20">
        <f t="shared" ref="C55:C62" si="9">ABS(B55-B54)</f>
        <v>1.2858460650022607E-2</v>
      </c>
    </row>
    <row r="56" spans="1:3" x14ac:dyDescent="0.25">
      <c r="A56" t="s">
        <v>250</v>
      </c>
      <c r="B56" s="20" t="str">
        <f t="shared" si="8"/>
        <v>2017/03/01 18:13:48.426</v>
      </c>
      <c r="C56" s="20">
        <f t="shared" si="9"/>
        <v>7.129630830604583E-6</v>
      </c>
    </row>
    <row r="57" spans="1:3" x14ac:dyDescent="0.25">
      <c r="A57" t="s">
        <v>251</v>
      </c>
      <c r="B57" s="20" t="str">
        <f t="shared" si="8"/>
        <v>2017/03/01 18:34:18.681</v>
      </c>
      <c r="C57" s="20">
        <f t="shared" si="9"/>
        <v>1.4239062496926636E-2</v>
      </c>
    </row>
    <row r="58" spans="1:3" x14ac:dyDescent="0.25">
      <c r="A58" t="s">
        <v>252</v>
      </c>
      <c r="B58" s="20" t="str">
        <f t="shared" si="8"/>
        <v>2017/03/01 18:34:18.834</v>
      </c>
      <c r="C58" s="20">
        <f t="shared" si="9"/>
        <v>1.7708298400975764E-6</v>
      </c>
    </row>
    <row r="59" spans="1:3" x14ac:dyDescent="0.25">
      <c r="A59" t="s">
        <v>253</v>
      </c>
      <c r="B59" s="20" t="str">
        <f t="shared" si="8"/>
        <v>2017/03/01 18:34:18.908</v>
      </c>
      <c r="C59" s="20">
        <f t="shared" si="9"/>
        <v>8.564820745959878E-7</v>
      </c>
    </row>
    <row r="60" spans="1:3" x14ac:dyDescent="0.25">
      <c r="A60" t="s">
        <v>254</v>
      </c>
      <c r="B60" s="20" t="str">
        <f t="shared" si="8"/>
        <v>2017/03/01 20:06:08.810</v>
      </c>
      <c r="C60" s="20">
        <f t="shared" si="9"/>
        <v>6.3772013891139068E-2</v>
      </c>
    </row>
    <row r="61" spans="1:3" x14ac:dyDescent="0.25">
      <c r="A61" t="s">
        <v>255</v>
      </c>
      <c r="B61" s="20" t="str">
        <f t="shared" si="8"/>
        <v>2017/03/01 20:06:09.082</v>
      </c>
      <c r="C61" s="20">
        <f t="shared" si="9"/>
        <v>3.1481467885896564E-6</v>
      </c>
    </row>
    <row r="62" spans="1:3" x14ac:dyDescent="0.25">
      <c r="A62" t="s">
        <v>256</v>
      </c>
      <c r="B62" s="20" t="str">
        <f t="shared" si="8"/>
        <v>2017/03/01 20:06:09.424</v>
      </c>
      <c r="C62" s="20">
        <f t="shared" si="9"/>
        <v>3.958331944886595E-6</v>
      </c>
    </row>
    <row r="63" spans="1:3" x14ac:dyDescent="0.25">
      <c r="A63" t="s">
        <v>257</v>
      </c>
      <c r="B63" s="20" t="str">
        <f t="shared" ref="B63:B86" si="10">MID(A63,6,23)</f>
        <v>2017/03/01 20:29:46.035</v>
      </c>
      <c r="C63" s="20">
        <f t="shared" ref="C63:C86" si="11">ABS(B63-B62)</f>
        <v>1.6395960650697816E-2</v>
      </c>
    </row>
    <row r="64" spans="1:3" x14ac:dyDescent="0.25">
      <c r="A64" t="s">
        <v>258</v>
      </c>
      <c r="B64" s="20" t="str">
        <f t="shared" si="10"/>
        <v>2017/03/01 20:29:46.150</v>
      </c>
      <c r="C64" s="20">
        <f t="shared" si="11"/>
        <v>1.3310200301930308E-6</v>
      </c>
    </row>
    <row r="65" spans="1:3" x14ac:dyDescent="0.25">
      <c r="A65" t="s">
        <v>259</v>
      </c>
      <c r="B65" s="20" t="str">
        <f t="shared" si="10"/>
        <v>2017/03/01 20:29:46.410</v>
      </c>
      <c r="C65" s="20">
        <f t="shared" si="11"/>
        <v>3.0092560336925089E-6</v>
      </c>
    </row>
    <row r="66" spans="1:3" x14ac:dyDescent="0.25">
      <c r="A66" t="s">
        <v>260</v>
      </c>
      <c r="B66" s="20" t="str">
        <f t="shared" si="10"/>
        <v>2017/03/01 20:32:47.271</v>
      </c>
      <c r="C66" s="20">
        <f t="shared" si="11"/>
        <v>2.0932986153638922E-3</v>
      </c>
    </row>
    <row r="67" spans="1:3" x14ac:dyDescent="0.25">
      <c r="A67" t="s">
        <v>261</v>
      </c>
      <c r="B67" s="20" t="str">
        <f t="shared" si="10"/>
        <v>2017/03/01 20:32:47.465</v>
      </c>
      <c r="C67" s="20">
        <f t="shared" si="11"/>
        <v>2.2453677956946194E-6</v>
      </c>
    </row>
    <row r="68" spans="1:3" x14ac:dyDescent="0.25">
      <c r="A68" t="s">
        <v>262</v>
      </c>
      <c r="B68" s="20" t="str">
        <f t="shared" si="10"/>
        <v>2017/03/01 20:32:47.590</v>
      </c>
      <c r="C68" s="20">
        <f t="shared" si="11"/>
        <v>1.4467586879618466E-6</v>
      </c>
    </row>
    <row r="69" spans="1:3" x14ac:dyDescent="0.25">
      <c r="A69" t="s">
        <v>263</v>
      </c>
      <c r="B69" s="20" t="str">
        <f t="shared" si="10"/>
        <v>2017/03/01 21:35:07.687</v>
      </c>
      <c r="C69" s="20">
        <f t="shared" si="11"/>
        <v>4.3288159722578712E-2</v>
      </c>
    </row>
    <row r="70" spans="1:3" x14ac:dyDescent="0.25">
      <c r="A70" t="s">
        <v>264</v>
      </c>
      <c r="B70" s="20" t="str">
        <f t="shared" si="10"/>
        <v>2017/03/01 22:09:49.455</v>
      </c>
      <c r="C70" s="20">
        <f t="shared" si="11"/>
        <v>2.4094537038763519E-2</v>
      </c>
    </row>
    <row r="71" spans="1:3" x14ac:dyDescent="0.25">
      <c r="A71" t="s">
        <v>265</v>
      </c>
      <c r="B71" s="20" t="str">
        <f t="shared" si="10"/>
        <v>2017/03/01 22:09:49.531</v>
      </c>
      <c r="C71" s="20">
        <f t="shared" si="11"/>
        <v>8.7962689576670527E-7</v>
      </c>
    </row>
    <row r="72" spans="1:3" x14ac:dyDescent="0.25">
      <c r="A72" t="s">
        <v>266</v>
      </c>
      <c r="B72" s="20" t="str">
        <f t="shared" si="10"/>
        <v>2017/03/01 22:09:49.600</v>
      </c>
      <c r="C72" s="20">
        <f t="shared" si="11"/>
        <v>7.9860910773277283E-7</v>
      </c>
    </row>
    <row r="73" spans="1:3" x14ac:dyDescent="0.25">
      <c r="A73" t="s">
        <v>267</v>
      </c>
      <c r="B73" s="20" t="str">
        <f t="shared" si="10"/>
        <v>2017/03/01 22:19:03.040</v>
      </c>
      <c r="C73" s="20">
        <f t="shared" si="11"/>
        <v>6.4055555558297783E-3</v>
      </c>
    </row>
    <row r="74" spans="1:3" x14ac:dyDescent="0.25">
      <c r="A74" t="s">
        <v>268</v>
      </c>
      <c r="B74" s="20" t="str">
        <f t="shared" si="10"/>
        <v>2017/03/01 22:19:03.803</v>
      </c>
      <c r="C74" s="20">
        <f t="shared" si="11"/>
        <v>8.8310189312323928E-6</v>
      </c>
    </row>
    <row r="75" spans="1:3" x14ac:dyDescent="0.25">
      <c r="A75" t="s">
        <v>269</v>
      </c>
      <c r="B75" s="20" t="str">
        <f t="shared" si="10"/>
        <v>2017/03/01 22:19:04.887</v>
      </c>
      <c r="C75" s="20">
        <f t="shared" si="11"/>
        <v>1.254629751201719E-5</v>
      </c>
    </row>
    <row r="76" spans="1:3" x14ac:dyDescent="0.25">
      <c r="A76" t="s">
        <v>270</v>
      </c>
      <c r="B76" s="20" t="str">
        <f t="shared" si="10"/>
        <v>2017/03/01 22:37:58.313</v>
      </c>
      <c r="C76" s="20">
        <f t="shared" si="11"/>
        <v>1.311835648084525E-2</v>
      </c>
    </row>
    <row r="77" spans="1:3" x14ac:dyDescent="0.25">
      <c r="A77" t="s">
        <v>271</v>
      </c>
      <c r="B77" s="20" t="str">
        <f t="shared" si="10"/>
        <v>2017/03/01 22:37:58.800</v>
      </c>
      <c r="C77" s="20">
        <f t="shared" si="11"/>
        <v>5.6365752243436873E-6</v>
      </c>
    </row>
    <row r="78" spans="1:3" x14ac:dyDescent="0.25">
      <c r="A78" t="s">
        <v>272</v>
      </c>
      <c r="B78" s="20" t="str">
        <f t="shared" si="10"/>
        <v>2017/03/01 22:37:58.968</v>
      </c>
      <c r="C78" s="20">
        <f t="shared" si="11"/>
        <v>1.9444487406872213E-6</v>
      </c>
    </row>
    <row r="79" spans="1:3" x14ac:dyDescent="0.25">
      <c r="A79" t="s">
        <v>273</v>
      </c>
      <c r="B79" s="20" t="str">
        <f t="shared" si="10"/>
        <v>2017/03/01 22:51:54.858</v>
      </c>
      <c r="C79" s="20">
        <f t="shared" si="11"/>
        <v>9.6746527779032476E-3</v>
      </c>
    </row>
    <row r="80" spans="1:3" x14ac:dyDescent="0.25">
      <c r="A80" t="s">
        <v>274</v>
      </c>
      <c r="B80" s="20" t="str">
        <f t="shared" si="10"/>
        <v>2017/03/01 22:53:19.418</v>
      </c>
      <c r="C80" s="20">
        <f t="shared" si="11"/>
        <v>9.7870369791053236E-4</v>
      </c>
    </row>
    <row r="81" spans="1:3" x14ac:dyDescent="0.25">
      <c r="A81" t="s">
        <v>275</v>
      </c>
      <c r="B81" s="20" t="str">
        <f t="shared" si="10"/>
        <v>2017/03/01 22:53:19.708</v>
      </c>
      <c r="C81" s="20">
        <f t="shared" si="11"/>
        <v>3.3564865589141846E-6</v>
      </c>
    </row>
    <row r="82" spans="1:3" x14ac:dyDescent="0.25">
      <c r="A82" t="s">
        <v>276</v>
      </c>
      <c r="B82" s="20" t="str">
        <f t="shared" si="10"/>
        <v>2017/03/01 23:26:03.802</v>
      </c>
      <c r="C82" s="20">
        <f t="shared" si="11"/>
        <v>2.2732569443178363E-2</v>
      </c>
    </row>
    <row r="83" spans="1:3" x14ac:dyDescent="0.25">
      <c r="A83" t="s">
        <v>277</v>
      </c>
      <c r="B83" s="20" t="str">
        <f t="shared" si="10"/>
        <v>2017/03/01 23:26:03.967</v>
      </c>
      <c r="C83" s="20">
        <f t="shared" si="11"/>
        <v>1.9097205949947238E-6</v>
      </c>
    </row>
    <row r="84" spans="1:3" x14ac:dyDescent="0.25">
      <c r="A84" t="s">
        <v>278</v>
      </c>
      <c r="B84" s="20" t="str">
        <f t="shared" si="10"/>
        <v>2017/03/01 23:26:04.314</v>
      </c>
      <c r="C84" s="20">
        <f t="shared" si="11"/>
        <v>4.01620491174981E-6</v>
      </c>
    </row>
    <row r="85" spans="1:3" x14ac:dyDescent="0.25">
      <c r="A85" t="s">
        <v>279</v>
      </c>
      <c r="B85" s="20" t="str">
        <f t="shared" si="10"/>
        <v>2017/03/01 23:34:24.829</v>
      </c>
      <c r="C85" s="20">
        <f t="shared" si="11"/>
        <v>5.7929976828745566E-3</v>
      </c>
    </row>
    <row r="86" spans="1:3" x14ac:dyDescent="0.25">
      <c r="A86" t="s">
        <v>280</v>
      </c>
      <c r="B86" s="20" t="str">
        <f t="shared" si="10"/>
        <v>2017/03/01 23:34:24.908</v>
      </c>
      <c r="C86" s="20">
        <f t="shared" si="11"/>
        <v>9.1435504145920277E-7</v>
      </c>
    </row>
    <row r="87" spans="1:3" x14ac:dyDescent="0.25">
      <c r="A87" t="s">
        <v>281</v>
      </c>
      <c r="B87" s="20" t="str">
        <f t="shared" ref="B87:B92" si="12">MID(A87,6,23)</f>
        <v>2017/03/01 23:52:09.789</v>
      </c>
      <c r="C87" s="20">
        <f t="shared" ref="C87:C92" si="13">ABS(B87-B86)</f>
        <v>1.2325011572102085E-2</v>
      </c>
    </row>
    <row r="88" spans="1:3" x14ac:dyDescent="0.25">
      <c r="A88" t="s">
        <v>282</v>
      </c>
      <c r="B88" s="20" t="str">
        <f t="shared" si="12"/>
        <v>2017/03/01 23:52:10.049</v>
      </c>
      <c r="C88" s="20">
        <f t="shared" si="13"/>
        <v>3.0092560336925089E-6</v>
      </c>
    </row>
    <row r="89" spans="1:3" x14ac:dyDescent="0.25">
      <c r="A89" t="s">
        <v>283</v>
      </c>
      <c r="B89" s="20" t="str">
        <f t="shared" si="12"/>
        <v>2017/03/02 00:26:52.318</v>
      </c>
      <c r="C89" s="20">
        <f t="shared" si="13"/>
        <v>2.4100335649563931E-2</v>
      </c>
    </row>
    <row r="90" spans="1:3" x14ac:dyDescent="0.25">
      <c r="A90" t="s">
        <v>284</v>
      </c>
      <c r="B90" s="20" t="str">
        <f t="shared" si="12"/>
        <v>2017/03/02 00:26:52.805</v>
      </c>
      <c r="C90" s="20">
        <f t="shared" si="13"/>
        <v>5.6365752243436873E-6</v>
      </c>
    </row>
    <row r="91" spans="1:3" x14ac:dyDescent="0.25">
      <c r="A91" t="s">
        <v>285</v>
      </c>
      <c r="B91" s="20" t="str">
        <f t="shared" si="12"/>
        <v>2017/03/02 00:26:52.971</v>
      </c>
      <c r="C91" s="20">
        <f t="shared" si="13"/>
        <v>1.9212966435588896E-6</v>
      </c>
    </row>
    <row r="92" spans="1:3" x14ac:dyDescent="0.25">
      <c r="A92" t="s">
        <v>286</v>
      </c>
      <c r="B92" s="20" t="str">
        <f t="shared" si="12"/>
        <v>2017/03/02 00:52:34.904</v>
      </c>
      <c r="C92" s="20">
        <f t="shared" si="13"/>
        <v>1.7846446760813706E-2</v>
      </c>
    </row>
    <row r="93" spans="1:3" x14ac:dyDescent="0.25">
      <c r="A93" t="s">
        <v>287</v>
      </c>
      <c r="B93" s="20" t="str">
        <f t="shared" ref="B93:B130" si="14">MID(A93,6,23)</f>
        <v>2017/03/02 00:52:36.808</v>
      </c>
      <c r="C93" s="20">
        <f t="shared" ref="C93:C130" si="15">ABS(B93-B92)</f>
        <v>2.2037034796085209E-5</v>
      </c>
    </row>
    <row r="94" spans="1:3" x14ac:dyDescent="0.25">
      <c r="A94" t="s">
        <v>288</v>
      </c>
      <c r="B94" s="20" t="str">
        <f t="shared" si="14"/>
        <v>2017/03/02 00:52:36.956</v>
      </c>
      <c r="C94" s="20">
        <f t="shared" si="15"/>
        <v>1.7129641491919756E-6</v>
      </c>
    </row>
    <row r="95" spans="1:3" x14ac:dyDescent="0.25">
      <c r="A95" t="s">
        <v>289</v>
      </c>
      <c r="B95" s="20" t="str">
        <f t="shared" si="14"/>
        <v>2017/03/02 01:13:02.814</v>
      </c>
      <c r="C95" s="20">
        <f t="shared" si="15"/>
        <v>1.418817129888339E-2</v>
      </c>
    </row>
    <row r="96" spans="1:3" x14ac:dyDescent="0.25">
      <c r="A96" t="s">
        <v>290</v>
      </c>
      <c r="B96" s="20" t="str">
        <f t="shared" si="14"/>
        <v>2017/03/02 01:13:03.323</v>
      </c>
      <c r="C96" s="20">
        <f t="shared" si="15"/>
        <v>5.8912046370096505E-6</v>
      </c>
    </row>
    <row r="97" spans="1:3" x14ac:dyDescent="0.25">
      <c r="A97" t="s">
        <v>291</v>
      </c>
      <c r="B97" s="20" t="str">
        <f t="shared" si="14"/>
        <v>2017/03/02 01:13:03.347</v>
      </c>
      <c r="C97" s="20">
        <f t="shared" si="15"/>
        <v>2.7777423383668065E-7</v>
      </c>
    </row>
    <row r="98" spans="1:3" x14ac:dyDescent="0.25">
      <c r="A98" t="s">
        <v>292</v>
      </c>
      <c r="B98" s="20" t="str">
        <f t="shared" si="14"/>
        <v>2017/03/02 01:13:03.980</v>
      </c>
      <c r="C98" s="20">
        <f t="shared" si="15"/>
        <v>7.3263872764073312E-6</v>
      </c>
    </row>
    <row r="99" spans="1:3" x14ac:dyDescent="0.25">
      <c r="A99" t="s">
        <v>293</v>
      </c>
      <c r="B99" s="20" t="str">
        <f t="shared" si="14"/>
        <v>2017/03/02 01:13:37.804</v>
      </c>
      <c r="C99" s="20">
        <f t="shared" si="15"/>
        <v>3.9148148061940446E-4</v>
      </c>
    </row>
    <row r="100" spans="1:3" x14ac:dyDescent="0.25">
      <c r="A100" t="s">
        <v>294</v>
      </c>
      <c r="B100" s="20" t="str">
        <f t="shared" si="14"/>
        <v>2017/03/02 01:13:38.315</v>
      </c>
      <c r="C100" s="20">
        <f t="shared" si="15"/>
        <v>5.9143567341379821E-6</v>
      </c>
    </row>
    <row r="101" spans="1:3" x14ac:dyDescent="0.25">
      <c r="A101" t="s">
        <v>295</v>
      </c>
      <c r="B101" s="20" t="str">
        <f t="shared" si="14"/>
        <v>2017/03/02 01:13:38.969</v>
      </c>
      <c r="C101" s="20">
        <f t="shared" si="15"/>
        <v>7.5694406405091286E-6</v>
      </c>
    </row>
    <row r="102" spans="1:3" x14ac:dyDescent="0.25">
      <c r="A102" t="s">
        <v>296</v>
      </c>
      <c r="B102" s="20" t="str">
        <f t="shared" si="14"/>
        <v>2017/03/02 01:14:07.802</v>
      </c>
      <c r="C102" s="20">
        <f t="shared" si="15"/>
        <v>3.3371528115822002E-4</v>
      </c>
    </row>
    <row r="103" spans="1:3" x14ac:dyDescent="0.25">
      <c r="A103" t="s">
        <v>297</v>
      </c>
      <c r="B103" s="20" t="str">
        <f t="shared" si="14"/>
        <v>2017/03/02 01:14:08.317</v>
      </c>
      <c r="C103" s="20">
        <f t="shared" si="15"/>
        <v>5.9606463764794171E-6</v>
      </c>
    </row>
    <row r="104" spans="1:3" x14ac:dyDescent="0.25">
      <c r="A104" t="s">
        <v>298</v>
      </c>
      <c r="B104" s="20" t="str">
        <f t="shared" si="14"/>
        <v>2017/03/02 01:14:08.969</v>
      </c>
      <c r="C104" s="20">
        <f t="shared" si="15"/>
        <v>7.5462958193384111E-6</v>
      </c>
    </row>
    <row r="105" spans="1:3" x14ac:dyDescent="0.25">
      <c r="A105" t="s">
        <v>299</v>
      </c>
      <c r="B105" s="20" t="str">
        <f t="shared" si="14"/>
        <v>2017/03/02 01:31:00.809</v>
      </c>
      <c r="C105" s="20">
        <f t="shared" si="15"/>
        <v>1.1711111110344063E-2</v>
      </c>
    </row>
    <row r="106" spans="1:3" x14ac:dyDescent="0.25">
      <c r="A106" t="s">
        <v>300</v>
      </c>
      <c r="B106" s="20" t="str">
        <f t="shared" si="14"/>
        <v>2017/03/02 01:31:01.318</v>
      </c>
      <c r="C106" s="20">
        <f t="shared" si="15"/>
        <v>5.8912046370096505E-6</v>
      </c>
    </row>
    <row r="107" spans="1:3" x14ac:dyDescent="0.25">
      <c r="A107" t="s">
        <v>301</v>
      </c>
      <c r="B107" s="20" t="str">
        <f t="shared" si="14"/>
        <v>2017/03/02 01:31:01.972</v>
      </c>
      <c r="C107" s="20">
        <f t="shared" si="15"/>
        <v>7.5694479164667428E-6</v>
      </c>
    </row>
    <row r="108" spans="1:3" x14ac:dyDescent="0.25">
      <c r="A108" t="s">
        <v>302</v>
      </c>
      <c r="B108" s="20" t="str">
        <f t="shared" si="14"/>
        <v>2017/03/02 01:39:27.534</v>
      </c>
      <c r="C108" s="20">
        <f t="shared" si="15"/>
        <v>5.8514120319159701E-3</v>
      </c>
    </row>
    <row r="109" spans="1:3" x14ac:dyDescent="0.25">
      <c r="A109" t="s">
        <v>303</v>
      </c>
      <c r="B109" s="20" t="str">
        <f t="shared" si="14"/>
        <v>2017/03/02 01:39:27.595</v>
      </c>
      <c r="C109" s="20">
        <f t="shared" si="15"/>
        <v>7.0602254709228873E-7</v>
      </c>
    </row>
    <row r="110" spans="1:3" x14ac:dyDescent="0.25">
      <c r="A110" t="s">
        <v>304</v>
      </c>
      <c r="B110" s="20" t="str">
        <f t="shared" si="14"/>
        <v>2017/03/02 01:39:28.452</v>
      </c>
      <c r="C110" s="20">
        <f t="shared" si="15"/>
        <v>9.9189783213660121E-6</v>
      </c>
    </row>
    <row r="111" spans="1:3" x14ac:dyDescent="0.25">
      <c r="A111" t="s">
        <v>305</v>
      </c>
      <c r="B111" s="20" t="str">
        <f t="shared" si="14"/>
        <v>2017/03/02 02:43:47.743</v>
      </c>
      <c r="C111" s="20">
        <f t="shared" si="15"/>
        <v>4.4667719907010905E-2</v>
      </c>
    </row>
    <row r="112" spans="1:3" x14ac:dyDescent="0.25">
      <c r="A112" t="s">
        <v>306</v>
      </c>
      <c r="B112" s="20" t="str">
        <f t="shared" si="14"/>
        <v>2017/03/02 02:43:47.814</v>
      </c>
      <c r="C112" s="20">
        <f t="shared" si="15"/>
        <v>8.2176120486110449E-7</v>
      </c>
    </row>
    <row r="113" spans="1:3" x14ac:dyDescent="0.25">
      <c r="A113" t="s">
        <v>307</v>
      </c>
      <c r="B113" s="20" t="str">
        <f t="shared" si="14"/>
        <v>2017/03/02 02:43:48.041</v>
      </c>
      <c r="C113" s="20">
        <f t="shared" si="15"/>
        <v>2.6273119146935642E-6</v>
      </c>
    </row>
    <row r="114" spans="1:3" x14ac:dyDescent="0.25">
      <c r="A114" t="s">
        <v>308</v>
      </c>
      <c r="B114" s="20" t="str">
        <f t="shared" si="14"/>
        <v>2017/03/02 02:52:28.590</v>
      </c>
      <c r="C114" s="20">
        <f t="shared" si="15"/>
        <v>6.0248726877034642E-3</v>
      </c>
    </row>
    <row r="115" spans="1:3" x14ac:dyDescent="0.25">
      <c r="A115" t="s">
        <v>309</v>
      </c>
      <c r="B115" s="20" t="str">
        <f t="shared" si="14"/>
        <v>2017/03/02 02:52:28.905</v>
      </c>
      <c r="C115" s="20">
        <f t="shared" si="15"/>
        <v>3.6458295653574169E-6</v>
      </c>
    </row>
    <row r="116" spans="1:3" x14ac:dyDescent="0.25">
      <c r="A116" t="s">
        <v>310</v>
      </c>
      <c r="B116" s="20" t="str">
        <f t="shared" si="14"/>
        <v>2017/03/02 03:40:42.468</v>
      </c>
      <c r="C116" s="20">
        <f t="shared" si="15"/>
        <v>3.349031250400003E-2</v>
      </c>
    </row>
    <row r="117" spans="1:3" x14ac:dyDescent="0.25">
      <c r="A117" t="s">
        <v>311</v>
      </c>
      <c r="B117" s="20" t="str">
        <f t="shared" si="14"/>
        <v>2017/03/02 03:40:42.542</v>
      </c>
      <c r="C117" s="20">
        <f t="shared" si="15"/>
        <v>8.564820745959878E-7</v>
      </c>
    </row>
    <row r="118" spans="1:3" x14ac:dyDescent="0.25">
      <c r="A118" t="s">
        <v>312</v>
      </c>
      <c r="B118" s="20" t="str">
        <f t="shared" si="14"/>
        <v>2017/03/02 03:45:24.882</v>
      </c>
      <c r="C118" s="20">
        <f t="shared" si="15"/>
        <v>3.2678240750101395E-3</v>
      </c>
    </row>
    <row r="119" spans="1:3" x14ac:dyDescent="0.25">
      <c r="A119" t="s">
        <v>313</v>
      </c>
      <c r="B119" s="20" t="str">
        <f t="shared" si="14"/>
        <v>2017/03/02 03:45:25.384</v>
      </c>
      <c r="C119" s="20">
        <f t="shared" si="15"/>
        <v>5.8101795730181038E-6</v>
      </c>
    </row>
    <row r="120" spans="1:3" x14ac:dyDescent="0.25">
      <c r="A120" t="s">
        <v>314</v>
      </c>
      <c r="B120" s="20" t="str">
        <f t="shared" si="14"/>
        <v>2017/03/02 04:14:22.074</v>
      </c>
      <c r="C120" s="20">
        <f t="shared" si="15"/>
        <v>2.0100578709389083E-2</v>
      </c>
    </row>
    <row r="121" spans="1:3" x14ac:dyDescent="0.25">
      <c r="A121" t="s">
        <v>315</v>
      </c>
      <c r="B121" s="20" t="str">
        <f t="shared" si="14"/>
        <v>2017/03/02 04:14:22.756</v>
      </c>
      <c r="C121" s="20">
        <f t="shared" si="15"/>
        <v>7.8935190686024725E-6</v>
      </c>
    </row>
    <row r="122" spans="1:3" x14ac:dyDescent="0.25">
      <c r="A122" t="s">
        <v>316</v>
      </c>
      <c r="B122" s="20" t="str">
        <f t="shared" si="14"/>
        <v>2017/03/02 04:14:22.850</v>
      </c>
      <c r="C122" s="20">
        <f t="shared" si="15"/>
        <v>1.0879593901336193E-6</v>
      </c>
    </row>
    <row r="123" spans="1:3" x14ac:dyDescent="0.25">
      <c r="A123" t="s">
        <v>317</v>
      </c>
      <c r="B123" s="20" t="str">
        <f t="shared" si="14"/>
        <v>2017/03/02 04:30:58.031</v>
      </c>
      <c r="C123" s="20">
        <f t="shared" si="15"/>
        <v>1.1518298611917999E-2</v>
      </c>
    </row>
    <row r="124" spans="1:3" x14ac:dyDescent="0.25">
      <c r="A124" t="s">
        <v>318</v>
      </c>
      <c r="B124" s="20" t="str">
        <f t="shared" si="14"/>
        <v>2017/03/02 04:35:10.680</v>
      </c>
      <c r="C124" s="20">
        <f t="shared" si="15"/>
        <v>2.9241782394819893E-3</v>
      </c>
    </row>
    <row r="125" spans="1:3" x14ac:dyDescent="0.25">
      <c r="A125" t="s">
        <v>319</v>
      </c>
      <c r="B125" s="20" t="str">
        <f t="shared" si="14"/>
        <v>2017/03/02 05:25:05.864</v>
      </c>
      <c r="C125" s="20">
        <f t="shared" si="15"/>
        <v>3.4666481486056E-2</v>
      </c>
    </row>
    <row r="126" spans="1:3" x14ac:dyDescent="0.25">
      <c r="A126" t="s">
        <v>320</v>
      </c>
      <c r="B126" s="20" t="str">
        <f t="shared" si="14"/>
        <v>2017/03/02 05:25:06.247</v>
      </c>
      <c r="C126" s="20">
        <f t="shared" si="15"/>
        <v>4.432869900483638E-6</v>
      </c>
    </row>
    <row r="127" spans="1:3" x14ac:dyDescent="0.25">
      <c r="A127" t="s">
        <v>321</v>
      </c>
      <c r="B127" s="20" t="str">
        <f t="shared" si="14"/>
        <v>2017/03/02 05:25:08.927</v>
      </c>
      <c r="C127" s="20">
        <f t="shared" si="15"/>
        <v>3.1018513254821301E-5</v>
      </c>
    </row>
    <row r="128" spans="1:3" x14ac:dyDescent="0.25">
      <c r="A128" t="s">
        <v>322</v>
      </c>
      <c r="B128" s="20" t="str">
        <f t="shared" si="14"/>
        <v>2017/03/02 06:06:40.258</v>
      </c>
      <c r="C128" s="20">
        <f t="shared" si="15"/>
        <v>2.8834849537815899E-2</v>
      </c>
    </row>
    <row r="129" spans="1:3" x14ac:dyDescent="0.25">
      <c r="A129" t="s">
        <v>323</v>
      </c>
      <c r="B129" s="20" t="str">
        <f t="shared" si="14"/>
        <v>2017/03/02 06:06:40.298</v>
      </c>
      <c r="C129" s="20">
        <f t="shared" si="15"/>
        <v>4.6296190703287721E-7</v>
      </c>
    </row>
    <row r="130" spans="1:3" x14ac:dyDescent="0.25">
      <c r="A130" t="s">
        <v>324</v>
      </c>
      <c r="B130" s="20" t="str">
        <f t="shared" si="14"/>
        <v>2017/03/02 06:06:40.629</v>
      </c>
      <c r="C130" s="20">
        <f t="shared" si="15"/>
        <v>3.8310245145112276E-6</v>
      </c>
    </row>
    <row r="131" spans="1:3" x14ac:dyDescent="0.25">
      <c r="B131" s="20"/>
      <c r="C131" s="20"/>
    </row>
    <row r="132" spans="1:3" x14ac:dyDescent="0.25">
      <c r="B132" s="20"/>
      <c r="C132" s="20"/>
    </row>
    <row r="133" spans="1:3" x14ac:dyDescent="0.25">
      <c r="B133" s="20"/>
      <c r="C133" s="20"/>
    </row>
    <row r="134" spans="1:3" x14ac:dyDescent="0.25">
      <c r="B134" s="20"/>
      <c r="C134" s="20"/>
    </row>
    <row r="135" spans="1:3" x14ac:dyDescent="0.25">
      <c r="B135" s="20"/>
      <c r="C135" s="20"/>
    </row>
    <row r="136" spans="1:3" x14ac:dyDescent="0.25">
      <c r="B136" s="20"/>
      <c r="C136" s="20"/>
    </row>
    <row r="137" spans="1:3" x14ac:dyDescent="0.25">
      <c r="B137" s="20"/>
      <c r="C137" s="20"/>
    </row>
    <row r="138" spans="1:3" x14ac:dyDescent="0.25">
      <c r="B138" s="20"/>
      <c r="C138" s="20"/>
    </row>
    <row r="139" spans="1:3" x14ac:dyDescent="0.25">
      <c r="B139" s="20"/>
      <c r="C139" s="20"/>
    </row>
    <row r="140" spans="1:3" x14ac:dyDescent="0.25">
      <c r="B140" s="20"/>
      <c r="C140" s="20"/>
    </row>
    <row r="141" spans="1:3" x14ac:dyDescent="0.25">
      <c r="B141" s="20"/>
      <c r="C141" s="20"/>
    </row>
    <row r="142" spans="1:3" x14ac:dyDescent="0.25">
      <c r="B142" s="20"/>
      <c r="C142" s="20"/>
    </row>
    <row r="143" spans="1:3" x14ac:dyDescent="0.25">
      <c r="B143" s="20"/>
      <c r="C143" s="20"/>
    </row>
    <row r="144" spans="1:3" x14ac:dyDescent="0.25">
      <c r="B144" s="20"/>
      <c r="C144" s="20"/>
    </row>
    <row r="145" spans="2:3" x14ac:dyDescent="0.25">
      <c r="B145" s="20"/>
      <c r="C145" s="20"/>
    </row>
    <row r="146" spans="2:3" x14ac:dyDescent="0.25">
      <c r="B146" s="20"/>
      <c r="C146" s="20"/>
    </row>
    <row r="147" spans="2:3" x14ac:dyDescent="0.25">
      <c r="B147" s="20"/>
      <c r="C147" s="20"/>
    </row>
    <row r="148" spans="2:3" x14ac:dyDescent="0.25">
      <c r="B148" s="20"/>
      <c r="C148" s="20"/>
    </row>
    <row r="149" spans="2:3" x14ac:dyDescent="0.25">
      <c r="B149" s="20"/>
      <c r="C149" s="20"/>
    </row>
    <row r="150" spans="2:3" x14ac:dyDescent="0.25">
      <c r="B150" s="20"/>
      <c r="C150" s="20"/>
    </row>
    <row r="151" spans="2:3" x14ac:dyDescent="0.25">
      <c r="B151" s="20"/>
      <c r="C151" s="20"/>
    </row>
    <row r="152" spans="2:3" x14ac:dyDescent="0.25">
      <c r="B152" s="20"/>
      <c r="C152" s="20"/>
    </row>
    <row r="153" spans="2:3" x14ac:dyDescent="0.25">
      <c r="B153" s="20"/>
      <c r="C153" s="20"/>
    </row>
    <row r="154" spans="2:3" x14ac:dyDescent="0.25">
      <c r="B154" s="20"/>
      <c r="C154" s="20"/>
    </row>
    <row r="155" spans="2:3" x14ac:dyDescent="0.25">
      <c r="B155" s="20"/>
      <c r="C155" s="20"/>
    </row>
    <row r="156" spans="2:3" x14ac:dyDescent="0.25">
      <c r="B156" s="20"/>
      <c r="C156" s="20"/>
    </row>
    <row r="157" spans="2:3" x14ac:dyDescent="0.25">
      <c r="B157" s="20"/>
      <c r="C157" s="20"/>
    </row>
    <row r="158" spans="2:3" x14ac:dyDescent="0.25">
      <c r="B158" s="20"/>
      <c r="C158" s="20"/>
    </row>
    <row r="159" spans="2:3" x14ac:dyDescent="0.25">
      <c r="B159" s="20"/>
      <c r="C159" s="20"/>
    </row>
    <row r="160" spans="2:3" x14ac:dyDescent="0.25">
      <c r="B160" s="20"/>
      <c r="C160" s="20"/>
    </row>
    <row r="161" spans="2:3" x14ac:dyDescent="0.25">
      <c r="B161" s="20"/>
      <c r="C161" s="20"/>
    </row>
    <row r="162" spans="2:3" x14ac:dyDescent="0.25">
      <c r="B162" s="20"/>
      <c r="C162" s="20"/>
    </row>
    <row r="163" spans="2:3" x14ac:dyDescent="0.25">
      <c r="B163" s="20"/>
      <c r="C163" s="20"/>
    </row>
    <row r="164" spans="2:3" x14ac:dyDescent="0.25">
      <c r="B164" s="20"/>
      <c r="C164" s="20"/>
    </row>
    <row r="165" spans="2:3" x14ac:dyDescent="0.25">
      <c r="B165" s="20"/>
      <c r="C165" s="20"/>
    </row>
    <row r="166" spans="2:3" x14ac:dyDescent="0.25">
      <c r="B166" s="20"/>
      <c r="C166" s="20"/>
    </row>
    <row r="167" spans="2:3" x14ac:dyDescent="0.25">
      <c r="B167" s="20"/>
      <c r="C167" s="20"/>
    </row>
    <row r="168" spans="2:3" x14ac:dyDescent="0.25">
      <c r="B168" s="20"/>
      <c r="C168" s="20"/>
    </row>
    <row r="169" spans="2:3" x14ac:dyDescent="0.25">
      <c r="B169" s="20"/>
      <c r="C169" s="20"/>
    </row>
    <row r="170" spans="2:3" x14ac:dyDescent="0.25">
      <c r="B170" s="20"/>
      <c r="C170" s="20"/>
    </row>
    <row r="171" spans="2:3" x14ac:dyDescent="0.25">
      <c r="B171" s="20"/>
      <c r="C171" s="20"/>
    </row>
    <row r="172" spans="2:3" x14ac:dyDescent="0.25">
      <c r="B172" s="20"/>
      <c r="C172" s="20"/>
    </row>
    <row r="173" spans="2:3" x14ac:dyDescent="0.25">
      <c r="B173" s="20"/>
      <c r="C173" s="20"/>
    </row>
    <row r="174" spans="2:3" x14ac:dyDescent="0.25">
      <c r="B174" s="20"/>
      <c r="C174" s="20"/>
    </row>
    <row r="175" spans="2:3" x14ac:dyDescent="0.25">
      <c r="B175" s="20"/>
      <c r="C175" s="20"/>
    </row>
    <row r="176" spans="2:3" x14ac:dyDescent="0.25">
      <c r="B176" s="20"/>
      <c r="C176" s="20"/>
    </row>
    <row r="177" spans="2:3" x14ac:dyDescent="0.25">
      <c r="B177" s="20"/>
      <c r="C177" s="20"/>
    </row>
    <row r="178" spans="2:3" x14ac:dyDescent="0.25">
      <c r="B178" s="20"/>
      <c r="C178" s="20"/>
    </row>
    <row r="179" spans="2:3" x14ac:dyDescent="0.25">
      <c r="B179" s="20"/>
      <c r="C179" s="20"/>
    </row>
    <row r="180" spans="2:3" x14ac:dyDescent="0.25">
      <c r="B180" s="20"/>
      <c r="C180" s="20"/>
    </row>
    <row r="181" spans="2:3" x14ac:dyDescent="0.25">
      <c r="B181" s="20"/>
      <c r="C181" s="20"/>
    </row>
    <row r="182" spans="2:3" x14ac:dyDescent="0.25">
      <c r="B182" s="20"/>
      <c r="C182" s="20"/>
    </row>
    <row r="183" spans="2:3" x14ac:dyDescent="0.25">
      <c r="B183" s="20"/>
      <c r="C183" s="20"/>
    </row>
    <row r="184" spans="2:3" x14ac:dyDescent="0.25">
      <c r="B184" s="20"/>
      <c r="C184" s="20"/>
    </row>
    <row r="185" spans="2:3" x14ac:dyDescent="0.25">
      <c r="B185" s="20"/>
      <c r="C185" s="20"/>
    </row>
    <row r="186" spans="2:3" x14ac:dyDescent="0.25">
      <c r="B186" s="20"/>
      <c r="C186" s="20"/>
    </row>
    <row r="187" spans="2:3" x14ac:dyDescent="0.25">
      <c r="B187" s="20"/>
      <c r="C187" s="20"/>
    </row>
    <row r="188" spans="2:3" x14ac:dyDescent="0.25">
      <c r="B188" s="20"/>
      <c r="C188" s="20"/>
    </row>
    <row r="189" spans="2:3" x14ac:dyDescent="0.25">
      <c r="B189" s="20"/>
      <c r="C189" s="20"/>
    </row>
    <row r="190" spans="2:3" x14ac:dyDescent="0.25">
      <c r="B190" s="20"/>
      <c r="C190" s="20"/>
    </row>
    <row r="191" spans="2:3" x14ac:dyDescent="0.25">
      <c r="B191" s="20"/>
      <c r="C191" s="20"/>
    </row>
    <row r="192" spans="2:3" x14ac:dyDescent="0.25">
      <c r="B192" s="20"/>
      <c r="C192" s="20"/>
    </row>
    <row r="193" spans="2:3" x14ac:dyDescent="0.25">
      <c r="B193" s="20"/>
      <c r="C193" s="20"/>
    </row>
    <row r="194" spans="2:3" x14ac:dyDescent="0.25">
      <c r="B194" s="20"/>
      <c r="C194" s="20"/>
    </row>
    <row r="195" spans="2:3" x14ac:dyDescent="0.25">
      <c r="B195" s="20"/>
      <c r="C195" s="20"/>
    </row>
    <row r="196" spans="2:3" x14ac:dyDescent="0.25">
      <c r="B196" s="20"/>
      <c r="C196" s="20"/>
    </row>
    <row r="197" spans="2:3" x14ac:dyDescent="0.25">
      <c r="B197" s="20"/>
      <c r="C197" s="20"/>
    </row>
    <row r="198" spans="2:3" x14ac:dyDescent="0.25">
      <c r="B198" s="20"/>
      <c r="C198" s="20"/>
    </row>
    <row r="199" spans="2:3" x14ac:dyDescent="0.25">
      <c r="B199" s="20"/>
      <c r="C199" s="20"/>
    </row>
    <row r="200" spans="2:3" x14ac:dyDescent="0.25">
      <c r="B200" s="20"/>
      <c r="C200" s="20"/>
    </row>
    <row r="201" spans="2:3" x14ac:dyDescent="0.25">
      <c r="B201" s="20"/>
      <c r="C201" s="20"/>
    </row>
    <row r="202" spans="2:3" x14ac:dyDescent="0.25">
      <c r="B202" s="20"/>
      <c r="C202" s="20"/>
    </row>
    <row r="203" spans="2:3" x14ac:dyDescent="0.25">
      <c r="B203" s="20"/>
      <c r="C203" s="20"/>
    </row>
    <row r="204" spans="2:3" x14ac:dyDescent="0.25">
      <c r="B204" s="20"/>
      <c r="C204" s="20"/>
    </row>
    <row r="205" spans="2:3" x14ac:dyDescent="0.25">
      <c r="B205" s="20"/>
      <c r="C205" s="20"/>
    </row>
    <row r="206" spans="2:3" x14ac:dyDescent="0.25">
      <c r="B206" s="20"/>
      <c r="C206" s="20"/>
    </row>
    <row r="207" spans="2:3" x14ac:dyDescent="0.25">
      <c r="B207" s="20"/>
      <c r="C207" s="20"/>
    </row>
    <row r="208" spans="2:3" x14ac:dyDescent="0.25">
      <c r="B208" s="20"/>
      <c r="C208" s="20"/>
    </row>
    <row r="209" spans="2:3" x14ac:dyDescent="0.25">
      <c r="B209" s="20"/>
      <c r="C209" s="20"/>
    </row>
    <row r="210" spans="2:3" x14ac:dyDescent="0.25">
      <c r="B210" s="20"/>
      <c r="C210" s="20"/>
    </row>
    <row r="211" spans="2:3" x14ac:dyDescent="0.25">
      <c r="B211" s="20"/>
      <c r="C211" s="20"/>
    </row>
    <row r="212" spans="2:3" x14ac:dyDescent="0.25">
      <c r="B212" s="20"/>
      <c r="C212" s="20"/>
    </row>
    <row r="213" spans="2:3" x14ac:dyDescent="0.25">
      <c r="B213" s="20"/>
      <c r="C213" s="20"/>
    </row>
    <row r="214" spans="2:3" x14ac:dyDescent="0.25">
      <c r="B214" s="20"/>
      <c r="C214" s="20"/>
    </row>
    <row r="215" spans="2:3" x14ac:dyDescent="0.25">
      <c r="B215" s="20"/>
      <c r="C215" s="20"/>
    </row>
    <row r="216" spans="2:3" x14ac:dyDescent="0.25">
      <c r="B216" s="20"/>
      <c r="C216" s="20"/>
    </row>
    <row r="217" spans="2:3" x14ac:dyDescent="0.25">
      <c r="B217" s="20"/>
      <c r="C217" s="20"/>
    </row>
    <row r="218" spans="2:3" x14ac:dyDescent="0.25">
      <c r="B218" s="20"/>
      <c r="C218" s="20"/>
    </row>
    <row r="219" spans="2:3" x14ac:dyDescent="0.25">
      <c r="B219" s="20"/>
      <c r="C219" s="20"/>
    </row>
    <row r="220" spans="2:3" x14ac:dyDescent="0.25">
      <c r="B220" s="20"/>
      <c r="C220" s="20"/>
    </row>
    <row r="221" spans="2:3" x14ac:dyDescent="0.25">
      <c r="B221" s="20"/>
      <c r="C221" s="20"/>
    </row>
    <row r="222" spans="2:3" x14ac:dyDescent="0.25">
      <c r="B222" s="20"/>
      <c r="C222" s="20"/>
    </row>
    <row r="223" spans="2:3" x14ac:dyDescent="0.25">
      <c r="B223" s="20"/>
      <c r="C223" s="20"/>
    </row>
    <row r="224" spans="2:3" x14ac:dyDescent="0.25">
      <c r="B224" s="20"/>
      <c r="C224" s="20"/>
    </row>
    <row r="225" spans="2:3" x14ac:dyDescent="0.25">
      <c r="B225" s="20"/>
      <c r="C225" s="20"/>
    </row>
    <row r="226" spans="2:3" x14ac:dyDescent="0.25">
      <c r="B226" s="20"/>
      <c r="C226" s="20"/>
    </row>
    <row r="227" spans="2:3" x14ac:dyDescent="0.25">
      <c r="B227" s="20"/>
      <c r="C227" s="20"/>
    </row>
    <row r="228" spans="2:3" x14ac:dyDescent="0.25">
      <c r="B228" s="20"/>
      <c r="C228" s="20"/>
    </row>
    <row r="229" spans="2:3" x14ac:dyDescent="0.25">
      <c r="B229" s="20"/>
      <c r="C229" s="20"/>
    </row>
    <row r="230" spans="2:3" x14ac:dyDescent="0.25">
      <c r="B230" s="20"/>
      <c r="C230" s="20"/>
    </row>
    <row r="231" spans="2:3" x14ac:dyDescent="0.25">
      <c r="B231" s="20"/>
      <c r="C231" s="20"/>
    </row>
    <row r="232" spans="2:3" x14ac:dyDescent="0.25">
      <c r="B232" s="20"/>
      <c r="C232" s="20"/>
    </row>
    <row r="233" spans="2:3" x14ac:dyDescent="0.25">
      <c r="B233" s="20"/>
      <c r="C233" s="20"/>
    </row>
    <row r="234" spans="2:3" x14ac:dyDescent="0.25">
      <c r="B234" s="20"/>
      <c r="C234" s="20"/>
    </row>
    <row r="235" spans="2:3" x14ac:dyDescent="0.25">
      <c r="B235" s="20"/>
      <c r="C235" s="20"/>
    </row>
    <row r="236" spans="2:3" x14ac:dyDescent="0.25">
      <c r="B236" s="20"/>
      <c r="C236" s="20"/>
    </row>
    <row r="237" spans="2:3" x14ac:dyDescent="0.25">
      <c r="B237" s="20"/>
      <c r="C237" s="20"/>
    </row>
    <row r="238" spans="2:3" x14ac:dyDescent="0.25">
      <c r="B238" s="20"/>
      <c r="C238" s="20"/>
    </row>
    <row r="239" spans="2:3" x14ac:dyDescent="0.25">
      <c r="B239" s="20"/>
      <c r="C239" s="20"/>
    </row>
    <row r="240" spans="2:3" x14ac:dyDescent="0.25">
      <c r="B240" s="20"/>
      <c r="C240" s="20"/>
    </row>
    <row r="241" spans="2:3" x14ac:dyDescent="0.25">
      <c r="B241" s="20"/>
      <c r="C241" s="20"/>
    </row>
    <row r="242" spans="2:3" x14ac:dyDescent="0.25">
      <c r="B242" s="20"/>
      <c r="C242" s="20"/>
    </row>
    <row r="243" spans="2:3" x14ac:dyDescent="0.25">
      <c r="B243" s="20"/>
      <c r="C243" s="20"/>
    </row>
    <row r="244" spans="2:3" x14ac:dyDescent="0.25">
      <c r="B244" s="20"/>
      <c r="C244" s="20"/>
    </row>
    <row r="245" spans="2:3" x14ac:dyDescent="0.25">
      <c r="B245" s="20"/>
      <c r="C245" s="20"/>
    </row>
    <row r="246" spans="2:3" x14ac:dyDescent="0.25">
      <c r="B246" s="20"/>
      <c r="C246" s="20"/>
    </row>
    <row r="247" spans="2:3" x14ac:dyDescent="0.25">
      <c r="B247" s="20"/>
      <c r="C247" s="20"/>
    </row>
    <row r="248" spans="2:3" x14ac:dyDescent="0.25">
      <c r="B248" s="20"/>
      <c r="C248" s="20"/>
    </row>
    <row r="249" spans="2:3" x14ac:dyDescent="0.25">
      <c r="B249" s="20"/>
      <c r="C249" s="20"/>
    </row>
    <row r="250" spans="2:3" x14ac:dyDescent="0.25">
      <c r="B250" s="20"/>
      <c r="C250" s="20"/>
    </row>
    <row r="251" spans="2:3" x14ac:dyDescent="0.25">
      <c r="B251" s="20"/>
      <c r="C251" s="20"/>
    </row>
    <row r="252" spans="2:3" x14ac:dyDescent="0.25">
      <c r="B252" s="20"/>
      <c r="C252" s="20"/>
    </row>
    <row r="253" spans="2:3" x14ac:dyDescent="0.25">
      <c r="B253" s="20"/>
      <c r="C253" s="20"/>
    </row>
    <row r="254" spans="2:3" x14ac:dyDescent="0.25">
      <c r="B254" s="20"/>
      <c r="C254" s="20"/>
    </row>
    <row r="255" spans="2:3" x14ac:dyDescent="0.25">
      <c r="B255" s="20"/>
      <c r="C255" s="20"/>
    </row>
    <row r="256" spans="2:3" x14ac:dyDescent="0.25">
      <c r="B256" s="20"/>
      <c r="C256" s="20"/>
    </row>
    <row r="257" spans="2:3" x14ac:dyDescent="0.25">
      <c r="B257" s="20"/>
      <c r="C257" s="20"/>
    </row>
    <row r="258" spans="2:3" x14ac:dyDescent="0.25">
      <c r="B258" s="20"/>
      <c r="C258" s="20"/>
    </row>
    <row r="259" spans="2:3" x14ac:dyDescent="0.25">
      <c r="B259" s="20"/>
      <c r="C259" s="20"/>
    </row>
    <row r="260" spans="2:3" x14ac:dyDescent="0.25">
      <c r="B260" s="20"/>
      <c r="C260" s="20"/>
    </row>
    <row r="261" spans="2:3" x14ac:dyDescent="0.25">
      <c r="B261" s="20"/>
      <c r="C261" s="20"/>
    </row>
    <row r="262" spans="2:3" x14ac:dyDescent="0.25">
      <c r="B262" s="20"/>
      <c r="C262" s="20"/>
    </row>
    <row r="263" spans="2:3" x14ac:dyDescent="0.25">
      <c r="B263" s="20"/>
      <c r="C263" s="20"/>
    </row>
    <row r="264" spans="2:3" x14ac:dyDescent="0.25">
      <c r="B264" s="20"/>
      <c r="C264" s="20"/>
    </row>
    <row r="265" spans="2:3" x14ac:dyDescent="0.25">
      <c r="B265" s="20"/>
      <c r="C265" s="20"/>
    </row>
    <row r="266" spans="2:3" x14ac:dyDescent="0.25">
      <c r="B266" s="20"/>
      <c r="C266" s="20"/>
    </row>
    <row r="267" spans="2:3" x14ac:dyDescent="0.25">
      <c r="B267" s="20"/>
      <c r="C267" s="20"/>
    </row>
    <row r="268" spans="2:3" x14ac:dyDescent="0.25">
      <c r="B268" s="20"/>
      <c r="C268" s="20"/>
    </row>
    <row r="269" spans="2:3" x14ac:dyDescent="0.25">
      <c r="B269" s="20"/>
      <c r="C269" s="20"/>
    </row>
    <row r="270" spans="2:3" x14ac:dyDescent="0.25">
      <c r="B270" s="20"/>
      <c r="C270" s="20"/>
    </row>
    <row r="271" spans="2:3" x14ac:dyDescent="0.25">
      <c r="B271" s="20"/>
      <c r="C271" s="20"/>
    </row>
    <row r="272" spans="2:3" x14ac:dyDescent="0.25">
      <c r="B272" s="20"/>
      <c r="C272" s="20"/>
    </row>
    <row r="273" spans="2:3" x14ac:dyDescent="0.25">
      <c r="B273" s="20"/>
      <c r="C273" s="20"/>
    </row>
    <row r="274" spans="2:3" x14ac:dyDescent="0.25">
      <c r="B274" s="20"/>
      <c r="C274" s="20"/>
    </row>
    <row r="275" spans="2:3" x14ac:dyDescent="0.25">
      <c r="B275" s="20"/>
      <c r="C275" s="20"/>
    </row>
    <row r="276" spans="2:3" x14ac:dyDescent="0.25">
      <c r="B276" s="20"/>
      <c r="C276" s="20"/>
    </row>
    <row r="277" spans="2:3" x14ac:dyDescent="0.25">
      <c r="B277" s="20"/>
      <c r="C277" s="20"/>
    </row>
    <row r="278" spans="2:3" x14ac:dyDescent="0.25">
      <c r="B278" s="20"/>
      <c r="C278" s="20"/>
    </row>
    <row r="279" spans="2:3" x14ac:dyDescent="0.25">
      <c r="B279" s="20"/>
      <c r="C279" s="20"/>
    </row>
    <row r="280" spans="2:3" x14ac:dyDescent="0.25">
      <c r="B280" s="20"/>
      <c r="C280" s="20"/>
    </row>
    <row r="281" spans="2:3" x14ac:dyDescent="0.25">
      <c r="B281" s="20"/>
      <c r="C281" s="20"/>
    </row>
  </sheetData>
  <sortState ref="A1:A281">
    <sortCondition ref="A1:A281"/>
  </sortState>
  <conditionalFormatting sqref="C1:C1048576">
    <cfRule type="cellIs" dxfId="0" priority="1" operator="greaterThan">
      <formula>0.000115740740740741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31</vt:i4>
      </vt:variant>
    </vt:vector>
  </HeadingPairs>
  <TitlesOfParts>
    <vt:vector size="39" baseType="lpstr">
      <vt:lpstr>Train Runs</vt:lpstr>
      <vt:lpstr>Enforcements</vt:lpstr>
      <vt:lpstr>Missing Trips</vt:lpstr>
      <vt:lpstr>Trips&amp;Operators</vt:lpstr>
      <vt:lpstr>Weather</vt:lpstr>
      <vt:lpstr>Variables</vt:lpstr>
      <vt:lpstr>Redmine List Values</vt:lpstr>
      <vt:lpstr>Slice Disagreement Check</vt:lpstr>
      <vt:lpstr>astrogrep_path</vt:lpstr>
      <vt:lpstr>'Train Runs'!Denver_Train_Runs_04122016</vt:lpstr>
      <vt:lpstr>dls3logs</vt:lpstr>
      <vt:lpstr>enforcements_txt</vt:lpstr>
      <vt:lpstr>outputrefinedruntimes</vt:lpstr>
      <vt:lpstr>redm_api_key</vt:lpstr>
      <vt:lpstr>redm_url</vt:lpstr>
      <vt:lpstr>redmine_api</vt:lpstr>
      <vt:lpstr>redmine_api_wcr</vt:lpstr>
      <vt:lpstr>redmine_assignee</vt:lpstr>
      <vt:lpstr>redmine_assignee_wcr</vt:lpstr>
      <vt:lpstr>redmine_op_impact</vt:lpstr>
      <vt:lpstr>redmine_priority</vt:lpstr>
      <vt:lpstr>redmine_priority_wcr</vt:lpstr>
      <vt:lpstr>redmine_status</vt:lpstr>
      <vt:lpstr>redmine_status_wcr</vt:lpstr>
      <vt:lpstr>redmine_status2</vt:lpstr>
      <vt:lpstr>redmine_url</vt:lpstr>
      <vt:lpstr>redmine_url_wcr</vt:lpstr>
      <vt:lpstr>redmine_url2</vt:lpstr>
      <vt:lpstr>RefinedRTDCRunTimesOutputFile</vt:lpstr>
      <vt:lpstr>refinertdcruntimes</vt:lpstr>
      <vt:lpstr>runsrefined_txt</vt:lpstr>
      <vt:lpstr>s3_bucket</vt:lpstr>
      <vt:lpstr>search_path</vt:lpstr>
      <vt:lpstr>search_regexp</vt:lpstr>
      <vt:lpstr>SubdivInfo</vt:lpstr>
      <vt:lpstr>trips_txt</vt:lpstr>
      <vt:lpstr>utc_offset</vt:lpstr>
      <vt:lpstr>walkandungz</vt:lpstr>
      <vt:lpstr>weather_txt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Whitlock, Robert;Tu, Steve</dc:creator>
  <cp:lastModifiedBy>Steve Tu</cp:lastModifiedBy>
  <dcterms:created xsi:type="dcterms:W3CDTF">2016-04-12T13:52:23Z</dcterms:created>
  <dcterms:modified xsi:type="dcterms:W3CDTF">2017-10-06T16:07:54Z</dcterms:modified>
</cp:coreProperties>
</file>