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Enforcements!$A$6:$AC$73</definedName>
    <definedName name="_xlnm._FilterDatabase" localSheetId="2" hidden="1">'Missing Trips'!$A$2:$J$85</definedName>
    <definedName name="_xlnm._FilterDatabase" localSheetId="0" hidden="1">'Train Runs'!$A$12:$AG$262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Runs'!$A$12:$J$61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45" i="1" l="1"/>
  <c r="P28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I15" i="1" s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X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X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A18" i="1" s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AI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A24" i="1" s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A26" i="1" s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T32" i="1"/>
  <c r="V32" i="1"/>
  <c r="Y32" i="1"/>
  <c r="Z32" i="1"/>
  <c r="AA32" i="1" s="1"/>
  <c r="W32" i="1" s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A35" i="1" s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A41" i="1" s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A47" i="1" s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/>
  <c r="V49" i="1"/>
  <c r="Y49" i="1"/>
  <c r="AA49" i="1" s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/>
  <c r="V56" i="1"/>
  <c r="Y56" i="1"/>
  <c r="Z56" i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Y57" i="1"/>
  <c r="AA57" i="1" s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A60" i="1" s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T61" i="1"/>
  <c r="V61" i="1"/>
  <c r="X61" i="1"/>
  <c r="Y61" i="1"/>
  <c r="Z61" i="1"/>
  <c r="AB61" i="1"/>
  <c r="AC61" i="1"/>
  <c r="AD61" i="1"/>
  <c r="AE61" i="1"/>
  <c r="AF61" i="1"/>
  <c r="AG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A63" i="1" s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T65" i="1"/>
  <c r="V65" i="1"/>
  <c r="X65" i="1"/>
  <c r="Y65" i="1"/>
  <c r="Z65" i="1"/>
  <c r="AB65" i="1"/>
  <c r="AC65" i="1"/>
  <c r="AD65" i="1"/>
  <c r="AE65" i="1"/>
  <c r="AF65" i="1"/>
  <c r="AG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/>
  <c r="V68" i="1"/>
  <c r="Y68" i="1"/>
  <c r="Z68" i="1"/>
  <c r="AA68" i="1"/>
  <c r="W68" i="1" s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T69" i="1"/>
  <c r="V69" i="1"/>
  <c r="Y69" i="1"/>
  <c r="Z69" i="1"/>
  <c r="AB69" i="1"/>
  <c r="AC69" i="1"/>
  <c r="AD69" i="1"/>
  <c r="X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A70" i="1" s="1"/>
  <c r="AB70" i="1"/>
  <c r="AC70" i="1"/>
  <c r="AD70" i="1"/>
  <c r="AE70" i="1"/>
  <c r="AF70" i="1"/>
  <c r="AH70" i="1"/>
  <c r="AM70" i="1"/>
  <c r="AN70" i="1"/>
  <c r="K71" i="1"/>
  <c r="L71" i="1"/>
  <c r="M71" i="1"/>
  <c r="N71" i="1"/>
  <c r="V71" i="1"/>
  <c r="Y71" i="1"/>
  <c r="AA71" i="1" s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AA72" i="1" s="1"/>
  <c r="Z72" i="1"/>
  <c r="AB72" i="1"/>
  <c r="AC72" i="1"/>
  <c r="AD72" i="1"/>
  <c r="AG72" i="1" s="1"/>
  <c r="AE72" i="1"/>
  <c r="AF72" i="1"/>
  <c r="AH72" i="1"/>
  <c r="AI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I76" i="1" s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AI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X84" i="1"/>
  <c r="Y84" i="1"/>
  <c r="Z84" i="1"/>
  <c r="AB84" i="1"/>
  <c r="AC84" i="1"/>
  <c r="AD84" i="1"/>
  <c r="T84" i="1" s="1"/>
  <c r="AE84" i="1"/>
  <c r="AF84" i="1"/>
  <c r="AG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T91" i="1"/>
  <c r="V91" i="1"/>
  <c r="Y91" i="1"/>
  <c r="Z91" i="1"/>
  <c r="AB91" i="1"/>
  <c r="AC91" i="1"/>
  <c r="AD91" i="1"/>
  <c r="AE91" i="1"/>
  <c r="AF91" i="1"/>
  <c r="AG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X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A98" i="1" s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AA99" i="1" s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T100" i="1"/>
  <c r="V100" i="1"/>
  <c r="Y100" i="1"/>
  <c r="Z100" i="1"/>
  <c r="AA100" i="1" s="1"/>
  <c r="AB100" i="1"/>
  <c r="AC100" i="1"/>
  <c r="AD100" i="1"/>
  <c r="X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G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T107" i="1"/>
  <c r="V107" i="1"/>
  <c r="Y107" i="1"/>
  <c r="Z107" i="1"/>
  <c r="AB107" i="1"/>
  <c r="AC107" i="1"/>
  <c r="AD107" i="1"/>
  <c r="AG107" i="1" s="1"/>
  <c r="U107" i="1" s="1"/>
  <c r="S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A114" i="1" s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T115" i="1"/>
  <c r="V115" i="1"/>
  <c r="Y115" i="1"/>
  <c r="Z115" i="1"/>
  <c r="AB115" i="1"/>
  <c r="AC115" i="1"/>
  <c r="AD115" i="1"/>
  <c r="AE115" i="1"/>
  <c r="AF115" i="1"/>
  <c r="AG115" i="1"/>
  <c r="AH115" i="1"/>
  <c r="AM115" i="1"/>
  <c r="AN115" i="1"/>
  <c r="K116" i="1"/>
  <c r="L116" i="1"/>
  <c r="M116" i="1"/>
  <c r="N116" i="1" s="1"/>
  <c r="T116" i="1"/>
  <c r="V116" i="1"/>
  <c r="Y116" i="1"/>
  <c r="Z116" i="1"/>
  <c r="AA116" i="1" s="1"/>
  <c r="AB116" i="1"/>
  <c r="AC116" i="1"/>
  <c r="AD116" i="1"/>
  <c r="X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G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A124" i="1" s="1"/>
  <c r="AB124" i="1"/>
  <c r="AC124" i="1"/>
  <c r="AD124" i="1"/>
  <c r="T124" i="1" s="1"/>
  <c r="AE124" i="1"/>
  <c r="AF124" i="1"/>
  <c r="AG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A126" i="1" s="1"/>
  <c r="W126" i="1" s="1"/>
  <c r="AB126" i="1"/>
  <c r="AC126" i="1"/>
  <c r="AD126" i="1"/>
  <c r="AG126" i="1" s="1"/>
  <c r="AE126" i="1"/>
  <c r="AF126" i="1"/>
  <c r="AH126" i="1"/>
  <c r="AI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A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A134" i="1" s="1"/>
  <c r="AB134" i="1"/>
  <c r="AC134" i="1"/>
  <c r="AD134" i="1"/>
  <c r="T134" i="1" s="1"/>
  <c r="AE134" i="1"/>
  <c r="AF134" i="1"/>
  <c r="AG134" i="1"/>
  <c r="U134" i="1" s="1"/>
  <c r="S134" i="1" s="1"/>
  <c r="AH134" i="1"/>
  <c r="AM134" i="1"/>
  <c r="AN134" i="1"/>
  <c r="K135" i="1"/>
  <c r="L135" i="1"/>
  <c r="M135" i="1"/>
  <c r="N135" i="1"/>
  <c r="T135" i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A137" i="1" s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A149" i="1" s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X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157" i="1"/>
  <c r="AM157" i="1"/>
  <c r="AN157" i="1"/>
  <c r="K205" i="1"/>
  <c r="L205" i="1"/>
  <c r="M205" i="1"/>
  <c r="N205" i="1" s="1"/>
  <c r="V205" i="1"/>
  <c r="Y205" i="1"/>
  <c r="Z205" i="1"/>
  <c r="AA205" i="1" s="1"/>
  <c r="AB205" i="1"/>
  <c r="AC205" i="1"/>
  <c r="AD205" i="1"/>
  <c r="AG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AG207" i="1" s="1"/>
  <c r="AI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I211" i="1" s="1"/>
  <c r="AB211" i="1"/>
  <c r="AC211" i="1"/>
  <c r="AD211" i="1"/>
  <c r="AG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9" i="1"/>
  <c r="L219" i="1"/>
  <c r="M219" i="1"/>
  <c r="N219" i="1"/>
  <c r="V219" i="1"/>
  <c r="Y219" i="1"/>
  <c r="Z219" i="1"/>
  <c r="AB219" i="1"/>
  <c r="AC219" i="1"/>
  <c r="AD219" i="1"/>
  <c r="AG219" i="1" s="1"/>
  <c r="AE219" i="1"/>
  <c r="AF219" i="1"/>
  <c r="AH166" i="1"/>
  <c r="AM166" i="1"/>
  <c r="AN166" i="1"/>
  <c r="K220" i="1"/>
  <c r="L220" i="1"/>
  <c r="M220" i="1"/>
  <c r="N220" i="1" s="1"/>
  <c r="V220" i="1"/>
  <c r="Y220" i="1"/>
  <c r="Z220" i="1"/>
  <c r="AA220" i="1" s="1"/>
  <c r="AB220" i="1"/>
  <c r="AC220" i="1"/>
  <c r="AD220" i="1"/>
  <c r="T220" i="1" s="1"/>
  <c r="AE220" i="1"/>
  <c r="AF220" i="1"/>
  <c r="AH167" i="1"/>
  <c r="AM167" i="1"/>
  <c r="AN167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168" i="1"/>
  <c r="AM168" i="1"/>
  <c r="AN168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169" i="1"/>
  <c r="AM169" i="1"/>
  <c r="AN169" i="1"/>
  <c r="K223" i="1"/>
  <c r="L223" i="1"/>
  <c r="M223" i="1"/>
  <c r="N223" i="1" s="1"/>
  <c r="V223" i="1"/>
  <c r="S43" i="3" s="1"/>
  <c r="Y223" i="1"/>
  <c r="Z223" i="1"/>
  <c r="AB223" i="1"/>
  <c r="AC223" i="1"/>
  <c r="AD223" i="1"/>
  <c r="AG223" i="1" s="1"/>
  <c r="AI223" i="1" s="1"/>
  <c r="AE223" i="1"/>
  <c r="AF223" i="1"/>
  <c r="AH170" i="1"/>
  <c r="AM170" i="1"/>
  <c r="AN17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1" i="1"/>
  <c r="AM171" i="1"/>
  <c r="AN171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AG227" i="1" s="1"/>
  <c r="AI227" i="1" s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5" i="1"/>
  <c r="AM175" i="1"/>
  <c r="AN175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76" i="1"/>
  <c r="AM176" i="1"/>
  <c r="AN176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77" i="1"/>
  <c r="AM177" i="1"/>
  <c r="AN177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78" i="1"/>
  <c r="AM178" i="1"/>
  <c r="AN178" i="1"/>
  <c r="K160" i="1"/>
  <c r="L160" i="1"/>
  <c r="M160" i="1"/>
  <c r="N160" i="1" s="1"/>
  <c r="V160" i="1"/>
  <c r="Y160" i="1"/>
  <c r="Z160" i="1"/>
  <c r="AA160" i="1" s="1"/>
  <c r="AB160" i="1"/>
  <c r="AC160" i="1"/>
  <c r="AD160" i="1"/>
  <c r="T160" i="1" s="1"/>
  <c r="AE160" i="1"/>
  <c r="AF160" i="1"/>
  <c r="AH179" i="1"/>
  <c r="AM179" i="1"/>
  <c r="AN179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80" i="1"/>
  <c r="AM180" i="1"/>
  <c r="AN180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81" i="1"/>
  <c r="AM181" i="1"/>
  <c r="AN181" i="1"/>
  <c r="K163" i="1"/>
  <c r="L163" i="1"/>
  <c r="M163" i="1"/>
  <c r="N163" i="1"/>
  <c r="V163" i="1"/>
  <c r="Y163" i="1"/>
  <c r="Z163" i="1"/>
  <c r="AB163" i="1"/>
  <c r="AC163" i="1"/>
  <c r="AD163" i="1"/>
  <c r="AG163" i="1" s="1"/>
  <c r="AE163" i="1"/>
  <c r="AF163" i="1"/>
  <c r="AH182" i="1"/>
  <c r="AM182" i="1"/>
  <c r="AN182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3" i="1"/>
  <c r="AM183" i="1"/>
  <c r="AN183" i="1"/>
  <c r="K165" i="1"/>
  <c r="L165" i="1"/>
  <c r="M165" i="1"/>
  <c r="N165" i="1" s="1"/>
  <c r="V165" i="1"/>
  <c r="S38" i="3" s="1"/>
  <c r="Y165" i="1"/>
  <c r="Z165" i="1"/>
  <c r="AB165" i="1"/>
  <c r="AC165" i="1"/>
  <c r="AD165" i="1"/>
  <c r="AG165" i="1" s="1"/>
  <c r="AE165" i="1"/>
  <c r="AF165" i="1"/>
  <c r="AH184" i="1"/>
  <c r="AM184" i="1"/>
  <c r="AN184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85" i="1"/>
  <c r="AM185" i="1"/>
  <c r="AN185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86" i="1"/>
  <c r="AM186" i="1"/>
  <c r="AN186" i="1"/>
  <c r="K168" i="1"/>
  <c r="L168" i="1"/>
  <c r="M168" i="1"/>
  <c r="N168" i="1" s="1"/>
  <c r="V168" i="1"/>
  <c r="Y168" i="1"/>
  <c r="Z168" i="1"/>
  <c r="AA168" i="1" s="1"/>
  <c r="AB168" i="1"/>
  <c r="AC168" i="1"/>
  <c r="AD168" i="1"/>
  <c r="T168" i="1" s="1"/>
  <c r="AE168" i="1"/>
  <c r="AF168" i="1"/>
  <c r="AH187" i="1"/>
  <c r="AM187" i="1"/>
  <c r="AN187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88" i="1"/>
  <c r="AM188" i="1"/>
  <c r="AN188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89" i="1"/>
  <c r="AM189" i="1"/>
  <c r="AN189" i="1"/>
  <c r="K171" i="1"/>
  <c r="L171" i="1"/>
  <c r="M171" i="1"/>
  <c r="N171" i="1"/>
  <c r="V171" i="1"/>
  <c r="Y171" i="1"/>
  <c r="Z171" i="1"/>
  <c r="AB171" i="1"/>
  <c r="AC171" i="1"/>
  <c r="AD171" i="1"/>
  <c r="AG171" i="1" s="1"/>
  <c r="AE171" i="1"/>
  <c r="AF171" i="1"/>
  <c r="AH190" i="1"/>
  <c r="AM190" i="1"/>
  <c r="AN190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1" i="1"/>
  <c r="AM191" i="1"/>
  <c r="AN191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92" i="1"/>
  <c r="AM192" i="1"/>
  <c r="AN192" i="1"/>
  <c r="K174" i="1"/>
  <c r="L174" i="1"/>
  <c r="M174" i="1"/>
  <c r="N174" i="1" s="1"/>
  <c r="V174" i="1"/>
  <c r="Y174" i="1"/>
  <c r="Z174" i="1"/>
  <c r="AB174" i="1"/>
  <c r="AC174" i="1"/>
  <c r="AD174" i="1"/>
  <c r="X174" i="1" s="1"/>
  <c r="AE174" i="1"/>
  <c r="AF174" i="1"/>
  <c r="AH193" i="1"/>
  <c r="AM193" i="1"/>
  <c r="AN193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94" i="1"/>
  <c r="AM194" i="1"/>
  <c r="AN194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5" i="1"/>
  <c r="AM195" i="1"/>
  <c r="AN195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96" i="1"/>
  <c r="AM196" i="1"/>
  <c r="AN196" i="1"/>
  <c r="K178" i="1"/>
  <c r="L178" i="1"/>
  <c r="M178" i="1"/>
  <c r="N178" i="1" s="1"/>
  <c r="V178" i="1"/>
  <c r="S41" i="3" s="1"/>
  <c r="Y178" i="1"/>
  <c r="Z178" i="1"/>
  <c r="AB178" i="1"/>
  <c r="AC178" i="1"/>
  <c r="AD178" i="1"/>
  <c r="T178" i="1" s="1"/>
  <c r="AE178" i="1"/>
  <c r="AF178" i="1"/>
  <c r="AH197" i="1"/>
  <c r="AM197" i="1"/>
  <c r="AN197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98" i="1"/>
  <c r="AM198" i="1"/>
  <c r="AN198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99" i="1"/>
  <c r="AM199" i="1"/>
  <c r="AN199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00" i="1"/>
  <c r="AM200" i="1"/>
  <c r="AN200" i="1"/>
  <c r="K182" i="1"/>
  <c r="L182" i="1"/>
  <c r="M182" i="1"/>
  <c r="N182" i="1" s="1"/>
  <c r="T182" i="1"/>
  <c r="V182" i="1"/>
  <c r="Y182" i="1"/>
  <c r="Z182" i="1"/>
  <c r="AB182" i="1"/>
  <c r="AC182" i="1"/>
  <c r="AD182" i="1"/>
  <c r="AE182" i="1"/>
  <c r="AF182" i="1"/>
  <c r="AH201" i="1"/>
  <c r="AM201" i="1"/>
  <c r="AN201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02" i="1"/>
  <c r="AM202" i="1"/>
  <c r="AN202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3" i="1"/>
  <c r="AM203" i="1"/>
  <c r="AN203" i="1"/>
  <c r="K185" i="1"/>
  <c r="L185" i="1"/>
  <c r="M185" i="1"/>
  <c r="N185" i="1" s="1"/>
  <c r="V185" i="1"/>
  <c r="Y185" i="1"/>
  <c r="Z185" i="1"/>
  <c r="AB185" i="1"/>
  <c r="AC185" i="1"/>
  <c r="AD185" i="1"/>
  <c r="X185" i="1" s="1"/>
  <c r="AE185" i="1"/>
  <c r="AF185" i="1"/>
  <c r="AH204" i="1"/>
  <c r="AM204" i="1"/>
  <c r="AN204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5" i="1"/>
  <c r="AM205" i="1"/>
  <c r="AN205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06" i="1"/>
  <c r="AM206" i="1"/>
  <c r="AN206" i="1"/>
  <c r="K188" i="1"/>
  <c r="L188" i="1"/>
  <c r="M188" i="1"/>
  <c r="N188" i="1" s="1"/>
  <c r="V188" i="1"/>
  <c r="Y188" i="1"/>
  <c r="Z188" i="1"/>
  <c r="AA188" i="1" s="1"/>
  <c r="AB188" i="1"/>
  <c r="AC188" i="1"/>
  <c r="AD188" i="1"/>
  <c r="T188" i="1" s="1"/>
  <c r="AE188" i="1"/>
  <c r="AF188" i="1"/>
  <c r="AH207" i="1"/>
  <c r="AM207" i="1"/>
  <c r="AN207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08" i="1"/>
  <c r="AM208" i="1"/>
  <c r="AN208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09" i="1"/>
  <c r="AM209" i="1"/>
  <c r="AN209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210" i="1"/>
  <c r="AM210" i="1"/>
  <c r="AN210" i="1"/>
  <c r="K192" i="1"/>
  <c r="L192" i="1"/>
  <c r="M192" i="1"/>
  <c r="N192" i="1" s="1"/>
  <c r="V192" i="1"/>
  <c r="Y192" i="1"/>
  <c r="Z192" i="1"/>
  <c r="AA192" i="1" s="1"/>
  <c r="AB192" i="1"/>
  <c r="AC192" i="1"/>
  <c r="AD192" i="1"/>
  <c r="T192" i="1" s="1"/>
  <c r="AE192" i="1"/>
  <c r="AF192" i="1"/>
  <c r="AH211" i="1"/>
  <c r="AM211" i="1"/>
  <c r="AN211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2" i="1"/>
  <c r="AM212" i="1"/>
  <c r="AN212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3" i="1"/>
  <c r="AM213" i="1"/>
  <c r="AN213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14" i="1"/>
  <c r="AM214" i="1"/>
  <c r="AN214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5" i="1"/>
  <c r="AM215" i="1"/>
  <c r="AN215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16" i="1"/>
  <c r="AM216" i="1"/>
  <c r="AN216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7" i="1"/>
  <c r="AM217" i="1"/>
  <c r="AN217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18" i="1"/>
  <c r="AM218" i="1"/>
  <c r="AN218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19" i="1"/>
  <c r="AI219" i="1"/>
  <c r="AM219" i="1"/>
  <c r="AN219" i="1"/>
  <c r="K201" i="1"/>
  <c r="L201" i="1"/>
  <c r="M201" i="1"/>
  <c r="N201" i="1" s="1"/>
  <c r="V201" i="1"/>
  <c r="Y201" i="1"/>
  <c r="Z201" i="1"/>
  <c r="AB201" i="1"/>
  <c r="AC201" i="1"/>
  <c r="AD201" i="1"/>
  <c r="X201" i="1" s="1"/>
  <c r="AE201" i="1"/>
  <c r="AF201" i="1"/>
  <c r="AH220" i="1"/>
  <c r="AM220" i="1"/>
  <c r="AN220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1" i="1"/>
  <c r="AM221" i="1"/>
  <c r="AN221" i="1"/>
  <c r="K203" i="1"/>
  <c r="L203" i="1"/>
  <c r="M203" i="1"/>
  <c r="N203" i="1" s="1"/>
  <c r="V203" i="1"/>
  <c r="Y203" i="1"/>
  <c r="Z203" i="1"/>
  <c r="AB203" i="1"/>
  <c r="AC203" i="1"/>
  <c r="AD203" i="1"/>
  <c r="X204" i="1" s="1"/>
  <c r="AE203" i="1"/>
  <c r="AF203" i="1"/>
  <c r="AH222" i="1"/>
  <c r="AM222" i="1"/>
  <c r="AN222" i="1"/>
  <c r="K213" i="1"/>
  <c r="L213" i="1"/>
  <c r="M213" i="1"/>
  <c r="N213" i="1" s="1"/>
  <c r="V213" i="1"/>
  <c r="Y213" i="1"/>
  <c r="Z213" i="1"/>
  <c r="AA213" i="1" s="1"/>
  <c r="AB213" i="1"/>
  <c r="AC213" i="1"/>
  <c r="AD213" i="1"/>
  <c r="T213" i="1" s="1"/>
  <c r="AE213" i="1"/>
  <c r="AF213" i="1"/>
  <c r="AH223" i="1"/>
  <c r="AM223" i="1"/>
  <c r="AN223" i="1"/>
  <c r="K214" i="1"/>
  <c r="L214" i="1"/>
  <c r="M214" i="1"/>
  <c r="N214" i="1" s="1"/>
  <c r="V214" i="1"/>
  <c r="Y214" i="1"/>
  <c r="Z214" i="1"/>
  <c r="AA214" i="1" s="1"/>
  <c r="AB214" i="1"/>
  <c r="AC214" i="1"/>
  <c r="AD214" i="1"/>
  <c r="T214" i="1" s="1"/>
  <c r="AE214" i="1"/>
  <c r="AF214" i="1"/>
  <c r="AH224" i="1"/>
  <c r="AM224" i="1"/>
  <c r="AN224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225" i="1"/>
  <c r="AM225" i="1"/>
  <c r="AN225" i="1"/>
  <c r="K216" i="1"/>
  <c r="L216" i="1"/>
  <c r="M216" i="1"/>
  <c r="N216" i="1" s="1"/>
  <c r="V216" i="1"/>
  <c r="Y216" i="1"/>
  <c r="Z216" i="1"/>
  <c r="AA216" i="1" s="1"/>
  <c r="AB216" i="1"/>
  <c r="AC216" i="1"/>
  <c r="AD216" i="1"/>
  <c r="AE216" i="1"/>
  <c r="AF216" i="1"/>
  <c r="AH226" i="1"/>
  <c r="AM226" i="1"/>
  <c r="AN22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27" i="1"/>
  <c r="AM227" i="1"/>
  <c r="AN227" i="1"/>
  <c r="K218" i="1"/>
  <c r="L218" i="1"/>
  <c r="M218" i="1"/>
  <c r="N218" i="1"/>
  <c r="V218" i="1"/>
  <c r="Y218" i="1"/>
  <c r="Z218" i="1"/>
  <c r="AA218" i="1" s="1"/>
  <c r="W218" i="1" s="1"/>
  <c r="AB218" i="1"/>
  <c r="AC218" i="1"/>
  <c r="AD218" i="1"/>
  <c r="AG218" i="1" s="1"/>
  <c r="AE218" i="1"/>
  <c r="AF218" i="1"/>
  <c r="AH228" i="1"/>
  <c r="AM228" i="1"/>
  <c r="AN228" i="1"/>
  <c r="M27" i="3"/>
  <c r="R27" i="3"/>
  <c r="S27" i="3"/>
  <c r="U27" i="3"/>
  <c r="T27" i="3" s="1"/>
  <c r="V27" i="3"/>
  <c r="W27" i="3"/>
  <c r="Y27" i="3" s="1"/>
  <c r="X27" i="3"/>
  <c r="M30" i="3"/>
  <c r="R30" i="3"/>
  <c r="S30" i="3"/>
  <c r="U30" i="3"/>
  <c r="T30" i="3" s="1"/>
  <c r="V30" i="3"/>
  <c r="W30" i="3"/>
  <c r="Y30" i="3" s="1"/>
  <c r="X30" i="3"/>
  <c r="AC30" i="3"/>
  <c r="M24" i="3"/>
  <c r="R24" i="3"/>
  <c r="S24" i="3"/>
  <c r="U24" i="3"/>
  <c r="AC24" i="3" s="1"/>
  <c r="V24" i="3"/>
  <c r="W24" i="3"/>
  <c r="Y24" i="3" s="1"/>
  <c r="X24" i="3"/>
  <c r="M37" i="3"/>
  <c r="R37" i="3"/>
  <c r="U37" i="3"/>
  <c r="AC37" i="3" s="1"/>
  <c r="V37" i="3"/>
  <c r="W37" i="3"/>
  <c r="X37" i="3"/>
  <c r="M38" i="3"/>
  <c r="R38" i="3"/>
  <c r="U38" i="3"/>
  <c r="AC38" i="3" s="1"/>
  <c r="V38" i="3"/>
  <c r="W38" i="3"/>
  <c r="X38" i="3"/>
  <c r="M21" i="3"/>
  <c r="R21" i="3"/>
  <c r="S21" i="3"/>
  <c r="U21" i="3"/>
  <c r="T21" i="3" s="1"/>
  <c r="V21" i="3"/>
  <c r="W21" i="3"/>
  <c r="X21" i="3"/>
  <c r="AC21" i="3"/>
  <c r="M28" i="3"/>
  <c r="R28" i="3"/>
  <c r="S28" i="3"/>
  <c r="U28" i="3"/>
  <c r="AC28" i="3" s="1"/>
  <c r="V28" i="3"/>
  <c r="W28" i="3"/>
  <c r="Y28" i="3" s="1"/>
  <c r="X28" i="3"/>
  <c r="M15" i="3"/>
  <c r="R15" i="3"/>
  <c r="S15" i="3"/>
  <c r="U15" i="3"/>
  <c r="AC15" i="3" s="1"/>
  <c r="V15" i="3"/>
  <c r="W15" i="3"/>
  <c r="Y15" i="3" s="1"/>
  <c r="X15" i="3"/>
  <c r="AE15" i="3"/>
  <c r="M40" i="3"/>
  <c r="R40" i="3"/>
  <c r="S40" i="3"/>
  <c r="U40" i="3"/>
  <c r="AC40" i="3" s="1"/>
  <c r="V40" i="3"/>
  <c r="W40" i="3"/>
  <c r="Y40" i="3" s="1"/>
  <c r="X40" i="3"/>
  <c r="M8" i="3"/>
  <c r="R8" i="3"/>
  <c r="S8" i="3"/>
  <c r="U8" i="3"/>
  <c r="T8" i="3" s="1"/>
  <c r="V8" i="3"/>
  <c r="W8" i="3"/>
  <c r="X8" i="3"/>
  <c r="AC8" i="3"/>
  <c r="M39" i="3"/>
  <c r="R39" i="3"/>
  <c r="S39" i="3"/>
  <c r="U39" i="3"/>
  <c r="AC39" i="3" s="1"/>
  <c r="V39" i="3"/>
  <c r="W39" i="3"/>
  <c r="X39" i="3"/>
  <c r="M22" i="3"/>
  <c r="R22" i="3"/>
  <c r="S22" i="3"/>
  <c r="U22" i="3"/>
  <c r="AC22" i="3" s="1"/>
  <c r="V22" i="3"/>
  <c r="W22" i="3"/>
  <c r="X22" i="3"/>
  <c r="Y22" i="3"/>
  <c r="M20" i="3"/>
  <c r="R20" i="3"/>
  <c r="S20" i="3"/>
  <c r="U20" i="3"/>
  <c r="AC20" i="3" s="1"/>
  <c r="V20" i="3"/>
  <c r="W20" i="3"/>
  <c r="Y20" i="3" s="1"/>
  <c r="X20" i="3"/>
  <c r="AD20" i="3"/>
  <c r="M26" i="3"/>
  <c r="R26" i="3"/>
  <c r="S26" i="3"/>
  <c r="U26" i="3"/>
  <c r="T26" i="3" s="1"/>
  <c r="V26" i="3"/>
  <c r="W26" i="3"/>
  <c r="X26" i="3"/>
  <c r="AC26" i="3"/>
  <c r="M42" i="3"/>
  <c r="R42" i="3"/>
  <c r="U42" i="3"/>
  <c r="AC42" i="3" s="1"/>
  <c r="V42" i="3"/>
  <c r="W42" i="3"/>
  <c r="X42" i="3"/>
  <c r="M43" i="3"/>
  <c r="R43" i="3"/>
  <c r="U43" i="3"/>
  <c r="AC43" i="3" s="1"/>
  <c r="V43" i="3"/>
  <c r="W43" i="3"/>
  <c r="Y43" i="3" s="1"/>
  <c r="X43" i="3"/>
  <c r="M36" i="3"/>
  <c r="R36" i="3"/>
  <c r="S36" i="3"/>
  <c r="U36" i="3"/>
  <c r="AC36" i="3" s="1"/>
  <c r="V36" i="3"/>
  <c r="W36" i="3"/>
  <c r="X36" i="3"/>
  <c r="AD24" i="3"/>
  <c r="M31" i="3"/>
  <c r="R31" i="3"/>
  <c r="S31" i="3"/>
  <c r="U31" i="3"/>
  <c r="T31" i="3" s="1"/>
  <c r="V31" i="3"/>
  <c r="W31" i="3"/>
  <c r="X31" i="3"/>
  <c r="AC31" i="3"/>
  <c r="M14" i="3"/>
  <c r="R14" i="3"/>
  <c r="S14" i="3"/>
  <c r="U14" i="3"/>
  <c r="AC14" i="3" s="1"/>
  <c r="V14" i="3"/>
  <c r="W14" i="3"/>
  <c r="Y14" i="3" s="1"/>
  <c r="X14" i="3"/>
  <c r="M32" i="3"/>
  <c r="R32" i="3"/>
  <c r="S32" i="3"/>
  <c r="U32" i="3"/>
  <c r="AC32" i="3" s="1"/>
  <c r="V32" i="3"/>
  <c r="W32" i="3"/>
  <c r="Y32" i="3" s="1"/>
  <c r="X32" i="3"/>
  <c r="AE27" i="3"/>
  <c r="M33" i="3"/>
  <c r="R33" i="3"/>
  <c r="S33" i="3"/>
  <c r="T33" i="3"/>
  <c r="U33" i="3"/>
  <c r="AC33" i="3" s="1"/>
  <c r="V33" i="3"/>
  <c r="W33" i="3"/>
  <c r="X33" i="3"/>
  <c r="AD28" i="3"/>
  <c r="AE28" i="3"/>
  <c r="M41" i="3"/>
  <c r="R41" i="3"/>
  <c r="U41" i="3"/>
  <c r="V41" i="3"/>
  <c r="W41" i="3"/>
  <c r="X41" i="3"/>
  <c r="AC41" i="3"/>
  <c r="M25" i="3"/>
  <c r="R25" i="3"/>
  <c r="S25" i="3"/>
  <c r="U25" i="3"/>
  <c r="AC25" i="3" s="1"/>
  <c r="V25" i="3"/>
  <c r="W25" i="3"/>
  <c r="X25" i="3"/>
  <c r="M16" i="3"/>
  <c r="R16" i="3"/>
  <c r="S16" i="3"/>
  <c r="U16" i="3"/>
  <c r="AC16" i="3" s="1"/>
  <c r="V16" i="3"/>
  <c r="W16" i="3"/>
  <c r="Y16" i="3" s="1"/>
  <c r="X16" i="3"/>
  <c r="M10" i="3"/>
  <c r="R10" i="3"/>
  <c r="S10" i="3"/>
  <c r="U10" i="3"/>
  <c r="AC10" i="3" s="1"/>
  <c r="V10" i="3"/>
  <c r="W10" i="3"/>
  <c r="X10" i="3"/>
  <c r="AD32" i="3"/>
  <c r="M13" i="3"/>
  <c r="R13" i="3"/>
  <c r="S13" i="3"/>
  <c r="U13" i="3"/>
  <c r="T13" i="3" s="1"/>
  <c r="V13" i="3"/>
  <c r="AE33" i="3" s="1"/>
  <c r="W13" i="3"/>
  <c r="X13" i="3"/>
  <c r="AC13" i="3"/>
  <c r="AD33" i="3"/>
  <c r="M19" i="3"/>
  <c r="R19" i="3"/>
  <c r="S19" i="3"/>
  <c r="U19" i="3"/>
  <c r="AD34" i="3" s="1"/>
  <c r="V19" i="3"/>
  <c r="W19" i="3"/>
  <c r="Y19" i="3" s="1"/>
  <c r="X19" i="3"/>
  <c r="M34" i="3"/>
  <c r="R34" i="3"/>
  <c r="S34" i="3"/>
  <c r="U34" i="3"/>
  <c r="AC34" i="3" s="1"/>
  <c r="V34" i="3"/>
  <c r="W34" i="3"/>
  <c r="Y34" i="3" s="1"/>
  <c r="X34" i="3"/>
  <c r="M35" i="3"/>
  <c r="R35" i="3"/>
  <c r="S35" i="3"/>
  <c r="U35" i="3"/>
  <c r="AC35" i="3" s="1"/>
  <c r="V35" i="3"/>
  <c r="W35" i="3"/>
  <c r="X35" i="3"/>
  <c r="AD36" i="3"/>
  <c r="M9" i="3"/>
  <c r="R9" i="3"/>
  <c r="S9" i="3"/>
  <c r="U9" i="3"/>
  <c r="T9" i="3" s="1"/>
  <c r="V9" i="3"/>
  <c r="AE37" i="3" s="1"/>
  <c r="W9" i="3"/>
  <c r="X9" i="3"/>
  <c r="AC9" i="3"/>
  <c r="AD37" i="3"/>
  <c r="M23" i="3"/>
  <c r="R23" i="3"/>
  <c r="S23" i="3"/>
  <c r="U23" i="3"/>
  <c r="AD38" i="3" s="1"/>
  <c r="V23" i="3"/>
  <c r="W23" i="3"/>
  <c r="Y23" i="3" s="1"/>
  <c r="X23" i="3"/>
  <c r="AC23" i="3"/>
  <c r="M11" i="3"/>
  <c r="R11" i="3"/>
  <c r="S11" i="3"/>
  <c r="U11" i="3"/>
  <c r="AC11" i="3" s="1"/>
  <c r="V11" i="3"/>
  <c r="W11" i="3"/>
  <c r="X11" i="3"/>
  <c r="Y11" i="3"/>
  <c r="M29" i="3"/>
  <c r="R29" i="3"/>
  <c r="S29" i="3"/>
  <c r="U29" i="3"/>
  <c r="AC29" i="3" s="1"/>
  <c r="V29" i="3"/>
  <c r="W29" i="3"/>
  <c r="Y29" i="3" s="1"/>
  <c r="X29" i="3"/>
  <c r="AD40" i="3"/>
  <c r="AE40" i="3"/>
  <c r="M12" i="3"/>
  <c r="R12" i="3"/>
  <c r="S12" i="3"/>
  <c r="U12" i="3"/>
  <c r="AD41" i="3" s="1"/>
  <c r="V12" i="3"/>
  <c r="W12" i="3"/>
  <c r="X12" i="3"/>
  <c r="AC12" i="3"/>
  <c r="M17" i="3"/>
  <c r="R17" i="3"/>
  <c r="S17" i="3"/>
  <c r="U17" i="3"/>
  <c r="AD42" i="3" s="1"/>
  <c r="V17" i="3"/>
  <c r="W17" i="3"/>
  <c r="X17" i="3"/>
  <c r="AC17" i="3"/>
  <c r="M18" i="3"/>
  <c r="R18" i="3"/>
  <c r="S18" i="3"/>
  <c r="U18" i="3"/>
  <c r="AC18" i="3" s="1"/>
  <c r="V18" i="3"/>
  <c r="W18" i="3"/>
  <c r="X18" i="3"/>
  <c r="Y18" i="3"/>
  <c r="S37" i="3" l="1"/>
  <c r="S42" i="3"/>
  <c r="AI191" i="1"/>
  <c r="AG190" i="1"/>
  <c r="AA172" i="1"/>
  <c r="AI167" i="1"/>
  <c r="AA223" i="1"/>
  <c r="W134" i="1"/>
  <c r="AI115" i="1"/>
  <c r="X40" i="1"/>
  <c r="AG217" i="1"/>
  <c r="U217" i="1" s="1"/>
  <c r="AA140" i="1"/>
  <c r="X216" i="1"/>
  <c r="T215" i="1"/>
  <c r="X198" i="1"/>
  <c r="AI171" i="1"/>
  <c r="AA224" i="1"/>
  <c r="AG100" i="1"/>
  <c r="AA83" i="1"/>
  <c r="AA76" i="1"/>
  <c r="AG41" i="1"/>
  <c r="U41" i="1" s="1"/>
  <c r="AA199" i="1"/>
  <c r="AA181" i="1"/>
  <c r="AA175" i="1"/>
  <c r="T174" i="1"/>
  <c r="AA173" i="1"/>
  <c r="W173" i="1" s="1"/>
  <c r="AA161" i="1"/>
  <c r="W161" i="1" s="1"/>
  <c r="AA159" i="1"/>
  <c r="AA155" i="1"/>
  <c r="T152" i="1"/>
  <c r="AA151" i="1"/>
  <c r="T151" i="1"/>
  <c r="AA150" i="1"/>
  <c r="U91" i="1"/>
  <c r="S91" i="1" s="1"/>
  <c r="AA89" i="1"/>
  <c r="AA87" i="1"/>
  <c r="AA80" i="1"/>
  <c r="W80" i="1" s="1"/>
  <c r="X68" i="1"/>
  <c r="AA54" i="1"/>
  <c r="T43" i="1"/>
  <c r="AG31" i="1"/>
  <c r="AI31" i="1" s="1"/>
  <c r="AA29" i="1"/>
  <c r="T24" i="1"/>
  <c r="AA23" i="1"/>
  <c r="AA16" i="1"/>
  <c r="AA15" i="1"/>
  <c r="AG99" i="1"/>
  <c r="AI99" i="1" s="1"/>
  <c r="W76" i="1"/>
  <c r="AG194" i="1"/>
  <c r="X182" i="1"/>
  <c r="AG174" i="1"/>
  <c r="AA164" i="1"/>
  <c r="T206" i="1"/>
  <c r="AG152" i="1"/>
  <c r="X151" i="1"/>
  <c r="T147" i="1"/>
  <c r="AG89" i="1"/>
  <c r="AG83" i="1"/>
  <c r="AI83" i="1" s="1"/>
  <c r="AG77" i="1"/>
  <c r="X77" i="1"/>
  <c r="AA55" i="1"/>
  <c r="AG48" i="1"/>
  <c r="X48" i="1"/>
  <c r="AG20" i="1"/>
  <c r="AI20" i="1" s="1"/>
  <c r="X20" i="1"/>
  <c r="AG16" i="1"/>
  <c r="AI16" i="1" s="1"/>
  <c r="AA217" i="1"/>
  <c r="AA193" i="1"/>
  <c r="AA183" i="1"/>
  <c r="T173" i="1"/>
  <c r="AA169" i="1"/>
  <c r="W169" i="1" s="1"/>
  <c r="AA165" i="1"/>
  <c r="AA163" i="1"/>
  <c r="AA206" i="1"/>
  <c r="W206" i="1" s="1"/>
  <c r="AA142" i="1"/>
  <c r="AA138" i="1"/>
  <c r="AI134" i="1"/>
  <c r="AA128" i="1"/>
  <c r="AG116" i="1"/>
  <c r="AA115" i="1"/>
  <c r="W115" i="1" s="1"/>
  <c r="X108" i="1"/>
  <c r="AA105" i="1"/>
  <c r="AA103" i="1"/>
  <c r="AA84" i="1"/>
  <c r="AA82" i="1"/>
  <c r="T76" i="1"/>
  <c r="AG69" i="1"/>
  <c r="AA67" i="1"/>
  <c r="AA31" i="1"/>
  <c r="AG21" i="1"/>
  <c r="T17" i="1"/>
  <c r="AI215" i="1"/>
  <c r="U215" i="1"/>
  <c r="W72" i="1"/>
  <c r="AA202" i="1"/>
  <c r="AG200" i="1"/>
  <c r="U200" i="1" s="1"/>
  <c r="S200" i="1" s="1"/>
  <c r="AG196" i="1"/>
  <c r="U196" i="1" s="1"/>
  <c r="S196" i="1" s="1"/>
  <c r="X189" i="1"/>
  <c r="AG184" i="1"/>
  <c r="U184" i="1" s="1"/>
  <c r="S184" i="1" s="1"/>
  <c r="AA178" i="1"/>
  <c r="X177" i="1"/>
  <c r="AG176" i="1"/>
  <c r="X166" i="1"/>
  <c r="X162" i="1"/>
  <c r="X158" i="1"/>
  <c r="AA226" i="1"/>
  <c r="AG224" i="1"/>
  <c r="W224" i="1" s="1"/>
  <c r="X222" i="1"/>
  <c r="AA210" i="1"/>
  <c r="AG156" i="1"/>
  <c r="U156" i="1" s="1"/>
  <c r="AA154" i="1"/>
  <c r="AA147" i="1"/>
  <c r="AA146" i="1"/>
  <c r="AG144" i="1"/>
  <c r="X144" i="1"/>
  <c r="X143" i="1"/>
  <c r="AG138" i="1"/>
  <c r="W138" i="1" s="1"/>
  <c r="AA136" i="1"/>
  <c r="AA125" i="1"/>
  <c r="AG120" i="1"/>
  <c r="X120" i="1"/>
  <c r="AA119" i="1"/>
  <c r="W119" i="1" s="1"/>
  <c r="AA113" i="1"/>
  <c r="AA111" i="1"/>
  <c r="W111" i="1" s="1"/>
  <c r="AA108" i="1"/>
  <c r="T108" i="1"/>
  <c r="AA106" i="1"/>
  <c r="AA97" i="1"/>
  <c r="AA95" i="1"/>
  <c r="W95" i="1" s="1"/>
  <c r="AA92" i="1"/>
  <c r="T92" i="1"/>
  <c r="AA90" i="1"/>
  <c r="AA81" i="1"/>
  <c r="AA79" i="1"/>
  <c r="X73" i="1"/>
  <c r="AA73" i="1"/>
  <c r="AA66" i="1"/>
  <c r="AA64" i="1"/>
  <c r="X60" i="1"/>
  <c r="AG57" i="1"/>
  <c r="X57" i="1"/>
  <c r="AG51" i="1"/>
  <c r="U51" i="1" s="1"/>
  <c r="T47" i="1"/>
  <c r="AG44" i="1"/>
  <c r="X44" i="1"/>
  <c r="AA43" i="1"/>
  <c r="W43" i="1" s="1"/>
  <c r="AG25" i="1"/>
  <c r="AG23" i="1"/>
  <c r="AI23" i="1" s="1"/>
  <c r="T15" i="1"/>
  <c r="X218" i="1"/>
  <c r="AI199" i="1"/>
  <c r="AG198" i="1"/>
  <c r="AI195" i="1"/>
  <c r="AA194" i="1"/>
  <c r="AA190" i="1"/>
  <c r="W190" i="1" s="1"/>
  <c r="AG188" i="1"/>
  <c r="W188" i="1" s="1"/>
  <c r="AA186" i="1"/>
  <c r="AG182" i="1"/>
  <c r="AI179" i="1"/>
  <c r="AG178" i="1"/>
  <c r="X178" i="1"/>
  <c r="AI175" i="1"/>
  <c r="AA167" i="1"/>
  <c r="AI163" i="1"/>
  <c r="X161" i="1"/>
  <c r="AA228" i="1"/>
  <c r="AG226" i="1"/>
  <c r="U226" i="1" s="1"/>
  <c r="S226" i="1" s="1"/>
  <c r="X226" i="1"/>
  <c r="T221" i="1"/>
  <c r="AG220" i="1"/>
  <c r="W220" i="1" s="1"/>
  <c r="AG210" i="1"/>
  <c r="X208" i="1"/>
  <c r="AA208" i="1"/>
  <c r="T204" i="1"/>
  <c r="X124" i="1"/>
  <c r="U116" i="1"/>
  <c r="U100" i="1"/>
  <c r="U84" i="1"/>
  <c r="X80" i="1"/>
  <c r="U65" i="1"/>
  <c r="AA59" i="1"/>
  <c r="AA56" i="1"/>
  <c r="AA50" i="1"/>
  <c r="W50" i="1" s="1"/>
  <c r="AA48" i="1"/>
  <c r="U43" i="1"/>
  <c r="S43" i="1" s="1"/>
  <c r="AA39" i="1"/>
  <c r="X32" i="1"/>
  <c r="W31" i="1"/>
  <c r="AA27" i="1"/>
  <c r="AA20" i="1"/>
  <c r="W20" i="1" s="1"/>
  <c r="AG17" i="1"/>
  <c r="AA200" i="1"/>
  <c r="W200" i="1" s="1"/>
  <c r="AA196" i="1"/>
  <c r="W196" i="1" s="1"/>
  <c r="AA184" i="1"/>
  <c r="W184" i="1" s="1"/>
  <c r="T181" i="1"/>
  <c r="AA180" i="1"/>
  <c r="AA176" i="1"/>
  <c r="W176" i="1" s="1"/>
  <c r="AA170" i="1"/>
  <c r="T166" i="1"/>
  <c r="T162" i="1"/>
  <c r="AI159" i="1"/>
  <c r="T158" i="1"/>
  <c r="AA157" i="1"/>
  <c r="T222" i="1"/>
  <c r="AA221" i="1"/>
  <c r="W221" i="1" s="1"/>
  <c r="AA212" i="1"/>
  <c r="X206" i="1"/>
  <c r="AA204" i="1"/>
  <c r="W204" i="1" s="1"/>
  <c r="AA153" i="1"/>
  <c r="X148" i="1"/>
  <c r="AA145" i="1"/>
  <c r="AA143" i="1"/>
  <c r="T143" i="1"/>
  <c r="AA132" i="1"/>
  <c r="AG130" i="1"/>
  <c r="AI130" i="1" s="1"/>
  <c r="X126" i="1"/>
  <c r="AA123" i="1"/>
  <c r="W123" i="1" s="1"/>
  <c r="AA120" i="1"/>
  <c r="W120" i="1" s="1"/>
  <c r="X119" i="1"/>
  <c r="AG113" i="1"/>
  <c r="AG108" i="1"/>
  <c r="AA107" i="1"/>
  <c r="W107" i="1" s="1"/>
  <c r="X104" i="1"/>
  <c r="AG97" i="1"/>
  <c r="AG92" i="1"/>
  <c r="AA91" i="1"/>
  <c r="W91" i="1" s="1"/>
  <c r="X88" i="1"/>
  <c r="AA78" i="1"/>
  <c r="AA62" i="1"/>
  <c r="AA52" i="1"/>
  <c r="AA44" i="1"/>
  <c r="W44" i="1" s="1"/>
  <c r="AA42" i="1"/>
  <c r="T35" i="1"/>
  <c r="U35" i="1" s="1"/>
  <c r="S35" i="1" s="1"/>
  <c r="AA33" i="1"/>
  <c r="X24" i="1"/>
  <c r="AA22" i="1"/>
  <c r="AA19" i="1"/>
  <c r="W19" i="1" s="1"/>
  <c r="W15" i="1"/>
  <c r="AA203" i="1"/>
  <c r="X202" i="1"/>
  <c r="AA197" i="1"/>
  <c r="T197" i="1"/>
  <c r="U194" i="1"/>
  <c r="AA187" i="1"/>
  <c r="X186" i="1"/>
  <c r="W178" i="1"/>
  <c r="T169" i="1"/>
  <c r="AG139" i="1"/>
  <c r="T139" i="1"/>
  <c r="X136" i="1"/>
  <c r="AG136" i="1"/>
  <c r="W136" i="1" s="1"/>
  <c r="T128" i="1"/>
  <c r="X128" i="1"/>
  <c r="AG128" i="1"/>
  <c r="W128" i="1" s="1"/>
  <c r="AI123" i="1"/>
  <c r="U77" i="1"/>
  <c r="U48" i="1"/>
  <c r="AI35" i="1"/>
  <c r="U190" i="1"/>
  <c r="U178" i="1"/>
  <c r="AG170" i="1"/>
  <c r="U170" i="1" s="1"/>
  <c r="X170" i="1"/>
  <c r="AA166" i="1"/>
  <c r="T165" i="1"/>
  <c r="AA158" i="1"/>
  <c r="T157" i="1"/>
  <c r="X225" i="1"/>
  <c r="AG212" i="1"/>
  <c r="U212" i="1" s="1"/>
  <c r="X212" i="1"/>
  <c r="X211" i="1"/>
  <c r="AA209" i="1"/>
  <c r="T208" i="1"/>
  <c r="AA207" i="1"/>
  <c r="T207" i="1"/>
  <c r="AA156" i="1"/>
  <c r="W156" i="1" s="1"/>
  <c r="X156" i="1"/>
  <c r="AG154" i="1"/>
  <c r="W154" i="1" s="1"/>
  <c r="AA148" i="1"/>
  <c r="AG146" i="1"/>
  <c r="X139" i="1"/>
  <c r="AG131" i="1"/>
  <c r="X131" i="1"/>
  <c r="T131" i="1"/>
  <c r="AA215" i="1"/>
  <c r="X215" i="1"/>
  <c r="AG213" i="1"/>
  <c r="U213" i="1" s="1"/>
  <c r="S213" i="1" s="1"/>
  <c r="AG202" i="1"/>
  <c r="U202" i="1" s="1"/>
  <c r="AA198" i="1"/>
  <c r="W198" i="1" s="1"/>
  <c r="X197" i="1"/>
  <c r="AA195" i="1"/>
  <c r="W195" i="1" s="1"/>
  <c r="X194" i="1"/>
  <c r="AG192" i="1"/>
  <c r="U192" i="1" s="1"/>
  <c r="S192" i="1" s="1"/>
  <c r="AA189" i="1"/>
  <c r="AG186" i="1"/>
  <c r="U186" i="1" s="1"/>
  <c r="AA182" i="1"/>
  <c r="W182" i="1" s="1"/>
  <c r="AG180" i="1"/>
  <c r="W180" i="1" s="1"/>
  <c r="AA174" i="1"/>
  <c r="W174" i="1" s="1"/>
  <c r="AG172" i="1"/>
  <c r="W172" i="1" s="1"/>
  <c r="X169" i="1"/>
  <c r="AG166" i="1"/>
  <c r="AA162" i="1"/>
  <c r="T161" i="1"/>
  <c r="AG158" i="1"/>
  <c r="U158" i="1" s="1"/>
  <c r="AG228" i="1"/>
  <c r="AI228" i="1" s="1"/>
  <c r="AA222" i="1"/>
  <c r="X155" i="1"/>
  <c r="AG148" i="1"/>
  <c r="X147" i="1"/>
  <c r="AG140" i="1"/>
  <c r="W140" i="1" s="1"/>
  <c r="X140" i="1"/>
  <c r="T136" i="1"/>
  <c r="AA135" i="1"/>
  <c r="AG127" i="1"/>
  <c r="T127" i="1"/>
  <c r="X127" i="1"/>
  <c r="U124" i="1"/>
  <c r="AI111" i="1"/>
  <c r="AI95" i="1"/>
  <c r="U47" i="1"/>
  <c r="S47" i="1" s="1"/>
  <c r="AI47" i="1"/>
  <c r="T218" i="1"/>
  <c r="W217" i="1"/>
  <c r="X214" i="1"/>
  <c r="AA201" i="1"/>
  <c r="T201" i="1"/>
  <c r="U198" i="1"/>
  <c r="W194" i="1"/>
  <c r="X193" i="1"/>
  <c r="AA191" i="1"/>
  <c r="X190" i="1"/>
  <c r="AA185" i="1"/>
  <c r="T185" i="1"/>
  <c r="U182" i="1"/>
  <c r="X181" i="1"/>
  <c r="AA179" i="1"/>
  <c r="AA177" i="1"/>
  <c r="T177" i="1"/>
  <c r="U174" i="1"/>
  <c r="X173" i="1"/>
  <c r="AA171" i="1"/>
  <c r="X165" i="1"/>
  <c r="AG162" i="1"/>
  <c r="U162" i="1" s="1"/>
  <c r="AG160" i="1"/>
  <c r="W160" i="1" s="1"/>
  <c r="X157" i="1"/>
  <c r="AA227" i="1"/>
  <c r="W227" i="1" s="1"/>
  <c r="AA225" i="1"/>
  <c r="W225" i="1" s="1"/>
  <c r="T225" i="1"/>
  <c r="AG222" i="1"/>
  <c r="U222" i="1" s="1"/>
  <c r="S222" i="1" s="1"/>
  <c r="X221" i="1"/>
  <c r="AA219" i="1"/>
  <c r="W219" i="1" s="1"/>
  <c r="AA211" i="1"/>
  <c r="W211" i="1" s="1"/>
  <c r="T211" i="1"/>
  <c r="U211" i="1" s="1"/>
  <c r="S211" i="1" s="1"/>
  <c r="AG208" i="1"/>
  <c r="U208" i="1" s="1"/>
  <c r="X207" i="1"/>
  <c r="AA152" i="1"/>
  <c r="W152" i="1" s="1"/>
  <c r="AG150" i="1"/>
  <c r="AA144" i="1"/>
  <c r="W144" i="1" s="1"/>
  <c r="AG142" i="1"/>
  <c r="W142" i="1" s="1"/>
  <c r="AG135" i="1"/>
  <c r="X135" i="1"/>
  <c r="X132" i="1"/>
  <c r="AG132" i="1"/>
  <c r="W132" i="1" s="1"/>
  <c r="T132" i="1"/>
  <c r="U119" i="1"/>
  <c r="S119" i="1" s="1"/>
  <c r="X103" i="1"/>
  <c r="X87" i="1"/>
  <c r="U57" i="1"/>
  <c r="W47" i="1"/>
  <c r="AA46" i="1"/>
  <c r="AA45" i="1"/>
  <c r="AA40" i="1"/>
  <c r="T40" i="1"/>
  <c r="AG39" i="1"/>
  <c r="W39" i="1" s="1"/>
  <c r="AG37" i="1"/>
  <c r="U37" i="1" s="1"/>
  <c r="AG36" i="1"/>
  <c r="U36" i="1" s="1"/>
  <c r="X36" i="1"/>
  <c r="W35" i="1"/>
  <c r="AA34" i="1"/>
  <c r="AG29" i="1"/>
  <c r="AA28" i="1"/>
  <c r="T28" i="1"/>
  <c r="AG27" i="1"/>
  <c r="W27" i="1" s="1"/>
  <c r="AA25" i="1"/>
  <c r="W25" i="1" s="1"/>
  <c r="AA21" i="1"/>
  <c r="T16" i="1"/>
  <c r="AA141" i="1"/>
  <c r="AA139" i="1"/>
  <c r="AA133" i="1"/>
  <c r="AA131" i="1"/>
  <c r="W131" i="1" s="1"/>
  <c r="T126" i="1"/>
  <c r="T123" i="1"/>
  <c r="U123" i="1" s="1"/>
  <c r="S123" i="1" s="1"/>
  <c r="AA122" i="1"/>
  <c r="AA121" i="1"/>
  <c r="AG117" i="1"/>
  <c r="X115" i="1"/>
  <c r="AG112" i="1"/>
  <c r="U112" i="1" s="1"/>
  <c r="X112" i="1"/>
  <c r="T111" i="1"/>
  <c r="U111" i="1" s="1"/>
  <c r="S111" i="1" s="1"/>
  <c r="AA110" i="1"/>
  <c r="AA109" i="1"/>
  <c r="AA104" i="1"/>
  <c r="T104" i="1"/>
  <c r="AG103" i="1"/>
  <c r="AG101" i="1"/>
  <c r="X99" i="1"/>
  <c r="AG96" i="1"/>
  <c r="U96" i="1" s="1"/>
  <c r="X96" i="1"/>
  <c r="T95" i="1"/>
  <c r="U95" i="1" s="1"/>
  <c r="S95" i="1" s="1"/>
  <c r="AA94" i="1"/>
  <c r="AA93" i="1"/>
  <c r="AA88" i="1"/>
  <c r="T88" i="1"/>
  <c r="AG87" i="1"/>
  <c r="W87" i="1" s="1"/>
  <c r="AG85" i="1"/>
  <c r="X83" i="1"/>
  <c r="AG81" i="1"/>
  <c r="U81" i="1" s="1"/>
  <c r="X81" i="1"/>
  <c r="T80" i="1"/>
  <c r="U80" i="1" s="1"/>
  <c r="S80" i="1" s="1"/>
  <c r="AA75" i="1"/>
  <c r="AA74" i="1"/>
  <c r="T73" i="1"/>
  <c r="X72" i="1"/>
  <c r="AA69" i="1"/>
  <c r="W69" i="1" s="1"/>
  <c r="T68" i="1"/>
  <c r="X64" i="1"/>
  <c r="AA61" i="1"/>
  <c r="W61" i="1" s="1"/>
  <c r="T60" i="1"/>
  <c r="X56" i="1"/>
  <c r="AA53" i="1"/>
  <c r="W53" i="1" s="1"/>
  <c r="W48" i="1"/>
  <c r="U44" i="1"/>
  <c r="AI43" i="1"/>
  <c r="U23" i="1"/>
  <c r="S23" i="1" s="1"/>
  <c r="T19" i="1"/>
  <c r="U19" i="1" s="1"/>
  <c r="S19" i="1" s="1"/>
  <c r="U16" i="1"/>
  <c r="S16" i="1" s="1"/>
  <c r="AA14" i="1"/>
  <c r="W124" i="1"/>
  <c r="U120" i="1"/>
  <c r="AI119" i="1"/>
  <c r="W116" i="1"/>
  <c r="U115" i="1"/>
  <c r="S115" i="1" s="1"/>
  <c r="X111" i="1"/>
  <c r="U108" i="1"/>
  <c r="AI107" i="1"/>
  <c r="W105" i="1"/>
  <c r="W100" i="1"/>
  <c r="U99" i="1"/>
  <c r="S99" i="1" s="1"/>
  <c r="X95" i="1"/>
  <c r="U92" i="1"/>
  <c r="AI91" i="1"/>
  <c r="W89" i="1"/>
  <c r="W84" i="1"/>
  <c r="U83" i="1"/>
  <c r="S83" i="1" s="1"/>
  <c r="U61" i="1"/>
  <c r="AA58" i="1"/>
  <c r="AG52" i="1"/>
  <c r="U52" i="1" s="1"/>
  <c r="X52" i="1"/>
  <c r="AA51" i="1"/>
  <c r="W51" i="1" s="1"/>
  <c r="AI50" i="1"/>
  <c r="AG45" i="1"/>
  <c r="U45" i="1" s="1"/>
  <c r="AG40" i="1"/>
  <c r="AA38" i="1"/>
  <c r="AA37" i="1"/>
  <c r="AA36" i="1"/>
  <c r="W36" i="1" s="1"/>
  <c r="AG33" i="1"/>
  <c r="U33" i="1" s="1"/>
  <c r="AA30" i="1"/>
  <c r="X28" i="1"/>
  <c r="AA17" i="1"/>
  <c r="W17" i="1" s="1"/>
  <c r="U15" i="1"/>
  <c r="AA129" i="1"/>
  <c r="AA127" i="1"/>
  <c r="AG121" i="1"/>
  <c r="U121" i="1" s="1"/>
  <c r="S121" i="1" s="1"/>
  <c r="AA118" i="1"/>
  <c r="AA117" i="1"/>
  <c r="W117" i="1" s="1"/>
  <c r="AA112" i="1"/>
  <c r="AG109" i="1"/>
  <c r="X107" i="1"/>
  <c r="AG104" i="1"/>
  <c r="U104" i="1" s="1"/>
  <c r="AA102" i="1"/>
  <c r="AA101" i="1"/>
  <c r="W101" i="1" s="1"/>
  <c r="AA96" i="1"/>
  <c r="AG93" i="1"/>
  <c r="X91" i="1"/>
  <c r="AG88" i="1"/>
  <c r="U88" i="1" s="1"/>
  <c r="AA86" i="1"/>
  <c r="AA85" i="1"/>
  <c r="W85" i="1" s="1"/>
  <c r="AA77" i="1"/>
  <c r="AG73" i="1"/>
  <c r="W73" i="1" s="1"/>
  <c r="T72" i="1"/>
  <c r="AA65" i="1"/>
  <c r="W65" i="1" s="1"/>
  <c r="T64" i="1"/>
  <c r="W57" i="1"/>
  <c r="T56" i="1"/>
  <c r="U31" i="1"/>
  <c r="S31" i="1" s="1"/>
  <c r="U29" i="1"/>
  <c r="W29" i="1"/>
  <c r="S217" i="1"/>
  <c r="W191" i="1"/>
  <c r="U188" i="1"/>
  <c r="S188" i="1" s="1"/>
  <c r="W179" i="1"/>
  <c r="W177" i="1"/>
  <c r="W171" i="1"/>
  <c r="U160" i="1"/>
  <c r="S160" i="1" s="1"/>
  <c r="W205" i="1"/>
  <c r="U218" i="1"/>
  <c r="S218" i="1" s="1"/>
  <c r="AG216" i="1"/>
  <c r="T216" i="1"/>
  <c r="AI210" i="1"/>
  <c r="W187" i="1"/>
  <c r="AI198" i="1"/>
  <c r="AI196" i="1"/>
  <c r="U177" i="1"/>
  <c r="S177" i="1" s="1"/>
  <c r="U176" i="1"/>
  <c r="S176" i="1" s="1"/>
  <c r="AI190" i="1"/>
  <c r="AI188" i="1"/>
  <c r="U169" i="1"/>
  <c r="S169" i="1" s="1"/>
  <c r="W167" i="1"/>
  <c r="W165" i="1"/>
  <c r="W159" i="1"/>
  <c r="W157" i="1"/>
  <c r="AI174" i="1"/>
  <c r="AI172" i="1"/>
  <c r="U225" i="1"/>
  <c r="S225" i="1" s="1"/>
  <c r="U224" i="1"/>
  <c r="S224" i="1" s="1"/>
  <c r="AI166" i="1"/>
  <c r="U210" i="1"/>
  <c r="S210" i="1" s="1"/>
  <c r="AI158" i="1"/>
  <c r="W215" i="1"/>
  <c r="AG203" i="1"/>
  <c r="AI203" i="1" s="1"/>
  <c r="T203" i="1"/>
  <c r="X203" i="1"/>
  <c r="W199" i="1"/>
  <c r="AI206" i="1"/>
  <c r="W183" i="1"/>
  <c r="W181" i="1"/>
  <c r="W175" i="1"/>
  <c r="AI186" i="1"/>
  <c r="AI184" i="1"/>
  <c r="U165" i="1"/>
  <c r="S165" i="1" s="1"/>
  <c r="W163" i="1"/>
  <c r="AI178" i="1"/>
  <c r="AI176" i="1"/>
  <c r="U157" i="1"/>
  <c r="S157" i="1" s="1"/>
  <c r="W223" i="1"/>
  <c r="W209" i="1"/>
  <c r="W207" i="1"/>
  <c r="AI225" i="1"/>
  <c r="S215" i="1"/>
  <c r="AI218" i="1"/>
  <c r="AI202" i="1"/>
  <c r="AI200" i="1"/>
  <c r="U181" i="1"/>
  <c r="S181" i="1" s="1"/>
  <c r="U180" i="1"/>
  <c r="S180" i="1" s="1"/>
  <c r="AI194" i="1"/>
  <c r="AI192" i="1"/>
  <c r="U173" i="1"/>
  <c r="S173" i="1" s="1"/>
  <c r="U172" i="1"/>
  <c r="S172" i="1" s="1"/>
  <c r="AI182" i="1"/>
  <c r="AI180" i="1"/>
  <c r="U161" i="1"/>
  <c r="S161" i="1" s="1"/>
  <c r="U228" i="1"/>
  <c r="S228" i="1" s="1"/>
  <c r="AI170" i="1"/>
  <c r="U221" i="1"/>
  <c r="S221" i="1" s="1"/>
  <c r="U220" i="1"/>
  <c r="S220" i="1" s="1"/>
  <c r="AI162" i="1"/>
  <c r="AI160" i="1"/>
  <c r="U207" i="1"/>
  <c r="S207" i="1" s="1"/>
  <c r="AI221" i="1"/>
  <c r="S202" i="1"/>
  <c r="X199" i="1"/>
  <c r="T199" i="1"/>
  <c r="U199" i="1" s="1"/>
  <c r="S199" i="1" s="1"/>
  <c r="AI217" i="1"/>
  <c r="S198" i="1"/>
  <c r="X195" i="1"/>
  <c r="T195" i="1"/>
  <c r="U195" i="1" s="1"/>
  <c r="S195" i="1" s="1"/>
  <c r="AI213" i="1"/>
  <c r="S194" i="1"/>
  <c r="X191" i="1"/>
  <c r="T191" i="1"/>
  <c r="U191" i="1" s="1"/>
  <c r="S191" i="1" s="1"/>
  <c r="AI209" i="1"/>
  <c r="S190" i="1"/>
  <c r="X187" i="1"/>
  <c r="T187" i="1"/>
  <c r="U187" i="1" s="1"/>
  <c r="S187" i="1" s="1"/>
  <c r="AI205" i="1"/>
  <c r="S186" i="1"/>
  <c r="X183" i="1"/>
  <c r="T183" i="1"/>
  <c r="U183" i="1" s="1"/>
  <c r="S183" i="1" s="1"/>
  <c r="S182" i="1"/>
  <c r="X179" i="1"/>
  <c r="T179" i="1"/>
  <c r="U179" i="1" s="1"/>
  <c r="S179" i="1" s="1"/>
  <c r="S178" i="1"/>
  <c r="X175" i="1"/>
  <c r="T175" i="1"/>
  <c r="U175" i="1" s="1"/>
  <c r="S175" i="1" s="1"/>
  <c r="S174" i="1"/>
  <c r="X171" i="1"/>
  <c r="T171" i="1"/>
  <c r="U171" i="1" s="1"/>
  <c r="S171" i="1" s="1"/>
  <c r="S170" i="1"/>
  <c r="AG168" i="1"/>
  <c r="AI168" i="1" s="1"/>
  <c r="X167" i="1"/>
  <c r="T167" i="1"/>
  <c r="U167" i="1" s="1"/>
  <c r="S167" i="1" s="1"/>
  <c r="AG164" i="1"/>
  <c r="AI164" i="1" s="1"/>
  <c r="X163" i="1"/>
  <c r="T163" i="1"/>
  <c r="U163" i="1" s="1"/>
  <c r="S163" i="1" s="1"/>
  <c r="AI181" i="1"/>
  <c r="S162" i="1"/>
  <c r="X159" i="1"/>
  <c r="T159" i="1"/>
  <c r="U159" i="1" s="1"/>
  <c r="S159" i="1" s="1"/>
  <c r="AI177" i="1"/>
  <c r="S158" i="1"/>
  <c r="X227" i="1"/>
  <c r="T227" i="1"/>
  <c r="U227" i="1" s="1"/>
  <c r="S227" i="1" s="1"/>
  <c r="AI173" i="1"/>
  <c r="X223" i="1"/>
  <c r="T223" i="1"/>
  <c r="U223" i="1" s="1"/>
  <c r="S223" i="1" s="1"/>
  <c r="AI169" i="1"/>
  <c r="X219" i="1"/>
  <c r="T219" i="1"/>
  <c r="U219" i="1" s="1"/>
  <c r="S219" i="1" s="1"/>
  <c r="AI165" i="1"/>
  <c r="S212" i="1"/>
  <c r="X209" i="1"/>
  <c r="T209" i="1"/>
  <c r="U209" i="1" s="1"/>
  <c r="S209" i="1" s="1"/>
  <c r="AI161" i="1"/>
  <c r="S208" i="1"/>
  <c r="AI151" i="1"/>
  <c r="U151" i="1"/>
  <c r="S151" i="1" s="1"/>
  <c r="AI143" i="1"/>
  <c r="U143" i="1"/>
  <c r="S143" i="1" s="1"/>
  <c r="AI135" i="1"/>
  <c r="U135" i="1"/>
  <c r="S135" i="1" s="1"/>
  <c r="AI127" i="1"/>
  <c r="U127" i="1"/>
  <c r="S127" i="1" s="1"/>
  <c r="X217" i="1"/>
  <c r="AG214" i="1"/>
  <c r="AI214" i="1" s="1"/>
  <c r="X213" i="1"/>
  <c r="AG201" i="1"/>
  <c r="AI201" i="1" s="1"/>
  <c r="X200" i="1"/>
  <c r="AG197" i="1"/>
  <c r="W197" i="1" s="1"/>
  <c r="X196" i="1"/>
  <c r="AG193" i="1"/>
  <c r="AI193" i="1" s="1"/>
  <c r="X192" i="1"/>
  <c r="AG189" i="1"/>
  <c r="AI189" i="1" s="1"/>
  <c r="X188" i="1"/>
  <c r="AG185" i="1"/>
  <c r="AI185" i="1" s="1"/>
  <c r="X184" i="1"/>
  <c r="X180" i="1"/>
  <c r="X176" i="1"/>
  <c r="X172" i="1"/>
  <c r="X168" i="1"/>
  <c r="X164" i="1"/>
  <c r="X160" i="1"/>
  <c r="X228" i="1"/>
  <c r="X224" i="1"/>
  <c r="X220" i="1"/>
  <c r="X210" i="1"/>
  <c r="U206" i="1"/>
  <c r="S206" i="1" s="1"/>
  <c r="U204" i="1"/>
  <c r="S204" i="1" s="1"/>
  <c r="AI157" i="1"/>
  <c r="S156" i="1"/>
  <c r="W147" i="1"/>
  <c r="W139" i="1"/>
  <c r="AI147" i="1"/>
  <c r="U147" i="1"/>
  <c r="S147" i="1" s="1"/>
  <c r="AI139" i="1"/>
  <c r="U139" i="1"/>
  <c r="S139" i="1" s="1"/>
  <c r="AI131" i="1"/>
  <c r="U131" i="1"/>
  <c r="S131" i="1" s="1"/>
  <c r="U130" i="1"/>
  <c r="S130" i="1" s="1"/>
  <c r="T205" i="1"/>
  <c r="U205" i="1" s="1"/>
  <c r="S205" i="1" s="1"/>
  <c r="X205" i="1"/>
  <c r="AI156" i="1"/>
  <c r="W151" i="1"/>
  <c r="W143" i="1"/>
  <c r="W135" i="1"/>
  <c r="W127" i="1"/>
  <c r="AG155" i="1"/>
  <c r="X154" i="1"/>
  <c r="X150" i="1"/>
  <c r="X146" i="1"/>
  <c r="X142" i="1"/>
  <c r="X138" i="1"/>
  <c r="X134" i="1"/>
  <c r="X130" i="1"/>
  <c r="U126" i="1"/>
  <c r="S126" i="1" s="1"/>
  <c r="S124" i="1"/>
  <c r="AI124" i="1"/>
  <c r="X123" i="1"/>
  <c r="T122" i="1"/>
  <c r="X122" i="1"/>
  <c r="AG122" i="1"/>
  <c r="W122" i="1" s="1"/>
  <c r="U152" i="1"/>
  <c r="S152" i="1" s="1"/>
  <c r="U148" i="1"/>
  <c r="S148" i="1" s="1"/>
  <c r="U144" i="1"/>
  <c r="S144" i="1" s="1"/>
  <c r="U140" i="1"/>
  <c r="S140" i="1" s="1"/>
  <c r="U136" i="1"/>
  <c r="S136" i="1" s="1"/>
  <c r="U132" i="1"/>
  <c r="S132" i="1" s="1"/>
  <c r="U128" i="1"/>
  <c r="S128" i="1" s="1"/>
  <c r="AI121" i="1"/>
  <c r="AG153" i="1"/>
  <c r="W153" i="1" s="1"/>
  <c r="AG149" i="1"/>
  <c r="AG145" i="1"/>
  <c r="AG141" i="1"/>
  <c r="W141" i="1" s="1"/>
  <c r="AG137" i="1"/>
  <c r="W137" i="1" s="1"/>
  <c r="AG133" i="1"/>
  <c r="W133" i="1" s="1"/>
  <c r="AG129" i="1"/>
  <c r="T125" i="1"/>
  <c r="X125" i="1"/>
  <c r="X153" i="1"/>
  <c r="AI152" i="1"/>
  <c r="X149" i="1"/>
  <c r="AI148" i="1"/>
  <c r="X145" i="1"/>
  <c r="AI144" i="1"/>
  <c r="X141" i="1"/>
  <c r="AI140" i="1"/>
  <c r="X137" i="1"/>
  <c r="AI136" i="1"/>
  <c r="X133" i="1"/>
  <c r="AI132" i="1"/>
  <c r="X129" i="1"/>
  <c r="AI128" i="1"/>
  <c r="AG125" i="1"/>
  <c r="W125" i="1" s="1"/>
  <c r="U117" i="1"/>
  <c r="S117" i="1" s="1"/>
  <c r="U113" i="1"/>
  <c r="S113" i="1" s="1"/>
  <c r="U109" i="1"/>
  <c r="S109" i="1" s="1"/>
  <c r="U105" i="1"/>
  <c r="S105" i="1" s="1"/>
  <c r="U101" i="1"/>
  <c r="S101" i="1" s="1"/>
  <c r="U97" i="1"/>
  <c r="S97" i="1" s="1"/>
  <c r="U93" i="1"/>
  <c r="S93" i="1" s="1"/>
  <c r="U89" i="1"/>
  <c r="S89" i="1" s="1"/>
  <c r="U85" i="1"/>
  <c r="S85" i="1" s="1"/>
  <c r="T78" i="1"/>
  <c r="X78" i="1"/>
  <c r="T75" i="1"/>
  <c r="X75" i="1"/>
  <c r="AG75" i="1"/>
  <c r="W75" i="1" s="1"/>
  <c r="AI74" i="1"/>
  <c r="AI69" i="1"/>
  <c r="U68" i="1"/>
  <c r="S68" i="1" s="1"/>
  <c r="AI68" i="1"/>
  <c r="W60" i="1"/>
  <c r="X121" i="1"/>
  <c r="AI120" i="1"/>
  <c r="S120" i="1"/>
  <c r="AG118" i="1"/>
  <c r="W118" i="1" s="1"/>
  <c r="X117" i="1"/>
  <c r="AI116" i="1"/>
  <c r="S116" i="1"/>
  <c r="AG114" i="1"/>
  <c r="X113" i="1"/>
  <c r="AI112" i="1"/>
  <c r="S112" i="1"/>
  <c r="AG110" i="1"/>
  <c r="W110" i="1" s="1"/>
  <c r="X109" i="1"/>
  <c r="AI108" i="1"/>
  <c r="S108" i="1"/>
  <c r="AG106" i="1"/>
  <c r="W106" i="1" s="1"/>
  <c r="X105" i="1"/>
  <c r="AI104" i="1"/>
  <c r="S104" i="1"/>
  <c r="AG102" i="1"/>
  <c r="W102" i="1" s="1"/>
  <c r="X101" i="1"/>
  <c r="AI100" i="1"/>
  <c r="S100" i="1"/>
  <c r="AG98" i="1"/>
  <c r="W98" i="1" s="1"/>
  <c r="X97" i="1"/>
  <c r="AI96" i="1"/>
  <c r="S96" i="1"/>
  <c r="AG94" i="1"/>
  <c r="X93" i="1"/>
  <c r="AI92" i="1"/>
  <c r="S92" i="1"/>
  <c r="AG90" i="1"/>
  <c r="X89" i="1"/>
  <c r="AI88" i="1"/>
  <c r="S88" i="1"/>
  <c r="AG86" i="1"/>
  <c r="W86" i="1" s="1"/>
  <c r="X85" i="1"/>
  <c r="AI84" i="1"/>
  <c r="S84" i="1"/>
  <c r="AG82" i="1"/>
  <c r="AI81" i="1"/>
  <c r="T79" i="1"/>
  <c r="X79" i="1"/>
  <c r="AG79" i="1"/>
  <c r="AG78" i="1"/>
  <c r="W77" i="1"/>
  <c r="X76" i="1"/>
  <c r="AI73" i="1"/>
  <c r="U60" i="1"/>
  <c r="S60" i="1" s="1"/>
  <c r="AI60" i="1"/>
  <c r="X118" i="1"/>
  <c r="T118" i="1"/>
  <c r="AI117" i="1"/>
  <c r="X114" i="1"/>
  <c r="T114" i="1"/>
  <c r="AI113" i="1"/>
  <c r="X110" i="1"/>
  <c r="T110" i="1"/>
  <c r="AI109" i="1"/>
  <c r="X106" i="1"/>
  <c r="T106" i="1"/>
  <c r="AI105" i="1"/>
  <c r="X102" i="1"/>
  <c r="T102" i="1"/>
  <c r="AI101" i="1"/>
  <c r="X98" i="1"/>
  <c r="T98" i="1"/>
  <c r="AI97" i="1"/>
  <c r="X94" i="1"/>
  <c r="T94" i="1"/>
  <c r="AI93" i="1"/>
  <c r="X90" i="1"/>
  <c r="T90" i="1"/>
  <c r="AI89" i="1"/>
  <c r="X86" i="1"/>
  <c r="T86" i="1"/>
  <c r="AI85" i="1"/>
  <c r="X82" i="1"/>
  <c r="T82" i="1"/>
  <c r="W81" i="1"/>
  <c r="S77" i="1"/>
  <c r="AI77" i="1"/>
  <c r="W74" i="1"/>
  <c r="U72" i="1"/>
  <c r="S72" i="1" s="1"/>
  <c r="U69" i="1"/>
  <c r="S69" i="1" s="1"/>
  <c r="W64" i="1"/>
  <c r="W56" i="1"/>
  <c r="S81" i="1"/>
  <c r="W78" i="1"/>
  <c r="U76" i="1"/>
  <c r="S76" i="1" s="1"/>
  <c r="T74" i="1"/>
  <c r="U74" i="1" s="1"/>
  <c r="S74" i="1" s="1"/>
  <c r="X74" i="1"/>
  <c r="U73" i="1"/>
  <c r="S73" i="1" s="1"/>
  <c r="T70" i="1"/>
  <c r="X70" i="1"/>
  <c r="AG70" i="1"/>
  <c r="W70" i="1" s="1"/>
  <c r="U64" i="1"/>
  <c r="S64" i="1" s="1"/>
  <c r="AI64" i="1"/>
  <c r="U56" i="1"/>
  <c r="S56" i="1" s="1"/>
  <c r="AI56" i="1"/>
  <c r="AG66" i="1"/>
  <c r="W66" i="1" s="1"/>
  <c r="AG62" i="1"/>
  <c r="W62" i="1" s="1"/>
  <c r="AG58" i="1"/>
  <c r="W58" i="1" s="1"/>
  <c r="AG54" i="1"/>
  <c r="X51" i="1"/>
  <c r="T50" i="1"/>
  <c r="U50" i="1" s="1"/>
  <c r="S50" i="1" s="1"/>
  <c r="U28" i="1"/>
  <c r="S28" i="1" s="1"/>
  <c r="AI28" i="1"/>
  <c r="X27" i="1"/>
  <c r="T26" i="1"/>
  <c r="X26" i="1"/>
  <c r="AG26" i="1"/>
  <c r="W26" i="1" s="1"/>
  <c r="AI21" i="1"/>
  <c r="AI17" i="1"/>
  <c r="AG71" i="1"/>
  <c r="W71" i="1" s="1"/>
  <c r="AG67" i="1"/>
  <c r="W67" i="1" s="1"/>
  <c r="X66" i="1"/>
  <c r="AI65" i="1"/>
  <c r="S65" i="1"/>
  <c r="AG63" i="1"/>
  <c r="X62" i="1"/>
  <c r="AI61" i="1"/>
  <c r="S61" i="1"/>
  <c r="AG59" i="1"/>
  <c r="W59" i="1" s="1"/>
  <c r="X58" i="1"/>
  <c r="AI57" i="1"/>
  <c r="S57" i="1"/>
  <c r="AG55" i="1"/>
  <c r="X54" i="1"/>
  <c r="AI53" i="1"/>
  <c r="W52" i="1"/>
  <c r="AI51" i="1"/>
  <c r="S51" i="1"/>
  <c r="X50" i="1"/>
  <c r="T49" i="1"/>
  <c r="X49" i="1"/>
  <c r="W45" i="1"/>
  <c r="W41" i="1"/>
  <c r="W37" i="1"/>
  <c r="U32" i="1"/>
  <c r="S32" i="1" s="1"/>
  <c r="AI32" i="1"/>
  <c r="X31" i="1"/>
  <c r="T30" i="1"/>
  <c r="X30" i="1"/>
  <c r="AG30" i="1"/>
  <c r="W30" i="1" s="1"/>
  <c r="AI25" i="1"/>
  <c r="U21" i="1"/>
  <c r="S21" i="1" s="1"/>
  <c r="U20" i="1"/>
  <c r="S20" i="1" s="1"/>
  <c r="S15" i="1"/>
  <c r="X71" i="1"/>
  <c r="X67" i="1"/>
  <c r="X63" i="1"/>
  <c r="X59" i="1"/>
  <c r="X55" i="1"/>
  <c r="T53" i="1"/>
  <c r="U53" i="1" s="1"/>
  <c r="S53" i="1" s="1"/>
  <c r="X53" i="1"/>
  <c r="AG49" i="1"/>
  <c r="S48" i="1"/>
  <c r="AI48" i="1"/>
  <c r="X47" i="1"/>
  <c r="T46" i="1"/>
  <c r="X46" i="1"/>
  <c r="AG46" i="1"/>
  <c r="X43" i="1"/>
  <c r="T42" i="1"/>
  <c r="X42" i="1"/>
  <c r="AG42" i="1"/>
  <c r="X39" i="1"/>
  <c r="T38" i="1"/>
  <c r="X38" i="1"/>
  <c r="AG38" i="1"/>
  <c r="X35" i="1"/>
  <c r="T34" i="1"/>
  <c r="X34" i="1"/>
  <c r="AG34" i="1"/>
  <c r="S29" i="1"/>
  <c r="AI29" i="1"/>
  <c r="U25" i="1"/>
  <c r="S25" i="1" s="1"/>
  <c r="W24" i="1"/>
  <c r="U17" i="1"/>
  <c r="S17" i="1" s="1"/>
  <c r="X15" i="1"/>
  <c r="T14" i="1"/>
  <c r="AG14" i="1"/>
  <c r="W14" i="1" s="1"/>
  <c r="S52" i="1"/>
  <c r="AI52" i="1"/>
  <c r="S45" i="1"/>
  <c r="AI45" i="1"/>
  <c r="S41" i="1"/>
  <c r="AI41" i="1"/>
  <c r="S37" i="1"/>
  <c r="AI37" i="1"/>
  <c r="S33" i="1"/>
  <c r="AI33" i="1"/>
  <c r="W28" i="1"/>
  <c r="U24" i="1"/>
  <c r="S24" i="1" s="1"/>
  <c r="AI24" i="1"/>
  <c r="X23" i="1"/>
  <c r="T22" i="1"/>
  <c r="X22" i="1"/>
  <c r="AG22" i="1"/>
  <c r="W22" i="1" s="1"/>
  <c r="W21" i="1"/>
  <c r="X19" i="1"/>
  <c r="T18" i="1"/>
  <c r="X18" i="1"/>
  <c r="AG18" i="1"/>
  <c r="W18" i="1" s="1"/>
  <c r="X45" i="1"/>
  <c r="AI44" i="1"/>
  <c r="S44" i="1"/>
  <c r="X41" i="1"/>
  <c r="AI40" i="1"/>
  <c r="X37" i="1"/>
  <c r="AI36" i="1"/>
  <c r="S36" i="1"/>
  <c r="X33" i="1"/>
  <c r="X29" i="1"/>
  <c r="X25" i="1"/>
  <c r="X21" i="1"/>
  <c r="AD29" i="3"/>
  <c r="AD12" i="3"/>
  <c r="Y37" i="3"/>
  <c r="Y17" i="3"/>
  <c r="T35" i="3"/>
  <c r="Y25" i="3"/>
  <c r="T41" i="3"/>
  <c r="Y33" i="3"/>
  <c r="Y42" i="3"/>
  <c r="AE20" i="3"/>
  <c r="Y39" i="3"/>
  <c r="AE16" i="3"/>
  <c r="Y21" i="3"/>
  <c r="T38" i="3"/>
  <c r="AD9" i="3"/>
  <c r="Y13" i="3"/>
  <c r="Y31" i="3"/>
  <c r="AD16" i="3"/>
  <c r="AD13" i="3"/>
  <c r="AE11" i="3"/>
  <c r="T29" i="3"/>
  <c r="T16" i="3"/>
  <c r="AD25" i="3"/>
  <c r="AE25" i="3"/>
  <c r="T43" i="3"/>
  <c r="T40" i="3"/>
  <c r="T37" i="3"/>
  <c r="AD8" i="3"/>
  <c r="T12" i="3"/>
  <c r="Y12" i="3"/>
  <c r="Y35" i="3"/>
  <c r="T10" i="3"/>
  <c r="Y41" i="3"/>
  <c r="T36" i="3"/>
  <c r="Y26" i="3"/>
  <c r="T22" i="3"/>
  <c r="Y38" i="3"/>
  <c r="AE41" i="3"/>
  <c r="Y9" i="3"/>
  <c r="AE36" i="3"/>
  <c r="AC19" i="3"/>
  <c r="Y10" i="3"/>
  <c r="AE31" i="3"/>
  <c r="AE29" i="3"/>
  <c r="T32" i="3"/>
  <c r="Y36" i="3"/>
  <c r="AE23" i="3"/>
  <c r="AD21" i="3"/>
  <c r="T20" i="3"/>
  <c r="Y8" i="3"/>
  <c r="T15" i="3"/>
  <c r="AE12" i="3"/>
  <c r="AE32" i="3"/>
  <c r="AE24" i="3"/>
  <c r="AE19" i="3"/>
  <c r="AD17" i="3"/>
  <c r="AE43" i="3"/>
  <c r="T18" i="3"/>
  <c r="AE35" i="3"/>
  <c r="T34" i="3"/>
  <c r="AE39" i="3"/>
  <c r="T11" i="3"/>
  <c r="AD43" i="3"/>
  <c r="AE42" i="3"/>
  <c r="T17" i="3"/>
  <c r="AD39" i="3"/>
  <c r="AE38" i="3"/>
  <c r="T23" i="3"/>
  <c r="AD35" i="3"/>
  <c r="AE34" i="3"/>
  <c r="T19" i="3"/>
  <c r="AD31" i="3"/>
  <c r="AE30" i="3"/>
  <c r="T25" i="3"/>
  <c r="AD27" i="3"/>
  <c r="AE26" i="3"/>
  <c r="T14" i="3"/>
  <c r="AD23" i="3"/>
  <c r="AE22" i="3"/>
  <c r="T42" i="3"/>
  <c r="AD19" i="3"/>
  <c r="AE18" i="3"/>
  <c r="T39" i="3"/>
  <c r="AD15" i="3"/>
  <c r="AE14" i="3"/>
  <c r="T28" i="3"/>
  <c r="AD11" i="3"/>
  <c r="AE10" i="3"/>
  <c r="T24" i="3"/>
  <c r="AC27" i="3"/>
  <c r="AD30" i="3"/>
  <c r="AD26" i="3"/>
  <c r="AD22" i="3"/>
  <c r="AE21" i="3"/>
  <c r="AD18" i="3"/>
  <c r="AE17" i="3"/>
  <c r="AD14" i="3"/>
  <c r="AE13" i="3"/>
  <c r="AD10" i="3"/>
  <c r="AE9" i="3"/>
  <c r="AE8" i="3"/>
  <c r="M7" i="3"/>
  <c r="U7" i="3"/>
  <c r="W7" i="3"/>
  <c r="X7" i="3"/>
  <c r="W112" i="1" l="1"/>
  <c r="W121" i="1"/>
  <c r="W83" i="1"/>
  <c r="W96" i="1"/>
  <c r="U40" i="1"/>
  <c r="S40" i="1" s="1"/>
  <c r="W16" i="1"/>
  <c r="W99" i="1"/>
  <c r="W226" i="1"/>
  <c r="W92" i="1"/>
  <c r="W130" i="1"/>
  <c r="U166" i="1"/>
  <c r="S166" i="1" s="1"/>
  <c r="W158" i="1"/>
  <c r="W108" i="1"/>
  <c r="W97" i="1"/>
  <c r="U138" i="1"/>
  <c r="S138" i="1" s="1"/>
  <c r="AI138" i="1"/>
  <c r="W210" i="1"/>
  <c r="W113" i="1"/>
  <c r="W23" i="1"/>
  <c r="W109" i="1"/>
  <c r="W208" i="1"/>
  <c r="W88" i="1"/>
  <c r="U103" i="1"/>
  <c r="S103" i="1" s="1"/>
  <c r="AI103" i="1"/>
  <c r="W40" i="1"/>
  <c r="U150" i="1"/>
  <c r="S150" i="1" s="1"/>
  <c r="AI150" i="1"/>
  <c r="W222" i="1"/>
  <c r="W162" i="1"/>
  <c r="U146" i="1"/>
  <c r="S146" i="1" s="1"/>
  <c r="AI146" i="1"/>
  <c r="W202" i="1"/>
  <c r="W150" i="1"/>
  <c r="W192" i="1"/>
  <c r="AI197" i="1"/>
  <c r="W33" i="1"/>
  <c r="W93" i="1"/>
  <c r="U27" i="1"/>
  <c r="S27" i="1" s="1"/>
  <c r="AI27" i="1"/>
  <c r="W148" i="1"/>
  <c r="W170" i="1"/>
  <c r="W228" i="1"/>
  <c r="W213" i="1"/>
  <c r="U87" i="1"/>
  <c r="S87" i="1" s="1"/>
  <c r="AI87" i="1"/>
  <c r="W104" i="1"/>
  <c r="U39" i="1"/>
  <c r="S39" i="1" s="1"/>
  <c r="AI39" i="1"/>
  <c r="U142" i="1"/>
  <c r="S142" i="1" s="1"/>
  <c r="AI142" i="1"/>
  <c r="U154" i="1"/>
  <c r="S154" i="1" s="1"/>
  <c r="AI154" i="1"/>
  <c r="W166" i="1"/>
  <c r="W186" i="1"/>
  <c r="W103" i="1"/>
  <c r="W212" i="1"/>
  <c r="W146" i="1"/>
  <c r="AI54" i="1"/>
  <c r="U54" i="1"/>
  <c r="S54" i="1" s="1"/>
  <c r="AI22" i="1"/>
  <c r="U22" i="1"/>
  <c r="S22" i="1" s="1"/>
  <c r="AI14" i="1"/>
  <c r="U14" i="1"/>
  <c r="S14" i="1" s="1"/>
  <c r="S34" i="1"/>
  <c r="AI34" i="1"/>
  <c r="U34" i="1"/>
  <c r="S38" i="1"/>
  <c r="AI38" i="1"/>
  <c r="U38" i="1"/>
  <c r="AI42" i="1"/>
  <c r="U42" i="1"/>
  <c r="S42" i="1" s="1"/>
  <c r="AI46" i="1"/>
  <c r="U46" i="1"/>
  <c r="S46" i="1" s="1"/>
  <c r="W34" i="1"/>
  <c r="W42" i="1"/>
  <c r="U71" i="1"/>
  <c r="S71" i="1" s="1"/>
  <c r="AI71" i="1"/>
  <c r="AI58" i="1"/>
  <c r="U58" i="1"/>
  <c r="S58" i="1" s="1"/>
  <c r="S78" i="1"/>
  <c r="AI78" i="1"/>
  <c r="U78" i="1"/>
  <c r="U141" i="1"/>
  <c r="S141" i="1"/>
  <c r="AI141" i="1"/>
  <c r="AI204" i="1"/>
  <c r="U185" i="1"/>
  <c r="S185" i="1" s="1"/>
  <c r="AI212" i="1"/>
  <c r="U193" i="1"/>
  <c r="S193" i="1" s="1"/>
  <c r="AI220" i="1"/>
  <c r="U201" i="1"/>
  <c r="S201" i="1" s="1"/>
  <c r="AI183" i="1"/>
  <c r="U164" i="1"/>
  <c r="S164" i="1" s="1"/>
  <c r="W164" i="1"/>
  <c r="W193" i="1"/>
  <c r="U203" i="1"/>
  <c r="S203" i="1" s="1"/>
  <c r="AI222" i="1"/>
  <c r="U216" i="1"/>
  <c r="S216" i="1" s="1"/>
  <c r="AI226" i="1"/>
  <c r="AI55" i="1"/>
  <c r="U55" i="1"/>
  <c r="S55" i="1" s="1"/>
  <c r="AI63" i="1"/>
  <c r="U63" i="1"/>
  <c r="S63" i="1" s="1"/>
  <c r="AI62" i="1"/>
  <c r="U62" i="1"/>
  <c r="S62" i="1" s="1"/>
  <c r="AI70" i="1"/>
  <c r="U70" i="1"/>
  <c r="S70" i="1" s="1"/>
  <c r="U79" i="1"/>
  <c r="S79" i="1" s="1"/>
  <c r="AI79" i="1"/>
  <c r="AI90" i="1"/>
  <c r="U90" i="1"/>
  <c r="S90" i="1" s="1"/>
  <c r="AI98" i="1"/>
  <c r="U98" i="1"/>
  <c r="S98" i="1" s="1"/>
  <c r="AI106" i="1"/>
  <c r="U106" i="1"/>
  <c r="S106" i="1" s="1"/>
  <c r="AI114" i="1"/>
  <c r="U114" i="1"/>
  <c r="S114" i="1" s="1"/>
  <c r="AI118" i="1"/>
  <c r="U118" i="1"/>
  <c r="S118" i="1" s="1"/>
  <c r="W54" i="1"/>
  <c r="U75" i="1"/>
  <c r="S75" i="1" s="1"/>
  <c r="AI75" i="1"/>
  <c r="W79" i="1"/>
  <c r="U129" i="1"/>
  <c r="S129" i="1" s="1"/>
  <c r="AI129" i="1"/>
  <c r="U145" i="1"/>
  <c r="S145" i="1" s="1"/>
  <c r="AI145" i="1"/>
  <c r="AI155" i="1"/>
  <c r="U155" i="1"/>
  <c r="S155" i="1" s="1"/>
  <c r="W145" i="1"/>
  <c r="W155" i="1"/>
  <c r="AI187" i="1"/>
  <c r="U168" i="1"/>
  <c r="S168" i="1" s="1"/>
  <c r="W168" i="1"/>
  <c r="W203" i="1"/>
  <c r="W201" i="1"/>
  <c r="AI30" i="1"/>
  <c r="U30" i="1"/>
  <c r="S30" i="1" s="1"/>
  <c r="AI26" i="1"/>
  <c r="U26" i="1"/>
  <c r="S26" i="1" s="1"/>
  <c r="AI82" i="1"/>
  <c r="U82" i="1"/>
  <c r="S82" i="1" s="1"/>
  <c r="AI86" i="1"/>
  <c r="U86" i="1"/>
  <c r="S86" i="1" s="1"/>
  <c r="AI94" i="1"/>
  <c r="U94" i="1"/>
  <c r="S94" i="1" s="1"/>
  <c r="AI102" i="1"/>
  <c r="U102" i="1"/>
  <c r="S102" i="1" s="1"/>
  <c r="AI110" i="1"/>
  <c r="U110" i="1"/>
  <c r="S110" i="1" s="1"/>
  <c r="W63" i="1"/>
  <c r="W49" i="1"/>
  <c r="U49" i="1"/>
  <c r="S49" i="1" s="1"/>
  <c r="AI49" i="1"/>
  <c r="W38" i="1"/>
  <c r="W46" i="1"/>
  <c r="AI66" i="1"/>
  <c r="U66" i="1"/>
  <c r="S66" i="1" s="1"/>
  <c r="W55" i="1"/>
  <c r="AI125" i="1"/>
  <c r="U125" i="1"/>
  <c r="S125" i="1" s="1"/>
  <c r="W90" i="1"/>
  <c r="U133" i="1"/>
  <c r="S133" i="1" s="1"/>
  <c r="AI133" i="1"/>
  <c r="U149" i="1"/>
  <c r="S149" i="1" s="1"/>
  <c r="AI149" i="1"/>
  <c r="W82" i="1"/>
  <c r="W114" i="1"/>
  <c r="W149" i="1"/>
  <c r="AI208" i="1"/>
  <c r="U189" i="1"/>
  <c r="S189" i="1" s="1"/>
  <c r="AI216" i="1"/>
  <c r="U197" i="1"/>
  <c r="S197" i="1" s="1"/>
  <c r="AI224" i="1"/>
  <c r="U214" i="1"/>
  <c r="S214" i="1" s="1"/>
  <c r="W214" i="1"/>
  <c r="W216" i="1"/>
  <c r="AI18" i="1"/>
  <c r="U18" i="1"/>
  <c r="S18" i="1" s="1"/>
  <c r="AI59" i="1"/>
  <c r="U59" i="1"/>
  <c r="S59" i="1" s="1"/>
  <c r="U67" i="1"/>
  <c r="S67" i="1" s="1"/>
  <c r="AI67" i="1"/>
  <c r="U137" i="1"/>
  <c r="S137" i="1" s="1"/>
  <c r="AI137" i="1"/>
  <c r="U153" i="1"/>
  <c r="S153" i="1" s="1"/>
  <c r="AI153" i="1"/>
  <c r="W94" i="1"/>
  <c r="AI122" i="1"/>
  <c r="U122" i="1"/>
  <c r="S122" i="1" s="1"/>
  <c r="W129" i="1"/>
  <c r="W189" i="1"/>
  <c r="W185" i="1"/>
  <c r="R7" i="3"/>
  <c r="Y7" i="3"/>
  <c r="B3" i="6" l="1"/>
  <c r="M28" i="5" l="1"/>
  <c r="M23" i="5" l="1"/>
  <c r="V7" i="3" l="1"/>
  <c r="AE7" i="3" s="1"/>
  <c r="AC7" i="3"/>
  <c r="AD7" i="3"/>
  <c r="AN13" i="1"/>
  <c r="D22" i="10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S7" i="3" l="1"/>
  <c r="K22" i="10"/>
  <c r="L22" i="10" s="1"/>
  <c r="K23" i="10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Q31" i="10"/>
  <c r="Q29" i="10"/>
  <c r="Q26" i="10"/>
  <c r="Q23" i="10"/>
  <c r="H23" i="10" s="1"/>
  <c r="Q22" i="10"/>
  <c r="Q18" i="10"/>
  <c r="H18" i="10" s="1"/>
  <c r="Q15" i="10"/>
  <c r="H15" i="10" s="1"/>
  <c r="Q13" i="10"/>
  <c r="H13" i="10" s="1"/>
  <c r="Q11" i="10"/>
  <c r="Q9" i="10"/>
  <c r="Q7" i="10"/>
  <c r="Q5" i="10"/>
  <c r="Q35" i="10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H22" i="10" l="1"/>
  <c r="I5" i="10"/>
  <c r="H5" i="10"/>
  <c r="I23" i="10"/>
  <c r="D25" i="10"/>
  <c r="K24" i="10"/>
  <c r="L24" i="10" s="1"/>
  <c r="I34" i="10"/>
  <c r="I22" i="10"/>
  <c r="I18" i="10"/>
  <c r="I16" i="10"/>
  <c r="I14" i="10"/>
  <c r="H34" i="10"/>
  <c r="H35" i="10"/>
  <c r="K7" i="10"/>
  <c r="L7" i="10" s="1"/>
  <c r="H7" i="10" s="1"/>
  <c r="D8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H25" i="10"/>
  <c r="L9" i="10"/>
  <c r="H9" i="10" s="1"/>
  <c r="I9" i="10"/>
  <c r="L26" i="10"/>
  <c r="I26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L10" i="10"/>
  <c r="H10" i="10" s="1"/>
  <c r="I10" i="10"/>
  <c r="L27" i="10"/>
  <c r="I27" i="10"/>
  <c r="H26" i="10"/>
  <c r="B87" i="9"/>
  <c r="B88" i="9"/>
  <c r="B89" i="9"/>
  <c r="B90" i="9"/>
  <c r="B91" i="9"/>
  <c r="B92" i="9"/>
  <c r="H27" i="10" l="1"/>
  <c r="D30" i="10"/>
  <c r="K29" i="10"/>
  <c r="L28" i="10"/>
  <c r="I28" i="10"/>
  <c r="C88" i="9"/>
  <c r="C92" i="9"/>
  <c r="C93" i="9"/>
  <c r="C90" i="9"/>
  <c r="C89" i="9"/>
  <c r="C91" i="9"/>
  <c r="H28" i="10" l="1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H31" i="10"/>
  <c r="L32" i="10"/>
  <c r="I32" i="10"/>
  <c r="C61" i="9"/>
  <c r="C57" i="9"/>
  <c r="C59" i="9"/>
  <c r="C62" i="9"/>
  <c r="C60" i="9"/>
  <c r="C58" i="9"/>
  <c r="C56" i="9"/>
  <c r="H32" i="10" l="1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N27" i="3" s="1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N8" i="3" s="1"/>
  <c r="G94" i="4"/>
  <c r="G95" i="4"/>
  <c r="N39" i="3" s="1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N33" i="3" s="1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1" i="3" l="1"/>
  <c r="N29" i="3"/>
  <c r="N9" i="3"/>
  <c r="N19" i="3"/>
  <c r="N34" i="3"/>
  <c r="N13" i="3"/>
  <c r="N16" i="3"/>
  <c r="N26" i="3"/>
  <c r="N35" i="3"/>
  <c r="N41" i="3"/>
  <c r="N14" i="3"/>
  <c r="N31" i="3"/>
  <c r="N12" i="3"/>
  <c r="N23" i="3"/>
  <c r="N10" i="3"/>
  <c r="N22" i="3"/>
  <c r="N20" i="3"/>
  <c r="N15" i="3"/>
  <c r="N21" i="3"/>
  <c r="N28" i="3"/>
  <c r="N24" i="3"/>
  <c r="N30" i="3"/>
  <c r="N18" i="3"/>
  <c r="N17" i="3"/>
  <c r="N25" i="3"/>
  <c r="N32" i="3"/>
  <c r="N36" i="3"/>
  <c r="N42" i="3"/>
  <c r="N43" i="3"/>
  <c r="N40" i="3"/>
  <c r="N37" i="3"/>
  <c r="N38" i="3"/>
  <c r="N7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T7" i="3" l="1"/>
  <c r="AF13" i="1"/>
  <c r="G35" i="10"/>
  <c r="G4" i="10"/>
  <c r="G2" i="10"/>
  <c r="G22" i="10"/>
  <c r="G13" i="10"/>
  <c r="G21" i="10"/>
  <c r="G34" i="10"/>
  <c r="G19" i="10"/>
  <c r="G6" i="10"/>
  <c r="G15" i="10"/>
  <c r="G23" i="10"/>
  <c r="G20" i="10"/>
  <c r="G3" i="10"/>
  <c r="G12" i="10"/>
  <c r="G14" i="10"/>
  <c r="G18" i="10"/>
  <c r="G16" i="10"/>
  <c r="G17" i="10"/>
  <c r="G5" i="10"/>
  <c r="G24" i="10"/>
  <c r="G7" i="10"/>
  <c r="G25" i="10"/>
  <c r="G8" i="10"/>
  <c r="G9" i="10"/>
  <c r="G26" i="10"/>
  <c r="G11" i="10"/>
  <c r="G10" i="10"/>
  <c r="G27" i="10"/>
  <c r="G28" i="10"/>
  <c r="G29" i="10"/>
  <c r="G30" i="10"/>
  <c r="G31" i="10"/>
  <c r="G32" i="10"/>
  <c r="G33" i="10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I3" i="6" l="1"/>
  <c r="F3" i="6"/>
  <c r="H3" i="6"/>
  <c r="J3" i="6"/>
  <c r="G3" i="6"/>
  <c r="B4" i="6" l="1"/>
  <c r="I4" i="6" l="1"/>
  <c r="F4" i="6"/>
  <c r="B5" i="6"/>
  <c r="J4" i="6"/>
  <c r="G4" i="6"/>
  <c r="H4" i="6"/>
  <c r="I5" i="6" l="1"/>
  <c r="F5" i="6"/>
  <c r="B6" i="6"/>
  <c r="J5" i="6"/>
  <c r="G5" i="6"/>
  <c r="H5" i="6"/>
  <c r="I6" i="6" l="1"/>
  <c r="F6" i="6"/>
  <c r="H6" i="6"/>
  <c r="J6" i="6"/>
  <c r="G6" i="6"/>
  <c r="B7" i="6"/>
  <c r="I7" i="6" l="1"/>
  <c r="F7" i="6"/>
  <c r="B8" i="6"/>
  <c r="G7" i="6"/>
  <c r="J7" i="6"/>
  <c r="H7" i="6"/>
  <c r="I8" i="6" l="1"/>
  <c r="F8" i="6"/>
  <c r="G8" i="6"/>
  <c r="H8" i="6"/>
  <c r="J8" i="6"/>
  <c r="B9" i="6"/>
  <c r="I9" i="6" l="1"/>
  <c r="F9" i="6"/>
  <c r="J9" i="6"/>
  <c r="G9" i="6"/>
  <c r="H9" i="6"/>
  <c r="B10" i="6"/>
  <c r="I10" i="6" l="1"/>
  <c r="F10" i="6"/>
  <c r="G10" i="6"/>
  <c r="H10" i="6"/>
  <c r="J10" i="6"/>
  <c r="B11" i="6"/>
  <c r="I11" i="6" l="1"/>
  <c r="F11" i="6"/>
  <c r="B12" i="6"/>
  <c r="J11" i="6"/>
  <c r="H11" i="6"/>
  <c r="G11" i="6"/>
  <c r="I12" i="6" l="1"/>
  <c r="F12" i="6"/>
  <c r="J12" i="6"/>
  <c r="G12" i="6"/>
  <c r="H12" i="6"/>
  <c r="B13" i="6"/>
  <c r="I13" i="6" l="1"/>
  <c r="F13" i="6"/>
  <c r="B14" i="6"/>
  <c r="G13" i="6"/>
  <c r="J13" i="6"/>
  <c r="H13" i="6"/>
  <c r="I14" i="6" l="1"/>
  <c r="F14" i="6"/>
  <c r="G14" i="6"/>
  <c r="J14" i="6"/>
  <c r="H14" i="6"/>
  <c r="B15" i="6"/>
  <c r="I15" i="6" l="1"/>
  <c r="F15" i="6"/>
  <c r="B16" i="6"/>
  <c r="G15" i="6"/>
  <c r="J15" i="6"/>
  <c r="H15" i="6"/>
  <c r="I16" i="6" l="1"/>
  <c r="F16" i="6"/>
  <c r="G16" i="6"/>
  <c r="H16" i="6"/>
  <c r="J16" i="6"/>
  <c r="B17" i="6" l="1"/>
  <c r="I17" i="6" l="1"/>
  <c r="F17" i="6"/>
  <c r="G17" i="6"/>
  <c r="H17" i="6"/>
  <c r="J17" i="6"/>
  <c r="B18" i="6"/>
  <c r="I18" i="6" l="1"/>
  <c r="F18" i="6"/>
  <c r="G18" i="6"/>
  <c r="H18" i="6"/>
  <c r="J18" i="6"/>
  <c r="B19" i="6"/>
  <c r="I19" i="6" l="1"/>
  <c r="F19" i="6"/>
  <c r="B20" i="6"/>
  <c r="J19" i="6"/>
  <c r="G19" i="6"/>
  <c r="H19" i="6"/>
  <c r="I20" i="6" l="1"/>
  <c r="F20" i="6"/>
  <c r="B21" i="6"/>
  <c r="J20" i="6"/>
  <c r="G20" i="6"/>
  <c r="H20" i="6"/>
  <c r="I21" i="6" l="1"/>
  <c r="F21" i="6"/>
  <c r="H21" i="6"/>
  <c r="G21" i="6"/>
  <c r="J21" i="6"/>
  <c r="B22" i="6"/>
  <c r="I22" i="6" l="1"/>
  <c r="F22" i="6"/>
  <c r="B23" i="6"/>
  <c r="G22" i="6"/>
  <c r="J22" i="6"/>
  <c r="H22" i="6"/>
  <c r="I23" i="6" l="1"/>
  <c r="F23" i="6"/>
  <c r="B24" i="6"/>
  <c r="J23" i="6"/>
  <c r="G23" i="6"/>
  <c r="H23" i="6"/>
  <c r="I24" i="6" l="1"/>
  <c r="F24" i="6"/>
  <c r="J24" i="6"/>
  <c r="G24" i="6"/>
  <c r="H24" i="6"/>
  <c r="B25" i="6"/>
  <c r="I25" i="6" l="1"/>
  <c r="F25" i="6"/>
  <c r="H25" i="6"/>
  <c r="J25" i="6"/>
  <c r="G25" i="6"/>
  <c r="B26" i="6"/>
  <c r="I26" i="6" l="1"/>
  <c r="F26" i="6"/>
  <c r="B27" i="6"/>
  <c r="J26" i="6"/>
  <c r="H26" i="6"/>
  <c r="G26" i="6"/>
  <c r="I27" i="6" l="1"/>
  <c r="F27" i="6"/>
  <c r="J27" i="6"/>
  <c r="G27" i="6"/>
  <c r="H27" i="6"/>
  <c r="B28" i="6"/>
  <c r="I28" i="6" l="1"/>
  <c r="F28" i="6"/>
  <c r="G28" i="6"/>
  <c r="H28" i="6"/>
  <c r="J28" i="6"/>
  <c r="B29" i="6"/>
  <c r="I29" i="6" l="1"/>
  <c r="F29" i="6"/>
  <c r="G29" i="6"/>
  <c r="H29" i="6"/>
  <c r="J29" i="6"/>
  <c r="B30" i="6"/>
  <c r="I30" i="6" l="1"/>
  <c r="F30" i="6"/>
  <c r="B31" i="6"/>
  <c r="J30" i="6"/>
  <c r="H30" i="6"/>
  <c r="G30" i="6"/>
  <c r="I31" i="6" l="1"/>
  <c r="F31" i="6"/>
  <c r="B32" i="6"/>
  <c r="J31" i="6"/>
  <c r="G31" i="6"/>
  <c r="H31" i="6"/>
  <c r="I32" i="6" l="1"/>
  <c r="F32" i="6"/>
  <c r="H32" i="6"/>
  <c r="G32" i="6"/>
  <c r="J32" i="6"/>
  <c r="B33" i="6"/>
  <c r="I33" i="6" l="1"/>
  <c r="F33" i="6"/>
  <c r="G33" i="6"/>
  <c r="H33" i="6"/>
  <c r="J33" i="6"/>
  <c r="B34" i="6"/>
  <c r="I34" i="6" l="1"/>
  <c r="F34" i="6"/>
  <c r="B35" i="6"/>
  <c r="J34" i="6"/>
  <c r="H34" i="6"/>
  <c r="G34" i="6"/>
  <c r="I35" i="6" l="1"/>
  <c r="F35" i="6"/>
  <c r="B36" i="6"/>
  <c r="J35" i="6"/>
  <c r="G35" i="6"/>
  <c r="H35" i="6"/>
  <c r="I36" i="6" l="1"/>
  <c r="F36" i="6"/>
  <c r="B37" i="6"/>
  <c r="J36" i="6"/>
  <c r="G36" i="6"/>
  <c r="H36" i="6"/>
  <c r="I37" i="6" l="1"/>
  <c r="F37" i="6"/>
  <c r="J37" i="6"/>
  <c r="H37" i="6"/>
  <c r="G37" i="6"/>
  <c r="B38" i="6"/>
  <c r="I38" i="6" l="1"/>
  <c r="F38" i="6"/>
  <c r="J38" i="6"/>
  <c r="H38" i="6"/>
  <c r="G38" i="6"/>
  <c r="B39" i="6"/>
  <c r="I39" i="6" l="1"/>
  <c r="F39" i="6"/>
  <c r="J39" i="6"/>
  <c r="G39" i="6"/>
  <c r="H39" i="6"/>
  <c r="B40" i="6"/>
  <c r="I40" i="6" l="1"/>
  <c r="F40" i="6"/>
  <c r="B41" i="6"/>
  <c r="G40" i="6"/>
  <c r="H40" i="6"/>
  <c r="J40" i="6"/>
  <c r="I41" i="6" l="1"/>
  <c r="F41" i="6"/>
  <c r="G41" i="6"/>
  <c r="H41" i="6"/>
  <c r="J41" i="6"/>
  <c r="B42" i="6"/>
  <c r="I42" i="6" l="1"/>
  <c r="F42" i="6"/>
  <c r="B43" i="6"/>
  <c r="J42" i="6"/>
  <c r="G42" i="6"/>
  <c r="H42" i="6"/>
  <c r="I43" i="6" l="1"/>
  <c r="F43" i="6"/>
  <c r="H43" i="6"/>
  <c r="G43" i="6"/>
  <c r="J43" i="6"/>
  <c r="B44" i="6"/>
  <c r="I44" i="6" l="1"/>
  <c r="F44" i="6"/>
  <c r="B45" i="6"/>
  <c r="H44" i="6"/>
  <c r="G44" i="6"/>
  <c r="J44" i="6"/>
  <c r="I45" i="6" l="1"/>
  <c r="F45" i="6"/>
  <c r="B46" i="6"/>
  <c r="J45" i="6"/>
  <c r="H45" i="6"/>
  <c r="G45" i="6"/>
  <c r="I46" i="6" l="1"/>
  <c r="F46" i="6"/>
  <c r="J46" i="6"/>
  <c r="H46" i="6"/>
  <c r="G46" i="6"/>
  <c r="B47" i="6"/>
  <c r="I47" i="6" l="1"/>
  <c r="F47" i="6"/>
  <c r="J47" i="6"/>
  <c r="H47" i="6"/>
  <c r="G47" i="6"/>
  <c r="B48" i="6"/>
  <c r="I48" i="6" l="1"/>
  <c r="F48" i="6"/>
  <c r="B49" i="6"/>
  <c r="J48" i="6"/>
  <c r="G48" i="6"/>
  <c r="H48" i="6"/>
  <c r="I49" i="6" l="1"/>
  <c r="F49" i="6"/>
  <c r="B50" i="6"/>
  <c r="G49" i="6"/>
  <c r="H49" i="6"/>
  <c r="J49" i="6"/>
  <c r="I50" i="6" l="1"/>
  <c r="F50" i="6"/>
  <c r="B51" i="6"/>
  <c r="J50" i="6"/>
  <c r="H50" i="6"/>
  <c r="G50" i="6"/>
  <c r="I51" i="6" l="1"/>
  <c r="F51" i="6"/>
  <c r="B52" i="6"/>
  <c r="H51" i="6"/>
  <c r="J51" i="6"/>
  <c r="G51" i="6"/>
  <c r="I52" i="6" l="1"/>
  <c r="F52" i="6"/>
  <c r="G52" i="6"/>
  <c r="H52" i="6"/>
  <c r="J52" i="6"/>
  <c r="B53" i="6"/>
  <c r="I53" i="6" l="1"/>
  <c r="F53" i="6"/>
  <c r="B54" i="6"/>
  <c r="G53" i="6"/>
  <c r="J53" i="6"/>
  <c r="H53" i="6"/>
  <c r="I54" i="6" l="1"/>
  <c r="F54" i="6"/>
  <c r="H54" i="6"/>
  <c r="J54" i="6"/>
  <c r="G54" i="6"/>
  <c r="B55" i="6"/>
  <c r="I55" i="6" l="1"/>
  <c r="F55" i="6"/>
  <c r="H55" i="6"/>
  <c r="G55" i="6"/>
  <c r="J55" i="6"/>
  <c r="B56" i="6"/>
  <c r="I56" i="6" l="1"/>
  <c r="F56" i="6"/>
  <c r="H56" i="6"/>
  <c r="G56" i="6"/>
  <c r="J56" i="6"/>
  <c r="B57" i="6"/>
  <c r="I57" i="6" l="1"/>
  <c r="F57" i="6"/>
  <c r="H57" i="6"/>
  <c r="J57" i="6"/>
  <c r="G57" i="6"/>
  <c r="B58" i="6"/>
  <c r="I58" i="6" l="1"/>
  <c r="F58" i="6"/>
  <c r="J58" i="6"/>
  <c r="G58" i="6"/>
  <c r="H58" i="6"/>
  <c r="B59" i="6"/>
  <c r="I59" i="6" l="1"/>
  <c r="F59" i="6"/>
  <c r="J59" i="6"/>
  <c r="H59" i="6"/>
  <c r="G59" i="6"/>
  <c r="B60" i="6"/>
  <c r="I60" i="6" l="1"/>
  <c r="F60" i="6"/>
  <c r="G60" i="6"/>
  <c r="H60" i="6"/>
  <c r="J60" i="6"/>
  <c r="B61" i="6"/>
  <c r="I61" i="6" l="1"/>
  <c r="F61" i="6"/>
  <c r="B62" i="6"/>
  <c r="J61" i="6"/>
  <c r="G61" i="6"/>
  <c r="H61" i="6"/>
  <c r="I62" i="6" l="1"/>
  <c r="F62" i="6"/>
  <c r="J62" i="6"/>
  <c r="H62" i="6"/>
  <c r="G62" i="6"/>
  <c r="B63" i="6"/>
  <c r="I63" i="6" l="1"/>
  <c r="F63" i="6"/>
  <c r="B64" i="6"/>
  <c r="J63" i="6"/>
  <c r="G63" i="6"/>
  <c r="H63" i="6"/>
  <c r="I64" i="6" l="1"/>
  <c r="F64" i="6"/>
  <c r="B65" i="6"/>
  <c r="H64" i="6"/>
  <c r="G64" i="6"/>
  <c r="J64" i="6"/>
  <c r="I65" i="6" l="1"/>
  <c r="F65" i="6"/>
  <c r="B66" i="6"/>
  <c r="J65" i="6"/>
  <c r="G65" i="6"/>
  <c r="H65" i="6"/>
  <c r="I66" i="6" l="1"/>
  <c r="F66" i="6"/>
  <c r="B67" i="6"/>
  <c r="J66" i="6"/>
  <c r="H66" i="6"/>
  <c r="G66" i="6"/>
  <c r="I67" i="6" l="1"/>
  <c r="F67" i="6"/>
  <c r="G67" i="6"/>
  <c r="H67" i="6"/>
  <c r="J67" i="6"/>
  <c r="B68" i="6"/>
  <c r="I68" i="6" l="1"/>
  <c r="F68" i="6"/>
  <c r="B69" i="6"/>
  <c r="J68" i="6"/>
  <c r="G68" i="6"/>
  <c r="H68" i="6"/>
  <c r="I69" i="6" l="1"/>
  <c r="F69" i="6"/>
  <c r="G69" i="6"/>
  <c r="H69" i="6"/>
  <c r="J69" i="6"/>
  <c r="B70" i="6"/>
  <c r="I70" i="6" l="1"/>
  <c r="F70" i="6"/>
  <c r="H70" i="6"/>
  <c r="G70" i="6"/>
  <c r="J70" i="6"/>
  <c r="B71" i="6"/>
  <c r="I71" i="6" l="1"/>
  <c r="F71" i="6"/>
  <c r="J71" i="6"/>
  <c r="H71" i="6"/>
  <c r="G71" i="6"/>
  <c r="B72" i="6"/>
  <c r="I72" i="6" l="1"/>
  <c r="F72" i="6"/>
  <c r="H72" i="6"/>
  <c r="G72" i="6"/>
  <c r="J72" i="6"/>
  <c r="B73" i="6"/>
  <c r="I73" i="6" l="1"/>
  <c r="F73" i="6"/>
  <c r="H73" i="6"/>
  <c r="G73" i="6"/>
  <c r="J73" i="6"/>
  <c r="B74" i="6"/>
  <c r="I74" i="6" l="1"/>
  <c r="F74" i="6"/>
  <c r="J74" i="6"/>
  <c r="G74" i="6"/>
  <c r="H74" i="6"/>
  <c r="B75" i="6"/>
  <c r="I75" i="6" l="1"/>
  <c r="F75" i="6"/>
  <c r="G75" i="6"/>
  <c r="H75" i="6"/>
  <c r="J75" i="6"/>
  <c r="B76" i="6"/>
  <c r="I76" i="6" l="1"/>
  <c r="F76" i="6"/>
  <c r="B77" i="6"/>
  <c r="H76" i="6"/>
  <c r="G76" i="6"/>
  <c r="J76" i="6"/>
  <c r="I77" i="6" l="1"/>
  <c r="F77" i="6"/>
  <c r="B78" i="6"/>
  <c r="J77" i="6"/>
  <c r="G77" i="6"/>
  <c r="H77" i="6"/>
  <c r="I78" i="6" l="1"/>
  <c r="F78" i="6"/>
  <c r="H78" i="6"/>
  <c r="G78" i="6"/>
  <c r="J78" i="6"/>
  <c r="B79" i="6"/>
  <c r="I79" i="6" l="1"/>
  <c r="F79" i="6"/>
  <c r="H79" i="6"/>
  <c r="J79" i="6"/>
  <c r="G79" i="6"/>
  <c r="B80" i="6"/>
  <c r="I80" i="6" l="1"/>
  <c r="F80" i="6"/>
  <c r="G80" i="6"/>
  <c r="J80" i="6"/>
  <c r="H80" i="6"/>
  <c r="B81" i="6"/>
  <c r="I81" i="6" l="1"/>
  <c r="F81" i="6"/>
  <c r="B82" i="6"/>
  <c r="H81" i="6"/>
  <c r="J81" i="6"/>
  <c r="G81" i="6"/>
  <c r="I82" i="6" l="1"/>
  <c r="F82" i="6"/>
  <c r="B83" i="6"/>
  <c r="J82" i="6"/>
  <c r="H82" i="6"/>
  <c r="G82" i="6"/>
  <c r="I83" i="6" l="1"/>
  <c r="F83" i="6"/>
  <c r="B85" i="6"/>
  <c r="B84" i="6"/>
  <c r="G83" i="6"/>
  <c r="H83" i="6"/>
  <c r="J83" i="6"/>
  <c r="I84" i="6" l="1"/>
  <c r="F84" i="6"/>
  <c r="I85" i="6"/>
  <c r="F85" i="6"/>
  <c r="G84" i="6"/>
  <c r="H84" i="6"/>
  <c r="J84" i="6"/>
  <c r="J85" i="6"/>
  <c r="G85" i="6"/>
  <c r="H8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<sst xmlns="http://schemas.openxmlformats.org/spreadsheetml/2006/main" count="2882" uniqueCount="1039">
  <si>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</si>
  <si>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</si>
  <si>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</si>
  <si>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</si>
  <si>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</si>
  <si>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</si>
  <si>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</si>
  <si>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</si>
  <si>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</si>
  <si>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</si>
  <si>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</si>
  <si>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</si>
  <si>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</si>
  <si>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</si>
  <si>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</si>
  <si>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</si>
  <si>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</si>
  <si>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</si>
  <si>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</si>
  <si>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</si>
  <si>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</si>
  <si>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</si>
  <si>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</si>
  <si>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</si>
  <si>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</si>
  <si>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</si>
  <si>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</si>
  <si>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</si>
  <si>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</si>
  <si>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</si>
  <si>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</si>
  <si>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</si>
  <si>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</si>
  <si>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</si>
  <si>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</si>
  <si>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</si>
  <si>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</si>
  <si>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</si>
  <si>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</si>
  <si>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</si>
  <si>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</si>
  <si>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</si>
  <si>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</si>
  <si>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</si>
  <si>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</si>
  <si>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</si>
  <si>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</si>
  <si>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</si>
  <si>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</si>
  <si>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</si>
  <si>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</si>
  <si>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</si>
  <si>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</si>
  <si>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</si>
  <si>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</si>
  <si>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</si>
  <si>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</si>
  <si>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</si>
  <si>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</si>
  <si>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</si>
  <si>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</si>
  <si>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</si>
  <si>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</si>
  <si>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</si>
  <si>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</si>
  <si>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</si>
  <si>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</si>
  <si>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</si>
  <si>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</si>
  <si>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</si>
  <si>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</si>
  <si>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</si>
  <si>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</si>
  <si>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</si>
  <si>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</si>
  <si>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</si>
  <si>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</si>
  <si>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</si>
  <si>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</si>
  <si>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</si>
  <si>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</si>
  <si>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</si>
  <si>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</si>
  <si>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</si>
  <si>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</si>
  <si>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</si>
  <si>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</si>
  <si>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</si>
  <si>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</si>
  <si>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</si>
  <si>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</si>
  <si>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</si>
  <si>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</si>
  <si>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</si>
  <si>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</si>
  <si>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</si>
  <si>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</si>
  <si>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</si>
  <si>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</si>
  <si>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</si>
  <si>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</si>
  <si>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</si>
  <si>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</si>
  <si>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</si>
  <si>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</si>
  <si>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</si>
  <si>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</si>
  <si>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</si>
  <si>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</si>
  <si>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</si>
  <si>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</si>
  <si>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</si>
  <si>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</si>
  <si>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</si>
  <si>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</si>
  <si>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</si>
  <si>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</si>
  <si>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</si>
  <si>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</si>
  <si>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</si>
  <si>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</si>
  <si>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</si>
  <si>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</si>
  <si>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</si>
  <si>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</si>
  <si>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</si>
  <si>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</si>
  <si>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</si>
  <si>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</si>
  <si>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</si>
  <si>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</si>
  <si>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</si>
  <si>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</si>
  <si>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</si>
  <si>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</si>
  <si>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</si>
  <si>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</si>
  <si>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</si>
  <si>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</si>
  <si>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</si>
  <si>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</si>
  <si>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</si>
  <si>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</si>
  <si>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</si>
  <si>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</si>
  <si>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</si>
  <si>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</si>
  <si>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</si>
  <si>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</si>
  <si>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</si>
  <si>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</si>
  <si>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</si>
  <si>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</si>
  <si>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</si>
  <si>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</si>
  <si>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</si>
  <si>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</si>
  <si>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</si>
  <si>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</si>
  <si>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</si>
  <si>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</si>
  <si>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</si>
  <si>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</si>
  <si>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</si>
  <si>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</si>
  <si>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</si>
  <si>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</si>
  <si>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</si>
  <si>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</si>
  <si>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</si>
  <si>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</si>
  <si>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</si>
  <si>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</si>
  <si>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</si>
  <si>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</si>
  <si>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</si>
  <si>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</si>
  <si>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</si>
  <si>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</si>
  <si>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</si>
  <si>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</si>
  <si>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</si>
  <si>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</si>
  <si>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</si>
  <si>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</si>
  <si>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</si>
  <si>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</si>
  <si>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</si>
  <si>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</si>
  <si>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</si>
  <si>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</si>
  <si>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</si>
  <si>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</si>
  <si>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</si>
  <si>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</si>
  <si>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</si>
  <si>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</si>
  <si>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</si>
  <si>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</si>
  <si>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</si>
  <si>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</si>
  <si>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</si>
  <si>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</si>
  <si>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</si>
  <si>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204:451</t>
  </si>
  <si>
    <t>204:457</t>
  </si>
  <si>
    <t>204:460</t>
  </si>
  <si>
    <t>BROWN</t>
  </si>
  <si>
    <t>JACOB</t>
  </si>
  <si>
    <t>204:453</t>
  </si>
  <si>
    <t>204:455</t>
  </si>
  <si>
    <t>204:147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</si>
  <si>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</si>
  <si>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</si>
  <si>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</si>
  <si>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</si>
  <si>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</si>
  <si>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</si>
  <si>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</si>
  <si>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</si>
  <si>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</si>
  <si>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</si>
  <si>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</si>
  <si>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</si>
  <si>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</si>
  <si>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</si>
  <si>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</si>
  <si>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</si>
  <si>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</si>
  <si>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</si>
  <si>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</si>
  <si>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</si>
  <si>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</si>
  <si>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</si>
  <si>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</si>
  <si>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</si>
  <si>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</si>
  <si>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</si>
  <si>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</si>
  <si>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</si>
  <si>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</si>
  <si>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</si>
  <si>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</si>
  <si>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</si>
  <si>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</si>
  <si>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</si>
  <si>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</si>
  <si>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</si>
  <si>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</si>
  <si>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</si>
  <si>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</si>
  <si>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</si>
  <si>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</si>
  <si>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</si>
  <si>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</si>
  <si>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</si>
  <si>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</si>
  <si>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</si>
  <si>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</si>
  <si>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</si>
  <si>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</si>
  <si>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</si>
  <si>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</si>
  <si>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</si>
  <si>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</si>
  <si>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</si>
  <si>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</si>
  <si>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</si>
  <si>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</si>
  <si>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</si>
  <si>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</si>
  <si>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</si>
  <si>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</si>
  <si>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</si>
  <si>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</si>
  <si>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</si>
  <si>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</si>
  <si>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</si>
  <si>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</si>
  <si>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</si>
  <si>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</si>
  <si>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</si>
  <si>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</si>
  <si>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</si>
  <si>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</si>
  <si>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</si>
  <si>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</si>
  <si>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</si>
  <si>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</si>
  <si>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</si>
  <si>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</si>
  <si>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</si>
  <si>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</si>
  <si>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</si>
  <si>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</si>
  <si>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</si>
  <si>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</si>
  <si>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</si>
  <si>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</si>
  <si>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</si>
  <si>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</si>
  <si>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</si>
  <si>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</si>
  <si>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</si>
  <si>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</si>
  <si>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</si>
  <si>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</si>
  <si>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</si>
  <si>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</si>
  <si>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</si>
  <si>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</si>
  <si>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</si>
  <si>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</si>
  <si>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</si>
  <si>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</si>
  <si>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</si>
  <si>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</si>
  <si>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</si>
  <si>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</si>
  <si>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</si>
  <si>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</si>
  <si>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</si>
  <si>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</si>
  <si>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</si>
  <si>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</si>
  <si>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</si>
  <si>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</si>
  <si>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</si>
  <si>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</si>
  <si>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</si>
  <si>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</si>
  <si>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</si>
  <si>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</si>
  <si>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</si>
  <si>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</si>
  <si>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</si>
  <si>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</si>
  <si>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</si>
  <si>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</si>
  <si>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</si>
  <si>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</si>
  <si>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</si>
  <si>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</si>
  <si>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</si>
  <si>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</si>
  <si>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</si>
  <si>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</si>
  <si>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</si>
  <si>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</si>
  <si>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</si>
  <si>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</si>
  <si>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</si>
  <si>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</si>
  <si>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</si>
  <si>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</si>
  <si>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</si>
  <si>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</si>
  <si>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</si>
  <si>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</si>
  <si>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</si>
  <si>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</si>
  <si>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</si>
  <si>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</si>
  <si>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</si>
  <si>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</si>
  <si>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</si>
  <si>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</si>
  <si>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</si>
  <si>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</si>
  <si>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</si>
  <si>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</si>
  <si>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</si>
  <si>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</si>
  <si>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</si>
  <si>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</si>
  <si>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rtdc.l.rtdc.4031:itc</t>
  </si>
  <si>
    <t>rtdc.l.rtdc.4046:itc</t>
  </si>
  <si>
    <t>rtdc.l.rtdc.4021:itc</t>
  </si>
  <si>
    <t>rtdc.l.rtdc.4022:itc</t>
  </si>
  <si>
    <t>SMITH</t>
  </si>
  <si>
    <t>rtdc.l.rtdc.4044:itc</t>
  </si>
  <si>
    <t>rtdc.l.rtdc.4043:itc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</si>
  <si>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</si>
  <si>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</si>
  <si>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</si>
  <si>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</si>
  <si>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</si>
  <si>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</si>
  <si>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</si>
  <si>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</si>
  <si>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</si>
  <si>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</si>
  <si>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</si>
  <si>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</si>
  <si>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</si>
  <si>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STORY</t>
  </si>
  <si>
    <t>SAMANTHA</t>
  </si>
  <si>
    <t>204:232977</t>
  </si>
  <si>
    <t>rtdc.l.rtdc.4014:itc</t>
  </si>
  <si>
    <t>rtdc.l.rtdc.4013:itc</t>
  </si>
  <si>
    <t>204:233295</t>
  </si>
  <si>
    <t>204:138</t>
  </si>
  <si>
    <t>204:141</t>
  </si>
  <si>
    <t>WCR Redmine cURL</t>
  </si>
  <si>
    <t>27f4683f8c668ceb395ce0223286e38dfe180cf8</t>
  </si>
  <si>
    <t>https://ptcsupport.wabtec.com/issues.json</t>
  </si>
  <si>
    <t>rtdc.l.rtdc.4010:itc</t>
  </si>
  <si>
    <t>204:233304</t>
  </si>
  <si>
    <t>204:462</t>
  </si>
  <si>
    <t>204:232993</t>
  </si>
  <si>
    <t>204:232989</t>
  </si>
  <si>
    <t>YORK</t>
  </si>
  <si>
    <t>EDGAR</t>
  </si>
  <si>
    <t>204:446</t>
  </si>
  <si>
    <t>rtdc.l.rtdc.4009:itc</t>
  </si>
  <si>
    <t>rtdc.l.rtdc.4045:itc</t>
  </si>
  <si>
    <t>204:471</t>
  </si>
  <si>
    <t>204:233297</t>
  </si>
  <si>
    <t>204:145</t>
  </si>
  <si>
    <t>204:160</t>
  </si>
  <si>
    <t>DUNCAN</t>
  </si>
  <si>
    <t>SHEILA</t>
  </si>
  <si>
    <t>204:458</t>
  </si>
  <si>
    <t>204:232985</t>
  </si>
  <si>
    <t>rtdc.l.rtdc.4041:itc</t>
  </si>
  <si>
    <t>rtdc.l.rtdc.4004:itc</t>
  </si>
  <si>
    <t>rtdc.l.rtdc.4003:itc</t>
  </si>
  <si>
    <t>rtdc.l.rtdc.4042:itc</t>
  </si>
  <si>
    <t>GUZMAN</t>
  </si>
  <si>
    <t>DANNY</t>
  </si>
  <si>
    <t>204:165</t>
  </si>
  <si>
    <t>Early arrival</t>
  </si>
  <si>
    <t>rtdc.l.rtdc.4053:itc</t>
  </si>
  <si>
    <t>rtdc.l.rtdc.4019:itc</t>
  </si>
  <si>
    <t>239-04</t>
  </si>
  <si>
    <t>81-04</t>
  </si>
  <si>
    <t>rtdc.l.rtdc.4020:itc</t>
  </si>
  <si>
    <t>82-04</t>
  </si>
  <si>
    <t>233-04</t>
  </si>
  <si>
    <t>847-04</t>
  </si>
  <si>
    <t>235-04</t>
  </si>
  <si>
    <t>232-04</t>
  </si>
  <si>
    <t>908-04</t>
  </si>
  <si>
    <t>234-04</t>
  </si>
  <si>
    <t>237-04</t>
  </si>
  <si>
    <t>236-04</t>
  </si>
  <si>
    <t>241-04</t>
  </si>
  <si>
    <t>238-04</t>
  </si>
  <si>
    <t>243-04</t>
  </si>
  <si>
    <t>240-04</t>
  </si>
  <si>
    <t>315-04</t>
  </si>
  <si>
    <t>242-04</t>
  </si>
  <si>
    <t>244-04</t>
  </si>
  <si>
    <t>309-04</t>
  </si>
  <si>
    <t>311-04</t>
  </si>
  <si>
    <t>313-04</t>
  </si>
  <si>
    <t>204:233312</t>
  </si>
  <si>
    <t>204:233300</t>
  </si>
  <si>
    <t>YANAI</t>
  </si>
  <si>
    <t>IAN</t>
  </si>
  <si>
    <t>JOHN</t>
  </si>
  <si>
    <t>SULLIVAN</t>
  </si>
  <si>
    <t>BRANDON</t>
  </si>
  <si>
    <t>WHITED</t>
  </si>
  <si>
    <t>DUSTIN</t>
  </si>
  <si>
    <t>clear-day</t>
  </si>
  <si>
    <t>Clear</t>
  </si>
  <si>
    <t>clear-night</t>
  </si>
  <si>
    <t>204:469</t>
  </si>
  <si>
    <t>204:232978</t>
  </si>
  <si>
    <t>204:233289</t>
  </si>
  <si>
    <t>204:233306</t>
  </si>
  <si>
    <t>204:233317</t>
  </si>
  <si>
    <t>204:232980</t>
  </si>
  <si>
    <t>204:467</t>
  </si>
  <si>
    <t>204:136</t>
  </si>
  <si>
    <t>204:233291</t>
  </si>
  <si>
    <t>204:233002</t>
  </si>
  <si>
    <t>204:464</t>
  </si>
  <si>
    <t>rtdc.l.rtdc.4054:itc</t>
  </si>
  <si>
    <t>239-06</t>
  </si>
  <si>
    <t>241-06</t>
  </si>
  <si>
    <t>238-06</t>
  </si>
  <si>
    <t>243-06</t>
  </si>
  <si>
    <t>240-06</t>
  </si>
  <si>
    <t>315-06</t>
  </si>
  <si>
    <t>242-06</t>
  </si>
  <si>
    <t>309-06</t>
  </si>
  <si>
    <t>244-06</t>
  </si>
  <si>
    <t>311-06</t>
  </si>
  <si>
    <t>313-06</t>
  </si>
  <si>
    <t>204:233293</t>
  </si>
  <si>
    <t>204:232973</t>
  </si>
  <si>
    <t>300:58933</t>
  </si>
  <si>
    <t>SANTIZO</t>
  </si>
  <si>
    <t>D. EDY</t>
  </si>
  <si>
    <t>LEVIN</t>
  </si>
  <si>
    <t>SCOTT</t>
  </si>
  <si>
    <t>LALONDE</t>
  </si>
  <si>
    <t>GREGORY</t>
  </si>
  <si>
    <t>rtdc.l.rtdc.4039:itc</t>
  </si>
  <si>
    <t>SAFIEF</t>
  </si>
  <si>
    <t>AEIMEN</t>
  </si>
  <si>
    <t>rtdc.l.rtdc.4040:itc</t>
  </si>
  <si>
    <t>204:150</t>
  </si>
  <si>
    <t>204:233004</t>
  </si>
  <si>
    <t>204:233280</t>
  </si>
  <si>
    <t>204:232972</t>
  </si>
  <si>
    <t>204:233362</t>
  </si>
  <si>
    <t>204:233325</t>
  </si>
  <si>
    <t>300:58935</t>
  </si>
  <si>
    <t>204:741</t>
  </si>
  <si>
    <t>300:58943</t>
  </si>
  <si>
    <t>204:233000</t>
  </si>
  <si>
    <t>204:447</t>
  </si>
  <si>
    <t>204:170</t>
  </si>
  <si>
    <t>204:473</t>
  </si>
  <si>
    <t>204:232974</t>
  </si>
  <si>
    <t>204:233314</t>
  </si>
  <si>
    <t>rtdc.l.rtdc.4006:itc</t>
  </si>
  <si>
    <t>rtdc.l.rtdc.4018:itc</t>
  </si>
  <si>
    <t>STARKS</t>
  </si>
  <si>
    <t>ANGELINA</t>
  </si>
  <si>
    <t>WILLIAMS</t>
  </si>
  <si>
    <t>DONTE</t>
  </si>
  <si>
    <t>LOCKLEAR</t>
  </si>
  <si>
    <t>TRAVIS</t>
  </si>
  <si>
    <t>MENGES</t>
  </si>
  <si>
    <t>BRAD</t>
  </si>
  <si>
    <t>FORTUNATO</t>
  </si>
  <si>
    <t>FRANK</t>
  </si>
  <si>
    <t>244-10</t>
  </si>
  <si>
    <t>311-10</t>
  </si>
  <si>
    <t>313-10</t>
  </si>
  <si>
    <t>partly-cloudy-night</t>
  </si>
  <si>
    <t>204:233303</t>
  </si>
  <si>
    <t>204:233338</t>
  </si>
  <si>
    <t>204:167</t>
  </si>
  <si>
    <t>204:149</t>
  </si>
  <si>
    <t>204:232998</t>
  </si>
  <si>
    <t>204:143</t>
  </si>
  <si>
    <t>204:444</t>
  </si>
  <si>
    <t>204:233299</t>
  </si>
  <si>
    <t>204:232996</t>
  </si>
  <si>
    <t>204:480</t>
  </si>
  <si>
    <t>204:475</t>
  </si>
  <si>
    <t>204:233323</t>
  </si>
  <si>
    <t>300:23308</t>
  </si>
  <si>
    <t>204:433</t>
  </si>
  <si>
    <t>204:967</t>
  </si>
  <si>
    <t>204:974</t>
  </si>
  <si>
    <t>204:696</t>
  </si>
  <si>
    <t>300:58611</t>
  </si>
  <si>
    <t>300:58924</t>
  </si>
  <si>
    <t>s</t>
  </si>
  <si>
    <t>rtdc.l.rtdc.4011:itc</t>
  </si>
  <si>
    <t>rtdc.l.rtdc.4032:itc</t>
  </si>
  <si>
    <t>MAELZER</t>
  </si>
  <si>
    <t>KURT</t>
  </si>
  <si>
    <t>COOLAHAN</t>
  </si>
  <si>
    <t>STRICKLAND</t>
  </si>
  <si>
    <t>EVAN</t>
  </si>
  <si>
    <t>rtdc.l.rtdc.4024:itc</t>
  </si>
  <si>
    <t>243-11</t>
  </si>
  <si>
    <t>242-11</t>
  </si>
  <si>
    <t>315-11</t>
  </si>
  <si>
    <t>309-11</t>
  </si>
  <si>
    <t>244-11</t>
  </si>
  <si>
    <t>311-11</t>
  </si>
  <si>
    <t>204:757</t>
  </si>
  <si>
    <t>204:232975</t>
  </si>
  <si>
    <t>204:19137</t>
  </si>
  <si>
    <t>204:130</t>
  </si>
  <si>
    <t>204:442</t>
  </si>
  <si>
    <t>204:233301</t>
  </si>
  <si>
    <t>204:233332</t>
  </si>
  <si>
    <t>204:435</t>
  </si>
  <si>
    <t>204:440</t>
  </si>
  <si>
    <t>204:233015</t>
  </si>
  <si>
    <t>204:233310</t>
  </si>
  <si>
    <t>204:233008</t>
  </si>
  <si>
    <t>204:233013</t>
  </si>
  <si>
    <t>204:233341</t>
  </si>
  <si>
    <t>204:233011</t>
  </si>
  <si>
    <t>204:232986</t>
  </si>
  <si>
    <t>204:233032</t>
  </si>
  <si>
    <t>204:233391</t>
  </si>
  <si>
    <t>204:233342</t>
  </si>
  <si>
    <t>204:232961</t>
  </si>
  <si>
    <t>204:174</t>
  </si>
  <si>
    <t>204:233287</t>
  </si>
  <si>
    <t>204:233042</t>
  </si>
  <si>
    <t>204:233329</t>
  </si>
  <si>
    <t>204:232994</t>
  </si>
  <si>
    <t>204:233027</t>
  </si>
  <si>
    <t>300:23346</t>
  </si>
  <si>
    <t>204:1018</t>
  </si>
  <si>
    <t>204:752</t>
  </si>
  <si>
    <t>204:1006</t>
  </si>
  <si>
    <t>300:58675</t>
  </si>
  <si>
    <t>204:1027</t>
  </si>
  <si>
    <t>300:58670</t>
  </si>
  <si>
    <t>300:58621</t>
  </si>
  <si>
    <t>204:1009</t>
  </si>
  <si>
    <t>300:58952</t>
  </si>
  <si>
    <t>300:58634</t>
  </si>
  <si>
    <t>300:58630</t>
  </si>
  <si>
    <t>204:936</t>
  </si>
  <si>
    <t>300:58660</t>
  </si>
  <si>
    <t>300:58950</t>
  </si>
  <si>
    <t>204:694</t>
  </si>
  <si>
    <t>300:58941</t>
  </si>
  <si>
    <t>300:58624</t>
  </si>
  <si>
    <t>204:678</t>
  </si>
  <si>
    <t>300:58944</t>
  </si>
  <si>
    <t>300:58615</t>
  </si>
  <si>
    <t>start /low /b %USERPROFILE%\Documents\GitHub\eaglep3\Utilities\DownloadLogsFromS3.py --loco 4011 --day 2017-04-12</t>
  </si>
  <si>
    <t>113-12</t>
  </si>
  <si>
    <t>106-12</t>
  </si>
  <si>
    <t>115-12</t>
  </si>
  <si>
    <t>129-12</t>
  </si>
  <si>
    <t>rtdc.l.rtdc.4015:itc</t>
  </si>
  <si>
    <t>808-12</t>
  </si>
  <si>
    <t>128-12</t>
  </si>
  <si>
    <t>140-12</t>
  </si>
  <si>
    <t>rtdc.l.rtdc.4016:itc</t>
  </si>
  <si>
    <t>815-12</t>
  </si>
  <si>
    <t>155-12</t>
  </si>
  <si>
    <t>816-12</t>
  </si>
  <si>
    <t>152-12</t>
  </si>
  <si>
    <t>158-12</t>
  </si>
  <si>
    <t>rtdc.l.rtdc.4007:itc</t>
  </si>
  <si>
    <t>56-12</t>
  </si>
  <si>
    <t>819-12</t>
  </si>
  <si>
    <t>169-12</t>
  </si>
  <si>
    <t>166-12</t>
  </si>
  <si>
    <t>171-12</t>
  </si>
  <si>
    <t>173-12</t>
  </si>
  <si>
    <t>821-12</t>
  </si>
  <si>
    <t>189-12</t>
  </si>
  <si>
    <t>182-12</t>
  </si>
  <si>
    <t>184-12</t>
  </si>
  <si>
    <t>186-12</t>
  </si>
  <si>
    <t>197-12</t>
  </si>
  <si>
    <t>199-12</t>
  </si>
  <si>
    <t>194-12</t>
  </si>
  <si>
    <t>198-12</t>
  </si>
  <si>
    <t>205-12</t>
  </si>
  <si>
    <t>196-12</t>
  </si>
  <si>
    <t>211-12</t>
  </si>
  <si>
    <t>217-12</t>
  </si>
  <si>
    <t>51-12</t>
  </si>
  <si>
    <t>302-12</t>
  </si>
  <si>
    <t>BADERTSCHER</t>
  </si>
  <si>
    <t>DIANE</t>
  </si>
  <si>
    <t>52-12</t>
  </si>
  <si>
    <t>YOUNG</t>
  </si>
  <si>
    <t>ELIZABETH</t>
  </si>
  <si>
    <t>101-12</t>
  </si>
  <si>
    <t>50-12</t>
  </si>
  <si>
    <t>304-12</t>
  </si>
  <si>
    <t>103-12</t>
  </si>
  <si>
    <t>306-12</t>
  </si>
  <si>
    <t>GEBRETEKLE</t>
  </si>
  <si>
    <t>DAGNEW</t>
  </si>
  <si>
    <t>102-12</t>
  </si>
  <si>
    <t>308-12</t>
  </si>
  <si>
    <t>BONDS</t>
  </si>
  <si>
    <t>REYNALDO</t>
  </si>
  <si>
    <t>105-12</t>
  </si>
  <si>
    <t>310-12</t>
  </si>
  <si>
    <t>107-12</t>
  </si>
  <si>
    <t>104-12</t>
  </si>
  <si>
    <t>109-12</t>
  </si>
  <si>
    <t>901-12</t>
  </si>
  <si>
    <t>800-12</t>
  </si>
  <si>
    <t>111-12</t>
  </si>
  <si>
    <t>DEGNEY-12</t>
  </si>
  <si>
    <t>ROCHA</t>
  </si>
  <si>
    <t>YAOTL</t>
  </si>
  <si>
    <t>108-12</t>
  </si>
  <si>
    <t>110-12</t>
  </si>
  <si>
    <t>801-12</t>
  </si>
  <si>
    <t>117-12</t>
  </si>
  <si>
    <t>119-12</t>
  </si>
  <si>
    <t>112-12</t>
  </si>
  <si>
    <t>902-12</t>
  </si>
  <si>
    <t>LOZA</t>
  </si>
  <si>
    <t>FIDEL</t>
  </si>
  <si>
    <t>114-12</t>
  </si>
  <si>
    <t>802-12</t>
  </si>
  <si>
    <t>121-12</t>
  </si>
  <si>
    <t>803-12</t>
  </si>
  <si>
    <t>116-12</t>
  </si>
  <si>
    <t>123-12</t>
  </si>
  <si>
    <t>805-12</t>
  </si>
  <si>
    <t>118-12</t>
  </si>
  <si>
    <t>804-12</t>
  </si>
  <si>
    <t>125-12</t>
  </si>
  <si>
    <t>120-12</t>
  </si>
  <si>
    <t>127-12</t>
  </si>
  <si>
    <t>122-12</t>
  </si>
  <si>
    <t>806-12</t>
  </si>
  <si>
    <t>124-12</t>
  </si>
  <si>
    <t>807-12</t>
  </si>
  <si>
    <t>131-12</t>
  </si>
  <si>
    <t>133-12</t>
  </si>
  <si>
    <t>126-12</t>
  </si>
  <si>
    <t>809-12</t>
  </si>
  <si>
    <t>135-12</t>
  </si>
  <si>
    <t>130-12</t>
  </si>
  <si>
    <t>810-12</t>
  </si>
  <si>
    <t>137-12</t>
  </si>
  <si>
    <t>811-12</t>
  </si>
  <si>
    <t>132-12</t>
  </si>
  <si>
    <t>139-12</t>
  </si>
  <si>
    <t>903-12</t>
  </si>
  <si>
    <t>134-12</t>
  </si>
  <si>
    <t>812-12</t>
  </si>
  <si>
    <t>141-12</t>
  </si>
  <si>
    <t>136-12</t>
  </si>
  <si>
    <t>138-12</t>
  </si>
  <si>
    <t>143-12</t>
  </si>
  <si>
    <t>145-12</t>
  </si>
  <si>
    <t>813-12</t>
  </si>
  <si>
    <t>147-12</t>
  </si>
  <si>
    <t>142-12</t>
  </si>
  <si>
    <t>814-12</t>
  </si>
  <si>
    <t>149-12</t>
  </si>
  <si>
    <t>151-12</t>
  </si>
  <si>
    <t>144-12</t>
  </si>
  <si>
    <t>146-12</t>
  </si>
  <si>
    <t>153-12</t>
  </si>
  <si>
    <t>148-12</t>
  </si>
  <si>
    <t>54-12</t>
  </si>
  <si>
    <t>DE LA ROSA</t>
  </si>
  <si>
    <t>ALEX</t>
  </si>
  <si>
    <t>150-12</t>
  </si>
  <si>
    <t>157-12</t>
  </si>
  <si>
    <t>159-12</t>
  </si>
  <si>
    <t>DELGADO</t>
  </si>
  <si>
    <t>DIANAH</t>
  </si>
  <si>
    <t>154-12</t>
  </si>
  <si>
    <t>817-12</t>
  </si>
  <si>
    <t>rtdc.l.rtdc.4008:itc</t>
  </si>
  <si>
    <t>55-12</t>
  </si>
  <si>
    <t>156-12</t>
  </si>
  <si>
    <t>161-12</t>
  </si>
  <si>
    <t>ARVIDSON</t>
  </si>
  <si>
    <t>DANIEL</t>
  </si>
  <si>
    <t>163-12</t>
  </si>
  <si>
    <t>818-12</t>
  </si>
  <si>
    <t>165-12</t>
  </si>
  <si>
    <t>160-12</t>
  </si>
  <si>
    <t>167-12</t>
  </si>
  <si>
    <t>162-12</t>
  </si>
  <si>
    <t>164-12</t>
  </si>
  <si>
    <t>59-12</t>
  </si>
  <si>
    <t>820-12</t>
  </si>
  <si>
    <t>168-12</t>
  </si>
  <si>
    <t>175-12</t>
  </si>
  <si>
    <t>170-12</t>
  </si>
  <si>
    <t>177-12</t>
  </si>
  <si>
    <t>172-12</t>
  </si>
  <si>
    <t>179-12</t>
  </si>
  <si>
    <t>174-12</t>
  </si>
  <si>
    <t>822-12</t>
  </si>
  <si>
    <t>181-12</t>
  </si>
  <si>
    <t>176-12</t>
  </si>
  <si>
    <t>183-12</t>
  </si>
  <si>
    <t>178-12</t>
  </si>
  <si>
    <t>185-12</t>
  </si>
  <si>
    <t>823-12</t>
  </si>
  <si>
    <t>180-12</t>
  </si>
  <si>
    <t>187-12</t>
  </si>
  <si>
    <t>824-12</t>
  </si>
  <si>
    <t>191-12</t>
  </si>
  <si>
    <t>193-12</t>
  </si>
  <si>
    <t>825-12</t>
  </si>
  <si>
    <t>188-12</t>
  </si>
  <si>
    <t>195-12</t>
  </si>
  <si>
    <t>904-12</t>
  </si>
  <si>
    <t>190-12</t>
  </si>
  <si>
    <t>826-12</t>
  </si>
  <si>
    <t>192-12</t>
  </si>
  <si>
    <t>827-12</t>
  </si>
  <si>
    <t>828-12</t>
  </si>
  <si>
    <t>201-12</t>
  </si>
  <si>
    <t>829-12</t>
  </si>
  <si>
    <t>203-12</t>
  </si>
  <si>
    <t>830-12</t>
  </si>
  <si>
    <t>200-12</t>
  </si>
  <si>
    <t>831-12</t>
  </si>
  <si>
    <t>207-12</t>
  </si>
  <si>
    <t>202-12</t>
  </si>
  <si>
    <t>209-12</t>
  </si>
  <si>
    <t>832-12</t>
  </si>
  <si>
    <t>833-12</t>
  </si>
  <si>
    <t>69-12</t>
  </si>
  <si>
    <t>LOPES</t>
  </si>
  <si>
    <t>KIMBERLY</t>
  </si>
  <si>
    <t>204-12</t>
  </si>
  <si>
    <t>206-12</t>
  </si>
  <si>
    <t>834-12</t>
  </si>
  <si>
    <t>213-12</t>
  </si>
  <si>
    <t>72-12</t>
  </si>
  <si>
    <t>70-12</t>
  </si>
  <si>
    <t>MCREYNOLDS</t>
  </si>
  <si>
    <t>KYLE</t>
  </si>
  <si>
    <t>835-12</t>
  </si>
  <si>
    <t>JACKSON</t>
  </si>
  <si>
    <t>WILLIAM</t>
  </si>
  <si>
    <t>208-12</t>
  </si>
  <si>
    <t>215-12</t>
  </si>
  <si>
    <t>210-12</t>
  </si>
  <si>
    <t>836-12</t>
  </si>
  <si>
    <t>837-12</t>
  </si>
  <si>
    <t>73-12</t>
  </si>
  <si>
    <t>212-12</t>
  </si>
  <si>
    <t>219-12</t>
  </si>
  <si>
    <t>NELSON</t>
  </si>
  <si>
    <t>ARIANE</t>
  </si>
  <si>
    <t>214-12</t>
  </si>
  <si>
    <t>838-12</t>
  </si>
  <si>
    <t>303-12</t>
  </si>
  <si>
    <t>216-12</t>
  </si>
  <si>
    <t>839-12</t>
  </si>
  <si>
    <t>221-12</t>
  </si>
  <si>
    <t>218-12</t>
  </si>
  <si>
    <t>841-12</t>
  </si>
  <si>
    <t>305-12</t>
  </si>
  <si>
    <t>906-12</t>
  </si>
  <si>
    <t>220-12</t>
  </si>
  <si>
    <t>223-12</t>
  </si>
  <si>
    <t>840-12</t>
  </si>
  <si>
    <t>307-12</t>
  </si>
  <si>
    <t>222-12</t>
  </si>
  <si>
    <t>225-12</t>
  </si>
  <si>
    <t>224-12</t>
  </si>
  <si>
    <t>843-12</t>
  </si>
  <si>
    <t>227-12</t>
  </si>
  <si>
    <t>842-12</t>
  </si>
  <si>
    <t>229-12</t>
  </si>
  <si>
    <t>226-12</t>
  </si>
  <si>
    <t>231-12</t>
  </si>
  <si>
    <t>845-12</t>
  </si>
  <si>
    <t>228-12</t>
  </si>
  <si>
    <t>844-12</t>
  </si>
  <si>
    <t>230-12</t>
  </si>
  <si>
    <t>233-12</t>
  </si>
  <si>
    <t>232-12</t>
  </si>
  <si>
    <t>847-12</t>
  </si>
  <si>
    <t>235-12</t>
  </si>
  <si>
    <t>908-12</t>
  </si>
  <si>
    <t>234-12</t>
  </si>
  <si>
    <t>237-12</t>
  </si>
  <si>
    <t>239-12</t>
  </si>
  <si>
    <t>236-12</t>
  </si>
  <si>
    <t>238-12</t>
  </si>
  <si>
    <t>241-12</t>
  </si>
  <si>
    <t>240-12</t>
  </si>
  <si>
    <t>243-12</t>
  </si>
  <si>
    <t>315-12</t>
  </si>
  <si>
    <t>242-12</t>
  </si>
  <si>
    <t>309-12</t>
  </si>
  <si>
    <t>244-12</t>
  </si>
  <si>
    <t>204:748</t>
  </si>
  <si>
    <t>204:232654</t>
  </si>
  <si>
    <t>204:232689</t>
  </si>
  <si>
    <t>204:763</t>
  </si>
  <si>
    <t>204:233328</t>
  </si>
  <si>
    <t>204:232664</t>
  </si>
  <si>
    <t>204:1150</t>
  </si>
  <si>
    <t>204:233319</t>
  </si>
  <si>
    <t>204:427</t>
  </si>
  <si>
    <t>204:36182</t>
  </si>
  <si>
    <t>204:770</t>
  </si>
  <si>
    <t>204:232969</t>
  </si>
  <si>
    <t>204:438</t>
  </si>
  <si>
    <t>204:233268</t>
  </si>
  <si>
    <t>204:232981</t>
  </si>
  <si>
    <t>204:233347</t>
  </si>
  <si>
    <t>204:258</t>
  </si>
  <si>
    <t>204:139</t>
  </si>
  <si>
    <t>204:233305</t>
  </si>
  <si>
    <t>204:232982</t>
  </si>
  <si>
    <t>204:161</t>
  </si>
  <si>
    <t>204:233298</t>
  </si>
  <si>
    <t>204:571</t>
  </si>
  <si>
    <t>204:233309</t>
  </si>
  <si>
    <t>204:233330</t>
  </si>
  <si>
    <t>204:232988</t>
  </si>
  <si>
    <t>204:232967</t>
  </si>
  <si>
    <t>204:233393</t>
  </si>
  <si>
    <t>204:233081</t>
  </si>
  <si>
    <t>204:233383</t>
  </si>
  <si>
    <t>204:233063</t>
  </si>
  <si>
    <t>204:185</t>
  </si>
  <si>
    <t>204:233307</t>
  </si>
  <si>
    <t>204:233036</t>
  </si>
  <si>
    <t>204:233038</t>
  </si>
  <si>
    <t>204:125</t>
  </si>
  <si>
    <t>204:233017</t>
  </si>
  <si>
    <t>204:233049</t>
  </si>
  <si>
    <t>204:495</t>
  </si>
  <si>
    <t>204:233378</t>
  </si>
  <si>
    <t>204:233076</t>
  </si>
  <si>
    <t>204:233288</t>
  </si>
  <si>
    <t>204:232983</t>
  </si>
  <si>
    <t>204:172</t>
  </si>
  <si>
    <t>204:424</t>
  </si>
  <si>
    <t>204:233079</t>
  </si>
  <si>
    <t>204:123</t>
  </si>
  <si>
    <t>204:233447</t>
  </si>
  <si>
    <t>204:233053</t>
  </si>
  <si>
    <t>204:134</t>
  </si>
  <si>
    <t>204:233339</t>
  </si>
  <si>
    <t>204:233346</t>
  </si>
  <si>
    <t>204:233043</t>
  </si>
  <si>
    <t>204:220</t>
  </si>
  <si>
    <t>204:233376</t>
  </si>
  <si>
    <t>204:233340</t>
  </si>
  <si>
    <t>204:233010</t>
  </si>
  <si>
    <t>204:233387</t>
  </si>
  <si>
    <t>204:233082</t>
  </si>
  <si>
    <t>204:232971</t>
  </si>
  <si>
    <t>204:549</t>
  </si>
  <si>
    <t>204:233344</t>
  </si>
  <si>
    <t>204:233326</t>
  </si>
  <si>
    <t>204:233005</t>
  </si>
  <si>
    <t>204:233045</t>
  </si>
  <si>
    <t>204:415</t>
  </si>
  <si>
    <t>204:233072</t>
  </si>
  <si>
    <t>204:163</t>
  </si>
  <si>
    <t>204:233321</t>
  </si>
  <si>
    <t>204:233285</t>
  </si>
  <si>
    <t>204:232970</t>
  </si>
  <si>
    <t>204:232987</t>
  </si>
  <si>
    <t>204:280</t>
  </si>
  <si>
    <t>204:233255</t>
  </si>
  <si>
    <t>204:232945</t>
  </si>
  <si>
    <t>300:22908</t>
  </si>
  <si>
    <t>300:22650</t>
  </si>
  <si>
    <t>204:484</t>
  </si>
  <si>
    <t>300:23149</t>
  </si>
  <si>
    <t>300:23523</t>
  </si>
  <si>
    <t>204:129</t>
  </si>
  <si>
    <t>300:23447</t>
  </si>
  <si>
    <t>204:586</t>
  </si>
  <si>
    <t>300:19643</t>
  </si>
  <si>
    <t>204:106585</t>
  </si>
  <si>
    <t>204:935</t>
  </si>
  <si>
    <t>204:1135</t>
  </si>
  <si>
    <t>204:106911</t>
  </si>
  <si>
    <t>300:23324</t>
  </si>
  <si>
    <t>204:871</t>
  </si>
  <si>
    <t>204:1188</t>
  </si>
  <si>
    <t>300:24227</t>
  </si>
  <si>
    <t>300:23341</t>
  </si>
  <si>
    <t>204:880</t>
  </si>
  <si>
    <t>204:1186</t>
  </si>
  <si>
    <t>300:24226</t>
  </si>
  <si>
    <t>204:1501</t>
  </si>
  <si>
    <t>300:23301</t>
  </si>
  <si>
    <t>300:23625</t>
  </si>
  <si>
    <t>204:1552</t>
  </si>
  <si>
    <t>300:23478</t>
  </si>
  <si>
    <t>204:426</t>
  </si>
  <si>
    <t>300:23155</t>
  </si>
  <si>
    <t>204:750</t>
  </si>
  <si>
    <t>204:969</t>
  </si>
  <si>
    <t>300:58926</t>
  </si>
  <si>
    <t>204:745</t>
  </si>
  <si>
    <t>300:58628</t>
  </si>
  <si>
    <t>204:736</t>
  </si>
  <si>
    <t>204:1028</t>
  </si>
  <si>
    <t>300:58640</t>
  </si>
  <si>
    <t>300:58623</t>
  </si>
  <si>
    <t>204:797</t>
  </si>
  <si>
    <t>204:1095</t>
  </si>
  <si>
    <t>204:720</t>
  </si>
  <si>
    <t>300:58948</t>
  </si>
  <si>
    <t>300:58641</t>
  </si>
  <si>
    <t>204:682</t>
  </si>
  <si>
    <t>204:976</t>
  </si>
  <si>
    <t>204:710</t>
  </si>
  <si>
    <t>204:993</t>
  </si>
  <si>
    <t>204:657</t>
  </si>
  <si>
    <t>300:58636</t>
  </si>
  <si>
    <t>300:58626</t>
  </si>
  <si>
    <t>204:691</t>
  </si>
  <si>
    <t>204:972</t>
  </si>
  <si>
    <t>204:671</t>
  </si>
  <si>
    <t>204:965</t>
  </si>
  <si>
    <t>300:58986</t>
  </si>
  <si>
    <t>204:668</t>
  </si>
  <si>
    <t>204:985</t>
  </si>
  <si>
    <t>204:953</t>
  </si>
  <si>
    <t>300:58984</t>
  </si>
  <si>
    <t>204:666</t>
  </si>
  <si>
    <t>204:995</t>
  </si>
  <si>
    <t>300:58651</t>
  </si>
  <si>
    <t>204:687</t>
  </si>
  <si>
    <t>204:955</t>
  </si>
  <si>
    <t>300:58988</t>
  </si>
  <si>
    <t>204:661</t>
  </si>
  <si>
    <t>204:675</t>
  </si>
  <si>
    <t>300:58976</t>
  </si>
  <si>
    <t>204:701</t>
  </si>
  <si>
    <t>204:986</t>
  </si>
  <si>
    <t>300:58632</t>
  </si>
  <si>
    <t>300:58937</t>
  </si>
  <si>
    <t>204:978</t>
  </si>
  <si>
    <t>204:957</t>
  </si>
  <si>
    <t>300:58995</t>
  </si>
  <si>
    <t>300:30180</t>
  </si>
  <si>
    <t>300:58922</t>
  </si>
  <si>
    <t>300:23347</t>
  </si>
  <si>
    <t>204:692</t>
  </si>
  <si>
    <t>204:1100</t>
  </si>
  <si>
    <t>300:24237</t>
  </si>
  <si>
    <t>300:23421</t>
  </si>
  <si>
    <t>300:28780</t>
  </si>
  <si>
    <t>300:58683</t>
  </si>
  <si>
    <t>300:21627</t>
  </si>
  <si>
    <t>start /low /b %USERPROFILE%\Documents\GitHub\eaglep3\Utilities\DownloadLogsFromS3.py --loco 4039 --day 2017-04-12</t>
  </si>
  <si>
    <t>start /low /b %USERPROFILE%\Documents\GitHub\eaglep3\Utilities\DownloadLogsFromS3.py --loco 4054 --day 2017-04-12</t>
  </si>
  <si>
    <t>start /low /b %USERPROFILE%\Documents\GitHub\eaglep3\Utilities\DownloadLogsFromS3.py --loco 4020 --day 2017-04-12</t>
  </si>
  <si>
    <t>start /low /b %USERPROFILE%\Documents\GitHub\eaglep3\Utilities\DownloadLogsFromS3.py --loco 4019 --day 2017-04-12</t>
  </si>
  <si>
    <t>start /low /b %USERPROFILE%\Documents\GitHub\eaglep3\Utilities\DownloadLogsFromS3.py --loco 4044 --day 2017-04-12</t>
  </si>
  <si>
    <t>start /low /b %USERPROFILE%\Documents\GitHub\eaglep3\Utilities\DownloadLogsFromS3.py --loco 4041 --day 2017-04-12</t>
  </si>
  <si>
    <t>start /low /b %USERPROFILE%\Documents\GitHub\eaglep3\Utilities\DownloadLogsFromS3.py --loco 4054 --day 2017-04-13</t>
  </si>
  <si>
    <t>start /low /b %USERPROFILE%\Documents\GitHub\eaglep3\Utilities\DownloadLogsFromS3.py --loco 4040 --day 2017-04-12</t>
  </si>
  <si>
    <t>start /low /b %USERPROFILE%\Documents\GitHub\eaglep3\Utilities\DownloadLogsFromS3.py --loco 4045 --day 2017-04-12</t>
  </si>
  <si>
    <t>start /low /b %USERPROFILE%\Documents\GitHub\eaglep3\Utilities\DownloadLogsFromS3.py --loco 4032 --day 2017-04-12</t>
  </si>
  <si>
    <t>start /low /b %USERPROFILE%\Documents\GitHub\eaglep3\Utilities\DownloadLogsFromS3.py --loco 4016 --day 2017-04-12</t>
  </si>
  <si>
    <t>start /low /b %USERPROFILE%\Documents\GitHub\eaglep3\Utilities\DownloadLogsFromS3.py --loco 4015 --day 2017-04-12</t>
  </si>
  <si>
    <t>Onboard in-route failure</t>
  </si>
  <si>
    <t>Form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</si>
</sst>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8"/>
  <sheetViews>
    <sheetView tabSelected="1" zoomScaleNormal="100" workbookViewId="0">
      <selection activeCell="R25" sqref="R25:R31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 t="s">
        <v>554</v>
      </c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42837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42837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COUNTIFS($N$13:$N$9327,"&gt;0",$AG$13:$AG$9327,I1)</f>
        <v>142</v>
      </c>
      <c r="K5" s="40"/>
      <c r="L5" s="40"/>
      <c r="M5" s="41">
        <f>AVERAGEIFS($N$13:$N$9327,$AG$13:$AG$9327,I1)</f>
        <v>38.872887324328651</v>
      </c>
      <c r="N5" s="39">
        <f t="array" ref="N5">MIN(IF($AG$13:$AG$9327=I1,IF(ISNUMBER($N$13:$N$9327),IF($N$13:$N$9327&gt;0,$N$13:$N$9327))))</f>
        <v>35.116666661342606</v>
      </c>
      <c r="O5" s="3">
        <f t="array" ref="O5">MAX(IF($AG$13:$AG$9327=I1,IF(ISNUMBER($N$13:$N$9327),IF($N$13:$N$9327&gt;0,$N$13:$N$9327))))</f>
        <v>47.049999997252598</v>
      </c>
      <c r="P5" s="2"/>
      <c r="R5" s="74" t="s">
        <v>17</v>
      </c>
      <c r="S5" s="50">
        <f>COUNTIFS($N$13:$N$9327,"&gt;0",$AG$13:$AG$9327,R1)</f>
        <v>47</v>
      </c>
      <c r="T5" s="40"/>
      <c r="U5" s="173"/>
      <c r="V5" s="170">
        <f>AVERAGEIFS($N$13:$N$9327,$AG$13:$AG$9327,R1)</f>
        <v>14.831560282284354</v>
      </c>
      <c r="W5" s="171">
        <f t="array" ref="W5">MIN(IF($AG$13:$AG$9327=R1,IF(ISNUMBER($N$13:$N$9327),IF($N$13:$N$9327&gt;0,$N$13:$N$9327))))</f>
        <v>11.800000002840534</v>
      </c>
      <c r="X5" s="172">
        <f t="array" ref="X5">MAX(IF($AG$13:$AG$9327=R1,IF(ISNUMBER($N$13:$N$9327),IF($N$13:$N$9327&gt;0,$N$13:$N$9327))))</f>
        <v>19.233333334559575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COUNT($O$13:$O$112)</f>
        <v>0</v>
      </c>
      <c r="K6" s="40"/>
      <c r="L6" s="40"/>
      <c r="M6" s="41">
        <f>IFERROR(AVERAGE($O$13:$O$112),0)</f>
        <v>0</v>
      </c>
      <c r="N6" s="39">
        <f>MIN($O$13:$O$112)</f>
        <v>0</v>
      </c>
      <c r="O6" s="3">
        <f>MAX($O$13:$O$112)</f>
        <v>0</v>
      </c>
      <c r="P6" s="2"/>
      <c r="R6" s="75" t="s">
        <v>43</v>
      </c>
      <c r="S6" s="50">
        <f>COUNT($O$13:$O$112)</f>
        <v>0</v>
      </c>
      <c r="T6" s="40"/>
      <c r="U6" s="173"/>
      <c r="V6" s="170">
        <f>IFERROR(AVERAGE($O$13:$O$112),0)</f>
        <v>0</v>
      </c>
      <c r="W6" s="171">
        <f>MIN($O$13:$O$112)</f>
        <v>0</v>
      </c>
      <c r="X6" s="172">
        <f>MAX($O$13:$O$112)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COUNTIFS($P$13:$P$9327,"&gt;0",$AG$13:$AG$9327,I1)</f>
        <v>2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COUNTIFS($P$13:$P$9327,"&gt;0",$AG$13:$AG$9327,R1)</f>
        <v>0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142</v>
      </c>
      <c r="K8" s="40"/>
      <c r="L8" s="40"/>
      <c r="M8" s="41">
        <f>M5</f>
        <v>38.872887324328651</v>
      </c>
      <c r="N8" s="39">
        <f>N5</f>
        <v>35.116666661342606</v>
      </c>
      <c r="O8" s="3">
        <f>O5</f>
        <v>47.049999997252598</v>
      </c>
      <c r="P8" s="2"/>
      <c r="R8" s="74" t="s">
        <v>16</v>
      </c>
      <c r="S8" s="50">
        <f>S5</f>
        <v>47</v>
      </c>
      <c r="T8" s="40"/>
      <c r="U8" s="173"/>
      <c r="V8" s="170">
        <f>V5</f>
        <v>14.831560282284354</v>
      </c>
      <c r="W8" s="171">
        <f>W5</f>
        <v>11.800000002840534</v>
      </c>
      <c r="X8" s="172">
        <f>X5</f>
        <v>19.233333334559575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0.98611111111111116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1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222" t="str">
        <f>"Eagle P3 System Performance - "&amp;TEXT(Variables!A2,"yyyy-mm-dd")</f>
        <v>Eagle P3 System Performance - 2017-04-12</v>
      </c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S11" s="64">
        <f>AVERAGE(S13:S84)</f>
        <v>0.99652777777777779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200</v>
      </c>
      <c r="AN12" s="47" t="s">
        <v>403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658</v>
      </c>
      <c r="B13" s="7">
        <v>4020</v>
      </c>
      <c r="C13" s="21" t="s">
        <v>214</v>
      </c>
      <c r="D13" s="21" t="s">
        <v>866</v>
      </c>
      <c r="E13" s="13">
        <v>42837.133993055555</v>
      </c>
      <c r="F13" s="13">
        <v>42837.136145833334</v>
      </c>
      <c r="G13" s="7">
        <v>1</v>
      </c>
      <c r="H13" s="21" t="s">
        <v>400</v>
      </c>
      <c r="I13" s="13">
        <v>42837.161840277775</v>
      </c>
      <c r="J13" s="7">
        <v>0</v>
      </c>
      <c r="K13" s="97" t="str">
        <f t="shared" ref="K13:K76" si="0">IF(ISEVEN(B13),(B13-1)&amp;"/"&amp;B13,B13&amp;"/"&amp;(B13+1))</f>
        <v>4019/4020</v>
      </c>
      <c r="L13" s="21" t="str">
        <f>VLOOKUP(A13,'Trips&amp;Operators'!$C$1:$G$99999,5,FALSE)</f>
        <v>BADERTSCHER DIANE</v>
      </c>
      <c r="M13" s="6">
        <f t="shared" ref="M13:M76" si="1">I13-F13</f>
        <v>2.569444444088731E-2</v>
      </c>
      <c r="N13" s="7">
        <f t="shared" ref="N13:N27" si="2">24*60*SUM($M13:$M13)</f>
        <v>36.999999994877726</v>
      </c>
      <c r="O13" s="7"/>
      <c r="P13" s="7"/>
      <c r="Q13" s="22"/>
      <c r="R13" s="22"/>
      <c r="S13" s="31">
        <f t="shared" ref="S13:S76" si="3">SUM(U13:U13)/IF(AG13="EC",12,1)</f>
        <v>1</v>
      </c>
      <c r="T13" s="46" t="str">
        <f t="shared" ref="T13:T76" si="4"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2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-12T02:12:57-0600',mode:absolute,to:'2017-04-12T04:53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" s="183" t="str">
        <f t="shared" ref="W13:W76" si="6">IF(AA13&lt;IF(AG13="EC",23,5.65),"Y","N")</f>
        <v>N</v>
      </c>
      <c r="X13" s="183" t="e">
        <f t="shared" ref="X13:X76" si="7">VALUE(LEFT(AD13,4))-VALUE(LEFT(AD12,4))</f>
        <v>#VALUE!</v>
      </c>
      <c r="Y13" s="62">
        <f t="shared" ref="Y13:Y76" si="8">RIGHT(D13,LEN(D13)-4)/10000</f>
        <v>7.4800000000000005E-2</v>
      </c>
      <c r="Z13" s="62">
        <f t="shared" ref="Z13:Z76" si="9">RIGHT(H13,LEN(H13)-4)/10000</f>
        <v>23.329499999999999</v>
      </c>
      <c r="AA13" s="62">
        <f t="shared" ref="AA13:AA76" si="10">ABS(Z13-Y13)</f>
        <v>23.2547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1">IF(LEN(A13)=6,"0"&amp;A13,A13)</f>
        <v>0101-12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s3://rtdc.mdm.uploadarchive.raw/RTDC4020/ "%USERPROFILE%\AppData\Local\Temp\OnboardLogs"\RTDC4020\2017-04-12 --exclude "*" --recursive --include "*20170412*" &amp; "%USERPROFILE%\Documents\GitHub\mrs-test-scripts\Headless Mode &amp; Sideloading\WalkAndUnGZ.bat" "%USERPROFILE%\AppData\Local\Temp\OnboardLogs"\RTDC4020\2017-04-12 &amp; aws s3 cp s3://rtdc.mdm.uploadarchive.raw/RTDC4020/ "%USERPROFILE%\AppData\Local\Temp\OnboardLogs"\RTDC4020\2017-04-13 --exclude "*" --recursive --include "*20170413*" &amp; "%USERPROFILE%\Documents\GitHub\mrs-test-scripts\Headless Mode &amp; Sideloading\WalkAndUnGZ.bat" "%USERPROFILE%\AppData\Local\Temp\OnboardLogs"\RTDC4020\2017-04-13</v>
      </c>
      <c r="AF13" s="82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/stypes="app*4020*20170412*" /stext=" 09:.+((SYSTEM_STATE.+slice.+state.+changed )|(ment ac)|(multiple cpu faults)|(system.+state.+changed )|(\[timeout)|(PRM\|1\|D)|(kpr)|(kdp)|(\|lc)|(penalty))"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101-12 --locoid 4020 --swversion DE.1.0.9.0 --startMP 204:748 --initTime 2017-04-12T03:12:57 --startdatetime 2017-04-12T03:16:03 --delay 1 --endMP 204:233295 --enddatetime 2017-04-12T03:53:03 --enforcementcount 0 &gt;&gt;C:\Users\stu\Documents\GitHub\eaglep3-reporting\EC\2017-04-12-refined-times.txt</v>
      </c>
      <c r="AI13" s="104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{"issue":{"subject":"","project_id":79,"tracker_id":40,"status_id":1,"priority_id":2,"assigned_to_id":23,"start_date":"2017-04-12","description":"","custom_fields":[{"id":1,"name":"Subdivision","value":"EC"},{"id":4,"name":"Milepost","value":"23.3295"},{"id":17,"name":"Train ID","value":"101-12"},{"id":16,"name":"Locomotive ID","value":"4020"},{"id":130,"name":"Impact","value":""},{"id":150,"name":"Time of Event (Mountain Time)","value":"03:53:03"},{"id":151,"name":"Denver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8"/>
      <c r="AL13" s="48"/>
      <c r="AM13" s="150" t="str">
        <f t="shared" ref="AM13" si="17">"start /low /b "&amp;dls3logs&amp;" --loco "&amp;B13&amp;" --day "&amp;TEXT(F13,"YYYY-MM-DD")</f>
        <v>start /low /b %USERPROFILE%\Documents\GitHub\eaglep3\Utilities\DownloadLogsFromS3.py --loco 4020 --day 2017-04-12</v>
      </c>
      <c r="AN13" s="159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09:53:03"},{"id":29,"name":"Sharepoint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665</v>
      </c>
      <c r="B14" s="7">
        <v>4039</v>
      </c>
      <c r="C14" s="21" t="s">
        <v>214</v>
      </c>
      <c r="D14" s="21" t="s">
        <v>867</v>
      </c>
      <c r="E14" s="13">
        <v>42837.168425925927</v>
      </c>
      <c r="F14" s="13">
        <v>42837.174479166664</v>
      </c>
      <c r="G14" s="7">
        <v>1</v>
      </c>
      <c r="H14" s="21" t="s">
        <v>211</v>
      </c>
      <c r="I14" s="13">
        <v>42837.206446759257</v>
      </c>
      <c r="J14" s="7">
        <v>0</v>
      </c>
      <c r="K14" s="97" t="str">
        <f t="shared" si="0"/>
        <v>4039/4040</v>
      </c>
      <c r="L14" s="21" t="str">
        <f>VLOOKUP(A14,'Trips&amp;Operators'!$C$1:$G$99999,5,FALSE)</f>
        <v>BADERTSCHER DIANE</v>
      </c>
      <c r="M14" s="6">
        <f t="shared" si="1"/>
        <v>3.1967592592991423E-2</v>
      </c>
      <c r="N14" s="7">
        <f t="shared" si="2"/>
        <v>46.033333333907649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 t="shared" si="5"/>
        <v>https://d0f6bd738d7f1b3e5a7ca70fe4ff75f0.us-east-1.aws.found.io/app/kibana#/discover/Steve-Slow-Train-Analysis-(2080s-and-2083s)?_g=(refreshInterval:(display:Off,pause:!f,section:0,value:0),time:(from:'2017-04-12T03:02:32-0600',mode:absolute,to:'2017-04-12T05:57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" s="183" t="str">
        <f t="shared" si="6"/>
        <v>N</v>
      </c>
      <c r="X14" s="183">
        <f t="shared" si="7"/>
        <v>1</v>
      </c>
      <c r="Y14" s="62">
        <f t="shared" si="8"/>
        <v>23.2654</v>
      </c>
      <c r="Z14" s="62">
        <f t="shared" si="9"/>
        <v>1.47E-2</v>
      </c>
      <c r="AA14" s="62">
        <f t="shared" si="10"/>
        <v>23.250699999999998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0102-12</v>
      </c>
      <c r="AE14" s="85" t="str">
        <f t="shared" si="12"/>
        <v>aws s3 cp s3://rtdc.mdm.uploadarchive.raw/RTDC4039/ "%USERPROFILE%\AppData\Local\Temp\OnboardLogs"\RTDC4039\2017-04-12 --exclude "*" --recursive --include "*20170412*" &amp; "%USERPROFILE%\Documents\GitHub\mrs-test-scripts\Headless Mode &amp; Sideloading\WalkAndUnGZ.bat" "%USERPROFILE%\AppData\Local\Temp\OnboardLogs"\RTDC4039\2017-04-12 &amp; aws s3 cp s3://rtdc.mdm.uploadarchive.raw/RTDC4039/ "%USERPROFILE%\AppData\Local\Temp\OnboardLogs"\RTDC4039\2017-04-13 --exclude "*" --recursive --include "*20170413*" &amp; "%USERPROFILE%\Documents\GitHub\mrs-test-scripts\Headless Mode &amp; Sideloading\WalkAndUnGZ.bat" "%USERPROFILE%\AppData\Local\Temp\OnboardLogs"\RTDC4039\2017-04-13</v>
      </c>
      <c r="AF14" s="82" t="str">
        <f t="shared" si="13"/>
        <v>"C:\Program Files (x86)\AstroGrep\AstroGrep.exe" /e /r /s /spath="%USERPROFILE%\AppData\Local\Temp\OnboardLogs" /stypes="app*4039*20170412*" /stext=" 10:.+((SYSTEM_STATE.+slice.+state.+changed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102-12 --locoid 4039 --swversion DE.1.0.9.0 --startMP 204:232654 --initTime 2017-04-12T04:02:32 --startdatetime 2017-04-12T04:11:15 --delay 1 --endMP 204:147 --enddatetime 2017-04-12T04:57:17 --enforcementcount 0 &gt;&gt;C:\Users\stu\Documents\GitHub\eaglep3-reporting\EC\2017-04-12-refined-times.txt</v>
      </c>
      <c r="AI14" s="104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{"issue":{"subject":"","project_id":79,"tracker_id":40,"status_id":1,"priority_id":2,"assigned_to_id":23,"start_date":"2017-04-12","description":"","custom_fields":[{"id":1,"name":"Subdivision","value":"EC"},{"id":4,"name":"Milepost","value":"0.0147"},{"id":17,"name":"Train ID","value":"102-12"},{"id":16,"name":"Locomotive ID","value":"4039"},{"id":130,"name":"Impact","value":""},{"id":150,"name":"Time of Event (Mountain Time)","value":"04:57:17"},{"id":151,"name":"Denver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8"/>
      <c r="AL14" s="48"/>
      <c r="AM14" s="150" t="str">
        <f t="shared" ref="AM14:AM77" si="21">"start /low /b "&amp;dls3logs&amp;" --loco "&amp;B14&amp;" --day "&amp;TEXT(F14,"YYYY-MM-DD")</f>
        <v>start /low /b %USERPROFILE%\Documents\GitHub\eaglep3\Utilities\DownloadLogsFromS3.py --loco 4039 --day 2017-04-12</v>
      </c>
      <c r="AN14" s="159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10:57:17"},{"id":29,"name":"Sharepoint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661</v>
      </c>
      <c r="B15" s="7">
        <v>4032</v>
      </c>
      <c r="C15" s="21" t="s">
        <v>214</v>
      </c>
      <c r="D15" s="21" t="s">
        <v>597</v>
      </c>
      <c r="E15" s="13">
        <v>42837.153796296298</v>
      </c>
      <c r="F15" s="13">
        <v>42837.1565162037</v>
      </c>
      <c r="G15" s="7">
        <v>0</v>
      </c>
      <c r="H15" s="21" t="s">
        <v>536</v>
      </c>
      <c r="I15" s="13">
        <v>42837.184513888889</v>
      </c>
      <c r="J15" s="7">
        <v>0</v>
      </c>
      <c r="K15" s="97" t="str">
        <f t="shared" si="0"/>
        <v>4031/4032</v>
      </c>
      <c r="L15" s="21" t="str">
        <f>VLOOKUP(A15,'Trips&amp;Operators'!$C$1:$G$99999,5,FALSE)</f>
        <v>MAELZER KURT</v>
      </c>
      <c r="M15" s="6">
        <f t="shared" si="1"/>
        <v>2.7997685188893229E-2</v>
      </c>
      <c r="N15" s="7">
        <f t="shared" si="2"/>
        <v>40.316666672006249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 t="shared" si="5"/>
        <v>https://d0f6bd738d7f1b3e5a7ca70fe4ff75f0.us-east-1.aws.found.io/app/kibana#/discover/Steve-Slow-Train-Analysis-(2080s-and-2083s)?_g=(refreshInterval:(display:Off,pause:!f,section:0,value:0),time:(from:'2017-04-12T02:41:28-0600',mode:absolute,to:'2017-04-12T05:25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" s="183" t="str">
        <f t="shared" si="6"/>
        <v>N</v>
      </c>
      <c r="X15" s="183">
        <f t="shared" si="7"/>
        <v>1</v>
      </c>
      <c r="Y15" s="62">
        <f t="shared" si="8"/>
        <v>7.5200000000000003E-2</v>
      </c>
      <c r="Z15" s="62">
        <f t="shared" si="9"/>
        <v>23.3338</v>
      </c>
      <c r="AA15" s="62">
        <f t="shared" si="10"/>
        <v>23.258600000000001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0103-12</v>
      </c>
      <c r="AE15" s="85" t="str">
        <f t="shared" si="12"/>
        <v>aws s3 cp s3://rtdc.mdm.uploadarchive.raw/RTDC4032/ "%USERPROFILE%\AppData\Local\Temp\OnboardLogs"\RTDC4032\2017-04-12 --exclude "*" --recursive --include "*20170412*" &amp; "%USERPROFILE%\Documents\GitHub\mrs-test-scripts\Headless Mode &amp; Sideloading\WalkAndUnGZ.bat" "%USERPROFILE%\AppData\Local\Temp\OnboardLogs"\RTDC4032\2017-04-12 &amp; aws s3 cp s3://rtdc.mdm.uploadarchive.raw/RTDC4032/ "%USERPROFILE%\AppData\Local\Temp\OnboardLogs"\RTDC4032\2017-04-13 --exclude "*" --recursive --include "*20170413*" &amp; "%USERPROFILE%\Documents\GitHub\mrs-test-scripts\Headless Mode &amp; Sideloading\WalkAndUnGZ.bat" "%USERPROFILE%\AppData\Local\Temp\OnboardLogs"\RTDC4032\2017-04-13</v>
      </c>
      <c r="AF15" s="82" t="str">
        <f t="shared" si="13"/>
        <v>"C:\Program Files (x86)\AstroGrep\AstroGrep.exe" /e /r /s /spath="%USERPROFILE%\AppData\Local\Temp\OnboardLogs" /stypes="app*4032*20170412*" /stext=" 10:.+((SYSTEM_STATE.+slice.+state.+changed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9"/>
        <v>"%USERPROFILE%\Documents\GitHub\eaglep3\Utilities\RefineRTDCRunTimes.py" --tripid 103-12 --locoid 4032 --swversion DE.1.0.9.0 --startMP 204:752 --initTime 2017-04-12T03:41:28 --startdatetime 2017-04-12T03:45:23 --delay 0 --endMP 204:233338 --enddatetime 2017-04-12T04:25:42 --enforcementcount 0 &gt;&gt;C:\Users\stu\Documents\GitHub\eaglep3-reporting\EC\2017-04-12-refined-times.txt</v>
      </c>
      <c r="AI15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{"issue":{"subject":"","project_id":79,"tracker_id":40,"status_id":1,"priority_id":2,"assigned_to_id":23,"start_date":"2017-04-12","description":"","custom_fields":[{"id":1,"name":"Subdivision","value":"EC"},{"id":4,"name":"Milepost","value":"23.3338"},{"id":17,"name":"Train ID","value":"103-12"},{"id":16,"name":"Locomotive ID","value":"4032"},{"id":130,"name":"Impact","value":""},{"id":150,"name":"Time of Event (Mountain Time)","value":"04:25:42"},{"id":151,"name":"Denver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8"/>
      <c r="AL15" s="48"/>
      <c r="AM15" s="150" t="str">
        <f t="shared" si="21"/>
        <v>start /low /b %USERPROFILE%\Documents\GitHub\eaglep3\Utilities\DownloadLogsFromS3.py --loco 4032 --day 2017-04-12</v>
      </c>
      <c r="AN15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10:25:42"},{"id":29,"name":"Sharepoint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672</v>
      </c>
      <c r="B16" s="7">
        <v>4053</v>
      </c>
      <c r="C16" s="21" t="s">
        <v>214</v>
      </c>
      <c r="D16" s="21" t="s">
        <v>868</v>
      </c>
      <c r="E16" s="13">
        <v>42837.190127314818</v>
      </c>
      <c r="F16" s="13">
        <v>42837.195428240739</v>
      </c>
      <c r="G16" s="7">
        <v>1</v>
      </c>
      <c r="H16" s="21" t="s">
        <v>430</v>
      </c>
      <c r="I16" s="13">
        <v>42837.226203703707</v>
      </c>
      <c r="J16" s="7">
        <v>0</v>
      </c>
      <c r="K16" s="97" t="str">
        <f t="shared" si="0"/>
        <v>4053/4054</v>
      </c>
      <c r="L16" s="21" t="str">
        <f>VLOOKUP(A16,'Trips&amp;Operators'!$C$1:$G$99999,5,FALSE)</f>
        <v>MAELZER KURT</v>
      </c>
      <c r="M16" s="6">
        <f t="shared" si="1"/>
        <v>3.0775462968449574E-2</v>
      </c>
      <c r="N16" s="7">
        <f t="shared" si="2"/>
        <v>44.316666674567387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 t="shared" si="5"/>
        <v>https://d0f6bd738d7f1b3e5a7ca70fe4ff75f0.us-east-1.aws.found.io/app/kibana#/discover/Steve-Slow-Train-Analysis-(2080s-and-2083s)?_g=(refreshInterval:(display:Off,pause:!f,section:0,value:0),time:(from:'2017-04-12T03:33:47-0600',mode:absolute,to:'2017-04-12T06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" s="183" t="str">
        <f t="shared" si="6"/>
        <v>N</v>
      </c>
      <c r="X16" s="183">
        <f t="shared" si="7"/>
        <v>1</v>
      </c>
      <c r="Y16" s="62">
        <f t="shared" si="8"/>
        <v>23.268899999999999</v>
      </c>
      <c r="Z16" s="62">
        <f t="shared" si="9"/>
        <v>1.6500000000000001E-2</v>
      </c>
      <c r="AA16" s="62">
        <f t="shared" si="10"/>
        <v>23.252399999999998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0104-12</v>
      </c>
      <c r="AE16" s="85" t="str">
        <f t="shared" si="12"/>
        <v>aws s3 cp s3://rtdc.mdm.uploadarchive.raw/RTDC4053/ "%USERPROFILE%\AppData\Local\Temp\OnboardLogs"\RTDC4053\2017-04-12 --exclude "*" --recursive --include "*20170412*" &amp; "%USERPROFILE%\Documents\GitHub\mrs-test-scripts\Headless Mode &amp; Sideloading\WalkAndUnGZ.bat" "%USERPROFILE%\AppData\Local\Temp\OnboardLogs"\RTDC4053\2017-04-12 &amp; aws s3 cp s3://rtdc.mdm.uploadarchive.raw/RTDC4053/ "%USERPROFILE%\AppData\Local\Temp\OnboardLogs"\RTDC4053\2017-04-13 --exclude "*" --recursive --include "*20170413*" &amp; "%USERPROFILE%\Documents\GitHub\mrs-test-scripts\Headless Mode &amp; Sideloading\WalkAndUnGZ.bat" "%USERPROFILE%\AppData\Local\Temp\OnboardLogs"\RTDC4053\2017-04-13</v>
      </c>
      <c r="AF16" s="82" t="str">
        <f t="shared" si="13"/>
        <v>"C:\Program Files (x86)\AstroGrep\AstroGrep.exe" /e /r /s /spath="%USERPROFILE%\AppData\Local\Temp\OnboardLogs" /stypes="app*4053*20170412*" /stext=" 11:.+((SYSTEM_STATE.+slice.+state.+changed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9"/>
        <v>"%USERPROFILE%\Documents\GitHub\eaglep3\Utilities\RefineRTDCRunTimes.py" --tripid 104-12 --locoid 4053 --swversion DE.1.0.9.0 --startMP 204:232689 --initTime 2017-04-12T04:33:47 --startdatetime 2017-04-12T04:41:25 --delay 1 --endMP 204:165 --enddatetime 2017-04-12T05:25:44 --enforcementcount 0 &gt;&gt;C:\Users\stu\Documents\GitHub\eaglep3-reporting\EC\2017-04-12-refined-times.txt</v>
      </c>
      <c r="AI16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{"issue":{"subject":"","project_id":79,"tracker_id":40,"status_id":1,"priority_id":2,"assigned_to_id":23,"start_date":"2017-04-12","description":"","custom_fields":[{"id":1,"name":"Subdivision","value":"EC"},{"id":4,"name":"Milepost","value":"0.0165"},{"id":17,"name":"Train ID","value":"104-12"},{"id":16,"name":"Locomotive ID","value":"4053"},{"id":130,"name":"Impact","value":""},{"id":150,"name":"Time of Event (Mountain Time)","value":"05:25:44"},{"id":151,"name":"Denver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8"/>
      <c r="AL16" s="48"/>
      <c r="AM16" s="150" t="str">
        <f t="shared" si="21"/>
        <v>start /low /b %USERPROFILE%\Documents\GitHub\eaglep3\Utilities\DownloadLogsFromS3.py --loco 4053 --day 2017-04-12</v>
      </c>
      <c r="AN16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11:25:44"},{"id":29,"name":"Sharepoint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669</v>
      </c>
      <c r="B17" s="7">
        <v>4024</v>
      </c>
      <c r="C17" s="21" t="s">
        <v>214</v>
      </c>
      <c r="D17" s="21" t="s">
        <v>869</v>
      </c>
      <c r="E17" s="13">
        <v>42837.171249999999</v>
      </c>
      <c r="F17" s="13">
        <v>42837.17728009259</v>
      </c>
      <c r="G17" s="7">
        <v>3</v>
      </c>
      <c r="H17" s="21" t="s">
        <v>870</v>
      </c>
      <c r="I17" s="13">
        <v>42837.202361111114</v>
      </c>
      <c r="J17" s="7">
        <v>0</v>
      </c>
      <c r="K17" s="97" t="str">
        <f t="shared" si="0"/>
        <v>4023/4024</v>
      </c>
      <c r="L17" s="21" t="str">
        <f>VLOOKUP(A17,'Trips&amp;Operators'!$C$1:$G$99999,5,FALSE)</f>
        <v>GEBRETEKLE DAGNEW</v>
      </c>
      <c r="M17" s="6">
        <f t="shared" si="1"/>
        <v>2.5081018524360843E-2</v>
      </c>
      <c r="N17" s="7">
        <f t="shared" si="2"/>
        <v>36.116666675079614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 t="shared" si="5"/>
        <v>https://d0f6bd738d7f1b3e5a7ca70fe4ff75f0.us-east-1.aws.found.io/app/kibana#/discover/Steve-Slow-Train-Analysis-(2080s-and-2083s)?_g=(refreshInterval:(display:Off,pause:!f,section:0,value:0),time:(from:'2017-04-12T03:06:36-0600',mode:absolute,to:'2017-04-12T05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" s="183" t="str">
        <f t="shared" si="6"/>
        <v>N</v>
      </c>
      <c r="X17" s="183">
        <f t="shared" si="7"/>
        <v>1</v>
      </c>
      <c r="Y17" s="62">
        <f t="shared" si="8"/>
        <v>7.6300000000000007E-2</v>
      </c>
      <c r="Z17" s="62">
        <f t="shared" si="9"/>
        <v>23.332799999999999</v>
      </c>
      <c r="AA17" s="62">
        <f t="shared" si="10"/>
        <v>23.256499999999999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0105-12</v>
      </c>
      <c r="AE17" s="85" t="str">
        <f t="shared" si="12"/>
        <v>aws s3 cp s3://rtdc.mdm.uploadarchive.raw/RTDC4024/ "%USERPROFILE%\AppData\Local\Temp\OnboardLogs"\RTDC4024\2017-04-12 --exclude "*" --recursive --include "*20170412*" &amp; "%USERPROFILE%\Documents\GitHub\mrs-test-scripts\Headless Mode &amp; Sideloading\WalkAndUnGZ.bat" "%USERPROFILE%\AppData\Local\Temp\OnboardLogs"\RTDC4024\2017-04-12 &amp; aws s3 cp s3://rtdc.mdm.uploadarchive.raw/RTDC4024/ "%USERPROFILE%\AppData\Local\Temp\OnboardLogs"\RTDC4024\2017-04-13 --exclude "*" --recursive --include "*20170413*" &amp; "%USERPROFILE%\Documents\GitHub\mrs-test-scripts\Headless Mode &amp; Sideloading\WalkAndUnGZ.bat" "%USERPROFILE%\AppData\Local\Temp\OnboardLogs"\RTDC4024\2017-04-13</v>
      </c>
      <c r="AF17" s="82" t="str">
        <f t="shared" si="13"/>
        <v>"C:\Program Files (x86)\AstroGrep\AstroGrep.exe" /e /r /s /spath="%USERPROFILE%\AppData\Local\Temp\OnboardLogs" /stypes="app*4024*20170412*" /stext=" 10:.+((SYSTEM_STATE.+slice.+state.+changed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9"/>
        <v>"%USERPROFILE%\Documents\GitHub\eaglep3\Utilities\RefineRTDCRunTimes.py" --tripid 105-12 --locoid 4024 --swversion DE.1.0.9.0 --startMP 204:763 --initTime 2017-04-12T04:06:36 --startdatetime 2017-04-12T04:15:17 --delay 3 --endMP 204:233328 --enddatetime 2017-04-12T04:51:24 --enforcementcount 0 &gt;&gt;C:\Users\stu\Documents\GitHub\eaglep3-reporting\EC\2017-04-12-refined-times.txt</v>
      </c>
      <c r="AI17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{"issue":{"subject":"","project_id":79,"tracker_id":40,"status_id":1,"priority_id":2,"assigned_to_id":23,"start_date":"2017-04-12","description":"","custom_fields":[{"id":1,"name":"Subdivision","value":"EC"},{"id":4,"name":"Milepost","value":"23.3328"},{"id":17,"name":"Train ID","value":"105-12"},{"id":16,"name":"Locomotive ID","value":"4024"},{"id":130,"name":"Impact","value":""},{"id":150,"name":"Time of Event (Mountain Time)","value":"04:51:24"},{"id":151,"name":"Denver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8"/>
      <c r="AL17" s="48"/>
      <c r="AM17" s="150" t="str">
        <f t="shared" si="21"/>
        <v>start /low /b %USERPROFILE%\Documents\GitHub\eaglep3\Utilities\DownloadLogsFromS3.py --loco 4024 --day 2017-04-12</v>
      </c>
      <c r="AN17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10:51:24"},{"id":29,"name":"Sharepoint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618</v>
      </c>
      <c r="B18" s="7">
        <v>4045</v>
      </c>
      <c r="C18" s="21" t="s">
        <v>214</v>
      </c>
      <c r="D18" s="21" t="s">
        <v>871</v>
      </c>
      <c r="E18" s="13">
        <v>42837.213541666664</v>
      </c>
      <c r="F18" s="13">
        <v>42837.216412037036</v>
      </c>
      <c r="G18" s="7">
        <v>3</v>
      </c>
      <c r="H18" s="21" t="s">
        <v>203</v>
      </c>
      <c r="I18" s="13">
        <v>42837.243935185186</v>
      </c>
      <c r="J18" s="7">
        <v>0</v>
      </c>
      <c r="K18" s="97" t="str">
        <f t="shared" si="0"/>
        <v>4045/4046</v>
      </c>
      <c r="L18" s="21" t="str">
        <f>VLOOKUP(A18,'Trips&amp;Operators'!$C$1:$G$99999,5,FALSE)</f>
        <v>GEBRETEKLE DAGNEW</v>
      </c>
      <c r="M18" s="6">
        <f t="shared" si="1"/>
        <v>2.7523148150066845E-2</v>
      </c>
      <c r="N18" s="7">
        <f t="shared" si="2"/>
        <v>39.633333336096257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 t="shared" si="5"/>
        <v>https://d0f6bd738d7f1b3e5a7ca70fe4ff75f0.us-east-1.aws.found.io/app/kibana#/discover/Steve-Slow-Train-Analysis-(2080s-and-2083s)?_g=(refreshInterval:(display:Off,pause:!f,section:0,value:0),time:(from:'2017-04-12T04:07:30-0600',mode:absolute,to:'2017-04-12T06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" s="183" t="str">
        <f t="shared" si="6"/>
        <v>N</v>
      </c>
      <c r="X18" s="183">
        <f t="shared" si="7"/>
        <v>1</v>
      </c>
      <c r="Y18" s="62">
        <f t="shared" si="8"/>
        <v>23.266400000000001</v>
      </c>
      <c r="Z18" s="62">
        <f t="shared" si="9"/>
        <v>1.54E-2</v>
      </c>
      <c r="AA18" s="62">
        <f t="shared" si="10"/>
        <v>23.251000000000001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0106-12</v>
      </c>
      <c r="AE18" s="85" t="str">
        <f t="shared" si="12"/>
        <v>aws s3 cp s3://rtdc.mdm.uploadarchive.raw/RTDC4045/ "%USERPROFILE%\AppData\Local\Temp\OnboardLogs"\RTDC4045\2017-04-12 --exclude "*" --recursive --include "*20170412*" &amp; "%USERPROFILE%\Documents\GitHub\mrs-test-scripts\Headless Mode &amp; Sideloading\WalkAndUnGZ.bat" "%USERPROFILE%\AppData\Local\Temp\OnboardLogs"\RTDC4045\2017-04-12 &amp; aws s3 cp s3://rtdc.mdm.uploadarchive.raw/RTDC4045/ "%USERPROFILE%\AppData\Local\Temp\OnboardLogs"\RTDC4045\2017-04-13 --exclude "*" --recursive --include "*20170413*" &amp; "%USERPROFILE%\Documents\GitHub\mrs-test-scripts\Headless Mode &amp; Sideloading\WalkAndUnGZ.bat" "%USERPROFILE%\AppData\Local\Temp\OnboardLogs"\RTDC4045\2017-04-13</v>
      </c>
      <c r="AF18" s="82" t="str">
        <f t="shared" si="13"/>
        <v>"C:\Program Files (x86)\AstroGrep\AstroGrep.exe" /e /r /s /spath="%USERPROFILE%\AppData\Local\Temp\OnboardLogs" /stypes="app*4045*20170412*" /stext=" 11:.+((SYSTEM_STATE.+slice.+state.+changed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9"/>
        <v>"%USERPROFILE%\Documents\GitHub\eaglep3\Utilities\RefineRTDCRunTimes.py" --tripid 106-12 --locoid 4045 --swversion DE.1.0.9.0 --startMP 204:232664 --initTime 2017-04-12T05:07:30 --startdatetime 2017-04-12T05:11:38 --delay 3 --endMP 204:154 --enddatetime 2017-04-12T05:51:16 --enforcementcount 0 &gt;&gt;C:\Users\stu\Documents\GitHub\eaglep3-reporting\EC\2017-04-12-refined-times.txt</v>
      </c>
      <c r="AI18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{"issue":{"subject":"","project_id":79,"tracker_id":40,"status_id":1,"priority_id":2,"assigned_to_id":23,"start_date":"2017-04-12","description":"","custom_fields":[{"id":1,"name":"Subdivision","value":"EC"},{"id":4,"name":"Milepost","value":"0.0154"},{"id":17,"name":"Train ID","value":"106-12"},{"id":16,"name":"Locomotive ID","value":"4045"},{"id":130,"name":"Impact","value":""},{"id":150,"name":"Time of Event (Mountain Time)","value":"05:51:16"},{"id":151,"name":"Denver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8"/>
      <c r="AL18" s="48"/>
      <c r="AM18" s="150" t="str">
        <f t="shared" si="21"/>
        <v>start /low /b %USERPROFILE%\Documents\GitHub\eaglep3\Utilities\DownloadLogsFromS3.py --loco 4045 --day 2017-04-12</v>
      </c>
      <c r="AN18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11:51:16"},{"id":29,"name":"Sharepoint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671</v>
      </c>
      <c r="B19" s="7">
        <v>4044</v>
      </c>
      <c r="C19" s="21" t="s">
        <v>214</v>
      </c>
      <c r="D19" s="21" t="s">
        <v>413</v>
      </c>
      <c r="E19" s="13">
        <v>42837.182326388887</v>
      </c>
      <c r="F19" s="13">
        <v>42837.187685185185</v>
      </c>
      <c r="G19" s="7">
        <v>1</v>
      </c>
      <c r="H19" s="21" t="s">
        <v>471</v>
      </c>
      <c r="I19" s="13">
        <v>42837.21471064815</v>
      </c>
      <c r="J19" s="7">
        <v>0</v>
      </c>
      <c r="K19" s="97" t="str">
        <f t="shared" si="0"/>
        <v>4043/4044</v>
      </c>
      <c r="L19" s="21" t="str">
        <f>VLOOKUP(A19,'Trips&amp;Operators'!$C$1:$G$99999,5,FALSE)</f>
        <v>BONDS REYNALDO</v>
      </c>
      <c r="M19" s="6">
        <f t="shared" si="1"/>
        <v>2.7025462964957114E-2</v>
      </c>
      <c r="N19" s="7">
        <f t="shared" si="2"/>
        <v>38.916666669538245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 t="shared" si="5"/>
        <v>https://d0f6bd738d7f1b3e5a7ca70fe4ff75f0.us-east-1.aws.found.io/app/kibana#/discover/Steve-Slow-Train-Analysis-(2080s-and-2083s)?_g=(refreshInterval:(display:Off,pause:!f,section:0,value:0),time:(from:'2017-04-12T03:22:33-0600',mode:absolute,to:'2017-04-12T06:09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" s="183" t="str">
        <f t="shared" si="6"/>
        <v>N</v>
      </c>
      <c r="X19" s="183">
        <f t="shared" si="7"/>
        <v>1</v>
      </c>
      <c r="Y19" s="62">
        <f t="shared" si="8"/>
        <v>4.4600000000000001E-2</v>
      </c>
      <c r="Z19" s="62">
        <f t="shared" si="9"/>
        <v>23.3306</v>
      </c>
      <c r="AA19" s="62">
        <f t="shared" si="10"/>
        <v>23.286000000000001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0107-12</v>
      </c>
      <c r="AE19" s="85" t="str">
        <f t="shared" si="12"/>
        <v>aws s3 cp s3://rtdc.mdm.uploadarchive.raw/RTDC4044/ "%USERPROFILE%\AppData\Local\Temp\OnboardLogs"\RTDC4044\2017-04-12 --exclude "*" --recursive --include "*20170412*" &amp; "%USERPROFILE%\Documents\GitHub\mrs-test-scripts\Headless Mode &amp; Sideloading\WalkAndUnGZ.bat" "%USERPROFILE%\AppData\Local\Temp\OnboardLogs"\RTDC4044\2017-04-12 &amp; aws s3 cp s3://rtdc.mdm.uploadarchive.raw/RTDC4044/ "%USERPROFILE%\AppData\Local\Temp\OnboardLogs"\RTDC4044\2017-04-13 --exclude "*" --recursive --include "*20170413*" &amp; "%USERPROFILE%\Documents\GitHub\mrs-test-scripts\Headless Mode &amp; Sideloading\WalkAndUnGZ.bat" "%USERPROFILE%\AppData\Local\Temp\OnboardLogs"\RTDC4044\2017-04-13</v>
      </c>
      <c r="AF19" s="82" t="str">
        <f t="shared" si="13"/>
        <v>"C:\Program Files (x86)\AstroGrep\AstroGrep.exe" /e /r /s /spath="%USERPROFILE%\AppData\Local\Temp\OnboardLogs" /stypes="app*4044*20170412*" /stext=" 11:.+((SYSTEM_STATE.+slice.+state.+changed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9"/>
        <v>"%USERPROFILE%\Documents\GitHub\eaglep3\Utilities\RefineRTDCRunTimes.py" --tripid 107-12 --locoid 4044 --swversion DE.1.0.9.0 --startMP 204:446 --initTime 2017-04-12T04:22:33 --startdatetime 2017-04-12T04:30:16 --delay 1 --endMP 204:233306 --enddatetime 2017-04-12T05:09:11 --enforcementcount 0 &gt;&gt;C:\Users\stu\Documents\GitHub\eaglep3-reporting\EC\2017-04-12-refined-times.txt</v>
      </c>
      <c r="AI19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{"issue":{"subject":"","project_id":79,"tracker_id":40,"status_id":1,"priority_id":2,"assigned_to_id":23,"start_date":"2017-04-12","description":"","custom_fields":[{"id":1,"name":"Subdivision","value":"EC"},{"id":4,"name":"Milepost","value":"23.3306"},{"id":17,"name":"Train ID","value":"107-12"},{"id":16,"name":"Locomotive ID","value":"4044"},{"id":130,"name":"Impact","value":""},{"id":150,"name":"Time of Event (Mountain Time)","value":"05:09:11"},{"id":151,"name":"Denver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8"/>
      <c r="AL19" s="48"/>
      <c r="AM19" s="150" t="str">
        <f t="shared" si="21"/>
        <v>start /low /b %USERPROFILE%\Documents\GitHub\eaglep3\Utilities\DownloadLogsFromS3.py --loco 4044 --day 2017-04-12</v>
      </c>
      <c r="AN19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11:09:11"},{"id":29,"name":"Sharepoint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680</v>
      </c>
      <c r="B20" s="7">
        <v>4043</v>
      </c>
      <c r="C20" s="21" t="s">
        <v>214</v>
      </c>
      <c r="D20" s="21" t="s">
        <v>593</v>
      </c>
      <c r="E20" s="13">
        <v>42837.221782407411</v>
      </c>
      <c r="F20" s="13">
        <v>42837.226655092592</v>
      </c>
      <c r="G20" s="7">
        <v>1</v>
      </c>
      <c r="H20" s="21" t="s">
        <v>401</v>
      </c>
      <c r="I20" s="13">
        <v>42837.256944444445</v>
      </c>
      <c r="J20" s="7">
        <v>0</v>
      </c>
      <c r="K20" s="97" t="str">
        <f t="shared" si="0"/>
        <v>4043/4044</v>
      </c>
      <c r="L20" s="21" t="str">
        <f>VLOOKUP(A20,'Trips&amp;Operators'!$C$1:$G$99999,5,FALSE)</f>
        <v>BONDS REYNALDO</v>
      </c>
      <c r="M20" s="6">
        <f t="shared" si="1"/>
        <v>3.0289351852843538E-2</v>
      </c>
      <c r="N20" s="7">
        <f t="shared" si="2"/>
        <v>43.616666668094695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 t="shared" si="5"/>
        <v>https://d0f6bd738d7f1b3e5a7ca70fe4ff75f0.us-east-1.aws.found.io/app/kibana#/discover/Steve-Slow-Train-Analysis-(2080s-and-2083s)?_g=(refreshInterval:(display:Off,pause:!f,section:0,value:0),time:(from:'2017-04-12T04:19:22-0600',mode:absolute,to:'2017-04-12T07:10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" s="183" t="str">
        <f t="shared" si="6"/>
        <v>N</v>
      </c>
      <c r="X20" s="183">
        <f t="shared" si="7"/>
        <v>1</v>
      </c>
      <c r="Y20" s="62">
        <f t="shared" si="8"/>
        <v>23.299399999999999</v>
      </c>
      <c r="Z20" s="62">
        <f t="shared" si="9"/>
        <v>1.38E-2</v>
      </c>
      <c r="AA20" s="62">
        <f t="shared" si="10"/>
        <v>23.285599999999999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0108-12</v>
      </c>
      <c r="AE20" s="85" t="str">
        <f t="shared" si="12"/>
        <v>aws s3 cp s3://rtdc.mdm.uploadarchive.raw/RTDC4043/ "%USERPROFILE%\AppData\Local\Temp\OnboardLogs"\RTDC4043\2017-04-12 --exclude "*" --recursive --include "*20170412*" &amp; "%USERPROFILE%\Documents\GitHub\mrs-test-scripts\Headless Mode &amp; Sideloading\WalkAndUnGZ.bat" "%USERPROFILE%\AppData\Local\Temp\OnboardLogs"\RTDC4043\2017-04-12 &amp; aws s3 cp s3://rtdc.mdm.uploadarchive.raw/RTDC4043/ "%USERPROFILE%\AppData\Local\Temp\OnboardLogs"\RTDC4043\2017-04-13 --exclude "*" --recursive --include "*20170413*" &amp; "%USERPROFILE%\Documents\GitHub\mrs-test-scripts\Headless Mode &amp; Sideloading\WalkAndUnGZ.bat" "%USERPROFILE%\AppData\Local\Temp\OnboardLogs"\RTDC4043\2017-04-13</v>
      </c>
      <c r="AF20" s="82" t="str">
        <f t="shared" si="13"/>
        <v>"C:\Program Files (x86)\AstroGrep\AstroGrep.exe" /e /r /s /spath="%USERPROFILE%\AppData\Local\Temp\OnboardLogs" /stypes="app*4043*20170412*" /stext=" 12:.+((SYSTEM_STATE.+slice.+state.+changed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9"/>
        <v>"%USERPROFILE%\Documents\GitHub\eaglep3\Utilities\RefineRTDCRunTimes.py" --tripid 108-12 --locoid 4043 --swversion DE.1.0.9.0 --startMP 204:232994 --initTime 2017-04-12T05:19:22 --startdatetime 2017-04-12T05:26:23 --delay 1 --endMP 204:138 --enddatetime 2017-04-12T06:10:00 --enforcementcount 0 &gt;&gt;C:\Users\stu\Documents\GitHub\eaglep3-reporting\EC\2017-04-12-refined-times.txt</v>
      </c>
      <c r="AI20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{"issue":{"subject":"","project_id":79,"tracker_id":40,"status_id":1,"priority_id":2,"assigned_to_id":23,"start_date":"2017-04-12","description":"","custom_fields":[{"id":1,"name":"Subdivision","value":"EC"},{"id":4,"name":"Milepost","value":"0.0138"},{"id":17,"name":"Train ID","value":"108-12"},{"id":16,"name":"Locomotive ID","value":"4043"},{"id":130,"name":"Impact","value":""},{"id":150,"name":"Time of Event (Mountain Time)","value":"06:10:00"},{"id":151,"name":"Denver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8"/>
      <c r="AL20" s="48"/>
      <c r="AM20" s="150" t="str">
        <f t="shared" si="21"/>
        <v>start /low /b %USERPROFILE%\Documents\GitHub\eaglep3\Utilities\DownloadLogsFromS3.py --loco 4043 --day 2017-04-12</v>
      </c>
      <c r="AN20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12:10:00"},{"id":29,"name":"Sharepoint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673</v>
      </c>
      <c r="B21" s="7">
        <v>4012</v>
      </c>
      <c r="C21" s="21" t="s">
        <v>214</v>
      </c>
      <c r="D21" s="21" t="s">
        <v>391</v>
      </c>
      <c r="E21" s="13">
        <v>42837.190196759257</v>
      </c>
      <c r="F21" s="13">
        <v>42837.198171296295</v>
      </c>
      <c r="G21" s="7">
        <v>1</v>
      </c>
      <c r="H21" s="21" t="s">
        <v>491</v>
      </c>
      <c r="I21" s="13">
        <v>42837.224259259259</v>
      </c>
      <c r="J21" s="7">
        <v>0</v>
      </c>
      <c r="K21" s="97" t="str">
        <f t="shared" si="0"/>
        <v>4011/4012</v>
      </c>
      <c r="L21" s="21" t="str">
        <f>VLOOKUP(A21,'Trips&amp;Operators'!$C$1:$G$99999,5,FALSE)</f>
        <v>SANTIZO D. EDY</v>
      </c>
      <c r="M21" s="6">
        <f t="shared" si="1"/>
        <v>2.6087962964083999E-2</v>
      </c>
      <c r="N21" s="7">
        <f t="shared" si="2"/>
        <v>37.566666668280959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 t="shared" si="5"/>
        <v>https://d0f6bd738d7f1b3e5a7ca70fe4ff75f0.us-east-1.aws.found.io/app/kibana#/discover/Steve-Slow-Train-Analysis-(2080s-and-2083s)?_g=(refreshInterval:(display:Off,pause:!f,section:0,value:0),time:(from:'2017-04-12T03:33:53-0600',mode:absolute,to:'2017-04-12T06:22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" s="183" t="str">
        <f t="shared" si="6"/>
        <v>N</v>
      </c>
      <c r="X21" s="183">
        <f t="shared" si="7"/>
        <v>1</v>
      </c>
      <c r="Y21" s="62">
        <f t="shared" si="8"/>
        <v>4.4900000000000002E-2</v>
      </c>
      <c r="Z21" s="62">
        <f t="shared" si="9"/>
        <v>23.3293</v>
      </c>
      <c r="AA21" s="62">
        <f t="shared" si="10"/>
        <v>23.284400000000002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0109-12</v>
      </c>
      <c r="AE21" s="85" t="str">
        <f t="shared" si="12"/>
        <v>aws s3 cp s3://rtdc.mdm.uploadarchive.raw/RTDC4012/ "%USERPROFILE%\AppData\Local\Temp\OnboardLogs"\RTDC4012\2017-04-12 --exclude "*" --recursive --include "*20170412*" &amp; "%USERPROFILE%\Documents\GitHub\mrs-test-scripts\Headless Mode &amp; Sideloading\WalkAndUnGZ.bat" "%USERPROFILE%\AppData\Local\Temp\OnboardLogs"\RTDC4012\2017-04-12 &amp; aws s3 cp s3://rtdc.mdm.uploadarchive.raw/RTDC4012/ "%USERPROFILE%\AppData\Local\Temp\OnboardLogs"\RTDC4012\2017-04-13 --exclude "*" --recursive --include "*20170413*" &amp; "%USERPROFILE%\Documents\GitHub\mrs-test-scripts\Headless Mode &amp; Sideloading\WalkAndUnGZ.bat" "%USERPROFILE%\AppData\Local\Temp\OnboardLogs"\RTDC4012\2017-04-13</v>
      </c>
      <c r="AF21" s="82" t="str">
        <f t="shared" si="13"/>
        <v>"C:\Program Files (x86)\AstroGrep\AstroGrep.exe" /e /r /s /spath="%USERPROFILE%\AppData\Local\Temp\OnboardLogs" /stypes="app*4012*20170412*" /stext=" 11:.+((SYSTEM_STATE.+slice.+state.+changed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9"/>
        <v>"%USERPROFILE%\Documents\GitHub\eaglep3\Utilities\RefineRTDCRunTimes.py" --tripid 109-12 --locoid 4012 --swversion DE.1.0.9.0 --startMP 204:449 --initTime 2017-04-12T04:33:53 --startdatetime 2017-04-12T04:45:22 --delay 1 --endMP 204:233293 --enddatetime 2017-04-12T05:22:56 --enforcementcount 0 &gt;&gt;C:\Users\stu\Documents\GitHub\eaglep3-reporting\EC\2017-04-12-refined-times.txt</v>
      </c>
      <c r="AI21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{"issue":{"subject":"","project_id":79,"tracker_id":40,"status_id":1,"priority_id":2,"assigned_to_id":23,"start_date":"2017-04-12","description":"","custom_fields":[{"id":1,"name":"Subdivision","value":"EC"},{"id":4,"name":"Milepost","value":"23.3293"},{"id":17,"name":"Train ID","value":"109-12"},{"id":16,"name":"Locomotive ID","value":"4012"},{"id":130,"name":"Impact","value":""},{"id":150,"name":"Time of Event (Mountain Time)","value":"05:22:56"},{"id":151,"name":"Denver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8"/>
      <c r="AL21" s="48"/>
      <c r="AM21" s="150" t="str">
        <f t="shared" si="21"/>
        <v>start /low /b %USERPROFILE%\Documents\GitHub\eaglep3\Utilities\DownloadLogsFromS3.py --loco 4012 --day 2017-04-12</v>
      </c>
      <c r="AN21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11:22:56"},{"id":29,"name":"Sharepoint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681</v>
      </c>
      <c r="B22" s="7">
        <v>4011</v>
      </c>
      <c r="C22" s="21" t="s">
        <v>214</v>
      </c>
      <c r="D22" s="21" t="s">
        <v>469</v>
      </c>
      <c r="E22" s="13">
        <v>42837.225798611114</v>
      </c>
      <c r="F22" s="13">
        <v>42837.237037037034</v>
      </c>
      <c r="G22" s="7">
        <v>1</v>
      </c>
      <c r="H22" s="21" t="s">
        <v>211</v>
      </c>
      <c r="I22" s="13">
        <v>42837.264386574076</v>
      </c>
      <c r="J22" s="7">
        <v>0</v>
      </c>
      <c r="K22" s="97" t="str">
        <f t="shared" si="0"/>
        <v>4011/4012</v>
      </c>
      <c r="L22" s="21" t="str">
        <f>VLOOKUP(A22,'Trips&amp;Operators'!$C$1:$G$99999,5,FALSE)</f>
        <v>SANTIZO D. EDY</v>
      </c>
      <c r="M22" s="6">
        <f t="shared" si="1"/>
        <v>2.7349537042027805E-2</v>
      </c>
      <c r="N22" s="7">
        <f t="shared" si="2"/>
        <v>39.383333340520039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 t="shared" si="5"/>
        <v>https://d0f6bd738d7f1b3e5a7ca70fe4ff75f0.us-east-1.aws.found.io/app/kibana#/discover/Steve-Slow-Train-Analysis-(2080s-and-2083s)?_g=(refreshInterval:(display:Off,pause:!f,section:0,value:0),time:(from:'2017-04-12T04:25:09-0600',mode:absolute,to:'2017-04-12T07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" s="183" t="str">
        <f t="shared" si="6"/>
        <v>N</v>
      </c>
      <c r="X22" s="183">
        <f t="shared" si="7"/>
        <v>1</v>
      </c>
      <c r="Y22" s="62">
        <f t="shared" si="8"/>
        <v>23.297799999999999</v>
      </c>
      <c r="Z22" s="62">
        <f t="shared" si="9"/>
        <v>1.47E-2</v>
      </c>
      <c r="AA22" s="62">
        <f t="shared" si="10"/>
        <v>23.283099999999997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0110-12</v>
      </c>
      <c r="AE22" s="85" t="str">
        <f t="shared" si="12"/>
        <v>aws s3 cp s3://rtdc.mdm.uploadarchive.raw/RTDC4011/ "%USERPROFILE%\AppData\Local\Temp\OnboardLogs"\RTDC4011\2017-04-12 --exclude "*" --recursive --include "*20170412*" &amp; "%USERPROFILE%\Documents\GitHub\mrs-test-scripts\Headless Mode &amp; Sideloading\WalkAndUnGZ.bat" "%USERPROFILE%\AppData\Local\Temp\OnboardLogs"\RTDC4011\2017-04-12 &amp; aws s3 cp s3://rtdc.mdm.uploadarchive.raw/RTDC4011/ "%USERPROFILE%\AppData\Local\Temp\OnboardLogs"\RTDC4011\2017-04-13 --exclude "*" --recursive --include "*20170413*" &amp; "%USERPROFILE%\Documents\GitHub\mrs-test-scripts\Headless Mode &amp; Sideloading\WalkAndUnGZ.bat" "%USERPROFILE%\AppData\Local\Temp\OnboardLogs"\RTDC4011\2017-04-13</v>
      </c>
      <c r="AF22" s="82" t="str">
        <f t="shared" si="13"/>
        <v>"C:\Program Files (x86)\AstroGrep\AstroGrep.exe" /e /r /s /spath="%USERPROFILE%\AppData\Local\Temp\OnboardLogs" /stypes="app*4011*20170412*" /stext=" 12:.+((SYSTEM_STATE.+slice.+state.+changed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9"/>
        <v>"%USERPROFILE%\Documents\GitHub\eaglep3\Utilities\RefineRTDCRunTimes.py" --tripid 110-12 --locoid 4011 --swversion DE.1.0.9.0 --startMP 204:232978 --initTime 2017-04-12T05:25:09 --startdatetime 2017-04-12T05:41:20 --delay 1 --endMP 204:147 --enddatetime 2017-04-12T06:20:43 --enforcementcount 0 &gt;&gt;C:\Users\stu\Documents\GitHub\eaglep3-reporting\EC\2017-04-12-refined-times.txt</v>
      </c>
      <c r="AI22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{"issue":{"subject":"","project_id":79,"tracker_id":40,"status_id":1,"priority_id":2,"assigned_to_id":23,"start_date":"2017-04-12","description":"","custom_fields":[{"id":1,"name":"Subdivision","value":"EC"},{"id":4,"name":"Milepost","value":"0.0147"},{"id":17,"name":"Train ID","value":"110-12"},{"id":16,"name":"Locomotive ID","value":"4011"},{"id":130,"name":"Impact","value":""},{"id":150,"name":"Time of Event (Mountain Time)","value":"06:20:43"},{"id":151,"name":"Denver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8"/>
      <c r="AL22" s="48"/>
      <c r="AM22" s="150" t="str">
        <f t="shared" si="21"/>
        <v>start /low /b %USERPROFILE%\Documents\GitHub\eaglep3\Utilities\DownloadLogsFromS3.py --loco 4011 --day 2017-04-12</v>
      </c>
      <c r="AN22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12:20:43"},{"id":29,"name":"Sharepoint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676</v>
      </c>
      <c r="B23" s="7">
        <v>4042</v>
      </c>
      <c r="C23" s="21" t="s">
        <v>214</v>
      </c>
      <c r="D23" s="21" t="s">
        <v>872</v>
      </c>
      <c r="E23" s="13">
        <v>42837.210219907407</v>
      </c>
      <c r="F23" s="13">
        <v>42837.212164351855</v>
      </c>
      <c r="G23" s="7">
        <v>2</v>
      </c>
      <c r="H23" s="21" t="s">
        <v>873</v>
      </c>
      <c r="I23" s="13">
        <v>42837.243368055555</v>
      </c>
      <c r="J23" s="7">
        <v>0</v>
      </c>
      <c r="K23" s="97" t="str">
        <f t="shared" si="0"/>
        <v>4041/4042</v>
      </c>
      <c r="L23" s="21" t="str">
        <f>VLOOKUP(A23,'Trips&amp;Operators'!$C$1:$G$99999,5,FALSE)</f>
        <v>YOUNG ELIZABETH</v>
      </c>
      <c r="M23" s="6">
        <f t="shared" si="1"/>
        <v>3.1203703700157348E-2</v>
      </c>
      <c r="N23" s="7">
        <f t="shared" si="2"/>
        <v>44.933333328226581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 t="shared" si="5"/>
        <v>https://d0f6bd738d7f1b3e5a7ca70fe4ff75f0.us-east-1.aws.found.io/app/kibana#/discover/Steve-Slow-Train-Analysis-(2080s-and-2083s)?_g=(refreshInterval:(display:Off,pause:!f,section:0,value:0),time:(from:'2017-04-12T04:02:43-0600',mode:absolute,to:'2017-04-12T06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" s="183" t="str">
        <f t="shared" si="6"/>
        <v>N</v>
      </c>
      <c r="X23" s="183">
        <f t="shared" si="7"/>
        <v>1</v>
      </c>
      <c r="Y23" s="62">
        <f t="shared" si="8"/>
        <v>0.115</v>
      </c>
      <c r="Z23" s="62">
        <f t="shared" si="9"/>
        <v>23.331900000000001</v>
      </c>
      <c r="AA23" s="62">
        <f t="shared" si="10"/>
        <v>23.216900000000003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0111-12</v>
      </c>
      <c r="AE23" s="85" t="str">
        <f t="shared" si="12"/>
        <v>aws s3 cp s3://rtdc.mdm.uploadarchive.raw/RTDC4042/ "%USERPROFILE%\AppData\Local\Temp\OnboardLogs"\RTDC4042\2017-04-12 --exclude "*" --recursive --include "*20170412*" &amp; "%USERPROFILE%\Documents\GitHub\mrs-test-scripts\Headless Mode &amp; Sideloading\WalkAndUnGZ.bat" "%USERPROFILE%\AppData\Local\Temp\OnboardLogs"\RTDC4042\2017-04-12 &amp; aws s3 cp s3://rtdc.mdm.uploadarchive.raw/RTDC4042/ "%USERPROFILE%\AppData\Local\Temp\OnboardLogs"\RTDC4042\2017-04-13 --exclude "*" --recursive --include "*20170413*" &amp; "%USERPROFILE%\Documents\GitHub\mrs-test-scripts\Headless Mode &amp; Sideloading\WalkAndUnGZ.bat" "%USERPROFILE%\AppData\Local\Temp\OnboardLogs"\RTDC4042\2017-04-13</v>
      </c>
      <c r="AF23" s="82" t="str">
        <f t="shared" si="13"/>
        <v>"C:\Program Files (x86)\AstroGrep\AstroGrep.exe" /e /r /s /spath="%USERPROFILE%\AppData\Local\Temp\OnboardLogs" /stypes="app*4042*20170412*" /stext=" 11:.+((SYSTEM_STATE.+slice.+state.+changed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9"/>
        <v>"%USERPROFILE%\Documents\GitHub\eaglep3\Utilities\RefineRTDCRunTimes.py" --tripid 111-12 --locoid 4042 --swversion DE.1.0.9.0 --startMP 204:1150 --initTime 2017-04-12T05:02:43 --startdatetime 2017-04-12T05:05:31 --delay 2 --endMP 204:233319 --enddatetime 2017-04-12T05:50:27 --enforcementcount 0 &gt;&gt;C:\Users\stu\Documents\GitHub\eaglep3-reporting\EC\2017-04-12-refined-times.txt</v>
      </c>
      <c r="AI23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{"issue":{"subject":"","project_id":79,"tracker_id":40,"status_id":1,"priority_id":2,"assigned_to_id":23,"start_date":"2017-04-12","description":"","custom_fields":[{"id":1,"name":"Subdivision","value":"EC"},{"id":4,"name":"Milepost","value":"23.3319"},{"id":17,"name":"Train ID","value":"111-12"},{"id":16,"name":"Locomotive ID","value":"4042"},{"id":130,"name":"Impact","value":""},{"id":150,"name":"Time of Event (Mountain Time)","value":"05:50:27"},{"id":151,"name":"Denver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8"/>
      <c r="AL23" s="48"/>
      <c r="AM23" s="150" t="str">
        <f t="shared" si="21"/>
        <v>start /low /b %USERPROFILE%\Documents\GitHub\eaglep3\Utilities\DownloadLogsFromS3.py --loco 4042 --day 2017-04-12</v>
      </c>
      <c r="AN23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11:50:27"},{"id":29,"name":"Sharepoint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685</v>
      </c>
      <c r="B24" s="7">
        <v>4041</v>
      </c>
      <c r="C24" s="21" t="s">
        <v>214</v>
      </c>
      <c r="D24" s="21" t="s">
        <v>543</v>
      </c>
      <c r="E24" s="13">
        <v>42837.246354166666</v>
      </c>
      <c r="F24" s="13">
        <v>42837.248749999999</v>
      </c>
      <c r="G24" s="7">
        <v>1</v>
      </c>
      <c r="H24" s="21" t="s">
        <v>589</v>
      </c>
      <c r="I24" s="13">
        <v>42837.279652777775</v>
      </c>
      <c r="J24" s="7">
        <v>0</v>
      </c>
      <c r="K24" s="97" t="str">
        <f t="shared" si="0"/>
        <v>4041/4042</v>
      </c>
      <c r="L24" s="21" t="str">
        <f>VLOOKUP(A24,'Trips&amp;Operators'!$C$1:$G$99999,5,FALSE)</f>
        <v>YOUNG ELIZABETH</v>
      </c>
      <c r="M24" s="6">
        <f t="shared" si="1"/>
        <v>3.0902777776645962E-2</v>
      </c>
      <c r="N24" s="7">
        <f t="shared" si="2"/>
        <v>44.499999998370185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2" t="str">
        <f t="shared" si="5"/>
        <v>https://d0f6bd738d7f1b3e5a7ca70fe4ff75f0.us-east-1.aws.found.io/app/kibana#/discover/Steve-Slow-Train-Analysis-(2080s-and-2083s)?_g=(refreshInterval:(display:Off,pause:!f,section:0,value:0),time:(from:'2017-04-12T04:54:45-0600',mode:absolute,to:'2017-04-12T07:42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" s="183" t="str">
        <f t="shared" si="6"/>
        <v>N</v>
      </c>
      <c r="X24" s="183">
        <f t="shared" si="7"/>
        <v>1</v>
      </c>
      <c r="Y24" s="62">
        <f t="shared" si="8"/>
        <v>23.299600000000002</v>
      </c>
      <c r="Z24" s="62">
        <f t="shared" si="9"/>
        <v>1.7399999999999999E-2</v>
      </c>
      <c r="AA24" s="62">
        <f t="shared" si="10"/>
        <v>23.282200000000003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0112-12</v>
      </c>
      <c r="AE24" s="85" t="str">
        <f t="shared" si="12"/>
        <v>aws s3 cp s3://rtdc.mdm.uploadarchive.raw/RTDC4041/ "%USERPROFILE%\AppData\Local\Temp\OnboardLogs"\RTDC4041\2017-04-12 --exclude "*" --recursive --include "*20170412*" &amp; "%USERPROFILE%\Documents\GitHub\mrs-test-scripts\Headless Mode &amp; Sideloading\WalkAndUnGZ.bat" "%USERPROFILE%\AppData\Local\Temp\OnboardLogs"\RTDC4041\2017-04-12 &amp; aws s3 cp s3://rtdc.mdm.uploadarchive.raw/RTDC4041/ "%USERPROFILE%\AppData\Local\Temp\OnboardLogs"\RTDC4041\2017-04-13 --exclude "*" --recursive --include "*20170413*" &amp; "%USERPROFILE%\Documents\GitHub\mrs-test-scripts\Headless Mode &amp; Sideloading\WalkAndUnGZ.bat" "%USERPROFILE%\AppData\Local\Temp\OnboardLogs"\RTDC4041\2017-04-13</v>
      </c>
      <c r="AF24" s="82" t="str">
        <f t="shared" si="13"/>
        <v>"C:\Program Files (x86)\AstroGrep\AstroGrep.exe" /e /r /s /spath="%USERPROFILE%\AppData\Local\Temp\OnboardLogs" /stypes="app*4041*20170412*" /stext=" 12:.+((SYSTEM_STATE.+slice.+state.+changed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9"/>
        <v>"%USERPROFILE%\Documents\GitHub\eaglep3\Utilities\RefineRTDCRunTimes.py" --tripid 112-12 --locoid 4041 --swversion DE.1.0.9.0 --startMP 204:232996 --initTime 2017-04-12T05:54:45 --startdatetime 2017-04-12T05:58:12 --delay 1 --endMP 204:174 --enddatetime 2017-04-12T06:42:42 --enforcementcount 0 &gt;&gt;C:\Users\stu\Documents\GitHub\eaglep3-reporting\EC\2017-04-12-refined-times.txt</v>
      </c>
      <c r="AI24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{"issue":{"subject":"","project_id":79,"tracker_id":40,"status_id":1,"priority_id":2,"assigned_to_id":23,"start_date":"2017-04-12","description":"","custom_fields":[{"id":1,"name":"Subdivision","value":"EC"},{"id":4,"name":"Milepost","value":"0.0174"},{"id":17,"name":"Train ID","value":"112-12"},{"id":16,"name":"Locomotive ID","value":"4041"},{"id":130,"name":"Impact","value":""},{"id":150,"name":"Time of Event (Mountain Time)","value":"06:42:42"},{"id":151,"name":"Denver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8"/>
      <c r="AL24" s="48"/>
      <c r="AM24" s="150" t="str">
        <f t="shared" si="21"/>
        <v>start /low /b %USERPROFILE%\Documents\GitHub\eaglep3\Utilities\DownloadLogsFromS3.py --loco 4041 --day 2017-04-12</v>
      </c>
      <c r="AN24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12:42:42"},{"id":29,"name":"Sharepoint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617</v>
      </c>
      <c r="B25" s="7">
        <v>4020</v>
      </c>
      <c r="C25" s="21" t="s">
        <v>214</v>
      </c>
      <c r="D25" s="21" t="s">
        <v>569</v>
      </c>
      <c r="E25" s="13">
        <v>42837.220023148147</v>
      </c>
      <c r="F25" s="13">
        <v>42837.22179398148</v>
      </c>
      <c r="G25" s="7">
        <v>0</v>
      </c>
      <c r="H25" s="21" t="s">
        <v>518</v>
      </c>
      <c r="I25" s="13">
        <v>42837.250173611108</v>
      </c>
      <c r="J25" s="7">
        <v>0</v>
      </c>
      <c r="K25" s="97" t="str">
        <f t="shared" si="0"/>
        <v>4019/4020</v>
      </c>
      <c r="L25" s="21" t="str">
        <f>VLOOKUP(A25,'Trips&amp;Operators'!$C$1:$G$99999,5,FALSE)</f>
        <v>BADERTSCHER DIANE</v>
      </c>
      <c r="M25" s="6">
        <f t="shared" si="1"/>
        <v>2.8379629628034309E-2</v>
      </c>
      <c r="N25" s="7">
        <f t="shared" si="2"/>
        <v>40.866666664369404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2" t="str">
        <f t="shared" si="5"/>
        <v>https://d0f6bd738d7f1b3e5a7ca70fe4ff75f0.us-east-1.aws.found.io/app/kibana#/discover/Steve-Slow-Train-Analysis-(2080s-and-2083s)?_g=(refreshInterval:(display:Off,pause:!f,section:0,value:0),time:(from:'2017-04-12T04:16:50-0600',mode:absolute,to:'2017-04-12T07:00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5" s="183" t="str">
        <f t="shared" si="6"/>
        <v>N</v>
      </c>
      <c r="X25" s="183">
        <f t="shared" si="7"/>
        <v>1</v>
      </c>
      <c r="Y25" s="62">
        <f t="shared" si="8"/>
        <v>7.5700000000000003E-2</v>
      </c>
      <c r="Z25" s="62">
        <f t="shared" si="9"/>
        <v>23.331399999999999</v>
      </c>
      <c r="AA25" s="62">
        <f t="shared" si="10"/>
        <v>23.255699999999997</v>
      </c>
      <c r="AB25" s="59" t="str">
        <f>VLOOKUP(A25,Enforcements!$C$7:$K$13,8,0)</f>
        <v>Bulletin (2)</v>
      </c>
      <c r="AC25" s="55" t="str">
        <f>VLOOKUP(A25,Enforcements!$C$7:$E$13,3,0)</f>
        <v>GRADE CROSSING</v>
      </c>
      <c r="AD25" s="56" t="str">
        <f t="shared" si="11"/>
        <v>0113-12</v>
      </c>
      <c r="AE25" s="85" t="str">
        <f t="shared" si="12"/>
        <v>aws s3 cp s3://rtdc.mdm.uploadarchive.raw/RTDC4020/ "%USERPROFILE%\AppData\Local\Temp\OnboardLogs"\RTDC4020\2017-04-12 --exclude "*" --recursive --include "*20170412*" &amp; "%USERPROFILE%\Documents\GitHub\mrs-test-scripts\Headless Mode &amp; Sideloading\WalkAndUnGZ.bat" "%USERPROFILE%\AppData\Local\Temp\OnboardLogs"\RTDC4020\2017-04-12 &amp; aws s3 cp s3://rtdc.mdm.uploadarchive.raw/RTDC4020/ "%USERPROFILE%\AppData\Local\Temp\OnboardLogs"\RTDC4020\2017-04-13 --exclude "*" --recursive --include "*20170413*" &amp; "%USERPROFILE%\Documents\GitHub\mrs-test-scripts\Headless Mode &amp; Sideloading\WalkAndUnGZ.bat" "%USERPROFILE%\AppData\Local\Temp\OnboardLogs"\RTDC4020\2017-04-13</v>
      </c>
      <c r="AF25" s="82" t="str">
        <f t="shared" si="13"/>
        <v>"C:\Program Files (x86)\AstroGrep\AstroGrep.exe" /e /r /s /spath="%USERPROFILE%\AppData\Local\Temp\OnboardLogs" /stypes="app*4020*20170412*" /stext=" 12:.+((SYSTEM_STATE.+slice.+state.+changed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9"/>
        <v>"%USERPROFILE%\Documents\GitHub\eaglep3\Utilities\RefineRTDCRunTimes.py" --tripid 113-12 --locoid 4020 --swversion DE.1.0.9.0 --startMP 204:757 --initTime 2017-04-12T05:16:50 --startdatetime 2017-04-12T05:19:23 --delay 0 --endMP 204:233314 --enddatetime 2017-04-12T06:00:15 --enforcementcount 0 &gt;&gt;C:\Users\stu\Documents\GitHub\eaglep3-reporting\EC\2017-04-12-refined-times.txt</v>
      </c>
      <c r="AI25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{"issue":{"subject":"","project_id":79,"tracker_id":40,"status_id":1,"priority_id":2,"assigned_to_id":23,"start_date":"2017-04-12","description":"","custom_fields":[{"id":1,"name":"Subdivision","value":"EC"},{"id":4,"name":"Milepost","value":"23.3314"},{"id":17,"name":"Train ID","value":"113-12"},{"id":16,"name":"Locomotive ID","value":"4020"},{"id":130,"name":"Impact","value":""},{"id":150,"name":"Time of Event (Mountain Time)","value":"06:00:15"},{"id":151,"name":"Denver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8"/>
      <c r="AL25" s="48"/>
      <c r="AM25" s="150" t="str">
        <f t="shared" si="21"/>
        <v>start /low /b %USERPROFILE%\Documents\GitHub\eaglep3\Utilities\DownloadLogsFromS3.py --loco 4020 --day 2017-04-12</v>
      </c>
      <c r="AN25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12:00:15"},{"id":29,"name":"Sharepoint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689</v>
      </c>
      <c r="B26" s="7">
        <v>4019</v>
      </c>
      <c r="C26" s="21" t="s">
        <v>214</v>
      </c>
      <c r="D26" s="21" t="s">
        <v>473</v>
      </c>
      <c r="E26" s="13">
        <v>42837.252581018518</v>
      </c>
      <c r="F26" s="13">
        <v>42837.2578125</v>
      </c>
      <c r="G26" s="7">
        <v>1</v>
      </c>
      <c r="H26" s="21" t="s">
        <v>418</v>
      </c>
      <c r="I26" s="13">
        <v>42837.28701388889</v>
      </c>
      <c r="J26" s="7">
        <v>0</v>
      </c>
      <c r="K26" s="97" t="str">
        <f t="shared" si="0"/>
        <v>4019/4020</v>
      </c>
      <c r="L26" s="21" t="str">
        <f>VLOOKUP(A26,'Trips&amp;Operators'!$C$1:$G$99999,5,FALSE)</f>
        <v>BADERTSCHER DIANE</v>
      </c>
      <c r="M26" s="6">
        <f t="shared" si="1"/>
        <v>2.920138889021473E-2</v>
      </c>
      <c r="N26" s="7">
        <f t="shared" si="2"/>
        <v>42.050000001909211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 t="shared" si="5"/>
        <v>https://d0f6bd738d7f1b3e5a7ca70fe4ff75f0.us-east-1.aws.found.io/app/kibana#/discover/Steve-Slow-Train-Analysis-(2080s-and-2083s)?_g=(refreshInterval:(display:Off,pause:!f,section:0,value:0),time:(from:'2017-04-12T05:03:43-0600',mode:absolute,to:'2017-04-12T07:53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6" s="183" t="str">
        <f t="shared" si="6"/>
        <v>N</v>
      </c>
      <c r="X26" s="183">
        <f t="shared" si="7"/>
        <v>1</v>
      </c>
      <c r="Y26" s="62">
        <f t="shared" si="8"/>
        <v>23.297999999999998</v>
      </c>
      <c r="Z26" s="62">
        <f t="shared" si="9"/>
        <v>1.4500000000000001E-2</v>
      </c>
      <c r="AA26" s="62">
        <f t="shared" si="10"/>
        <v>23.283499999999997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0114-12</v>
      </c>
      <c r="AE26" s="85" t="str">
        <f t="shared" si="12"/>
        <v>aws s3 cp s3://rtdc.mdm.uploadarchive.raw/RTDC4019/ "%USERPROFILE%\AppData\Local\Temp\OnboardLogs"\RTDC4019\2017-04-12 --exclude "*" --recursive --include "*20170412*" &amp; "%USERPROFILE%\Documents\GitHub\mrs-test-scripts\Headless Mode &amp; Sideloading\WalkAndUnGZ.bat" "%USERPROFILE%\AppData\Local\Temp\OnboardLogs"\RTDC4019\2017-04-12 &amp; aws s3 cp s3://rtdc.mdm.uploadarchive.raw/RTDC4019/ "%USERPROFILE%\AppData\Local\Temp\OnboardLogs"\RTDC4019\2017-04-13 --exclude "*" --recursive --include "*20170413*" &amp; "%USERPROFILE%\Documents\GitHub\mrs-test-scripts\Headless Mode &amp; Sideloading\WalkAndUnGZ.bat" "%USERPROFILE%\AppData\Local\Temp\OnboardLogs"\RTDC4019\2017-04-13</v>
      </c>
      <c r="AF26" s="82" t="str">
        <f t="shared" si="13"/>
        <v>"C:\Program Files (x86)\AstroGrep\AstroGrep.exe" /e /r /s /spath="%USERPROFILE%\AppData\Local\Temp\OnboardLogs" /stypes="app*4019*20170412*" /stext=" 12:.+((SYSTEM_STATE.+slice.+state.+changed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9"/>
        <v>"%USERPROFILE%\Documents\GitHub\eaglep3\Utilities\RefineRTDCRunTimes.py" --tripid 114-12 --locoid 4019 --swversion DE.1.0.9.0 --startMP 204:232980 --initTime 2017-04-12T06:03:43 --startdatetime 2017-04-12T06:11:15 --delay 1 --endMP 204:145 --enddatetime 2017-04-12T06:53:18 --enforcementcount 0 &gt;&gt;C:\Users\stu\Documents\GitHub\eaglep3-reporting\EC\2017-04-12-refined-times.txt</v>
      </c>
      <c r="AI26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{"issue":{"subject":"","project_id":79,"tracker_id":40,"status_id":1,"priority_id":2,"assigned_to_id":23,"start_date":"2017-04-12","description":"","custom_fields":[{"id":1,"name":"Subdivision","value":"EC"},{"id":4,"name":"Milepost","value":"0.0145"},{"id":17,"name":"Train ID","value":"114-12"},{"id":16,"name":"Locomotive ID","value":"4019"},{"id":130,"name":"Impact","value":""},{"id":150,"name":"Time of Event (Mountain Time)","value":"06:53:18"},{"id":151,"name":"Denver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8"/>
      <c r="AL26" s="48"/>
      <c r="AM26" s="150" t="str">
        <f t="shared" si="21"/>
        <v>start /low /b %USERPROFILE%\Documents\GitHub\eaglep3\Utilities\DownloadLogsFromS3.py --loco 4019 --day 2017-04-12</v>
      </c>
      <c r="AN26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12:53:18"},{"id":29,"name":"Sharepoint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619</v>
      </c>
      <c r="B27" s="7">
        <v>4040</v>
      </c>
      <c r="C27" s="21" t="s">
        <v>214</v>
      </c>
      <c r="D27" s="21" t="s">
        <v>874</v>
      </c>
      <c r="E27" s="13">
        <v>42837.224942129629</v>
      </c>
      <c r="F27" s="13">
        <v>42837.230127314811</v>
      </c>
      <c r="G27" s="7">
        <v>2</v>
      </c>
      <c r="H27" s="21" t="s">
        <v>470</v>
      </c>
      <c r="I27" s="13">
        <v>42837.256365740737</v>
      </c>
      <c r="J27" s="7">
        <v>0</v>
      </c>
      <c r="K27" s="97" t="str">
        <f t="shared" si="0"/>
        <v>4039/4040</v>
      </c>
      <c r="L27" s="21" t="str">
        <f>VLOOKUP(A27,'Trips&amp;Operators'!$C$1:$G$99999,5,FALSE)</f>
        <v>STARKS ANGELINA</v>
      </c>
      <c r="M27" s="6">
        <f t="shared" si="1"/>
        <v>2.6238425925839692E-2</v>
      </c>
      <c r="N27" s="7">
        <f t="shared" si="2"/>
        <v>37.783333333209157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 t="shared" si="5"/>
        <v>https://d0f6bd738d7f1b3e5a7ca70fe4ff75f0.us-east-1.aws.found.io/app/kibana#/discover/Steve-Slow-Train-Analysis-(2080s-and-2083s)?_g=(refreshInterval:(display:Off,pause:!f,section:0,value:0),time:(from:'2017-04-12T04:23:55-0600',mode:absolute,to:'2017-04-12T07:09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7" s="183" t="str">
        <f t="shared" si="6"/>
        <v>N</v>
      </c>
      <c r="X27" s="183">
        <f t="shared" si="7"/>
        <v>1</v>
      </c>
      <c r="Y27" s="62">
        <f t="shared" si="8"/>
        <v>4.2700000000000002E-2</v>
      </c>
      <c r="Z27" s="62">
        <f t="shared" si="9"/>
        <v>23.328900000000001</v>
      </c>
      <c r="AA27" s="62">
        <f t="shared" si="10"/>
        <v>23.286200000000001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0115-12</v>
      </c>
      <c r="AE27" s="85" t="str">
        <f t="shared" si="12"/>
        <v>aws s3 cp s3://rtdc.mdm.uploadarchive.raw/RTDC4040/ "%USERPROFILE%\AppData\Local\Temp\OnboardLogs"\RTDC4040\2017-04-12 --exclude "*" --recursive --include "*20170412*" &amp; "%USERPROFILE%\Documents\GitHub\mrs-test-scripts\Headless Mode &amp; Sideloading\WalkAndUnGZ.bat" "%USERPROFILE%\AppData\Local\Temp\OnboardLogs"\RTDC4040\2017-04-12 &amp; aws s3 cp s3://rtdc.mdm.uploadarchive.raw/RTDC4040/ "%USERPROFILE%\AppData\Local\Temp\OnboardLogs"\RTDC4040\2017-04-13 --exclude "*" --recursive --include "*20170413*" &amp; "%USERPROFILE%\Documents\GitHub\mrs-test-scripts\Headless Mode &amp; Sideloading\WalkAndUnGZ.bat" "%USERPROFILE%\AppData\Local\Temp\OnboardLogs"\RTDC4040\2017-04-13</v>
      </c>
      <c r="AF27" s="82" t="str">
        <f t="shared" si="13"/>
        <v>"C:\Program Files (x86)\AstroGrep\AstroGrep.exe" /e /r /s /spath="%USERPROFILE%\AppData\Local\Temp\OnboardLogs" /stypes="app*4040*20170412*" /stext=" 12:.+((SYSTEM_STATE.+slice.+state.+changed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9"/>
        <v>"%USERPROFILE%\Documents\GitHub\eaglep3\Utilities\RefineRTDCRunTimes.py" --tripid 115-12 --locoid 4040 --swversion DE.1.0.9.0 --startMP 204:427 --initTime 2017-04-12T05:23:55 --startdatetime 2017-04-12T05:31:23 --delay 2 --endMP 204:233289 --enddatetime 2017-04-12T06:09:10 --enforcementcount 0 &gt;&gt;C:\Users\stu\Documents\GitHub\eaglep3-reporting\EC\2017-04-12-refined-times.txt</v>
      </c>
      <c r="AI27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{"issue":{"subject":"","project_id":79,"tracker_id":40,"status_id":1,"priority_id":2,"assigned_to_id":23,"start_date":"2017-04-12","description":"","custom_fields":[{"id":1,"name":"Subdivision","value":"EC"},{"id":4,"name":"Milepost","value":"23.3289"},{"id":17,"name":"Train ID","value":"115-12"},{"id":16,"name":"Locomotive ID","value":"4040"},{"id":130,"name":"Impact","value":""},{"id":150,"name":"Time of Event (Mountain Time)","value":"06:09:10"},{"id":151,"name":"Denver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8"/>
      <c r="AL27" s="48"/>
      <c r="AM27" s="150" t="str">
        <f t="shared" si="21"/>
        <v>start /low /b %USERPROFILE%\Documents\GitHub\eaglep3\Utilities\DownloadLogsFromS3.py --loco 4040 --day 2017-04-12</v>
      </c>
      <c r="AN27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12:09:10"},{"id":29,"name":"Sharepoint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693</v>
      </c>
      <c r="B28" s="7">
        <v>4039</v>
      </c>
      <c r="C28" s="21" t="s">
        <v>214</v>
      </c>
      <c r="D28" s="21" t="s">
        <v>507</v>
      </c>
      <c r="E28" s="13">
        <v>42837.266319444447</v>
      </c>
      <c r="F28" s="13">
        <v>42837.341145833336</v>
      </c>
      <c r="G28" s="7">
        <v>2</v>
      </c>
      <c r="H28" s="21" t="s">
        <v>875</v>
      </c>
      <c r="I28" s="13">
        <v>42837.37128472222</v>
      </c>
      <c r="J28" s="7">
        <v>0</v>
      </c>
      <c r="K28" s="97" t="str">
        <f t="shared" si="0"/>
        <v>4039/4040</v>
      </c>
      <c r="L28" s="21" t="str">
        <f>VLOOKUP(A28,'Trips&amp;Operators'!$C$1:$G$99999,5,FALSE)</f>
        <v>STARKS ANGELINA</v>
      </c>
      <c r="M28" s="6">
        <f t="shared" si="1"/>
        <v>3.0138888883811887E-2</v>
      </c>
      <c r="N28" s="7"/>
      <c r="O28" s="7"/>
      <c r="P28" s="7">
        <f>24*60*SUM($M28:$M28)</f>
        <v>43.399999992689118</v>
      </c>
      <c r="Q28" s="22"/>
      <c r="R28" s="22" t="s">
        <v>1037</v>
      </c>
      <c r="S28" s="31">
        <f t="shared" si="3"/>
        <v>0.75</v>
      </c>
      <c r="T28" s="46" t="str">
        <f t="shared" si="4"/>
        <v>Southbound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9</v>
      </c>
      <c r="V28" s="182" t="str">
        <f t="shared" si="5"/>
        <v>https://d0f6bd738d7f1b3e5a7ca70fe4ff75f0.us-east-1.aws.found.io/app/kibana#/discover/Steve-Slow-Train-Analysis-(2080s-and-2083s)?_g=(refreshInterval:(display:Off,pause:!f,section:0,value:0),time:(from:'2017-04-12T05:23:30-0600',mode:absolute,to:'2017-04-12T09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8" s="183" t="str">
        <f t="shared" si="6"/>
        <v>Y</v>
      </c>
      <c r="X28" s="183">
        <f t="shared" si="7"/>
        <v>1</v>
      </c>
      <c r="Y28" s="62">
        <f t="shared" si="8"/>
        <v>23.2972</v>
      </c>
      <c r="Z28" s="62">
        <f t="shared" si="9"/>
        <v>3.6181999999999999</v>
      </c>
      <c r="AA28" s="62">
        <f t="shared" si="10"/>
        <v>19.679000000000002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0116-12</v>
      </c>
      <c r="AE28" s="85" t="str">
        <f t="shared" si="12"/>
        <v>aws s3 cp s3://rtdc.mdm.uploadarchive.raw/RTDC4039/ "%USERPROFILE%\AppData\Local\Temp\OnboardLogs"\RTDC4039\2017-04-12 --exclude "*" --recursive --include "*20170412*" &amp; "%USERPROFILE%\Documents\GitHub\mrs-test-scripts\Headless Mode &amp; Sideloading\WalkAndUnGZ.bat" "%USERPROFILE%\AppData\Local\Temp\OnboardLogs"\RTDC4039\2017-04-12 &amp; aws s3 cp s3://rtdc.mdm.uploadarchive.raw/RTDC4039/ "%USERPROFILE%\AppData\Local\Temp\OnboardLogs"\RTDC4039\2017-04-13 --exclude "*" --recursive --include "*20170413*" &amp; "%USERPROFILE%\Documents\GitHub\mrs-test-scripts\Headless Mode &amp; Sideloading\WalkAndUnGZ.bat" "%USERPROFILE%\AppData\Local\Temp\OnboardLogs"\RTDC4039\2017-04-13</v>
      </c>
      <c r="AF28" s="82" t="str">
        <f t="shared" si="13"/>
        <v>"C:\Program Files (x86)\AstroGrep\AstroGrep.exe" /e /r /s /spath="%USERPROFILE%\AppData\Local\Temp\OnboardLogs" /stypes="app*4039*20170412*" /stext=" 14:.+((SYSTEM_STATE.+slice.+state.+changed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9"/>
        <v>"%USERPROFILE%\Documents\GitHub\eaglep3\Utilities\RefineRTDCRunTimes.py" --tripid 116-12 --locoid 4039 --swversion DE.1.0.9.0 --startMP 204:232972 --initTime 2017-04-12T06:23:30 --startdatetime 2017-04-12T08:11:15 --delay 2 --endMP 204:36182 --enddatetime 2017-04-12T08:54:39 --enforcementcount 0 &gt;&gt;C:\Users\stu\Documents\GitHub\eaglep3-reporting\EC\2017-04-12-refined-times.txt</v>
      </c>
      <c r="AI28" s="104" t="str">
        <f t="shared" si="20"/>
        <v>echo {"issue":{"subject":"Onboard in-route failure","project_id":79,"tracker_id":40,"status_id":1,"priority_id":2,"assigned_to_id":23,"start_date":"2017-04-12","description":"","custom_fields":[{"id":1,"name":"Subdivision","value":"EC"},{"id":4,"name":"Milepost","value":"3.6182"},{"id":17,"name":"Train ID","value":"116-12"},{"id":16,"name":"Locomotive ID","value":"4039"},{"id":130,"name":"Impact","value":""},{"id":150,"name":"Time of Event (Mountain Time)","value":"08:54:39"},{"id":151,"name":"Denver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8"/>
      <c r="AL28" s="48"/>
      <c r="AM28" s="150" t="str">
        <f t="shared" si="21"/>
        <v>start /low /b %USERPROFILE%\Documents\GitHub\eaglep3\Utilities\DownloadLogsFromS3.py --loco 4039 --day 2017-04-12</v>
      </c>
      <c r="AN28" s="159" t="str">
        <f t="shared" si="22"/>
        <v>echo {"issue":{"subject":"Onboard in-route failure","project_id":30,"tracker_id":4,"status_id":1,"priority_id":1,"assigned_to_id":10,"start_date":"2017-04-12","description":"","custom_fields":[{"id":30,"name":"Category","value":"Issue"},{"id":3,"name":"Functional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14:54:39"},{"id":29,"name":"Sharepoint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683</v>
      </c>
      <c r="B29" s="7">
        <v>4032</v>
      </c>
      <c r="C29" s="21" t="s">
        <v>214</v>
      </c>
      <c r="D29" s="21" t="s">
        <v>876</v>
      </c>
      <c r="E29" s="13">
        <v>42837.230706018519</v>
      </c>
      <c r="F29" s="13">
        <v>42837.239872685182</v>
      </c>
      <c r="G29" s="7">
        <v>1</v>
      </c>
      <c r="H29" s="21" t="s">
        <v>400</v>
      </c>
      <c r="I29" s="13">
        <v>42837.265914351854</v>
      </c>
      <c r="J29" s="7">
        <v>0</v>
      </c>
      <c r="K29" s="97" t="str">
        <f t="shared" si="0"/>
        <v>4031/4032</v>
      </c>
      <c r="L29" s="21" t="str">
        <f>VLOOKUP(A29,'Trips&amp;Operators'!$C$1:$G$99999,5,FALSE)</f>
        <v>MAELZER KURT</v>
      </c>
      <c r="M29" s="6">
        <f t="shared" si="1"/>
        <v>2.6041666671517305E-2</v>
      </c>
      <c r="N29" s="7">
        <f t="shared" ref="N29:N44" si="23">24*60*SUM($M29:$M29)</f>
        <v>37.500000006984919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 t="shared" si="5"/>
        <v>https://d0f6bd738d7f1b3e5a7ca70fe4ff75f0.us-east-1.aws.found.io/app/kibana#/discover/Steve-Slow-Train-Analysis-(2080s-and-2083s)?_g=(refreshInterval:(display:Off,pause:!f,section:0,value:0),time:(from:'2017-04-12T04:32:13-0600',mode:absolute,to:'2017-04-12T07:22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9" s="183" t="str">
        <f t="shared" si="6"/>
        <v>N</v>
      </c>
      <c r="X29" s="183">
        <f t="shared" si="7"/>
        <v>1</v>
      </c>
      <c r="Y29" s="62">
        <f t="shared" si="8"/>
        <v>7.6999999999999999E-2</v>
      </c>
      <c r="Z29" s="62">
        <f t="shared" si="9"/>
        <v>23.329499999999999</v>
      </c>
      <c r="AA29" s="62">
        <f t="shared" si="10"/>
        <v>23.252499999999998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0117-12</v>
      </c>
      <c r="AE29" s="85" t="str">
        <f t="shared" si="12"/>
        <v>aws s3 cp s3://rtdc.mdm.uploadarchive.raw/RTDC4032/ "%USERPROFILE%\AppData\Local\Temp\OnboardLogs"\RTDC4032\2017-04-12 --exclude "*" --recursive --include "*20170412*" &amp; "%USERPROFILE%\Documents\GitHub\mrs-test-scripts\Headless Mode &amp; Sideloading\WalkAndUnGZ.bat" "%USERPROFILE%\AppData\Local\Temp\OnboardLogs"\RTDC4032\2017-04-12 &amp; aws s3 cp s3://rtdc.mdm.uploadarchive.raw/RTDC4032/ "%USERPROFILE%\AppData\Local\Temp\OnboardLogs"\RTDC4032\2017-04-13 --exclude "*" --recursive --include "*20170413*" &amp; "%USERPROFILE%\Documents\GitHub\mrs-test-scripts\Headless Mode &amp; Sideloading\WalkAndUnGZ.bat" "%USERPROFILE%\AppData\Local\Temp\OnboardLogs"\RTDC4032\2017-04-13</v>
      </c>
      <c r="AF29" s="82" t="str">
        <f t="shared" si="13"/>
        <v>"C:\Program Files (x86)\AstroGrep\AstroGrep.exe" /e /r /s /spath="%USERPROFILE%\AppData\Local\Temp\OnboardLogs" /stypes="app*4032*20170412*" /stext=" 12:.+((SYSTEM_STATE.+slice.+state.+changed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9"/>
        <v>"%USERPROFILE%\Documents\GitHub\eaglep3\Utilities\RefineRTDCRunTimes.py" --tripid 117-12 --locoid 4032 --swversion DE.1.0.9.0 --startMP 204:770 --initTime 2017-04-12T05:32:13 --startdatetime 2017-04-12T05:45:25 --delay 1 --endMP 204:233295 --enddatetime 2017-04-12T06:22:55 --enforcementcount 0 &gt;&gt;C:\Users\stu\Documents\GitHub\eaglep3-reporting\EC\2017-04-12-refined-times.txt</v>
      </c>
      <c r="AI29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{"issue":{"subject":"","project_id":79,"tracker_id":40,"status_id":1,"priority_id":2,"assigned_to_id":23,"start_date":"2017-04-12","description":"","custom_fields":[{"id":1,"name":"Subdivision","value":"EC"},{"id":4,"name":"Milepost","value":"23.3295"},{"id":17,"name":"Train ID","value":"117-12"},{"id":16,"name":"Locomotive ID","value":"4032"},{"id":130,"name":"Impact","value":""},{"id":150,"name":"Time of Event (Mountain Time)","value":"06:22:55"},{"id":151,"name":"Denver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8"/>
      <c r="AL29" s="48"/>
      <c r="AM29" s="150" t="str">
        <f t="shared" si="21"/>
        <v>start /low /b %USERPROFILE%\Documents\GitHub\eaglep3\Utilities\DownloadLogsFromS3.py --loco 4032 --day 2017-04-12</v>
      </c>
      <c r="AN29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12:22:55"},{"id":29,"name":"Sharepoint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696</v>
      </c>
      <c r="B30" s="7">
        <v>4031</v>
      </c>
      <c r="C30" s="21" t="s">
        <v>214</v>
      </c>
      <c r="D30" s="21" t="s">
        <v>877</v>
      </c>
      <c r="E30" s="13">
        <v>42837.273449074077</v>
      </c>
      <c r="F30" s="13">
        <v>42837.278935185182</v>
      </c>
      <c r="G30" s="7">
        <v>1</v>
      </c>
      <c r="H30" s="21" t="s">
        <v>418</v>
      </c>
      <c r="I30" s="13">
        <v>42837.308657407404</v>
      </c>
      <c r="J30" s="7">
        <v>0</v>
      </c>
      <c r="K30" s="97" t="str">
        <f t="shared" si="0"/>
        <v>4031/4032</v>
      </c>
      <c r="L30" s="21" t="str">
        <f>VLOOKUP(A30,'Trips&amp;Operators'!$C$1:$G$99999,5,FALSE)</f>
        <v>MAELZER KURT</v>
      </c>
      <c r="M30" s="6">
        <f t="shared" si="1"/>
        <v>2.9722222221607808E-2</v>
      </c>
      <c r="N30" s="7">
        <f t="shared" si="23"/>
        <v>42.799999999115244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 t="shared" si="5"/>
        <v>https://d0f6bd738d7f1b3e5a7ca70fe4ff75f0.us-east-1.aws.found.io/app/kibana#/discover/Steve-Slow-Train-Analysis-(2080s-and-2083s)?_g=(refreshInterval:(display:Off,pause:!f,section:0,value:0),time:(from:'2017-04-12T05:33:46-0600',mode:absolute,to:'2017-04-12T08:24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0" s="183" t="str">
        <f t="shared" si="6"/>
        <v>N</v>
      </c>
      <c r="X30" s="183">
        <f t="shared" si="7"/>
        <v>1</v>
      </c>
      <c r="Y30" s="62">
        <f t="shared" si="8"/>
        <v>23.296900000000001</v>
      </c>
      <c r="Z30" s="62">
        <f t="shared" si="9"/>
        <v>1.4500000000000001E-2</v>
      </c>
      <c r="AA30" s="62">
        <f t="shared" si="10"/>
        <v>23.282399999999999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0118-12</v>
      </c>
      <c r="AE30" s="85" t="str">
        <f t="shared" si="12"/>
        <v>aws s3 cp s3://rtdc.mdm.uploadarchive.raw/RTDC4031/ "%USERPROFILE%\AppData\Local\Temp\OnboardLogs"\RTDC4031\2017-04-12 --exclude "*" --recursive --include "*20170412*" &amp; "%USERPROFILE%\Documents\GitHub\mrs-test-scripts\Headless Mode &amp; Sideloading\WalkAndUnGZ.bat" "%USERPROFILE%\AppData\Local\Temp\OnboardLogs"\RTDC4031\2017-04-12 &amp; aws s3 cp s3://rtdc.mdm.uploadarchive.raw/RTDC4031/ "%USERPROFILE%\AppData\Local\Temp\OnboardLogs"\RTDC4031\2017-04-13 --exclude "*" --recursive --include "*20170413*" &amp; "%USERPROFILE%\Documents\GitHub\mrs-test-scripts\Headless Mode &amp; Sideloading\WalkAndUnGZ.bat" "%USERPROFILE%\AppData\Local\Temp\OnboardLogs"\RTDC4031\2017-04-13</v>
      </c>
      <c r="AF30" s="82" t="str">
        <f t="shared" si="13"/>
        <v>"C:\Program Files (x86)\AstroGrep\AstroGrep.exe" /e /r /s /spath="%USERPROFILE%\AppData\Local\Temp\OnboardLogs" /stypes="app*4031*20170412*" /stext=" 13:.+((SYSTEM_STATE.+slice.+state.+changed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9"/>
        <v>"%USERPROFILE%\Documents\GitHub\eaglep3\Utilities\RefineRTDCRunTimes.py" --tripid 118-12 --locoid 4031 --swversion DE.1.0.9.0 --startMP 204:232969 --initTime 2017-04-12T06:33:46 --startdatetime 2017-04-12T06:41:40 --delay 1 --endMP 204:145 --enddatetime 2017-04-12T07:24:28 --enforcementcount 0 &gt;&gt;C:\Users\stu\Documents\GitHub\eaglep3-reporting\EC\2017-04-12-refined-times.txt</v>
      </c>
      <c r="AI30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{"issue":{"subject":"","project_id":79,"tracker_id":40,"status_id":1,"priority_id":2,"assigned_to_id":23,"start_date":"2017-04-12","description":"","custom_fields":[{"id":1,"name":"Subdivision","value":"EC"},{"id":4,"name":"Milepost","value":"0.0145"},{"id":17,"name":"Train ID","value":"118-12"},{"id":16,"name":"Locomotive ID","value":"4031"},{"id":130,"name":"Impact","value":""},{"id":150,"name":"Time of Event (Mountain Time)","value":"07:24:28"},{"id":151,"name":"Denver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8"/>
      <c r="AL30" s="48"/>
      <c r="AM30" s="150" t="str">
        <f t="shared" si="21"/>
        <v>start /low /b %USERPROFILE%\Documents\GitHub\eaglep3\Utilities\DownloadLogsFromS3.py --loco 4031 --day 2017-04-12</v>
      </c>
      <c r="AN30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13:24:28"},{"id":29,"name":"Sharepoint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684</v>
      </c>
      <c r="B31" s="7">
        <v>4054</v>
      </c>
      <c r="C31" s="21" t="s">
        <v>214</v>
      </c>
      <c r="D31" s="21" t="s">
        <v>210</v>
      </c>
      <c r="E31" s="13">
        <v>42837.242627314816</v>
      </c>
      <c r="F31" s="13">
        <v>42837.250185185185</v>
      </c>
      <c r="G31" s="7">
        <v>5</v>
      </c>
      <c r="H31" s="21" t="s">
        <v>407</v>
      </c>
      <c r="I31" s="13">
        <v>42837.275185185186</v>
      </c>
      <c r="J31" s="7">
        <v>0</v>
      </c>
      <c r="K31" s="97" t="str">
        <f t="shared" si="0"/>
        <v>4053/4054</v>
      </c>
      <c r="L31" s="21" t="str">
        <f>VLOOKUP(A31,'Trips&amp;Operators'!$C$1:$G$99999,5,FALSE)</f>
        <v>GEBRETEKLE DAGNEW</v>
      </c>
      <c r="M31" s="6">
        <f t="shared" si="1"/>
        <v>2.5000000001455192E-2</v>
      </c>
      <c r="N31" s="7">
        <f t="shared" si="23"/>
        <v>36.000000002095476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 t="shared" si="5"/>
        <v>https://d0f6bd738d7f1b3e5a7ca70fe4ff75f0.us-east-1.aws.found.io/app/kibana#/discover/Steve-Slow-Train-Analysis-(2080s-and-2083s)?_g=(refreshInterval:(display:Off,pause:!f,section:0,value:0),time:(from:'2017-04-12T04:49:23-0600',mode:absolute,to:'2017-04-12T07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1" s="183" t="str">
        <f t="shared" si="6"/>
        <v>N</v>
      </c>
      <c r="X31" s="183">
        <f t="shared" si="7"/>
        <v>1</v>
      </c>
      <c r="Y31" s="62">
        <f t="shared" si="8"/>
        <v>4.5499999999999999E-2</v>
      </c>
      <c r="Z31" s="62">
        <f t="shared" si="9"/>
        <v>23.330400000000001</v>
      </c>
      <c r="AA31" s="62">
        <f t="shared" si="10"/>
        <v>23.2849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0119-12</v>
      </c>
      <c r="AE31" s="85" t="str">
        <f t="shared" si="12"/>
        <v>aws s3 cp s3://rtdc.mdm.uploadarchive.raw/RTDC4054/ "%USERPROFILE%\AppData\Local\Temp\OnboardLogs"\RTDC4054\2017-04-12 --exclude "*" --recursive --include "*20170412*" &amp; "%USERPROFILE%\Documents\GitHub\mrs-test-scripts\Headless Mode &amp; Sideloading\WalkAndUnGZ.bat" "%USERPROFILE%\AppData\Local\Temp\OnboardLogs"\RTDC4054\2017-04-12 &amp; aws s3 cp s3://rtdc.mdm.uploadarchive.raw/RTDC4054/ "%USERPROFILE%\AppData\Local\Temp\OnboardLogs"\RTDC4054\2017-04-13 --exclude "*" --recursive --include "*20170413*" &amp; "%USERPROFILE%\Documents\GitHub\mrs-test-scripts\Headless Mode &amp; Sideloading\WalkAndUnGZ.bat" "%USERPROFILE%\AppData\Local\Temp\OnboardLogs"\RTDC4054\2017-04-13</v>
      </c>
      <c r="AF31" s="82" t="str">
        <f t="shared" si="13"/>
        <v>"C:\Program Files (x86)\AstroGrep\AstroGrep.exe" /e /r /s /spath="%USERPROFILE%\AppData\Local\Temp\OnboardLogs" /stypes="app*4054*20170412*" /stext=" 12:.+((SYSTEM_STATE.+slice.+state.+changed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9"/>
        <v>"%USERPROFILE%\Documents\GitHub\eaglep3\Utilities\RefineRTDCRunTimes.py" --tripid 119-12 --locoid 4054 --swversion DE.1.0.9.0 --startMP 204:455 --initTime 2017-04-12T05:49:23 --startdatetime 2017-04-12T06:00:16 --delay 5 --endMP 204:233304 --enddatetime 2017-04-12T06:36:16 --enforcementcount 0 &gt;&gt;C:\Users\stu\Documents\GitHub\eaglep3-reporting\EC\2017-04-12-refined-times.txt</v>
      </c>
      <c r="AI31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{"issue":{"subject":"","project_id":79,"tracker_id":40,"status_id":1,"priority_id":2,"assigned_to_id":23,"start_date":"2017-04-12","description":"","custom_fields":[{"id":1,"name":"Subdivision","value":"EC"},{"id":4,"name":"Milepost","value":"23.3304"},{"id":17,"name":"Train ID","value":"119-12"},{"id":16,"name":"Locomotive ID","value":"4054"},{"id":130,"name":"Impact","value":""},{"id":150,"name":"Time of Event (Mountain Time)","value":"06:36:16"},{"id":151,"name":"Denver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8"/>
      <c r="AL31" s="48"/>
      <c r="AM31" s="150" t="str">
        <f t="shared" si="21"/>
        <v>start /low /b %USERPROFILE%\Documents\GitHub\eaglep3\Utilities\DownloadLogsFromS3.py --loco 4054 --day 2017-04-12</v>
      </c>
      <c r="AN31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12:36:16"},{"id":29,"name":"Sharepoint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699</v>
      </c>
      <c r="B32" s="7">
        <v>4053</v>
      </c>
      <c r="C32" s="21" t="s">
        <v>214</v>
      </c>
      <c r="D32" s="21" t="s">
        <v>517</v>
      </c>
      <c r="E32" s="13">
        <v>42837.284467592595</v>
      </c>
      <c r="F32" s="13">
        <v>42837.289085648146</v>
      </c>
      <c r="G32" s="7">
        <v>2</v>
      </c>
      <c r="H32" s="21" t="s">
        <v>211</v>
      </c>
      <c r="I32" s="13">
        <v>42837.316631944443</v>
      </c>
      <c r="J32" s="7">
        <v>0</v>
      </c>
      <c r="K32" s="97" t="str">
        <f t="shared" si="0"/>
        <v>4053/4054</v>
      </c>
      <c r="L32" s="21" t="str">
        <f>VLOOKUP(A32,'Trips&amp;Operators'!$C$1:$G$99999,5,FALSE)</f>
        <v>GEBRETEKLE DAGNEW</v>
      </c>
      <c r="M32" s="6">
        <f t="shared" si="1"/>
        <v>2.7546296296350192E-2</v>
      </c>
      <c r="N32" s="7">
        <f t="shared" si="23"/>
        <v>39.666666666744277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 t="shared" si="5"/>
        <v>https://d0f6bd738d7f1b3e5a7ca70fe4ff75f0.us-east-1.aws.found.io/app/kibana#/discover/Steve-Slow-Train-Analysis-(2080s-and-2083s)?_g=(refreshInterval:(display:Off,pause:!f,section:0,value:0),time:(from:'2017-04-12T05:49:38-0600',mode:absolute,to:'2017-04-12T08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2" s="183" t="str">
        <f t="shared" si="6"/>
        <v>N</v>
      </c>
      <c r="X32" s="183">
        <f t="shared" si="7"/>
        <v>1</v>
      </c>
      <c r="Y32" s="62">
        <f t="shared" si="8"/>
        <v>23.2974</v>
      </c>
      <c r="Z32" s="62">
        <f t="shared" si="9"/>
        <v>1.47E-2</v>
      </c>
      <c r="AA32" s="62">
        <f t="shared" si="10"/>
        <v>23.282699999999998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0120-12</v>
      </c>
      <c r="AE32" s="85" t="str">
        <f t="shared" si="12"/>
        <v>aws s3 cp s3://rtdc.mdm.uploadarchive.raw/RTDC4053/ "%USERPROFILE%\AppData\Local\Temp\OnboardLogs"\RTDC4053\2017-04-12 --exclude "*" --recursive --include "*20170412*" &amp; "%USERPROFILE%\Documents\GitHub\mrs-test-scripts\Headless Mode &amp; Sideloading\WalkAndUnGZ.bat" "%USERPROFILE%\AppData\Local\Temp\OnboardLogs"\RTDC4053\2017-04-12 &amp; aws s3 cp s3://rtdc.mdm.uploadarchive.raw/RTDC4053/ "%USERPROFILE%\AppData\Local\Temp\OnboardLogs"\RTDC4053\2017-04-13 --exclude "*" --recursive --include "*20170413*" &amp; "%USERPROFILE%\Documents\GitHub\mrs-test-scripts\Headless Mode &amp; Sideloading\WalkAndUnGZ.bat" "%USERPROFILE%\AppData\Local\Temp\OnboardLogs"\RTDC4053\2017-04-13</v>
      </c>
      <c r="AF32" s="82" t="str">
        <f t="shared" si="13"/>
        <v>"C:\Program Files (x86)\AstroGrep\AstroGrep.exe" /e /r /s /spath="%USERPROFILE%\AppData\Local\Temp\OnboardLogs" /stypes="app*4053*20170412*" /stext=" 13:.+((SYSTEM_STATE.+slice.+state.+changed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9"/>
        <v>"%USERPROFILE%\Documents\GitHub\eaglep3\Utilities\RefineRTDCRunTimes.py" --tripid 120-12 --locoid 4053 --swversion DE.1.0.9.0 --startMP 204:232974 --initTime 2017-04-12T06:49:38 --startdatetime 2017-04-12T06:56:17 --delay 2 --endMP 204:147 --enddatetime 2017-04-12T07:35:57 --enforcementcount 0 &gt;&gt;C:\Users\stu\Documents\GitHub\eaglep3-reporting\EC\2017-04-12-refined-times.txt</v>
      </c>
      <c r="AI32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{"issue":{"subject":"","project_id":79,"tracker_id":40,"status_id":1,"priority_id":2,"assigned_to_id":23,"start_date":"2017-04-12","description":"","custom_fields":[{"id":1,"name":"Subdivision","value":"EC"},{"id":4,"name":"Milepost","value":"0.0147"},{"id":17,"name":"Train ID","value":"120-12"},{"id":16,"name":"Locomotive ID","value":"4053"},{"id":130,"name":"Impact","value":""},{"id":150,"name":"Time of Event (Mountain Time)","value":"07:35:57"},{"id":151,"name":"Denver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8"/>
      <c r="AL32" s="48"/>
      <c r="AM32" s="150" t="str">
        <f t="shared" si="21"/>
        <v>start /low /b %USERPROFILE%\Documents\GitHub\eaglep3\Utilities\DownloadLogsFromS3.py --loco 4053 --day 2017-04-12</v>
      </c>
      <c r="AN32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13:35:57"},{"id":29,"name":"Sharepoint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691</v>
      </c>
      <c r="B33" s="7">
        <v>4044</v>
      </c>
      <c r="C33" s="21" t="s">
        <v>214</v>
      </c>
      <c r="D33" s="21" t="s">
        <v>878</v>
      </c>
      <c r="E33" s="13">
        <v>42837.258483796293</v>
      </c>
      <c r="F33" s="13">
        <v>42837.261250000003</v>
      </c>
      <c r="G33" s="7">
        <v>1</v>
      </c>
      <c r="H33" s="21" t="s">
        <v>879</v>
      </c>
      <c r="I33" s="13">
        <v>42837.288969907408</v>
      </c>
      <c r="J33" s="7">
        <v>0</v>
      </c>
      <c r="K33" s="97" t="str">
        <f t="shared" si="0"/>
        <v>4043/4044</v>
      </c>
      <c r="L33" s="21" t="str">
        <f>VLOOKUP(A33,'Trips&amp;Operators'!$C$1:$G$99999,5,FALSE)</f>
        <v>BONDS REYNALDO</v>
      </c>
      <c r="M33" s="6">
        <f t="shared" si="1"/>
        <v>2.7719907404389232E-2</v>
      </c>
      <c r="N33" s="7">
        <f t="shared" si="23"/>
        <v>39.916666662320495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 t="shared" si="5"/>
        <v>https://d0f6bd738d7f1b3e5a7ca70fe4ff75f0.us-east-1.aws.found.io/app/kibana#/discover/Steve-Slow-Train-Analysis-(2080s-and-2083s)?_g=(refreshInterval:(display:Off,pause:!f,section:0,value:0),time:(from:'2017-04-12T05:12:13-0600',mode:absolute,to:'2017-04-12T07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3" s="183" t="str">
        <f t="shared" si="6"/>
        <v>N</v>
      </c>
      <c r="X33" s="183">
        <f t="shared" si="7"/>
        <v>1</v>
      </c>
      <c r="Y33" s="62">
        <f t="shared" si="8"/>
        <v>4.3799999999999999E-2</v>
      </c>
      <c r="Z33" s="62">
        <f t="shared" si="9"/>
        <v>23.326799999999999</v>
      </c>
      <c r="AA33" s="62">
        <f t="shared" si="10"/>
        <v>23.282999999999998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0121-12</v>
      </c>
      <c r="AE33" s="85" t="str">
        <f t="shared" si="12"/>
        <v>aws s3 cp s3://rtdc.mdm.uploadarchive.raw/RTDC4044/ "%USERPROFILE%\AppData\Local\Temp\OnboardLogs"\RTDC4044\2017-04-12 --exclude "*" --recursive --include "*20170412*" &amp; "%USERPROFILE%\Documents\GitHub\mrs-test-scripts\Headless Mode &amp; Sideloading\WalkAndUnGZ.bat" "%USERPROFILE%\AppData\Local\Temp\OnboardLogs"\RTDC4044\2017-04-12 &amp; aws s3 cp s3://rtdc.mdm.uploadarchive.raw/RTDC4044/ "%USERPROFILE%\AppData\Local\Temp\OnboardLogs"\RTDC4044\2017-04-13 --exclude "*" --recursive --include "*20170413*" &amp; "%USERPROFILE%\Documents\GitHub\mrs-test-scripts\Headless Mode &amp; Sideloading\WalkAndUnGZ.bat" "%USERPROFILE%\AppData\Local\Temp\OnboardLogs"\RTDC4044\2017-04-13</v>
      </c>
      <c r="AF33" s="82" t="str">
        <f t="shared" si="13"/>
        <v>"C:\Program Files (x86)\AstroGrep\AstroGrep.exe" /e /r /s /spath="%USERPROFILE%\AppData\Local\Temp\OnboardLogs" /stypes="app*4044*20170412*" /stext=" 12:.+((SYSTEM_STATE.+slice.+state.+changed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9"/>
        <v>"%USERPROFILE%\Documents\GitHub\eaglep3\Utilities\RefineRTDCRunTimes.py" --tripid 121-12 --locoid 4044 --swversion DE.1.0.9.0 --startMP 204:438 --initTime 2017-04-12T06:12:13 --startdatetime 2017-04-12T06:16:12 --delay 1 --endMP 204:233268 --enddatetime 2017-04-12T06:56:07 --enforcementcount 0 &gt;&gt;C:\Users\stu\Documents\GitHub\eaglep3-reporting\EC\2017-04-12-refined-times.txt</v>
      </c>
      <c r="AI33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{"issue":{"subject":"","project_id":79,"tracker_id":40,"status_id":1,"priority_id":2,"assigned_to_id":23,"start_date":"2017-04-12","description":"","custom_fields":[{"id":1,"name":"Subdivision","value":"EC"},{"id":4,"name":"Milepost","value":"23.3268"},{"id":17,"name":"Train ID","value":"121-12"},{"id":16,"name":"Locomotive ID","value":"4044"},{"id":130,"name":"Impact","value":""},{"id":150,"name":"Time of Event (Mountain Time)","value":"06:56:07"},{"id":151,"name":"Denver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8"/>
      <c r="AL33" s="48"/>
      <c r="AM33" s="150" t="str">
        <f t="shared" si="21"/>
        <v>start /low /b %USERPROFILE%\Documents\GitHub\eaglep3\Utilities\DownloadLogsFromS3.py --loco 4044 --day 2017-04-12</v>
      </c>
      <c r="AN33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12:56:07"},{"id":29,"name":"Sharepoint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701</v>
      </c>
      <c r="B34" s="7">
        <v>4043</v>
      </c>
      <c r="C34" s="21" t="s">
        <v>214</v>
      </c>
      <c r="D34" s="21" t="s">
        <v>492</v>
      </c>
      <c r="E34" s="13">
        <v>42837.294965277775</v>
      </c>
      <c r="F34" s="13">
        <v>42837.299479166664</v>
      </c>
      <c r="G34" s="7">
        <v>1</v>
      </c>
      <c r="H34" s="21" t="s">
        <v>402</v>
      </c>
      <c r="I34" s="13">
        <v>42837.329224537039</v>
      </c>
      <c r="J34" s="7">
        <v>0</v>
      </c>
      <c r="K34" s="97" t="str">
        <f t="shared" si="0"/>
        <v>4043/4044</v>
      </c>
      <c r="L34" s="21" t="str">
        <f>VLOOKUP(A34,'Trips&amp;Operators'!$C$1:$G$99999,5,FALSE)</f>
        <v>BONDS REYNALDO</v>
      </c>
      <c r="M34" s="6">
        <f t="shared" si="1"/>
        <v>2.9745370375167113E-2</v>
      </c>
      <c r="N34" s="7">
        <f t="shared" si="23"/>
        <v>42.833333340240642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 t="shared" si="5"/>
        <v>https://d0f6bd738d7f1b3e5a7ca70fe4ff75f0.us-east-1.aws.found.io/app/kibana#/discover/Steve-Slow-Train-Analysis-(2080s-and-2083s)?_g=(refreshInterval:(display:Off,pause:!f,section:0,value:0),time:(from:'2017-04-12T06:04:45-0600',mode:absolute,to:'2017-04-12T08:54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4" s="183" t="str">
        <f t="shared" si="6"/>
        <v>N</v>
      </c>
      <c r="X34" s="183">
        <f t="shared" si="7"/>
        <v>1</v>
      </c>
      <c r="Y34" s="62">
        <f t="shared" si="8"/>
        <v>23.2973</v>
      </c>
      <c r="Z34" s="62">
        <f t="shared" si="9"/>
        <v>1.41E-2</v>
      </c>
      <c r="AA34" s="62">
        <f t="shared" si="10"/>
        <v>23.283200000000001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0122-12</v>
      </c>
      <c r="AE34" s="85" t="str">
        <f t="shared" si="12"/>
        <v>aws s3 cp s3://rtdc.mdm.uploadarchive.raw/RTDC4043/ "%USERPROFILE%\AppData\Local\Temp\OnboardLogs"\RTDC4043\2017-04-12 --exclude "*" --recursive --include "*20170412*" &amp; "%USERPROFILE%\Documents\GitHub\mrs-test-scripts\Headless Mode &amp; Sideloading\WalkAndUnGZ.bat" "%USERPROFILE%\AppData\Local\Temp\OnboardLogs"\RTDC4043\2017-04-12 &amp; aws s3 cp s3://rtdc.mdm.uploadarchive.raw/RTDC4043/ "%USERPROFILE%\AppData\Local\Temp\OnboardLogs"\RTDC4043\2017-04-13 --exclude "*" --recursive --include "*20170413*" &amp; "%USERPROFILE%\Documents\GitHub\mrs-test-scripts\Headless Mode &amp; Sideloading\WalkAndUnGZ.bat" "%USERPROFILE%\AppData\Local\Temp\OnboardLogs"\RTDC4043\2017-04-13</v>
      </c>
      <c r="AF34" s="82" t="str">
        <f t="shared" si="13"/>
        <v>"C:\Program Files (x86)\AstroGrep\AstroGrep.exe" /e /r /s /spath="%USERPROFILE%\AppData\Local\Temp\OnboardLogs" /stypes="app*4043*20170412*" /stext=" 13:.+((SYSTEM_STATE.+slice.+state.+changed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9"/>
        <v>"%USERPROFILE%\Documents\GitHub\eaglep3\Utilities\RefineRTDCRunTimes.py" --tripid 122-12 --locoid 4043 --swversion DE.1.0.9.0 --startMP 204:232973 --initTime 2017-04-12T07:04:45 --startdatetime 2017-04-12T07:11:15 --delay 1 --endMP 204:141 --enddatetime 2017-04-12T07:54:05 --enforcementcount 0 &gt;&gt;C:\Users\stu\Documents\GitHub\eaglep3-reporting\EC\2017-04-12-refined-times.txt</v>
      </c>
      <c r="AI34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{"issue":{"subject":"","project_id":79,"tracker_id":40,"status_id":1,"priority_id":2,"assigned_to_id":23,"start_date":"2017-04-12","description":"","custom_fields":[{"id":1,"name":"Subdivision","value":"EC"},{"id":4,"name":"Milepost","value":"0.0141"},{"id":17,"name":"Train ID","value":"122-12"},{"id":16,"name":"Locomotive ID","value":"4043"},{"id":130,"name":"Impact","value":""},{"id":150,"name":"Time of Event (Mountain Time)","value":"07:54:05"},{"id":151,"name":"Denver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8"/>
      <c r="AL34" s="48"/>
      <c r="AM34" s="150" t="str">
        <f t="shared" si="21"/>
        <v>start /low /b %USERPROFILE%\Documents\GitHub\eaglep3\Utilities\DownloadLogsFromS3.py --loco 4043 --day 2017-04-12</v>
      </c>
      <c r="AN34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13:54:05"},{"id":29,"name":"Sharepoint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694</v>
      </c>
      <c r="B35" s="7">
        <v>4012</v>
      </c>
      <c r="C35" s="21" t="s">
        <v>214</v>
      </c>
      <c r="D35" s="21" t="s">
        <v>878</v>
      </c>
      <c r="E35" s="13">
        <v>42837.267546296294</v>
      </c>
      <c r="F35" s="13">
        <v>42837.271018518521</v>
      </c>
      <c r="G35" s="7">
        <v>1</v>
      </c>
      <c r="H35" s="21" t="s">
        <v>407</v>
      </c>
      <c r="I35" s="13">
        <v>42837.296620370369</v>
      </c>
      <c r="J35" s="7">
        <v>0</v>
      </c>
      <c r="K35" s="97" t="str">
        <f t="shared" si="0"/>
        <v>4011/4012</v>
      </c>
      <c r="L35" s="21" t="str">
        <f>VLOOKUP(A35,'Trips&amp;Operators'!$C$1:$G$99999,5,FALSE)</f>
        <v>SANTIZO D. EDY</v>
      </c>
      <c r="M35" s="6">
        <f t="shared" si="1"/>
        <v>2.5601851848477963E-2</v>
      </c>
      <c r="N35" s="7">
        <f t="shared" si="23"/>
        <v>36.866666661808267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 t="shared" si="5"/>
        <v>https://d0f6bd738d7f1b3e5a7ca70fe4ff75f0.us-east-1.aws.found.io/app/kibana#/discover/Steve-Slow-Train-Analysis-(2080s-and-2083s)?_g=(refreshInterval:(display:Off,pause:!f,section:0,value:0),time:(from:'2017-04-12T05:25:16-0600',mode:absolute,to:'2017-04-12T08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5" s="183" t="str">
        <f t="shared" si="6"/>
        <v>N</v>
      </c>
      <c r="X35" s="183">
        <f t="shared" si="7"/>
        <v>1</v>
      </c>
      <c r="Y35" s="62">
        <f t="shared" si="8"/>
        <v>4.3799999999999999E-2</v>
      </c>
      <c r="Z35" s="62">
        <f t="shared" si="9"/>
        <v>23.330400000000001</v>
      </c>
      <c r="AA35" s="62">
        <f t="shared" si="10"/>
        <v>23.2866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0123-12</v>
      </c>
      <c r="AE35" s="85" t="str">
        <f t="shared" si="12"/>
        <v>aws s3 cp s3://rtdc.mdm.uploadarchive.raw/RTDC4012/ "%USERPROFILE%\AppData\Local\Temp\OnboardLogs"\RTDC4012\2017-04-12 --exclude "*" --recursive --include "*20170412*" &amp; "%USERPROFILE%\Documents\GitHub\mrs-test-scripts\Headless Mode &amp; Sideloading\WalkAndUnGZ.bat" "%USERPROFILE%\AppData\Local\Temp\OnboardLogs"\RTDC4012\2017-04-12 &amp; aws s3 cp s3://rtdc.mdm.uploadarchive.raw/RTDC4012/ "%USERPROFILE%\AppData\Local\Temp\OnboardLogs"\RTDC4012\2017-04-13 --exclude "*" --recursive --include "*20170413*" &amp; "%USERPROFILE%\Documents\GitHub\mrs-test-scripts\Headless Mode &amp; Sideloading\WalkAndUnGZ.bat" "%USERPROFILE%\AppData\Local\Temp\OnboardLogs"\RTDC4012\2017-04-13</v>
      </c>
      <c r="AF35" s="82" t="str">
        <f t="shared" si="13"/>
        <v>"C:\Program Files (x86)\AstroGrep\AstroGrep.exe" /e /r /s /spath="%USERPROFILE%\AppData\Local\Temp\OnboardLogs" /stypes="app*4012*20170412*" /stext=" 13:.+((SYSTEM_STATE.+slice.+state.+changed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9"/>
        <v>"%USERPROFILE%\Documents\GitHub\eaglep3\Utilities\RefineRTDCRunTimes.py" --tripid 123-12 --locoid 4012 --swversion DE.1.0.9.0 --startMP 204:438 --initTime 2017-04-12T06:25:16 --startdatetime 2017-04-12T06:30:16 --delay 1 --endMP 204:233304 --enddatetime 2017-04-12T07:07:08 --enforcementcount 0 &gt;&gt;C:\Users\stu\Documents\GitHub\eaglep3-reporting\EC\2017-04-12-refined-times.txt</v>
      </c>
      <c r="AI35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{"issue":{"subject":"","project_id":79,"tracker_id":40,"status_id":1,"priority_id":2,"assigned_to_id":23,"start_date":"2017-04-12","description":"","custom_fields":[{"id":1,"name":"Subdivision","value":"EC"},{"id":4,"name":"Milepost","value":"23.3304"},{"id":17,"name":"Train ID","value":"123-12"},{"id":16,"name":"Locomotive ID","value":"4012"},{"id":130,"name":"Impact","value":""},{"id":150,"name":"Time of Event (Mountain Time)","value":"07:07:08"},{"id":151,"name":"Denver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8"/>
      <c r="AL35" s="48"/>
      <c r="AM35" s="150" t="str">
        <f t="shared" si="21"/>
        <v>start /low /b %USERPROFILE%\Documents\GitHub\eaglep3\Utilities\DownloadLogsFromS3.py --loco 4012 --day 2017-04-12</v>
      </c>
      <c r="AN35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13:07:08"},{"id":29,"name":"Sharepoint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703</v>
      </c>
      <c r="B36" s="7">
        <v>4011</v>
      </c>
      <c r="C36" s="21" t="s">
        <v>214</v>
      </c>
      <c r="D36" s="21" t="s">
        <v>880</v>
      </c>
      <c r="E36" s="13">
        <v>42837.298090277778</v>
      </c>
      <c r="F36" s="13">
        <v>42837.309895833336</v>
      </c>
      <c r="G36" s="7">
        <v>1</v>
      </c>
      <c r="H36" s="21" t="s">
        <v>211</v>
      </c>
      <c r="I36" s="13">
        <v>42837.337395833332</v>
      </c>
      <c r="J36" s="7">
        <v>0</v>
      </c>
      <c r="K36" s="97" t="str">
        <f t="shared" si="0"/>
        <v>4011/4012</v>
      </c>
      <c r="L36" s="21" t="str">
        <f>VLOOKUP(A36,'Trips&amp;Operators'!$C$1:$G$99999,5,FALSE)</f>
        <v>SANTIZO D. EDY</v>
      </c>
      <c r="M36" s="6">
        <f t="shared" si="1"/>
        <v>2.749999999650754E-2</v>
      </c>
      <c r="N36" s="7">
        <f t="shared" si="23"/>
        <v>39.599999994970858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 t="shared" si="5"/>
        <v>https://d0f6bd738d7f1b3e5a7ca70fe4ff75f0.us-east-1.aws.found.io/app/kibana#/discover/Steve-Slow-Train-Analysis-(2080s-and-2083s)?_g=(refreshInterval:(display:Off,pause:!f,section:0,value:0),time:(from:'2017-04-12T06:09:15-0600',mode:absolute,to:'2017-04-12T09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6" s="183" t="str">
        <f t="shared" si="6"/>
        <v>N</v>
      </c>
      <c r="X36" s="183">
        <f t="shared" si="7"/>
        <v>1</v>
      </c>
      <c r="Y36" s="62">
        <f t="shared" si="8"/>
        <v>23.298100000000002</v>
      </c>
      <c r="Z36" s="62">
        <f t="shared" si="9"/>
        <v>1.47E-2</v>
      </c>
      <c r="AA36" s="62">
        <f t="shared" si="10"/>
        <v>23.2834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0124-12</v>
      </c>
      <c r="AE36" s="85" t="str">
        <f t="shared" si="12"/>
        <v>aws s3 cp s3://rtdc.mdm.uploadarchive.raw/RTDC4011/ "%USERPROFILE%\AppData\Local\Temp\OnboardLogs"\RTDC4011\2017-04-12 --exclude "*" --recursive --include "*20170412*" &amp; "%USERPROFILE%\Documents\GitHub\mrs-test-scripts\Headless Mode &amp; Sideloading\WalkAndUnGZ.bat" "%USERPROFILE%\AppData\Local\Temp\OnboardLogs"\RTDC4011\2017-04-12 &amp; aws s3 cp s3://rtdc.mdm.uploadarchive.raw/RTDC4011/ "%USERPROFILE%\AppData\Local\Temp\OnboardLogs"\RTDC4011\2017-04-13 --exclude "*" --recursive --include "*20170413*" &amp; "%USERPROFILE%\Documents\GitHub\mrs-test-scripts\Headless Mode &amp; Sideloading\WalkAndUnGZ.bat" "%USERPROFILE%\AppData\Local\Temp\OnboardLogs"\RTDC4011\2017-04-13</v>
      </c>
      <c r="AF36" s="82" t="str">
        <f t="shared" si="13"/>
        <v>"C:\Program Files (x86)\AstroGrep\AstroGrep.exe" /e /r /s /spath="%USERPROFILE%\AppData\Local\Temp\OnboardLogs" /stypes="app*4011*20170412*" /stext=" 14:.+((SYSTEM_STATE.+slice.+state.+changed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9"/>
        <v>"%USERPROFILE%\Documents\GitHub\eaglep3\Utilities\RefineRTDCRunTimes.py" --tripid 124-12 --locoid 4011 --swversion DE.1.0.9.0 --startMP 204:232981 --initTime 2017-04-12T07:09:15 --startdatetime 2017-04-12T07:26:15 --delay 1 --endMP 204:147 --enddatetime 2017-04-12T08:05:51 --enforcementcount 0 &gt;&gt;C:\Users\stu\Documents\GitHub\eaglep3-reporting\EC\2017-04-12-refined-times.txt</v>
      </c>
      <c r="AI36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{"issue":{"subject":"","project_id":79,"tracker_id":40,"status_id":1,"priority_id":2,"assigned_to_id":23,"start_date":"2017-04-12","description":"","custom_fields":[{"id":1,"name":"Subdivision","value":"EC"},{"id":4,"name":"Milepost","value":"0.0147"},{"id":17,"name":"Train ID","value":"124-12"},{"id":16,"name":"Locomotive ID","value":"4011"},{"id":130,"name":"Impact","value":""},{"id":150,"name":"Time of Event (Mountain Time)","value":"08:05:51"},{"id":151,"name":"Denver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8"/>
      <c r="AL36" s="48"/>
      <c r="AM36" s="150" t="str">
        <f t="shared" si="21"/>
        <v>start /low /b %USERPROFILE%\Documents\GitHub\eaglep3\Utilities\DownloadLogsFromS3.py --loco 4011 --day 2017-04-12</v>
      </c>
      <c r="AN36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14:05:51"},{"id":29,"name":"Sharepoint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698</v>
      </c>
      <c r="B37" s="7">
        <v>4042</v>
      </c>
      <c r="C37" s="21" t="s">
        <v>214</v>
      </c>
      <c r="D37" s="21" t="s">
        <v>573</v>
      </c>
      <c r="E37" s="13">
        <v>42837.280381944445</v>
      </c>
      <c r="F37" s="13">
        <v>42837.281886574077</v>
      </c>
      <c r="G37" s="7">
        <v>1</v>
      </c>
      <c r="H37" s="21" t="s">
        <v>476</v>
      </c>
      <c r="I37" s="13">
        <v>42837.308495370373</v>
      </c>
      <c r="J37" s="7">
        <v>0</v>
      </c>
      <c r="K37" s="97" t="str">
        <f t="shared" si="0"/>
        <v>4041/4042</v>
      </c>
      <c r="L37" s="21" t="str">
        <f>VLOOKUP(A37,'Trips&amp;Operators'!$C$1:$G$99999,5,FALSE)</f>
        <v>ROCHA YAOTL</v>
      </c>
      <c r="M37" s="6">
        <f t="shared" si="1"/>
        <v>2.6608796295477077E-2</v>
      </c>
      <c r="N37" s="7">
        <f t="shared" si="23"/>
        <v>38.316666665486991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 t="shared" si="5"/>
        <v>https://d0f6bd738d7f1b3e5a7ca70fe4ff75f0.us-east-1.aws.found.io/app/kibana#/discover/Steve-Slow-Train-Analysis-(2080s-and-2083s)?_g=(refreshInterval:(display:Off,pause:!f,section:0,value:0),time:(from:'2017-04-12T05:43:45-0600',mode:absolute,to:'2017-04-12T08:24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7" s="183" t="str">
        <f t="shared" si="6"/>
        <v>N</v>
      </c>
      <c r="X37" s="183">
        <f t="shared" si="7"/>
        <v>1</v>
      </c>
      <c r="Y37" s="62">
        <f t="shared" si="8"/>
        <v>4.4200000000000003E-2</v>
      </c>
      <c r="Z37" s="62">
        <f t="shared" si="9"/>
        <v>23.3291</v>
      </c>
      <c r="AA37" s="62">
        <f t="shared" si="10"/>
        <v>23.2849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0125-12</v>
      </c>
      <c r="AE37" s="85" t="str">
        <f t="shared" si="12"/>
        <v>aws s3 cp s3://rtdc.mdm.uploadarchive.raw/RTDC4042/ "%USERPROFILE%\AppData\Local\Temp\OnboardLogs"\RTDC4042\2017-04-12 --exclude "*" --recursive --include "*20170412*" &amp; "%USERPROFILE%\Documents\GitHub\mrs-test-scripts\Headless Mode &amp; Sideloading\WalkAndUnGZ.bat" "%USERPROFILE%\AppData\Local\Temp\OnboardLogs"\RTDC4042\2017-04-12 &amp; aws s3 cp s3://rtdc.mdm.uploadarchive.raw/RTDC4042/ "%USERPROFILE%\AppData\Local\Temp\OnboardLogs"\RTDC4042\2017-04-13 --exclude "*" --recursive --include "*20170413*" &amp; "%USERPROFILE%\Documents\GitHub\mrs-test-scripts\Headless Mode &amp; Sideloading\WalkAndUnGZ.bat" "%USERPROFILE%\AppData\Local\Temp\OnboardLogs"\RTDC4042\2017-04-13</v>
      </c>
      <c r="AF37" s="82" t="str">
        <f t="shared" si="13"/>
        <v>"C:\Program Files (x86)\AstroGrep\AstroGrep.exe" /e /r /s /spath="%USERPROFILE%\AppData\Local\Temp\OnboardLogs" /stypes="app*4042*20170412*" /stext=" 13:.+((SYSTEM_STATE.+slice.+state.+changed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9"/>
        <v>"%USERPROFILE%\Documents\GitHub\eaglep3\Utilities\RefineRTDCRunTimes.py" --tripid 125-12 --locoid 4042 --swversion DE.1.0.9.0 --startMP 204:442 --initTime 2017-04-12T06:43:45 --startdatetime 2017-04-12T06:45:55 --delay 1 --endMP 204:233291 --enddatetime 2017-04-12T07:24:14 --enforcementcount 0 &gt;&gt;C:\Users\stu\Documents\GitHub\eaglep3-reporting\EC\2017-04-12-refined-times.txt</v>
      </c>
      <c r="AI37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{"issue":{"subject":"","project_id":79,"tracker_id":40,"status_id":1,"priority_id":2,"assigned_to_id":23,"start_date":"2017-04-12","description":"","custom_fields":[{"id":1,"name":"Subdivision","value":"EC"},{"id":4,"name":"Milepost","value":"23.3291"},{"id":17,"name":"Train ID","value":"125-12"},{"id":16,"name":"Locomotive ID","value":"4042"},{"id":130,"name":"Impact","value":""},{"id":150,"name":"Time of Event (Mountain Time)","value":"07:24:14"},{"id":151,"name":"Denver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8"/>
      <c r="AL37" s="48"/>
      <c r="AM37" s="150" t="str">
        <f t="shared" si="21"/>
        <v>start /low /b %USERPROFILE%\Documents\GitHub\eaglep3\Utilities\DownloadLogsFromS3.py --loco 4042 --day 2017-04-12</v>
      </c>
      <c r="AN37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13:24:14"},{"id":29,"name":"Sharepoint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707</v>
      </c>
      <c r="B38" s="7">
        <v>4041</v>
      </c>
      <c r="C38" s="21" t="s">
        <v>214</v>
      </c>
      <c r="D38" s="21" t="s">
        <v>492</v>
      </c>
      <c r="E38" s="13">
        <v>42837.318645833337</v>
      </c>
      <c r="F38" s="13">
        <v>42837.320405092592</v>
      </c>
      <c r="G38" s="7">
        <v>1</v>
      </c>
      <c r="H38" s="21" t="s">
        <v>418</v>
      </c>
      <c r="I38" s="13">
        <v>42837.348749999997</v>
      </c>
      <c r="J38" s="7">
        <v>0</v>
      </c>
      <c r="K38" s="97" t="str">
        <f t="shared" si="0"/>
        <v>4041/4042</v>
      </c>
      <c r="L38" s="21" t="str">
        <f>VLOOKUP(A38,'Trips&amp;Operators'!$C$1:$G$99999,5,FALSE)</f>
        <v>ROCHA YAOTL</v>
      </c>
      <c r="M38" s="6">
        <f t="shared" si="1"/>
        <v>2.8344907404971309E-2</v>
      </c>
      <c r="N38" s="7">
        <f t="shared" si="23"/>
        <v>40.816666663158685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 t="shared" si="5"/>
        <v>https://d0f6bd738d7f1b3e5a7ca70fe4ff75f0.us-east-1.aws.found.io/app/kibana#/discover/Steve-Slow-Train-Analysis-(2080s-and-2083s)?_g=(refreshInterval:(display:Off,pause:!f,section:0,value:0),time:(from:'2017-04-12T06:38:51-0600',mode:absolute,to:'2017-04-12T09:22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8" s="183" t="str">
        <f t="shared" si="6"/>
        <v>N</v>
      </c>
      <c r="X38" s="183">
        <f t="shared" si="7"/>
        <v>1</v>
      </c>
      <c r="Y38" s="62">
        <f t="shared" si="8"/>
        <v>23.2973</v>
      </c>
      <c r="Z38" s="62">
        <f t="shared" si="9"/>
        <v>1.4500000000000001E-2</v>
      </c>
      <c r="AA38" s="62">
        <f t="shared" si="10"/>
        <v>23.282799999999998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0126-12</v>
      </c>
      <c r="AE38" s="85" t="str">
        <f t="shared" si="12"/>
        <v>aws s3 cp s3://rtdc.mdm.uploadarchive.raw/RTDC4041/ "%USERPROFILE%\AppData\Local\Temp\OnboardLogs"\RTDC4041\2017-04-12 --exclude "*" --recursive --include "*20170412*" &amp; "%USERPROFILE%\Documents\GitHub\mrs-test-scripts\Headless Mode &amp; Sideloading\WalkAndUnGZ.bat" "%USERPROFILE%\AppData\Local\Temp\OnboardLogs"\RTDC4041\2017-04-12 &amp; aws s3 cp s3://rtdc.mdm.uploadarchive.raw/RTDC4041/ "%USERPROFILE%\AppData\Local\Temp\OnboardLogs"\RTDC4041\2017-04-13 --exclude "*" --recursive --include "*20170413*" &amp; "%USERPROFILE%\Documents\GitHub\mrs-test-scripts\Headless Mode &amp; Sideloading\WalkAndUnGZ.bat" "%USERPROFILE%\AppData\Local\Temp\OnboardLogs"\RTDC4041\2017-04-13</v>
      </c>
      <c r="AF38" s="82" t="str">
        <f t="shared" si="13"/>
        <v>"C:\Program Files (x86)\AstroGrep\AstroGrep.exe" /e /r /s /spath="%USERPROFILE%\AppData\Local\Temp\OnboardLogs" /stypes="app*4041*20170412*" /stext=" 14:.+((SYSTEM_STATE.+slice.+state.+changed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9"/>
        <v>"%USERPROFILE%\Documents\GitHub\eaglep3\Utilities\RefineRTDCRunTimes.py" --tripid 126-12 --locoid 4041 --swversion DE.1.0.9.0 --startMP 204:232973 --initTime 2017-04-12T07:38:51 --startdatetime 2017-04-12T07:41:23 --delay 1 --endMP 204:145 --enddatetime 2017-04-12T08:22:12 --enforcementcount 0 &gt;&gt;C:\Users\stu\Documents\GitHub\eaglep3-reporting\EC\2017-04-12-refined-times.txt</v>
      </c>
      <c r="AI38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{"issue":{"subject":"","project_id":79,"tracker_id":40,"status_id":1,"priority_id":2,"assigned_to_id":23,"start_date":"2017-04-12","description":"","custom_fields":[{"id":1,"name":"Subdivision","value":"EC"},{"id":4,"name":"Milepost","value":"0.0145"},{"id":17,"name":"Train ID","value":"126-12"},{"id":16,"name":"Locomotive ID","value":"4041"},{"id":130,"name":"Impact","value":""},{"id":150,"name":"Time of Event (Mountain Time)","value":"08:22:12"},{"id":151,"name":"Denver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8"/>
      <c r="AL38" s="48"/>
      <c r="AM38" s="150" t="str">
        <f t="shared" si="21"/>
        <v>start /low /b %USERPROFILE%\Documents\GitHub\eaglep3\Utilities\DownloadLogsFromS3.py --loco 4041 --day 2017-04-12</v>
      </c>
      <c r="AN38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14:22:12"},{"id":29,"name":"Sharepoint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700</v>
      </c>
      <c r="B39" s="7">
        <v>4020</v>
      </c>
      <c r="C39" s="21" t="s">
        <v>214</v>
      </c>
      <c r="D39" s="21" t="s">
        <v>577</v>
      </c>
      <c r="E39" s="13">
        <v>42837.288854166669</v>
      </c>
      <c r="F39" s="13">
        <v>42837.291817129626</v>
      </c>
      <c r="G39" s="7">
        <v>1</v>
      </c>
      <c r="H39" s="21" t="s">
        <v>881</v>
      </c>
      <c r="I39" s="13">
        <v>42837.317824074074</v>
      </c>
      <c r="J39" s="7">
        <v>0</v>
      </c>
      <c r="K39" s="97" t="str">
        <f t="shared" si="0"/>
        <v>4019/4020</v>
      </c>
      <c r="L39" s="21" t="str">
        <f>VLOOKUP(A39,'Trips&amp;Operators'!$C$1:$G$99999,5,FALSE)</f>
        <v>BADERTSCHER DIANE</v>
      </c>
      <c r="M39" s="6">
        <f t="shared" si="1"/>
        <v>2.6006944448454306E-2</v>
      </c>
      <c r="N39" s="7">
        <f t="shared" si="23"/>
        <v>37.4500000057742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 t="shared" si="5"/>
        <v>https://d0f6bd738d7f1b3e5a7ca70fe4ff75f0.us-east-1.aws.found.io/app/kibana#/discover/Steve-Slow-Train-Analysis-(2080s-and-2083s)?_g=(refreshInterval:(display:Off,pause:!f,section:0,value:0),time:(from:'2017-04-12T05:55:57-0600',mode:absolute,to:'2017-04-12T08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9" s="183" t="str">
        <f t="shared" si="6"/>
        <v>N</v>
      </c>
      <c r="X39" s="183">
        <f t="shared" si="7"/>
        <v>1</v>
      </c>
      <c r="Y39" s="62">
        <f t="shared" si="8"/>
        <v>4.3999999999999997E-2</v>
      </c>
      <c r="Z39" s="62">
        <f t="shared" si="9"/>
        <v>23.334700000000002</v>
      </c>
      <c r="AA39" s="62">
        <f t="shared" si="10"/>
        <v>23.290700000000001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0127-12</v>
      </c>
      <c r="AE39" s="85" t="str">
        <f t="shared" si="12"/>
        <v>aws s3 cp s3://rtdc.mdm.uploadarchive.raw/RTDC4020/ "%USERPROFILE%\AppData\Local\Temp\OnboardLogs"\RTDC4020\2017-04-12 --exclude "*" --recursive --include "*20170412*" &amp; "%USERPROFILE%\Documents\GitHub\mrs-test-scripts\Headless Mode &amp; Sideloading\WalkAndUnGZ.bat" "%USERPROFILE%\AppData\Local\Temp\OnboardLogs"\RTDC4020\2017-04-12 &amp; aws s3 cp s3://rtdc.mdm.uploadarchive.raw/RTDC4020/ "%USERPROFILE%\AppData\Local\Temp\OnboardLogs"\RTDC4020\2017-04-13 --exclude "*" --recursive --include "*20170413*" &amp; "%USERPROFILE%\Documents\GitHub\mrs-test-scripts\Headless Mode &amp; Sideloading\WalkAndUnGZ.bat" "%USERPROFILE%\AppData\Local\Temp\OnboardLogs"\RTDC4020\2017-04-13</v>
      </c>
      <c r="AF39" s="82" t="str">
        <f t="shared" si="13"/>
        <v>"C:\Program Files (x86)\AstroGrep\AstroGrep.exe" /e /r /s /spath="%USERPROFILE%\AppData\Local\Temp\OnboardLogs" /stypes="app*4020*20170412*" /stext=" 13:.+((SYSTEM_STATE.+slice.+state.+changed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9"/>
        <v>"%USERPROFILE%\Documents\GitHub\eaglep3\Utilities\RefineRTDCRunTimes.py" --tripid 127-12 --locoid 4020 --swversion DE.1.0.9.0 --startMP 204:440 --initTime 2017-04-12T06:55:57 --startdatetime 2017-04-12T07:00:13 --delay 1 --endMP 204:233347 --enddatetime 2017-04-12T07:37:40 --enforcementcount 0 &gt;&gt;C:\Users\stu\Documents\GitHub\eaglep3-reporting\EC\2017-04-12-refined-times.txt</v>
      </c>
      <c r="AI39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{"issue":{"subject":"","project_id":79,"tracker_id":40,"status_id":1,"priority_id":2,"assigned_to_id":23,"start_date":"2017-04-12","description":"","custom_fields":[{"id":1,"name":"Subdivision","value":"EC"},{"id":4,"name":"Milepost","value":"23.3347"},{"id":17,"name":"Train ID","value":"127-12"},{"id":16,"name":"Locomotive ID","value":"4020"},{"id":130,"name":"Impact","value":""},{"id":150,"name":"Time of Event (Mountain Time)","value":"07:37:40"},{"id":151,"name":"Denver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8"/>
      <c r="AL39" s="48"/>
      <c r="AM39" s="150" t="str">
        <f t="shared" si="21"/>
        <v>start /low /b %USERPROFILE%\Documents\GitHub\eaglep3\Utilities\DownloadLogsFromS3.py --loco 4020 --day 2017-04-12</v>
      </c>
      <c r="AN39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13:37:40"},{"id":29,"name":"Sharepoint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623</v>
      </c>
      <c r="B40" s="7">
        <v>4019</v>
      </c>
      <c r="C40" s="21" t="s">
        <v>214</v>
      </c>
      <c r="D40" s="21" t="s">
        <v>409</v>
      </c>
      <c r="E40" s="13">
        <v>42837.326388888891</v>
      </c>
      <c r="F40" s="13">
        <v>42837.330717592595</v>
      </c>
      <c r="G40" s="7">
        <v>3</v>
      </c>
      <c r="H40" s="21" t="s">
        <v>882</v>
      </c>
      <c r="I40" s="13">
        <v>42837.36042824074</v>
      </c>
      <c r="J40" s="7">
        <v>0</v>
      </c>
      <c r="K40" s="97" t="str">
        <f t="shared" si="0"/>
        <v>4019/4020</v>
      </c>
      <c r="L40" s="21" t="str">
        <f>VLOOKUP(A40,'Trips&amp;Operators'!$C$1:$G$99999,5,FALSE)</f>
        <v>BADERTSCHER DIANE</v>
      </c>
      <c r="M40" s="6">
        <f t="shared" si="1"/>
        <v>2.9710648144828156E-2</v>
      </c>
      <c r="N40" s="7">
        <f t="shared" si="23"/>
        <v>42.783333328552544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 t="shared" si="5"/>
        <v>https://d0f6bd738d7f1b3e5a7ca70fe4ff75f0.us-east-1.aws.found.io/app/kibana#/discover/Steve-Slow-Train-Analysis-(2080s-and-2083s)?_g=(refreshInterval:(display:Off,pause:!f,section:0,value:0),time:(from:'2017-04-12T06:50:00-0600',mode:absolute,to:'2017-04-12T09:39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0" s="183" t="str">
        <f t="shared" si="6"/>
        <v>N</v>
      </c>
      <c r="X40" s="183">
        <f t="shared" si="7"/>
        <v>1</v>
      </c>
      <c r="Y40" s="62">
        <f t="shared" si="8"/>
        <v>23.299299999999999</v>
      </c>
      <c r="Z40" s="62">
        <f t="shared" si="9"/>
        <v>2.58E-2</v>
      </c>
      <c r="AA40" s="62">
        <f t="shared" si="10"/>
        <v>23.273499999999999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0128-12</v>
      </c>
      <c r="AE40" s="85" t="str">
        <f t="shared" si="12"/>
        <v>aws s3 cp s3://rtdc.mdm.uploadarchive.raw/RTDC4019/ "%USERPROFILE%\AppData\Local\Temp\OnboardLogs"\RTDC4019\2017-04-12 --exclude "*" --recursive --include "*20170412*" &amp; "%USERPROFILE%\Documents\GitHub\mrs-test-scripts\Headless Mode &amp; Sideloading\WalkAndUnGZ.bat" "%USERPROFILE%\AppData\Local\Temp\OnboardLogs"\RTDC4019\2017-04-12 &amp; aws s3 cp s3://rtdc.mdm.uploadarchive.raw/RTDC4019/ "%USERPROFILE%\AppData\Local\Temp\OnboardLogs"\RTDC4019\2017-04-13 --exclude "*" --recursive --include "*20170413*" &amp; "%USERPROFILE%\Documents\GitHub\mrs-test-scripts\Headless Mode &amp; Sideloading\WalkAndUnGZ.bat" "%USERPROFILE%\AppData\Local\Temp\OnboardLogs"\RTDC4019\2017-04-13</v>
      </c>
      <c r="AF40" s="82" t="str">
        <f t="shared" si="13"/>
        <v>"C:\Program Files (x86)\AstroGrep\AstroGrep.exe" /e /r /s /spath="%USERPROFILE%\AppData\Local\Temp\OnboardLogs" /stypes="app*4019*20170412*" /stext=" 14:.+((SYSTEM_STATE.+slice.+state.+changed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si="19"/>
        <v>"%USERPROFILE%\Documents\GitHub\eaglep3\Utilities\RefineRTDCRunTimes.py" --tripid 128-12 --locoid 4019 --swversion DE.1.0.9.0 --startMP 204:232993 --initTime 2017-04-12T07:50:00 --startdatetime 2017-04-12T07:56:14 --delay 3 --endMP 204:258 --enddatetime 2017-04-12T08:39:01 --enforcementcount 0 &gt;&gt;C:\Users\stu\Documents\GitHub\eaglep3-reporting\EC\2017-04-12-refined-times.txt</v>
      </c>
      <c r="AI40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{"issue":{"subject":"","project_id":79,"tracker_id":40,"status_id":1,"priority_id":2,"assigned_to_id":23,"start_date":"2017-04-12","description":"","custom_fields":[{"id":1,"name":"Subdivision","value":"EC"},{"id":4,"name":"Milepost","value":"0.0258"},{"id":17,"name":"Train ID","value":"128-12"},{"id":16,"name":"Locomotive ID","value":"4019"},{"id":130,"name":"Impact","value":""},{"id":150,"name":"Time of Event (Mountain Time)","value":"08:39:01"},{"id":151,"name":"Denver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8"/>
      <c r="AL40" s="48"/>
      <c r="AM40" s="150" t="str">
        <f t="shared" si="21"/>
        <v>start /low /b %USERPROFILE%\Documents\GitHub\eaglep3\Utilities\DownloadLogsFromS3.py --loco 4019 --day 2017-04-12</v>
      </c>
      <c r="AN40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14:39:01"},{"id":29,"name":"Sharepoint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620</v>
      </c>
      <c r="B41" s="7">
        <v>4040</v>
      </c>
      <c r="C41" s="21" t="s">
        <v>214</v>
      </c>
      <c r="D41" s="21" t="s">
        <v>545</v>
      </c>
      <c r="E41" s="13">
        <v>42837.301828703705</v>
      </c>
      <c r="F41" s="13">
        <v>42837.303391203706</v>
      </c>
      <c r="G41" s="7">
        <v>1</v>
      </c>
      <c r="H41" s="21" t="s">
        <v>417</v>
      </c>
      <c r="I41" s="13">
        <v>42837.328692129631</v>
      </c>
      <c r="J41" s="7">
        <v>0</v>
      </c>
      <c r="K41" s="97" t="str">
        <f t="shared" si="0"/>
        <v>4039/4040</v>
      </c>
      <c r="L41" s="21" t="str">
        <f>VLOOKUP(A41,'Trips&amp;Operators'!$C$1:$G$99999,5,FALSE)</f>
        <v>STARKS ANGELINA</v>
      </c>
      <c r="M41" s="6">
        <f t="shared" si="1"/>
        <v>2.5300925924966577E-2</v>
      </c>
      <c r="N41" s="7">
        <f t="shared" si="23"/>
        <v>36.433333331951872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2" t="str">
        <f t="shared" si="5"/>
        <v>https://d0f6bd738d7f1b3e5a7ca70fe4ff75f0.us-east-1.aws.found.io/app/kibana#/discover/Steve-Slow-Train-Analysis-(2080s-and-2083s)?_g=(refreshInterval:(display:Off,pause:!f,section:0,value:0),time:(from:'2017-04-12T06:14:38-0600',mode:absolute,to:'2017-04-12T08:53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1" s="183" t="str">
        <f t="shared" si="6"/>
        <v>N</v>
      </c>
      <c r="X41" s="183">
        <f t="shared" si="7"/>
        <v>1</v>
      </c>
      <c r="Y41" s="62">
        <f t="shared" si="8"/>
        <v>4.7500000000000001E-2</v>
      </c>
      <c r="Z41" s="62">
        <f t="shared" si="9"/>
        <v>23.329699999999999</v>
      </c>
      <c r="AA41" s="62">
        <f t="shared" si="10"/>
        <v>23.2822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0129-12</v>
      </c>
      <c r="AE41" s="85" t="str">
        <f t="shared" si="12"/>
        <v>aws s3 cp s3://rtdc.mdm.uploadarchive.raw/RTDC4040/ "%USERPROFILE%\AppData\Local\Temp\OnboardLogs"\RTDC4040\2017-04-12 --exclude "*" --recursive --include "*20170412*" &amp; "%USERPROFILE%\Documents\GitHub\mrs-test-scripts\Headless Mode &amp; Sideloading\WalkAndUnGZ.bat" "%USERPROFILE%\AppData\Local\Temp\OnboardLogs"\RTDC4040\2017-04-12 &amp; aws s3 cp s3://rtdc.mdm.uploadarchive.raw/RTDC4040/ "%USERPROFILE%\AppData\Local\Temp\OnboardLogs"\RTDC4040\2017-04-13 --exclude "*" --recursive --include "*20170413*" &amp; "%USERPROFILE%\Documents\GitHub\mrs-test-scripts\Headless Mode &amp; Sideloading\WalkAndUnGZ.bat" "%USERPROFILE%\AppData\Local\Temp\OnboardLogs"\RTDC4040\2017-04-13</v>
      </c>
      <c r="AF41" s="82" t="str">
        <f t="shared" si="13"/>
        <v>"C:\Program Files (x86)\AstroGrep\AstroGrep.exe" /e /r /s /spath="%USERPROFILE%\AppData\Local\Temp\OnboardLogs" /stypes="app*4040*20170412*" /stext=" 13:.+((SYSTEM_STATE.+slice.+state.+changed )|(ment ac)|(multiple cpu faults)|(system.+state.+changed )|(\[timeout)|(PRM\|1\|D)|(kpr)|(kdp)|(\|lc)|(penalty))"</v>
      </c>
      <c r="AG41" s="1" t="str">
        <f t="shared" si="14"/>
        <v>EC</v>
      </c>
      <c r="AH41" s="86" t="str">
        <f t="shared" si="19"/>
        <v>"%USERPROFILE%\Documents\GitHub\eaglep3\Utilities\RefineRTDCRunTimes.py" --tripid 129-12 --locoid 4040 --swversion DE.1.0.9.0 --startMP 204:475 --initTime 2017-04-12T07:14:38 --startdatetime 2017-04-12T07:16:53 --delay 1 --endMP 204:233297 --enddatetime 2017-04-12T07:53:19 --enforcementcount 0 &gt;&gt;C:\Users\stu\Documents\GitHub\eaglep3-reporting\EC\2017-04-12-refined-times.txt</v>
      </c>
      <c r="AI41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{"issue":{"subject":"","project_id":79,"tracker_id":40,"status_id":1,"priority_id":2,"assigned_to_id":23,"start_date":"2017-04-12","description":"","custom_fields":[{"id":1,"name":"Subdivision","value":"EC"},{"id":4,"name":"Milepost","value":"23.3297"},{"id":17,"name":"Train ID","value":"129-12"},{"id":16,"name":"Locomotive ID","value":"4040"},{"id":130,"name":"Impact","value":""},{"id":150,"name":"Time of Event (Mountain Time)","value":"07:53:19"},{"id":151,"name":"Denver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8"/>
      <c r="AL41" s="48"/>
      <c r="AM41" s="150" t="str">
        <f t="shared" si="21"/>
        <v>start /low /b %USERPROFILE%\Documents\GitHub\eaglep3\Utilities\DownloadLogsFromS3.py --loco 4040 --day 2017-04-12</v>
      </c>
      <c r="AN41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13:53:19"},{"id":29,"name":"Sharepoint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710</v>
      </c>
      <c r="B42" s="7">
        <v>4039</v>
      </c>
      <c r="C42" s="21" t="s">
        <v>214</v>
      </c>
      <c r="D42" s="21" t="s">
        <v>877</v>
      </c>
      <c r="E42" s="13">
        <v>42837.334791666668</v>
      </c>
      <c r="F42" s="13">
        <v>42837.341145833336</v>
      </c>
      <c r="G42" s="7">
        <v>4</v>
      </c>
      <c r="H42" s="21" t="s">
        <v>418</v>
      </c>
      <c r="I42" s="13">
        <v>42837.37128472222</v>
      </c>
      <c r="J42" s="7">
        <v>0</v>
      </c>
      <c r="K42" s="97" t="str">
        <f t="shared" si="0"/>
        <v>4039/4040</v>
      </c>
      <c r="L42" s="21" t="str">
        <f>VLOOKUP(A42,'Trips&amp;Operators'!$C$1:$G$99999,5,FALSE)</f>
        <v>STARKS ANGELINA</v>
      </c>
      <c r="M42" s="6">
        <f t="shared" si="1"/>
        <v>3.0138888883811887E-2</v>
      </c>
      <c r="N42" s="7">
        <f t="shared" si="23"/>
        <v>43.399999992689118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2" t="str">
        <f t="shared" si="5"/>
        <v>https://d0f6bd738d7f1b3e5a7ca70fe4ff75f0.us-east-1.aws.found.io/app/kibana#/discover/Steve-Slow-Train-Analysis-(2080s-and-2083s)?_g=(refreshInterval:(display:Off,pause:!f,section:0,value:0),time:(from:'2017-04-12T07:02:06-0600',mode:absolute,to:'2017-04-12T09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2" s="183" t="str">
        <f t="shared" si="6"/>
        <v>N</v>
      </c>
      <c r="X42" s="183">
        <f t="shared" si="7"/>
        <v>1</v>
      </c>
      <c r="Y42" s="62">
        <f t="shared" si="8"/>
        <v>23.296900000000001</v>
      </c>
      <c r="Z42" s="62">
        <f t="shared" si="9"/>
        <v>1.4500000000000001E-2</v>
      </c>
      <c r="AA42" s="62">
        <f t="shared" si="10"/>
        <v>23.282399999999999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0130-12</v>
      </c>
      <c r="AE42" s="85" t="str">
        <f t="shared" si="12"/>
        <v>aws s3 cp s3://rtdc.mdm.uploadarchive.raw/RTDC4039/ "%USERPROFILE%\AppData\Local\Temp\OnboardLogs"\RTDC4039\2017-04-12 --exclude "*" --recursive --include "*20170412*" &amp; "%USERPROFILE%\Documents\GitHub\mrs-test-scripts\Headless Mode &amp; Sideloading\WalkAndUnGZ.bat" "%USERPROFILE%\AppData\Local\Temp\OnboardLogs"\RTDC4039\2017-04-12 &amp; aws s3 cp s3://rtdc.mdm.uploadarchive.raw/RTDC4039/ "%USERPROFILE%\AppData\Local\Temp\OnboardLogs"\RTDC4039\2017-04-13 --exclude "*" --recursive --include "*20170413*" &amp; "%USERPROFILE%\Documents\GitHub\mrs-test-scripts\Headless Mode &amp; Sideloading\WalkAndUnGZ.bat" "%USERPROFILE%\AppData\Local\Temp\OnboardLogs"\RTDC4039\2017-04-13</v>
      </c>
      <c r="AF42" s="82" t="str">
        <f t="shared" si="13"/>
        <v>"C:\Program Files (x86)\AstroGrep\AstroGrep.exe" /e /r /s /spath="%USERPROFILE%\AppData\Local\Temp\OnboardLogs" /stypes="app*4039*20170412*" /stext=" 14:.+((SYSTEM_STATE.+slice.+state.+changed )|(ment ac)|(multiple cpu faults)|(system.+state.+changed )|(\[timeout)|(PRM\|1\|D)|(kpr)|(kdp)|(\|lc)|(penalty))"</v>
      </c>
      <c r="AG42" s="1" t="str">
        <f t="shared" si="14"/>
        <v>EC</v>
      </c>
      <c r="AH42" s="86" t="str">
        <f t="shared" si="19"/>
        <v>"%USERPROFILE%\Documents\GitHub\eaglep3\Utilities\RefineRTDCRunTimes.py" --tripid 130-12 --locoid 4039 --swversion DE.1.0.9.0 --startMP 204:232969 --initTime 2017-04-12T08:02:06 --startdatetime 2017-04-12T08:11:15 --delay 4 --endMP 204:145 --enddatetime 2017-04-12T08:54:39 --enforcementcount 0 &gt;&gt;C:\Users\stu\Documents\GitHub\eaglep3-reporting\EC\2017-04-12-refined-times.txt</v>
      </c>
      <c r="AI42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{"issue":{"subject":"","project_id":79,"tracker_id":40,"status_id":1,"priority_id":2,"assigned_to_id":23,"start_date":"2017-04-12","description":"","custom_fields":[{"id":1,"name":"Subdivision","value":"EC"},{"id":4,"name":"Milepost","value":"0.0145"},{"id":17,"name":"Train ID","value":"130-12"},{"id":16,"name":"Locomotive ID","value":"4039"},{"id":130,"name":"Impact","value":""},{"id":150,"name":"Time of Event (Mountain Time)","value":"08:54:39"},{"id":151,"name":"Denver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8"/>
      <c r="AL42" s="48"/>
      <c r="AM42" s="150" t="str">
        <f t="shared" si="21"/>
        <v>start /low /b %USERPROFILE%\Documents\GitHub\eaglep3\Utilities\DownloadLogsFromS3.py --loco 4039 --day 2017-04-12</v>
      </c>
      <c r="AN42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14:54:39"},{"id":29,"name":"Sharepoint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705</v>
      </c>
      <c r="B43" s="7">
        <v>4032</v>
      </c>
      <c r="C43" s="21" t="s">
        <v>214</v>
      </c>
      <c r="D43" s="21" t="s">
        <v>577</v>
      </c>
      <c r="E43" s="13">
        <v>42837.31040509259</v>
      </c>
      <c r="F43" s="13">
        <v>42837.3127662037</v>
      </c>
      <c r="G43" s="7">
        <v>1</v>
      </c>
      <c r="H43" s="21" t="s">
        <v>456</v>
      </c>
      <c r="I43" s="13">
        <v>42837.337731481479</v>
      </c>
      <c r="J43" s="7">
        <v>0</v>
      </c>
      <c r="K43" s="97" t="str">
        <f t="shared" si="0"/>
        <v>4031/4032</v>
      </c>
      <c r="L43" s="21" t="str">
        <f>VLOOKUP(A43,'Trips&amp;Operators'!$C$1:$G$99999,5,FALSE)</f>
        <v>MAELZER KURT</v>
      </c>
      <c r="M43" s="6">
        <f t="shared" si="1"/>
        <v>2.4965277778392192E-2</v>
      </c>
      <c r="N43" s="7">
        <f t="shared" si="23"/>
        <v>35.950000000884756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 t="shared" si="5"/>
        <v>https://d0f6bd738d7f1b3e5a7ca70fe4ff75f0.us-east-1.aws.found.io/app/kibana#/discover/Steve-Slow-Train-Analysis-(2080s-and-2083s)?_g=(refreshInterval:(display:Off,pause:!f,section:0,value:0),time:(from:'2017-04-12T06:26:59-0600',mode:absolute,to:'2017-04-12T09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3" s="183" t="str">
        <f t="shared" si="6"/>
        <v>N</v>
      </c>
      <c r="X43" s="183">
        <f t="shared" si="7"/>
        <v>1</v>
      </c>
      <c r="Y43" s="62">
        <f t="shared" si="8"/>
        <v>4.3999999999999997E-2</v>
      </c>
      <c r="Z43" s="62">
        <f t="shared" si="9"/>
        <v>23.331199999999999</v>
      </c>
      <c r="AA43" s="62">
        <f t="shared" si="10"/>
        <v>23.287199999999999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0131-12</v>
      </c>
      <c r="AE43" s="85" t="str">
        <f t="shared" si="12"/>
        <v>aws s3 cp s3://rtdc.mdm.uploadarchive.raw/RTDC4032/ "%USERPROFILE%\AppData\Local\Temp\OnboardLogs"\RTDC4032\2017-04-12 --exclude "*" --recursive --include "*20170412*" &amp; "%USERPROFILE%\Documents\GitHub\mrs-test-scripts\Headless Mode &amp; Sideloading\WalkAndUnGZ.bat" "%USERPROFILE%\AppData\Local\Temp\OnboardLogs"\RTDC4032\2017-04-12 &amp; aws s3 cp s3://rtdc.mdm.uploadarchive.raw/RTDC4032/ "%USERPROFILE%\AppData\Local\Temp\OnboardLogs"\RTDC4032\2017-04-13 --exclude "*" --recursive --include "*20170413*" &amp; "%USERPROFILE%\Documents\GitHub\mrs-test-scripts\Headless Mode &amp; Sideloading\WalkAndUnGZ.bat" "%USERPROFILE%\AppData\Local\Temp\OnboardLogs"\RTDC4032\2017-04-13</v>
      </c>
      <c r="AF43" s="82" t="str">
        <f t="shared" si="13"/>
        <v>"C:\Program Files (x86)\AstroGrep\AstroGrep.exe" /e /r /s /spath="%USERPROFILE%\AppData\Local\Temp\OnboardLogs" /stypes="app*4032*20170412*" /stext=" 14:.+((SYSTEM_STATE.+slice.+state.+changed )|(ment ac)|(multiple cpu faults)|(system.+state.+changed )|(\[timeout)|(PRM\|1\|D)|(kpr)|(kdp)|(\|lc)|(penalty))"</v>
      </c>
      <c r="AG43" s="1" t="str">
        <f t="shared" si="14"/>
        <v>EC</v>
      </c>
      <c r="AH43" s="86" t="str">
        <f t="shared" si="19"/>
        <v>"%USERPROFILE%\Documents\GitHub\eaglep3\Utilities\RefineRTDCRunTimes.py" --tripid 131-12 --locoid 4032 --swversion DE.1.0.9.0 --startMP 204:440 --initTime 2017-04-12T07:26:59 --startdatetime 2017-04-12T07:30:23 --delay 1 --endMP 204:233312 --enddatetime 2017-04-12T08:06:20 --enforcementcount 0 &gt;&gt;C:\Users\stu\Documents\GitHub\eaglep3-reporting\EC\2017-04-12-refined-times.txt</v>
      </c>
      <c r="AI43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{"issue":{"subject":"","project_id":79,"tracker_id":40,"status_id":1,"priority_id":2,"assigned_to_id":23,"start_date":"2017-04-12","description":"","custom_fields":[{"id":1,"name":"Subdivision","value":"EC"},{"id":4,"name":"Milepost","value":"23.3312"},{"id":17,"name":"Train ID","value":"131-12"},{"id":16,"name":"Locomotive ID","value":"4032"},{"id":130,"name":"Impact","value":""},{"id":150,"name":"Time of Event (Mountain Time)","value":"08:06:20"},{"id":151,"name":"Denver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8"/>
      <c r="AL43" s="48"/>
      <c r="AM43" s="150" t="str">
        <f t="shared" si="21"/>
        <v>start /low /b %USERPROFILE%\Documents\GitHub\eaglep3\Utilities\DownloadLogsFromS3.py --loco 4032 --day 2017-04-12</v>
      </c>
      <c r="AN43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14:06:20"},{"id":29,"name":"Sharepoint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714</v>
      </c>
      <c r="B44" s="7">
        <v>4031</v>
      </c>
      <c r="C44" s="21" t="s">
        <v>214</v>
      </c>
      <c r="D44" s="21" t="s">
        <v>513</v>
      </c>
      <c r="E44" s="13">
        <v>42837.34747685185</v>
      </c>
      <c r="F44" s="13">
        <v>42837.351759259262</v>
      </c>
      <c r="G44" s="7">
        <v>0</v>
      </c>
      <c r="H44" s="21" t="s">
        <v>883</v>
      </c>
      <c r="I44" s="13">
        <v>42837.379340277781</v>
      </c>
      <c r="J44" s="7">
        <v>0</v>
      </c>
      <c r="K44" s="97" t="str">
        <f t="shared" si="0"/>
        <v>4031/4032</v>
      </c>
      <c r="L44" s="21" t="str">
        <f>VLOOKUP(A44,'Trips&amp;Operators'!$C$1:$G$99999,5,FALSE)</f>
        <v>MAELZER KURT</v>
      </c>
      <c r="M44" s="6">
        <f t="shared" si="1"/>
        <v>2.7581018519413192E-2</v>
      </c>
      <c r="N44" s="7">
        <f t="shared" si="23"/>
        <v>39.716666667954996</v>
      </c>
      <c r="O44" s="7"/>
      <c r="P44" s="7"/>
      <c r="Q44" s="22"/>
      <c r="R44" s="22"/>
      <c r="S44" s="31">
        <f t="shared" si="3"/>
        <v>1</v>
      </c>
      <c r="T44" s="46" t="str">
        <f t="shared" si="4"/>
        <v>Southbound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 t="shared" si="5"/>
        <v>https://d0f6bd738d7f1b3e5a7ca70fe4ff75f0.us-east-1.aws.found.io/app/kibana#/discover/Steve-Slow-Train-Analysis-(2080s-and-2083s)?_g=(refreshInterval:(display:Off,pause:!f,section:0,value:0),time:(from:'2017-04-12T07:20:22-0600',mode:absolute,to:'2017-04-12T10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4" s="183" t="str">
        <f t="shared" si="6"/>
        <v>N</v>
      </c>
      <c r="X44" s="183">
        <f t="shared" si="7"/>
        <v>1</v>
      </c>
      <c r="Y44" s="62">
        <f t="shared" si="8"/>
        <v>23.3</v>
      </c>
      <c r="Z44" s="62">
        <f t="shared" si="9"/>
        <v>1.3899999999999999E-2</v>
      </c>
      <c r="AA44" s="62">
        <f t="shared" si="10"/>
        <v>23.286100000000001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0132-12</v>
      </c>
      <c r="AE44" s="85" t="str">
        <f t="shared" si="12"/>
        <v>aws s3 cp s3://rtdc.mdm.uploadarchive.raw/RTDC4031/ "%USERPROFILE%\AppData\Local\Temp\OnboardLogs"\RTDC4031\2017-04-12 --exclude "*" --recursive --include "*20170412*" &amp; "%USERPROFILE%\Documents\GitHub\mrs-test-scripts\Headless Mode &amp; Sideloading\WalkAndUnGZ.bat" "%USERPROFILE%\AppData\Local\Temp\OnboardLogs"\RTDC4031\2017-04-12 &amp; aws s3 cp s3://rtdc.mdm.uploadarchive.raw/RTDC4031/ "%USERPROFILE%\AppData\Local\Temp\OnboardLogs"\RTDC4031\2017-04-13 --exclude "*" --recursive --include "*20170413*" &amp; "%USERPROFILE%\Documents\GitHub\mrs-test-scripts\Headless Mode &amp; Sideloading\WalkAndUnGZ.bat" "%USERPROFILE%\AppData\Local\Temp\OnboardLogs"\RTDC4031\2017-04-13</v>
      </c>
      <c r="AF44" s="82" t="str">
        <f t="shared" si="13"/>
        <v>"C:\Program Files (x86)\AstroGrep\AstroGrep.exe" /e /r /s /spath="%USERPROFILE%\AppData\Local\Temp\OnboardLogs" /stypes="app*4031*20170412*" /stext=" 15:.+((SYSTEM_STATE.+slice.+state.+changed )|(ment ac)|(multiple cpu faults)|(system.+state.+changed )|(\[timeout)|(PRM\|1\|D)|(kpr)|(kdp)|(\|lc)|(penalty))"</v>
      </c>
      <c r="AG44" s="1" t="str">
        <f t="shared" si="14"/>
        <v>EC</v>
      </c>
      <c r="AH44" s="86" t="str">
        <f t="shared" si="19"/>
        <v>"%USERPROFILE%\Documents\GitHub\eaglep3\Utilities\RefineRTDCRunTimes.py" --tripid 132-12 --locoid 4031 --swversion DE.1.0.9.0 --startMP 204:233000 --initTime 2017-04-12T08:20:22 --startdatetime 2017-04-12T08:26:32 --delay 0 --endMP 204:139 --enddatetime 2017-04-12T09:06:15 --enforcementcount 0 &gt;&gt;C:\Users\stu\Documents\GitHub\eaglep3-reporting\EC\2017-04-12-refined-times.txt</v>
      </c>
      <c r="AI44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{"issue":{"subject":"","project_id":79,"tracker_id":40,"status_id":1,"priority_id":2,"assigned_to_id":23,"start_date":"2017-04-12","description":"","custom_fields":[{"id":1,"name":"Subdivision","value":"EC"},{"id":4,"name":"Milepost","value":"0.0139"},{"id":17,"name":"Train ID","value":"132-12"},{"id":16,"name":"Locomotive ID","value":"4031"},{"id":130,"name":"Impact","value":""},{"id":150,"name":"Time of Event (Mountain Time)","value":"09:06:15"},{"id":151,"name":"Denver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8"/>
      <c r="AL44" s="48"/>
      <c r="AM44" s="150" t="str">
        <f t="shared" si="21"/>
        <v>start /low /b %USERPROFILE%\Documents\GitHub\eaglep3\Utilities\DownloadLogsFromS3.py --loco 4031 --day 2017-04-12</v>
      </c>
      <c r="AN44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15:06:15"},{"id":29,"name":"Sharepoint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706</v>
      </c>
      <c r="B45" s="7">
        <v>4054</v>
      </c>
      <c r="C45" s="21" t="s">
        <v>214</v>
      </c>
      <c r="D45" s="21" t="s">
        <v>571</v>
      </c>
      <c r="E45" s="13">
        <v>42837.317986111113</v>
      </c>
      <c r="F45" s="13">
        <v>42837.328900462962</v>
      </c>
      <c r="G45" s="7">
        <v>14</v>
      </c>
      <c r="H45" s="21" t="s">
        <v>884</v>
      </c>
      <c r="I45" s="13">
        <v>42837.350358796299</v>
      </c>
      <c r="J45" s="7">
        <v>0</v>
      </c>
      <c r="K45" s="97" t="str">
        <f t="shared" si="0"/>
        <v>4053/4054</v>
      </c>
      <c r="L45" s="21" t="str">
        <f>VLOOKUP(A45,'Trips&amp;Operators'!$C$1:$G$99999,5,FALSE)</f>
        <v>GEBRETEKLE DAGNEW</v>
      </c>
      <c r="M45" s="6">
        <f t="shared" si="1"/>
        <v>2.1458333336340729E-2</v>
      </c>
      <c r="N45" s="7"/>
      <c r="O45" s="7"/>
      <c r="P45" s="7">
        <f>24*60*SUM($M45:$M45)</f>
        <v>30.90000000433065</v>
      </c>
      <c r="Q45" s="22"/>
      <c r="R45" s="22" t="s">
        <v>1037</v>
      </c>
      <c r="S45" s="31">
        <f t="shared" si="3"/>
        <v>1</v>
      </c>
      <c r="T45" s="46" t="str">
        <f t="shared" si="4"/>
        <v>NorthBound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 t="shared" si="5"/>
        <v>https://d0f6bd738d7f1b3e5a7ca70fe4ff75f0.us-east-1.aws.found.io/app/kibana#/discover/Steve-Slow-Train-Analysis-(2080s-and-2083s)?_g=(refreshInterval:(display:Off,pause:!f,section:0,value:0),time:(from:'2017-04-12T06:37:54-0600',mode:absolute,to:'2017-04-12T09:24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5" s="183" t="str">
        <f t="shared" si="6"/>
        <v>Y</v>
      </c>
      <c r="X45" s="183">
        <f t="shared" si="7"/>
        <v>1</v>
      </c>
      <c r="Y45" s="62">
        <f t="shared" si="8"/>
        <v>1.9137</v>
      </c>
      <c r="Z45" s="62">
        <f t="shared" si="9"/>
        <v>23.330500000000001</v>
      </c>
      <c r="AA45" s="62">
        <f t="shared" si="10"/>
        <v>21.416800000000002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0133-12</v>
      </c>
      <c r="AE45" s="85" t="str">
        <f t="shared" si="12"/>
        <v>aws s3 cp s3://rtdc.mdm.uploadarchive.raw/RTDC4054/ "%USERPROFILE%\AppData\Local\Temp\OnboardLogs"\RTDC4054\2017-04-12 --exclude "*" --recursive --include "*20170412*" &amp; "%USERPROFILE%\Documents\GitHub\mrs-test-scripts\Headless Mode &amp; Sideloading\WalkAndUnGZ.bat" "%USERPROFILE%\AppData\Local\Temp\OnboardLogs"\RTDC4054\2017-04-12 &amp; aws s3 cp s3://rtdc.mdm.uploadarchive.raw/RTDC4054/ "%USERPROFILE%\AppData\Local\Temp\OnboardLogs"\RTDC4054\2017-04-13 --exclude "*" --recursive --include "*20170413*" &amp; "%USERPROFILE%\Documents\GitHub\mrs-test-scripts\Headless Mode &amp; Sideloading\WalkAndUnGZ.bat" "%USERPROFILE%\AppData\Local\Temp\OnboardLogs"\RTDC4054\2017-04-13</v>
      </c>
      <c r="AF45" s="82" t="str">
        <f t="shared" si="13"/>
        <v>"C:\Program Files (x86)\AstroGrep\AstroGrep.exe" /e /r /s /spath="%USERPROFILE%\AppData\Local\Temp\OnboardLogs" /stypes="app*4054*20170412*" /stext=" 14:.+((SYSTEM_STATE.+slice.+state.+changed )|(ment ac)|(multiple cpu faults)|(system.+state.+changed )|(\[timeout)|(PRM\|1\|D)|(kpr)|(kdp)|(\|lc)|(penalty))"</v>
      </c>
      <c r="AG45" s="1" t="str">
        <f t="shared" si="14"/>
        <v>EC</v>
      </c>
      <c r="AH45" s="86" t="str">
        <f t="shared" si="19"/>
        <v>"%USERPROFILE%\Documents\GitHub\eaglep3\Utilities\RefineRTDCRunTimes.py" --tripid 133-12 --locoid 4054 --swversion DE.1.0.9.0 --startMP 204:19137 --initTime 2017-04-12T07:37:54 --startdatetime 2017-04-12T07:53:37 --delay 14 --endMP 204:233305 --enddatetime 2017-04-12T08:24:31 --enforcementcount 0 &gt;&gt;C:\Users\stu\Documents\GitHub\eaglep3-reporting\EC\2017-04-12-refined-times.txt</v>
      </c>
      <c r="AI45" s="104" t="str">
        <f t="shared" si="20"/>
        <v>echo {"issue":{"subject":"Onboard in-route failure","project_id":79,"tracker_id":40,"status_id":1,"priority_id":2,"assigned_to_id":23,"start_date":"2017-04-12","description":"","custom_fields":[{"id":1,"name":"Subdivision","value":"EC"},{"id":4,"name":"Milepost","value":"23.3305"},{"id":17,"name":"Train ID","value":"133-12"},{"id":16,"name":"Locomotive ID","value":"4054"},{"id":130,"name":"Impact","value":""},{"id":150,"name":"Time of Event (Mountain Time)","value":"08:24:31"},{"id":151,"name":"Denver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8"/>
      <c r="AL45" s="48"/>
      <c r="AM45" s="150" t="str">
        <f t="shared" si="21"/>
        <v>start /low /b %USERPROFILE%\Documents\GitHub\eaglep3\Utilities\DownloadLogsFromS3.py --loco 4054 --day 2017-04-12</v>
      </c>
      <c r="AN45" s="159" t="str">
        <f t="shared" si="22"/>
        <v>echo {"issue":{"subject":"Onboard in-route failure","project_id":30,"tracker_id":4,"status_id":1,"priority_id":1,"assigned_to_id":10,"start_date":"2017-04-12","description":"","custom_fields":[{"id":30,"name":"Category","value":"Issue"},{"id":3,"name":"Functional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14:24:31"},{"id":29,"name":"Sharepoint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717</v>
      </c>
      <c r="B46" s="7">
        <v>4053</v>
      </c>
      <c r="C46" s="21" t="s">
        <v>214</v>
      </c>
      <c r="D46" s="21" t="s">
        <v>885</v>
      </c>
      <c r="E46" s="13">
        <v>42837.356134259258</v>
      </c>
      <c r="F46" s="13">
        <v>42837.36210648148</v>
      </c>
      <c r="G46" s="7">
        <v>1</v>
      </c>
      <c r="H46" s="21" t="s">
        <v>203</v>
      </c>
      <c r="I46" s="13">
        <v>42837.388726851852</v>
      </c>
      <c r="J46" s="7">
        <v>0</v>
      </c>
      <c r="K46" s="97" t="str">
        <f t="shared" si="0"/>
        <v>4053/4054</v>
      </c>
      <c r="L46" s="21" t="str">
        <f>VLOOKUP(A46,'Trips&amp;Operators'!$C$1:$G$99999,5,FALSE)</f>
        <v>GEBRETEKLE DAGNEW</v>
      </c>
      <c r="M46" s="6">
        <f t="shared" si="1"/>
        <v>2.662037037225673E-2</v>
      </c>
      <c r="N46" s="7">
        <f t="shared" ref="N46:N77" si="24">24*60*SUM($M46:$M46)</f>
        <v>38.333333336049691</v>
      </c>
      <c r="O46" s="7"/>
      <c r="P46" s="7"/>
      <c r="Q46" s="22"/>
      <c r="R46" s="22"/>
      <c r="S46" s="31">
        <f t="shared" si="3"/>
        <v>1</v>
      </c>
      <c r="T46" s="46" t="str">
        <f t="shared" si="4"/>
        <v>Southbound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 t="shared" si="5"/>
        <v>https://d0f6bd738d7f1b3e5a7ca70fe4ff75f0.us-east-1.aws.found.io/app/kibana#/discover/Steve-Slow-Train-Analysis-(2080s-and-2083s)?_g=(refreshInterval:(display:Off,pause:!f,section:0,value:0),time:(from:'2017-04-12T07:32:50-0600',mode:absolute,to:'2017-04-12T10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6" s="183" t="str">
        <f t="shared" si="6"/>
        <v>N</v>
      </c>
      <c r="X46" s="183">
        <f t="shared" si="7"/>
        <v>1</v>
      </c>
      <c r="Y46" s="62">
        <f t="shared" si="8"/>
        <v>23.298200000000001</v>
      </c>
      <c r="Z46" s="62">
        <f t="shared" si="9"/>
        <v>1.54E-2</v>
      </c>
      <c r="AA46" s="62">
        <f t="shared" si="10"/>
        <v>23.282800000000002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0134-12</v>
      </c>
      <c r="AE46" s="85" t="str">
        <f t="shared" si="12"/>
        <v>aws s3 cp s3://rtdc.mdm.uploadarchive.raw/RTDC4053/ "%USERPROFILE%\AppData\Local\Temp\OnboardLogs"\RTDC4053\2017-04-12 --exclude "*" --recursive --include "*20170412*" &amp; "%USERPROFILE%\Documents\GitHub\mrs-test-scripts\Headless Mode &amp; Sideloading\WalkAndUnGZ.bat" "%USERPROFILE%\AppData\Local\Temp\OnboardLogs"\RTDC4053\2017-04-12 &amp; aws s3 cp s3://rtdc.mdm.uploadarchive.raw/RTDC4053/ "%USERPROFILE%\AppData\Local\Temp\OnboardLogs"\RTDC4053\2017-04-13 --exclude "*" --recursive --include "*20170413*" &amp; "%USERPROFILE%\Documents\GitHub\mrs-test-scripts\Headless Mode &amp; Sideloading\WalkAndUnGZ.bat" "%USERPROFILE%\AppData\Local\Temp\OnboardLogs"\RTDC4053\2017-04-13</v>
      </c>
      <c r="AF46" s="82" t="str">
        <f t="shared" si="13"/>
        <v>"C:\Program Files (x86)\AstroGrep\AstroGrep.exe" /e /r /s /spath="%USERPROFILE%\AppData\Local\Temp\OnboardLogs" /stypes="app*4053*20170412*" /stext=" 15:.+((SYSTEM_STATE.+slice.+state.+changed )|(ment ac)|(multiple cpu faults)|(system.+state.+changed )|(\[timeout)|(PRM\|1\|D)|(kpr)|(kdp)|(\|lc)|(penalty))"</v>
      </c>
      <c r="AG46" s="1" t="str">
        <f t="shared" si="14"/>
        <v>EC</v>
      </c>
      <c r="AH46" s="86" t="str">
        <f t="shared" si="19"/>
        <v>"%USERPROFILE%\Documents\GitHub\eaglep3\Utilities\RefineRTDCRunTimes.py" --tripid 134-12 --locoid 4053 --swversion DE.1.0.9.0 --startMP 204:232982 --initTime 2017-04-12T08:32:50 --startdatetime 2017-04-12T08:41:26 --delay 1 --endMP 204:154 --enddatetime 2017-04-12T09:19:46 --enforcementcount 0 &gt;&gt;C:\Users\stu\Documents\GitHub\eaglep3-reporting\EC\2017-04-12-refined-times.txt</v>
      </c>
      <c r="AI46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{"issue":{"subject":"","project_id":79,"tracker_id":40,"status_id":1,"priority_id":2,"assigned_to_id":23,"start_date":"2017-04-12","description":"","custom_fields":[{"id":1,"name":"Subdivision","value":"EC"},{"id":4,"name":"Milepost","value":"0.0154"},{"id":17,"name":"Train ID","value":"134-12"},{"id":16,"name":"Locomotive ID","value":"4053"},{"id":130,"name":"Impact","value":""},{"id":150,"name":"Time of Event (Mountain Time)","value":"09:19:46"},{"id":151,"name":"Denver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8"/>
      <c r="AL46" s="48"/>
      <c r="AM46" s="150" t="str">
        <f t="shared" si="21"/>
        <v>start /low /b %USERPROFILE%\Documents\GitHub\eaglep3\Utilities\DownloadLogsFromS3.py --loco 4053 --day 2017-04-12</v>
      </c>
      <c r="AN46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15:19:46"},{"id":29,"name":"Sharepoint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709</v>
      </c>
      <c r="B47" s="7">
        <v>4044</v>
      </c>
      <c r="C47" s="21" t="s">
        <v>214</v>
      </c>
      <c r="D47" s="21" t="s">
        <v>548</v>
      </c>
      <c r="E47" s="13">
        <v>42837.330694444441</v>
      </c>
      <c r="F47" s="13">
        <v>42837.333495370367</v>
      </c>
      <c r="G47" s="7">
        <v>1</v>
      </c>
      <c r="H47" s="21" t="s">
        <v>590</v>
      </c>
      <c r="I47" s="13">
        <v>42837.359965277778</v>
      </c>
      <c r="J47" s="7">
        <v>0</v>
      </c>
      <c r="K47" s="97" t="str">
        <f t="shared" si="0"/>
        <v>4043/4044</v>
      </c>
      <c r="L47" s="21" t="str">
        <f>VLOOKUP(A47,'Trips&amp;Operators'!$C$1:$G$99999,5,FALSE)</f>
        <v>BONDS REYNALDO</v>
      </c>
      <c r="M47" s="6">
        <f t="shared" si="1"/>
        <v>2.6469907410501037E-2</v>
      </c>
      <c r="N47" s="7">
        <f t="shared" si="24"/>
        <v>38.116666671121493</v>
      </c>
      <c r="O47" s="7"/>
      <c r="P47" s="7"/>
      <c r="Q47" s="22"/>
      <c r="R47" s="22"/>
      <c r="S47" s="31">
        <f t="shared" si="3"/>
        <v>1</v>
      </c>
      <c r="T47" s="46" t="str">
        <f t="shared" si="4"/>
        <v>NorthBound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 t="shared" si="5"/>
        <v>https://d0f6bd738d7f1b3e5a7ca70fe4ff75f0.us-east-1.aws.found.io/app/kibana#/discover/Steve-Slow-Train-Analysis-(2080s-and-2083s)?_g=(refreshInterval:(display:Off,pause:!f,section:0,value:0),time:(from:'2017-04-12T06:56:12-0600',mode:absolute,to:'2017-04-12T09:38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7" s="183" t="str">
        <f t="shared" si="6"/>
        <v>N</v>
      </c>
      <c r="X47" s="183">
        <f t="shared" si="7"/>
        <v>1</v>
      </c>
      <c r="Y47" s="62">
        <f t="shared" si="8"/>
        <v>4.3299999999999998E-2</v>
      </c>
      <c r="Z47" s="62">
        <f t="shared" si="9"/>
        <v>23.328700000000001</v>
      </c>
      <c r="AA47" s="62">
        <f t="shared" si="10"/>
        <v>23.285400000000003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0135-12</v>
      </c>
      <c r="AE47" s="85" t="str">
        <f t="shared" si="12"/>
        <v>aws s3 cp s3://rtdc.mdm.uploadarchive.raw/RTDC4044/ "%USERPROFILE%\AppData\Local\Temp\OnboardLogs"\RTDC4044\2017-04-12 --exclude "*" --recursive --include "*20170412*" &amp; "%USERPROFILE%\Documents\GitHub\mrs-test-scripts\Headless Mode &amp; Sideloading\WalkAndUnGZ.bat" "%USERPROFILE%\AppData\Local\Temp\OnboardLogs"\RTDC4044\2017-04-12 &amp; aws s3 cp s3://rtdc.mdm.uploadarchive.raw/RTDC4044/ "%USERPROFILE%\AppData\Local\Temp\OnboardLogs"\RTDC4044\2017-04-13 --exclude "*" --recursive --include "*20170413*" &amp; "%USERPROFILE%\Documents\GitHub\mrs-test-scripts\Headless Mode &amp; Sideloading\WalkAndUnGZ.bat" "%USERPROFILE%\AppData\Local\Temp\OnboardLogs"\RTDC4044\2017-04-13</v>
      </c>
      <c r="AF47" s="82" t="str">
        <f t="shared" si="13"/>
        <v>"C:\Program Files (x86)\AstroGrep\AstroGrep.exe" /e /r /s /spath="%USERPROFILE%\AppData\Local\Temp\OnboardLogs" /stypes="app*4044*20170412*" /stext=" 14:.+((SYSTEM_STATE.+slice.+state.+changed )|(ment ac)|(multiple cpu faults)|(system.+state.+changed )|(\[timeout)|(PRM\|1\|D)|(kpr)|(kdp)|(\|lc)|(penalty))"</v>
      </c>
      <c r="AG47" s="1" t="str">
        <f t="shared" si="14"/>
        <v>EC</v>
      </c>
      <c r="AH47" s="86" t="str">
        <f t="shared" si="19"/>
        <v>"%USERPROFILE%\Documents\GitHub\eaglep3\Utilities\RefineRTDCRunTimes.py" --tripid 135-12 --locoid 4044 --swversion DE.1.0.9.0 --startMP 204:433 --initTime 2017-04-12T07:56:12 --startdatetime 2017-04-12T08:00:14 --delay 1 --endMP 204:233287 --enddatetime 2017-04-12T08:38:21 --enforcementcount 0 &gt;&gt;C:\Users\stu\Documents\GitHub\eaglep3-reporting\EC\2017-04-12-refined-times.txt</v>
      </c>
      <c r="AI47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{"issue":{"subject":"","project_id":79,"tracker_id":40,"status_id":1,"priority_id":2,"assigned_to_id":23,"start_date":"2017-04-12","description":"","custom_fields":[{"id":1,"name":"Subdivision","value":"EC"},{"id":4,"name":"Milepost","value":"23.3287"},{"id":17,"name":"Train ID","value":"135-12"},{"id":16,"name":"Locomotive ID","value":"4044"},{"id":130,"name":"Impact","value":""},{"id":150,"name":"Time of Event (Mountain Time)","value":"08:38:21"},{"id":151,"name":"Denver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8"/>
      <c r="AL47" s="48"/>
      <c r="AM47" s="150" t="str">
        <f t="shared" si="21"/>
        <v>start /low /b %USERPROFILE%\Documents\GitHub\eaglep3\Utilities\DownloadLogsFromS3.py --loco 4044 --day 2017-04-12</v>
      </c>
      <c r="AN47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14:38:21"},{"id":29,"name":"Sharepoint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720</v>
      </c>
      <c r="B48" s="7">
        <v>4043</v>
      </c>
      <c r="C48" s="21" t="s">
        <v>214</v>
      </c>
      <c r="D48" s="21" t="s">
        <v>880</v>
      </c>
      <c r="E48" s="13">
        <v>42837.367129629631</v>
      </c>
      <c r="F48" s="13">
        <v>42837.372499999998</v>
      </c>
      <c r="G48" s="7">
        <v>1</v>
      </c>
      <c r="H48" s="21" t="s">
        <v>419</v>
      </c>
      <c r="I48" s="13">
        <v>42837.400393518517</v>
      </c>
      <c r="J48" s="7">
        <v>0</v>
      </c>
      <c r="K48" s="97" t="str">
        <f t="shared" si="0"/>
        <v>4043/4044</v>
      </c>
      <c r="L48" s="21" t="str">
        <f>VLOOKUP(A48,'Trips&amp;Operators'!$C$1:$G$99999,5,FALSE)</f>
        <v>BONDS REYNALDO</v>
      </c>
      <c r="M48" s="6">
        <f t="shared" si="1"/>
        <v>2.789351851970423E-2</v>
      </c>
      <c r="N48" s="7">
        <f t="shared" si="24"/>
        <v>40.166666668374091</v>
      </c>
      <c r="O48" s="7"/>
      <c r="P48" s="7"/>
      <c r="Q48" s="22"/>
      <c r="R48" s="22"/>
      <c r="S48" s="31">
        <f t="shared" si="3"/>
        <v>1</v>
      </c>
      <c r="T48" s="46" t="str">
        <f t="shared" si="4"/>
        <v>Southbound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 t="shared" si="5"/>
        <v>https://d0f6bd738d7f1b3e5a7ca70fe4ff75f0.us-east-1.aws.found.io/app/kibana#/discover/Steve-Slow-Train-Analysis-(2080s-and-2083s)?_g=(refreshInterval:(display:Off,pause:!f,section:0,value:0),time:(from:'2017-04-12T07:48:40-0600',mode:absolute,to:'2017-04-12T10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8" s="183" t="str">
        <f t="shared" si="6"/>
        <v>N</v>
      </c>
      <c r="X48" s="183">
        <f t="shared" si="7"/>
        <v>1</v>
      </c>
      <c r="Y48" s="62">
        <f t="shared" si="8"/>
        <v>23.298100000000002</v>
      </c>
      <c r="Z48" s="62">
        <f t="shared" si="9"/>
        <v>1.6E-2</v>
      </c>
      <c r="AA48" s="62">
        <f t="shared" si="10"/>
        <v>23.282100000000003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0136-12</v>
      </c>
      <c r="AE48" s="85" t="str">
        <f t="shared" si="12"/>
        <v>aws s3 cp s3://rtdc.mdm.uploadarchive.raw/RTDC4043/ "%USERPROFILE%\AppData\Local\Temp\OnboardLogs"\RTDC4043\2017-04-12 --exclude "*" --recursive --include "*20170412*" &amp; "%USERPROFILE%\Documents\GitHub\mrs-test-scripts\Headless Mode &amp; Sideloading\WalkAndUnGZ.bat" "%USERPROFILE%\AppData\Local\Temp\OnboardLogs"\RTDC4043\2017-04-12 &amp; aws s3 cp s3://rtdc.mdm.uploadarchive.raw/RTDC4043/ "%USERPROFILE%\AppData\Local\Temp\OnboardLogs"\RTDC4043\2017-04-13 --exclude "*" --recursive --include "*20170413*" &amp; "%USERPROFILE%\Documents\GitHub\mrs-test-scripts\Headless Mode &amp; Sideloading\WalkAndUnGZ.bat" "%USERPROFILE%\AppData\Local\Temp\OnboardLogs"\RTDC4043\2017-04-13</v>
      </c>
      <c r="AF48" s="82" t="str">
        <f t="shared" si="13"/>
        <v>"C:\Program Files (x86)\AstroGrep\AstroGrep.exe" /e /r /s /spath="%USERPROFILE%\AppData\Local\Temp\OnboardLogs" /stypes="app*4043*20170412*" /stext=" 15:.+((SYSTEM_STATE.+slice.+state.+changed )|(ment ac)|(multiple cpu faults)|(system.+state.+changed )|(\[timeout)|(PRM\|1\|D)|(kpr)|(kdp)|(\|lc)|(penalty))"</v>
      </c>
      <c r="AG48" s="1" t="str">
        <f t="shared" si="14"/>
        <v>EC</v>
      </c>
      <c r="AH48" s="86" t="str">
        <f t="shared" si="19"/>
        <v>"%USERPROFILE%\Documents\GitHub\eaglep3\Utilities\RefineRTDCRunTimes.py" --tripid 136-12 --locoid 4043 --swversion DE.1.0.9.0 --startMP 204:232981 --initTime 2017-04-12T08:48:40 --startdatetime 2017-04-12T08:56:24 --delay 1 --endMP 204:160 --enddatetime 2017-04-12T09:36:34 --enforcementcount 0 &gt;&gt;C:\Users\stu\Documents\GitHub\eaglep3-reporting\EC\2017-04-12-refined-times.txt</v>
      </c>
      <c r="AI48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{"issue":{"subject":"","project_id":79,"tracker_id":40,"status_id":1,"priority_id":2,"assigned_to_id":23,"start_date":"2017-04-12","description":"","custom_fields":[{"id":1,"name":"Subdivision","value":"EC"},{"id":4,"name":"Milepost","value":"0.016"},{"id":17,"name":"Train ID","value":"136-12"},{"id":16,"name":"Locomotive ID","value":"4043"},{"id":130,"name":"Impact","value":""},{"id":150,"name":"Time of Event (Mountain Time)","value":"09:36:34"},{"id":151,"name":"Denver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8"/>
      <c r="AL48" s="48"/>
      <c r="AM48" s="150" t="str">
        <f t="shared" si="21"/>
        <v>start /low /b %USERPROFILE%\Documents\GitHub\eaglep3\Utilities\DownloadLogsFromS3.py --loco 4043 --day 2017-04-12</v>
      </c>
      <c r="AN48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15:36:34"},{"id":29,"name":"Sharepoint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712</v>
      </c>
      <c r="B49" s="7">
        <v>4012</v>
      </c>
      <c r="C49" s="21" t="s">
        <v>214</v>
      </c>
      <c r="D49" s="21" t="s">
        <v>210</v>
      </c>
      <c r="E49" s="13">
        <v>42837.339386574073</v>
      </c>
      <c r="F49" s="13">
        <v>42837.3440162037</v>
      </c>
      <c r="G49" s="7">
        <v>1</v>
      </c>
      <c r="H49" s="21" t="s">
        <v>535</v>
      </c>
      <c r="I49" s="13">
        <v>42837.368564814817</v>
      </c>
      <c r="J49" s="7">
        <v>0</v>
      </c>
      <c r="K49" s="97" t="str">
        <f t="shared" si="0"/>
        <v>4011/4012</v>
      </c>
      <c r="L49" s="21" t="str">
        <f>VLOOKUP(A49,'Trips&amp;Operators'!$C$1:$G$99999,5,FALSE)</f>
        <v>SANTIZO D. EDY</v>
      </c>
      <c r="M49" s="6">
        <f t="shared" si="1"/>
        <v>2.4548611116188113E-2</v>
      </c>
      <c r="N49" s="7">
        <f t="shared" si="24"/>
        <v>35.350000007310882</v>
      </c>
      <c r="O49" s="7"/>
      <c r="P49" s="7"/>
      <c r="Q49" s="22"/>
      <c r="R49" s="22"/>
      <c r="S49" s="31">
        <f t="shared" si="3"/>
        <v>1</v>
      </c>
      <c r="T49" s="46" t="str">
        <f t="shared" si="4"/>
        <v>NorthBound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 t="shared" si="5"/>
        <v>https://d0f6bd738d7f1b3e5a7ca70fe4ff75f0.us-east-1.aws.found.io/app/kibana#/discover/Steve-Slow-Train-Analysis-(2080s-and-2083s)?_g=(refreshInterval:(display:Off,pause:!f,section:0,value:0),time:(from:'2017-04-12T07:08:43-0600',mode:absolute,to:'2017-04-12T09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9" s="183" t="str">
        <f t="shared" si="6"/>
        <v>N</v>
      </c>
      <c r="X49" s="183">
        <f t="shared" si="7"/>
        <v>1</v>
      </c>
      <c r="Y49" s="62">
        <f t="shared" si="8"/>
        <v>4.5499999999999999E-2</v>
      </c>
      <c r="Z49" s="62">
        <f t="shared" si="9"/>
        <v>23.330300000000001</v>
      </c>
      <c r="AA49" s="62">
        <f t="shared" si="10"/>
        <v>23.284800000000001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1"/>
        <v>0137-12</v>
      </c>
      <c r="AE49" s="85" t="str">
        <f t="shared" si="12"/>
        <v>aws s3 cp s3://rtdc.mdm.uploadarchive.raw/RTDC4012/ "%USERPROFILE%\AppData\Local\Temp\OnboardLogs"\RTDC4012\2017-04-12 --exclude "*" --recursive --include "*20170412*" &amp; "%USERPROFILE%\Documents\GitHub\mrs-test-scripts\Headless Mode &amp; Sideloading\WalkAndUnGZ.bat" "%USERPROFILE%\AppData\Local\Temp\OnboardLogs"\RTDC4012\2017-04-12 &amp; aws s3 cp s3://rtdc.mdm.uploadarchive.raw/RTDC4012/ "%USERPROFILE%\AppData\Local\Temp\OnboardLogs"\RTDC4012\2017-04-13 --exclude "*" --recursive --include "*20170413*" &amp; "%USERPROFILE%\Documents\GitHub\mrs-test-scripts\Headless Mode &amp; Sideloading\WalkAndUnGZ.bat" "%USERPROFILE%\AppData\Local\Temp\OnboardLogs"\RTDC4012\2017-04-13</v>
      </c>
      <c r="AF49" s="82" t="str">
        <f t="shared" si="13"/>
        <v>"C:\Program Files (x86)\AstroGrep\AstroGrep.exe" /e /r /s /spath="%USERPROFILE%\AppData\Local\Temp\OnboardLogs" /stypes="app*4012*20170412*" /stext=" 14:.+((SYSTEM_STATE.+slice.+state.+changed )|(ment ac)|(multiple cpu faults)|(system.+state.+changed )|(\[timeout)|(PRM\|1\|D)|(kpr)|(kdp)|(\|lc)|(penalty))"</v>
      </c>
      <c r="AG49" s="1" t="str">
        <f t="shared" si="14"/>
        <v>EC</v>
      </c>
      <c r="AH49" s="86" t="str">
        <f t="shared" si="19"/>
        <v>"%USERPROFILE%\Documents\GitHub\eaglep3\Utilities\RefineRTDCRunTimes.py" --tripid 137-12 --locoid 4012 --swversion DE.1.0.9.0 --startMP 204:455 --initTime 2017-04-12T08:08:43 --startdatetime 2017-04-12T08:15:23 --delay 1 --endMP 204:233303 --enddatetime 2017-04-12T08:50:44 --enforcementcount 0 &gt;&gt;C:\Users\stu\Documents\GitHub\eaglep3-reporting\EC\2017-04-12-refined-times.txt</v>
      </c>
      <c r="AI49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{"issue":{"subject":"","project_id":79,"tracker_id":40,"status_id":1,"priority_id":2,"assigned_to_id":23,"start_date":"2017-04-12","description":"","custom_fields":[{"id":1,"name":"Subdivision","value":"EC"},{"id":4,"name":"Milepost","value":"23.3303"},{"id":17,"name":"Train ID","value":"137-12"},{"id":16,"name":"Locomotive ID","value":"4012"},{"id":130,"name":"Impact","value":""},{"id":150,"name":"Time of Event (Mountain Time)","value":"08:50:44"},{"id":151,"name":"Denver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8"/>
      <c r="AL49" s="48"/>
      <c r="AM49" s="150" t="str">
        <f t="shared" si="21"/>
        <v>start /low /b %USERPROFILE%\Documents\GitHub\eaglep3\Utilities\DownloadLogsFromS3.py --loco 4012 --day 2017-04-12</v>
      </c>
      <c r="AN49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14:50:44"},{"id":29,"name":"Sharepoint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721</v>
      </c>
      <c r="B50" s="7">
        <v>4011</v>
      </c>
      <c r="C50" s="21" t="s">
        <v>214</v>
      </c>
      <c r="D50" s="21" t="s">
        <v>473</v>
      </c>
      <c r="E50" s="13">
        <v>42837.369837962964</v>
      </c>
      <c r="F50" s="13">
        <v>42837.382939814815</v>
      </c>
      <c r="G50" s="7">
        <v>1</v>
      </c>
      <c r="H50" s="21" t="s">
        <v>886</v>
      </c>
      <c r="I50" s="13">
        <v>42837.408715277779</v>
      </c>
      <c r="J50" s="7">
        <v>0</v>
      </c>
      <c r="K50" s="97" t="str">
        <f t="shared" si="0"/>
        <v>4011/4012</v>
      </c>
      <c r="L50" s="21" t="str">
        <f>VLOOKUP(A50,'Trips&amp;Operators'!$C$1:$G$99999,5,FALSE)</f>
        <v>SANTIZO D. EDY</v>
      </c>
      <c r="M50" s="6">
        <f t="shared" si="1"/>
        <v>2.5775462963792961E-2</v>
      </c>
      <c r="N50" s="7">
        <f t="shared" si="24"/>
        <v>37.116666667861864</v>
      </c>
      <c r="O50" s="7"/>
      <c r="P50" s="7"/>
      <c r="Q50" s="22"/>
      <c r="R50" s="22"/>
      <c r="S50" s="31">
        <f t="shared" si="3"/>
        <v>1</v>
      </c>
      <c r="T50" s="46" t="str">
        <f t="shared" si="4"/>
        <v>Southbound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 t="shared" si="5"/>
        <v>https://d0f6bd738d7f1b3e5a7ca70fe4ff75f0.us-east-1.aws.found.io/app/kibana#/discover/Steve-Slow-Train-Analysis-(2080s-and-2083s)?_g=(refreshInterval:(display:Off,pause:!f,section:0,value:0),time:(from:'2017-04-12T07:52:34-0600',mode:absolute,to:'2017-04-12T10:48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0" s="183" t="str">
        <f t="shared" si="6"/>
        <v>N</v>
      </c>
      <c r="X50" s="183">
        <f t="shared" si="7"/>
        <v>1</v>
      </c>
      <c r="Y50" s="62">
        <f t="shared" si="8"/>
        <v>23.297999999999998</v>
      </c>
      <c r="Z50" s="62">
        <f t="shared" si="9"/>
        <v>1.61E-2</v>
      </c>
      <c r="AA50" s="62">
        <f t="shared" si="10"/>
        <v>23.281899999999997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0138-12</v>
      </c>
      <c r="AE50" s="85" t="str">
        <f t="shared" si="12"/>
        <v>aws s3 cp s3://rtdc.mdm.uploadarchive.raw/RTDC4011/ "%USERPROFILE%\AppData\Local\Temp\OnboardLogs"\RTDC4011\2017-04-12 --exclude "*" --recursive --include "*20170412*" &amp; "%USERPROFILE%\Documents\GitHub\mrs-test-scripts\Headless Mode &amp; Sideloading\WalkAndUnGZ.bat" "%USERPROFILE%\AppData\Local\Temp\OnboardLogs"\RTDC4011\2017-04-12 &amp; aws s3 cp s3://rtdc.mdm.uploadarchive.raw/RTDC4011/ "%USERPROFILE%\AppData\Local\Temp\OnboardLogs"\RTDC4011\2017-04-13 --exclude "*" --recursive --include "*20170413*" &amp; "%USERPROFILE%\Documents\GitHub\mrs-test-scripts\Headless Mode &amp; Sideloading\WalkAndUnGZ.bat" "%USERPROFILE%\AppData\Local\Temp\OnboardLogs"\RTDC4011\2017-04-13</v>
      </c>
      <c r="AF50" s="82" t="str">
        <f t="shared" si="13"/>
        <v>"C:\Program Files (x86)\AstroGrep\AstroGrep.exe" /e /r /s /spath="%USERPROFILE%\AppData\Local\Temp\OnboardLogs" /stypes="app*4011*20170412*" /stext=" 15:.+((SYSTEM_STATE.+slice.+state.+changed )|(ment ac)|(multiple cpu faults)|(system.+state.+changed )|(\[timeout)|(PRM\|1\|D)|(kpr)|(kdp)|(\|lc)|(penalty))"</v>
      </c>
      <c r="AG50" s="1" t="str">
        <f t="shared" si="14"/>
        <v>EC</v>
      </c>
      <c r="AH50" s="86" t="str">
        <f t="shared" si="19"/>
        <v>"%USERPROFILE%\Documents\GitHub\eaglep3\Utilities\RefineRTDCRunTimes.py" --tripid 138-12 --locoid 4011 --swversion DE.1.0.9.0 --startMP 204:232980 --initTime 2017-04-12T08:52:34 --startdatetime 2017-04-12T09:11:26 --delay 1 --endMP 204:161 --enddatetime 2017-04-12T09:48:33 --enforcementcount 0 &gt;&gt;C:\Users\stu\Documents\GitHub\eaglep3-reporting\EC\2017-04-12-refined-times.txt</v>
      </c>
      <c r="AI50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{"issue":{"subject":"","project_id":79,"tracker_id":40,"status_id":1,"priority_id":2,"assigned_to_id":23,"start_date":"2017-04-12","description":"","custom_fields":[{"id":1,"name":"Subdivision","value":"EC"},{"id":4,"name":"Milepost","value":"0.0161"},{"id":17,"name":"Train ID","value":"138-12"},{"id":16,"name":"Locomotive ID","value":"4011"},{"id":130,"name":"Impact","value":""},{"id":150,"name":"Time of Event (Mountain Time)","value":"09:48:33"},{"id":151,"name":"Denver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8"/>
      <c r="AL50" s="48"/>
      <c r="AM50" s="150" t="str">
        <f t="shared" si="21"/>
        <v>start /low /b %USERPROFILE%\Documents\GitHub\eaglep3\Utilities\DownloadLogsFromS3.py --loco 4011 --day 2017-04-12</v>
      </c>
      <c r="AN50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15:48:33"},{"id":29,"name":"Sharepoint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715</v>
      </c>
      <c r="B51" s="7">
        <v>4042</v>
      </c>
      <c r="C51" s="21" t="s">
        <v>214</v>
      </c>
      <c r="D51" s="21" t="s">
        <v>413</v>
      </c>
      <c r="E51" s="13">
        <v>42837.350624999999</v>
      </c>
      <c r="F51" s="13">
        <v>42837.354363425926</v>
      </c>
      <c r="G51" s="7">
        <v>1</v>
      </c>
      <c r="H51" s="21" t="s">
        <v>887</v>
      </c>
      <c r="I51" s="13">
        <v>42837.379814814813</v>
      </c>
      <c r="J51" s="7">
        <v>0</v>
      </c>
      <c r="K51" s="97" t="str">
        <f t="shared" si="0"/>
        <v>4041/4042</v>
      </c>
      <c r="L51" s="21" t="str">
        <f>VLOOKUP(A51,'Trips&amp;Operators'!$C$1:$G$99999,5,FALSE)</f>
        <v>ROCHA YAOTL</v>
      </c>
      <c r="M51" s="6">
        <f t="shared" si="1"/>
        <v>2.545138888672227E-2</v>
      </c>
      <c r="N51" s="7">
        <f t="shared" si="24"/>
        <v>36.649999996880069</v>
      </c>
      <c r="O51" s="7"/>
      <c r="P51" s="7"/>
      <c r="Q51" s="22"/>
      <c r="R51" s="22"/>
      <c r="S51" s="31">
        <f t="shared" si="3"/>
        <v>1</v>
      </c>
      <c r="T51" s="46" t="str">
        <f t="shared" si="4"/>
        <v>NorthBound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 t="shared" si="5"/>
        <v>https://d0f6bd738d7f1b3e5a7ca70fe4ff75f0.us-east-1.aws.found.io/app/kibana#/discover/Steve-Slow-Train-Analysis-(2080s-and-2083s)?_g=(refreshInterval:(display:Off,pause:!f,section:0,value:0),time:(from:'2017-04-12T07:24:54-0600',mode:absolute,to:'2017-04-12T10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1" s="183" t="str">
        <f t="shared" si="6"/>
        <v>N</v>
      </c>
      <c r="X51" s="183">
        <f t="shared" si="7"/>
        <v>1</v>
      </c>
      <c r="Y51" s="62">
        <f t="shared" si="8"/>
        <v>4.4600000000000001E-2</v>
      </c>
      <c r="Z51" s="62">
        <f t="shared" si="9"/>
        <v>23.329799999999999</v>
      </c>
      <c r="AA51" s="62">
        <f t="shared" si="10"/>
        <v>23.2852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0139-12</v>
      </c>
      <c r="AE51" s="85" t="str">
        <f t="shared" si="12"/>
        <v>aws s3 cp s3://rtdc.mdm.uploadarchive.raw/RTDC4042/ "%USERPROFILE%\AppData\Local\Temp\OnboardLogs"\RTDC4042\2017-04-12 --exclude "*" --recursive --include "*20170412*" &amp; "%USERPROFILE%\Documents\GitHub\mrs-test-scripts\Headless Mode &amp; Sideloading\WalkAndUnGZ.bat" "%USERPROFILE%\AppData\Local\Temp\OnboardLogs"\RTDC4042\2017-04-12 &amp; aws s3 cp s3://rtdc.mdm.uploadarchive.raw/RTDC4042/ "%USERPROFILE%\AppData\Local\Temp\OnboardLogs"\RTDC4042\2017-04-13 --exclude "*" --recursive --include "*20170413*" &amp; "%USERPROFILE%\Documents\GitHub\mrs-test-scripts\Headless Mode &amp; Sideloading\WalkAndUnGZ.bat" "%USERPROFILE%\AppData\Local\Temp\OnboardLogs"\RTDC4042\2017-04-13</v>
      </c>
      <c r="AF51" s="82" t="str">
        <f t="shared" si="13"/>
        <v>"C:\Program Files (x86)\AstroGrep\AstroGrep.exe" /e /r /s /spath="%USERPROFILE%\AppData\Local\Temp\OnboardLogs" /stypes="app*4042*20170412*" /stext=" 15:.+((SYSTEM_STATE.+slice.+state.+changed )|(ment ac)|(multiple cpu faults)|(system.+state.+changed )|(\[timeout)|(PRM\|1\|D)|(kpr)|(kdp)|(\|lc)|(penalty))"</v>
      </c>
      <c r="AG51" s="1" t="str">
        <f t="shared" si="14"/>
        <v>EC</v>
      </c>
      <c r="AH51" s="86" t="str">
        <f t="shared" si="19"/>
        <v>"%USERPROFILE%\Documents\GitHub\eaglep3\Utilities\RefineRTDCRunTimes.py" --tripid 139-12 --locoid 4042 --swversion DE.1.0.9.0 --startMP 204:446 --initTime 2017-04-12T08:24:54 --startdatetime 2017-04-12T08:30:17 --delay 1 --endMP 204:233298 --enddatetime 2017-04-12T09:06:56 --enforcementcount 0 &gt;&gt;C:\Users\stu\Documents\GitHub\eaglep3-reporting\EC\2017-04-12-refined-times.txt</v>
      </c>
      <c r="AI51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{"issue":{"subject":"","project_id":79,"tracker_id":40,"status_id":1,"priority_id":2,"assigned_to_id":23,"start_date":"2017-04-12","description":"","custom_fields":[{"id":1,"name":"Subdivision","value":"EC"},{"id":4,"name":"Milepost","value":"23.3298"},{"id":17,"name":"Train ID","value":"139-12"},{"id":16,"name":"Locomotive ID","value":"4042"},{"id":130,"name":"Impact","value":""},{"id":150,"name":"Time of Event (Mountain Time)","value":"09:06:56"},{"id":151,"name":"Denver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8"/>
      <c r="AL51" s="48"/>
      <c r="AM51" s="150" t="str">
        <f t="shared" si="21"/>
        <v>start /low /b %USERPROFILE%\Documents\GitHub\eaglep3\Utilities\DownloadLogsFromS3.py --loco 4042 --day 2017-04-12</v>
      </c>
      <c r="AN51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15:06:56"},{"id":29,"name":"Sharepoint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624</v>
      </c>
      <c r="B52" s="7">
        <v>4041</v>
      </c>
      <c r="C52" s="21" t="s">
        <v>214</v>
      </c>
      <c r="D52" s="21" t="s">
        <v>397</v>
      </c>
      <c r="E52" s="13">
        <v>42837.386307870373</v>
      </c>
      <c r="F52" s="13">
        <v>42837.393414351849</v>
      </c>
      <c r="G52" s="7">
        <v>2</v>
      </c>
      <c r="H52" s="21" t="s">
        <v>430</v>
      </c>
      <c r="I52" s="13">
        <v>42837.420393518521</v>
      </c>
      <c r="J52" s="7">
        <v>0</v>
      </c>
      <c r="K52" s="97" t="str">
        <f t="shared" si="0"/>
        <v>4041/4042</v>
      </c>
      <c r="L52" s="21" t="str">
        <f>VLOOKUP(A52,'Trips&amp;Operators'!$C$1:$G$99999,5,FALSE)</f>
        <v>ROCHA YAOTL</v>
      </c>
      <c r="M52" s="6">
        <f t="shared" si="1"/>
        <v>2.697916667239042E-2</v>
      </c>
      <c r="N52" s="7">
        <f t="shared" si="24"/>
        <v>38.850000008242205</v>
      </c>
      <c r="O52" s="7"/>
      <c r="P52" s="7"/>
      <c r="Q52" s="22"/>
      <c r="R52" s="22"/>
      <c r="S52" s="31">
        <f t="shared" si="3"/>
        <v>1</v>
      </c>
      <c r="T52" s="46" t="str">
        <f t="shared" si="4"/>
        <v>Southbound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 t="shared" si="5"/>
        <v>https://d0f6bd738d7f1b3e5a7ca70fe4ff75f0.us-east-1.aws.found.io/app/kibana#/discover/Steve-Slow-Train-Analysis-(2080s-and-2083s)?_g=(refreshInterval:(display:Off,pause:!f,section:0,value:0),time:(from:'2017-04-12T08:16:17-0600',mode:absolute,to:'2017-04-12T11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2" s="183" t="str">
        <f t="shared" si="6"/>
        <v>N</v>
      </c>
      <c r="X52" s="183">
        <f t="shared" si="7"/>
        <v>1</v>
      </c>
      <c r="Y52" s="62">
        <f t="shared" si="8"/>
        <v>23.297699999999999</v>
      </c>
      <c r="Z52" s="62">
        <f t="shared" si="9"/>
        <v>1.6500000000000001E-2</v>
      </c>
      <c r="AA52" s="62">
        <f t="shared" si="10"/>
        <v>23.281199999999998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0140-12</v>
      </c>
      <c r="AE52" s="85" t="str">
        <f t="shared" si="12"/>
        <v>aws s3 cp s3://rtdc.mdm.uploadarchive.raw/RTDC4041/ "%USERPROFILE%\AppData\Local\Temp\OnboardLogs"\RTDC4041\2017-04-12 --exclude "*" --recursive --include "*20170412*" &amp; "%USERPROFILE%\Documents\GitHub\mrs-test-scripts\Headless Mode &amp; Sideloading\WalkAndUnGZ.bat" "%USERPROFILE%\AppData\Local\Temp\OnboardLogs"\RTDC4041\2017-04-12 &amp; aws s3 cp s3://rtdc.mdm.uploadarchive.raw/RTDC4041/ "%USERPROFILE%\AppData\Local\Temp\OnboardLogs"\RTDC4041\2017-04-13 --exclude "*" --recursive --include "*20170413*" &amp; "%USERPROFILE%\Documents\GitHub\mrs-test-scripts\Headless Mode &amp; Sideloading\WalkAndUnGZ.bat" "%USERPROFILE%\AppData\Local\Temp\OnboardLogs"\RTDC4041\2017-04-13</v>
      </c>
      <c r="AF52" s="82" t="str">
        <f t="shared" si="13"/>
        <v>"C:\Program Files (x86)\AstroGrep\AstroGrep.exe" /e /r /s /spath="%USERPROFILE%\AppData\Local\Temp\OnboardLogs" /stypes="app*4041*20170412*" /stext=" 16:.+((SYSTEM_STATE.+slice.+state.+changed )|(ment ac)|(multiple cpu faults)|(system.+state.+changed )|(\[timeout)|(PRM\|1\|D)|(kpr)|(kdp)|(\|lc)|(penalty))"</v>
      </c>
      <c r="AG52" s="1" t="str">
        <f t="shared" si="14"/>
        <v>EC</v>
      </c>
      <c r="AH52" s="86" t="str">
        <f t="shared" si="19"/>
        <v>"%USERPROFILE%\Documents\GitHub\eaglep3\Utilities\RefineRTDCRunTimes.py" --tripid 140-12 --locoid 4041 --swversion DE.1.0.9.0 --startMP 204:232977 --initTime 2017-04-12T09:16:17 --startdatetime 2017-04-12T09:26:31 --delay 2 --endMP 204:165 --enddatetime 2017-04-12T10:05:22 --enforcementcount 0 &gt;&gt;C:\Users\stu\Documents\GitHub\eaglep3-reporting\EC\2017-04-12-refined-times.txt</v>
      </c>
      <c r="AI52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{"issue":{"subject":"","project_id":79,"tracker_id":40,"status_id":1,"priority_id":2,"assigned_to_id":23,"start_date":"2017-04-12","description":"","custom_fields":[{"id":1,"name":"Subdivision","value":"EC"},{"id":4,"name":"Milepost","value":"0.0165"},{"id":17,"name":"Train ID","value":"140-12"},{"id":16,"name":"Locomotive ID","value":"4041"},{"id":130,"name":"Impact","value":""},{"id":150,"name":"Time of Event (Mountain Time)","value":"10:05:22"},{"id":151,"name":"Denver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8"/>
      <c r="AL52" s="48"/>
      <c r="AM52" s="150" t="str">
        <f t="shared" si="21"/>
        <v>start /low /b %USERPROFILE%\Documents\GitHub\eaglep3\Utilities\DownloadLogsFromS3.py --loco 4041 --day 2017-04-12</v>
      </c>
      <c r="AN52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16:05:22"},{"id":29,"name":"Sharepoint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719</v>
      </c>
      <c r="B53" s="7">
        <v>4020</v>
      </c>
      <c r="C53" s="21" t="s">
        <v>214</v>
      </c>
      <c r="D53" s="21" t="s">
        <v>888</v>
      </c>
      <c r="E53" s="13">
        <v>42837.362592592595</v>
      </c>
      <c r="F53" s="13">
        <v>42837.365104166667</v>
      </c>
      <c r="G53" s="7">
        <v>1</v>
      </c>
      <c r="H53" s="21" t="s">
        <v>870</v>
      </c>
      <c r="I53" s="13">
        <v>42837.390451388892</v>
      </c>
      <c r="J53" s="7">
        <v>0</v>
      </c>
      <c r="K53" s="97" t="str">
        <f t="shared" si="0"/>
        <v>4019/4020</v>
      </c>
      <c r="L53" s="21" t="str">
        <f>VLOOKUP(A53,'Trips&amp;Operators'!$C$1:$G$99999,5,FALSE)</f>
        <v>BADERTSCHER DIANE</v>
      </c>
      <c r="M53" s="6">
        <f t="shared" si="1"/>
        <v>2.5347222224809229E-2</v>
      </c>
      <c r="N53" s="7">
        <f t="shared" si="24"/>
        <v>36.50000000372529</v>
      </c>
      <c r="O53" s="7"/>
      <c r="P53" s="7"/>
      <c r="Q53" s="22"/>
      <c r="R53" s="22"/>
      <c r="S53" s="31">
        <f t="shared" si="3"/>
        <v>1</v>
      </c>
      <c r="T53" s="46" t="str">
        <f t="shared" si="4"/>
        <v>NorthBound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 t="shared" si="5"/>
        <v>https://d0f6bd738d7f1b3e5a7ca70fe4ff75f0.us-east-1.aws.found.io/app/kibana#/discover/Steve-Slow-Train-Analysis-(2080s-and-2083s)?_g=(refreshInterval:(display:Off,pause:!f,section:0,value:0),time:(from:'2017-04-12T07:42:08-0600',mode:absolute,to:'2017-04-12T10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3" s="183" t="str">
        <f t="shared" si="6"/>
        <v>N</v>
      </c>
      <c r="X53" s="183">
        <f t="shared" si="7"/>
        <v>1</v>
      </c>
      <c r="Y53" s="62">
        <f t="shared" si="8"/>
        <v>5.7099999999999998E-2</v>
      </c>
      <c r="Z53" s="62">
        <f t="shared" si="9"/>
        <v>23.332799999999999</v>
      </c>
      <c r="AA53" s="62">
        <f t="shared" si="10"/>
        <v>23.275700000000001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0141-12</v>
      </c>
      <c r="AE53" s="85" t="str">
        <f t="shared" si="12"/>
        <v>aws s3 cp s3://rtdc.mdm.uploadarchive.raw/RTDC4020/ "%USERPROFILE%\AppData\Local\Temp\OnboardLogs"\RTDC4020\2017-04-12 --exclude "*" --recursive --include "*20170412*" &amp; "%USERPROFILE%\Documents\GitHub\mrs-test-scripts\Headless Mode &amp; Sideloading\WalkAndUnGZ.bat" "%USERPROFILE%\AppData\Local\Temp\OnboardLogs"\RTDC4020\2017-04-12 &amp; aws s3 cp s3://rtdc.mdm.uploadarchive.raw/RTDC4020/ "%USERPROFILE%\AppData\Local\Temp\OnboardLogs"\RTDC4020\2017-04-13 --exclude "*" --recursive --include "*20170413*" &amp; "%USERPROFILE%\Documents\GitHub\mrs-test-scripts\Headless Mode &amp; Sideloading\WalkAndUnGZ.bat" "%USERPROFILE%\AppData\Local\Temp\OnboardLogs"\RTDC4020\2017-04-13</v>
      </c>
      <c r="AF53" s="82" t="str">
        <f t="shared" si="13"/>
        <v>"C:\Program Files (x86)\AstroGrep\AstroGrep.exe" /e /r /s /spath="%USERPROFILE%\AppData\Local\Temp\OnboardLogs" /stypes="app*4020*20170412*" /stext=" 15:.+((SYSTEM_STATE.+slice.+state.+changed )|(ment ac)|(multiple cpu faults)|(system.+state.+changed )|(\[timeout)|(PRM\|1\|D)|(kpr)|(kdp)|(\|lc)|(penalty))"</v>
      </c>
      <c r="AG53" s="1" t="str">
        <f t="shared" si="14"/>
        <v>EC</v>
      </c>
      <c r="AH53" s="86" t="str">
        <f t="shared" si="19"/>
        <v>"%USERPROFILE%\Documents\GitHub\eaglep3\Utilities\RefineRTDCRunTimes.py" --tripid 141-12 --locoid 4020 --swversion DE.1.0.9.0 --startMP 204:571 --initTime 2017-04-12T08:42:08 --startdatetime 2017-04-12T08:45:45 --delay 1 --endMP 204:233328 --enddatetime 2017-04-12T09:22:15 --enforcementcount 0 &gt;&gt;C:\Users\stu\Documents\GitHub\eaglep3-reporting\EC\2017-04-12-refined-times.txt</v>
      </c>
      <c r="AI53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{"issue":{"subject":"","project_id":79,"tracker_id":40,"status_id":1,"priority_id":2,"assigned_to_id":23,"start_date":"2017-04-12","description":"","custom_fields":[{"id":1,"name":"Subdivision","value":"EC"},{"id":4,"name":"Milepost","value":"23.3328"},{"id":17,"name":"Train ID","value":"141-12"},{"id":16,"name":"Locomotive ID","value":"4020"},{"id":130,"name":"Impact","value":""},{"id":150,"name":"Time of Event (Mountain Time)","value":"09:22:15"},{"id":151,"name":"Denver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8"/>
      <c r="AL53" s="48"/>
      <c r="AM53" s="150" t="str">
        <f t="shared" si="21"/>
        <v>start /low /b %USERPROFILE%\Documents\GitHub\eaglep3\Utilities\DownloadLogsFromS3.py --loco 4020 --day 2017-04-12</v>
      </c>
      <c r="AN53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15:22:15"},{"id":29,"name":"Sharepoint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726</v>
      </c>
      <c r="B54" s="7">
        <v>4019</v>
      </c>
      <c r="C54" s="21" t="s">
        <v>214</v>
      </c>
      <c r="D54" s="21" t="s">
        <v>570</v>
      </c>
      <c r="E54" s="13">
        <v>42837.394108796296</v>
      </c>
      <c r="F54" s="13">
        <v>42837.403657407405</v>
      </c>
      <c r="G54" s="7">
        <v>1</v>
      </c>
      <c r="H54" s="21" t="s">
        <v>475</v>
      </c>
      <c r="I54" s="13">
        <v>42837.431840277779</v>
      </c>
      <c r="J54" s="7">
        <v>0</v>
      </c>
      <c r="K54" s="97" t="str">
        <f t="shared" si="0"/>
        <v>4019/4020</v>
      </c>
      <c r="L54" s="21" t="str">
        <f>VLOOKUP(A54,'Trips&amp;Operators'!$C$1:$G$99999,5,FALSE)</f>
        <v>BADERTSCHER DIANE</v>
      </c>
      <c r="M54" s="6">
        <f t="shared" si="1"/>
        <v>2.8182870373711921E-2</v>
      </c>
      <c r="N54" s="7">
        <f t="shared" si="24"/>
        <v>40.583333338145167</v>
      </c>
      <c r="O54" s="7"/>
      <c r="P54" s="7"/>
      <c r="Q54" s="22"/>
      <c r="R54" s="22"/>
      <c r="S54" s="31">
        <f t="shared" si="3"/>
        <v>1</v>
      </c>
      <c r="T54" s="46" t="str">
        <f t="shared" si="4"/>
        <v>Southbound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 t="shared" si="5"/>
        <v>https://d0f6bd738d7f1b3e5a7ca70fe4ff75f0.us-east-1.aws.found.io/app/kibana#/discover/Steve-Slow-Train-Analysis-(2080s-and-2083s)?_g=(refreshInterval:(display:Off,pause:!f,section:0,value:0),time:(from:'2017-04-12T08:27:31-0600',mode:absolute,to:'2017-04-12T11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4" s="183" t="str">
        <f t="shared" si="6"/>
        <v>N</v>
      </c>
      <c r="X54" s="183">
        <f t="shared" si="7"/>
        <v>1</v>
      </c>
      <c r="Y54" s="62">
        <f t="shared" si="8"/>
        <v>23.297499999999999</v>
      </c>
      <c r="Z54" s="62">
        <f t="shared" si="9"/>
        <v>1.3599999999999999E-2</v>
      </c>
      <c r="AA54" s="62">
        <f t="shared" si="10"/>
        <v>23.283899999999999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0142-12</v>
      </c>
      <c r="AE54" s="85" t="str">
        <f t="shared" si="12"/>
        <v>aws s3 cp s3://rtdc.mdm.uploadarchive.raw/RTDC4019/ "%USERPROFILE%\AppData\Local\Temp\OnboardLogs"\RTDC4019\2017-04-12 --exclude "*" --recursive --include "*20170412*" &amp; "%USERPROFILE%\Documents\GitHub\mrs-test-scripts\Headless Mode &amp; Sideloading\WalkAndUnGZ.bat" "%USERPROFILE%\AppData\Local\Temp\OnboardLogs"\RTDC4019\2017-04-12 &amp; aws s3 cp s3://rtdc.mdm.uploadarchive.raw/RTDC4019/ "%USERPROFILE%\AppData\Local\Temp\OnboardLogs"\RTDC4019\2017-04-13 --exclude "*" --recursive --include "*20170413*" &amp; "%USERPROFILE%\Documents\GitHub\mrs-test-scripts\Headless Mode &amp; Sideloading\WalkAndUnGZ.bat" "%USERPROFILE%\AppData\Local\Temp\OnboardLogs"\RTDC4019\2017-04-13</v>
      </c>
      <c r="AF54" s="82" t="str">
        <f t="shared" si="13"/>
        <v>"C:\Program Files (x86)\AstroGrep\AstroGrep.exe" /e /r /s /spath="%USERPROFILE%\AppData\Local\Temp\OnboardLogs" /stypes="app*4019*20170412*" /stext=" 16:.+((SYSTEM_STATE.+slice.+state.+changed )|(ment ac)|(multiple cpu faults)|(system.+state.+changed )|(\[timeout)|(PRM\|1\|D)|(kpr)|(kdp)|(\|lc)|(penalty))"</v>
      </c>
      <c r="AG54" s="1" t="str">
        <f t="shared" si="14"/>
        <v>EC</v>
      </c>
      <c r="AH54" s="86" t="str">
        <f t="shared" si="19"/>
        <v>"%USERPROFILE%\Documents\GitHub\eaglep3\Utilities\RefineRTDCRunTimes.py" --tripid 142-12 --locoid 4019 --swversion DE.1.0.9.0 --startMP 204:232975 --initTime 2017-04-12T09:27:31 --startdatetime 2017-04-12T09:41:16 --delay 1 --endMP 204:136 --enddatetime 2017-04-12T10:21:51 --enforcementcount 0 &gt;&gt;C:\Users\stu\Documents\GitHub\eaglep3-reporting\EC\2017-04-12-refined-times.txt</v>
      </c>
      <c r="AI54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{"issue":{"subject":"","project_id":79,"tracker_id":40,"status_id":1,"priority_id":2,"assigned_to_id":23,"start_date":"2017-04-12","description":"","custom_fields":[{"id":1,"name":"Subdivision","value":"EC"},{"id":4,"name":"Milepost","value":"0.0136"},{"id":17,"name":"Train ID","value":"142-12"},{"id":16,"name":"Locomotive ID","value":"4019"},{"id":130,"name":"Impact","value":""},{"id":150,"name":"Time of Event (Mountain Time)","value":"10:21:51"},{"id":151,"name":"Denver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8"/>
      <c r="AL54" s="48"/>
      <c r="AM54" s="150" t="str">
        <f t="shared" si="21"/>
        <v>start /low /b %USERPROFILE%\Documents\GitHub\eaglep3\Utilities\DownloadLogsFromS3.py --loco 4019 --day 2017-04-12</v>
      </c>
      <c r="AN54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16:21:51"},{"id":29,"name":"Sharepoint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722</v>
      </c>
      <c r="B55" s="7">
        <v>4040</v>
      </c>
      <c r="C55" s="21" t="s">
        <v>214</v>
      </c>
      <c r="D55" s="21" t="s">
        <v>478</v>
      </c>
      <c r="E55" s="13">
        <v>42837.373472222222</v>
      </c>
      <c r="F55" s="13">
        <v>42837.375428240739</v>
      </c>
      <c r="G55" s="7">
        <v>1</v>
      </c>
      <c r="H55" s="21" t="s">
        <v>471</v>
      </c>
      <c r="I55" s="13">
        <v>42837.400555555556</v>
      </c>
      <c r="J55" s="7">
        <v>0</v>
      </c>
      <c r="K55" s="97" t="str">
        <f t="shared" si="0"/>
        <v>4039/4040</v>
      </c>
      <c r="L55" s="21" t="str">
        <f>VLOOKUP(A55,'Trips&amp;Operators'!$C$1:$G$99999,5,FALSE)</f>
        <v>STARKS ANGELINA</v>
      </c>
      <c r="M55" s="6">
        <f t="shared" si="1"/>
        <v>2.5127314816927537E-2</v>
      </c>
      <c r="N55" s="7">
        <f t="shared" si="24"/>
        <v>36.183333336375654</v>
      </c>
      <c r="O55" s="7"/>
      <c r="P55" s="7"/>
      <c r="Q55" s="22"/>
      <c r="R55" s="22"/>
      <c r="S55" s="31">
        <f t="shared" si="3"/>
        <v>1</v>
      </c>
      <c r="T55" s="46" t="str">
        <f t="shared" si="4"/>
        <v>NorthBound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 t="shared" si="5"/>
        <v>https://d0f6bd738d7f1b3e5a7ca70fe4ff75f0.us-east-1.aws.found.io/app/kibana#/discover/Steve-Slow-Train-Analysis-(2080s-and-2083s)?_g=(refreshInterval:(display:Off,pause:!f,section:0,value:0),time:(from:'2017-04-12T07:57:48-0600',mode:absolute,to:'2017-04-12T10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5" s="183" t="str">
        <f t="shared" si="6"/>
        <v>N</v>
      </c>
      <c r="X55" s="183">
        <f t="shared" si="7"/>
        <v>1</v>
      </c>
      <c r="Y55" s="62">
        <f t="shared" si="8"/>
        <v>4.6399999999999997E-2</v>
      </c>
      <c r="Z55" s="62">
        <f t="shared" si="9"/>
        <v>23.3306</v>
      </c>
      <c r="AA55" s="62">
        <f t="shared" si="10"/>
        <v>23.284200000000002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0143-12</v>
      </c>
      <c r="AE55" s="85" t="str">
        <f t="shared" si="12"/>
        <v>aws s3 cp s3://rtdc.mdm.uploadarchive.raw/RTDC4040/ "%USERPROFILE%\AppData\Local\Temp\OnboardLogs"\RTDC4040\2017-04-12 --exclude "*" --recursive --include "*20170412*" &amp; "%USERPROFILE%\Documents\GitHub\mrs-test-scripts\Headless Mode &amp; Sideloading\WalkAndUnGZ.bat" "%USERPROFILE%\AppData\Local\Temp\OnboardLogs"\RTDC4040\2017-04-12 &amp; aws s3 cp s3://rtdc.mdm.uploadarchive.raw/RTDC4040/ "%USERPROFILE%\AppData\Local\Temp\OnboardLogs"\RTDC4040\2017-04-13 --exclude "*" --recursive --include "*20170413*" &amp; "%USERPROFILE%\Documents\GitHub\mrs-test-scripts\Headless Mode &amp; Sideloading\WalkAndUnGZ.bat" "%USERPROFILE%\AppData\Local\Temp\OnboardLogs"\RTDC4040\2017-04-13</v>
      </c>
      <c r="AF55" s="82" t="str">
        <f t="shared" si="13"/>
        <v>"C:\Program Files (x86)\AstroGrep\AstroGrep.exe" /e /r /s /spath="%USERPROFILE%\AppData\Local\Temp\OnboardLogs" /stypes="app*4040*20170412*" /stext=" 15:.+((SYSTEM_STATE.+slice.+state.+changed )|(ment ac)|(multiple cpu faults)|(system.+state.+changed )|(\[timeout)|(PRM\|1\|D)|(kpr)|(kdp)|(\|lc)|(penalty))"</v>
      </c>
      <c r="AG55" s="1" t="str">
        <f t="shared" si="14"/>
        <v>EC</v>
      </c>
      <c r="AH55" s="86" t="str">
        <f t="shared" si="19"/>
        <v>"%USERPROFILE%\Documents\GitHub\eaglep3\Utilities\RefineRTDCRunTimes.py" --tripid 143-12 --locoid 4040 --swversion DE.1.0.9.0 --startMP 204:464 --initTime 2017-04-12T08:57:48 --startdatetime 2017-04-12T09:00:37 --delay 1 --endMP 204:233306 --enddatetime 2017-04-12T09:36:48 --enforcementcount 0 &gt;&gt;C:\Users\stu\Documents\GitHub\eaglep3-reporting\EC\2017-04-12-refined-times.txt</v>
      </c>
      <c r="AI55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{"issue":{"subject":"","project_id":79,"tracker_id":40,"status_id":1,"priority_id":2,"assigned_to_id":23,"start_date":"2017-04-12","description":"","custom_fields":[{"id":1,"name":"Subdivision","value":"EC"},{"id":4,"name":"Milepost","value":"23.3306"},{"id":17,"name":"Train ID","value":"143-12"},{"id":16,"name":"Locomotive ID","value":"4040"},{"id":130,"name":"Impact","value":""},{"id":150,"name":"Time of Event (Mountain Time)","value":"09:36:48"},{"id":151,"name":"Denver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8"/>
      <c r="AL55" s="48"/>
      <c r="AM55" s="150" t="str">
        <f t="shared" si="21"/>
        <v>start /low /b %USERPROFILE%\Documents\GitHub\eaglep3\Utilities\DownloadLogsFromS3.py --loco 4040 --day 2017-04-12</v>
      </c>
      <c r="AN55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15:36:48"},{"id":29,"name":"Sharepoint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730</v>
      </c>
      <c r="B56" s="7">
        <v>4039</v>
      </c>
      <c r="C56" s="21" t="s">
        <v>214</v>
      </c>
      <c r="D56" s="21" t="s">
        <v>505</v>
      </c>
      <c r="E56" s="13">
        <v>42837.412581018521</v>
      </c>
      <c r="F56" s="13">
        <v>42837.414074074077</v>
      </c>
      <c r="G56" s="7">
        <v>1</v>
      </c>
      <c r="H56" s="21" t="s">
        <v>540</v>
      </c>
      <c r="I56" s="13">
        <v>42837.441516203704</v>
      </c>
      <c r="J56" s="7">
        <v>0</v>
      </c>
      <c r="K56" s="97" t="str">
        <f t="shared" si="0"/>
        <v>4039/4040</v>
      </c>
      <c r="L56" s="21" t="str">
        <f>VLOOKUP(A56,'Trips&amp;Operators'!$C$1:$G$99999,5,FALSE)</f>
        <v>STARKS ANGELINA</v>
      </c>
      <c r="M56" s="6">
        <f t="shared" si="1"/>
        <v>2.7442129627161194E-2</v>
      </c>
      <c r="N56" s="7">
        <f t="shared" si="24"/>
        <v>39.516666663112119</v>
      </c>
      <c r="O56" s="7"/>
      <c r="P56" s="7"/>
      <c r="Q56" s="22"/>
      <c r="R56" s="22"/>
      <c r="S56" s="31">
        <f t="shared" si="3"/>
        <v>1</v>
      </c>
      <c r="T56" s="46" t="str">
        <f t="shared" si="4"/>
        <v>Southbound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 t="shared" si="5"/>
        <v>https://d0f6bd738d7f1b3e5a7ca70fe4ff75f0.us-east-1.aws.found.io/app/kibana#/discover/Steve-Slow-Train-Analysis-(2080s-and-2083s)?_g=(refreshInterval:(display:Off,pause:!f,section:0,value:0),time:(from:'2017-04-12T08:54:07-0600',mode:absolute,to:'2017-04-12T11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6" s="183" t="str">
        <f t="shared" si="6"/>
        <v>N</v>
      </c>
      <c r="X56" s="183">
        <f t="shared" si="7"/>
        <v>1</v>
      </c>
      <c r="Y56" s="62">
        <f t="shared" si="8"/>
        <v>23.3004</v>
      </c>
      <c r="Z56" s="62">
        <f t="shared" si="9"/>
        <v>1.43E-2</v>
      </c>
      <c r="AA56" s="62">
        <f t="shared" si="10"/>
        <v>23.286100000000001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0144-12</v>
      </c>
      <c r="AE56" s="85" t="str">
        <f t="shared" si="12"/>
        <v>aws s3 cp s3://rtdc.mdm.uploadarchive.raw/RTDC4039/ "%USERPROFILE%\AppData\Local\Temp\OnboardLogs"\RTDC4039\2017-04-12 --exclude "*" --recursive --include "*20170412*" &amp; "%USERPROFILE%\Documents\GitHub\mrs-test-scripts\Headless Mode &amp; Sideloading\WalkAndUnGZ.bat" "%USERPROFILE%\AppData\Local\Temp\OnboardLogs"\RTDC4039\2017-04-12 &amp; aws s3 cp s3://rtdc.mdm.uploadarchive.raw/RTDC4039/ "%USERPROFILE%\AppData\Local\Temp\OnboardLogs"\RTDC4039\2017-04-13 --exclude "*" --recursive --include "*20170413*" &amp; "%USERPROFILE%\Documents\GitHub\mrs-test-scripts\Headless Mode &amp; Sideloading\WalkAndUnGZ.bat" "%USERPROFILE%\AppData\Local\Temp\OnboardLogs"\RTDC4039\2017-04-13</v>
      </c>
      <c r="AF56" s="82" t="str">
        <f t="shared" si="13"/>
        <v>"C:\Program Files (x86)\AstroGrep\AstroGrep.exe" /e /r /s /spath="%USERPROFILE%\AppData\Local\Temp\OnboardLogs" /stypes="app*4039*20170412*" /stext=" 16:.+((SYSTEM_STATE.+slice.+state.+changed )|(ment ac)|(multiple cpu faults)|(system.+state.+changed )|(\[timeout)|(PRM\|1\|D)|(kpr)|(kdp)|(\|lc)|(penalty))"</v>
      </c>
      <c r="AG56" s="1" t="str">
        <f t="shared" si="14"/>
        <v>EC</v>
      </c>
      <c r="AH56" s="86" t="str">
        <f t="shared" si="19"/>
        <v>"%USERPROFILE%\Documents\GitHub\eaglep3\Utilities\RefineRTDCRunTimes.py" --tripid 144-12 --locoid 4039 --swversion DE.1.0.9.0 --startMP 204:233004 --initTime 2017-04-12T09:54:07 --startdatetime 2017-04-12T09:56:16 --delay 1 --endMP 204:143 --enddatetime 2017-04-12T10:35:47 --enforcementcount 0 &gt;&gt;C:\Users\stu\Documents\GitHub\eaglep3-reporting\EC\2017-04-12-refined-times.txt</v>
      </c>
      <c r="AI56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{"issue":{"subject":"","project_id":79,"tracker_id":40,"status_id":1,"priority_id":2,"assigned_to_id":23,"start_date":"2017-04-12","description":"","custom_fields":[{"id":1,"name":"Subdivision","value":"EC"},{"id":4,"name":"Milepost","value":"0.0143"},{"id":17,"name":"Train ID","value":"144-12"},{"id":16,"name":"Locomotive ID","value":"4039"},{"id":130,"name":"Impact","value":""},{"id":150,"name":"Time of Event (Mountain Time)","value":"10:35:47"},{"id":151,"name":"Denver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8"/>
      <c r="AL56" s="48"/>
      <c r="AM56" s="150" t="str">
        <f t="shared" si="21"/>
        <v>start /low /b %USERPROFILE%\Documents\GitHub\eaglep3\Utilities\DownloadLogsFromS3.py --loco 4039 --day 2017-04-12</v>
      </c>
      <c r="AN56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16:35:47"},{"id":29,"name":"Sharepoint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723</v>
      </c>
      <c r="B57" s="7">
        <v>4032</v>
      </c>
      <c r="C57" s="21" t="s">
        <v>214</v>
      </c>
      <c r="D57" s="21" t="s">
        <v>548</v>
      </c>
      <c r="E57" s="13">
        <v>42837.381099537037</v>
      </c>
      <c r="F57" s="13">
        <v>42837.385648148149</v>
      </c>
      <c r="G57" s="7">
        <v>1</v>
      </c>
      <c r="H57" s="21" t="s">
        <v>889</v>
      </c>
      <c r="I57" s="13">
        <v>42837.410208333335</v>
      </c>
      <c r="J57" s="7">
        <v>0</v>
      </c>
      <c r="K57" s="97" t="str">
        <f t="shared" si="0"/>
        <v>4031/4032</v>
      </c>
      <c r="L57" s="21" t="str">
        <f>VLOOKUP(A57,'Trips&amp;Operators'!$C$1:$G$99999,5,FALSE)</f>
        <v>MAELZER KURT</v>
      </c>
      <c r="M57" s="6">
        <f t="shared" si="1"/>
        <v>2.4560185185691807E-2</v>
      </c>
      <c r="N57" s="7">
        <f t="shared" si="24"/>
        <v>35.366666667396203</v>
      </c>
      <c r="O57" s="7"/>
      <c r="P57" s="7"/>
      <c r="Q57" s="22"/>
      <c r="R57" s="22"/>
      <c r="S57" s="31">
        <f t="shared" si="3"/>
        <v>1</v>
      </c>
      <c r="T57" s="46" t="str">
        <f t="shared" si="4"/>
        <v>NorthBound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 t="shared" si="5"/>
        <v>https://d0f6bd738d7f1b3e5a7ca70fe4ff75f0.us-east-1.aws.found.io/app/kibana#/discover/Steve-Slow-Train-Analysis-(2080s-and-2083s)?_g=(refreshInterval:(display:Off,pause:!f,section:0,value:0),time:(from:'2017-04-12T08:08:47-0600',mode:absolute,to:'2017-04-12T10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7" s="183" t="str">
        <f t="shared" si="6"/>
        <v>N</v>
      </c>
      <c r="X57" s="183">
        <f t="shared" si="7"/>
        <v>1</v>
      </c>
      <c r="Y57" s="62">
        <f t="shared" si="8"/>
        <v>4.3299999999999998E-2</v>
      </c>
      <c r="Z57" s="62">
        <f t="shared" si="9"/>
        <v>23.3309</v>
      </c>
      <c r="AA57" s="62">
        <f t="shared" si="10"/>
        <v>23.287600000000001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0145-12</v>
      </c>
      <c r="AE57" s="85" t="str">
        <f t="shared" si="12"/>
        <v>aws s3 cp s3://rtdc.mdm.uploadarchive.raw/RTDC4032/ "%USERPROFILE%\AppData\Local\Temp\OnboardLogs"\RTDC4032\2017-04-12 --exclude "*" --recursive --include "*20170412*" &amp; "%USERPROFILE%\Documents\GitHub\mrs-test-scripts\Headless Mode &amp; Sideloading\WalkAndUnGZ.bat" "%USERPROFILE%\AppData\Local\Temp\OnboardLogs"\RTDC4032\2017-04-12 &amp; aws s3 cp s3://rtdc.mdm.uploadarchive.raw/RTDC4032/ "%USERPROFILE%\AppData\Local\Temp\OnboardLogs"\RTDC4032\2017-04-13 --exclude "*" --recursive --include "*20170413*" &amp; "%USERPROFILE%\Documents\GitHub\mrs-test-scripts\Headless Mode &amp; Sideloading\WalkAndUnGZ.bat" "%USERPROFILE%\AppData\Local\Temp\OnboardLogs"\RTDC4032\2017-04-13</v>
      </c>
      <c r="AF57" s="82" t="str">
        <f t="shared" si="13"/>
        <v>"C:\Program Files (x86)\AstroGrep\AstroGrep.exe" /e /r /s /spath="%USERPROFILE%\AppData\Local\Temp\OnboardLogs" /stypes="app*4032*20170412*" /stext=" 15:.+((SYSTEM_STATE.+slice.+state.+changed )|(ment ac)|(multiple cpu faults)|(system.+state.+changed )|(\[timeout)|(PRM\|1\|D)|(kpr)|(kdp)|(\|lc)|(penalty))"</v>
      </c>
      <c r="AG57" s="1" t="str">
        <f t="shared" si="14"/>
        <v>EC</v>
      </c>
      <c r="AH57" s="86" t="str">
        <f t="shared" si="19"/>
        <v>"%USERPROFILE%\Documents\GitHub\eaglep3\Utilities\RefineRTDCRunTimes.py" --tripid 145-12 --locoid 4032 --swversion DE.1.0.9.0 --startMP 204:433 --initTime 2017-04-12T09:08:47 --startdatetime 2017-04-12T09:15:20 --delay 1 --endMP 204:233309 --enddatetime 2017-04-12T09:50:42 --enforcementcount 0 &gt;&gt;C:\Users\stu\Documents\GitHub\eaglep3-reporting\EC\2017-04-12-refined-times.txt</v>
      </c>
      <c r="AI57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{"issue":{"subject":"","project_id":79,"tracker_id":40,"status_id":1,"priority_id":2,"assigned_to_id":23,"start_date":"2017-04-12","description":"","custom_fields":[{"id":1,"name":"Subdivision","value":"EC"},{"id":4,"name":"Milepost","value":"23.3309"},{"id":17,"name":"Train ID","value":"145-12"},{"id":16,"name":"Locomotive ID","value":"4032"},{"id":130,"name":"Impact","value":""},{"id":150,"name":"Time of Event (Mountain Time)","value":"09:50:42"},{"id":151,"name":"Denver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8"/>
      <c r="AL57" s="48"/>
      <c r="AM57" s="150" t="str">
        <f t="shared" si="21"/>
        <v>start /low /b %USERPROFILE%\Documents\GitHub\eaglep3\Utilities\DownloadLogsFromS3.py --loco 4032 --day 2017-04-12</v>
      </c>
      <c r="AN57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15:50:42"},{"id":29,"name":"Sharepoint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731</v>
      </c>
      <c r="B58" s="7">
        <v>4031</v>
      </c>
      <c r="C58" s="21" t="s">
        <v>214</v>
      </c>
      <c r="D58" s="21" t="s">
        <v>885</v>
      </c>
      <c r="E58" s="13">
        <v>42837.414780092593</v>
      </c>
      <c r="F58" s="13">
        <v>42837.424560185187</v>
      </c>
      <c r="G58" s="7">
        <v>1</v>
      </c>
      <c r="H58" s="21" t="s">
        <v>475</v>
      </c>
      <c r="I58" s="13">
        <v>42837.45171296296</v>
      </c>
      <c r="J58" s="7">
        <v>0</v>
      </c>
      <c r="K58" s="97" t="str">
        <f t="shared" si="0"/>
        <v>4031/4032</v>
      </c>
      <c r="L58" s="21" t="str">
        <f>VLOOKUP(A58,'Trips&amp;Operators'!$C$1:$G$99999,5,FALSE)</f>
        <v>MAELZER KURT</v>
      </c>
      <c r="M58" s="6">
        <f t="shared" si="1"/>
        <v>2.7152777773153502E-2</v>
      </c>
      <c r="N58" s="7">
        <f t="shared" si="24"/>
        <v>39.099999993341044</v>
      </c>
      <c r="O58" s="7"/>
      <c r="P58" s="7"/>
      <c r="Q58" s="22"/>
      <c r="R58" s="22"/>
      <c r="S58" s="31">
        <f t="shared" si="3"/>
        <v>1</v>
      </c>
      <c r="T58" s="46" t="str">
        <f t="shared" si="4"/>
        <v>Southbound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 t="shared" si="5"/>
        <v>https://d0f6bd738d7f1b3e5a7ca70fe4ff75f0.us-east-1.aws.found.io/app/kibana#/discover/Steve-Slow-Train-Analysis-(2080s-and-2083s)?_g=(refreshInterval:(display:Off,pause:!f,section:0,value:0),time:(from:'2017-04-12T08:57:17-0600',mode:absolute,to:'2017-04-12T11:50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8" s="183" t="str">
        <f t="shared" si="6"/>
        <v>N</v>
      </c>
      <c r="X58" s="183">
        <f t="shared" si="7"/>
        <v>1</v>
      </c>
      <c r="Y58" s="62">
        <f t="shared" si="8"/>
        <v>23.298200000000001</v>
      </c>
      <c r="Z58" s="62">
        <f t="shared" si="9"/>
        <v>1.3599999999999999E-2</v>
      </c>
      <c r="AA58" s="62">
        <f t="shared" si="10"/>
        <v>23.284600000000001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0146-12</v>
      </c>
      <c r="AE58" s="85" t="str">
        <f t="shared" si="12"/>
        <v>aws s3 cp s3://rtdc.mdm.uploadarchive.raw/RTDC4031/ "%USERPROFILE%\AppData\Local\Temp\OnboardLogs"\RTDC4031\2017-04-12 --exclude "*" --recursive --include "*20170412*" &amp; "%USERPROFILE%\Documents\GitHub\mrs-test-scripts\Headless Mode &amp; Sideloading\WalkAndUnGZ.bat" "%USERPROFILE%\AppData\Local\Temp\OnboardLogs"\RTDC4031\2017-04-12 &amp; aws s3 cp s3://rtdc.mdm.uploadarchive.raw/RTDC4031/ "%USERPROFILE%\AppData\Local\Temp\OnboardLogs"\RTDC4031\2017-04-13 --exclude "*" --recursive --include "*20170413*" &amp; "%USERPROFILE%\Documents\GitHub\mrs-test-scripts\Headless Mode &amp; Sideloading\WalkAndUnGZ.bat" "%USERPROFILE%\AppData\Local\Temp\OnboardLogs"\RTDC4031\2017-04-13</v>
      </c>
      <c r="AF58" s="82" t="str">
        <f t="shared" si="13"/>
        <v>"C:\Program Files (x86)\AstroGrep\AstroGrep.exe" /e /r /s /spath="%USERPROFILE%\AppData\Local\Temp\OnboardLogs" /stypes="app*4031*20170412*" /stext=" 16:.+((SYSTEM_STATE.+slice.+state.+changed )|(ment ac)|(multiple cpu faults)|(system.+state.+changed )|(\[timeout)|(PRM\|1\|D)|(kpr)|(kdp)|(\|lc)|(penalty))"</v>
      </c>
      <c r="AG58" s="1" t="str">
        <f t="shared" si="14"/>
        <v>EC</v>
      </c>
      <c r="AH58" s="86" t="str">
        <f t="shared" si="19"/>
        <v>"%USERPROFILE%\Documents\GitHub\eaglep3\Utilities\RefineRTDCRunTimes.py" --tripid 146-12 --locoid 4031 --swversion DE.1.0.9.0 --startMP 204:232982 --initTime 2017-04-12T09:57:17 --startdatetime 2017-04-12T10:11:22 --delay 1 --endMP 204:136 --enddatetime 2017-04-12T10:50:28 --enforcementcount 0 &gt;&gt;C:\Users\stu\Documents\GitHub\eaglep3-reporting\EC\2017-04-12-refined-times.txt</v>
      </c>
      <c r="AI58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{"issue":{"subject":"","project_id":79,"tracker_id":40,"status_id":1,"priority_id":2,"assigned_to_id":23,"start_date":"2017-04-12","description":"","custom_fields":[{"id":1,"name":"Subdivision","value":"EC"},{"id":4,"name":"Milepost","value":"0.0136"},{"id":17,"name":"Train ID","value":"146-12"},{"id":16,"name":"Locomotive ID","value":"4031"},{"id":130,"name":"Impact","value":""},{"id":150,"name":"Time of Event (Mountain Time)","value":"10:50:28"},{"id":151,"name":"Denver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8"/>
      <c r="AL58" s="48"/>
      <c r="AM58" s="150" t="str">
        <f t="shared" si="21"/>
        <v>start /low /b %USERPROFILE%\Documents\GitHub\eaglep3\Utilities\DownloadLogsFromS3.py --loco 4031 --day 2017-04-12</v>
      </c>
      <c r="AN58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16:50:28"},{"id":29,"name":"Sharepoint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725</v>
      </c>
      <c r="B59" s="7">
        <v>4054</v>
      </c>
      <c r="C59" s="21" t="s">
        <v>214</v>
      </c>
      <c r="D59" s="21" t="s">
        <v>576</v>
      </c>
      <c r="E59" s="13">
        <v>42837.3908912037</v>
      </c>
      <c r="F59" s="13">
        <v>42837.396006944444</v>
      </c>
      <c r="G59" s="7">
        <v>1</v>
      </c>
      <c r="H59" s="21" t="s">
        <v>471</v>
      </c>
      <c r="I59" s="13">
        <v>42837.420694444445</v>
      </c>
      <c r="J59" s="7">
        <v>0</v>
      </c>
      <c r="K59" s="97" t="str">
        <f t="shared" si="0"/>
        <v>4053/4054</v>
      </c>
      <c r="L59" s="21" t="str">
        <f>VLOOKUP(A59,'Trips&amp;Operators'!$C$1:$G$99999,5,FALSE)</f>
        <v>GEBRETEKLE DAGNEW</v>
      </c>
      <c r="M59" s="6">
        <f t="shared" si="1"/>
        <v>2.4687500001164153E-2</v>
      </c>
      <c r="N59" s="7">
        <f t="shared" si="24"/>
        <v>35.550000001676381</v>
      </c>
      <c r="O59" s="7"/>
      <c r="P59" s="7"/>
      <c r="Q59" s="22"/>
      <c r="R59" s="22"/>
      <c r="S59" s="31">
        <f t="shared" si="3"/>
        <v>1</v>
      </c>
      <c r="T59" s="46" t="str">
        <f t="shared" si="4"/>
        <v>NorthBound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 t="shared" si="5"/>
        <v>https://d0f6bd738d7f1b3e5a7ca70fe4ff75f0.us-east-1.aws.found.io/app/kibana#/discover/Steve-Slow-Train-Analysis-(2080s-and-2083s)?_g=(refreshInterval:(display:Off,pause:!f,section:0,value:0),time:(from:'2017-04-12T08:22:53-0600',mode:absolute,to:'2017-04-12T11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9" s="183" t="str">
        <f t="shared" si="6"/>
        <v>N</v>
      </c>
      <c r="X59" s="183">
        <f t="shared" si="7"/>
        <v>1</v>
      </c>
      <c r="Y59" s="62">
        <f t="shared" si="8"/>
        <v>4.3499999999999997E-2</v>
      </c>
      <c r="Z59" s="62">
        <f t="shared" si="9"/>
        <v>23.3306</v>
      </c>
      <c r="AA59" s="62">
        <f t="shared" si="10"/>
        <v>23.287099999999999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0147-12</v>
      </c>
      <c r="AE59" s="85" t="str">
        <f t="shared" si="12"/>
        <v>aws s3 cp s3://rtdc.mdm.uploadarchive.raw/RTDC4054/ "%USERPROFILE%\AppData\Local\Temp\OnboardLogs"\RTDC4054\2017-04-12 --exclude "*" --recursive --include "*20170412*" &amp; "%USERPROFILE%\Documents\GitHub\mrs-test-scripts\Headless Mode &amp; Sideloading\WalkAndUnGZ.bat" "%USERPROFILE%\AppData\Local\Temp\OnboardLogs"\RTDC4054\2017-04-12 &amp; aws s3 cp s3://rtdc.mdm.uploadarchive.raw/RTDC4054/ "%USERPROFILE%\AppData\Local\Temp\OnboardLogs"\RTDC4054\2017-04-13 --exclude "*" --recursive --include "*20170413*" &amp; "%USERPROFILE%\Documents\GitHub\mrs-test-scripts\Headless Mode &amp; Sideloading\WalkAndUnGZ.bat" "%USERPROFILE%\AppData\Local\Temp\OnboardLogs"\RTDC4054\2017-04-13</v>
      </c>
      <c r="AF59" s="82" t="str">
        <f t="shared" si="13"/>
        <v>"C:\Program Files (x86)\AstroGrep\AstroGrep.exe" /e /r /s /spath="%USERPROFILE%\AppData\Local\Temp\OnboardLogs" /stypes="app*4054*20170412*" /stext=" 16:.+((SYSTEM_STATE.+slice.+state.+changed )|(ment ac)|(multiple cpu faults)|(system.+state.+changed )|(\[timeout)|(PRM\|1\|D)|(kpr)|(kdp)|(\|lc)|(penalty))"</v>
      </c>
      <c r="AG59" s="1" t="str">
        <f t="shared" si="14"/>
        <v>EC</v>
      </c>
      <c r="AH59" s="86" t="str">
        <f t="shared" si="19"/>
        <v>"%USERPROFILE%\Documents\GitHub\eaglep3\Utilities\RefineRTDCRunTimes.py" --tripid 147-12 --locoid 4054 --swversion DE.1.0.9.0 --startMP 204:435 --initTime 2017-04-12T09:22:53 --startdatetime 2017-04-12T09:30:15 --delay 1 --endMP 204:233306 --enddatetime 2017-04-12T10:05:48 --enforcementcount 0 &gt;&gt;C:\Users\stu\Documents\GitHub\eaglep3-reporting\EC\2017-04-12-refined-times.txt</v>
      </c>
      <c r="AI59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{"issue":{"subject":"","project_id":79,"tracker_id":40,"status_id":1,"priority_id":2,"assigned_to_id":23,"start_date":"2017-04-12","description":"","custom_fields":[{"id":1,"name":"Subdivision","value":"EC"},{"id":4,"name":"Milepost","value":"23.3306"},{"id":17,"name":"Train ID","value":"147-12"},{"id":16,"name":"Locomotive ID","value":"4054"},{"id":130,"name":"Impact","value":""},{"id":150,"name":"Time of Event (Mountain Time)","value":"10:05:48"},{"id":151,"name":"Denver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8"/>
      <c r="AL59" s="48"/>
      <c r="AM59" s="150" t="str">
        <f t="shared" si="21"/>
        <v>start /low /b %USERPROFILE%\Documents\GitHub\eaglep3\Utilities\DownloadLogsFromS3.py --loco 4054 --day 2017-04-12</v>
      </c>
      <c r="AN59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16:05:48"},{"id":29,"name":"Sharepoint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733</v>
      </c>
      <c r="B60" s="7">
        <v>4053</v>
      </c>
      <c r="C60" s="21" t="s">
        <v>214</v>
      </c>
      <c r="D60" s="21" t="s">
        <v>593</v>
      </c>
      <c r="E60" s="13">
        <v>42837.426412037035</v>
      </c>
      <c r="F60" s="13">
        <v>42837.435115740744</v>
      </c>
      <c r="G60" s="7">
        <v>0</v>
      </c>
      <c r="H60" s="21" t="s">
        <v>211</v>
      </c>
      <c r="I60" s="13">
        <v>42837.460833333331</v>
      </c>
      <c r="J60" s="7">
        <v>0</v>
      </c>
      <c r="K60" s="97" t="str">
        <f t="shared" si="0"/>
        <v>4053/4054</v>
      </c>
      <c r="L60" s="21" t="str">
        <f>VLOOKUP(A60,'Trips&amp;Operators'!$C$1:$G$99999,5,FALSE)</f>
        <v>GEBRETEKLE DAGNEW</v>
      </c>
      <c r="M60" s="6">
        <f t="shared" si="1"/>
        <v>2.5717592587170657E-2</v>
      </c>
      <c r="N60" s="7">
        <f t="shared" si="24"/>
        <v>37.033333325525746</v>
      </c>
      <c r="O60" s="7"/>
      <c r="P60" s="7"/>
      <c r="Q60" s="22"/>
      <c r="R60" s="22"/>
      <c r="S60" s="31">
        <f t="shared" si="3"/>
        <v>1</v>
      </c>
      <c r="T60" s="46" t="str">
        <f t="shared" si="4"/>
        <v>Southbound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 t="shared" si="5"/>
        <v>https://d0f6bd738d7f1b3e5a7ca70fe4ff75f0.us-east-1.aws.found.io/app/kibana#/discover/Steve-Slow-Train-Analysis-(2080s-and-2083s)?_g=(refreshInterval:(display:Off,pause:!f,section:0,value:0),time:(from:'2017-04-12T09:14:02-0600',mode:absolute,to:'2017-04-12T12:03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0" s="183" t="str">
        <f t="shared" si="6"/>
        <v>N</v>
      </c>
      <c r="X60" s="183">
        <f t="shared" si="7"/>
        <v>1</v>
      </c>
      <c r="Y60" s="62">
        <f t="shared" si="8"/>
        <v>23.299399999999999</v>
      </c>
      <c r="Z60" s="62">
        <f t="shared" si="9"/>
        <v>1.47E-2</v>
      </c>
      <c r="AA60" s="62">
        <f t="shared" si="10"/>
        <v>23.284699999999997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0148-12</v>
      </c>
      <c r="AE60" s="85" t="str">
        <f t="shared" si="12"/>
        <v>aws s3 cp s3://rtdc.mdm.uploadarchive.raw/RTDC4053/ "%USERPROFILE%\AppData\Local\Temp\OnboardLogs"\RTDC4053\2017-04-12 --exclude "*" --recursive --include "*20170412*" &amp; "%USERPROFILE%\Documents\GitHub\mrs-test-scripts\Headless Mode &amp; Sideloading\WalkAndUnGZ.bat" "%USERPROFILE%\AppData\Local\Temp\OnboardLogs"\RTDC4053\2017-04-12 &amp; aws s3 cp s3://rtdc.mdm.uploadarchive.raw/RTDC4053/ "%USERPROFILE%\AppData\Local\Temp\OnboardLogs"\RTDC4053\2017-04-13 --exclude "*" --recursive --include "*20170413*" &amp; "%USERPROFILE%\Documents\GitHub\mrs-test-scripts\Headless Mode &amp; Sideloading\WalkAndUnGZ.bat" "%USERPROFILE%\AppData\Local\Temp\OnboardLogs"\RTDC4053\2017-04-13</v>
      </c>
      <c r="AF60" s="82" t="str">
        <f t="shared" si="13"/>
        <v>"C:\Program Files (x86)\AstroGrep\AstroGrep.exe" /e /r /s /spath="%USERPROFILE%\AppData\Local\Temp\OnboardLogs" /stypes="app*4053*20170412*" /stext=" 17:.+((SYSTEM_STATE.+slice.+state.+changed )|(ment ac)|(multiple cpu faults)|(system.+state.+changed )|(\[timeout)|(PRM\|1\|D)|(kpr)|(kdp)|(\|lc)|(penalty))"</v>
      </c>
      <c r="AG60" s="1" t="str">
        <f t="shared" si="14"/>
        <v>EC</v>
      </c>
      <c r="AH60" s="86" t="str">
        <f t="shared" si="19"/>
        <v>"%USERPROFILE%\Documents\GitHub\eaglep3\Utilities\RefineRTDCRunTimes.py" --tripid 148-12 --locoid 4053 --swversion DE.1.0.9.0 --startMP 204:232994 --initTime 2017-04-12T10:14:02 --startdatetime 2017-04-12T10:26:34 --delay 0 --endMP 204:147 --enddatetime 2017-04-12T11:03:36 --enforcementcount 0 &gt;&gt;C:\Users\stu\Documents\GitHub\eaglep3-reporting\EC\2017-04-12-refined-times.txt</v>
      </c>
      <c r="AI60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{"issue":{"subject":"","project_id":79,"tracker_id":40,"status_id":1,"priority_id":2,"assigned_to_id":23,"start_date":"2017-04-12","description":"","custom_fields":[{"id":1,"name":"Subdivision","value":"EC"},{"id":4,"name":"Milepost","value":"0.0147"},{"id":17,"name":"Train ID","value":"148-12"},{"id":16,"name":"Locomotive ID","value":"4053"},{"id":130,"name":"Impact","value":""},{"id":150,"name":"Time of Event (Mountain Time)","value":"11:03:36"},{"id":151,"name":"Denver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8"/>
      <c r="AL60" s="48"/>
      <c r="AM60" s="150" t="str">
        <f t="shared" si="21"/>
        <v>start /low /b %USERPROFILE%\Documents\GitHub\eaglep3\Utilities\DownloadLogsFromS3.py --loco 4053 --day 2017-04-12</v>
      </c>
      <c r="AN60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17:03:36"},{"id":29,"name":"Sharepoint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728</v>
      </c>
      <c r="B61" s="7">
        <v>4044</v>
      </c>
      <c r="C61" s="21" t="s">
        <v>214</v>
      </c>
      <c r="D61" s="21" t="s">
        <v>210</v>
      </c>
      <c r="E61" s="13">
        <v>42837.402118055557</v>
      </c>
      <c r="F61" s="13">
        <v>42837.406875000001</v>
      </c>
      <c r="G61" s="7">
        <v>1</v>
      </c>
      <c r="H61" s="21" t="s">
        <v>574</v>
      </c>
      <c r="I61" s="13">
        <v>42837.432638888888</v>
      </c>
      <c r="J61" s="7">
        <v>0</v>
      </c>
      <c r="K61" s="97" t="str">
        <f t="shared" si="0"/>
        <v>4043/4044</v>
      </c>
      <c r="L61" s="21" t="str">
        <f>VLOOKUP(A61,'Trips&amp;Operators'!$C$1:$G$99999,5,FALSE)</f>
        <v>BONDS REYNALDO</v>
      </c>
      <c r="M61" s="6">
        <f t="shared" si="1"/>
        <v>2.5763888887013309E-2</v>
      </c>
      <c r="N61" s="7">
        <f t="shared" si="24"/>
        <v>37.099999997299165</v>
      </c>
      <c r="O61" s="7"/>
      <c r="P61" s="7"/>
      <c r="Q61" s="22"/>
      <c r="R61" s="22"/>
      <c r="S61" s="31">
        <f t="shared" si="3"/>
        <v>1</v>
      </c>
      <c r="T61" s="46" t="str">
        <f t="shared" si="4"/>
        <v>NorthBound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 t="shared" si="5"/>
        <v>https://d0f6bd738d7f1b3e5a7ca70fe4ff75f0.us-east-1.aws.found.io/app/kibana#/discover/Steve-Slow-Train-Analysis-(2080s-and-2083s)?_g=(refreshInterval:(display:Off,pause:!f,section:0,value:0),time:(from:'2017-04-12T08:39:03-0600',mode:absolute,to:'2017-04-12T11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1" s="183" t="str">
        <f t="shared" si="6"/>
        <v>N</v>
      </c>
      <c r="X61" s="183">
        <f t="shared" si="7"/>
        <v>1</v>
      </c>
      <c r="Y61" s="62">
        <f t="shared" si="8"/>
        <v>4.5499999999999999E-2</v>
      </c>
      <c r="Z61" s="62">
        <f t="shared" si="9"/>
        <v>23.330100000000002</v>
      </c>
      <c r="AA61" s="62">
        <f t="shared" si="10"/>
        <v>23.284600000000001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1"/>
        <v>0149-12</v>
      </c>
      <c r="AE61" s="85" t="str">
        <f t="shared" si="12"/>
        <v>aws s3 cp s3://rtdc.mdm.uploadarchive.raw/RTDC4044/ "%USERPROFILE%\AppData\Local\Temp\OnboardLogs"\RTDC4044\2017-04-12 --exclude "*" --recursive --include "*20170412*" &amp; "%USERPROFILE%\Documents\GitHub\mrs-test-scripts\Headless Mode &amp; Sideloading\WalkAndUnGZ.bat" "%USERPROFILE%\AppData\Local\Temp\OnboardLogs"\RTDC4044\2017-04-12 &amp; aws s3 cp s3://rtdc.mdm.uploadarchive.raw/RTDC4044/ "%USERPROFILE%\AppData\Local\Temp\OnboardLogs"\RTDC4044\2017-04-13 --exclude "*" --recursive --include "*20170413*" &amp; "%USERPROFILE%\Documents\GitHub\mrs-test-scripts\Headless Mode &amp; Sideloading\WalkAndUnGZ.bat" "%USERPROFILE%\AppData\Local\Temp\OnboardLogs"\RTDC4044\2017-04-13</v>
      </c>
      <c r="AF61" s="82" t="str">
        <f t="shared" si="13"/>
        <v>"C:\Program Files (x86)\AstroGrep\AstroGrep.exe" /e /r /s /spath="%USERPROFILE%\AppData\Local\Temp\OnboardLogs" /stypes="app*4044*20170412*" /stext=" 16:.+((SYSTEM_STATE.+slice.+state.+changed )|(ment ac)|(multiple cpu faults)|(system.+state.+changed )|(\[timeout)|(PRM\|1\|D)|(kpr)|(kdp)|(\|lc)|(penalty))"</v>
      </c>
      <c r="AG61" s="1" t="str">
        <f t="shared" si="14"/>
        <v>EC</v>
      </c>
      <c r="AH61" s="86" t="str">
        <f t="shared" si="19"/>
        <v>"%USERPROFILE%\Documents\GitHub\eaglep3\Utilities\RefineRTDCRunTimes.py" --tripid 149-12 --locoid 4044 --swversion DE.1.0.9.0 --startMP 204:455 --initTime 2017-04-12T09:39:03 --startdatetime 2017-04-12T09:45:54 --delay 1 --endMP 204:233301 --enddatetime 2017-04-12T10:23:00 --enforcementcount 0 &gt;&gt;C:\Users\stu\Documents\GitHub\eaglep3-reporting\EC\2017-04-12-refined-times.txt</v>
      </c>
      <c r="AI61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{"issue":{"subject":"","project_id":79,"tracker_id":40,"status_id":1,"priority_id":2,"assigned_to_id":23,"start_date":"2017-04-12","description":"","custom_fields":[{"id":1,"name":"Subdivision","value":"EC"},{"id":4,"name":"Milepost","value":"23.3301"},{"id":17,"name":"Train ID","value":"149-12"},{"id":16,"name":"Locomotive ID","value":"4044"},{"id":130,"name":"Impact","value":""},{"id":150,"name":"Time of Event (Mountain Time)","value":"10:23:00"},{"id":151,"name":"Denver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8"/>
      <c r="AL61" s="48"/>
      <c r="AM61" s="150" t="str">
        <f t="shared" si="21"/>
        <v>start /low /b %USERPROFILE%\Documents\GitHub\eaglep3\Utilities\DownloadLogsFromS3.py --loco 4044 --day 2017-04-12</v>
      </c>
      <c r="AN61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16:23:00"},{"id":29,"name":"Sharepoint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737</v>
      </c>
      <c r="B62" s="7">
        <v>4043</v>
      </c>
      <c r="C62" s="21" t="s">
        <v>214</v>
      </c>
      <c r="D62" s="21" t="s">
        <v>584</v>
      </c>
      <c r="E62" s="13">
        <v>42837.441944444443</v>
      </c>
      <c r="F62" s="13">
        <v>42837.445381944446</v>
      </c>
      <c r="G62" s="7">
        <v>1</v>
      </c>
      <c r="H62" s="21" t="s">
        <v>418</v>
      </c>
      <c r="I62" s="13">
        <v>42837.473252314812</v>
      </c>
      <c r="J62" s="7">
        <v>0</v>
      </c>
      <c r="K62" s="97" t="str">
        <f t="shared" si="0"/>
        <v>4043/4044</v>
      </c>
      <c r="L62" s="21" t="str">
        <f>VLOOKUP(A62,'Trips&amp;Operators'!$C$1:$G$99999,5,FALSE)</f>
        <v>BONDS REYNALDO</v>
      </c>
      <c r="M62" s="6">
        <f t="shared" si="1"/>
        <v>2.7870370366144925E-2</v>
      </c>
      <c r="N62" s="7">
        <f t="shared" si="24"/>
        <v>40.133333327248693</v>
      </c>
      <c r="O62" s="7"/>
      <c r="P62" s="7"/>
      <c r="Q62" s="22"/>
      <c r="R62" s="22"/>
      <c r="S62" s="31">
        <f t="shared" si="3"/>
        <v>1</v>
      </c>
      <c r="T62" s="46" t="str">
        <f t="shared" si="4"/>
        <v>Southbound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 t="shared" si="5"/>
        <v>https://d0f6bd738d7f1b3e5a7ca70fe4ff75f0.us-east-1.aws.found.io/app/kibana#/discover/Steve-Slow-Train-Analysis-(2080s-and-2083s)?_g=(refreshInterval:(display:Off,pause:!f,section:0,value:0),time:(from:'2017-04-12T09:36:24-0600',mode:absolute,to:'2017-04-12T12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2" s="183" t="str">
        <f t="shared" si="6"/>
        <v>N</v>
      </c>
      <c r="X62" s="183">
        <f t="shared" si="7"/>
        <v>1</v>
      </c>
      <c r="Y62" s="62">
        <f t="shared" si="8"/>
        <v>23.2986</v>
      </c>
      <c r="Z62" s="62">
        <f t="shared" si="9"/>
        <v>1.4500000000000001E-2</v>
      </c>
      <c r="AA62" s="62">
        <f t="shared" si="10"/>
        <v>23.284099999999999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0150-12</v>
      </c>
      <c r="AE62" s="85" t="str">
        <f t="shared" si="12"/>
        <v>aws s3 cp s3://rtdc.mdm.uploadarchive.raw/RTDC4043/ "%USERPROFILE%\AppData\Local\Temp\OnboardLogs"\RTDC4043\2017-04-12 --exclude "*" --recursive --include "*20170412*" &amp; "%USERPROFILE%\Documents\GitHub\mrs-test-scripts\Headless Mode &amp; Sideloading\WalkAndUnGZ.bat" "%USERPROFILE%\AppData\Local\Temp\OnboardLogs"\RTDC4043\2017-04-12 &amp; aws s3 cp s3://rtdc.mdm.uploadarchive.raw/RTDC4043/ "%USERPROFILE%\AppData\Local\Temp\OnboardLogs"\RTDC4043\2017-04-13 --exclude "*" --recursive --include "*20170413*" &amp; "%USERPROFILE%\Documents\GitHub\mrs-test-scripts\Headless Mode &amp; Sideloading\WalkAndUnGZ.bat" "%USERPROFILE%\AppData\Local\Temp\OnboardLogs"\RTDC4043\2017-04-13</v>
      </c>
      <c r="AF62" s="82" t="str">
        <f t="shared" si="13"/>
        <v>"C:\Program Files (x86)\AstroGrep\AstroGrep.exe" /e /r /s /spath="%USERPROFILE%\AppData\Local\Temp\OnboardLogs" /stypes="app*4043*20170412*" /stext=" 17:.+((SYSTEM_STATE.+slice.+state.+changed )|(ment ac)|(multiple cpu faults)|(system.+state.+changed )|(\[timeout)|(PRM\|1\|D)|(kpr)|(kdp)|(\|lc)|(penalty))"</v>
      </c>
      <c r="AG62" s="1" t="str">
        <f t="shared" si="14"/>
        <v>EC</v>
      </c>
      <c r="AH62" s="86" t="str">
        <f t="shared" si="19"/>
        <v>"%USERPROFILE%\Documents\GitHub\eaglep3\Utilities\RefineRTDCRunTimes.py" --tripid 150-12 --locoid 4043 --swversion DE.1.0.9.0 --startMP 204:232986 --initTime 2017-04-12T10:36:24 --startdatetime 2017-04-12T10:41:21 --delay 1 --endMP 204:145 --enddatetime 2017-04-12T11:21:29 --enforcementcount 0 &gt;&gt;C:\Users\stu\Documents\GitHub\eaglep3-reporting\EC\2017-04-12-refined-times.txt</v>
      </c>
      <c r="AI62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{"issue":{"subject":"","project_id":79,"tracker_id":40,"status_id":1,"priority_id":2,"assigned_to_id":23,"start_date":"2017-04-12","description":"","custom_fields":[{"id":1,"name":"Subdivision","value":"EC"},{"id":4,"name":"Milepost","value":"0.0145"},{"id":17,"name":"Train ID","value":"150-12"},{"id":16,"name":"Locomotive ID","value":"4043"},{"id":130,"name":"Impact","value":""},{"id":150,"name":"Time of Event (Mountain Time)","value":"11:21:29"},{"id":151,"name":"Denver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8"/>
      <c r="AL62" s="48"/>
      <c r="AM62" s="150" t="str">
        <f t="shared" si="21"/>
        <v>start /low /b %USERPROFILE%\Documents\GitHub\eaglep3\Utilities\DownloadLogsFromS3.py --loco 4043 --day 2017-04-12</v>
      </c>
      <c r="AN62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17:21:29"},{"id":29,"name":"Sharepoint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729</v>
      </c>
      <c r="B63" s="7">
        <v>4012</v>
      </c>
      <c r="C63" s="21" t="s">
        <v>214</v>
      </c>
      <c r="D63" s="21" t="s">
        <v>204</v>
      </c>
      <c r="E63" s="13">
        <v>42837.410474537035</v>
      </c>
      <c r="F63" s="13">
        <v>42837.416875000003</v>
      </c>
      <c r="G63" s="7">
        <v>1</v>
      </c>
      <c r="H63" s="21" t="s">
        <v>592</v>
      </c>
      <c r="I63" s="13">
        <v>42837.441828703704</v>
      </c>
      <c r="J63" s="7">
        <v>0</v>
      </c>
      <c r="K63" s="97" t="str">
        <f t="shared" si="0"/>
        <v>4011/4012</v>
      </c>
      <c r="L63" s="21" t="str">
        <f>VLOOKUP(A63,'Trips&amp;Operators'!$C$1:$G$99999,5,FALSE)</f>
        <v>SANTIZO D. EDY</v>
      </c>
      <c r="M63" s="6">
        <f t="shared" si="1"/>
        <v>2.495370370161254E-2</v>
      </c>
      <c r="N63" s="7">
        <f t="shared" si="24"/>
        <v>35.933333330322057</v>
      </c>
      <c r="O63" s="7"/>
      <c r="P63" s="7"/>
      <c r="Q63" s="22"/>
      <c r="R63" s="22"/>
      <c r="S63" s="31">
        <f t="shared" si="3"/>
        <v>1</v>
      </c>
      <c r="T63" s="46" t="str">
        <f t="shared" si="4"/>
        <v>NorthBound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 t="shared" si="5"/>
        <v>https://d0f6bd738d7f1b3e5a7ca70fe4ff75f0.us-east-1.aws.found.io/app/kibana#/discover/Steve-Slow-Train-Analysis-(2080s-and-2083s)?_g=(refreshInterval:(display:Off,pause:!f,section:0,value:0),time:(from:'2017-04-12T08:51:05-0600',mode:absolute,to:'2017-04-12T11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3" s="183" t="str">
        <f t="shared" si="6"/>
        <v>N</v>
      </c>
      <c r="X63" s="183">
        <f t="shared" si="7"/>
        <v>1</v>
      </c>
      <c r="Y63" s="62">
        <f t="shared" si="8"/>
        <v>4.5100000000000001E-2</v>
      </c>
      <c r="Z63" s="62">
        <f t="shared" si="9"/>
        <v>23.332899999999999</v>
      </c>
      <c r="AA63" s="62">
        <f t="shared" si="10"/>
        <v>23.287799999999997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1"/>
        <v>0151-12</v>
      </c>
      <c r="AE63" s="85" t="str">
        <f t="shared" si="12"/>
        <v>aws s3 cp s3://rtdc.mdm.uploadarchive.raw/RTDC4012/ "%USERPROFILE%\AppData\Local\Temp\OnboardLogs"\RTDC4012\2017-04-12 --exclude "*" --recursive --include "*20170412*" &amp; "%USERPROFILE%\Documents\GitHub\mrs-test-scripts\Headless Mode &amp; Sideloading\WalkAndUnGZ.bat" "%USERPROFILE%\AppData\Local\Temp\OnboardLogs"\RTDC4012\2017-04-12 &amp; aws s3 cp s3://rtdc.mdm.uploadarchive.raw/RTDC4012/ "%USERPROFILE%\AppData\Local\Temp\OnboardLogs"\RTDC4012\2017-04-13 --exclude "*" --recursive --include "*20170413*" &amp; "%USERPROFILE%\Documents\GitHub\mrs-test-scripts\Headless Mode &amp; Sideloading\WalkAndUnGZ.bat" "%USERPROFILE%\AppData\Local\Temp\OnboardLogs"\RTDC4012\2017-04-13</v>
      </c>
      <c r="AF63" s="82" t="str">
        <f t="shared" si="13"/>
        <v>"C:\Program Files (x86)\AstroGrep\AstroGrep.exe" /e /r /s /spath="%USERPROFILE%\AppData\Local\Temp\OnboardLogs" /stypes="app*4012*20170412*" /stext=" 16:.+((SYSTEM_STATE.+slice.+state.+changed )|(ment ac)|(multiple cpu faults)|(system.+state.+changed )|(\[timeout)|(PRM\|1\|D)|(kpr)|(kdp)|(\|lc)|(penalty))"</v>
      </c>
      <c r="AG63" s="1" t="str">
        <f t="shared" si="14"/>
        <v>EC</v>
      </c>
      <c r="AH63" s="86" t="str">
        <f t="shared" si="19"/>
        <v>"%USERPROFILE%\Documents\GitHub\eaglep3\Utilities\RefineRTDCRunTimes.py" --tripid 151-12 --locoid 4012 --swversion DE.1.0.9.0 --startMP 204:451 --initTime 2017-04-12T09:51:05 --startdatetime 2017-04-12T10:00:18 --delay 1 --endMP 204:233329 --enddatetime 2017-04-12T10:36:14 --enforcementcount 0 &gt;&gt;C:\Users\stu\Documents\GitHub\eaglep3-reporting\EC\2017-04-12-refined-times.txt</v>
      </c>
      <c r="AI63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{"issue":{"subject":"","project_id":79,"tracker_id":40,"status_id":1,"priority_id":2,"assigned_to_id":23,"start_date":"2017-04-12","description":"","custom_fields":[{"id":1,"name":"Subdivision","value":"EC"},{"id":4,"name":"Milepost","value":"23.3329"},{"id":17,"name":"Train ID","value":"151-12"},{"id":16,"name":"Locomotive ID","value":"4012"},{"id":130,"name":"Impact","value":""},{"id":150,"name":"Time of Event (Mountain Time)","value":"10:36:14"},{"id":151,"name":"Denver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8"/>
      <c r="AL63" s="48"/>
      <c r="AM63" s="150" t="str">
        <f t="shared" si="21"/>
        <v>start /low /b %USERPROFILE%\Documents\GitHub\eaglep3\Utilities\DownloadLogsFromS3.py --loco 4012 --day 2017-04-12</v>
      </c>
      <c r="AN63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16:36:14"},{"id":29,"name":"Sharepoint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629</v>
      </c>
      <c r="B64" s="7">
        <v>4011</v>
      </c>
      <c r="C64" s="21" t="s">
        <v>214</v>
      </c>
      <c r="D64" s="21" t="s">
        <v>513</v>
      </c>
      <c r="E64" s="13">
        <v>42837.443912037037</v>
      </c>
      <c r="F64" s="13">
        <v>42837.456006944441</v>
      </c>
      <c r="G64" s="7">
        <v>1</v>
      </c>
      <c r="H64" s="21" t="s">
        <v>197</v>
      </c>
      <c r="I64" s="13">
        <v>42837.483437499999</v>
      </c>
      <c r="J64" s="7">
        <v>0</v>
      </c>
      <c r="K64" s="97" t="str">
        <f t="shared" si="0"/>
        <v>4011/4012</v>
      </c>
      <c r="L64" s="21" t="str">
        <f>VLOOKUP(A64,'Trips&amp;Operators'!$C$1:$G$99999,5,FALSE)</f>
        <v>SANTIZO D. EDY</v>
      </c>
      <c r="M64" s="6">
        <f t="shared" si="1"/>
        <v>2.7430555557657499E-2</v>
      </c>
      <c r="N64" s="7">
        <f t="shared" si="24"/>
        <v>39.500000003026798</v>
      </c>
      <c r="O64" s="7"/>
      <c r="P64" s="7"/>
      <c r="Q64" s="22"/>
      <c r="R64" s="22"/>
      <c r="S64" s="31">
        <f t="shared" si="3"/>
        <v>1</v>
      </c>
      <c r="T64" s="46" t="str">
        <f t="shared" si="4"/>
        <v>Southbound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2" t="str">
        <f t="shared" si="5"/>
        <v>https://d0f6bd738d7f1b3e5a7ca70fe4ff75f0.us-east-1.aws.found.io/app/kibana#/discover/Steve-Slow-Train-Analysis-(2080s-and-2083s)?_g=(refreshInterval:(display:Off,pause:!f,section:0,value:0),time:(from:'2017-04-12T09:39:14-0600',mode:absolute,to:'2017-04-12T12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4" s="183" t="str">
        <f t="shared" si="6"/>
        <v>N</v>
      </c>
      <c r="X64" s="183">
        <f t="shared" si="7"/>
        <v>1</v>
      </c>
      <c r="Y64" s="62">
        <f t="shared" si="8"/>
        <v>23.3</v>
      </c>
      <c r="Z64" s="62">
        <f t="shared" si="9"/>
        <v>1.52E-2</v>
      </c>
      <c r="AA64" s="62">
        <f t="shared" si="10"/>
        <v>23.284800000000001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1"/>
        <v>0152-12</v>
      </c>
      <c r="AE64" s="85" t="str">
        <f t="shared" si="12"/>
        <v>aws s3 cp s3://rtdc.mdm.uploadarchive.raw/RTDC4011/ "%USERPROFILE%\AppData\Local\Temp\OnboardLogs"\RTDC4011\2017-04-12 --exclude "*" --recursive --include "*20170412*" &amp; "%USERPROFILE%\Documents\GitHub\mrs-test-scripts\Headless Mode &amp; Sideloading\WalkAndUnGZ.bat" "%USERPROFILE%\AppData\Local\Temp\OnboardLogs"\RTDC4011\2017-04-12 &amp; aws s3 cp s3://rtdc.mdm.uploadarchive.raw/RTDC4011/ "%USERPROFILE%\AppData\Local\Temp\OnboardLogs"\RTDC4011\2017-04-13 --exclude "*" --recursive --include "*20170413*" &amp; "%USERPROFILE%\Documents\GitHub\mrs-test-scripts\Headless Mode &amp; Sideloading\WalkAndUnGZ.bat" "%USERPROFILE%\AppData\Local\Temp\OnboardLogs"\RTDC4011\2017-04-13</v>
      </c>
      <c r="AF64" s="82" t="str">
        <f t="shared" si="13"/>
        <v>"C:\Program Files (x86)\AstroGrep\AstroGrep.exe" /e /r /s /spath="%USERPROFILE%\AppData\Local\Temp\OnboardLogs" /stypes="app*4011*20170412*" /stext=" 17:.+((SYSTEM_STATE.+slice.+state.+changed )|(ment ac)|(multiple cpu faults)|(system.+state.+changed )|(\[timeout)|(PRM\|1\|D)|(kpr)|(kdp)|(\|lc)|(penalty))"</v>
      </c>
      <c r="AG64" s="1" t="str">
        <f t="shared" si="14"/>
        <v>EC</v>
      </c>
      <c r="AH64" s="86" t="str">
        <f t="shared" si="19"/>
        <v>"%USERPROFILE%\Documents\GitHub\eaglep3\Utilities\RefineRTDCRunTimes.py" --tripid 152-12 --locoid 4011 --swversion DE.1.0.9.0 --startMP 204:233000 --initTime 2017-04-12T10:39:14 --startdatetime 2017-04-12T10:56:39 --delay 1 --endMP 204:152 --enddatetime 2017-04-12T11:36:09 --enforcementcount 0 &gt;&gt;C:\Users\stu\Documents\GitHub\eaglep3-reporting\EC\2017-04-12-refined-times.txt</v>
      </c>
      <c r="AI64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{"issue":{"subject":"","project_id":79,"tracker_id":40,"status_id":1,"priority_id":2,"assigned_to_id":23,"start_date":"2017-04-12","description":"","custom_fields":[{"id":1,"name":"Subdivision","value":"EC"},{"id":4,"name":"Milepost","value":"0.0152"},{"id":17,"name":"Train ID","value":"152-12"},{"id":16,"name":"Locomotive ID","value":"4011"},{"id":130,"name":"Impact","value":""},{"id":150,"name":"Time of Event (Mountain Time)","value":"11:36:09"},{"id":151,"name":"Denver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8"/>
      <c r="AL64" s="48"/>
      <c r="AM64" s="150" t="str">
        <f t="shared" si="21"/>
        <v>start /low /b %USERPROFILE%\Documents\GitHub\eaglep3\Utilities\DownloadLogsFromS3.py --loco 4011 --day 2017-04-12</v>
      </c>
      <c r="AN64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17:36:09"},{"id":29,"name":"Sharepoint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732</v>
      </c>
      <c r="B65" s="7">
        <v>4042</v>
      </c>
      <c r="C65" s="21" t="s">
        <v>214</v>
      </c>
      <c r="D65" s="21" t="s">
        <v>516</v>
      </c>
      <c r="E65" s="13">
        <v>42837.4221412037</v>
      </c>
      <c r="F65" s="13">
        <v>42837.427291666667</v>
      </c>
      <c r="G65" s="7">
        <v>1</v>
      </c>
      <c r="H65" s="21" t="s">
        <v>890</v>
      </c>
      <c r="I65" s="13">
        <v>42837.452002314814</v>
      </c>
      <c r="J65" s="7">
        <v>0</v>
      </c>
      <c r="K65" s="97" t="str">
        <f t="shared" si="0"/>
        <v>4041/4042</v>
      </c>
      <c r="L65" s="21" t="str">
        <f>VLOOKUP(A65,'Trips&amp;Operators'!$C$1:$G$99999,5,FALSE)</f>
        <v>ROCHA YAOTL</v>
      </c>
      <c r="M65" s="6">
        <f t="shared" si="1"/>
        <v>2.47106481474475E-2</v>
      </c>
      <c r="N65" s="7">
        <f t="shared" si="24"/>
        <v>35.583333332324401</v>
      </c>
      <c r="O65" s="7"/>
      <c r="P65" s="7"/>
      <c r="Q65" s="22"/>
      <c r="R65" s="22"/>
      <c r="S65" s="31">
        <f t="shared" si="3"/>
        <v>1</v>
      </c>
      <c r="T65" s="46" t="str">
        <f t="shared" si="4"/>
        <v>NorthBound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 t="shared" si="5"/>
        <v>https://d0f6bd738d7f1b3e5a7ca70fe4ff75f0.us-east-1.aws.found.io/app/kibana#/discover/Steve-Slow-Train-Analysis-(2080s-and-2083s)?_g=(refreshInterval:(display:Off,pause:!f,section:0,value:0),time:(from:'2017-04-12T09:07:53-0600',mode:absolute,to:'2017-04-12T11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5" s="183" t="str">
        <f t="shared" si="6"/>
        <v>N</v>
      </c>
      <c r="X65" s="183">
        <f t="shared" si="7"/>
        <v>1</v>
      </c>
      <c r="Y65" s="62">
        <f t="shared" si="8"/>
        <v>4.7300000000000002E-2</v>
      </c>
      <c r="Z65" s="62">
        <f t="shared" si="9"/>
        <v>23.332999999999998</v>
      </c>
      <c r="AA65" s="62">
        <f t="shared" si="10"/>
        <v>23.285699999999999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0153-12</v>
      </c>
      <c r="AE65" s="85" t="str">
        <f t="shared" si="12"/>
        <v>aws s3 cp s3://rtdc.mdm.uploadarchive.raw/RTDC4042/ "%USERPROFILE%\AppData\Local\Temp\OnboardLogs"\RTDC4042\2017-04-12 --exclude "*" --recursive --include "*20170412*" &amp; "%USERPROFILE%\Documents\GitHub\mrs-test-scripts\Headless Mode &amp; Sideloading\WalkAndUnGZ.bat" "%USERPROFILE%\AppData\Local\Temp\OnboardLogs"\RTDC4042\2017-04-12 &amp; aws s3 cp s3://rtdc.mdm.uploadarchive.raw/RTDC4042/ "%USERPROFILE%\AppData\Local\Temp\OnboardLogs"\RTDC4042\2017-04-13 --exclude "*" --recursive --include "*20170413*" &amp; "%USERPROFILE%\Documents\GitHub\mrs-test-scripts\Headless Mode &amp; Sideloading\WalkAndUnGZ.bat" "%USERPROFILE%\AppData\Local\Temp\OnboardLogs"\RTDC4042\2017-04-13</v>
      </c>
      <c r="AF65" s="82" t="str">
        <f t="shared" si="13"/>
        <v>"C:\Program Files (x86)\AstroGrep\AstroGrep.exe" /e /r /s /spath="%USERPROFILE%\AppData\Local\Temp\OnboardLogs" /stypes="app*4042*20170412*" /stext=" 16:.+((SYSTEM_STATE.+slice.+state.+changed )|(ment ac)|(multiple cpu faults)|(system.+state.+changed )|(\[timeout)|(PRM\|1\|D)|(kpr)|(kdp)|(\|lc)|(penalty))"</v>
      </c>
      <c r="AG65" s="1" t="str">
        <f t="shared" si="14"/>
        <v>EC</v>
      </c>
      <c r="AH65" s="86" t="str">
        <f t="shared" si="19"/>
        <v>"%USERPROFILE%\Documents\GitHub\eaglep3\Utilities\RefineRTDCRunTimes.py" --tripid 153-12 --locoid 4042 --swversion DE.1.0.9.0 --startMP 204:473 --initTime 2017-04-12T10:07:53 --startdatetime 2017-04-12T10:15:18 --delay 1 --endMP 204:233330 --enddatetime 2017-04-12T10:50:53 --enforcementcount 0 &gt;&gt;C:\Users\stu\Documents\GitHub\eaglep3-reporting\EC\2017-04-12-refined-times.txt</v>
      </c>
      <c r="AI65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{"issue":{"subject":"","project_id":79,"tracker_id":40,"status_id":1,"priority_id":2,"assigned_to_id":23,"start_date":"2017-04-12","description":"","custom_fields":[{"id":1,"name":"Subdivision","value":"EC"},{"id":4,"name":"Milepost","value":"23.333"},{"id":17,"name":"Train ID","value":"153-12"},{"id":16,"name":"Locomotive ID","value":"4042"},{"id":130,"name":"Impact","value":""},{"id":150,"name":"Time of Event (Mountain Time)","value":"10:50:53"},{"id":151,"name":"Denver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8"/>
      <c r="AL65" s="48"/>
      <c r="AM65" s="150" t="str">
        <f t="shared" si="21"/>
        <v>start /low /b %USERPROFILE%\Documents\GitHub\eaglep3\Utilities\DownloadLogsFromS3.py --loco 4042 --day 2017-04-12</v>
      </c>
      <c r="AN65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16:50:53"},{"id":29,"name":"Sharepoint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742</v>
      </c>
      <c r="B66" s="7">
        <v>4041</v>
      </c>
      <c r="C66" s="21" t="s">
        <v>214</v>
      </c>
      <c r="D66" s="21" t="s">
        <v>891</v>
      </c>
      <c r="E66" s="13">
        <v>42837.455787037034</v>
      </c>
      <c r="F66" s="13">
        <v>42837.466400462959</v>
      </c>
      <c r="G66" s="7">
        <v>2</v>
      </c>
      <c r="H66" s="21" t="s">
        <v>589</v>
      </c>
      <c r="I66" s="13">
        <v>42837.494108796294</v>
      </c>
      <c r="J66" s="7">
        <v>0</v>
      </c>
      <c r="K66" s="97" t="str">
        <f t="shared" si="0"/>
        <v>4041/4042</v>
      </c>
      <c r="L66" s="21" t="str">
        <f>VLOOKUP(A66,'Trips&amp;Operators'!$C$1:$G$99999,5,FALSE)</f>
        <v>ROCHA YAOTL</v>
      </c>
      <c r="M66" s="6">
        <f t="shared" si="1"/>
        <v>2.7708333334885538E-2</v>
      </c>
      <c r="N66" s="7">
        <f t="shared" si="24"/>
        <v>39.900000002235174</v>
      </c>
      <c r="O66" s="7"/>
      <c r="P66" s="7"/>
      <c r="Q66" s="22"/>
      <c r="R66" s="22"/>
      <c r="S66" s="31">
        <f t="shared" si="3"/>
        <v>1</v>
      </c>
      <c r="T66" s="46" t="str">
        <f t="shared" si="4"/>
        <v>Southbound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 t="shared" si="5"/>
        <v>https://d0f6bd738d7f1b3e5a7ca70fe4ff75f0.us-east-1.aws.found.io/app/kibana#/discover/Steve-Slow-Train-Analysis-(2080s-and-2083s)?_g=(refreshInterval:(display:Off,pause:!f,section:0,value:0),time:(from:'2017-04-12T09:56:20-0600',mode:absolute,to:'2017-04-12T12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6" s="183" t="str">
        <f t="shared" si="6"/>
        <v>N</v>
      </c>
      <c r="X66" s="183">
        <f t="shared" si="7"/>
        <v>1</v>
      </c>
      <c r="Y66" s="62">
        <f t="shared" si="8"/>
        <v>23.2988</v>
      </c>
      <c r="Z66" s="62">
        <f t="shared" si="9"/>
        <v>1.7399999999999999E-2</v>
      </c>
      <c r="AA66" s="62">
        <f t="shared" si="10"/>
        <v>23.281400000000001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0154-12</v>
      </c>
      <c r="AE66" s="85" t="str">
        <f t="shared" si="12"/>
        <v>aws s3 cp s3://rtdc.mdm.uploadarchive.raw/RTDC4041/ "%USERPROFILE%\AppData\Local\Temp\OnboardLogs"\RTDC4041\2017-04-12 --exclude "*" --recursive --include "*20170412*" &amp; "%USERPROFILE%\Documents\GitHub\mrs-test-scripts\Headless Mode &amp; Sideloading\WalkAndUnGZ.bat" "%USERPROFILE%\AppData\Local\Temp\OnboardLogs"\RTDC4041\2017-04-12 &amp; aws s3 cp s3://rtdc.mdm.uploadarchive.raw/RTDC4041/ "%USERPROFILE%\AppData\Local\Temp\OnboardLogs"\RTDC4041\2017-04-13 --exclude "*" --recursive --include "*20170413*" &amp; "%USERPROFILE%\Documents\GitHub\mrs-test-scripts\Headless Mode &amp; Sideloading\WalkAndUnGZ.bat" "%USERPROFILE%\AppData\Local\Temp\OnboardLogs"\RTDC4041\2017-04-13</v>
      </c>
      <c r="AF66" s="82" t="str">
        <f t="shared" si="13"/>
        <v>"C:\Program Files (x86)\AstroGrep\AstroGrep.exe" /e /r /s /spath="%USERPROFILE%\AppData\Local\Temp\OnboardLogs" /stypes="app*4041*20170412*" /stext=" 17:.+((SYSTEM_STATE.+slice.+state.+changed )|(ment ac)|(multiple cpu faults)|(system.+state.+changed )|(\[timeout)|(PRM\|1\|D)|(kpr)|(kdp)|(\|lc)|(penalty))"</v>
      </c>
      <c r="AG66" s="1" t="str">
        <f t="shared" si="14"/>
        <v>EC</v>
      </c>
      <c r="AH66" s="86" t="str">
        <f t="shared" si="19"/>
        <v>"%USERPROFILE%\Documents\GitHub\eaglep3\Utilities\RefineRTDCRunTimes.py" --tripid 154-12 --locoid 4041 --swversion DE.1.0.9.0 --startMP 204:232988 --initTime 2017-04-12T10:56:20 --startdatetime 2017-04-12T11:11:37 --delay 2 --endMP 204:174 --enddatetime 2017-04-12T11:51:31 --enforcementcount 0 &gt;&gt;C:\Users\stu\Documents\GitHub\eaglep3-reporting\EC\2017-04-12-refined-times.txt</v>
      </c>
      <c r="AI66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{"issue":{"subject":"","project_id":79,"tracker_id":40,"status_id":1,"priority_id":2,"assigned_to_id":23,"start_date":"2017-04-12","description":"","custom_fields":[{"id":1,"name":"Subdivision","value":"EC"},{"id":4,"name":"Milepost","value":"0.0174"},{"id":17,"name":"Train ID","value":"154-12"},{"id":16,"name":"Locomotive ID","value":"4041"},{"id":130,"name":"Impact","value":""},{"id":150,"name":"Time of Event (Mountain Time)","value":"11:51:31"},{"id":151,"name":"Denver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8"/>
      <c r="AL66" s="48"/>
      <c r="AM66" s="150" t="str">
        <f t="shared" si="21"/>
        <v>start /low /b %USERPROFILE%\Documents\GitHub\eaglep3\Utilities\DownloadLogsFromS3.py --loco 4041 --day 2017-04-12</v>
      </c>
      <c r="AN66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17:51:31"},{"id":29,"name":"Sharepoint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627</v>
      </c>
      <c r="B67" s="7">
        <v>4020</v>
      </c>
      <c r="C67" s="21" t="s">
        <v>214</v>
      </c>
      <c r="D67" s="21" t="s">
        <v>577</v>
      </c>
      <c r="E67" s="13">
        <v>42837.433391203704</v>
      </c>
      <c r="F67" s="13">
        <v>42837.437847222223</v>
      </c>
      <c r="G67" s="7">
        <v>1</v>
      </c>
      <c r="H67" s="21" t="s">
        <v>472</v>
      </c>
      <c r="I67" s="13">
        <v>42837.462233796294</v>
      </c>
      <c r="J67" s="7">
        <v>0</v>
      </c>
      <c r="K67" s="97" t="str">
        <f t="shared" si="0"/>
        <v>4019/4020</v>
      </c>
      <c r="L67" s="21" t="str">
        <f>VLOOKUP(A67,'Trips&amp;Operators'!$C$1:$G$99999,5,FALSE)</f>
        <v>YORK EDGAR</v>
      </c>
      <c r="M67" s="6">
        <f t="shared" si="1"/>
        <v>2.438657407037681E-2</v>
      </c>
      <c r="N67" s="7">
        <f t="shared" si="24"/>
        <v>35.116666661342606</v>
      </c>
      <c r="O67" s="7"/>
      <c r="P67" s="7"/>
      <c r="Q67" s="22"/>
      <c r="R67" s="22"/>
      <c r="S67" s="31">
        <f t="shared" si="3"/>
        <v>1</v>
      </c>
      <c r="T67" s="46" t="str">
        <f t="shared" si="4"/>
        <v>NorthBound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 t="shared" si="5"/>
        <v>https://d0f6bd738d7f1b3e5a7ca70fe4ff75f0.us-east-1.aws.found.io/app/kibana#/discover/Steve-Slow-Train-Analysis-(2080s-and-2083s)?_g=(refreshInterval:(display:Off,pause:!f,section:0,value:0),time:(from:'2017-04-12T09:24:05-0600',mode:absolute,to:'2017-04-12T12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7" s="183" t="str">
        <f t="shared" si="6"/>
        <v>N</v>
      </c>
      <c r="X67" s="183">
        <f t="shared" si="7"/>
        <v>1</v>
      </c>
      <c r="Y67" s="62">
        <f t="shared" si="8"/>
        <v>4.3999999999999997E-2</v>
      </c>
      <c r="Z67" s="62">
        <f t="shared" si="9"/>
        <v>23.331700000000001</v>
      </c>
      <c r="AA67" s="62">
        <f t="shared" si="10"/>
        <v>23.287700000000001</v>
      </c>
      <c r="AB67" s="59" t="str">
        <f>VLOOKUP(A67,Enforcements!$C$7:$K$13,8,0)</f>
        <v>Bulletin (2)</v>
      </c>
      <c r="AC67" s="55" t="str">
        <f>VLOOKUP(A67,Enforcements!$C$7:$E$13,3,0)</f>
        <v>GRADE CROSSING</v>
      </c>
      <c r="AD67" s="56" t="str">
        <f t="shared" si="11"/>
        <v>0155-12</v>
      </c>
      <c r="AE67" s="85" t="str">
        <f t="shared" si="12"/>
        <v>aws s3 cp s3://rtdc.mdm.uploadarchive.raw/RTDC4020/ "%USERPROFILE%\AppData\Local\Temp\OnboardLogs"\RTDC4020\2017-04-12 --exclude "*" --recursive --include "*20170412*" &amp; "%USERPROFILE%\Documents\GitHub\mrs-test-scripts\Headless Mode &amp; Sideloading\WalkAndUnGZ.bat" "%USERPROFILE%\AppData\Local\Temp\OnboardLogs"\RTDC4020\2017-04-12 &amp; aws s3 cp s3://rtdc.mdm.uploadarchive.raw/RTDC4020/ "%USERPROFILE%\AppData\Local\Temp\OnboardLogs"\RTDC4020\2017-04-13 --exclude "*" --recursive --include "*20170413*" &amp; "%USERPROFILE%\Documents\GitHub\mrs-test-scripts\Headless Mode &amp; Sideloading\WalkAndUnGZ.bat" "%USERPROFILE%\AppData\Local\Temp\OnboardLogs"\RTDC4020\2017-04-13</v>
      </c>
      <c r="AF67" s="82" t="str">
        <f t="shared" si="13"/>
        <v>"C:\Program Files (x86)\AstroGrep\AstroGrep.exe" /e /r /s /spath="%USERPROFILE%\AppData\Local\Temp\OnboardLogs" /stypes="app*4020*20170412*" /stext=" 17:.+((SYSTEM_STATE.+slice.+state.+changed )|(ment ac)|(multiple cpu faults)|(system.+state.+changed )|(\[timeout)|(PRM\|1\|D)|(kpr)|(kdp)|(\|lc)|(penalty))"</v>
      </c>
      <c r="AG67" s="1" t="str">
        <f t="shared" si="14"/>
        <v>EC</v>
      </c>
      <c r="AH67" s="86" t="str">
        <f t="shared" si="19"/>
        <v>"%USERPROFILE%\Documents\GitHub\eaglep3\Utilities\RefineRTDCRunTimes.py" --tripid 155-12 --locoid 4020 --swversion DE.1.0.9.0 --startMP 204:440 --initTime 2017-04-12T10:24:05 --startdatetime 2017-04-12T10:30:30 --delay 1 --endMP 204:233317 --enddatetime 2017-04-12T11:05:37 --enforcementcount 0 &gt;&gt;C:\Users\stu\Documents\GitHub\eaglep3-reporting\EC\2017-04-12-refined-times.txt</v>
      </c>
      <c r="AI67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{"issue":{"subject":"","project_id":79,"tracker_id":40,"status_id":1,"priority_id":2,"assigned_to_id":23,"start_date":"2017-04-12","description":"","custom_fields":[{"id":1,"name":"Subdivision","value":"EC"},{"id":4,"name":"Milepost","value":"23.3317"},{"id":17,"name":"Train ID","value":"155-12"},{"id":16,"name":"Locomotive ID","value":"4020"},{"id":130,"name":"Impact","value":""},{"id":150,"name":"Time of Event (Mountain Time)","value":"11:05:37"},{"id":151,"name":"Denver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8"/>
      <c r="AL67" s="48"/>
      <c r="AM67" s="150" t="str">
        <f t="shared" si="21"/>
        <v>start /low /b %USERPROFILE%\Documents\GitHub\eaglep3\Utilities\DownloadLogsFromS3.py --loco 4020 --day 2017-04-12</v>
      </c>
      <c r="AN67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17:05:37"},{"id":29,"name":"Sharepoint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746</v>
      </c>
      <c r="B68" s="7">
        <v>4019</v>
      </c>
      <c r="C68" s="21" t="s">
        <v>214</v>
      </c>
      <c r="D68" s="21" t="s">
        <v>410</v>
      </c>
      <c r="E68" s="13">
        <v>42837.462997685187</v>
      </c>
      <c r="F68" s="13">
        <v>42837.477303240739</v>
      </c>
      <c r="G68" s="7">
        <v>1</v>
      </c>
      <c r="H68" s="21" t="s">
        <v>402</v>
      </c>
      <c r="I68" s="13">
        <v>42837.502650462964</v>
      </c>
      <c r="J68" s="7">
        <v>0</v>
      </c>
      <c r="K68" s="97" t="str">
        <f t="shared" si="0"/>
        <v>4019/4020</v>
      </c>
      <c r="L68" s="21" t="str">
        <f>VLOOKUP(A68,'Trips&amp;Operators'!$C$1:$G$99999,5,FALSE)</f>
        <v>YORK EDGAR</v>
      </c>
      <c r="M68" s="6">
        <f t="shared" si="1"/>
        <v>2.5347222224809229E-2</v>
      </c>
      <c r="N68" s="7">
        <f t="shared" si="24"/>
        <v>36.50000000372529</v>
      </c>
      <c r="O68" s="7"/>
      <c r="P68" s="7"/>
      <c r="Q68" s="22"/>
      <c r="R68" s="22"/>
      <c r="S68" s="31">
        <f t="shared" si="3"/>
        <v>1</v>
      </c>
      <c r="T68" s="46" t="str">
        <f t="shared" si="4"/>
        <v>Southbound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2" t="str">
        <f t="shared" si="5"/>
        <v>https://d0f6bd738d7f1b3e5a7ca70fe4ff75f0.us-east-1.aws.found.io/app/kibana#/discover/Steve-Slow-Train-Analysis-(2080s-and-2083s)?_g=(refreshInterval:(display:Off,pause:!f,section:0,value:0),time:(from:'2017-04-12T10:06:43-0600',mode:absolute,to:'2017-04-12T13:03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8" s="183" t="str">
        <f t="shared" si="6"/>
        <v>N</v>
      </c>
      <c r="X68" s="183">
        <f t="shared" si="7"/>
        <v>1</v>
      </c>
      <c r="Y68" s="62">
        <f t="shared" si="8"/>
        <v>23.2989</v>
      </c>
      <c r="Z68" s="62">
        <f t="shared" si="9"/>
        <v>1.41E-2</v>
      </c>
      <c r="AA68" s="62">
        <f t="shared" si="10"/>
        <v>23.284800000000001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1"/>
        <v>0156-12</v>
      </c>
      <c r="AE68" s="85" t="str">
        <f t="shared" si="12"/>
        <v>aws s3 cp s3://rtdc.mdm.uploadarchive.raw/RTDC4019/ "%USERPROFILE%\AppData\Local\Temp\OnboardLogs"\RTDC4019\2017-04-12 --exclude "*" --recursive --include "*20170412*" &amp; "%USERPROFILE%\Documents\GitHub\mrs-test-scripts\Headless Mode &amp; Sideloading\WalkAndUnGZ.bat" "%USERPROFILE%\AppData\Local\Temp\OnboardLogs"\RTDC4019\2017-04-12 &amp; aws s3 cp s3://rtdc.mdm.uploadarchive.raw/RTDC4019/ "%USERPROFILE%\AppData\Local\Temp\OnboardLogs"\RTDC4019\2017-04-13 --exclude "*" --recursive --include "*20170413*" &amp; "%USERPROFILE%\Documents\GitHub\mrs-test-scripts\Headless Mode &amp; Sideloading\WalkAndUnGZ.bat" "%USERPROFILE%\AppData\Local\Temp\OnboardLogs"\RTDC4019\2017-04-13</v>
      </c>
      <c r="AF68" s="82" t="str">
        <f t="shared" si="13"/>
        <v>"C:\Program Files (x86)\AstroGrep\AstroGrep.exe" /e /r /s /spath="%USERPROFILE%\AppData\Local\Temp\OnboardLogs" /stypes="app*4019*20170412*" /stext=" 18:.+((SYSTEM_STATE.+slice.+state.+changed )|(ment ac)|(multiple cpu faults)|(system.+state.+changed )|(\[timeout)|(PRM\|1\|D)|(kpr)|(kdp)|(\|lc)|(penalty))"</v>
      </c>
      <c r="AG68" s="1" t="str">
        <f t="shared" si="14"/>
        <v>EC</v>
      </c>
      <c r="AH68" s="86" t="str">
        <f t="shared" si="19"/>
        <v>"%USERPROFILE%\Documents\GitHub\eaglep3\Utilities\RefineRTDCRunTimes.py" --tripid 156-12 --locoid 4019 --swversion DE.1.0.9.0 --startMP 204:232989 --initTime 2017-04-12T11:06:43 --startdatetime 2017-04-12T11:27:19 --delay 1 --endMP 204:141 --enddatetime 2017-04-12T12:03:49 --enforcementcount 0 &gt;&gt;C:\Users\stu\Documents\GitHub\eaglep3-reporting\EC\2017-04-12-refined-times.txt</v>
      </c>
      <c r="AI68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{"issue":{"subject":"","project_id":79,"tracker_id":40,"status_id":1,"priority_id":2,"assigned_to_id":23,"start_date":"2017-04-12","description":"","custom_fields":[{"id":1,"name":"Subdivision","value":"EC"},{"id":4,"name":"Milepost","value":"0.0141"},{"id":17,"name":"Train ID","value":"156-12"},{"id":16,"name":"Locomotive ID","value":"4019"},{"id":130,"name":"Impact","value":""},{"id":150,"name":"Time of Event (Mountain Time)","value":"12:03:49"},{"id":151,"name":"Denver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8"/>
      <c r="AL68" s="48"/>
      <c r="AM68" s="150" t="str">
        <f t="shared" si="21"/>
        <v>start /low /b %USERPROFILE%\Documents\GitHub\eaglep3\Utilities\DownloadLogsFromS3.py --loco 4019 --day 2017-04-12</v>
      </c>
      <c r="AN68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18:03:49"},{"id":29,"name":"Sharepoint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738</v>
      </c>
      <c r="B69" s="7">
        <v>4040</v>
      </c>
      <c r="C69" s="21" t="s">
        <v>214</v>
      </c>
      <c r="D69" s="21" t="s">
        <v>205</v>
      </c>
      <c r="E69" s="13">
        <v>42837.443993055553</v>
      </c>
      <c r="F69" s="13">
        <v>42837.448252314818</v>
      </c>
      <c r="G69" s="7">
        <v>1</v>
      </c>
      <c r="H69" s="21" t="s">
        <v>542</v>
      </c>
      <c r="I69" s="13">
        <v>42837.474027777775</v>
      </c>
      <c r="J69" s="7">
        <v>0</v>
      </c>
      <c r="K69" s="97" t="str">
        <f t="shared" si="0"/>
        <v>4039/4040</v>
      </c>
      <c r="L69" s="21" t="str">
        <f>VLOOKUP(A69,'Trips&amp;Operators'!$C$1:$G$99999,5,FALSE)</f>
        <v>STARKS ANGELINA</v>
      </c>
      <c r="M69" s="6">
        <f t="shared" si="1"/>
        <v>2.5775462956517003E-2</v>
      </c>
      <c r="N69" s="7">
        <f t="shared" si="24"/>
        <v>37.116666657384485</v>
      </c>
      <c r="O69" s="7"/>
      <c r="P69" s="7"/>
      <c r="Q69" s="22"/>
      <c r="R69" s="22"/>
      <c r="S69" s="31">
        <f t="shared" si="3"/>
        <v>1</v>
      </c>
      <c r="T69" s="46" t="str">
        <f t="shared" si="4"/>
        <v>NorthBound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2" t="str">
        <f t="shared" si="5"/>
        <v>https://d0f6bd738d7f1b3e5a7ca70fe4ff75f0.us-east-1.aws.found.io/app/kibana#/discover/Steve-Slow-Train-Analysis-(2080s-and-2083s)?_g=(refreshInterval:(display:Off,pause:!f,section:0,value:0),time:(from:'2017-04-12T09:39:21-0600',mode:absolute,to:'2017-04-12T12:22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9" s="183" t="str">
        <f t="shared" si="6"/>
        <v>N</v>
      </c>
      <c r="X69" s="183">
        <f t="shared" si="7"/>
        <v>1</v>
      </c>
      <c r="Y69" s="62">
        <f t="shared" si="8"/>
        <v>4.5699999999999998E-2</v>
      </c>
      <c r="Z69" s="62">
        <f t="shared" si="9"/>
        <v>23.329899999999999</v>
      </c>
      <c r="AA69" s="62">
        <f t="shared" si="10"/>
        <v>23.284199999999998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0157-12</v>
      </c>
      <c r="AE69" s="85" t="str">
        <f t="shared" si="12"/>
        <v>aws s3 cp s3://rtdc.mdm.uploadarchive.raw/RTDC4040/ "%USERPROFILE%\AppData\Local\Temp\OnboardLogs"\RTDC4040\2017-04-12 --exclude "*" --recursive --include "*20170412*" &amp; "%USERPROFILE%\Documents\GitHub\mrs-test-scripts\Headless Mode &amp; Sideloading\WalkAndUnGZ.bat" "%USERPROFILE%\AppData\Local\Temp\OnboardLogs"\RTDC4040\2017-04-12 &amp; aws s3 cp s3://rtdc.mdm.uploadarchive.raw/RTDC4040/ "%USERPROFILE%\AppData\Local\Temp\OnboardLogs"\RTDC4040\2017-04-13 --exclude "*" --recursive --include "*20170413*" &amp; "%USERPROFILE%\Documents\GitHub\mrs-test-scripts\Headless Mode &amp; Sideloading\WalkAndUnGZ.bat" "%USERPROFILE%\AppData\Local\Temp\OnboardLogs"\RTDC4040\2017-04-13</v>
      </c>
      <c r="AF69" s="82" t="str">
        <f t="shared" si="13"/>
        <v>"C:\Program Files (x86)\AstroGrep\AstroGrep.exe" /e /r /s /spath="%USERPROFILE%\AppData\Local\Temp\OnboardLogs" /stypes="app*4040*20170412*" /stext=" 17:.+((SYSTEM_STATE.+slice.+state.+changed )|(ment ac)|(multiple cpu faults)|(system.+state.+changed )|(\[timeout)|(PRM\|1\|D)|(kpr)|(kdp)|(\|lc)|(penalty))"</v>
      </c>
      <c r="AG69" s="1" t="str">
        <f t="shared" si="14"/>
        <v>EC</v>
      </c>
      <c r="AH69" s="86" t="str">
        <f t="shared" si="19"/>
        <v>"%USERPROFILE%\Documents\GitHub\eaglep3\Utilities\RefineRTDCRunTimes.py" --tripid 157-12 --locoid 4040 --swversion DE.1.0.9.0 --startMP 204:457 --initTime 2017-04-12T10:39:21 --startdatetime 2017-04-12T10:45:29 --delay 1 --endMP 204:233299 --enddatetime 2017-04-12T11:22:36 --enforcementcount 0 &gt;&gt;C:\Users\stu\Documents\GitHub\eaglep3-reporting\EC\2017-04-12-refined-times.txt</v>
      </c>
      <c r="AI69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{"issue":{"subject":"","project_id":79,"tracker_id":40,"status_id":1,"priority_id":2,"assigned_to_id":23,"start_date":"2017-04-12","description":"","custom_fields":[{"id":1,"name":"Subdivision","value":"EC"},{"id":4,"name":"Milepost","value":"23.3299"},{"id":17,"name":"Train ID","value":"157-12"},{"id":16,"name":"Locomotive ID","value":"4040"},{"id":130,"name":"Impact","value":""},{"id":150,"name":"Time of Event (Mountain Time)","value":"11:22:36"},{"id":151,"name":"Denver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8"/>
      <c r="AL69" s="48"/>
      <c r="AM69" s="150" t="str">
        <f t="shared" si="21"/>
        <v>start /low /b %USERPROFILE%\Documents\GitHub\eaglep3\Utilities\DownloadLogsFromS3.py --loco 4040 --day 2017-04-12</v>
      </c>
      <c r="AN69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17:22:36"},{"id":29,"name":"Sharepoint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630</v>
      </c>
      <c r="B70" s="7">
        <v>4039</v>
      </c>
      <c r="C70" s="21" t="s">
        <v>214</v>
      </c>
      <c r="D70" s="21" t="s">
        <v>892</v>
      </c>
      <c r="E70" s="13">
        <v>42837.485543981478</v>
      </c>
      <c r="F70" s="13">
        <v>42837.487013888887</v>
      </c>
      <c r="G70" s="7">
        <v>1</v>
      </c>
      <c r="H70" s="21" t="s">
        <v>515</v>
      </c>
      <c r="I70" s="13">
        <v>42837.515104166669</v>
      </c>
      <c r="J70" s="7">
        <v>0</v>
      </c>
      <c r="K70" s="97" t="str">
        <f t="shared" si="0"/>
        <v>4039/4040</v>
      </c>
      <c r="L70" s="21" t="str">
        <f>VLOOKUP(A70,'Trips&amp;Operators'!$C$1:$G$99999,5,FALSE)</f>
        <v>STARKS ANGELINA</v>
      </c>
      <c r="M70" s="6">
        <f t="shared" si="1"/>
        <v>2.8090277781302575E-2</v>
      </c>
      <c r="N70" s="7">
        <f t="shared" si="24"/>
        <v>40.450000005075708</v>
      </c>
      <c r="O70" s="7"/>
      <c r="P70" s="7"/>
      <c r="Q70" s="22"/>
      <c r="R70" s="22"/>
      <c r="S70" s="31">
        <f t="shared" si="3"/>
        <v>1</v>
      </c>
      <c r="T70" s="46" t="str">
        <f t="shared" si="4"/>
        <v>Southbound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2" t="str">
        <f t="shared" si="5"/>
        <v>https://d0f6bd738d7f1b3e5a7ca70fe4ff75f0.us-east-1.aws.found.io/app/kibana#/discover/Steve-Slow-Train-Analysis-(2080s-and-2083s)?_g=(refreshInterval:(display:Off,pause:!f,section:0,value:0),time:(from:'2017-04-12T10:39:11-0600',mode:absolute,to:'2017-04-12T13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0" s="183" t="str">
        <f t="shared" si="6"/>
        <v>N</v>
      </c>
      <c r="X70" s="183">
        <f t="shared" si="7"/>
        <v>1</v>
      </c>
      <c r="Y70" s="62">
        <f t="shared" si="8"/>
        <v>23.296700000000001</v>
      </c>
      <c r="Z70" s="62">
        <f t="shared" si="9"/>
        <v>1.7000000000000001E-2</v>
      </c>
      <c r="AA70" s="62">
        <f t="shared" si="10"/>
        <v>23.279700000000002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0158-12</v>
      </c>
      <c r="AE70" s="85" t="str">
        <f t="shared" si="12"/>
        <v>aws s3 cp s3://rtdc.mdm.uploadarchive.raw/RTDC4039/ "%USERPROFILE%\AppData\Local\Temp\OnboardLogs"\RTDC4039\2017-04-12 --exclude "*" --recursive --include "*20170412*" &amp; "%USERPROFILE%\Documents\GitHub\mrs-test-scripts\Headless Mode &amp; Sideloading\WalkAndUnGZ.bat" "%USERPROFILE%\AppData\Local\Temp\OnboardLogs"\RTDC4039\2017-04-12 &amp; aws s3 cp s3://rtdc.mdm.uploadarchive.raw/RTDC4039/ "%USERPROFILE%\AppData\Local\Temp\OnboardLogs"\RTDC4039\2017-04-13 --exclude "*" --recursive --include "*20170413*" &amp; "%USERPROFILE%\Documents\GitHub\mrs-test-scripts\Headless Mode &amp; Sideloading\WalkAndUnGZ.bat" "%USERPROFILE%\AppData\Local\Temp\OnboardLogs"\RTDC4039\2017-04-13</v>
      </c>
      <c r="AF70" s="82" t="str">
        <f t="shared" si="13"/>
        <v>"C:\Program Files (x86)\AstroGrep\AstroGrep.exe" /e /r /s /spath="%USERPROFILE%\AppData\Local\Temp\OnboardLogs" /stypes="app*4039*20170412*" /stext=" 18:.+((SYSTEM_STATE.+slice.+state.+changed )|(ment ac)|(multiple cpu faults)|(system.+state.+changed )|(\[timeout)|(PRM\|1\|D)|(kpr)|(kdp)|(\|lc)|(penalty))"</v>
      </c>
      <c r="AG70" s="1" t="str">
        <f t="shared" si="14"/>
        <v>EC</v>
      </c>
      <c r="AH70" s="86" t="str">
        <f t="shared" si="19"/>
        <v>"%USERPROFILE%\Documents\GitHub\eaglep3\Utilities\RefineRTDCRunTimes.py" --tripid 158-12 --locoid 4039 --swversion DE.1.0.9.0 --startMP 204:232967 --initTime 2017-04-12T11:39:11 --startdatetime 2017-04-12T11:41:18 --delay 1 --endMP 204:170 --enddatetime 2017-04-12T12:21:45 --enforcementcount 0 &gt;&gt;C:\Users\stu\Documents\GitHub\eaglep3-reporting\EC\2017-04-12-refined-times.txt</v>
      </c>
      <c r="AI70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{"issue":{"subject":"","project_id":79,"tracker_id":40,"status_id":1,"priority_id":2,"assigned_to_id":23,"start_date":"2017-04-12","description":"","custom_fields":[{"id":1,"name":"Subdivision","value":"EC"},{"id":4,"name":"Milepost","value":"0.017"},{"id":17,"name":"Train ID","value":"158-12"},{"id":16,"name":"Locomotive ID","value":"4039"},{"id":130,"name":"Impact","value":""},{"id":150,"name":"Time of Event (Mountain Time)","value":"12:21:45"},{"id":151,"name":"Denver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8"/>
      <c r="AL70" s="48"/>
      <c r="AM70" s="150" t="str">
        <f t="shared" si="21"/>
        <v>start /low /b %USERPROFILE%\Documents\GitHub\eaglep3\Utilities\DownloadLogsFromS3.py --loco 4039 --day 2017-04-12</v>
      </c>
      <c r="AN70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18:21:45"},{"id":29,"name":"Sharepoint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739</v>
      </c>
      <c r="B71" s="7">
        <v>4032</v>
      </c>
      <c r="C71" s="21" t="s">
        <v>214</v>
      </c>
      <c r="D71" s="21" t="s">
        <v>577</v>
      </c>
      <c r="E71" s="13">
        <v>42837.454212962963</v>
      </c>
      <c r="F71" s="13">
        <v>42837.458993055552</v>
      </c>
      <c r="G71" s="7">
        <v>1</v>
      </c>
      <c r="H71" s="21" t="s">
        <v>893</v>
      </c>
      <c r="I71" s="13">
        <v>42837.484120370369</v>
      </c>
      <c r="J71" s="7">
        <v>0</v>
      </c>
      <c r="K71" s="97" t="str">
        <f t="shared" si="0"/>
        <v>4031/4032</v>
      </c>
      <c r="L71" s="21" t="str">
        <f>VLOOKUP(A71,'Trips&amp;Operators'!$C$1:$G$99999,5,FALSE)</f>
        <v>DELGADO DIANAH</v>
      </c>
      <c r="M71" s="6">
        <f t="shared" si="1"/>
        <v>2.5127314816927537E-2</v>
      </c>
      <c r="N71" s="7">
        <f t="shared" si="24"/>
        <v>36.183333336375654</v>
      </c>
      <c r="O71" s="7"/>
      <c r="P71" s="7"/>
      <c r="Q71" s="22"/>
      <c r="R71" s="22"/>
      <c r="S71" s="31">
        <f t="shared" si="3"/>
        <v>1</v>
      </c>
      <c r="T71" s="46" t="str">
        <f t="shared" si="4"/>
        <v>NorthBound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 t="shared" si="5"/>
        <v>https://d0f6bd738d7f1b3e5a7ca70fe4ff75f0.us-east-1.aws.found.io/app/kibana#/discover/Steve-Slow-Train-Analysis-(2080s-and-2083s)?_g=(refreshInterval:(display:Off,pause:!f,section:0,value:0),time:(from:'2017-04-12T09:54:04-0600',mode:absolute,to:'2017-04-12T12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1" s="183" t="str">
        <f t="shared" si="6"/>
        <v>N</v>
      </c>
      <c r="X71" s="183">
        <f t="shared" si="7"/>
        <v>1</v>
      </c>
      <c r="Y71" s="62">
        <f t="shared" si="8"/>
        <v>4.3999999999999997E-2</v>
      </c>
      <c r="Z71" s="62">
        <f t="shared" si="9"/>
        <v>23.339300000000001</v>
      </c>
      <c r="AA71" s="62">
        <f t="shared" si="10"/>
        <v>23.295300000000001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0159-12</v>
      </c>
      <c r="AE71" s="85" t="str">
        <f t="shared" si="12"/>
        <v>aws s3 cp s3://rtdc.mdm.uploadarchive.raw/RTDC4032/ "%USERPROFILE%\AppData\Local\Temp\OnboardLogs"\RTDC4032\2017-04-12 --exclude "*" --recursive --include "*20170412*" &amp; "%USERPROFILE%\Documents\GitHub\mrs-test-scripts\Headless Mode &amp; Sideloading\WalkAndUnGZ.bat" "%USERPROFILE%\AppData\Local\Temp\OnboardLogs"\RTDC4032\2017-04-12 &amp; aws s3 cp s3://rtdc.mdm.uploadarchive.raw/RTDC4032/ "%USERPROFILE%\AppData\Local\Temp\OnboardLogs"\RTDC4032\2017-04-13 --exclude "*" --recursive --include "*20170413*" &amp; "%USERPROFILE%\Documents\GitHub\mrs-test-scripts\Headless Mode &amp; Sideloading\WalkAndUnGZ.bat" "%USERPROFILE%\AppData\Local\Temp\OnboardLogs"\RTDC4032\2017-04-13</v>
      </c>
      <c r="AF71" s="82" t="str">
        <f t="shared" si="13"/>
        <v>"C:\Program Files (x86)\AstroGrep\AstroGrep.exe" /e /r /s /spath="%USERPROFILE%\AppData\Local\Temp\OnboardLogs" /stypes="app*4032*20170412*" /stext=" 17:.+((SYSTEM_STATE.+slice.+state.+changed )|(ment ac)|(multiple cpu faults)|(system.+state.+changed )|(\[timeout)|(PRM\|1\|D)|(kpr)|(kdp)|(\|lc)|(penalty))"</v>
      </c>
      <c r="AG71" s="1" t="str">
        <f t="shared" si="14"/>
        <v>EC</v>
      </c>
      <c r="AH71" s="86" t="str">
        <f t="shared" si="19"/>
        <v>"%USERPROFILE%\Documents\GitHub\eaglep3\Utilities\RefineRTDCRunTimes.py" --tripid 159-12 --locoid 4032 --swversion DE.1.0.9.0 --startMP 204:440 --initTime 2017-04-12T10:54:04 --startdatetime 2017-04-12T11:00:57 --delay 1 --endMP 204:233393 --enddatetime 2017-04-12T11:37:08 --enforcementcount 0 &gt;&gt;C:\Users\stu\Documents\GitHub\eaglep3-reporting\EC\2017-04-12-refined-times.txt</v>
      </c>
      <c r="AI71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{"issue":{"subject":"","project_id":79,"tracker_id":40,"status_id":1,"priority_id":2,"assigned_to_id":23,"start_date":"2017-04-12","description":"","custom_fields":[{"id":1,"name":"Subdivision","value":"EC"},{"id":4,"name":"Milepost","value":"23.3393"},{"id":17,"name":"Train ID","value":"159-12"},{"id":16,"name":"Locomotive ID","value":"4032"},{"id":130,"name":"Impact","value":""},{"id":150,"name":"Time of Event (Mountain Time)","value":"11:37:08"},{"id":151,"name":"Denver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8"/>
      <c r="AL71" s="48"/>
      <c r="AM71" s="150" t="str">
        <f t="shared" si="21"/>
        <v>start /low /b %USERPROFILE%\Documents\GitHub\eaglep3\Utilities\DownloadLogsFromS3.py --loco 4032 --day 2017-04-12</v>
      </c>
      <c r="AN71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17:37:08"},{"id":29,"name":"Sharepoint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753</v>
      </c>
      <c r="B72" s="7">
        <v>4031</v>
      </c>
      <c r="C72" s="21" t="s">
        <v>214</v>
      </c>
      <c r="D72" s="21" t="s">
        <v>894</v>
      </c>
      <c r="E72" s="13">
        <v>42837.489386574074</v>
      </c>
      <c r="F72" s="13">
        <v>42837.497407407405</v>
      </c>
      <c r="G72" s="7">
        <v>1</v>
      </c>
      <c r="H72" s="21" t="s">
        <v>402</v>
      </c>
      <c r="I72" s="13">
        <v>42837.523599537039</v>
      </c>
      <c r="J72" s="7">
        <v>0</v>
      </c>
      <c r="K72" s="97" t="str">
        <f t="shared" si="0"/>
        <v>4031/4032</v>
      </c>
      <c r="L72" s="21" t="str">
        <f>VLOOKUP(A72,'Trips&amp;Operators'!$C$1:$G$99999,5,FALSE)</f>
        <v>DELGADO DIANAH</v>
      </c>
      <c r="M72" s="6">
        <f t="shared" si="1"/>
        <v>2.6192129633272998E-2</v>
      </c>
      <c r="N72" s="7">
        <f t="shared" si="24"/>
        <v>37.716666671913117</v>
      </c>
      <c r="O72" s="7"/>
      <c r="P72" s="7"/>
      <c r="Q72" s="22"/>
      <c r="R72" s="22"/>
      <c r="S72" s="31">
        <f t="shared" si="3"/>
        <v>1</v>
      </c>
      <c r="T72" s="46" t="str">
        <f t="shared" si="4"/>
        <v>Southbound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 t="shared" si="5"/>
        <v>https://d0f6bd738d7f1b3e5a7ca70fe4ff75f0.us-east-1.aws.found.io/app/kibana#/discover/Steve-Slow-Train-Analysis-(2080s-and-2083s)?_g=(refreshInterval:(display:Off,pause:!f,section:0,value:0),time:(from:'2017-04-12T10:44:43-0600',mode:absolute,to:'2017-04-12T13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2" s="183" t="str">
        <f t="shared" si="6"/>
        <v>N</v>
      </c>
      <c r="X72" s="183">
        <f t="shared" si="7"/>
        <v>1</v>
      </c>
      <c r="Y72" s="62">
        <f t="shared" si="8"/>
        <v>23.3081</v>
      </c>
      <c r="Z72" s="62">
        <f t="shared" si="9"/>
        <v>1.41E-2</v>
      </c>
      <c r="AA72" s="62">
        <f t="shared" si="10"/>
        <v>23.294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0160-12</v>
      </c>
      <c r="AE72" s="85" t="str">
        <f t="shared" si="12"/>
        <v>aws s3 cp s3://rtdc.mdm.uploadarchive.raw/RTDC4031/ "%USERPROFILE%\AppData\Local\Temp\OnboardLogs"\RTDC4031\2017-04-12 --exclude "*" --recursive --include "*20170412*" &amp; "%USERPROFILE%\Documents\GitHub\mrs-test-scripts\Headless Mode &amp; Sideloading\WalkAndUnGZ.bat" "%USERPROFILE%\AppData\Local\Temp\OnboardLogs"\RTDC4031\2017-04-12 &amp; aws s3 cp s3://rtdc.mdm.uploadarchive.raw/RTDC4031/ "%USERPROFILE%\AppData\Local\Temp\OnboardLogs"\RTDC4031\2017-04-13 --exclude "*" --recursive --include "*20170413*" &amp; "%USERPROFILE%\Documents\GitHub\mrs-test-scripts\Headless Mode &amp; Sideloading\WalkAndUnGZ.bat" "%USERPROFILE%\AppData\Local\Temp\OnboardLogs"\RTDC4031\2017-04-13</v>
      </c>
      <c r="AF72" s="82" t="str">
        <f t="shared" si="13"/>
        <v>"C:\Program Files (x86)\AstroGrep\AstroGrep.exe" /e /r /s /spath="%USERPROFILE%\AppData\Local\Temp\OnboardLogs" /stypes="app*4031*20170412*" /stext=" 18:.+((SYSTEM_STATE.+slice.+state.+changed )|(ment ac)|(multiple cpu faults)|(system.+state.+changed )|(\[timeout)|(PRM\|1\|D)|(kpr)|(kdp)|(\|lc)|(penalty))"</v>
      </c>
      <c r="AG72" s="1" t="str">
        <f t="shared" si="14"/>
        <v>EC</v>
      </c>
      <c r="AH72" s="86" t="str">
        <f t="shared" si="19"/>
        <v>"%USERPROFILE%\Documents\GitHub\eaglep3\Utilities\RefineRTDCRunTimes.py" --tripid 160-12 --locoid 4031 --swversion DE.1.0.9.0 --startMP 204:233081 --initTime 2017-04-12T11:44:43 --startdatetime 2017-04-12T11:56:16 --delay 1 --endMP 204:141 --enddatetime 2017-04-12T12:33:59 --enforcementcount 0 &gt;&gt;C:\Users\stu\Documents\GitHub\eaglep3-reporting\EC\2017-04-12-refined-times.txt</v>
      </c>
      <c r="AI72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{"issue":{"subject":"","project_id":79,"tracker_id":40,"status_id":1,"priority_id":2,"assigned_to_id":23,"start_date":"2017-04-12","description":"","custom_fields":[{"id":1,"name":"Subdivision","value":"EC"},{"id":4,"name":"Milepost","value":"0.0141"},{"id":17,"name":"Train ID","value":"160-12"},{"id":16,"name":"Locomotive ID","value":"4031"},{"id":130,"name":"Impact","value":""},{"id":150,"name":"Time of Event (Mountain Time)","value":"12:33:59"},{"id":151,"name":"Denver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8"/>
      <c r="AL72" s="48"/>
      <c r="AM72" s="150" t="str">
        <f t="shared" si="21"/>
        <v>start /low /b %USERPROFILE%\Documents\GitHub\eaglep3\Utilities\DownloadLogsFromS3.py --loco 4031 --day 2017-04-12</v>
      </c>
      <c r="AN72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18:33:59"},{"id":29,"name":"Sharepoint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747</v>
      </c>
      <c r="B73" s="7">
        <v>4054</v>
      </c>
      <c r="C73" s="21" t="s">
        <v>214</v>
      </c>
      <c r="D73" s="21" t="s">
        <v>204</v>
      </c>
      <c r="E73" s="13">
        <v>42837.46435185185</v>
      </c>
      <c r="F73" s="13">
        <v>42837.4690162037</v>
      </c>
      <c r="G73" s="7">
        <v>1</v>
      </c>
      <c r="H73" s="21" t="s">
        <v>895</v>
      </c>
      <c r="I73" s="13">
        <v>42837.494560185187</v>
      </c>
      <c r="J73" s="7">
        <v>0</v>
      </c>
      <c r="K73" s="97" t="str">
        <f t="shared" si="0"/>
        <v>4053/4054</v>
      </c>
      <c r="L73" s="21" t="str">
        <f>VLOOKUP(A73,'Trips&amp;Operators'!$C$1:$G$99999,5,FALSE)</f>
        <v>ARVIDSON DANIEL</v>
      </c>
      <c r="M73" s="6">
        <f t="shared" si="1"/>
        <v>2.5543981486407574E-2</v>
      </c>
      <c r="N73" s="7">
        <f t="shared" si="24"/>
        <v>36.783333340426907</v>
      </c>
      <c r="O73" s="7"/>
      <c r="P73" s="7"/>
      <c r="Q73" s="22"/>
      <c r="R73" s="22"/>
      <c r="S73" s="31">
        <f t="shared" si="3"/>
        <v>1</v>
      </c>
      <c r="T73" s="46" t="str">
        <f t="shared" si="4"/>
        <v>NorthBound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 t="shared" si="5"/>
        <v>https://d0f6bd738d7f1b3e5a7ca70fe4ff75f0.us-east-1.aws.found.io/app/kibana#/discover/Steve-Slow-Train-Analysis-(2080s-and-2083s)?_g=(refreshInterval:(display:Off,pause:!f,section:0,value:0),time:(from:'2017-04-12T10:08:40-0600',mode:absolute,to:'2017-04-12T12:52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3" s="183" t="str">
        <f t="shared" si="6"/>
        <v>N</v>
      </c>
      <c r="X73" s="183">
        <f t="shared" si="7"/>
        <v>1</v>
      </c>
      <c r="Y73" s="62">
        <f t="shared" si="8"/>
        <v>4.5100000000000001E-2</v>
      </c>
      <c r="Z73" s="62">
        <f t="shared" si="9"/>
        <v>23.3383</v>
      </c>
      <c r="AA73" s="62">
        <f t="shared" si="10"/>
        <v>23.293199999999999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0161-12</v>
      </c>
      <c r="AE73" s="85" t="str">
        <f t="shared" si="12"/>
        <v>aws s3 cp s3://rtdc.mdm.uploadarchive.raw/RTDC4054/ "%USERPROFILE%\AppData\Local\Temp\OnboardLogs"\RTDC4054\2017-04-12 --exclude "*" --recursive --include "*20170412*" &amp; "%USERPROFILE%\Documents\GitHub\mrs-test-scripts\Headless Mode &amp; Sideloading\WalkAndUnGZ.bat" "%USERPROFILE%\AppData\Local\Temp\OnboardLogs"\RTDC4054\2017-04-12 &amp; aws s3 cp s3://rtdc.mdm.uploadarchive.raw/RTDC4054/ "%USERPROFILE%\AppData\Local\Temp\OnboardLogs"\RTDC4054\2017-04-13 --exclude "*" --recursive --include "*20170413*" &amp; "%USERPROFILE%\Documents\GitHub\mrs-test-scripts\Headless Mode &amp; Sideloading\WalkAndUnGZ.bat" "%USERPROFILE%\AppData\Local\Temp\OnboardLogs"\RTDC4054\2017-04-13</v>
      </c>
      <c r="AF73" s="82" t="str">
        <f t="shared" si="13"/>
        <v>"C:\Program Files (x86)\AstroGrep\AstroGrep.exe" /e /r /s /spath="%USERPROFILE%\AppData\Local\Temp\OnboardLogs" /stypes="app*4054*20170412*" /stext=" 17:.+((SYSTEM_STATE.+slice.+state.+changed )|(ment ac)|(multiple cpu faults)|(system.+state.+changed )|(\[timeout)|(PRM\|1\|D)|(kpr)|(kdp)|(\|lc)|(penalty))"</v>
      </c>
      <c r="AG73" s="1" t="str">
        <f t="shared" si="14"/>
        <v>EC</v>
      </c>
      <c r="AH73" s="86" t="str">
        <f t="shared" si="19"/>
        <v>"%USERPROFILE%\Documents\GitHub\eaglep3\Utilities\RefineRTDCRunTimes.py" --tripid 161-12 --locoid 4054 --swversion DE.1.0.9.0 --startMP 204:451 --initTime 2017-04-12T11:08:40 --startdatetime 2017-04-12T11:15:23 --delay 1 --endMP 204:233383 --enddatetime 2017-04-12T11:52:10 --enforcementcount 0 &gt;&gt;C:\Users\stu\Documents\GitHub\eaglep3-reporting\EC\2017-04-12-refined-times.txt</v>
      </c>
      <c r="AI73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{"issue":{"subject":"","project_id":79,"tracker_id":40,"status_id":1,"priority_id":2,"assigned_to_id":23,"start_date":"2017-04-12","description":"","custom_fields":[{"id":1,"name":"Subdivision","value":"EC"},{"id":4,"name":"Milepost","value":"23.3383"},{"id":17,"name":"Train ID","value":"161-12"},{"id":16,"name":"Locomotive ID","value":"4054"},{"id":130,"name":"Impact","value":""},{"id":150,"name":"Time of Event (Mountain Time)","value":"11:52:10"},{"id":151,"name":"Denver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8"/>
      <c r="AL73" s="48"/>
      <c r="AM73" s="150" t="str">
        <f t="shared" si="21"/>
        <v>start /low /b %USERPROFILE%\Documents\GitHub\eaglep3\Utilities\DownloadLogsFromS3.py --loco 4054 --day 2017-04-12</v>
      </c>
      <c r="AN73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17:52:10"},{"id":29,"name":"Sharepoint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755</v>
      </c>
      <c r="B74" s="7">
        <v>4053</v>
      </c>
      <c r="C74" s="21" t="s">
        <v>214</v>
      </c>
      <c r="D74" s="21" t="s">
        <v>896</v>
      </c>
      <c r="E74" s="13">
        <v>42837.503136574072</v>
      </c>
      <c r="F74" s="13">
        <v>42837.507905092592</v>
      </c>
      <c r="G74" s="7">
        <v>1</v>
      </c>
      <c r="H74" s="21" t="s">
        <v>897</v>
      </c>
      <c r="I74" s="13">
        <v>42837.537604166668</v>
      </c>
      <c r="J74" s="7">
        <v>0</v>
      </c>
      <c r="K74" s="97" t="str">
        <f t="shared" si="0"/>
        <v>4053/4054</v>
      </c>
      <c r="L74" s="21" t="str">
        <f>VLOOKUP(A74,'Trips&amp;Operators'!$C$1:$G$99999,5,FALSE)</f>
        <v>ARVIDSON DANIEL</v>
      </c>
      <c r="M74" s="6">
        <f t="shared" si="1"/>
        <v>2.9699074075324461E-2</v>
      </c>
      <c r="N74" s="7">
        <f t="shared" si="24"/>
        <v>42.766666668467224</v>
      </c>
      <c r="O74" s="7"/>
      <c r="P74" s="7"/>
      <c r="Q74" s="22"/>
      <c r="R74" s="22"/>
      <c r="S74" s="31">
        <f t="shared" si="3"/>
        <v>1</v>
      </c>
      <c r="T74" s="46" t="str">
        <f t="shared" si="4"/>
        <v>Southbound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 t="shared" si="5"/>
        <v>https://d0f6bd738d7f1b3e5a7ca70fe4ff75f0.us-east-1.aws.found.io/app/kibana#/discover/Steve-Slow-Train-Analysis-(2080s-and-2083s)?_g=(refreshInterval:(display:Off,pause:!f,section:0,value:0),time:(from:'2017-04-12T11:04:31-0600',mode:absolute,to:'2017-04-12T13:54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4" s="183" t="str">
        <f t="shared" si="6"/>
        <v>N</v>
      </c>
      <c r="X74" s="183">
        <f t="shared" si="7"/>
        <v>1</v>
      </c>
      <c r="Y74" s="62">
        <f t="shared" si="8"/>
        <v>23.3063</v>
      </c>
      <c r="Z74" s="62">
        <f t="shared" si="9"/>
        <v>1.8499999999999999E-2</v>
      </c>
      <c r="AA74" s="62">
        <f t="shared" si="10"/>
        <v>23.287800000000001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0162-12</v>
      </c>
      <c r="AE74" s="85" t="str">
        <f t="shared" si="12"/>
        <v>aws s3 cp s3://rtdc.mdm.uploadarchive.raw/RTDC4053/ "%USERPROFILE%\AppData\Local\Temp\OnboardLogs"\RTDC4053\2017-04-12 --exclude "*" --recursive --include "*20170412*" &amp; "%USERPROFILE%\Documents\GitHub\mrs-test-scripts\Headless Mode &amp; Sideloading\WalkAndUnGZ.bat" "%USERPROFILE%\AppData\Local\Temp\OnboardLogs"\RTDC4053\2017-04-12 &amp; aws s3 cp s3://rtdc.mdm.uploadarchive.raw/RTDC4053/ "%USERPROFILE%\AppData\Local\Temp\OnboardLogs"\RTDC4053\2017-04-13 --exclude "*" --recursive --include "*20170413*" &amp; "%USERPROFILE%\Documents\GitHub\mrs-test-scripts\Headless Mode &amp; Sideloading\WalkAndUnGZ.bat" "%USERPROFILE%\AppData\Local\Temp\OnboardLogs"\RTDC4053\2017-04-13</v>
      </c>
      <c r="AF74" s="82" t="str">
        <f t="shared" si="13"/>
        <v>"C:\Program Files (x86)\AstroGrep\AstroGrep.exe" /e /r /s /spath="%USERPROFILE%\AppData\Local\Temp\OnboardLogs" /stypes="app*4053*20170412*" /stext=" 18:.+((SYSTEM_STATE.+slice.+state.+changed )|(ment ac)|(multiple cpu faults)|(system.+state.+changed )|(\[timeout)|(PRM\|1\|D)|(kpr)|(kdp)|(\|lc)|(penalty))"</v>
      </c>
      <c r="AG74" s="1" t="str">
        <f t="shared" si="14"/>
        <v>EC</v>
      </c>
      <c r="AH74" s="86" t="str">
        <f t="shared" si="19"/>
        <v>"%USERPROFILE%\Documents\GitHub\eaglep3\Utilities\RefineRTDCRunTimes.py" --tripid 162-12 --locoid 4053 --swversion DE.1.0.9.0 --startMP 204:233063 --initTime 2017-04-12T12:04:31 --startdatetime 2017-04-12T12:11:23 --delay 1 --endMP 204:185 --enddatetime 2017-04-12T12:54:09 --enforcementcount 0 &gt;&gt;C:\Users\stu\Documents\GitHub\eaglep3-reporting\EC\2017-04-12-refined-times.txt</v>
      </c>
      <c r="AI74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{"issue":{"subject":"","project_id":79,"tracker_id":40,"status_id":1,"priority_id":2,"assigned_to_id":23,"start_date":"2017-04-12","description":"","custom_fields":[{"id":1,"name":"Subdivision","value":"EC"},{"id":4,"name":"Milepost","value":"0.0185"},{"id":17,"name":"Train ID","value":"162-12"},{"id":16,"name":"Locomotive ID","value":"4053"},{"id":130,"name":"Impact","value":""},{"id":150,"name":"Time of Event (Mountain Time)","value":"12:54:09"},{"id":151,"name":"Denver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8"/>
      <c r="AL74" s="48"/>
      <c r="AM74" s="150" t="str">
        <f t="shared" si="21"/>
        <v>start /low /b %USERPROFILE%\Documents\GitHub\eaglep3\Utilities\DownloadLogsFromS3.py --loco 4053 --day 2017-04-12</v>
      </c>
      <c r="AN74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18:54:09"},{"id":29,"name":"Sharepoint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750</v>
      </c>
      <c r="B75" s="7">
        <v>4044</v>
      </c>
      <c r="C75" s="21" t="s">
        <v>214</v>
      </c>
      <c r="D75" s="21" t="s">
        <v>209</v>
      </c>
      <c r="E75" s="13">
        <v>42837.476111111115</v>
      </c>
      <c r="F75" s="13">
        <v>42837.479351851849</v>
      </c>
      <c r="G75" s="7">
        <v>1</v>
      </c>
      <c r="H75" s="21" t="s">
        <v>417</v>
      </c>
      <c r="I75" s="13">
        <v>42837.505231481482</v>
      </c>
      <c r="J75" s="7">
        <v>0</v>
      </c>
      <c r="K75" s="97" t="str">
        <f t="shared" si="0"/>
        <v>4043/4044</v>
      </c>
      <c r="L75" s="21" t="str">
        <f>VLOOKUP(A75,'Trips&amp;Operators'!$C$1:$G$99999,5,FALSE)</f>
        <v>GUZMAN DANNY</v>
      </c>
      <c r="M75" s="6">
        <f t="shared" si="1"/>
        <v>2.587962963298196E-2</v>
      </c>
      <c r="N75" s="7">
        <f t="shared" si="24"/>
        <v>37.266666671494022</v>
      </c>
      <c r="O75" s="7"/>
      <c r="P75" s="7"/>
      <c r="Q75" s="22"/>
      <c r="R75" s="22"/>
      <c r="S75" s="31">
        <f t="shared" si="3"/>
        <v>1</v>
      </c>
      <c r="T75" s="46" t="str">
        <f t="shared" si="4"/>
        <v>NorthBound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 t="shared" si="5"/>
        <v>https://d0f6bd738d7f1b3e5a7ca70fe4ff75f0.us-east-1.aws.found.io/app/kibana#/discover/Steve-Slow-Train-Analysis-(2080s-and-2083s)?_g=(refreshInterval:(display:Off,pause:!f,section:0,value:0),time:(from:'2017-04-12T10:25:36-0600',mode:absolute,to:'2017-04-12T13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5" s="183" t="str">
        <f t="shared" si="6"/>
        <v>N</v>
      </c>
      <c r="X75" s="183">
        <f t="shared" si="7"/>
        <v>1</v>
      </c>
      <c r="Y75" s="62">
        <f t="shared" si="8"/>
        <v>4.53E-2</v>
      </c>
      <c r="Z75" s="62">
        <f t="shared" si="9"/>
        <v>23.329699999999999</v>
      </c>
      <c r="AA75" s="62">
        <f t="shared" si="10"/>
        <v>23.284399999999998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0163-12</v>
      </c>
      <c r="AE75" s="85" t="str">
        <f t="shared" si="12"/>
        <v>aws s3 cp s3://rtdc.mdm.uploadarchive.raw/RTDC4044/ "%USERPROFILE%\AppData\Local\Temp\OnboardLogs"\RTDC4044\2017-04-12 --exclude "*" --recursive --include "*20170412*" &amp; "%USERPROFILE%\Documents\GitHub\mrs-test-scripts\Headless Mode &amp; Sideloading\WalkAndUnGZ.bat" "%USERPROFILE%\AppData\Local\Temp\OnboardLogs"\RTDC4044\2017-04-12 &amp; aws s3 cp s3://rtdc.mdm.uploadarchive.raw/RTDC4044/ "%USERPROFILE%\AppData\Local\Temp\OnboardLogs"\RTDC4044\2017-04-13 --exclude "*" --recursive --include "*20170413*" &amp; "%USERPROFILE%\Documents\GitHub\mrs-test-scripts\Headless Mode &amp; Sideloading\WalkAndUnGZ.bat" "%USERPROFILE%\AppData\Local\Temp\OnboardLogs"\RTDC4044\2017-04-13</v>
      </c>
      <c r="AF75" s="82" t="str">
        <f t="shared" si="13"/>
        <v>"C:\Program Files (x86)\AstroGrep\AstroGrep.exe" /e /r /s /spath="%USERPROFILE%\AppData\Local\Temp\OnboardLogs" /stypes="app*4044*20170412*" /stext=" 18:.+((SYSTEM_STATE.+slice.+state.+changed )|(ment ac)|(multiple cpu faults)|(system.+state.+changed )|(\[timeout)|(PRM\|1\|D)|(kpr)|(kdp)|(\|lc)|(penalty))"</v>
      </c>
      <c r="AG75" s="1" t="str">
        <f t="shared" si="14"/>
        <v>EC</v>
      </c>
      <c r="AH75" s="86" t="str">
        <f t="shared" si="19"/>
        <v>"%USERPROFILE%\Documents\GitHub\eaglep3\Utilities\RefineRTDCRunTimes.py" --tripid 163-12 --locoid 4044 --swversion DE.1.0.9.0 --startMP 204:453 --initTime 2017-04-12T11:25:36 --startdatetime 2017-04-12T11:30:16 --delay 1 --endMP 204:233297 --enddatetime 2017-04-12T12:07:32 --enforcementcount 0 &gt;&gt;C:\Users\stu\Documents\GitHub\eaglep3-reporting\EC\2017-04-12-refined-times.txt</v>
      </c>
      <c r="AI75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{"issue":{"subject":"","project_id":79,"tracker_id":40,"status_id":1,"priority_id":2,"assigned_to_id":23,"start_date":"2017-04-12","description":"","custom_fields":[{"id":1,"name":"Subdivision","value":"EC"},{"id":4,"name":"Milepost","value":"23.3297"},{"id":17,"name":"Train ID","value":"163-12"},{"id":16,"name":"Locomotive ID","value":"4044"},{"id":130,"name":"Impact","value":""},{"id":150,"name":"Time of Event (Mountain Time)","value":"12:07:32"},{"id":151,"name":"Denver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8"/>
      <c r="AL75" s="48"/>
      <c r="AM75" s="150" t="str">
        <f t="shared" si="21"/>
        <v>start /low /b %USERPROFILE%\Documents\GitHub\eaglep3\Utilities\DownloadLogsFromS3.py --loco 4044 --day 2017-04-12</v>
      </c>
      <c r="AN75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18:07:32"},{"id":29,"name":"Sharepoint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756</v>
      </c>
      <c r="B76" s="7">
        <v>4043</v>
      </c>
      <c r="C76" s="21" t="s">
        <v>214</v>
      </c>
      <c r="D76" s="21" t="s">
        <v>409</v>
      </c>
      <c r="E76" s="13">
        <v>42837.509212962963</v>
      </c>
      <c r="F76" s="13">
        <v>42837.518217592595</v>
      </c>
      <c r="G76" s="7">
        <v>1</v>
      </c>
      <c r="H76" s="21" t="s">
        <v>538</v>
      </c>
      <c r="I76" s="13">
        <v>42837.54587962963</v>
      </c>
      <c r="J76" s="7">
        <v>0</v>
      </c>
      <c r="K76" s="97" t="str">
        <f t="shared" si="0"/>
        <v>4043/4044</v>
      </c>
      <c r="L76" s="21" t="str">
        <f>VLOOKUP(A76,'Trips&amp;Operators'!$C$1:$G$99999,5,FALSE)</f>
        <v>GUZMAN DANNY</v>
      </c>
      <c r="M76" s="6">
        <f t="shared" si="1"/>
        <v>2.7662037035042886E-2</v>
      </c>
      <c r="N76" s="7">
        <f t="shared" si="24"/>
        <v>39.833333330461755</v>
      </c>
      <c r="O76" s="7"/>
      <c r="P76" s="7"/>
      <c r="Q76" s="22"/>
      <c r="R76" s="22"/>
      <c r="S76" s="31">
        <f t="shared" si="3"/>
        <v>1</v>
      </c>
      <c r="T76" s="46" t="str">
        <f t="shared" si="4"/>
        <v>Southbound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 t="shared" si="5"/>
        <v>https://d0f6bd738d7f1b3e5a7ca70fe4ff75f0.us-east-1.aws.found.io/app/kibana#/discover/Steve-Slow-Train-Analysis-(2080s-and-2083s)?_g=(refreshInterval:(display:Off,pause:!f,section:0,value:0),time:(from:'2017-04-12T11:13:16-0600',mode:absolute,to:'2017-04-12T14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6" s="183" t="str">
        <f t="shared" si="6"/>
        <v>N</v>
      </c>
      <c r="X76" s="183">
        <f t="shared" si="7"/>
        <v>1</v>
      </c>
      <c r="Y76" s="62">
        <f t="shared" si="8"/>
        <v>23.299299999999999</v>
      </c>
      <c r="Z76" s="62">
        <f t="shared" si="9"/>
        <v>1.49E-2</v>
      </c>
      <c r="AA76" s="62">
        <f t="shared" si="10"/>
        <v>23.284399999999998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0164-12</v>
      </c>
      <c r="AE76" s="85" t="str">
        <f t="shared" si="12"/>
        <v>aws s3 cp s3://rtdc.mdm.uploadarchive.raw/RTDC4043/ "%USERPROFILE%\AppData\Local\Temp\OnboardLogs"\RTDC4043\2017-04-12 --exclude "*" --recursive --include "*20170412*" &amp; "%USERPROFILE%\Documents\GitHub\mrs-test-scripts\Headless Mode &amp; Sideloading\WalkAndUnGZ.bat" "%USERPROFILE%\AppData\Local\Temp\OnboardLogs"\RTDC4043\2017-04-12 &amp; aws s3 cp s3://rtdc.mdm.uploadarchive.raw/RTDC4043/ "%USERPROFILE%\AppData\Local\Temp\OnboardLogs"\RTDC4043\2017-04-13 --exclude "*" --recursive --include "*20170413*" &amp; "%USERPROFILE%\Documents\GitHub\mrs-test-scripts\Headless Mode &amp; Sideloading\WalkAndUnGZ.bat" "%USERPROFILE%\AppData\Local\Temp\OnboardLogs"\RTDC4043\2017-04-13</v>
      </c>
      <c r="AF76" s="82" t="str">
        <f t="shared" si="13"/>
        <v>"C:\Program Files (x86)\AstroGrep\AstroGrep.exe" /e /r /s /spath="%USERPROFILE%\AppData\Local\Temp\OnboardLogs" /stypes="app*4043*20170412*" /stext=" 19:.+((SYSTEM_STATE.+slice.+state.+changed )|(ment ac)|(multiple cpu faults)|(system.+state.+changed )|(\[timeout)|(PRM\|1\|D)|(kpr)|(kdp)|(\|lc)|(penalty))"</v>
      </c>
      <c r="AG76" s="1" t="str">
        <f t="shared" si="14"/>
        <v>EC</v>
      </c>
      <c r="AH76" s="86" t="str">
        <f t="shared" si="19"/>
        <v>"%USERPROFILE%\Documents\GitHub\eaglep3\Utilities\RefineRTDCRunTimes.py" --tripid 164-12 --locoid 4043 --swversion DE.1.0.9.0 --startMP 204:232993 --initTime 2017-04-12T12:13:16 --startdatetime 2017-04-12T12:26:14 --delay 1 --endMP 204:149 --enddatetime 2017-04-12T13:06:04 --enforcementcount 0 &gt;&gt;C:\Users\stu\Documents\GitHub\eaglep3-reporting\EC\2017-04-12-refined-times.txt</v>
      </c>
      <c r="AI76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{"issue":{"subject":"","project_id":79,"tracker_id":40,"status_id":1,"priority_id":2,"assigned_to_id":23,"start_date":"2017-04-12","description":"","custom_fields":[{"id":1,"name":"Subdivision","value":"EC"},{"id":4,"name":"Milepost","value":"0.0149"},{"id":17,"name":"Train ID","value":"164-12"},{"id":16,"name":"Locomotive ID","value":"4043"},{"id":130,"name":"Impact","value":""},{"id":150,"name":"Time of Event (Mountain Time)","value":"13:06:04"},{"id":151,"name":"Denver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8"/>
      <c r="AL76" s="48"/>
      <c r="AM76" s="150" t="str">
        <f t="shared" si="21"/>
        <v>start /low /b %USERPROFILE%\Documents\GitHub\eaglep3\Utilities\DownloadLogsFromS3.py --loco 4043 --day 2017-04-12</v>
      </c>
      <c r="AN76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19:06:04"},{"id":29,"name":"Sharepoint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752</v>
      </c>
      <c r="B77" s="7">
        <v>4012</v>
      </c>
      <c r="C77" s="21" t="s">
        <v>214</v>
      </c>
      <c r="D77" s="21" t="s">
        <v>206</v>
      </c>
      <c r="E77" s="13">
        <v>42837.487303240741</v>
      </c>
      <c r="F77" s="13">
        <v>42837.49050925926</v>
      </c>
      <c r="G77" s="7">
        <v>2</v>
      </c>
      <c r="H77" s="21" t="s">
        <v>898</v>
      </c>
      <c r="I77" s="13">
        <v>42837.516377314816</v>
      </c>
      <c r="J77" s="7">
        <v>0</v>
      </c>
      <c r="K77" s="97" t="str">
        <f t="shared" ref="K77:K140" si="25">IF(ISEVEN(B77),(B77-1)&amp;"/"&amp;B77,B77&amp;"/"&amp;(B77+1))</f>
        <v>4011/4012</v>
      </c>
      <c r="L77" s="21" t="str">
        <f>VLOOKUP(A77,'Trips&amp;Operators'!$C$1:$G$99999,5,FALSE)</f>
        <v>MENGES BRAD</v>
      </c>
      <c r="M77" s="6">
        <f t="shared" ref="M77:M140" si="26">I77-F77</f>
        <v>2.5868055556202307E-2</v>
      </c>
      <c r="N77" s="7">
        <f t="shared" si="24"/>
        <v>37.250000000931323</v>
      </c>
      <c r="O77" s="7"/>
      <c r="P77" s="7"/>
      <c r="Q77" s="22"/>
      <c r="R77" s="22"/>
      <c r="S77" s="31">
        <f t="shared" ref="S77:S140" si="27">SUM(U77:U77)/IF(AG77="EC",12,1)</f>
        <v>1</v>
      </c>
      <c r="T77" s="46" t="str">
        <f t="shared" ref="T77:T140" si="28">IF(ISEVEN(LEFT(AD77,4)),"Southbound","NorthBound")</f>
        <v>NorthBound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 t="shared" ref="V77:V140" si="29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-04-12T10:41:43-0600',mode:absolute,to:'2017-04-12T13:23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7" s="183" t="str">
        <f t="shared" ref="W77:W140" si="30">IF(AA77&lt;IF(AG77="EC",23,5.65),"Y","N")</f>
        <v>N</v>
      </c>
      <c r="X77" s="183">
        <f t="shared" ref="X77:X140" si="31">VALUE(LEFT(AD77,4))-VALUE(LEFT(AD76,4))</f>
        <v>1</v>
      </c>
      <c r="Y77" s="62">
        <f t="shared" ref="Y77:Y140" si="32">RIGHT(D77,LEN(D77)-4)/10000</f>
        <v>4.5999999999999999E-2</v>
      </c>
      <c r="Z77" s="62">
        <f t="shared" ref="Z77:Z140" si="33">RIGHT(H77,LEN(H77)-4)/10000</f>
        <v>23.3307</v>
      </c>
      <c r="AA77" s="62">
        <f t="shared" ref="AA77:AA140" si="34">ABS(Z77-Y77)</f>
        <v>23.284700000000001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5">IF(LEN(A77)=6,"0"&amp;A77,A77)</f>
        <v>0165-12</v>
      </c>
      <c r="AE77" s="85" t="str">
        <f t="shared" ref="AE77:AE140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s3://rtdc.mdm.uploadarchive.raw/RTDC4012/ "%USERPROFILE%\AppData\Local\Temp\OnboardLogs"\RTDC4012\2017-04-12 --exclude "*" --recursive --include "*20170412*" &amp; "%USERPROFILE%\Documents\GitHub\mrs-test-scripts\Headless Mode &amp; Sideloading\WalkAndUnGZ.bat" "%USERPROFILE%\AppData\Local\Temp\OnboardLogs"\RTDC4012\2017-04-12 &amp; aws s3 cp s3://rtdc.mdm.uploadarchive.raw/RTDC4012/ "%USERPROFILE%\AppData\Local\Temp\OnboardLogs"\RTDC4012\2017-04-13 --exclude "*" --recursive --include "*20170413*" &amp; "%USERPROFILE%\Documents\GitHub\mrs-test-scripts\Headless Mode &amp; Sideloading\WalkAndUnGZ.bat" "%USERPROFILE%\AppData\Local\Temp\OnboardLogs"\RTDC4012\2017-04-13</v>
      </c>
      <c r="AF77" s="82" t="str">
        <f t="shared" ref="AF77:AF140" si="3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/stypes="app*4012*20170412*" /stext=" 18:.+((SYSTEM_STATE.+slice.+state.+changed )|(ment ac)|(multiple cpu faults)|(system.+state.+changed )|(\[timeout)|(PRM\|1\|D)|(kpr)|(kdp)|(\|lc)|(penalty))"</v>
      </c>
      <c r="AG77" s="1" t="str">
        <f t="shared" ref="AG77:AG140" si="38">IFERROR(IF(VALUE(LEFT(AD77,2))&lt;=2,"EC",IF(OR(VALUE(LEFT(AD77,2))=8,VALUE(LEFT(AD77,2))=18),"NW","Other")),"Other")</f>
        <v>EC</v>
      </c>
      <c r="AH77" s="86" t="str">
        <f t="shared" si="19"/>
        <v>"%USERPROFILE%\Documents\GitHub\eaglep3\Utilities\RefineRTDCRunTimes.py" --tripid 165-12 --locoid 4012 --swversion DE.1.0.9.0 --startMP 204:460 --initTime 2017-04-12T11:41:43 --startdatetime 2017-04-12T11:46:20 --delay 2 --endMP 204:233307 --enddatetime 2017-04-12T12:23:35 --enforcementcount 0 &gt;&gt;C:\Users\stu\Documents\GitHub\eaglep3-reporting\EC\2017-04-12-refined-times.txt</v>
      </c>
      <c r="AI77" s="104" t="str">
        <f t="shared" si="20"/>
        <v>echo {"issue":{"subject":"","project_id":79,"tracker_id":40,"status_id":1,"priority_id":2,"assigned_to_id":23,"start_date":"2017-04-12","description":"","custom_fields":[{"id":1,"name":"Subdivision","value":"EC"},{"id":4,"name":"Milepost","value":"23.3307"},{"id":17,"name":"Train ID","value":"165-12"},{"id":16,"name":"Locomotive ID","value":"4012"},{"id":130,"name":"Impact","value":""},{"id":150,"name":"Time of Event (Mountain Time)","value":"12:23:35"},{"id":151,"name":"Denver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8"/>
      <c r="AL77" s="48"/>
      <c r="AM77" s="150" t="str">
        <f t="shared" si="21"/>
        <v>start /low /b %USERPROFILE%\Documents\GitHub\eaglep3\Utilities\DownloadLogsFromS3.py --loco 4012 --day 2017-04-12</v>
      </c>
      <c r="AN77" s="159" t="str">
        <f t="shared" si="22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18:23:35"},{"id":29,"name":"Sharepoint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635</v>
      </c>
      <c r="B78" s="7">
        <v>4011</v>
      </c>
      <c r="C78" s="21" t="s">
        <v>214</v>
      </c>
      <c r="D78" s="21" t="s">
        <v>570</v>
      </c>
      <c r="E78" s="13">
        <v>42837.523032407407</v>
      </c>
      <c r="F78" s="13">
        <v>42837.528807870367</v>
      </c>
      <c r="G78" s="7">
        <v>2</v>
      </c>
      <c r="H78" s="21" t="s">
        <v>197</v>
      </c>
      <c r="I78" s="13">
        <v>42837.556400462963</v>
      </c>
      <c r="J78" s="7">
        <v>0</v>
      </c>
      <c r="K78" s="97" t="str">
        <f t="shared" si="25"/>
        <v>4011/4012</v>
      </c>
      <c r="L78" s="21" t="str">
        <f>VLOOKUP(A78,'Trips&amp;Operators'!$C$1:$G$99999,5,FALSE)</f>
        <v>MENGES BRAD</v>
      </c>
      <c r="M78" s="6">
        <f t="shared" si="26"/>
        <v>2.7592592596192844E-2</v>
      </c>
      <c r="N78" s="7">
        <f t="shared" ref="N78:N109" si="39">24*60*SUM($M78:$M78)</f>
        <v>39.733333338517696</v>
      </c>
      <c r="O78" s="7"/>
      <c r="P78" s="7"/>
      <c r="Q78" s="22"/>
      <c r="R78" s="22"/>
      <c r="S78" s="31">
        <f t="shared" si="27"/>
        <v>1</v>
      </c>
      <c r="T78" s="46" t="str">
        <f t="shared" si="28"/>
        <v>Southbound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 t="shared" si="29"/>
        <v>https://d0f6bd738d7f1b3e5a7ca70fe4ff75f0.us-east-1.aws.found.io/app/kibana#/discover/Steve-Slow-Train-Analysis-(2080s-and-2083s)?_g=(refreshInterval:(display:Off,pause:!f,section:0,value:0),time:(from:'2017-04-12T11:33:10-0600',mode:absolute,to:'2017-04-12T14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8" s="183" t="str">
        <f t="shared" si="30"/>
        <v>N</v>
      </c>
      <c r="X78" s="183">
        <f t="shared" si="31"/>
        <v>1</v>
      </c>
      <c r="Y78" s="62">
        <f t="shared" si="32"/>
        <v>23.297499999999999</v>
      </c>
      <c r="Z78" s="62">
        <f t="shared" si="33"/>
        <v>1.52E-2</v>
      </c>
      <c r="AA78" s="62">
        <f t="shared" si="34"/>
        <v>23.282299999999999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5"/>
        <v>0166-12</v>
      </c>
      <c r="AE78" s="85" t="str">
        <f t="shared" si="36"/>
        <v>aws s3 cp s3://rtdc.mdm.uploadarchive.raw/RTDC4011/ "%USERPROFILE%\AppData\Local\Temp\OnboardLogs"\RTDC4011\2017-04-12 --exclude "*" --recursive --include "*20170412*" &amp; "%USERPROFILE%\Documents\GitHub\mrs-test-scripts\Headless Mode &amp; Sideloading\WalkAndUnGZ.bat" "%USERPROFILE%\AppData\Local\Temp\OnboardLogs"\RTDC4011\2017-04-12 &amp; aws s3 cp s3://rtdc.mdm.uploadarchive.raw/RTDC4011/ "%USERPROFILE%\AppData\Local\Temp\OnboardLogs"\RTDC4011\2017-04-13 --exclude "*" --recursive --include "*20170413*" &amp; "%USERPROFILE%\Documents\GitHub\mrs-test-scripts\Headless Mode &amp; Sideloading\WalkAndUnGZ.bat" "%USERPROFILE%\AppData\Local\Temp\OnboardLogs"\RTDC4011\2017-04-13</v>
      </c>
      <c r="AF78" s="82" t="str">
        <f t="shared" si="37"/>
        <v>"C:\Program Files (x86)\AstroGrep\AstroGrep.exe" /e /r /s /spath="%USERPROFILE%\AppData\Local\Temp\OnboardLogs" /stypes="app*4011*20170412*" /stext=" 19:.+((SYSTEM_STATE.+slice.+state.+changed )|(ment ac)|(multiple cpu faults)|(system.+state.+changed )|(\[timeout)|(PRM\|1\|D)|(kpr)|(kdp)|(\|lc)|(penalty))"</v>
      </c>
      <c r="AG78" s="1" t="str">
        <f t="shared" si="38"/>
        <v>EC</v>
      </c>
      <c r="AH78" s="86" t="str">
        <f t="shared" ref="AH78:AH141" si="4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166-12 --locoid 4011 --swversion DE.1.0.9.0 --startMP 204:232975 --initTime 2017-04-12T12:33:10 --startdatetime 2017-04-12T12:41:29 --delay 2 --endMP 204:152 --enddatetime 2017-04-12T13:21:13 --enforcementcount 0 &gt;&gt;C:\Users\stu\Documents\GitHub\eaglep3-reporting\EC\2017-04-12-refined-times.txt</v>
      </c>
      <c r="AI78" s="104" t="str">
        <f t="shared" ref="AI78:AI141" si="4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{"issue":{"subject":"","project_id":79,"tracker_id":40,"status_id":1,"priority_id":2,"assigned_to_id":23,"start_date":"2017-04-12","description":"","custom_fields":[{"id":1,"name":"Subdivision","value":"EC"},{"id":4,"name":"Milepost","value":"0.0152"},{"id":17,"name":"Train ID","value":"166-12"},{"id":16,"name":"Locomotive ID","value":"4011"},{"id":130,"name":"Impact","value":""},{"id":150,"name":"Time of Event (Mountain Time)","value":"13:21:13"},{"id":151,"name":"Denver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8"/>
      <c r="AL78" s="48"/>
      <c r="AM78" s="150" t="str">
        <f t="shared" ref="AM78:AM141" si="42">"start /low /b "&amp;dls3logs&amp;" --loco "&amp;B78&amp;" --day "&amp;TEXT(F78,"YYYY-MM-DD")</f>
        <v>start /low /b %USERPROFILE%\Documents\GitHub\eaglep3\Utilities\DownloadLogsFromS3.py --loco 4011 --day 2017-04-12</v>
      </c>
      <c r="AN78" s="159" t="str">
        <f t="shared" ref="AN78:AN141" si="4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19:21:13"},{"id":29,"name":"Sharepoint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754</v>
      </c>
      <c r="B79" s="7">
        <v>4042</v>
      </c>
      <c r="C79" s="21" t="s">
        <v>214</v>
      </c>
      <c r="D79" s="21" t="s">
        <v>544</v>
      </c>
      <c r="E79" s="13">
        <v>42837.495509259257</v>
      </c>
      <c r="F79" s="13">
        <v>42837.500162037039</v>
      </c>
      <c r="G79" s="7">
        <v>1</v>
      </c>
      <c r="H79" s="21" t="s">
        <v>546</v>
      </c>
      <c r="I79" s="13">
        <v>42837.525520833333</v>
      </c>
      <c r="J79" s="7">
        <v>0</v>
      </c>
      <c r="K79" s="97" t="str">
        <f t="shared" si="25"/>
        <v>4041/4042</v>
      </c>
      <c r="L79" s="21" t="str">
        <f>VLOOKUP(A79,'Trips&amp;Operators'!$C$1:$G$99999,5,FALSE)</f>
        <v>LOCKLEAR TRAVIS</v>
      </c>
      <c r="M79" s="6">
        <f t="shared" si="26"/>
        <v>2.5358796294312924E-2</v>
      </c>
      <c r="N79" s="7">
        <f t="shared" si="39"/>
        <v>36.516666663810611</v>
      </c>
      <c r="O79" s="7"/>
      <c r="P79" s="7"/>
      <c r="Q79" s="22"/>
      <c r="R79" s="22"/>
      <c r="S79" s="31">
        <f t="shared" si="27"/>
        <v>1</v>
      </c>
      <c r="T79" s="46" t="str">
        <f t="shared" si="28"/>
        <v>NorthBound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 t="shared" si="29"/>
        <v>https://d0f6bd738d7f1b3e5a7ca70fe4ff75f0.us-east-1.aws.found.io/app/kibana#/discover/Steve-Slow-Train-Analysis-(2080s-and-2083s)?_g=(refreshInterval:(display:Off,pause:!f,section:0,value:0),time:(from:'2017-04-12T10:53:32-0600',mode:absolute,to:'2017-04-12T13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9" s="183" t="str">
        <f t="shared" si="30"/>
        <v>N</v>
      </c>
      <c r="X79" s="183">
        <f t="shared" si="31"/>
        <v>1</v>
      </c>
      <c r="Y79" s="62">
        <f t="shared" si="32"/>
        <v>4.8000000000000001E-2</v>
      </c>
      <c r="Z79" s="62">
        <f t="shared" si="33"/>
        <v>23.3323</v>
      </c>
      <c r="AA79" s="62">
        <f t="shared" si="34"/>
        <v>23.284300000000002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5"/>
        <v>0167-12</v>
      </c>
      <c r="AE79" s="85" t="str">
        <f t="shared" si="36"/>
        <v>aws s3 cp s3://rtdc.mdm.uploadarchive.raw/RTDC4042/ "%USERPROFILE%\AppData\Local\Temp\OnboardLogs"\RTDC4042\2017-04-12 --exclude "*" --recursive --include "*20170412*" &amp; "%USERPROFILE%\Documents\GitHub\mrs-test-scripts\Headless Mode &amp; Sideloading\WalkAndUnGZ.bat" "%USERPROFILE%\AppData\Local\Temp\OnboardLogs"\RTDC4042\2017-04-12 &amp; aws s3 cp s3://rtdc.mdm.uploadarchive.raw/RTDC4042/ "%USERPROFILE%\AppData\Local\Temp\OnboardLogs"\RTDC4042\2017-04-13 --exclude "*" --recursive --include "*20170413*" &amp; "%USERPROFILE%\Documents\GitHub\mrs-test-scripts\Headless Mode &amp; Sideloading\WalkAndUnGZ.bat" "%USERPROFILE%\AppData\Local\Temp\OnboardLogs"\RTDC4042\2017-04-13</v>
      </c>
      <c r="AF79" s="82" t="str">
        <f t="shared" si="37"/>
        <v>"C:\Program Files (x86)\AstroGrep\AstroGrep.exe" /e /r /s /spath="%USERPROFILE%\AppData\Local\Temp\OnboardLogs" /stypes="app*4042*20170412*" /stext=" 18:.+((SYSTEM_STATE.+slice.+state.+changed )|(ment ac)|(multiple cpu faults)|(system.+state.+changed )|(\[timeout)|(PRM\|1\|D)|(kpr)|(kdp)|(\|lc)|(penalty))"</v>
      </c>
      <c r="AG79" s="1" t="str">
        <f t="shared" si="38"/>
        <v>EC</v>
      </c>
      <c r="AH79" s="86" t="str">
        <f t="shared" si="40"/>
        <v>"%USERPROFILE%\Documents\GitHub\eaglep3\Utilities\RefineRTDCRunTimes.py" --tripid 167-12 --locoid 4042 --swversion DE.1.0.9.0 --startMP 204:480 --initTime 2017-04-12T11:53:32 --startdatetime 2017-04-12T12:00:14 --delay 1 --endMP 204:233323 --enddatetime 2017-04-12T12:36:45 --enforcementcount 0 &gt;&gt;C:\Users\stu\Documents\GitHub\eaglep3-reporting\EC\2017-04-12-refined-times.txt</v>
      </c>
      <c r="AI79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{"issue":{"subject":"","project_id":79,"tracker_id":40,"status_id":1,"priority_id":2,"assigned_to_id":23,"start_date":"2017-04-12","description":"","custom_fields":[{"id":1,"name":"Subdivision","value":"EC"},{"id":4,"name":"Milepost","value":"23.3323"},{"id":17,"name":"Train ID","value":"167-12"},{"id":16,"name":"Locomotive ID","value":"4042"},{"id":130,"name":"Impact","value":""},{"id":150,"name":"Time of Event (Mountain Time)","value":"12:36:45"},{"id":151,"name":"Denver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9" s="48"/>
      <c r="AL79" s="48"/>
      <c r="AM79" s="150" t="str">
        <f t="shared" si="42"/>
        <v>start /low /b %USERPROFILE%\Documents\GitHub\eaglep3\Utilities\DownloadLogsFromS3.py --loco 4042 --day 2017-04-12</v>
      </c>
      <c r="AN79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18:36:45"},{"id":29,"name":"Sharepoint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759</v>
      </c>
      <c r="B80" s="7">
        <v>4041</v>
      </c>
      <c r="C80" s="21" t="s">
        <v>214</v>
      </c>
      <c r="D80" s="21" t="s">
        <v>899</v>
      </c>
      <c r="E80" s="13">
        <v>42837.537777777776</v>
      </c>
      <c r="F80" s="13">
        <v>42837.539050925923</v>
      </c>
      <c r="G80" s="7">
        <v>1</v>
      </c>
      <c r="H80" s="21" t="s">
        <v>198</v>
      </c>
      <c r="I80" s="13">
        <v>42837.565937500003</v>
      </c>
      <c r="J80" s="7">
        <v>0</v>
      </c>
      <c r="K80" s="97" t="str">
        <f t="shared" si="25"/>
        <v>4041/4042</v>
      </c>
      <c r="L80" s="21" t="str">
        <f>VLOOKUP(A80,'Trips&amp;Operators'!$C$1:$G$99999,5,FALSE)</f>
        <v>LOCKLEAR TRAVIS</v>
      </c>
      <c r="M80" s="6">
        <f t="shared" si="26"/>
        <v>2.6886574079981074E-2</v>
      </c>
      <c r="N80" s="7">
        <f t="shared" si="39"/>
        <v>38.716666675172746</v>
      </c>
      <c r="O80" s="7"/>
      <c r="P80" s="7"/>
      <c r="Q80" s="22"/>
      <c r="R80" s="22"/>
      <c r="S80" s="31">
        <f t="shared" si="27"/>
        <v>1</v>
      </c>
      <c r="T80" s="46" t="str">
        <f t="shared" si="28"/>
        <v>Southbound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 t="shared" si="29"/>
        <v>https://d0f6bd738d7f1b3e5a7ca70fe4ff75f0.us-east-1.aws.found.io/app/kibana#/discover/Steve-Slow-Train-Analysis-(2080s-and-2083s)?_g=(refreshInterval:(display:Off,pause:!f,section:0,value:0),time:(from:'2017-04-12T11:54:24-0600',mode:absolute,to:'2017-04-12T14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0" s="183" t="str">
        <f t="shared" si="30"/>
        <v>N</v>
      </c>
      <c r="X80" s="183">
        <f t="shared" si="31"/>
        <v>1</v>
      </c>
      <c r="Y80" s="62">
        <f t="shared" si="32"/>
        <v>23.303599999999999</v>
      </c>
      <c r="Z80" s="62">
        <f t="shared" si="33"/>
        <v>1.5800000000000002E-2</v>
      </c>
      <c r="AA80" s="62">
        <f t="shared" si="34"/>
        <v>23.287800000000001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5"/>
        <v>0168-12</v>
      </c>
      <c r="AE80" s="85" t="str">
        <f t="shared" si="36"/>
        <v>aws s3 cp s3://rtdc.mdm.uploadarchive.raw/RTDC4041/ "%USERPROFILE%\AppData\Local\Temp\OnboardLogs"\RTDC4041\2017-04-12 --exclude "*" --recursive --include "*20170412*" &amp; "%USERPROFILE%\Documents\GitHub\mrs-test-scripts\Headless Mode &amp; Sideloading\WalkAndUnGZ.bat" "%USERPROFILE%\AppData\Local\Temp\OnboardLogs"\RTDC4041\2017-04-12 &amp; aws s3 cp s3://rtdc.mdm.uploadarchive.raw/RTDC4041/ "%USERPROFILE%\AppData\Local\Temp\OnboardLogs"\RTDC4041\2017-04-13 --exclude "*" --recursive --include "*20170413*" &amp; "%USERPROFILE%\Documents\GitHub\mrs-test-scripts\Headless Mode &amp; Sideloading\WalkAndUnGZ.bat" "%USERPROFILE%\AppData\Local\Temp\OnboardLogs"\RTDC4041\2017-04-13</v>
      </c>
      <c r="AF80" s="82" t="str">
        <f t="shared" si="37"/>
        <v>"C:\Program Files (x86)\AstroGrep\AstroGrep.exe" /e /r /s /spath="%USERPROFILE%\AppData\Local\Temp\OnboardLogs" /stypes="app*4041*20170412*" /stext=" 19:.+((SYSTEM_STATE.+slice.+state.+changed )|(ment ac)|(multiple cpu faults)|(system.+state.+changed )|(\[timeout)|(PRM\|1\|D)|(kpr)|(kdp)|(\|lc)|(penalty))"</v>
      </c>
      <c r="AG80" s="1" t="str">
        <f t="shared" si="38"/>
        <v>EC</v>
      </c>
      <c r="AH80" s="86" t="str">
        <f t="shared" si="40"/>
        <v>"%USERPROFILE%\Documents\GitHub\eaglep3\Utilities\RefineRTDCRunTimes.py" --tripid 168-12 --locoid 4041 --swversion DE.1.0.9.0 --startMP 204:233036 --initTime 2017-04-12T12:54:24 --startdatetime 2017-04-12T12:56:14 --delay 1 --endMP 204:158 --enddatetime 2017-04-12T13:34:57 --enforcementcount 0 &gt;&gt;C:\Users\stu\Documents\GitHub\eaglep3-reporting\EC\2017-04-12-refined-times.txt</v>
      </c>
      <c r="AI80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{"issue":{"subject":"","project_id":79,"tracker_id":40,"status_id":1,"priority_id":2,"assigned_to_id":23,"start_date":"2017-04-12","description":"","custom_fields":[{"id":1,"name":"Subdivision","value":"EC"},{"id":4,"name":"Milepost","value":"0.0158"},{"id":17,"name":"Train ID","value":"168-12"},{"id":16,"name":"Locomotive ID","value":"4041"},{"id":130,"name":"Impact","value":""},{"id":150,"name":"Time of Event (Mountain Time)","value":"13:34:57"},{"id":151,"name":"Denver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0" s="48"/>
      <c r="AL80" s="48"/>
      <c r="AM80" s="150" t="str">
        <f t="shared" si="42"/>
        <v>start /low /b %USERPROFILE%\Documents\GitHub\eaglep3\Utilities\DownloadLogsFromS3.py --loco 4041 --day 2017-04-12</v>
      </c>
      <c r="AN80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19:34:57"},{"id":29,"name":"Sharepoint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x14ac:dyDescent="0.25">
      <c r="A81" s="33" t="s">
        <v>634</v>
      </c>
      <c r="B81" s="7">
        <v>4020</v>
      </c>
      <c r="C81" s="21" t="s">
        <v>214</v>
      </c>
      <c r="D81" s="21" t="s">
        <v>474</v>
      </c>
      <c r="E81" s="13">
        <v>42837.505543981482</v>
      </c>
      <c r="F81" s="13">
        <v>42837.510601851849</v>
      </c>
      <c r="G81" s="7">
        <v>2</v>
      </c>
      <c r="H81" s="21" t="s">
        <v>508</v>
      </c>
      <c r="I81" s="13">
        <v>42837.535185185188</v>
      </c>
      <c r="J81" s="7">
        <v>0</v>
      </c>
      <c r="K81" s="97" t="str">
        <f t="shared" si="25"/>
        <v>4019/4020</v>
      </c>
      <c r="L81" s="21" t="str">
        <f>VLOOKUP(A81,'Trips&amp;Operators'!$C$1:$G$99999,5,FALSE)</f>
        <v>LEVIN SCOTT</v>
      </c>
      <c r="M81" s="6">
        <f t="shared" si="26"/>
        <v>2.4583333339251112E-2</v>
      </c>
      <c r="N81" s="7">
        <f t="shared" si="39"/>
        <v>35.400000008521602</v>
      </c>
      <c r="O81" s="7"/>
      <c r="P81" s="7"/>
      <c r="Q81" s="22"/>
      <c r="R81" s="22"/>
      <c r="S81" s="31">
        <f t="shared" si="27"/>
        <v>1</v>
      </c>
      <c r="T81" s="46" t="str">
        <f t="shared" si="28"/>
        <v>NorthBound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 t="shared" si="29"/>
        <v>https://d0f6bd738d7f1b3e5a7ca70fe4ff75f0.us-east-1.aws.found.io/app/kibana#/discover/Steve-Slow-Train-Analysis-(2080s-and-2083s)?_g=(refreshInterval:(display:Off,pause:!f,section:0,value:0),time:(from:'2017-04-12T11:07:59-0600',mode:absolute,to:'2017-04-12T13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1" s="183" t="str">
        <f t="shared" si="30"/>
        <v>N</v>
      </c>
      <c r="X81" s="183">
        <f t="shared" si="31"/>
        <v>1</v>
      </c>
      <c r="Y81" s="62">
        <f t="shared" si="32"/>
        <v>4.6699999999999998E-2</v>
      </c>
      <c r="Z81" s="62">
        <f t="shared" si="33"/>
        <v>23.336200000000002</v>
      </c>
      <c r="AA81" s="62">
        <f t="shared" si="34"/>
        <v>23.2895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5"/>
        <v>0169-12</v>
      </c>
      <c r="AE81" s="85" t="str">
        <f t="shared" si="36"/>
        <v>aws s3 cp s3://rtdc.mdm.uploadarchive.raw/RTDC4020/ "%USERPROFILE%\AppData\Local\Temp\OnboardLogs"\RTDC4020\2017-04-12 --exclude "*" --recursive --include "*20170412*" &amp; "%USERPROFILE%\Documents\GitHub\mrs-test-scripts\Headless Mode &amp; Sideloading\WalkAndUnGZ.bat" "%USERPROFILE%\AppData\Local\Temp\OnboardLogs"\RTDC4020\2017-04-12 &amp; aws s3 cp s3://rtdc.mdm.uploadarchive.raw/RTDC4020/ "%USERPROFILE%\AppData\Local\Temp\OnboardLogs"\RTDC4020\2017-04-13 --exclude "*" --recursive --include "*20170413*" &amp; "%USERPROFILE%\Documents\GitHub\mrs-test-scripts\Headless Mode &amp; Sideloading\WalkAndUnGZ.bat" "%USERPROFILE%\AppData\Local\Temp\OnboardLogs"\RTDC4020\2017-04-13</v>
      </c>
      <c r="AF81" s="82" t="str">
        <f t="shared" si="37"/>
        <v>"C:\Program Files (x86)\AstroGrep\AstroGrep.exe" /e /r /s /spath="%USERPROFILE%\AppData\Local\Temp\OnboardLogs" /stypes="app*4020*20170412*" /stext=" 18:.+((SYSTEM_STATE.+slice.+state.+changed )|(ment ac)|(multiple cpu faults)|(system.+state.+changed )|(\[timeout)|(PRM\|1\|D)|(kpr)|(kdp)|(\|lc)|(penalty))"</v>
      </c>
      <c r="AG81" s="1" t="str">
        <f t="shared" si="38"/>
        <v>EC</v>
      </c>
      <c r="AH81" s="86" t="str">
        <f t="shared" si="40"/>
        <v>"%USERPROFILE%\Documents\GitHub\eaglep3\Utilities\RefineRTDCRunTimes.py" --tripid 169-12 --locoid 4020 --swversion DE.1.0.9.0 --startMP 204:467 --initTime 2017-04-12T12:07:59 --startdatetime 2017-04-12T12:15:16 --delay 2 --endMP 204:233362 --enddatetime 2017-04-12T12:50:40 --enforcementcount 0 &gt;&gt;C:\Users\stu\Documents\GitHub\eaglep3-reporting\EC\2017-04-12-refined-times.txt</v>
      </c>
      <c r="AI81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{"issue":{"subject":"","project_id":79,"tracker_id":40,"status_id":1,"priority_id":2,"assigned_to_id":23,"start_date":"2017-04-12","description":"","custom_fields":[{"id":1,"name":"Subdivision","value":"EC"},{"id":4,"name":"Milepost","value":"23.3362"},{"id":17,"name":"Train ID","value":"169-12"},{"id":16,"name":"Locomotive ID","value":"4020"},{"id":130,"name":"Impact","value":""},{"id":150,"name":"Time of Event (Mountain Time)","value":"12:50:40"},{"id":151,"name":"Denver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8"/>
      <c r="AL81" s="48"/>
      <c r="AM81" s="150" t="str">
        <f t="shared" si="42"/>
        <v>start /low /b %USERPROFILE%\Documents\GitHub\eaglep3\Utilities\DownloadLogsFromS3.py --loco 4020 --day 2017-04-12</v>
      </c>
      <c r="AN81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18:50:40"},{"id":29,"name":"Sharepoint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2" spans="1:91" s="20" customFormat="1" x14ac:dyDescent="0.25">
      <c r="A82" s="33" t="s">
        <v>761</v>
      </c>
      <c r="B82" s="7">
        <v>4019</v>
      </c>
      <c r="C82" s="21" t="s">
        <v>214</v>
      </c>
      <c r="D82" s="21" t="s">
        <v>900</v>
      </c>
      <c r="E82" s="13">
        <v>42837.545092592591</v>
      </c>
      <c r="F82" s="13">
        <v>42837.549467592595</v>
      </c>
      <c r="G82" s="7">
        <v>1</v>
      </c>
      <c r="H82" s="21" t="s">
        <v>901</v>
      </c>
      <c r="I82" s="13">
        <v>42837.575752314813</v>
      </c>
      <c r="J82" s="7">
        <v>0</v>
      </c>
      <c r="K82" s="97" t="str">
        <f t="shared" si="25"/>
        <v>4019/4020</v>
      </c>
      <c r="L82" s="21" t="str">
        <f>VLOOKUP(A82,'Trips&amp;Operators'!$C$1:$G$99999,5,FALSE)</f>
        <v>LEVIN SCOTT</v>
      </c>
      <c r="M82" s="6">
        <f t="shared" si="26"/>
        <v>2.6284722218406387E-2</v>
      </c>
      <c r="N82" s="7">
        <f t="shared" si="39"/>
        <v>37.849999994505197</v>
      </c>
      <c r="O82" s="7"/>
      <c r="P82" s="7"/>
      <c r="Q82" s="22"/>
      <c r="R82" s="22"/>
      <c r="S82" s="31">
        <f t="shared" si="27"/>
        <v>1</v>
      </c>
      <c r="T82" s="46" t="str">
        <f t="shared" si="28"/>
        <v>Southbound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 t="shared" si="29"/>
        <v>https://d0f6bd738d7f1b3e5a7ca70fe4ff75f0.us-east-1.aws.found.io/app/kibana#/discover/Steve-Slow-Train-Analysis-(2080s-and-2083s)?_g=(refreshInterval:(display:Off,pause:!f,section:0,value:0),time:(from:'2017-04-12T12:04:56-0600',mode:absolute,to:'2017-04-12T14:49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2" s="183" t="str">
        <f t="shared" si="30"/>
        <v>N</v>
      </c>
      <c r="X82" s="183">
        <f t="shared" si="31"/>
        <v>1</v>
      </c>
      <c r="Y82" s="62">
        <f t="shared" si="32"/>
        <v>23.303799999999999</v>
      </c>
      <c r="Z82" s="62">
        <f t="shared" si="33"/>
        <v>1.2500000000000001E-2</v>
      </c>
      <c r="AA82" s="62">
        <f t="shared" si="34"/>
        <v>23.2913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5"/>
        <v>0170-12</v>
      </c>
      <c r="AE82" s="85" t="str">
        <f t="shared" si="36"/>
        <v>aws s3 cp s3://rtdc.mdm.uploadarchive.raw/RTDC4019/ "%USERPROFILE%\AppData\Local\Temp\OnboardLogs"\RTDC4019\2017-04-12 --exclude "*" --recursive --include "*20170412*" &amp; "%USERPROFILE%\Documents\GitHub\mrs-test-scripts\Headless Mode &amp; Sideloading\WalkAndUnGZ.bat" "%USERPROFILE%\AppData\Local\Temp\OnboardLogs"\RTDC4019\2017-04-12 &amp; aws s3 cp s3://rtdc.mdm.uploadarchive.raw/RTDC4019/ "%USERPROFILE%\AppData\Local\Temp\OnboardLogs"\RTDC4019\2017-04-13 --exclude "*" --recursive --include "*20170413*" &amp; "%USERPROFILE%\Documents\GitHub\mrs-test-scripts\Headless Mode &amp; Sideloading\WalkAndUnGZ.bat" "%USERPROFILE%\AppData\Local\Temp\OnboardLogs"\RTDC4019\2017-04-13</v>
      </c>
      <c r="AF82" s="82" t="str">
        <f t="shared" si="37"/>
        <v>"C:\Program Files (x86)\AstroGrep\AstroGrep.exe" /e /r /s /spath="%USERPROFILE%\AppData\Local\Temp\OnboardLogs" /stypes="app*4019*20170412*" /stext=" 19:.+((SYSTEM_STATE.+slice.+state.+changed )|(ment ac)|(multiple cpu faults)|(system.+state.+changed )|(\[timeout)|(PRM\|1\|D)|(kpr)|(kdp)|(\|lc)|(penalty))"</v>
      </c>
      <c r="AG82" s="1" t="str">
        <f t="shared" si="38"/>
        <v>EC</v>
      </c>
      <c r="AH82" s="86" t="str">
        <f t="shared" si="40"/>
        <v>"%USERPROFILE%\Documents\GitHub\eaglep3\Utilities\RefineRTDCRunTimes.py" --tripid 170-12 --locoid 4019 --swversion DE.1.0.9.0 --startMP 204:233038 --initTime 2017-04-12T13:04:56 --startdatetime 2017-04-12T13:11:14 --delay 1 --endMP 204:125 --enddatetime 2017-04-12T13:49:05 --enforcementcount 0 &gt;&gt;C:\Users\stu\Documents\GitHub\eaglep3-reporting\EC\2017-04-12-refined-times.txt</v>
      </c>
      <c r="AI82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{"issue":{"subject":"","project_id":79,"tracker_id":40,"status_id":1,"priority_id":2,"assigned_to_id":23,"start_date":"2017-04-12","description":"","custom_fields":[{"id":1,"name":"Subdivision","value":"EC"},{"id":4,"name":"Milepost","value":"0.0125"},{"id":17,"name":"Train ID","value":"170-12"},{"id":16,"name":"Locomotive ID","value":"4019"},{"id":130,"name":"Impact","value":""},{"id":150,"name":"Time of Event (Mountain Time)","value":"13:49:05"},{"id":151,"name":"Denver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2" s="48"/>
      <c r="AL82" s="48"/>
      <c r="AM82" s="150" t="str">
        <f t="shared" si="42"/>
        <v>start /low /b %USERPROFILE%\Documents\GitHub\eaglep3\Utilities\DownloadLogsFromS3.py --loco 4019 --day 2017-04-12</v>
      </c>
      <c r="AN82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19:49:05"},{"id":29,"name":"Sharepoint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636</v>
      </c>
      <c r="B83" s="7">
        <v>4040</v>
      </c>
      <c r="C83" s="21" t="s">
        <v>214</v>
      </c>
      <c r="D83" s="21" t="s">
        <v>416</v>
      </c>
      <c r="E83" s="13">
        <v>42837.516944444447</v>
      </c>
      <c r="F83" s="13">
        <v>42837.521585648145</v>
      </c>
      <c r="G83" s="7">
        <v>2</v>
      </c>
      <c r="H83" s="21" t="s">
        <v>587</v>
      </c>
      <c r="I83" s="13">
        <v>42837.547418981485</v>
      </c>
      <c r="J83" s="7">
        <v>0</v>
      </c>
      <c r="K83" s="97" t="str">
        <f t="shared" si="25"/>
        <v>4039/4040</v>
      </c>
      <c r="L83" s="21" t="str">
        <f>VLOOKUP(A83,'Trips&amp;Operators'!$C$1:$G$99999,5,FALSE)</f>
        <v>STRICKLAND EVAN</v>
      </c>
      <c r="M83" s="6">
        <f t="shared" si="26"/>
        <v>2.5833333340415265E-2</v>
      </c>
      <c r="N83" s="7">
        <f t="shared" si="39"/>
        <v>37.200000010197982</v>
      </c>
      <c r="O83" s="7"/>
      <c r="P83" s="7"/>
      <c r="Q83" s="22"/>
      <c r="R83" s="22"/>
      <c r="S83" s="31">
        <f t="shared" si="27"/>
        <v>1</v>
      </c>
      <c r="T83" s="46" t="str">
        <f t="shared" si="28"/>
        <v>NorthBound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 t="shared" si="29"/>
        <v>https://d0f6bd738d7f1b3e5a7ca70fe4ff75f0.us-east-1.aws.found.io/app/kibana#/discover/Steve-Slow-Train-Analysis-(2080s-and-2083s)?_g=(refreshInterval:(display:Off,pause:!f,section:0,value:0),time:(from:'2017-04-12T11:24:24-0600',mode:absolute,to:'2017-04-12T14:08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3" s="183" t="str">
        <f t="shared" si="30"/>
        <v>N</v>
      </c>
      <c r="X83" s="183">
        <f t="shared" si="31"/>
        <v>1</v>
      </c>
      <c r="Y83" s="62">
        <f t="shared" si="32"/>
        <v>4.7100000000000003E-2</v>
      </c>
      <c r="Z83" s="62">
        <f t="shared" si="33"/>
        <v>23.334199999999999</v>
      </c>
      <c r="AA83" s="62">
        <f t="shared" si="34"/>
        <v>23.287099999999999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5"/>
        <v>0171-12</v>
      </c>
      <c r="AE83" s="85" t="str">
        <f t="shared" si="36"/>
        <v>aws s3 cp s3://rtdc.mdm.uploadarchive.raw/RTDC4040/ "%USERPROFILE%\AppData\Local\Temp\OnboardLogs"\RTDC4040\2017-04-12 --exclude "*" --recursive --include "*20170412*" &amp; "%USERPROFILE%\Documents\GitHub\mrs-test-scripts\Headless Mode &amp; Sideloading\WalkAndUnGZ.bat" "%USERPROFILE%\AppData\Local\Temp\OnboardLogs"\RTDC4040\2017-04-12 &amp; aws s3 cp s3://rtdc.mdm.uploadarchive.raw/RTDC4040/ "%USERPROFILE%\AppData\Local\Temp\OnboardLogs"\RTDC4040\2017-04-13 --exclude "*" --recursive --include "*20170413*" &amp; "%USERPROFILE%\Documents\GitHub\mrs-test-scripts\Headless Mode &amp; Sideloading\WalkAndUnGZ.bat" "%USERPROFILE%\AppData\Local\Temp\OnboardLogs"\RTDC4040\2017-04-13</v>
      </c>
      <c r="AF83" s="82" t="str">
        <f t="shared" si="37"/>
        <v>"C:\Program Files (x86)\AstroGrep\AstroGrep.exe" /e /r /s /spath="%USERPROFILE%\AppData\Local\Temp\OnboardLogs" /stypes="app*4040*20170412*" /stext=" 19:.+((SYSTEM_STATE.+slice.+state.+changed )|(ment ac)|(multiple cpu faults)|(system.+state.+changed )|(\[timeout)|(PRM\|1\|D)|(kpr)|(kdp)|(\|lc)|(penalty))"</v>
      </c>
      <c r="AG83" s="1" t="str">
        <f t="shared" si="38"/>
        <v>EC</v>
      </c>
      <c r="AH83" s="86" t="str">
        <f t="shared" si="40"/>
        <v>"%USERPROFILE%\Documents\GitHub\eaglep3\Utilities\RefineRTDCRunTimes.py" --tripid 171-12 --locoid 4040 --swversion DE.1.0.9.0 --startMP 204:471 --initTime 2017-04-12T12:24:24 --startdatetime 2017-04-12T12:31:05 --delay 2 --endMP 204:233342 --enddatetime 2017-04-12T13:08:17 --enforcementcount 0 &gt;&gt;C:\Users\stu\Documents\GitHub\eaglep3-reporting\EC\2017-04-12-refined-times.txt</v>
      </c>
      <c r="AI83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{"issue":{"subject":"","project_id":79,"tracker_id":40,"status_id":1,"priority_id":2,"assigned_to_id":23,"start_date":"2017-04-12","description":"","custom_fields":[{"id":1,"name":"Subdivision","value":"EC"},{"id":4,"name":"Milepost","value":"23.3342"},{"id":17,"name":"Train ID","value":"171-12"},{"id":16,"name":"Locomotive ID","value":"4040"},{"id":130,"name":"Impact","value":""},{"id":150,"name":"Time of Event (Mountain Time)","value":"13:08:17"},{"id":151,"name":"Denver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3" s="48"/>
      <c r="AL83" s="48"/>
      <c r="AM83" s="150" t="str">
        <f t="shared" si="42"/>
        <v>start /low /b %USERPROFILE%\Documents\GitHub\eaglep3\Utilities\DownloadLogsFromS3.py --loco 4040 --day 2017-04-12</v>
      </c>
      <c r="AN83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19:08:17"},{"id":29,"name":"Sharepoint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763</v>
      </c>
      <c r="B84" s="7">
        <v>4039</v>
      </c>
      <c r="C84" s="21" t="s">
        <v>214</v>
      </c>
      <c r="D84" s="21" t="s">
        <v>902</v>
      </c>
      <c r="E84" s="13">
        <v>42837.54928240741</v>
      </c>
      <c r="F84" s="13">
        <v>42837.560219907406</v>
      </c>
      <c r="G84" s="7">
        <v>1</v>
      </c>
      <c r="H84" s="21" t="s">
        <v>418</v>
      </c>
      <c r="I84" s="13">
        <v>42837.58734953704</v>
      </c>
      <c r="J84" s="7">
        <v>0</v>
      </c>
      <c r="K84" s="97" t="str">
        <f t="shared" si="25"/>
        <v>4039/4040</v>
      </c>
      <c r="L84" s="21" t="str">
        <f>VLOOKUP(A84,'Trips&amp;Operators'!$C$1:$G$99999,5,FALSE)</f>
        <v>STRICKLAND EVAN</v>
      </c>
      <c r="M84" s="6">
        <f t="shared" si="26"/>
        <v>2.7129629634146113E-2</v>
      </c>
      <c r="N84" s="7">
        <f t="shared" si="39"/>
        <v>39.066666673170403</v>
      </c>
      <c r="O84" s="7"/>
      <c r="P84" s="7"/>
      <c r="Q84" s="22"/>
      <c r="R84" s="22"/>
      <c r="S84" s="31">
        <f t="shared" si="27"/>
        <v>1</v>
      </c>
      <c r="T84" s="46" t="str">
        <f t="shared" si="28"/>
        <v>Southbound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 t="shared" si="29"/>
        <v>https://d0f6bd738d7f1b3e5a7ca70fe4ff75f0.us-east-1.aws.found.io/app/kibana#/discover/Steve-Slow-Train-Analysis-(2080s-and-2083s)?_g=(refreshInterval:(display:Off,pause:!f,section:0,value:0),time:(from:'2017-04-12T12:10:58-0600',mode:absolute,to:'2017-04-12T15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4" s="183" t="str">
        <f t="shared" si="30"/>
        <v>N</v>
      </c>
      <c r="X84" s="183">
        <f t="shared" si="31"/>
        <v>1</v>
      </c>
      <c r="Y84" s="62">
        <f t="shared" si="32"/>
        <v>23.3017</v>
      </c>
      <c r="Z84" s="62">
        <f t="shared" si="33"/>
        <v>1.4500000000000001E-2</v>
      </c>
      <c r="AA84" s="62">
        <f t="shared" si="34"/>
        <v>23.287199999999999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5"/>
        <v>0172-12</v>
      </c>
      <c r="AE84" s="85" t="str">
        <f t="shared" si="36"/>
        <v>aws s3 cp s3://rtdc.mdm.uploadarchive.raw/RTDC4039/ "%USERPROFILE%\AppData\Local\Temp\OnboardLogs"\RTDC4039\2017-04-12 --exclude "*" --recursive --include "*20170412*" &amp; "%USERPROFILE%\Documents\GitHub\mrs-test-scripts\Headless Mode &amp; Sideloading\WalkAndUnGZ.bat" "%USERPROFILE%\AppData\Local\Temp\OnboardLogs"\RTDC4039\2017-04-12 &amp; aws s3 cp s3://rtdc.mdm.uploadarchive.raw/RTDC4039/ "%USERPROFILE%\AppData\Local\Temp\OnboardLogs"\RTDC4039\2017-04-13 --exclude "*" --recursive --include "*20170413*" &amp; "%USERPROFILE%\Documents\GitHub\mrs-test-scripts\Headless Mode &amp; Sideloading\WalkAndUnGZ.bat" "%USERPROFILE%\AppData\Local\Temp\OnboardLogs"\RTDC4039\2017-04-13</v>
      </c>
      <c r="AF84" s="82" t="str">
        <f t="shared" si="37"/>
        <v>"C:\Program Files (x86)\AstroGrep\AstroGrep.exe" /e /r /s /spath="%USERPROFILE%\AppData\Local\Temp\OnboardLogs" /stypes="app*4039*20170412*" /stext=" 20:.+((SYSTEM_STATE.+slice.+state.+changed )|(ment ac)|(multiple cpu faults)|(system.+state.+changed )|(\[timeout)|(PRM\|1\|D)|(kpr)|(kdp)|(\|lc)|(penalty))"</v>
      </c>
      <c r="AG84" s="1" t="str">
        <f t="shared" si="38"/>
        <v>EC</v>
      </c>
      <c r="AH84" s="86" t="str">
        <f t="shared" si="40"/>
        <v>"%USERPROFILE%\Documents\GitHub\eaglep3\Utilities\RefineRTDCRunTimes.py" --tripid 172-12 --locoid 4039 --swversion DE.1.0.9.0 --startMP 204:233017 --initTime 2017-04-12T13:10:58 --startdatetime 2017-04-12T13:26:43 --delay 1 --endMP 204:145 --enddatetime 2017-04-12T14:05:47 --enforcementcount 0 &gt;&gt;C:\Users\stu\Documents\GitHub\eaglep3-reporting\EC\2017-04-12-refined-times.txt</v>
      </c>
      <c r="AI84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{"issue":{"subject":"","project_id":79,"tracker_id":40,"status_id":1,"priority_id":2,"assigned_to_id":23,"start_date":"2017-04-12","description":"","custom_fields":[{"id":1,"name":"Subdivision","value":"EC"},{"id":4,"name":"Milepost","value":"0.0145"},{"id":17,"name":"Train ID","value":"172-12"},{"id":16,"name":"Locomotive ID","value":"4039"},{"id":130,"name":"Impact","value":""},{"id":150,"name":"Time of Event (Mountain Time)","value":"14:05:47"},{"id":151,"name":"Denver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8"/>
      <c r="AL84" s="48"/>
      <c r="AM84" s="150" t="str">
        <f t="shared" si="42"/>
        <v>start /low /b %USERPROFILE%\Documents\GitHub\eaglep3\Utilities\DownloadLogsFromS3.py --loco 4039 --day 2017-04-12</v>
      </c>
      <c r="AN84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20:05:47"},{"id":29,"name":"Sharepoint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637</v>
      </c>
      <c r="B85" s="7">
        <v>4032</v>
      </c>
      <c r="C85" s="21" t="s">
        <v>214</v>
      </c>
      <c r="D85" s="21" t="s">
        <v>205</v>
      </c>
      <c r="E85" s="13">
        <v>42837.526574074072</v>
      </c>
      <c r="F85" s="13">
        <v>42837.531631944446</v>
      </c>
      <c r="G85" s="7">
        <v>1</v>
      </c>
      <c r="H85" s="21" t="s">
        <v>586</v>
      </c>
      <c r="I85" s="13">
        <v>42837.556030092594</v>
      </c>
      <c r="J85" s="7">
        <v>0</v>
      </c>
      <c r="K85" s="97" t="str">
        <f t="shared" si="25"/>
        <v>4031/4032</v>
      </c>
      <c r="L85" s="21" t="str">
        <f>VLOOKUP(A85,'Trips&amp;Operators'!$C$1:$G$99999,5,FALSE)</f>
        <v>DELGADO DIANAH</v>
      </c>
      <c r="M85" s="6">
        <f t="shared" si="26"/>
        <v>2.4398148147156462E-2</v>
      </c>
      <c r="N85" s="7">
        <f t="shared" si="39"/>
        <v>35.133333331905305</v>
      </c>
      <c r="O85" s="7"/>
      <c r="P85" s="7"/>
      <c r="Q85" s="22"/>
      <c r="R85" s="22"/>
      <c r="S85" s="31">
        <f t="shared" si="27"/>
        <v>1</v>
      </c>
      <c r="T85" s="46" t="str">
        <f t="shared" si="28"/>
        <v>NorthBound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 t="shared" si="29"/>
        <v>https://d0f6bd738d7f1b3e5a7ca70fe4ff75f0.us-east-1.aws.found.io/app/kibana#/discover/Steve-Slow-Train-Analysis-(2080s-and-2083s)?_g=(refreshInterval:(display:Off,pause:!f,section:0,value:0),time:(from:'2017-04-12T11:38:16-0600',mode:absolute,to:'2017-04-12T14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5" s="183" t="str">
        <f t="shared" si="30"/>
        <v>N</v>
      </c>
      <c r="X85" s="183">
        <f t="shared" si="31"/>
        <v>1</v>
      </c>
      <c r="Y85" s="62">
        <f t="shared" si="32"/>
        <v>4.5699999999999998E-2</v>
      </c>
      <c r="Z85" s="62">
        <f t="shared" si="33"/>
        <v>23.339099999999998</v>
      </c>
      <c r="AA85" s="62">
        <f t="shared" si="34"/>
        <v>23.293399999999998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5"/>
        <v>0173-12</v>
      </c>
      <c r="AE85" s="85" t="str">
        <f t="shared" si="36"/>
        <v>aws s3 cp s3://rtdc.mdm.uploadarchive.raw/RTDC4032/ "%USERPROFILE%\AppData\Local\Temp\OnboardLogs"\RTDC4032\2017-04-12 --exclude "*" --recursive --include "*20170412*" &amp; "%USERPROFILE%\Documents\GitHub\mrs-test-scripts\Headless Mode &amp; Sideloading\WalkAndUnGZ.bat" "%USERPROFILE%\AppData\Local\Temp\OnboardLogs"\RTDC4032\2017-04-12 &amp; aws s3 cp s3://rtdc.mdm.uploadarchive.raw/RTDC4032/ "%USERPROFILE%\AppData\Local\Temp\OnboardLogs"\RTDC4032\2017-04-13 --exclude "*" --recursive --include "*20170413*" &amp; "%USERPROFILE%\Documents\GitHub\mrs-test-scripts\Headless Mode &amp; Sideloading\WalkAndUnGZ.bat" "%USERPROFILE%\AppData\Local\Temp\OnboardLogs"\RTDC4032\2017-04-13</v>
      </c>
      <c r="AF85" s="82" t="str">
        <f t="shared" si="37"/>
        <v>"C:\Program Files (x86)\AstroGrep\AstroGrep.exe" /e /r /s /spath="%USERPROFILE%\AppData\Local\Temp\OnboardLogs" /stypes="app*4032*20170412*" /stext=" 19:.+((SYSTEM_STATE.+slice.+state.+changed )|(ment ac)|(multiple cpu faults)|(system.+state.+changed )|(\[timeout)|(PRM\|1\|D)|(kpr)|(kdp)|(\|lc)|(penalty))"</v>
      </c>
      <c r="AG85" s="1" t="str">
        <f t="shared" si="38"/>
        <v>EC</v>
      </c>
      <c r="AH85" s="86" t="str">
        <f t="shared" si="40"/>
        <v>"%USERPROFILE%\Documents\GitHub\eaglep3\Utilities\RefineRTDCRunTimes.py" --tripid 173-12 --locoid 4032 --swversion DE.1.0.9.0 --startMP 204:457 --initTime 2017-04-12T12:38:16 --startdatetime 2017-04-12T12:45:33 --delay 1 --endMP 204:233391 --enddatetime 2017-04-12T13:20:41 --enforcementcount 0 &gt;&gt;C:\Users\stu\Documents\GitHub\eaglep3-reporting\EC\2017-04-12-refined-times.txt</v>
      </c>
      <c r="AI85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{"issue":{"subject":"","project_id":79,"tracker_id":40,"status_id":1,"priority_id":2,"assigned_to_id":23,"start_date":"2017-04-12","description":"","custom_fields":[{"id":1,"name":"Subdivision","value":"EC"},{"id":4,"name":"Milepost","value":"23.3391"},{"id":17,"name":"Train ID","value":"173-12"},{"id":16,"name":"Locomotive ID","value":"4032"},{"id":130,"name":"Impact","value":""},{"id":150,"name":"Time of Event (Mountain Time)","value":"13:20:41"},{"id":151,"name":"Denver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8"/>
      <c r="AL85" s="48"/>
      <c r="AM85" s="150" t="str">
        <f t="shared" si="42"/>
        <v>start /low /b %USERPROFILE%\Documents\GitHub\eaglep3\Utilities\DownloadLogsFromS3.py --loco 4032 --day 2017-04-12</v>
      </c>
      <c r="AN85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19:20:41"},{"id":29,"name":"Sharepoint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3" t="s">
        <v>765</v>
      </c>
      <c r="B86" s="7">
        <v>4031</v>
      </c>
      <c r="C86" s="21" t="s">
        <v>214</v>
      </c>
      <c r="D86" s="21" t="s">
        <v>903</v>
      </c>
      <c r="E86" s="13">
        <v>42837.559895833336</v>
      </c>
      <c r="F86" s="13">
        <v>42837.5703125</v>
      </c>
      <c r="G86" s="7">
        <v>1</v>
      </c>
      <c r="H86" s="21" t="s">
        <v>572</v>
      </c>
      <c r="I86" s="13">
        <v>42837.597060185188</v>
      </c>
      <c r="J86" s="7">
        <v>0</v>
      </c>
      <c r="K86" s="97" t="str">
        <f t="shared" si="25"/>
        <v>4031/4032</v>
      </c>
      <c r="L86" s="21" t="str">
        <f>VLOOKUP(A86,'Trips&amp;Operators'!$C$1:$G$99999,5,FALSE)</f>
        <v>DELGADO DIANAH</v>
      </c>
      <c r="M86" s="6">
        <f t="shared" si="26"/>
        <v>2.6747685187729076E-2</v>
      </c>
      <c r="N86" s="7">
        <f t="shared" si="39"/>
        <v>38.516666670329869</v>
      </c>
      <c r="O86" s="7"/>
      <c r="P86" s="7"/>
      <c r="Q86" s="22"/>
      <c r="R86" s="22"/>
      <c r="S86" s="31">
        <f t="shared" si="27"/>
        <v>1</v>
      </c>
      <c r="T86" s="46" t="str">
        <f t="shared" si="28"/>
        <v>Southbound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 t="shared" si="29"/>
        <v>https://d0f6bd738d7f1b3e5a7ca70fe4ff75f0.us-east-1.aws.found.io/app/kibana#/discover/Steve-Slow-Train-Analysis-(2080s-and-2083s)?_g=(refreshInterval:(display:Off,pause:!f,section:0,value:0),time:(from:'2017-04-12T12:26:15-0600',mode:absolute,to:'2017-04-12T15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6" s="183" t="str">
        <f t="shared" si="30"/>
        <v>N</v>
      </c>
      <c r="X86" s="183">
        <f t="shared" si="31"/>
        <v>1</v>
      </c>
      <c r="Y86" s="62">
        <f t="shared" si="32"/>
        <v>23.3049</v>
      </c>
      <c r="Z86" s="62">
        <f t="shared" si="33"/>
        <v>1.2999999999999999E-2</v>
      </c>
      <c r="AA86" s="62">
        <f t="shared" si="34"/>
        <v>23.291899999999998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5"/>
        <v>0174-12</v>
      </c>
      <c r="AE86" s="85" t="str">
        <f t="shared" si="36"/>
        <v>aws s3 cp s3://rtdc.mdm.uploadarchive.raw/RTDC4031/ "%USERPROFILE%\AppData\Local\Temp\OnboardLogs"\RTDC4031\2017-04-12 --exclude "*" --recursive --include "*20170412*" &amp; "%USERPROFILE%\Documents\GitHub\mrs-test-scripts\Headless Mode &amp; Sideloading\WalkAndUnGZ.bat" "%USERPROFILE%\AppData\Local\Temp\OnboardLogs"\RTDC4031\2017-04-12 &amp; aws s3 cp s3://rtdc.mdm.uploadarchive.raw/RTDC4031/ "%USERPROFILE%\AppData\Local\Temp\OnboardLogs"\RTDC4031\2017-04-13 --exclude "*" --recursive --include "*20170413*" &amp; "%USERPROFILE%\Documents\GitHub\mrs-test-scripts\Headless Mode &amp; Sideloading\WalkAndUnGZ.bat" "%USERPROFILE%\AppData\Local\Temp\OnboardLogs"\RTDC4031\2017-04-13</v>
      </c>
      <c r="AF86" s="82" t="str">
        <f t="shared" si="37"/>
        <v>"C:\Program Files (x86)\AstroGrep\AstroGrep.exe" /e /r /s /spath="%USERPROFILE%\AppData\Local\Temp\OnboardLogs" /stypes="app*4031*20170412*" /stext=" 20:.+((SYSTEM_STATE.+slice.+state.+changed )|(ment ac)|(multiple cpu faults)|(system.+state.+changed )|(\[timeout)|(PRM\|1\|D)|(kpr)|(kdp)|(\|lc)|(penalty))"</v>
      </c>
      <c r="AG86" s="1" t="str">
        <f t="shared" si="38"/>
        <v>EC</v>
      </c>
      <c r="AH86" s="86" t="str">
        <f t="shared" si="40"/>
        <v>"%USERPROFILE%\Documents\GitHub\eaglep3\Utilities\RefineRTDCRunTimes.py" --tripid 174-12 --locoid 4031 --swversion DE.1.0.9.0 --startMP 204:233049 --initTime 2017-04-12T13:26:15 --startdatetime 2017-04-12T13:41:15 --delay 1 --endMP 204:130 --enddatetime 2017-04-12T14:19:46 --enforcementcount 0 &gt;&gt;C:\Users\stu\Documents\GitHub\eaglep3-reporting\EC\2017-04-12-refined-times.txt</v>
      </c>
      <c r="AI86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{"issue":{"subject":"","project_id":79,"tracker_id":40,"status_id":1,"priority_id":2,"assigned_to_id":23,"start_date":"2017-04-12","description":"","custom_fields":[{"id":1,"name":"Subdivision","value":"EC"},{"id":4,"name":"Milepost","value":"0.013"},{"id":17,"name":"Train ID","value":"174-12"},{"id":16,"name":"Locomotive ID","value":"4031"},{"id":130,"name":"Impact","value":""},{"id":150,"name":"Time of Event (Mountain Time)","value":"14:19:46"},{"id":151,"name":"Denver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8"/>
      <c r="AL86" s="48"/>
      <c r="AM86" s="150" t="str">
        <f t="shared" si="42"/>
        <v>start /low /b %USERPROFILE%\Documents\GitHub\eaglep3\Utilities\DownloadLogsFromS3.py --loco 4031 --day 2017-04-12</v>
      </c>
      <c r="AN86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20:19:46"},{"id":29,"name":"Sharepoint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7" spans="1:91" s="1" customFormat="1" x14ac:dyDescent="0.25">
      <c r="A87" s="33" t="s">
        <v>760</v>
      </c>
      <c r="B87" s="7">
        <v>4054</v>
      </c>
      <c r="C87" s="21" t="s">
        <v>214</v>
      </c>
      <c r="D87" s="21" t="s">
        <v>904</v>
      </c>
      <c r="E87" s="13">
        <v>42837.539548611108</v>
      </c>
      <c r="F87" s="13">
        <v>42837.541805555556</v>
      </c>
      <c r="G87" s="7">
        <v>2</v>
      </c>
      <c r="H87" s="21" t="s">
        <v>905</v>
      </c>
      <c r="I87" s="13">
        <v>42837.567696759259</v>
      </c>
      <c r="J87" s="7">
        <v>0</v>
      </c>
      <c r="K87" s="97" t="str">
        <f t="shared" si="25"/>
        <v>4053/4054</v>
      </c>
      <c r="L87" s="21" t="str">
        <f>VLOOKUP(A87,'Trips&amp;Operators'!$C$1:$G$99999,5,FALSE)</f>
        <v>ARVIDSON DANIEL</v>
      </c>
      <c r="M87" s="6">
        <f t="shared" si="26"/>
        <v>2.5891203702485655E-2</v>
      </c>
      <c r="N87" s="7">
        <f t="shared" si="39"/>
        <v>37.283333331579342</v>
      </c>
      <c r="O87" s="7"/>
      <c r="P87" s="7"/>
      <c r="Q87" s="22"/>
      <c r="R87" s="22"/>
      <c r="S87" s="31">
        <f t="shared" si="27"/>
        <v>1</v>
      </c>
      <c r="T87" s="46" t="str">
        <f t="shared" si="28"/>
        <v>NorthBound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 t="shared" si="29"/>
        <v>https://d0f6bd738d7f1b3e5a7ca70fe4ff75f0.us-east-1.aws.found.io/app/kibana#/discover/Steve-Slow-Train-Analysis-(2080s-and-2083s)?_g=(refreshInterval:(display:Off,pause:!f,section:0,value:0),time:(from:'2017-04-12T11:56:57-0600',mode:absolute,to:'2017-04-12T14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7" s="183" t="str">
        <f t="shared" si="30"/>
        <v>N</v>
      </c>
      <c r="X87" s="183">
        <f t="shared" si="31"/>
        <v>1</v>
      </c>
      <c r="Y87" s="62">
        <f t="shared" si="32"/>
        <v>4.9500000000000002E-2</v>
      </c>
      <c r="Z87" s="62">
        <f t="shared" si="33"/>
        <v>23.337800000000001</v>
      </c>
      <c r="AA87" s="62">
        <f t="shared" si="34"/>
        <v>23.288300000000003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5"/>
        <v>0175-12</v>
      </c>
      <c r="AE87" s="85" t="str">
        <f t="shared" si="36"/>
        <v>aws s3 cp s3://rtdc.mdm.uploadarchive.raw/RTDC4054/ "%USERPROFILE%\AppData\Local\Temp\OnboardLogs"\RTDC4054\2017-04-12 --exclude "*" --recursive --include "*20170412*" &amp; "%USERPROFILE%\Documents\GitHub\mrs-test-scripts\Headless Mode &amp; Sideloading\WalkAndUnGZ.bat" "%USERPROFILE%\AppData\Local\Temp\OnboardLogs"\RTDC4054\2017-04-12 &amp; aws s3 cp s3://rtdc.mdm.uploadarchive.raw/RTDC4054/ "%USERPROFILE%\AppData\Local\Temp\OnboardLogs"\RTDC4054\2017-04-13 --exclude "*" --recursive --include "*20170413*" &amp; "%USERPROFILE%\Documents\GitHub\mrs-test-scripts\Headless Mode &amp; Sideloading\WalkAndUnGZ.bat" "%USERPROFILE%\AppData\Local\Temp\OnboardLogs"\RTDC4054\2017-04-13</v>
      </c>
      <c r="AF87" s="82" t="str">
        <f t="shared" si="37"/>
        <v>"C:\Program Files (x86)\AstroGrep\AstroGrep.exe" /e /r /s /spath="%USERPROFILE%\AppData\Local\Temp\OnboardLogs" /stypes="app*4054*20170412*" /stext=" 19:.+((SYSTEM_STATE.+slice.+state.+changed )|(ment ac)|(multiple cpu faults)|(system.+state.+changed )|(\[timeout)|(PRM\|1\|D)|(kpr)|(kdp)|(\|lc)|(penalty))"</v>
      </c>
      <c r="AG87" s="1" t="str">
        <f t="shared" si="38"/>
        <v>EC</v>
      </c>
      <c r="AH87" s="86" t="str">
        <f t="shared" si="40"/>
        <v>"%USERPROFILE%\Documents\GitHub\eaglep3\Utilities\RefineRTDCRunTimes.py" --tripid 175-12 --locoid 4054 --swversion DE.1.0.9.0 --startMP 204:495 --initTime 2017-04-12T12:56:57 --startdatetime 2017-04-12T13:00:12 --delay 2 --endMP 204:233378 --enddatetime 2017-04-12T13:37:29 --enforcementcount 0 &gt;&gt;C:\Users\stu\Documents\GitHub\eaglep3-reporting\EC\2017-04-12-refined-times.txt</v>
      </c>
      <c r="AI87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{"issue":{"subject":"","project_id":79,"tracker_id":40,"status_id":1,"priority_id":2,"assigned_to_id":23,"start_date":"2017-04-12","description":"","custom_fields":[{"id":1,"name":"Subdivision","value":"EC"},{"id":4,"name":"Milepost","value":"23.3378"},{"id":17,"name":"Train ID","value":"175-12"},{"id":16,"name":"Locomotive ID","value":"4054"},{"id":130,"name":"Impact","value":""},{"id":150,"name":"Time of Event (Mountain Time)","value":"13:37:29"},{"id":151,"name":"Denver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8"/>
      <c r="AL87" s="48"/>
      <c r="AM87" s="150" t="str">
        <f t="shared" si="42"/>
        <v>start /low /b %USERPROFILE%\Documents\GitHub\eaglep3\Utilities\DownloadLogsFromS3.py --loco 4054 --day 2017-04-12</v>
      </c>
      <c r="AN87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19:37:29"},{"id":29,"name":"Sharepoint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768</v>
      </c>
      <c r="B88" s="7">
        <v>4053</v>
      </c>
      <c r="C88" s="21" t="s">
        <v>214</v>
      </c>
      <c r="D88" s="21" t="s">
        <v>906</v>
      </c>
      <c r="E88" s="13">
        <v>42837.576041666667</v>
      </c>
      <c r="F88" s="13">
        <v>42837.581006944441</v>
      </c>
      <c r="G88" s="7">
        <v>1</v>
      </c>
      <c r="H88" s="21" t="s">
        <v>538</v>
      </c>
      <c r="I88" s="13">
        <v>42837.608275462961</v>
      </c>
      <c r="J88" s="7">
        <v>0</v>
      </c>
      <c r="K88" s="97" t="str">
        <f t="shared" si="25"/>
        <v>4053/4054</v>
      </c>
      <c r="L88" s="21" t="str">
        <f>VLOOKUP(A88,'Trips&amp;Operators'!$C$1:$G$99999,5,FALSE)</f>
        <v>ARVIDSON DANIEL</v>
      </c>
      <c r="M88" s="6">
        <f t="shared" si="26"/>
        <v>2.7268518519122154E-2</v>
      </c>
      <c r="N88" s="7">
        <f t="shared" si="39"/>
        <v>39.266666667535901</v>
      </c>
      <c r="O88" s="7"/>
      <c r="P88" s="7"/>
      <c r="Q88" s="22"/>
      <c r="R88" s="22"/>
      <c r="S88" s="31">
        <f t="shared" si="27"/>
        <v>1</v>
      </c>
      <c r="T88" s="46" t="str">
        <f t="shared" si="28"/>
        <v>Southbound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2" t="str">
        <f t="shared" si="29"/>
        <v>https://d0f6bd738d7f1b3e5a7ca70fe4ff75f0.us-east-1.aws.found.io/app/kibana#/discover/Steve-Slow-Train-Analysis-(2080s-and-2083s)?_g=(refreshInterval:(display:Off,pause:!f,section:0,value:0),time:(from:'2017-04-12T12:49:30-0600',mode:absolute,to:'2017-04-12T15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8" s="183" t="str">
        <f t="shared" si="30"/>
        <v>N</v>
      </c>
      <c r="X88" s="183">
        <f t="shared" si="31"/>
        <v>1</v>
      </c>
      <c r="Y88" s="62">
        <f t="shared" si="32"/>
        <v>23.307600000000001</v>
      </c>
      <c r="Z88" s="62">
        <f t="shared" si="33"/>
        <v>1.49E-2</v>
      </c>
      <c r="AA88" s="62">
        <f t="shared" si="34"/>
        <v>23.2927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5"/>
        <v>0176-12</v>
      </c>
      <c r="AE88" s="85" t="str">
        <f t="shared" si="36"/>
        <v>aws s3 cp s3://rtdc.mdm.uploadarchive.raw/RTDC4053/ "%USERPROFILE%\AppData\Local\Temp\OnboardLogs"\RTDC4053\2017-04-12 --exclude "*" --recursive --include "*20170412*" &amp; "%USERPROFILE%\Documents\GitHub\mrs-test-scripts\Headless Mode &amp; Sideloading\WalkAndUnGZ.bat" "%USERPROFILE%\AppData\Local\Temp\OnboardLogs"\RTDC4053\2017-04-12 &amp; aws s3 cp s3://rtdc.mdm.uploadarchive.raw/RTDC4053/ "%USERPROFILE%\AppData\Local\Temp\OnboardLogs"\RTDC4053\2017-04-13 --exclude "*" --recursive --include "*20170413*" &amp; "%USERPROFILE%\Documents\GitHub\mrs-test-scripts\Headless Mode &amp; Sideloading\WalkAndUnGZ.bat" "%USERPROFILE%\AppData\Local\Temp\OnboardLogs"\RTDC4053\2017-04-13</v>
      </c>
      <c r="AF88" s="82" t="str">
        <f t="shared" si="37"/>
        <v>"C:\Program Files (x86)\AstroGrep\AstroGrep.exe" /e /r /s /spath="%USERPROFILE%\AppData\Local\Temp\OnboardLogs" /stypes="app*4053*20170412*" /stext=" 20:.+((SYSTEM_STATE.+slice.+state.+changed )|(ment ac)|(multiple cpu faults)|(system.+state.+changed )|(\[timeout)|(PRM\|1\|D)|(kpr)|(kdp)|(\|lc)|(penalty))"</v>
      </c>
      <c r="AG88" s="1" t="str">
        <f t="shared" si="38"/>
        <v>EC</v>
      </c>
      <c r="AH88" s="86" t="str">
        <f t="shared" si="40"/>
        <v>"%USERPROFILE%\Documents\GitHub\eaglep3\Utilities\RefineRTDCRunTimes.py" --tripid 176-12 --locoid 4053 --swversion DE.1.0.9.0 --startMP 204:233076 --initTime 2017-04-12T13:49:30 --startdatetime 2017-04-12T13:56:39 --delay 1 --endMP 204:149 --enddatetime 2017-04-12T14:35:55 --enforcementcount 0 &gt;&gt;C:\Users\stu\Documents\GitHub\eaglep3-reporting\EC\2017-04-12-refined-times.txt</v>
      </c>
      <c r="AI88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{"issue":{"subject":"","project_id":79,"tracker_id":40,"status_id":1,"priority_id":2,"assigned_to_id":23,"start_date":"2017-04-12","description":"","custom_fields":[{"id":1,"name":"Subdivision","value":"EC"},{"id":4,"name":"Milepost","value":"0.0149"},{"id":17,"name":"Train ID","value":"176-12"},{"id":16,"name":"Locomotive ID","value":"4053"},{"id":130,"name":"Impact","value":""},{"id":150,"name":"Time of Event (Mountain Time)","value":"14:35:55"},{"id":151,"name":"Denver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8"/>
      <c r="AL88" s="48"/>
      <c r="AM88" s="150" t="str">
        <f t="shared" si="42"/>
        <v>start /low /b %USERPROFILE%\Documents\GitHub\eaglep3\Utilities\DownloadLogsFromS3.py --loco 4053 --day 2017-04-12</v>
      </c>
      <c r="AN88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20:35:55"},{"id":29,"name":"Sharepoint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762</v>
      </c>
      <c r="B89" s="7">
        <v>4044</v>
      </c>
      <c r="C89" s="21" t="s">
        <v>214</v>
      </c>
      <c r="D89" s="21" t="s">
        <v>413</v>
      </c>
      <c r="E89" s="13">
        <v>42837.547303240739</v>
      </c>
      <c r="F89" s="13">
        <v>42837.552395833336</v>
      </c>
      <c r="G89" s="7">
        <v>1</v>
      </c>
      <c r="H89" s="21" t="s">
        <v>907</v>
      </c>
      <c r="I89" s="13">
        <v>42837.578310185185</v>
      </c>
      <c r="J89" s="7">
        <v>0</v>
      </c>
      <c r="K89" s="97" t="str">
        <f t="shared" si="25"/>
        <v>4043/4044</v>
      </c>
      <c r="L89" s="21" t="str">
        <f>VLOOKUP(A89,'Trips&amp;Operators'!$C$1:$G$99999,5,FALSE)</f>
        <v>GUZMAN DANNY</v>
      </c>
      <c r="M89" s="6">
        <f t="shared" si="26"/>
        <v>2.5914351848769002E-2</v>
      </c>
      <c r="N89" s="7">
        <f t="shared" si="39"/>
        <v>37.316666662227362</v>
      </c>
      <c r="O89" s="7"/>
      <c r="P89" s="7"/>
      <c r="Q89" s="22"/>
      <c r="R89" s="22"/>
      <c r="S89" s="31">
        <f t="shared" si="27"/>
        <v>1</v>
      </c>
      <c r="T89" s="46" t="str">
        <f t="shared" si="28"/>
        <v>NorthBound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 t="shared" si="29"/>
        <v>https://d0f6bd738d7f1b3e5a7ca70fe4ff75f0.us-east-1.aws.found.io/app/kibana#/discover/Steve-Slow-Train-Analysis-(2080s-and-2083s)?_g=(refreshInterval:(display:Off,pause:!f,section:0,value:0),time:(from:'2017-04-12T12:08:07-0600',mode:absolute,to:'2017-04-12T14:52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9" s="183" t="str">
        <f t="shared" si="30"/>
        <v>N</v>
      </c>
      <c r="X89" s="183">
        <f t="shared" si="31"/>
        <v>1</v>
      </c>
      <c r="Y89" s="62">
        <f t="shared" si="32"/>
        <v>4.4600000000000001E-2</v>
      </c>
      <c r="Z89" s="62">
        <f t="shared" si="33"/>
        <v>23.328800000000001</v>
      </c>
      <c r="AA89" s="62">
        <f t="shared" si="34"/>
        <v>23.284200000000002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5"/>
        <v>0177-12</v>
      </c>
      <c r="AE89" s="85" t="str">
        <f t="shared" si="36"/>
        <v>aws s3 cp s3://rtdc.mdm.uploadarchive.raw/RTDC4044/ "%USERPROFILE%\AppData\Local\Temp\OnboardLogs"\RTDC4044\2017-04-12 --exclude "*" --recursive --include "*20170412*" &amp; "%USERPROFILE%\Documents\GitHub\mrs-test-scripts\Headless Mode &amp; Sideloading\WalkAndUnGZ.bat" "%USERPROFILE%\AppData\Local\Temp\OnboardLogs"\RTDC4044\2017-04-12 &amp; aws s3 cp s3://rtdc.mdm.uploadarchive.raw/RTDC4044/ "%USERPROFILE%\AppData\Local\Temp\OnboardLogs"\RTDC4044\2017-04-13 --exclude "*" --recursive --include "*20170413*" &amp; "%USERPROFILE%\Documents\GitHub\mrs-test-scripts\Headless Mode &amp; Sideloading\WalkAndUnGZ.bat" "%USERPROFILE%\AppData\Local\Temp\OnboardLogs"\RTDC4044\2017-04-13</v>
      </c>
      <c r="AF89" s="82" t="str">
        <f t="shared" si="37"/>
        <v>"C:\Program Files (x86)\AstroGrep\AstroGrep.exe" /e /r /s /spath="%USERPROFILE%\AppData\Local\Temp\OnboardLogs" /stypes="app*4044*20170412*" /stext=" 19:.+((SYSTEM_STATE.+slice.+state.+changed )|(ment ac)|(multiple cpu faults)|(system.+state.+changed )|(\[timeout)|(PRM\|1\|D)|(kpr)|(kdp)|(\|lc)|(penalty))"</v>
      </c>
      <c r="AG89" s="1" t="str">
        <f t="shared" si="38"/>
        <v>EC</v>
      </c>
      <c r="AH89" s="86" t="str">
        <f t="shared" si="40"/>
        <v>"%USERPROFILE%\Documents\GitHub\eaglep3\Utilities\RefineRTDCRunTimes.py" --tripid 177-12 --locoid 4044 --swversion DE.1.0.9.0 --startMP 204:446 --initTime 2017-04-12T13:08:07 --startdatetime 2017-04-12T13:15:27 --delay 1 --endMP 204:233288 --enddatetime 2017-04-12T13:52:46 --enforcementcount 0 &gt;&gt;C:\Users\stu\Documents\GitHub\eaglep3-reporting\EC\2017-04-12-refined-times.txt</v>
      </c>
      <c r="AI89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{"issue":{"subject":"","project_id":79,"tracker_id":40,"status_id":1,"priority_id":2,"assigned_to_id":23,"start_date":"2017-04-12","description":"","custom_fields":[{"id":1,"name":"Subdivision","value":"EC"},{"id":4,"name":"Milepost","value":"23.3288"},{"id":17,"name":"Train ID","value":"177-12"},{"id":16,"name":"Locomotive ID","value":"4044"},{"id":130,"name":"Impact","value":""},{"id":150,"name":"Time of Event (Mountain Time)","value":"13:52:46"},{"id":151,"name":"Denver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8"/>
      <c r="AL89" s="48"/>
      <c r="AM89" s="150" t="str">
        <f t="shared" si="42"/>
        <v>start /low /b %USERPROFILE%\Documents\GitHub\eaglep3\Utilities\DownloadLogsFromS3.py --loco 4044 --day 2017-04-12</v>
      </c>
      <c r="AN89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19:52:46"},{"id":29,"name":"Sharepoint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770</v>
      </c>
      <c r="B90" s="7">
        <v>4043</v>
      </c>
      <c r="C90" s="21" t="s">
        <v>214</v>
      </c>
      <c r="D90" s="21" t="s">
        <v>877</v>
      </c>
      <c r="E90" s="13">
        <v>42837.58556712963</v>
      </c>
      <c r="F90" s="13">
        <v>42837.591203703705</v>
      </c>
      <c r="G90" s="7">
        <v>1</v>
      </c>
      <c r="H90" s="21" t="s">
        <v>504</v>
      </c>
      <c r="I90" s="13">
        <v>42837.61855324074</v>
      </c>
      <c r="J90" s="7">
        <v>0</v>
      </c>
      <c r="K90" s="97" t="str">
        <f t="shared" si="25"/>
        <v>4043/4044</v>
      </c>
      <c r="L90" s="21" t="str">
        <f>VLOOKUP(A90,'Trips&amp;Operators'!$C$1:$G$99999,5,FALSE)</f>
        <v>GUZMAN DANNY</v>
      </c>
      <c r="M90" s="6">
        <f t="shared" si="26"/>
        <v>2.7349537034751847E-2</v>
      </c>
      <c r="N90" s="7">
        <f t="shared" si="39"/>
        <v>39.38333333004266</v>
      </c>
      <c r="O90" s="7"/>
      <c r="P90" s="7"/>
      <c r="Q90" s="22"/>
      <c r="R90" s="22"/>
      <c r="S90" s="31">
        <f t="shared" si="27"/>
        <v>1</v>
      </c>
      <c r="T90" s="46" t="str">
        <f t="shared" si="28"/>
        <v>Southbound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 t="shared" si="29"/>
        <v>https://d0f6bd738d7f1b3e5a7ca70fe4ff75f0.us-east-1.aws.found.io/app/kibana#/discover/Steve-Slow-Train-Analysis-(2080s-and-2083s)?_g=(refreshInterval:(display:Off,pause:!f,section:0,value:0),time:(from:'2017-04-12T13:03:13-0600',mode:absolute,to:'2017-04-12T15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0" s="183" t="str">
        <f t="shared" si="30"/>
        <v>N</v>
      </c>
      <c r="X90" s="183">
        <f t="shared" si="31"/>
        <v>1</v>
      </c>
      <c r="Y90" s="62">
        <f t="shared" si="32"/>
        <v>23.296900000000001</v>
      </c>
      <c r="Z90" s="62">
        <f t="shared" si="33"/>
        <v>1.4999999999999999E-2</v>
      </c>
      <c r="AA90" s="62">
        <f t="shared" si="34"/>
        <v>23.2819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5"/>
        <v>0178-12</v>
      </c>
      <c r="AE90" s="85" t="str">
        <f t="shared" si="36"/>
        <v>aws s3 cp s3://rtdc.mdm.uploadarchive.raw/RTDC4043/ "%USERPROFILE%\AppData\Local\Temp\OnboardLogs"\RTDC4043\2017-04-12 --exclude "*" --recursive --include "*20170412*" &amp; "%USERPROFILE%\Documents\GitHub\mrs-test-scripts\Headless Mode &amp; Sideloading\WalkAndUnGZ.bat" "%USERPROFILE%\AppData\Local\Temp\OnboardLogs"\RTDC4043\2017-04-12 &amp; aws s3 cp s3://rtdc.mdm.uploadarchive.raw/RTDC4043/ "%USERPROFILE%\AppData\Local\Temp\OnboardLogs"\RTDC4043\2017-04-13 --exclude "*" --recursive --include "*20170413*" &amp; "%USERPROFILE%\Documents\GitHub\mrs-test-scripts\Headless Mode &amp; Sideloading\WalkAndUnGZ.bat" "%USERPROFILE%\AppData\Local\Temp\OnboardLogs"\RTDC4043\2017-04-13</v>
      </c>
      <c r="AF90" s="82" t="str">
        <f t="shared" si="37"/>
        <v>"C:\Program Files (x86)\AstroGrep\AstroGrep.exe" /e /r /s /spath="%USERPROFILE%\AppData\Local\Temp\OnboardLogs" /stypes="app*4043*20170412*" /stext=" 20:.+((SYSTEM_STATE.+slice.+state.+changed )|(ment ac)|(multiple cpu faults)|(system.+state.+changed )|(\[timeout)|(PRM\|1\|D)|(kpr)|(kdp)|(\|lc)|(penalty))"</v>
      </c>
      <c r="AG90" s="1" t="str">
        <f t="shared" si="38"/>
        <v>EC</v>
      </c>
      <c r="AH90" s="86" t="str">
        <f t="shared" si="40"/>
        <v>"%USERPROFILE%\Documents\GitHub\eaglep3\Utilities\RefineRTDCRunTimes.py" --tripid 178-12 --locoid 4043 --swversion DE.1.0.9.0 --startMP 204:232969 --initTime 2017-04-12T14:03:13 --startdatetime 2017-04-12T14:11:20 --delay 1 --endMP 204:150 --enddatetime 2017-04-12T14:50:43 --enforcementcount 0 &gt;&gt;C:\Users\stu\Documents\GitHub\eaglep3-reporting\EC\2017-04-12-refined-times.txt</v>
      </c>
      <c r="AI90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{"issue":{"subject":"","project_id":79,"tracker_id":40,"status_id":1,"priority_id":2,"assigned_to_id":23,"start_date":"2017-04-12","description":"","custom_fields":[{"id":1,"name":"Subdivision","value":"EC"},{"id":4,"name":"Milepost","value":"0.015"},{"id":17,"name":"Train ID","value":"178-12"},{"id":16,"name":"Locomotive ID","value":"4043"},{"id":130,"name":"Impact","value":""},{"id":150,"name":"Time of Event (Mountain Time)","value":"14:50:43"},{"id":151,"name":"Denver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8"/>
      <c r="AL90" s="48"/>
      <c r="AM90" s="150" t="str">
        <f t="shared" si="42"/>
        <v>start /low /b %USERPROFILE%\Documents\GitHub\eaglep3\Utilities\DownloadLogsFromS3.py --loco 4043 --day 2017-04-12</v>
      </c>
      <c r="AN90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20:50:43"},{"id":29,"name":"Sharepoint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764</v>
      </c>
      <c r="B91" s="7">
        <v>4012</v>
      </c>
      <c r="C91" s="21" t="s">
        <v>214</v>
      </c>
      <c r="D91" s="21" t="s">
        <v>210</v>
      </c>
      <c r="E91" s="13">
        <v>42837.558194444442</v>
      </c>
      <c r="F91" s="13">
        <v>42837.562719907408</v>
      </c>
      <c r="G91" s="7">
        <v>1</v>
      </c>
      <c r="H91" s="21" t="s">
        <v>457</v>
      </c>
      <c r="I91" s="13">
        <v>42837.588472222225</v>
      </c>
      <c r="J91" s="7">
        <v>0</v>
      </c>
      <c r="K91" s="97" t="str">
        <f t="shared" si="25"/>
        <v>4011/4012</v>
      </c>
      <c r="L91" s="21" t="str">
        <f>VLOOKUP(A91,'Trips&amp;Operators'!$C$1:$G$99999,5,FALSE)</f>
        <v>MENGES BRAD</v>
      </c>
      <c r="M91" s="6">
        <f t="shared" si="26"/>
        <v>2.5752314817509614E-2</v>
      </c>
      <c r="N91" s="7">
        <f t="shared" si="39"/>
        <v>37.083333337213844</v>
      </c>
      <c r="O91" s="7"/>
      <c r="P91" s="7"/>
      <c r="Q91" s="22"/>
      <c r="R91" s="22"/>
      <c r="S91" s="31">
        <f t="shared" si="27"/>
        <v>1</v>
      </c>
      <c r="T91" s="46" t="str">
        <f t="shared" si="28"/>
        <v>NorthBound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 t="shared" si="29"/>
        <v>https://d0f6bd738d7f1b3e5a7ca70fe4ff75f0.us-east-1.aws.found.io/app/kibana#/discover/Steve-Slow-Train-Analysis-(2080s-and-2083s)?_g=(refreshInterval:(display:Off,pause:!f,section:0,value:0),time:(from:'2017-04-12T12:23:48-0600',mode:absolute,to:'2017-04-12T15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1" s="183" t="str">
        <f t="shared" si="30"/>
        <v>N</v>
      </c>
      <c r="X91" s="183">
        <f t="shared" si="31"/>
        <v>1</v>
      </c>
      <c r="Y91" s="62">
        <f t="shared" si="32"/>
        <v>4.5499999999999999E-2</v>
      </c>
      <c r="Z91" s="62">
        <f t="shared" si="33"/>
        <v>23.33</v>
      </c>
      <c r="AA91" s="62">
        <f t="shared" si="34"/>
        <v>23.284499999999998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5"/>
        <v>0179-12</v>
      </c>
      <c r="AE91" s="85" t="str">
        <f t="shared" si="36"/>
        <v>aws s3 cp s3://rtdc.mdm.uploadarchive.raw/RTDC4012/ "%USERPROFILE%\AppData\Local\Temp\OnboardLogs"\RTDC4012\2017-04-12 --exclude "*" --recursive --include "*20170412*" &amp; "%USERPROFILE%\Documents\GitHub\mrs-test-scripts\Headless Mode &amp; Sideloading\WalkAndUnGZ.bat" "%USERPROFILE%\AppData\Local\Temp\OnboardLogs"\RTDC4012\2017-04-12 &amp; aws s3 cp s3://rtdc.mdm.uploadarchive.raw/RTDC4012/ "%USERPROFILE%\AppData\Local\Temp\OnboardLogs"\RTDC4012\2017-04-13 --exclude "*" --recursive --include "*20170413*" &amp; "%USERPROFILE%\Documents\GitHub\mrs-test-scripts\Headless Mode &amp; Sideloading\WalkAndUnGZ.bat" "%USERPROFILE%\AppData\Local\Temp\OnboardLogs"\RTDC4012\2017-04-13</v>
      </c>
      <c r="AF91" s="82" t="str">
        <f t="shared" si="37"/>
        <v>"C:\Program Files (x86)\AstroGrep\AstroGrep.exe" /e /r /s /spath="%USERPROFILE%\AppData\Local\Temp\OnboardLogs" /stypes="app*4012*20170412*" /stext=" 20:.+((SYSTEM_STATE.+slice.+state.+changed )|(ment ac)|(multiple cpu faults)|(system.+state.+changed )|(\[timeout)|(PRM\|1\|D)|(kpr)|(kdp)|(\|lc)|(penalty))"</v>
      </c>
      <c r="AG91" s="1" t="str">
        <f t="shared" si="38"/>
        <v>EC</v>
      </c>
      <c r="AH91" s="86" t="str">
        <f t="shared" si="40"/>
        <v>"%USERPROFILE%\Documents\GitHub\eaglep3\Utilities\RefineRTDCRunTimes.py" --tripid 179-12 --locoid 4012 --swversion DE.1.0.9.0 --startMP 204:455 --initTime 2017-04-12T13:23:48 --startdatetime 2017-04-12T13:30:19 --delay 1 --endMP 204:233300 --enddatetime 2017-04-12T14:07:24 --enforcementcount 0 &gt;&gt;C:\Users\stu\Documents\GitHub\eaglep3-reporting\EC\2017-04-12-refined-times.txt</v>
      </c>
      <c r="AI91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{"issue":{"subject":"","project_id":79,"tracker_id":40,"status_id":1,"priority_id":2,"assigned_to_id":23,"start_date":"2017-04-12","description":"","custom_fields":[{"id":1,"name":"Subdivision","value":"EC"},{"id":4,"name":"Milepost","value":"23.33"},{"id":17,"name":"Train ID","value":"179-12"},{"id":16,"name":"Locomotive ID","value":"4012"},{"id":130,"name":"Impact","value":""},{"id":150,"name":"Time of Event (Mountain Time)","value":"14:07:24"},{"id":151,"name":"Denver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8"/>
      <c r="AL91" s="48"/>
      <c r="AM91" s="150" t="str">
        <f t="shared" si="42"/>
        <v>start /low /b %USERPROFILE%\Documents\GitHub\eaglep3\Utilities\DownloadLogsFromS3.py --loco 4012 --day 2017-04-12</v>
      </c>
      <c r="AN91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20:07:24"},{"id":29,"name":"Sharepoint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773</v>
      </c>
      <c r="B92" s="7">
        <v>4011</v>
      </c>
      <c r="C92" s="21" t="s">
        <v>214</v>
      </c>
      <c r="D92" s="21" t="s">
        <v>908</v>
      </c>
      <c r="E92" s="13">
        <v>42837.599074074074</v>
      </c>
      <c r="F92" s="13">
        <v>42837.601840277777</v>
      </c>
      <c r="G92" s="7">
        <v>1</v>
      </c>
      <c r="H92" s="21" t="s">
        <v>540</v>
      </c>
      <c r="I92" s="13">
        <v>42837.628819444442</v>
      </c>
      <c r="J92" s="7">
        <v>0</v>
      </c>
      <c r="K92" s="97" t="str">
        <f t="shared" si="25"/>
        <v>4011/4012</v>
      </c>
      <c r="L92" s="21" t="str">
        <f>VLOOKUP(A92,'Trips&amp;Operators'!$C$1:$G$99999,5,FALSE)</f>
        <v>MENGES BRAD</v>
      </c>
      <c r="M92" s="6">
        <f t="shared" si="26"/>
        <v>2.6979166665114462E-2</v>
      </c>
      <c r="N92" s="7">
        <f t="shared" si="39"/>
        <v>38.849999997764826</v>
      </c>
      <c r="O92" s="7"/>
      <c r="P92" s="7"/>
      <c r="Q92" s="22"/>
      <c r="R92" s="22"/>
      <c r="S92" s="31">
        <f t="shared" si="27"/>
        <v>1</v>
      </c>
      <c r="T92" s="46" t="str">
        <f t="shared" si="28"/>
        <v>Southbound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 t="shared" si="29"/>
        <v>https://d0f6bd738d7f1b3e5a7ca70fe4ff75f0.us-east-1.aws.found.io/app/kibana#/discover/Steve-Slow-Train-Analysis-(2080s-and-2083s)?_g=(refreshInterval:(display:Off,pause:!f,section:0,value:0),time:(from:'2017-04-12T13:22:40-0600',mode:absolute,to:'2017-04-12T16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2" s="183" t="str">
        <f t="shared" si="30"/>
        <v>N</v>
      </c>
      <c r="X92" s="183">
        <f t="shared" si="31"/>
        <v>1</v>
      </c>
      <c r="Y92" s="62">
        <f t="shared" si="32"/>
        <v>23.298300000000001</v>
      </c>
      <c r="Z92" s="62">
        <f t="shared" si="33"/>
        <v>1.43E-2</v>
      </c>
      <c r="AA92" s="62">
        <f t="shared" si="34"/>
        <v>23.284000000000002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5"/>
        <v>0180-12</v>
      </c>
      <c r="AE92" s="85" t="str">
        <f t="shared" si="36"/>
        <v>aws s3 cp s3://rtdc.mdm.uploadarchive.raw/RTDC4011/ "%USERPROFILE%\AppData\Local\Temp\OnboardLogs"\RTDC4011\2017-04-12 --exclude "*" --recursive --include "*20170412*" &amp; "%USERPROFILE%\Documents\GitHub\mrs-test-scripts\Headless Mode &amp; Sideloading\WalkAndUnGZ.bat" "%USERPROFILE%\AppData\Local\Temp\OnboardLogs"\RTDC4011\2017-04-12 &amp; aws s3 cp s3://rtdc.mdm.uploadarchive.raw/RTDC4011/ "%USERPROFILE%\AppData\Local\Temp\OnboardLogs"\RTDC4011\2017-04-13 --exclude "*" --recursive --include "*20170413*" &amp; "%USERPROFILE%\Documents\GitHub\mrs-test-scripts\Headless Mode &amp; Sideloading\WalkAndUnGZ.bat" "%USERPROFILE%\AppData\Local\Temp\OnboardLogs"\RTDC4011\2017-04-13</v>
      </c>
      <c r="AF92" s="82" t="str">
        <f t="shared" si="37"/>
        <v>"C:\Program Files (x86)\AstroGrep\AstroGrep.exe" /e /r /s /spath="%USERPROFILE%\AppData\Local\Temp\OnboardLogs" /stypes="app*4011*20170412*" /stext=" 21:.+((SYSTEM_STATE.+slice.+state.+changed )|(ment ac)|(multiple cpu faults)|(system.+state.+changed )|(\[timeout)|(PRM\|1\|D)|(kpr)|(kdp)|(\|lc)|(penalty))"</v>
      </c>
      <c r="AG92" s="1" t="str">
        <f t="shared" si="38"/>
        <v>EC</v>
      </c>
      <c r="AH92" s="86" t="str">
        <f t="shared" si="40"/>
        <v>"%USERPROFILE%\Documents\GitHub\eaglep3\Utilities\RefineRTDCRunTimes.py" --tripid 180-12 --locoid 4011 --swversion DE.1.0.9.0 --startMP 204:232983 --initTime 2017-04-12T14:22:40 --startdatetime 2017-04-12T14:26:39 --delay 1 --endMP 204:143 --enddatetime 2017-04-12T15:05:30 --enforcementcount 0 &gt;&gt;C:\Users\stu\Documents\GitHub\eaglep3-reporting\EC\2017-04-12-refined-times.txt</v>
      </c>
      <c r="AI92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{"issue":{"subject":"","project_id":79,"tracker_id":40,"status_id":1,"priority_id":2,"assigned_to_id":23,"start_date":"2017-04-12","description":"","custom_fields":[{"id":1,"name":"Subdivision","value":"EC"},{"id":4,"name":"Milepost","value":"0.0143"},{"id":17,"name":"Train ID","value":"180-12"},{"id":16,"name":"Locomotive ID","value":"4011"},{"id":130,"name":"Impact","value":""},{"id":150,"name":"Time of Event (Mountain Time)","value":"15:05:30"},{"id":151,"name":"Denver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8"/>
      <c r="AL92" s="48"/>
      <c r="AM92" s="150" t="str">
        <f t="shared" si="42"/>
        <v>start /low /b %USERPROFILE%\Documents\GitHub\eaglep3\Utilities\DownloadLogsFromS3.py --loco 4011 --day 2017-04-12</v>
      </c>
      <c r="AN92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21:05:30"},{"id":29,"name":"Sharepoint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3" t="s">
        <v>767</v>
      </c>
      <c r="B93" s="7">
        <v>4042</v>
      </c>
      <c r="C93" s="21" t="s">
        <v>214</v>
      </c>
      <c r="D93" s="21" t="s">
        <v>416</v>
      </c>
      <c r="E93" s="13">
        <v>42837.569791666669</v>
      </c>
      <c r="F93" s="13">
        <v>42837.573078703703</v>
      </c>
      <c r="G93" s="7">
        <v>1</v>
      </c>
      <c r="H93" s="21" t="s">
        <v>582</v>
      </c>
      <c r="I93" s="13">
        <v>42837.598645833335</v>
      </c>
      <c r="J93" s="7">
        <v>0</v>
      </c>
      <c r="K93" s="97" t="str">
        <f t="shared" si="25"/>
        <v>4041/4042</v>
      </c>
      <c r="L93" s="21" t="str">
        <f>VLOOKUP(A93,'Trips&amp;Operators'!$C$1:$G$99999,5,FALSE)</f>
        <v>LOCKLEAR TRAVIS</v>
      </c>
      <c r="M93" s="6">
        <f t="shared" si="26"/>
        <v>2.5567129632690921E-2</v>
      </c>
      <c r="N93" s="7">
        <f t="shared" si="39"/>
        <v>36.816666671074927</v>
      </c>
      <c r="O93" s="7"/>
      <c r="P93" s="7"/>
      <c r="Q93" s="22"/>
      <c r="R93" s="22"/>
      <c r="S93" s="31">
        <f t="shared" si="27"/>
        <v>1</v>
      </c>
      <c r="T93" s="46" t="str">
        <f t="shared" si="28"/>
        <v>NorthBound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 t="shared" si="29"/>
        <v>https://d0f6bd738d7f1b3e5a7ca70fe4ff75f0.us-east-1.aws.found.io/app/kibana#/discover/Steve-Slow-Train-Analysis-(2080s-and-2083s)?_g=(refreshInterval:(display:Off,pause:!f,section:0,value:0),time:(from:'2017-04-12T12:40:30-0600',mode:absolute,to:'2017-04-12T15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3" s="183" t="str">
        <f t="shared" si="30"/>
        <v>N</v>
      </c>
      <c r="X93" s="183">
        <f t="shared" si="31"/>
        <v>1</v>
      </c>
      <c r="Y93" s="62">
        <f t="shared" si="32"/>
        <v>4.7100000000000003E-2</v>
      </c>
      <c r="Z93" s="62">
        <f t="shared" si="33"/>
        <v>23.334099999999999</v>
      </c>
      <c r="AA93" s="62">
        <f t="shared" si="34"/>
        <v>23.286999999999999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5"/>
        <v>0181-12</v>
      </c>
      <c r="AE93" s="85" t="str">
        <f t="shared" si="36"/>
        <v>aws s3 cp s3://rtdc.mdm.uploadarchive.raw/RTDC4042/ "%USERPROFILE%\AppData\Local\Temp\OnboardLogs"\RTDC4042\2017-04-12 --exclude "*" --recursive --include "*20170412*" &amp; "%USERPROFILE%\Documents\GitHub\mrs-test-scripts\Headless Mode &amp; Sideloading\WalkAndUnGZ.bat" "%USERPROFILE%\AppData\Local\Temp\OnboardLogs"\RTDC4042\2017-04-12 &amp; aws s3 cp s3://rtdc.mdm.uploadarchive.raw/RTDC4042/ "%USERPROFILE%\AppData\Local\Temp\OnboardLogs"\RTDC4042\2017-04-13 --exclude "*" --recursive --include "*20170413*" &amp; "%USERPROFILE%\Documents\GitHub\mrs-test-scripts\Headless Mode &amp; Sideloading\WalkAndUnGZ.bat" "%USERPROFILE%\AppData\Local\Temp\OnboardLogs"\RTDC4042\2017-04-13</v>
      </c>
      <c r="AF93" s="82" t="str">
        <f t="shared" si="37"/>
        <v>"C:\Program Files (x86)\AstroGrep\AstroGrep.exe" /e /r /s /spath="%USERPROFILE%\AppData\Local\Temp\OnboardLogs" /stypes="app*4042*20170412*" /stext=" 20:.+((SYSTEM_STATE.+slice.+state.+changed )|(ment ac)|(multiple cpu faults)|(system.+state.+changed )|(\[timeout)|(PRM\|1\|D)|(kpr)|(kdp)|(\|lc)|(penalty))"</v>
      </c>
      <c r="AG93" s="1" t="str">
        <f t="shared" si="38"/>
        <v>EC</v>
      </c>
      <c r="AH93" s="86" t="str">
        <f t="shared" si="40"/>
        <v>"%USERPROFILE%\Documents\GitHub\eaglep3\Utilities\RefineRTDCRunTimes.py" --tripid 181-12 --locoid 4042 --swversion DE.1.0.9.0 --startMP 204:471 --initTime 2017-04-12T13:40:30 --startdatetime 2017-04-12T13:45:14 --delay 1 --endMP 204:233341 --enddatetime 2017-04-12T14:22:03 --enforcementcount 0 &gt;&gt;C:\Users\stu\Documents\GitHub\eaglep3-reporting\EC\2017-04-12-refined-times.txt</v>
      </c>
      <c r="AI93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{"issue":{"subject":"","project_id":79,"tracker_id":40,"status_id":1,"priority_id":2,"assigned_to_id":23,"start_date":"2017-04-12","description":"","custom_fields":[{"id":1,"name":"Subdivision","value":"EC"},{"id":4,"name":"Milepost","value":"23.3341"},{"id":17,"name":"Train ID","value":"181-12"},{"id":16,"name":"Locomotive ID","value":"4042"},{"id":130,"name":"Impact","value":""},{"id":150,"name":"Time of Event (Mountain Time)","value":"14:22:03"},{"id":151,"name":"Denver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8"/>
      <c r="AL93" s="48"/>
      <c r="AM93" s="150" t="str">
        <f t="shared" si="42"/>
        <v>start /low /b %USERPROFILE%\Documents\GitHub\eaglep3\Utilities\DownloadLogsFromS3.py --loco 4042 --day 2017-04-12</v>
      </c>
      <c r="AN93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20:22:03"},{"id":29,"name":"Sharepoint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4" spans="1:91" s="20" customFormat="1" x14ac:dyDescent="0.25">
      <c r="A94" s="33" t="s">
        <v>640</v>
      </c>
      <c r="B94" s="7">
        <v>4041</v>
      </c>
      <c r="C94" s="21" t="s">
        <v>214</v>
      </c>
      <c r="D94" s="21" t="s">
        <v>583</v>
      </c>
      <c r="E94" s="13">
        <v>42837.610011574077</v>
      </c>
      <c r="F94" s="13">
        <v>42837.611944444441</v>
      </c>
      <c r="G94" s="7">
        <v>1</v>
      </c>
      <c r="H94" s="21" t="s">
        <v>909</v>
      </c>
      <c r="I94" s="13">
        <v>42837.639502314814</v>
      </c>
      <c r="J94" s="7">
        <v>0</v>
      </c>
      <c r="K94" s="97" t="str">
        <f t="shared" si="25"/>
        <v>4041/4042</v>
      </c>
      <c r="L94" s="21" t="str">
        <f>VLOOKUP(A94,'Trips&amp;Operators'!$C$1:$G$99999,5,FALSE)</f>
        <v>LOCKLEAR TRAVIS</v>
      </c>
      <c r="M94" s="6">
        <f t="shared" si="26"/>
        <v>2.7557870373129845E-2</v>
      </c>
      <c r="N94" s="7">
        <f t="shared" si="39"/>
        <v>39.683333337306976</v>
      </c>
      <c r="O94" s="7"/>
      <c r="P94" s="7"/>
      <c r="Q94" s="22"/>
      <c r="R94" s="22"/>
      <c r="S94" s="31">
        <f t="shared" si="27"/>
        <v>1</v>
      </c>
      <c r="T94" s="46" t="str">
        <f t="shared" si="28"/>
        <v>Southbound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 t="shared" si="29"/>
        <v>https://d0f6bd738d7f1b3e5a7ca70fe4ff75f0.us-east-1.aws.found.io/app/kibana#/discover/Steve-Slow-Train-Analysis-(2080s-and-2083s)?_g=(refreshInterval:(display:Off,pause:!f,section:0,value:0),time:(from:'2017-04-12T13:38:25-0600',mode:absolute,to:'2017-04-12T16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4" s="183" t="str">
        <f t="shared" si="30"/>
        <v>N</v>
      </c>
      <c r="X94" s="183">
        <f t="shared" si="31"/>
        <v>1</v>
      </c>
      <c r="Y94" s="62">
        <f t="shared" si="32"/>
        <v>23.301100000000002</v>
      </c>
      <c r="Z94" s="62">
        <f t="shared" si="33"/>
        <v>1.72E-2</v>
      </c>
      <c r="AA94" s="62">
        <f t="shared" si="34"/>
        <v>23.283900000000003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5"/>
        <v>0182-12</v>
      </c>
      <c r="AE94" s="85" t="str">
        <f t="shared" si="36"/>
        <v>aws s3 cp s3://rtdc.mdm.uploadarchive.raw/RTDC4041/ "%USERPROFILE%\AppData\Local\Temp\OnboardLogs"\RTDC4041\2017-04-12 --exclude "*" --recursive --include "*20170412*" &amp; "%USERPROFILE%\Documents\GitHub\mrs-test-scripts\Headless Mode &amp; Sideloading\WalkAndUnGZ.bat" "%USERPROFILE%\AppData\Local\Temp\OnboardLogs"\RTDC4041\2017-04-12 &amp; aws s3 cp s3://rtdc.mdm.uploadarchive.raw/RTDC4041/ "%USERPROFILE%\AppData\Local\Temp\OnboardLogs"\RTDC4041\2017-04-13 --exclude "*" --recursive --include "*20170413*" &amp; "%USERPROFILE%\Documents\GitHub\mrs-test-scripts\Headless Mode &amp; Sideloading\WalkAndUnGZ.bat" "%USERPROFILE%\AppData\Local\Temp\OnboardLogs"\RTDC4041\2017-04-13</v>
      </c>
      <c r="AF94" s="82" t="str">
        <f t="shared" si="37"/>
        <v>"C:\Program Files (x86)\AstroGrep\AstroGrep.exe" /e /r /s /spath="%USERPROFILE%\AppData\Local\Temp\OnboardLogs" /stypes="app*4041*20170412*" /stext=" 21:.+((SYSTEM_STATE.+slice.+state.+changed )|(ment ac)|(multiple cpu faults)|(system.+state.+changed )|(\[timeout)|(PRM\|1\|D)|(kpr)|(kdp)|(\|lc)|(penalty))"</v>
      </c>
      <c r="AG94" s="1" t="str">
        <f t="shared" si="38"/>
        <v>EC</v>
      </c>
      <c r="AH94" s="86" t="str">
        <f t="shared" si="40"/>
        <v>"%USERPROFILE%\Documents\GitHub\eaglep3\Utilities\RefineRTDCRunTimes.py" --tripid 182-12 --locoid 4041 --swversion DE.1.0.9.0 --startMP 204:233011 --initTime 2017-04-12T14:38:25 --startdatetime 2017-04-12T14:41:12 --delay 1 --endMP 204:172 --enddatetime 2017-04-12T15:20:53 --enforcementcount 0 &gt;&gt;C:\Users\stu\Documents\GitHub\eaglep3-reporting\EC\2017-04-12-refined-times.txt</v>
      </c>
      <c r="AI94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{"issue":{"subject":"","project_id":79,"tracker_id":40,"status_id":1,"priority_id":2,"assigned_to_id":23,"start_date":"2017-04-12","description":"","custom_fields":[{"id":1,"name":"Subdivision","value":"EC"},{"id":4,"name":"Milepost","value":"0.0172"},{"id":17,"name":"Train ID","value":"182-12"},{"id":16,"name":"Locomotive ID","value":"4041"},{"id":130,"name":"Impact","value":""},{"id":150,"name":"Time of Event (Mountain Time)","value":"15:20:53"},{"id":151,"name":"Denver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8"/>
      <c r="AL94" s="48"/>
      <c r="AM94" s="150" t="str">
        <f t="shared" si="42"/>
        <v>start /low /b %USERPROFILE%\Documents\GitHub\eaglep3\Utilities\DownloadLogsFromS3.py --loco 4041 --day 2017-04-12</v>
      </c>
      <c r="AN94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21:20:53"},{"id":29,"name":"Sharepoint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769</v>
      </c>
      <c r="B95" s="7">
        <v>4020</v>
      </c>
      <c r="C95" s="21" t="s">
        <v>214</v>
      </c>
      <c r="D95" s="21" t="s">
        <v>910</v>
      </c>
      <c r="E95" s="13">
        <v>42837.579826388886</v>
      </c>
      <c r="F95" s="13">
        <v>42837.583541666667</v>
      </c>
      <c r="G95" s="7">
        <v>1</v>
      </c>
      <c r="H95" s="21" t="s">
        <v>586</v>
      </c>
      <c r="I95" s="13">
        <v>42837.608275462961</v>
      </c>
      <c r="J95" s="7">
        <v>0</v>
      </c>
      <c r="K95" s="97" t="str">
        <f t="shared" si="25"/>
        <v>4019/4020</v>
      </c>
      <c r="L95" s="21" t="str">
        <f>VLOOKUP(A95,'Trips&amp;Operators'!$C$1:$G$99999,5,FALSE)</f>
        <v>LEVIN SCOTT</v>
      </c>
      <c r="M95" s="6">
        <f t="shared" si="26"/>
        <v>2.4733796293730848E-2</v>
      </c>
      <c r="N95" s="7">
        <f t="shared" si="39"/>
        <v>35.61666666297242</v>
      </c>
      <c r="O95" s="7"/>
      <c r="P95" s="7"/>
      <c r="Q95" s="22"/>
      <c r="R95" s="22"/>
      <c r="S95" s="31">
        <f t="shared" si="27"/>
        <v>1</v>
      </c>
      <c r="T95" s="46" t="str">
        <f t="shared" si="28"/>
        <v>NorthBound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 t="shared" si="29"/>
        <v>https://d0f6bd738d7f1b3e5a7ca70fe4ff75f0.us-east-1.aws.found.io/app/kibana#/discover/Steve-Slow-Train-Analysis-(2080s-and-2083s)?_g=(refreshInterval:(display:Off,pause:!f,section:0,value:0),time:(from:'2017-04-12T12:54:57-0600',mode:absolute,to:'2017-04-12T15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5" s="183" t="str">
        <f t="shared" si="30"/>
        <v>N</v>
      </c>
      <c r="X95" s="183">
        <f t="shared" si="31"/>
        <v>1</v>
      </c>
      <c r="Y95" s="62">
        <f t="shared" si="32"/>
        <v>4.24E-2</v>
      </c>
      <c r="Z95" s="62">
        <f t="shared" si="33"/>
        <v>23.339099999999998</v>
      </c>
      <c r="AA95" s="62">
        <f t="shared" si="34"/>
        <v>23.296699999999998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5"/>
        <v>0183-12</v>
      </c>
      <c r="AE95" s="85" t="str">
        <f t="shared" si="36"/>
        <v>aws s3 cp s3://rtdc.mdm.uploadarchive.raw/RTDC4020/ "%USERPROFILE%\AppData\Local\Temp\OnboardLogs"\RTDC4020\2017-04-12 --exclude "*" --recursive --include "*20170412*" &amp; "%USERPROFILE%\Documents\GitHub\mrs-test-scripts\Headless Mode &amp; Sideloading\WalkAndUnGZ.bat" "%USERPROFILE%\AppData\Local\Temp\OnboardLogs"\RTDC4020\2017-04-12 &amp; aws s3 cp s3://rtdc.mdm.uploadarchive.raw/RTDC4020/ "%USERPROFILE%\AppData\Local\Temp\OnboardLogs"\RTDC4020\2017-04-13 --exclude "*" --recursive --include "*20170413*" &amp; "%USERPROFILE%\Documents\GitHub\mrs-test-scripts\Headless Mode &amp; Sideloading\WalkAndUnGZ.bat" "%USERPROFILE%\AppData\Local\Temp\OnboardLogs"\RTDC4020\2017-04-13</v>
      </c>
      <c r="AF95" s="82" t="str">
        <f t="shared" si="37"/>
        <v>"C:\Program Files (x86)\AstroGrep\AstroGrep.exe" /e /r /s /spath="%USERPROFILE%\AppData\Local\Temp\OnboardLogs" /stypes="app*4020*20170412*" /stext=" 20:.+((SYSTEM_STATE.+slice.+state.+changed )|(ment ac)|(multiple cpu faults)|(system.+state.+changed )|(\[timeout)|(PRM\|1\|D)|(kpr)|(kdp)|(\|lc)|(penalty))"</v>
      </c>
      <c r="AG95" s="1" t="str">
        <f t="shared" si="38"/>
        <v>EC</v>
      </c>
      <c r="AH95" s="86" t="str">
        <f t="shared" si="40"/>
        <v>"%USERPROFILE%\Documents\GitHub\eaglep3\Utilities\RefineRTDCRunTimes.py" --tripid 183-12 --locoid 4020 --swversion DE.1.0.9.0 --startMP 204:424 --initTime 2017-04-12T13:54:57 --startdatetime 2017-04-12T14:00:18 --delay 1 --endMP 204:233391 --enddatetime 2017-04-12T14:35:55 --enforcementcount 0 &gt;&gt;C:\Users\stu\Documents\GitHub\eaglep3-reporting\EC\2017-04-12-refined-times.txt</v>
      </c>
      <c r="AI95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{"issue":{"subject":"","project_id":79,"tracker_id":40,"status_id":1,"priority_id":2,"assigned_to_id":23,"start_date":"2017-04-12","description":"","custom_fields":[{"id":1,"name":"Subdivision","value":"EC"},{"id":4,"name":"Milepost","value":"23.3391"},{"id":17,"name":"Train ID","value":"183-12"},{"id":16,"name":"Locomotive ID","value":"4020"},{"id":130,"name":"Impact","value":""},{"id":150,"name":"Time of Event (Mountain Time)","value":"14:35:55"},{"id":151,"name":"Denver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8"/>
      <c r="AL95" s="48"/>
      <c r="AM95" s="150" t="str">
        <f t="shared" si="42"/>
        <v>start /low /b %USERPROFILE%\Documents\GitHub\eaglep3\Utilities\DownloadLogsFromS3.py --loco 4020 --day 2017-04-12</v>
      </c>
      <c r="AN95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20:35:55"},{"id":29,"name":"Sharepoint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641</v>
      </c>
      <c r="B96" s="7">
        <v>4019</v>
      </c>
      <c r="C96" s="21" t="s">
        <v>214</v>
      </c>
      <c r="D96" s="21" t="s">
        <v>911</v>
      </c>
      <c r="E96" s="13">
        <v>42837.615185185183</v>
      </c>
      <c r="F96" s="13">
        <v>42837.622499999998</v>
      </c>
      <c r="G96" s="7">
        <v>1</v>
      </c>
      <c r="H96" s="21" t="s">
        <v>912</v>
      </c>
      <c r="I96" s="13">
        <v>42837.64912037037</v>
      </c>
      <c r="J96" s="7">
        <v>0</v>
      </c>
      <c r="K96" s="97" t="str">
        <f t="shared" si="25"/>
        <v>4019/4020</v>
      </c>
      <c r="L96" s="21" t="str">
        <f>VLOOKUP(A96,'Trips&amp;Operators'!$C$1:$G$99999,5,FALSE)</f>
        <v>LEVIN SCOTT</v>
      </c>
      <c r="M96" s="6">
        <f t="shared" si="26"/>
        <v>2.662037037225673E-2</v>
      </c>
      <c r="N96" s="7">
        <f t="shared" si="39"/>
        <v>38.333333336049691</v>
      </c>
      <c r="O96" s="7"/>
      <c r="P96" s="7"/>
      <c r="Q96" s="22"/>
      <c r="R96" s="22"/>
      <c r="S96" s="31">
        <f t="shared" si="27"/>
        <v>1</v>
      </c>
      <c r="T96" s="46" t="str">
        <f t="shared" si="28"/>
        <v>Southbound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 t="shared" si="29"/>
        <v>https://d0f6bd738d7f1b3e5a7ca70fe4ff75f0.us-east-1.aws.found.io/app/kibana#/discover/Steve-Slow-Train-Analysis-(2080s-and-2083s)?_g=(refreshInterval:(display:Off,pause:!f,section:0,value:0),time:(from:'2017-04-12T13:45:52-0600',mode:absolute,to:'2017-04-12T16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6" s="183" t="str">
        <f t="shared" si="30"/>
        <v>N</v>
      </c>
      <c r="X96" s="183">
        <f t="shared" si="31"/>
        <v>1</v>
      </c>
      <c r="Y96" s="62">
        <f t="shared" si="32"/>
        <v>23.3079</v>
      </c>
      <c r="Z96" s="62">
        <f t="shared" si="33"/>
        <v>1.23E-2</v>
      </c>
      <c r="AA96" s="62">
        <f t="shared" si="34"/>
        <v>23.2956</v>
      </c>
      <c r="AB96" s="59" t="str">
        <f>VLOOKUP(A96,Enforcements!$C$7:$K$13,8,0)</f>
        <v>Bulletin (2)</v>
      </c>
      <c r="AC96" s="55" t="str">
        <f>VLOOKUP(A96,Enforcements!$C$7:$E$13,3,0)</f>
        <v>GRADE CROSSING</v>
      </c>
      <c r="AD96" s="56" t="str">
        <f t="shared" si="35"/>
        <v>0184-12</v>
      </c>
      <c r="AE96" s="85" t="str">
        <f t="shared" si="36"/>
        <v>aws s3 cp s3://rtdc.mdm.uploadarchive.raw/RTDC4019/ "%USERPROFILE%\AppData\Local\Temp\OnboardLogs"\RTDC4019\2017-04-12 --exclude "*" --recursive --include "*20170412*" &amp; "%USERPROFILE%\Documents\GitHub\mrs-test-scripts\Headless Mode &amp; Sideloading\WalkAndUnGZ.bat" "%USERPROFILE%\AppData\Local\Temp\OnboardLogs"\RTDC4019\2017-04-12 &amp; aws s3 cp s3://rtdc.mdm.uploadarchive.raw/RTDC4019/ "%USERPROFILE%\AppData\Local\Temp\OnboardLogs"\RTDC4019\2017-04-13 --exclude "*" --recursive --include "*20170413*" &amp; "%USERPROFILE%\Documents\GitHub\mrs-test-scripts\Headless Mode &amp; Sideloading\WalkAndUnGZ.bat" "%USERPROFILE%\AppData\Local\Temp\OnboardLogs"\RTDC4019\2017-04-13</v>
      </c>
      <c r="AF96" s="82" t="str">
        <f t="shared" si="37"/>
        <v>"C:\Program Files (x86)\AstroGrep\AstroGrep.exe" /e /r /s /spath="%USERPROFILE%\AppData\Local\Temp\OnboardLogs" /stypes="app*4019*20170412*" /stext=" 21:.+((SYSTEM_STATE.+slice.+state.+changed )|(ment ac)|(multiple cpu faults)|(system.+state.+changed )|(\[timeout)|(PRM\|1\|D)|(kpr)|(kdp)|(\|lc)|(penalty))"</v>
      </c>
      <c r="AG96" s="1" t="str">
        <f t="shared" si="38"/>
        <v>EC</v>
      </c>
      <c r="AH96" s="86" t="str">
        <f t="shared" si="40"/>
        <v>"%USERPROFILE%\Documents\GitHub\eaglep3\Utilities\RefineRTDCRunTimes.py" --tripid 184-12 --locoid 4019 --swversion DE.1.0.9.0 --startMP 204:233079 --initTime 2017-04-12T14:45:52 --startdatetime 2017-04-12T14:56:24 --delay 1 --endMP 204:123 --enddatetime 2017-04-12T15:34:44 --enforcementcount 0 &gt;&gt;C:\Users\stu\Documents\GitHub\eaglep3-reporting\EC\2017-04-12-refined-times.txt</v>
      </c>
      <c r="AI96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{"issue":{"subject":"","project_id":79,"tracker_id":40,"status_id":1,"priority_id":2,"assigned_to_id":23,"start_date":"2017-04-12","description":"","custom_fields":[{"id":1,"name":"Subdivision","value":"EC"},{"id":4,"name":"Milepost","value":"0.0123"},{"id":17,"name":"Train ID","value":"184-12"},{"id":16,"name":"Locomotive ID","value":"4019"},{"id":130,"name":"Impact","value":""},{"id":150,"name":"Time of Event (Mountain Time)","value":"15:34:44"},{"id":151,"name":"Denver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8"/>
      <c r="AL96" s="48"/>
      <c r="AM96" s="150" t="str">
        <f t="shared" si="42"/>
        <v>start /low /b %USERPROFILE%\Documents\GitHub\eaglep3\Utilities\DownloadLogsFromS3.py --loco 4019 --day 2017-04-12</v>
      </c>
      <c r="AN96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21:34:44"},{"id":29,"name":"Sharepoint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771</v>
      </c>
      <c r="B97" s="7">
        <v>4040</v>
      </c>
      <c r="C97" s="21" t="s">
        <v>214</v>
      </c>
      <c r="D97" s="21" t="s">
        <v>206</v>
      </c>
      <c r="E97" s="13">
        <v>42837.589479166665</v>
      </c>
      <c r="F97" s="13">
        <v>42837.594166666669</v>
      </c>
      <c r="G97" s="7">
        <v>1</v>
      </c>
      <c r="H97" s="21" t="s">
        <v>913</v>
      </c>
      <c r="I97" s="13">
        <v>42837.620821759258</v>
      </c>
      <c r="J97" s="7">
        <v>0</v>
      </c>
      <c r="K97" s="97" t="str">
        <f t="shared" si="25"/>
        <v>4039/4040</v>
      </c>
      <c r="L97" s="21" t="str">
        <f>VLOOKUP(A97,'Trips&amp;Operators'!$C$1:$G$99999,5,FALSE)</f>
        <v>STRICKLAND EVAN</v>
      </c>
      <c r="M97" s="6">
        <f t="shared" si="26"/>
        <v>2.6655092588043772E-2</v>
      </c>
      <c r="N97" s="7">
        <f t="shared" si="39"/>
        <v>38.383333326783031</v>
      </c>
      <c r="O97" s="7"/>
      <c r="P97" s="7"/>
      <c r="Q97" s="22"/>
      <c r="R97" s="22"/>
      <c r="S97" s="31">
        <f t="shared" si="27"/>
        <v>1</v>
      </c>
      <c r="T97" s="46" t="str">
        <f t="shared" si="28"/>
        <v>NorthBound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 t="shared" si="29"/>
        <v>https://d0f6bd738d7f1b3e5a7ca70fe4ff75f0.us-east-1.aws.found.io/app/kibana#/discover/Steve-Slow-Train-Analysis-(2080s-and-2083s)?_g=(refreshInterval:(display:Off,pause:!f,section:0,value:0),time:(from:'2017-04-12T13:08:51-0600',mode:absolute,to:'2017-04-12T15:53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7" s="183" t="str">
        <f t="shared" si="30"/>
        <v>N</v>
      </c>
      <c r="X97" s="183">
        <f t="shared" si="31"/>
        <v>1</v>
      </c>
      <c r="Y97" s="62">
        <f t="shared" si="32"/>
        <v>4.5999999999999999E-2</v>
      </c>
      <c r="Z97" s="62">
        <f t="shared" si="33"/>
        <v>23.3447</v>
      </c>
      <c r="AA97" s="62">
        <f t="shared" si="34"/>
        <v>23.2987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5"/>
        <v>0185-12</v>
      </c>
      <c r="AE97" s="85" t="str">
        <f t="shared" si="36"/>
        <v>aws s3 cp s3://rtdc.mdm.uploadarchive.raw/RTDC4040/ "%USERPROFILE%\AppData\Local\Temp\OnboardLogs"\RTDC4040\2017-04-12 --exclude "*" --recursive --include "*20170412*" &amp; "%USERPROFILE%\Documents\GitHub\mrs-test-scripts\Headless Mode &amp; Sideloading\WalkAndUnGZ.bat" "%USERPROFILE%\AppData\Local\Temp\OnboardLogs"\RTDC4040\2017-04-12 &amp; aws s3 cp s3://rtdc.mdm.uploadarchive.raw/RTDC4040/ "%USERPROFILE%\AppData\Local\Temp\OnboardLogs"\RTDC4040\2017-04-13 --exclude "*" --recursive --include "*20170413*" &amp; "%USERPROFILE%\Documents\GitHub\mrs-test-scripts\Headless Mode &amp; Sideloading\WalkAndUnGZ.bat" "%USERPROFILE%\AppData\Local\Temp\OnboardLogs"\RTDC4040\2017-04-13</v>
      </c>
      <c r="AF97" s="82" t="str">
        <f t="shared" si="37"/>
        <v>"C:\Program Files (x86)\AstroGrep\AstroGrep.exe" /e /r /s /spath="%USERPROFILE%\AppData\Local\Temp\OnboardLogs" /stypes="app*4040*20170412*" /stext=" 20:.+((SYSTEM_STATE.+slice.+state.+changed )|(ment ac)|(multiple cpu faults)|(system.+state.+changed )|(\[timeout)|(PRM\|1\|D)|(kpr)|(kdp)|(\|lc)|(penalty))"</v>
      </c>
      <c r="AG97" s="1" t="str">
        <f t="shared" si="38"/>
        <v>EC</v>
      </c>
      <c r="AH97" s="86" t="str">
        <f t="shared" si="40"/>
        <v>"%USERPROFILE%\Documents\GitHub\eaglep3\Utilities\RefineRTDCRunTimes.py" --tripid 185-12 --locoid 4040 --swversion DE.1.0.9.0 --startMP 204:460 --initTime 2017-04-12T14:08:51 --startdatetime 2017-04-12T14:15:36 --delay 1 --endMP 204:233447 --enddatetime 2017-04-12T14:53:59 --enforcementcount 0 &gt;&gt;C:\Users\stu\Documents\GitHub\eaglep3-reporting\EC\2017-04-12-refined-times.txt</v>
      </c>
      <c r="AI97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{"issue":{"subject":"","project_id":79,"tracker_id":40,"status_id":1,"priority_id":2,"assigned_to_id":23,"start_date":"2017-04-12","description":"","custom_fields":[{"id":1,"name":"Subdivision","value":"EC"},{"id":4,"name":"Milepost","value":"23.3447"},{"id":17,"name":"Train ID","value":"185-12"},{"id":16,"name":"Locomotive ID","value":"4040"},{"id":130,"name":"Impact","value":""},{"id":150,"name":"Time of Event (Mountain Time)","value":"14:53:59"},{"id":151,"name":"Denver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8"/>
      <c r="AL97" s="48"/>
      <c r="AM97" s="150" t="str">
        <f t="shared" si="42"/>
        <v>start /low /b %USERPROFILE%\Documents\GitHub\eaglep3\Utilities\DownloadLogsFromS3.py --loco 4040 --day 2017-04-12</v>
      </c>
      <c r="AN97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20:53:59"},{"id":29,"name":"Sharepoint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642</v>
      </c>
      <c r="B98" s="7">
        <v>4039</v>
      </c>
      <c r="C98" s="21" t="s">
        <v>214</v>
      </c>
      <c r="D98" s="21" t="s">
        <v>906</v>
      </c>
      <c r="E98" s="13">
        <v>42837.622604166667</v>
      </c>
      <c r="F98" s="13">
        <v>42837.632974537039</v>
      </c>
      <c r="G98" s="7">
        <v>1</v>
      </c>
      <c r="H98" s="21" t="s">
        <v>203</v>
      </c>
      <c r="I98" s="13">
        <v>42837.661527777775</v>
      </c>
      <c r="J98" s="7">
        <v>0</v>
      </c>
      <c r="K98" s="97" t="str">
        <f t="shared" si="25"/>
        <v>4039/4040</v>
      </c>
      <c r="L98" s="21" t="str">
        <f>VLOOKUP(A98,'Trips&amp;Operators'!$C$1:$G$99999,5,FALSE)</f>
        <v>STRICKLAND EVAN</v>
      </c>
      <c r="M98" s="6">
        <f t="shared" si="26"/>
        <v>2.8553240736073349E-2</v>
      </c>
      <c r="N98" s="7">
        <f t="shared" si="39"/>
        <v>41.116666659945622</v>
      </c>
      <c r="O98" s="7"/>
      <c r="P98" s="7"/>
      <c r="Q98" s="22"/>
      <c r="R98" s="22"/>
      <c r="S98" s="31">
        <f t="shared" si="27"/>
        <v>1</v>
      </c>
      <c r="T98" s="46" t="str">
        <f t="shared" si="28"/>
        <v>Southbound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 t="shared" si="29"/>
        <v>https://d0f6bd738d7f1b3e5a7ca70fe4ff75f0.us-east-1.aws.found.io/app/kibana#/discover/Steve-Slow-Train-Analysis-(2080s-and-2083s)?_g=(refreshInterval:(display:Off,pause:!f,section:0,value:0),time:(from:'2017-04-12T13:56:33-0600',mode:absolute,to:'2017-04-12T16:52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8" s="183" t="str">
        <f t="shared" si="30"/>
        <v>N</v>
      </c>
      <c r="X98" s="183">
        <f t="shared" si="31"/>
        <v>1</v>
      </c>
      <c r="Y98" s="62">
        <f t="shared" si="32"/>
        <v>23.307600000000001</v>
      </c>
      <c r="Z98" s="62">
        <f t="shared" si="33"/>
        <v>1.54E-2</v>
      </c>
      <c r="AA98" s="62">
        <f t="shared" si="34"/>
        <v>23.292200000000001</v>
      </c>
      <c r="AB98" s="59" t="str">
        <f>VLOOKUP(A98,Enforcements!$C$7:$K$13,8,0)</f>
        <v>Bulletin (2)</v>
      </c>
      <c r="AC98" s="55" t="str">
        <f>VLOOKUP(A98,Enforcements!$C$7:$E$13,3,0)</f>
        <v>GRADE CROSSING</v>
      </c>
      <c r="AD98" s="56" t="str">
        <f t="shared" si="35"/>
        <v>0186-12</v>
      </c>
      <c r="AE98" s="85" t="str">
        <f t="shared" si="36"/>
        <v>aws s3 cp s3://rtdc.mdm.uploadarchive.raw/RTDC4039/ "%USERPROFILE%\AppData\Local\Temp\OnboardLogs"\RTDC4039\2017-04-12 --exclude "*" --recursive --include "*20170412*" &amp; "%USERPROFILE%\Documents\GitHub\mrs-test-scripts\Headless Mode &amp; Sideloading\WalkAndUnGZ.bat" "%USERPROFILE%\AppData\Local\Temp\OnboardLogs"\RTDC4039\2017-04-12 &amp; aws s3 cp s3://rtdc.mdm.uploadarchive.raw/RTDC4039/ "%USERPROFILE%\AppData\Local\Temp\OnboardLogs"\RTDC4039\2017-04-13 --exclude "*" --recursive --include "*20170413*" &amp; "%USERPROFILE%\Documents\GitHub\mrs-test-scripts\Headless Mode &amp; Sideloading\WalkAndUnGZ.bat" "%USERPROFILE%\AppData\Local\Temp\OnboardLogs"\RTDC4039\2017-04-13</v>
      </c>
      <c r="AF98" s="82" t="str">
        <f t="shared" si="37"/>
        <v>"C:\Program Files (x86)\AstroGrep\AstroGrep.exe" /e /r /s /spath="%USERPROFILE%\AppData\Local\Temp\OnboardLogs" /stypes="app*4039*20170412*" /stext=" 21:.+((SYSTEM_STATE.+slice.+state.+changed )|(ment ac)|(multiple cpu faults)|(system.+state.+changed )|(\[timeout)|(PRM\|1\|D)|(kpr)|(kdp)|(\|lc)|(penalty))"</v>
      </c>
      <c r="AG98" s="1" t="str">
        <f t="shared" si="38"/>
        <v>EC</v>
      </c>
      <c r="AH98" s="86" t="str">
        <f t="shared" si="40"/>
        <v>"%USERPROFILE%\Documents\GitHub\eaglep3\Utilities\RefineRTDCRunTimes.py" --tripid 186-12 --locoid 4039 --swversion DE.1.0.9.0 --startMP 204:233076 --initTime 2017-04-12T14:56:33 --startdatetime 2017-04-12T15:11:29 --delay 1 --endMP 204:154 --enddatetime 2017-04-12T15:52:36 --enforcementcount 0 &gt;&gt;C:\Users\stu\Documents\GitHub\eaglep3-reporting\EC\2017-04-12-refined-times.txt</v>
      </c>
      <c r="AI98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{"issue":{"subject":"","project_id":79,"tracker_id":40,"status_id":1,"priority_id":2,"assigned_to_id":23,"start_date":"2017-04-12","description":"","custom_fields":[{"id":1,"name":"Subdivision","value":"EC"},{"id":4,"name":"Milepost","value":"0.0154"},{"id":17,"name":"Train ID","value":"186-12"},{"id":16,"name":"Locomotive ID","value":"4039"},{"id":130,"name":"Impact","value":""},{"id":150,"name":"Time of Event (Mountain Time)","value":"15:52:36"},{"id":151,"name":"Denver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8"/>
      <c r="AL98" s="48"/>
      <c r="AM98" s="150" t="str">
        <f t="shared" si="42"/>
        <v>start /low /b %USERPROFILE%\Documents\GitHub\eaglep3\Utilities\DownloadLogsFromS3.py --loco 4039 --day 2017-04-12</v>
      </c>
      <c r="AN98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21:52:36"},{"id":29,"name":"Sharepoint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774</v>
      </c>
      <c r="B99" s="7">
        <v>4032</v>
      </c>
      <c r="C99" s="21" t="s">
        <v>214</v>
      </c>
      <c r="D99" s="21" t="s">
        <v>514</v>
      </c>
      <c r="E99" s="13">
        <v>42837.599710648145</v>
      </c>
      <c r="F99" s="13">
        <v>42837.604432870372</v>
      </c>
      <c r="G99" s="7">
        <v>1</v>
      </c>
      <c r="H99" s="21" t="s">
        <v>881</v>
      </c>
      <c r="I99" s="13">
        <v>42837.62908564815</v>
      </c>
      <c r="J99" s="7">
        <v>0</v>
      </c>
      <c r="K99" s="97" t="str">
        <f t="shared" si="25"/>
        <v>4031/4032</v>
      </c>
      <c r="L99" s="21" t="str">
        <f>VLOOKUP(A99,'Trips&amp;Operators'!$C$1:$G$99999,5,FALSE)</f>
        <v>DELGADO DIANAH</v>
      </c>
      <c r="M99" s="6">
        <f t="shared" si="26"/>
        <v>2.4652777778101154E-2</v>
      </c>
      <c r="N99" s="7">
        <f t="shared" si="39"/>
        <v>35.500000000465661</v>
      </c>
      <c r="O99" s="7"/>
      <c r="P99" s="7"/>
      <c r="Q99" s="22"/>
      <c r="R99" s="22"/>
      <c r="S99" s="31">
        <f t="shared" si="27"/>
        <v>1</v>
      </c>
      <c r="T99" s="46" t="str">
        <f t="shared" si="28"/>
        <v>NorthBound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2" t="str">
        <f t="shared" si="29"/>
        <v>https://d0f6bd738d7f1b3e5a7ca70fe4ff75f0.us-east-1.aws.found.io/app/kibana#/discover/Steve-Slow-Train-Analysis-(2080s-and-2083s)?_g=(refreshInterval:(display:Off,pause:!f,section:0,value:0),time:(from:'2017-04-12T13:23:35-0600',mode:absolute,to:'2017-04-12T16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9" s="183" t="str">
        <f t="shared" si="30"/>
        <v>N</v>
      </c>
      <c r="X99" s="183">
        <f t="shared" si="31"/>
        <v>1</v>
      </c>
      <c r="Y99" s="62">
        <f t="shared" si="32"/>
        <v>4.4699999999999997E-2</v>
      </c>
      <c r="Z99" s="62">
        <f t="shared" si="33"/>
        <v>23.334700000000002</v>
      </c>
      <c r="AA99" s="62">
        <f t="shared" si="34"/>
        <v>23.290000000000003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5"/>
        <v>0187-12</v>
      </c>
      <c r="AE99" s="85" t="str">
        <f t="shared" si="36"/>
        <v>aws s3 cp s3://rtdc.mdm.uploadarchive.raw/RTDC4032/ "%USERPROFILE%\AppData\Local\Temp\OnboardLogs"\RTDC4032\2017-04-12 --exclude "*" --recursive --include "*20170412*" &amp; "%USERPROFILE%\Documents\GitHub\mrs-test-scripts\Headless Mode &amp; Sideloading\WalkAndUnGZ.bat" "%USERPROFILE%\AppData\Local\Temp\OnboardLogs"\RTDC4032\2017-04-12 &amp; aws s3 cp s3://rtdc.mdm.uploadarchive.raw/RTDC4032/ "%USERPROFILE%\AppData\Local\Temp\OnboardLogs"\RTDC4032\2017-04-13 --exclude "*" --recursive --include "*20170413*" &amp; "%USERPROFILE%\Documents\GitHub\mrs-test-scripts\Headless Mode &amp; Sideloading\WalkAndUnGZ.bat" "%USERPROFILE%\AppData\Local\Temp\OnboardLogs"\RTDC4032\2017-04-13</v>
      </c>
      <c r="AF99" s="82" t="str">
        <f t="shared" si="37"/>
        <v>"C:\Program Files (x86)\AstroGrep\AstroGrep.exe" /e /r /s /spath="%USERPROFILE%\AppData\Local\Temp\OnboardLogs" /stypes="app*4032*20170412*" /stext=" 21:.+((SYSTEM_STATE.+slice.+state.+changed )|(ment ac)|(multiple cpu faults)|(system.+state.+changed )|(\[timeout)|(PRM\|1\|D)|(kpr)|(kdp)|(\|lc)|(penalty))"</v>
      </c>
      <c r="AG99" s="1" t="str">
        <f t="shared" si="38"/>
        <v>EC</v>
      </c>
      <c r="AH99" s="86" t="str">
        <f t="shared" si="40"/>
        <v>"%USERPROFILE%\Documents\GitHub\eaglep3\Utilities\RefineRTDCRunTimes.py" --tripid 187-12 --locoid 4032 --swversion DE.1.0.9.0 --startMP 204:447 --initTime 2017-04-12T14:23:35 --startdatetime 2017-04-12T14:30:23 --delay 1 --endMP 204:233347 --enddatetime 2017-04-12T15:05:53 --enforcementcount 0 &gt;&gt;C:\Users\stu\Documents\GitHub\eaglep3-reporting\EC\2017-04-12-refined-times.txt</v>
      </c>
      <c r="AI99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{"issue":{"subject":"","project_id":79,"tracker_id":40,"status_id":1,"priority_id":2,"assigned_to_id":23,"start_date":"2017-04-12","description":"","custom_fields":[{"id":1,"name":"Subdivision","value":"EC"},{"id":4,"name":"Milepost","value":"23.3347"},{"id":17,"name":"Train ID","value":"187-12"},{"id":16,"name":"Locomotive ID","value":"4032"},{"id":130,"name":"Impact","value":""},{"id":150,"name":"Time of Event (Mountain Time)","value":"15:05:53"},{"id":151,"name":"Denver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8"/>
      <c r="AL99" s="48"/>
      <c r="AM99" s="150" t="str">
        <f t="shared" si="42"/>
        <v>start /low /b %USERPROFILE%\Documents\GitHub\eaglep3\Utilities\DownloadLogsFromS3.py --loco 4032 --day 2017-04-12</v>
      </c>
      <c r="AN99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21:05:53"},{"id":29,"name":"Sharepoint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779</v>
      </c>
      <c r="B100" s="7">
        <v>4031</v>
      </c>
      <c r="C100" s="21" t="s">
        <v>214</v>
      </c>
      <c r="D100" s="21" t="s">
        <v>914</v>
      </c>
      <c r="E100" s="13">
        <v>42837.634548611109</v>
      </c>
      <c r="F100" s="13">
        <v>42837.643217592595</v>
      </c>
      <c r="G100" s="7">
        <v>1</v>
      </c>
      <c r="H100" s="21" t="s">
        <v>915</v>
      </c>
      <c r="I100" s="13">
        <v>42837.669282407405</v>
      </c>
      <c r="J100" s="7">
        <v>0</v>
      </c>
      <c r="K100" s="97" t="str">
        <f t="shared" si="25"/>
        <v>4031/4032</v>
      </c>
      <c r="L100" s="21" t="str">
        <f>VLOOKUP(A100,'Trips&amp;Operators'!$C$1:$G$99999,5,FALSE)</f>
        <v>DELGADO DIANAH</v>
      </c>
      <c r="M100" s="6">
        <f t="shared" si="26"/>
        <v>2.6064814810524695E-2</v>
      </c>
      <c r="N100" s="7">
        <f t="shared" si="39"/>
        <v>37.53333332715556</v>
      </c>
      <c r="O100" s="7"/>
      <c r="P100" s="7"/>
      <c r="Q100" s="22"/>
      <c r="R100" s="22"/>
      <c r="S100" s="31">
        <f t="shared" si="27"/>
        <v>1</v>
      </c>
      <c r="T100" s="46" t="str">
        <f t="shared" si="28"/>
        <v>Southbound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 t="shared" si="29"/>
        <v>https://d0f6bd738d7f1b3e5a7ca70fe4ff75f0.us-east-1.aws.found.io/app/kibana#/discover/Steve-Slow-Train-Analysis-(2080s-and-2083s)?_g=(refreshInterval:(display:Off,pause:!f,section:0,value:0),time:(from:'2017-04-12T14:13:45-0600',mode:absolute,to:'2017-04-12T17:03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0" s="183" t="str">
        <f t="shared" si="30"/>
        <v>N</v>
      </c>
      <c r="X100" s="183">
        <f t="shared" si="31"/>
        <v>1</v>
      </c>
      <c r="Y100" s="62">
        <f t="shared" si="32"/>
        <v>23.305299999999999</v>
      </c>
      <c r="Z100" s="62">
        <f t="shared" si="33"/>
        <v>1.34E-2</v>
      </c>
      <c r="AA100" s="62">
        <f t="shared" si="34"/>
        <v>23.291899999999998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5"/>
        <v>0188-12</v>
      </c>
      <c r="AE100" s="85" t="str">
        <f t="shared" si="36"/>
        <v>aws s3 cp s3://rtdc.mdm.uploadarchive.raw/RTDC4031/ "%USERPROFILE%\AppData\Local\Temp\OnboardLogs"\RTDC4031\2017-04-12 --exclude "*" --recursive --include "*20170412*" &amp; "%USERPROFILE%\Documents\GitHub\mrs-test-scripts\Headless Mode &amp; Sideloading\WalkAndUnGZ.bat" "%USERPROFILE%\AppData\Local\Temp\OnboardLogs"\RTDC4031\2017-04-12 &amp; aws s3 cp s3://rtdc.mdm.uploadarchive.raw/RTDC4031/ "%USERPROFILE%\AppData\Local\Temp\OnboardLogs"\RTDC4031\2017-04-13 --exclude "*" --recursive --include "*20170413*" &amp; "%USERPROFILE%\Documents\GitHub\mrs-test-scripts\Headless Mode &amp; Sideloading\WalkAndUnGZ.bat" "%USERPROFILE%\AppData\Local\Temp\OnboardLogs"\RTDC4031\2017-04-13</v>
      </c>
      <c r="AF100" s="82" t="str">
        <f t="shared" si="37"/>
        <v>"C:\Program Files (x86)\AstroGrep\AstroGrep.exe" /e /r /s /spath="%USERPROFILE%\AppData\Local\Temp\OnboardLogs" /stypes="app*4031*20170412*" /stext=" 22:.+((SYSTEM_STATE.+slice.+state.+changed )|(ment ac)|(multiple cpu faults)|(system.+state.+changed )|(\[timeout)|(PRM\|1\|D)|(kpr)|(kdp)|(\|lc)|(penalty))"</v>
      </c>
      <c r="AG100" s="1" t="str">
        <f t="shared" si="38"/>
        <v>EC</v>
      </c>
      <c r="AH100" s="86" t="str">
        <f t="shared" si="40"/>
        <v>"%USERPROFILE%\Documents\GitHub\eaglep3\Utilities\RefineRTDCRunTimes.py" --tripid 188-12 --locoid 4031 --swversion DE.1.0.9.0 --startMP 204:233053 --initTime 2017-04-12T15:13:45 --startdatetime 2017-04-12T15:26:14 --delay 1 --endMP 204:134 --enddatetime 2017-04-12T16:03:46 --enforcementcount 0 &gt;&gt;C:\Users\stu\Documents\GitHub\eaglep3-reporting\EC\2017-04-12-refined-times.txt</v>
      </c>
      <c r="AI100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{"issue":{"subject":"","project_id":79,"tracker_id":40,"status_id":1,"priority_id":2,"assigned_to_id":23,"start_date":"2017-04-12","description":"","custom_fields":[{"id":1,"name":"Subdivision","value":"EC"},{"id":4,"name":"Milepost","value":"0.0134"},{"id":17,"name":"Train ID","value":"188-12"},{"id":16,"name":"Locomotive ID","value":"4031"},{"id":130,"name":"Impact","value":""},{"id":150,"name":"Time of Event (Mountain Time)","value":"16:03:46"},{"id":151,"name":"Denver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8"/>
      <c r="AL100" s="48"/>
      <c r="AM100" s="150" t="str">
        <f t="shared" si="42"/>
        <v>start /low /b %USERPROFILE%\Documents\GitHub\eaglep3\Utilities\DownloadLogsFromS3.py --loco 4031 --day 2017-04-12</v>
      </c>
      <c r="AN100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22:03:46"},{"id":29,"name":"Sharepoint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639</v>
      </c>
      <c r="B101" s="7">
        <v>4054</v>
      </c>
      <c r="C101" s="21" t="s">
        <v>214</v>
      </c>
      <c r="D101" s="21" t="s">
        <v>209</v>
      </c>
      <c r="E101" s="13">
        <v>42837.61204861111</v>
      </c>
      <c r="F101" s="13">
        <v>42837.614791666667</v>
      </c>
      <c r="G101" s="7">
        <v>1</v>
      </c>
      <c r="H101" s="21" t="s">
        <v>916</v>
      </c>
      <c r="I101" s="13">
        <v>42837.641122685185</v>
      </c>
      <c r="J101" s="7">
        <v>0</v>
      </c>
      <c r="K101" s="97" t="str">
        <f t="shared" si="25"/>
        <v>4053/4054</v>
      </c>
      <c r="L101" s="21" t="str">
        <f>VLOOKUP(A101,'Trips&amp;Operators'!$C$1:$G$99999,5,FALSE)</f>
        <v>ARVIDSON DANIEL</v>
      </c>
      <c r="M101" s="6">
        <f t="shared" si="26"/>
        <v>2.6331018518249039E-2</v>
      </c>
      <c r="N101" s="7">
        <f t="shared" si="39"/>
        <v>37.916666666278616</v>
      </c>
      <c r="O101" s="7"/>
      <c r="P101" s="7"/>
      <c r="Q101" s="22"/>
      <c r="R101" s="22"/>
      <c r="S101" s="31">
        <f t="shared" si="27"/>
        <v>1</v>
      </c>
      <c r="T101" s="46" t="str">
        <f t="shared" si="28"/>
        <v>NorthBound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 t="shared" si="29"/>
        <v>https://d0f6bd738d7f1b3e5a7ca70fe4ff75f0.us-east-1.aws.found.io/app/kibana#/discover/Steve-Slow-Train-Analysis-(2080s-and-2083s)?_g=(refreshInterval:(display:Off,pause:!f,section:0,value:0),time:(from:'2017-04-12T13:41:21-0600',mode:absolute,to:'2017-04-12T16:23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1" s="183" t="str">
        <f t="shared" si="30"/>
        <v>N</v>
      </c>
      <c r="X101" s="183">
        <f t="shared" si="31"/>
        <v>1</v>
      </c>
      <c r="Y101" s="62">
        <f t="shared" si="32"/>
        <v>4.53E-2</v>
      </c>
      <c r="Z101" s="62">
        <f t="shared" si="33"/>
        <v>23.3339</v>
      </c>
      <c r="AA101" s="62">
        <f t="shared" si="34"/>
        <v>23.288599999999999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5"/>
        <v>0189-12</v>
      </c>
      <c r="AE101" s="85" t="str">
        <f t="shared" si="36"/>
        <v>aws s3 cp s3://rtdc.mdm.uploadarchive.raw/RTDC4054/ "%USERPROFILE%\AppData\Local\Temp\OnboardLogs"\RTDC4054\2017-04-12 --exclude "*" --recursive --include "*20170412*" &amp; "%USERPROFILE%\Documents\GitHub\mrs-test-scripts\Headless Mode &amp; Sideloading\WalkAndUnGZ.bat" "%USERPROFILE%\AppData\Local\Temp\OnboardLogs"\RTDC4054\2017-04-12 &amp; aws s3 cp s3://rtdc.mdm.uploadarchive.raw/RTDC4054/ "%USERPROFILE%\AppData\Local\Temp\OnboardLogs"\RTDC4054\2017-04-13 --exclude "*" --recursive --include "*20170413*" &amp; "%USERPROFILE%\Documents\GitHub\mrs-test-scripts\Headless Mode &amp; Sideloading\WalkAndUnGZ.bat" "%USERPROFILE%\AppData\Local\Temp\OnboardLogs"\RTDC4054\2017-04-13</v>
      </c>
      <c r="AF101" s="82" t="str">
        <f t="shared" si="37"/>
        <v>"C:\Program Files (x86)\AstroGrep\AstroGrep.exe" /e /r /s /spath="%USERPROFILE%\AppData\Local\Temp\OnboardLogs" /stypes="app*4054*20170412*" /stext=" 21:.+((SYSTEM_STATE.+slice.+state.+changed )|(ment ac)|(multiple cpu faults)|(system.+state.+changed )|(\[timeout)|(PRM\|1\|D)|(kpr)|(kdp)|(\|lc)|(penalty))"</v>
      </c>
      <c r="AG101" s="1" t="str">
        <f t="shared" si="38"/>
        <v>EC</v>
      </c>
      <c r="AH101" s="86" t="str">
        <f t="shared" si="40"/>
        <v>"%USERPROFILE%\Documents\GitHub\eaglep3\Utilities\RefineRTDCRunTimes.py" --tripid 189-12 --locoid 4054 --swversion DE.1.0.9.0 --startMP 204:453 --initTime 2017-04-12T14:41:21 --startdatetime 2017-04-12T14:45:18 --delay 1 --endMP 204:233339 --enddatetime 2017-04-12T15:23:13 --enforcementcount 0 &gt;&gt;C:\Users\stu\Documents\GitHub\eaglep3-reporting\EC\2017-04-12-refined-times.txt</v>
      </c>
      <c r="AI101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{"issue":{"subject":"","project_id":79,"tracker_id":40,"status_id":1,"priority_id":2,"assigned_to_id":23,"start_date":"2017-04-12","description":"","custom_fields":[{"id":1,"name":"Subdivision","value":"EC"},{"id":4,"name":"Milepost","value":"23.3339"},{"id":17,"name":"Train ID","value":"189-12"},{"id":16,"name":"Locomotive ID","value":"4054"},{"id":130,"name":"Impact","value":""},{"id":150,"name":"Time of Event (Mountain Time)","value":"15:23:13"},{"id":151,"name":"Denver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8"/>
      <c r="AL101" s="48"/>
      <c r="AM101" s="150" t="str">
        <f t="shared" si="42"/>
        <v>start /low /b %USERPROFILE%\Documents\GitHub\eaglep3\Utilities\DownloadLogsFromS3.py --loco 4054 --day 2017-04-12</v>
      </c>
      <c r="AN101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21:23:13"},{"id":29,"name":"Sharepoint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782</v>
      </c>
      <c r="B102" s="7">
        <v>4053</v>
      </c>
      <c r="C102" s="21" t="s">
        <v>214</v>
      </c>
      <c r="D102" s="21" t="s">
        <v>585</v>
      </c>
      <c r="E102" s="13">
        <v>42837.649571759262</v>
      </c>
      <c r="F102" s="13">
        <v>42837.65388888889</v>
      </c>
      <c r="G102" s="7">
        <v>1</v>
      </c>
      <c r="H102" s="21" t="s">
        <v>504</v>
      </c>
      <c r="I102" s="13">
        <v>42837.681759259256</v>
      </c>
      <c r="J102" s="7">
        <v>0</v>
      </c>
      <c r="K102" s="97" t="str">
        <f t="shared" si="25"/>
        <v>4053/4054</v>
      </c>
      <c r="L102" s="21" t="str">
        <f>VLOOKUP(A102,'Trips&amp;Operators'!$C$1:$G$99999,5,FALSE)</f>
        <v>ARVIDSON DANIEL</v>
      </c>
      <c r="M102" s="6">
        <f t="shared" si="26"/>
        <v>2.7870370366144925E-2</v>
      </c>
      <c r="N102" s="7">
        <f t="shared" si="39"/>
        <v>40.133333327248693</v>
      </c>
      <c r="O102" s="7"/>
      <c r="P102" s="7"/>
      <c r="Q102" s="22"/>
      <c r="R102" s="22"/>
      <c r="S102" s="31">
        <f t="shared" si="27"/>
        <v>1</v>
      </c>
      <c r="T102" s="46" t="str">
        <f t="shared" si="28"/>
        <v>Southbound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 t="shared" si="29"/>
        <v>https://d0f6bd738d7f1b3e5a7ca70fe4ff75f0.us-east-1.aws.found.io/app/kibana#/discover/Steve-Slow-Train-Analysis-(2080s-and-2083s)?_g=(refreshInterval:(display:Off,pause:!f,section:0,value:0),time:(from:'2017-04-12T14:35:23-0600',mode:absolute,to:'2017-04-12T17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2" s="183" t="str">
        <f t="shared" si="30"/>
        <v>N</v>
      </c>
      <c r="X102" s="183">
        <f t="shared" si="31"/>
        <v>1</v>
      </c>
      <c r="Y102" s="62">
        <f t="shared" si="32"/>
        <v>23.3032</v>
      </c>
      <c r="Z102" s="62">
        <f t="shared" si="33"/>
        <v>1.4999999999999999E-2</v>
      </c>
      <c r="AA102" s="62">
        <f t="shared" si="34"/>
        <v>23.2882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5"/>
        <v>0190-12</v>
      </c>
      <c r="AE102" s="85" t="str">
        <f t="shared" si="36"/>
        <v>aws s3 cp s3://rtdc.mdm.uploadarchive.raw/RTDC4053/ "%USERPROFILE%\AppData\Local\Temp\OnboardLogs"\RTDC4053\2017-04-12 --exclude "*" --recursive --include "*20170412*" &amp; "%USERPROFILE%\Documents\GitHub\mrs-test-scripts\Headless Mode &amp; Sideloading\WalkAndUnGZ.bat" "%USERPROFILE%\AppData\Local\Temp\OnboardLogs"\RTDC4053\2017-04-12 &amp; aws s3 cp s3://rtdc.mdm.uploadarchive.raw/RTDC4053/ "%USERPROFILE%\AppData\Local\Temp\OnboardLogs"\RTDC4053\2017-04-13 --exclude "*" --recursive --include "*20170413*" &amp; "%USERPROFILE%\Documents\GitHub\mrs-test-scripts\Headless Mode &amp; Sideloading\WalkAndUnGZ.bat" "%USERPROFILE%\AppData\Local\Temp\OnboardLogs"\RTDC4053\2017-04-13</v>
      </c>
      <c r="AF102" s="82" t="str">
        <f t="shared" si="37"/>
        <v>"C:\Program Files (x86)\AstroGrep\AstroGrep.exe" /e /r /s /spath="%USERPROFILE%\AppData\Local\Temp\OnboardLogs" /stypes="app*4053*20170412*" /stext=" 22:.+((SYSTEM_STATE.+slice.+state.+changed )|(ment ac)|(multiple cpu faults)|(system.+state.+changed )|(\[timeout)|(PRM\|1\|D)|(kpr)|(kdp)|(\|lc)|(penalty))"</v>
      </c>
      <c r="AG102" s="1" t="str">
        <f t="shared" si="38"/>
        <v>EC</v>
      </c>
      <c r="AH102" s="86" t="str">
        <f t="shared" si="40"/>
        <v>"%USERPROFILE%\Documents\GitHub\eaglep3\Utilities\RefineRTDCRunTimes.py" --tripid 190-12 --locoid 4053 --swversion DE.1.0.9.0 --startMP 204:233032 --initTime 2017-04-12T15:35:23 --startdatetime 2017-04-12T15:41:36 --delay 1 --endMP 204:150 --enddatetime 2017-04-12T16:21:44 --enforcementcount 0 &gt;&gt;C:\Users\stu\Documents\GitHub\eaglep3-reporting\EC\2017-04-12-refined-times.txt</v>
      </c>
      <c r="AI102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{"issue":{"subject":"","project_id":79,"tracker_id":40,"status_id":1,"priority_id":2,"assigned_to_id":23,"start_date":"2017-04-12","description":"","custom_fields":[{"id":1,"name":"Subdivision","value":"EC"},{"id":4,"name":"Milepost","value":"0.015"},{"id":17,"name":"Train ID","value":"190-12"},{"id":16,"name":"Locomotive ID","value":"4053"},{"id":130,"name":"Impact","value":""},{"id":150,"name":"Time of Event (Mountain Time)","value":"16:21:44"},{"id":151,"name":"Denver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8"/>
      <c r="AL102" s="48"/>
      <c r="AM102" s="150" t="str">
        <f t="shared" si="42"/>
        <v>start /low /b %USERPROFILE%\Documents\GitHub\eaglep3\Utilities\DownloadLogsFromS3.py --loco 4053 --day 2017-04-12</v>
      </c>
      <c r="AN102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22:21:44"},{"id":29,"name":"Sharepoint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776</v>
      </c>
      <c r="B103" s="7">
        <v>4044</v>
      </c>
      <c r="C103" s="21" t="s">
        <v>214</v>
      </c>
      <c r="D103" s="21" t="s">
        <v>541</v>
      </c>
      <c r="E103" s="13">
        <v>42837.620092592595</v>
      </c>
      <c r="F103" s="13">
        <v>42837.625347222223</v>
      </c>
      <c r="G103" s="7">
        <v>1</v>
      </c>
      <c r="H103" s="21" t="s">
        <v>472</v>
      </c>
      <c r="I103" s="13">
        <v>42837.650277777779</v>
      </c>
      <c r="J103" s="7">
        <v>0</v>
      </c>
      <c r="K103" s="97" t="str">
        <f t="shared" si="25"/>
        <v>4043/4044</v>
      </c>
      <c r="L103" s="21" t="str">
        <f>VLOOKUP(A103,'Trips&amp;Operators'!$C$1:$G$99999,5,FALSE)</f>
        <v>GUZMAN DANNY</v>
      </c>
      <c r="M103" s="6">
        <f t="shared" si="26"/>
        <v>2.4930555555329192E-2</v>
      </c>
      <c r="N103" s="7">
        <f t="shared" si="39"/>
        <v>35.899999999674037</v>
      </c>
      <c r="O103" s="7"/>
      <c r="P103" s="7"/>
      <c r="Q103" s="22"/>
      <c r="R103" s="22"/>
      <c r="S103" s="31">
        <f t="shared" si="27"/>
        <v>1</v>
      </c>
      <c r="T103" s="46" t="str">
        <f t="shared" si="28"/>
        <v>NorthBound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 t="shared" si="29"/>
        <v>https://d0f6bd738d7f1b3e5a7ca70fe4ff75f0.us-east-1.aws.found.io/app/kibana#/discover/Steve-Slow-Train-Analysis-(2080s-and-2083s)?_g=(refreshInterval:(display:Off,pause:!f,section:0,value:0),time:(from:'2017-04-12T13:52:56-0600',mode:absolute,to:'2017-04-12T16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3" s="183" t="str">
        <f t="shared" si="30"/>
        <v>N</v>
      </c>
      <c r="X103" s="183">
        <f t="shared" si="31"/>
        <v>1</v>
      </c>
      <c r="Y103" s="62">
        <f t="shared" si="32"/>
        <v>4.4400000000000002E-2</v>
      </c>
      <c r="Z103" s="62">
        <f t="shared" si="33"/>
        <v>23.331700000000001</v>
      </c>
      <c r="AA103" s="62">
        <f t="shared" si="34"/>
        <v>23.287300000000002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5"/>
        <v>0191-12</v>
      </c>
      <c r="AE103" s="85" t="str">
        <f t="shared" si="36"/>
        <v>aws s3 cp s3://rtdc.mdm.uploadarchive.raw/RTDC4044/ "%USERPROFILE%\AppData\Local\Temp\OnboardLogs"\RTDC4044\2017-04-12 --exclude "*" --recursive --include "*20170412*" &amp; "%USERPROFILE%\Documents\GitHub\mrs-test-scripts\Headless Mode &amp; Sideloading\WalkAndUnGZ.bat" "%USERPROFILE%\AppData\Local\Temp\OnboardLogs"\RTDC4044\2017-04-12 &amp; aws s3 cp s3://rtdc.mdm.uploadarchive.raw/RTDC4044/ "%USERPROFILE%\AppData\Local\Temp\OnboardLogs"\RTDC4044\2017-04-13 --exclude "*" --recursive --include "*20170413*" &amp; "%USERPROFILE%\Documents\GitHub\mrs-test-scripts\Headless Mode &amp; Sideloading\WalkAndUnGZ.bat" "%USERPROFILE%\AppData\Local\Temp\OnboardLogs"\RTDC4044\2017-04-13</v>
      </c>
      <c r="AF103" s="82" t="str">
        <f t="shared" si="37"/>
        <v>"C:\Program Files (x86)\AstroGrep\AstroGrep.exe" /e /r /s /spath="%USERPROFILE%\AppData\Local\Temp\OnboardLogs" /stypes="app*4044*20170412*" /stext=" 21:.+((SYSTEM_STATE.+slice.+state.+changed )|(ment ac)|(multiple cpu faults)|(system.+state.+changed )|(\[timeout)|(PRM\|1\|D)|(kpr)|(kdp)|(\|lc)|(penalty))"</v>
      </c>
      <c r="AG103" s="1" t="str">
        <f t="shared" si="38"/>
        <v>EC</v>
      </c>
      <c r="AH103" s="86" t="str">
        <f t="shared" si="40"/>
        <v>"%USERPROFILE%\Documents\GitHub\eaglep3\Utilities\RefineRTDCRunTimes.py" --tripid 191-12 --locoid 4044 --swversion DE.1.0.9.0 --startMP 204:444 --initTime 2017-04-12T14:52:56 --startdatetime 2017-04-12T15:00:30 --delay 1 --endMP 204:233317 --enddatetime 2017-04-12T15:36:24 --enforcementcount 0 &gt;&gt;C:\Users\stu\Documents\GitHub\eaglep3-reporting\EC\2017-04-12-refined-times.txt</v>
      </c>
      <c r="AI103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{"issue":{"subject":"","project_id":79,"tracker_id":40,"status_id":1,"priority_id":2,"assigned_to_id":23,"start_date":"2017-04-12","description":"","custom_fields":[{"id":1,"name":"Subdivision","value":"EC"},{"id":4,"name":"Milepost","value":"23.3317"},{"id":17,"name":"Train ID","value":"191-12"},{"id":16,"name":"Locomotive ID","value":"4044"},{"id":130,"name":"Impact","value":""},{"id":150,"name":"Time of Event (Mountain Time)","value":"15:36:24"},{"id":151,"name":"Denver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8"/>
      <c r="AL103" s="48"/>
      <c r="AM103" s="150" t="str">
        <f t="shared" si="42"/>
        <v>start /low /b %USERPROFILE%\Documents\GitHub\eaglep3\Utilities\DownloadLogsFromS3.py --loco 4044 --day 2017-04-12</v>
      </c>
      <c r="AN103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21:36:24"},{"id":29,"name":"Sharepoint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784</v>
      </c>
      <c r="B104" s="7">
        <v>4043</v>
      </c>
      <c r="C104" s="21" t="s">
        <v>214</v>
      </c>
      <c r="D104" s="21" t="s">
        <v>539</v>
      </c>
      <c r="E104" s="13">
        <v>42837.657858796294</v>
      </c>
      <c r="F104" s="13">
        <v>42837.6640625</v>
      </c>
      <c r="G104" s="7">
        <v>1</v>
      </c>
      <c r="H104" s="21" t="s">
        <v>211</v>
      </c>
      <c r="I104" s="13">
        <v>42837.691782407404</v>
      </c>
      <c r="J104" s="7">
        <v>0</v>
      </c>
      <c r="K104" s="97" t="str">
        <f t="shared" si="25"/>
        <v>4043/4044</v>
      </c>
      <c r="L104" s="21" t="str">
        <f>VLOOKUP(A104,'Trips&amp;Operators'!$C$1:$G$99999,5,FALSE)</f>
        <v>GUZMAN DANNY</v>
      </c>
      <c r="M104" s="6">
        <f t="shared" si="26"/>
        <v>2.7719907404389232E-2</v>
      </c>
      <c r="N104" s="7">
        <f t="shared" si="39"/>
        <v>39.916666662320495</v>
      </c>
      <c r="O104" s="7"/>
      <c r="P104" s="7"/>
      <c r="Q104" s="22"/>
      <c r="R104" s="22"/>
      <c r="S104" s="31">
        <f t="shared" si="27"/>
        <v>1</v>
      </c>
      <c r="T104" s="46" t="str">
        <f t="shared" si="28"/>
        <v>Southbound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 t="shared" si="29"/>
        <v>https://d0f6bd738d7f1b3e5a7ca70fe4ff75f0.us-east-1.aws.found.io/app/kibana#/discover/Steve-Slow-Train-Analysis-(2080s-and-2083s)?_g=(refreshInterval:(display:Off,pause:!f,section:0,value:0),time:(from:'2017-04-12T14:47:19-0600',mode:absolute,to:'2017-04-12T17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4" s="183" t="str">
        <f t="shared" si="30"/>
        <v>N</v>
      </c>
      <c r="X104" s="183">
        <f t="shared" si="31"/>
        <v>1</v>
      </c>
      <c r="Y104" s="62">
        <f t="shared" si="32"/>
        <v>23.299800000000001</v>
      </c>
      <c r="Z104" s="62">
        <f t="shared" si="33"/>
        <v>1.47E-2</v>
      </c>
      <c r="AA104" s="62">
        <f t="shared" si="34"/>
        <v>23.2851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5"/>
        <v>0192-12</v>
      </c>
      <c r="AE104" s="85" t="str">
        <f t="shared" si="36"/>
        <v>aws s3 cp s3://rtdc.mdm.uploadarchive.raw/RTDC4043/ "%USERPROFILE%\AppData\Local\Temp\OnboardLogs"\RTDC4043\2017-04-12 --exclude "*" --recursive --include "*20170412*" &amp; "%USERPROFILE%\Documents\GitHub\mrs-test-scripts\Headless Mode &amp; Sideloading\WalkAndUnGZ.bat" "%USERPROFILE%\AppData\Local\Temp\OnboardLogs"\RTDC4043\2017-04-12 &amp; aws s3 cp s3://rtdc.mdm.uploadarchive.raw/RTDC4043/ "%USERPROFILE%\AppData\Local\Temp\OnboardLogs"\RTDC4043\2017-04-13 --exclude "*" --recursive --include "*20170413*" &amp; "%USERPROFILE%\Documents\GitHub\mrs-test-scripts\Headless Mode &amp; Sideloading\WalkAndUnGZ.bat" "%USERPROFILE%\AppData\Local\Temp\OnboardLogs"\RTDC4043\2017-04-13</v>
      </c>
      <c r="AF104" s="82" t="str">
        <f t="shared" si="37"/>
        <v>"C:\Program Files (x86)\AstroGrep\AstroGrep.exe" /e /r /s /spath="%USERPROFILE%\AppData\Local\Temp\OnboardLogs" /stypes="app*4043*20170412*" /stext=" 22:.+((SYSTEM_STATE.+slice.+state.+changed )|(ment ac)|(multiple cpu faults)|(system.+state.+changed )|(\[timeout)|(PRM\|1\|D)|(kpr)|(kdp)|(\|lc)|(penalty))"</v>
      </c>
      <c r="AG104" s="1" t="str">
        <f t="shared" si="38"/>
        <v>EC</v>
      </c>
      <c r="AH104" s="86" t="str">
        <f t="shared" si="40"/>
        <v>"%USERPROFILE%\Documents\GitHub\eaglep3\Utilities\RefineRTDCRunTimes.py" --tripid 192-12 --locoid 4043 --swversion DE.1.0.9.0 --startMP 204:232998 --initTime 2017-04-12T15:47:19 --startdatetime 2017-04-12T15:56:15 --delay 1 --endMP 204:147 --enddatetime 2017-04-12T16:36:10 --enforcementcount 0 &gt;&gt;C:\Users\stu\Documents\GitHub\eaglep3-reporting\EC\2017-04-12-refined-times.txt</v>
      </c>
      <c r="AI104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{"issue":{"subject":"","project_id":79,"tracker_id":40,"status_id":1,"priority_id":2,"assigned_to_id":23,"start_date":"2017-04-12","description":"","custom_fields":[{"id":1,"name":"Subdivision","value":"EC"},{"id":4,"name":"Milepost","value":"0.0147"},{"id":17,"name":"Train ID","value":"192-12"},{"id":16,"name":"Locomotive ID","value":"4043"},{"id":130,"name":"Impact","value":""},{"id":150,"name":"Time of Event (Mountain Time)","value":"16:36:10"},{"id":151,"name":"Denver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8"/>
      <c r="AL104" s="48"/>
      <c r="AM104" s="150" t="str">
        <f t="shared" si="42"/>
        <v>start /low /b %USERPROFILE%\Documents\GitHub\eaglep3\Utilities\DownloadLogsFromS3.py --loco 4043 --day 2017-04-12</v>
      </c>
      <c r="AN104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22:36:10"},{"id":29,"name":"Sharepoint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777</v>
      </c>
      <c r="B105" s="7">
        <v>4012</v>
      </c>
      <c r="C105" s="21" t="s">
        <v>214</v>
      </c>
      <c r="D105" s="21" t="s">
        <v>573</v>
      </c>
      <c r="E105" s="13">
        <v>42837.630196759259</v>
      </c>
      <c r="F105" s="13">
        <v>42837.63616898148</v>
      </c>
      <c r="G105" s="7">
        <v>2</v>
      </c>
      <c r="H105" s="21" t="s">
        <v>535</v>
      </c>
      <c r="I105" s="13">
        <v>42837.662314814814</v>
      </c>
      <c r="J105" s="7">
        <v>0</v>
      </c>
      <c r="K105" s="97" t="str">
        <f t="shared" si="25"/>
        <v>4011/4012</v>
      </c>
      <c r="L105" s="21" t="str">
        <f>VLOOKUP(A105,'Trips&amp;Operators'!$C$1:$G$99999,5,FALSE)</f>
        <v>MENGES BRAD</v>
      </c>
      <c r="M105" s="6">
        <f t="shared" si="26"/>
        <v>2.6145833333430346E-2</v>
      </c>
      <c r="N105" s="7">
        <f t="shared" si="39"/>
        <v>37.650000000139698</v>
      </c>
      <c r="O105" s="7"/>
      <c r="P105" s="7"/>
      <c r="Q105" s="22"/>
      <c r="R105" s="22"/>
      <c r="S105" s="31">
        <f t="shared" si="27"/>
        <v>1</v>
      </c>
      <c r="T105" s="46" t="str">
        <f t="shared" si="28"/>
        <v>NorthBound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 t="shared" si="29"/>
        <v>https://d0f6bd738d7f1b3e5a7ca70fe4ff75f0.us-east-1.aws.found.io/app/kibana#/discover/Steve-Slow-Train-Analysis-(2080s-and-2083s)?_g=(refreshInterval:(display:Off,pause:!f,section:0,value:0),time:(from:'2017-04-12T14:07:29-0600',mode:absolute,to:'2017-04-12T16:53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5" s="183" t="str">
        <f t="shared" si="30"/>
        <v>N</v>
      </c>
      <c r="X105" s="183">
        <f t="shared" si="31"/>
        <v>1</v>
      </c>
      <c r="Y105" s="62">
        <f t="shared" si="32"/>
        <v>4.4200000000000003E-2</v>
      </c>
      <c r="Z105" s="62">
        <f t="shared" si="33"/>
        <v>23.330300000000001</v>
      </c>
      <c r="AA105" s="62">
        <f t="shared" si="34"/>
        <v>23.286100000000001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5"/>
        <v>0193-12</v>
      </c>
      <c r="AE105" s="85" t="str">
        <f t="shared" si="36"/>
        <v>aws s3 cp s3://rtdc.mdm.uploadarchive.raw/RTDC4012/ "%USERPROFILE%\AppData\Local\Temp\OnboardLogs"\RTDC4012\2017-04-12 --exclude "*" --recursive --include "*20170412*" &amp; "%USERPROFILE%\Documents\GitHub\mrs-test-scripts\Headless Mode &amp; Sideloading\WalkAndUnGZ.bat" "%USERPROFILE%\AppData\Local\Temp\OnboardLogs"\RTDC4012\2017-04-12 &amp; aws s3 cp s3://rtdc.mdm.uploadarchive.raw/RTDC4012/ "%USERPROFILE%\AppData\Local\Temp\OnboardLogs"\RTDC4012\2017-04-13 --exclude "*" --recursive --include "*20170413*" &amp; "%USERPROFILE%\Documents\GitHub\mrs-test-scripts\Headless Mode &amp; Sideloading\WalkAndUnGZ.bat" "%USERPROFILE%\AppData\Local\Temp\OnboardLogs"\RTDC4012\2017-04-13</v>
      </c>
      <c r="AF105" s="82" t="str">
        <f t="shared" si="37"/>
        <v>"C:\Program Files (x86)\AstroGrep\AstroGrep.exe" /e /r /s /spath="%USERPROFILE%\AppData\Local\Temp\OnboardLogs" /stypes="app*4012*20170412*" /stext=" 21:.+((SYSTEM_STATE.+slice.+state.+changed )|(ment ac)|(multiple cpu faults)|(system.+state.+changed )|(\[timeout)|(PRM\|1\|D)|(kpr)|(kdp)|(\|lc)|(penalty))"</v>
      </c>
      <c r="AG105" s="1" t="str">
        <f t="shared" si="38"/>
        <v>EC</v>
      </c>
      <c r="AH105" s="86" t="str">
        <f t="shared" si="40"/>
        <v>"%USERPROFILE%\Documents\GitHub\eaglep3\Utilities\RefineRTDCRunTimes.py" --tripid 193-12 --locoid 4012 --swversion DE.1.0.9.0 --startMP 204:442 --initTime 2017-04-12T15:07:29 --startdatetime 2017-04-12T15:16:05 --delay 2 --endMP 204:233303 --enddatetime 2017-04-12T15:53:44 --enforcementcount 0 &gt;&gt;C:\Users\stu\Documents\GitHub\eaglep3-reporting\EC\2017-04-12-refined-times.txt</v>
      </c>
      <c r="AI105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{"issue":{"subject":"","project_id":79,"tracker_id":40,"status_id":1,"priority_id":2,"assigned_to_id":23,"start_date":"2017-04-12","description":"","custom_fields":[{"id":1,"name":"Subdivision","value":"EC"},{"id":4,"name":"Milepost","value":"23.3303"},{"id":17,"name":"Train ID","value":"193-12"},{"id":16,"name":"Locomotive ID","value":"4012"},{"id":130,"name":"Impact","value":""},{"id":150,"name":"Time of Event (Mountain Time)","value":"15:53:44"},{"id":151,"name":"Denver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8"/>
      <c r="AL105" s="48"/>
      <c r="AM105" s="150" t="str">
        <f t="shared" si="42"/>
        <v>start /low /b %USERPROFILE%\Documents\GitHub\eaglep3\Utilities\DownloadLogsFromS3.py --loco 4012 --day 2017-04-12</v>
      </c>
      <c r="AN105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21:53:44"},{"id":29,"name":"Sharepoint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645</v>
      </c>
      <c r="B106" s="7">
        <v>4011</v>
      </c>
      <c r="C106" s="21" t="s">
        <v>214</v>
      </c>
      <c r="D106" s="21" t="s">
        <v>588</v>
      </c>
      <c r="E106" s="13">
        <v>42837.670763888891</v>
      </c>
      <c r="F106" s="13">
        <v>42837.674479166664</v>
      </c>
      <c r="G106" s="7">
        <v>2</v>
      </c>
      <c r="H106" s="21" t="s">
        <v>419</v>
      </c>
      <c r="I106" s="13">
        <v>42837.702569444446</v>
      </c>
      <c r="J106" s="7">
        <v>0</v>
      </c>
      <c r="K106" s="97" t="str">
        <f t="shared" si="25"/>
        <v>4011/4012</v>
      </c>
      <c r="L106" s="21" t="str">
        <f>VLOOKUP(A106,'Trips&amp;Operators'!$C$1:$G$99999,5,FALSE)</f>
        <v>MENGES BRAD</v>
      </c>
      <c r="M106" s="6">
        <f t="shared" si="26"/>
        <v>2.8090277781302575E-2</v>
      </c>
      <c r="N106" s="7">
        <f t="shared" si="39"/>
        <v>40.450000005075708</v>
      </c>
      <c r="O106" s="7"/>
      <c r="P106" s="7"/>
      <c r="Q106" s="22"/>
      <c r="R106" s="22"/>
      <c r="S106" s="31">
        <f t="shared" si="27"/>
        <v>1</v>
      </c>
      <c r="T106" s="46" t="str">
        <f t="shared" si="28"/>
        <v>Southbound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 t="shared" si="29"/>
        <v>https://d0f6bd738d7f1b3e5a7ca70fe4ff75f0.us-east-1.aws.found.io/app/kibana#/discover/Steve-Slow-Train-Analysis-(2080s-and-2083s)?_g=(refreshInterval:(display:Off,pause:!f,section:0,value:0),time:(from:'2017-04-12T15:05:54-0600',mode:absolute,to:'2017-04-12T17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6" s="183" t="str">
        <f t="shared" si="30"/>
        <v>N</v>
      </c>
      <c r="X106" s="183">
        <f t="shared" si="31"/>
        <v>1</v>
      </c>
      <c r="Y106" s="62">
        <f t="shared" si="32"/>
        <v>23.296099999999999</v>
      </c>
      <c r="Z106" s="62">
        <f t="shared" si="33"/>
        <v>1.6E-2</v>
      </c>
      <c r="AA106" s="62">
        <f t="shared" si="34"/>
        <v>23.280100000000001</v>
      </c>
      <c r="AB106" s="59" t="str">
        <f>VLOOKUP(A106,Enforcements!$C$7:$K$13,8,0)</f>
        <v>Bulletin (2)</v>
      </c>
      <c r="AC106" s="55" t="str">
        <f>VLOOKUP(A106,Enforcements!$C$7:$E$13,3,0)</f>
        <v>GRADE CROSSING</v>
      </c>
      <c r="AD106" s="56" t="str">
        <f t="shared" si="35"/>
        <v>0194-12</v>
      </c>
      <c r="AE106" s="85" t="str">
        <f t="shared" si="36"/>
        <v>aws s3 cp s3://rtdc.mdm.uploadarchive.raw/RTDC4011/ "%USERPROFILE%\AppData\Local\Temp\OnboardLogs"\RTDC4011\2017-04-12 --exclude "*" --recursive --include "*20170412*" &amp; "%USERPROFILE%\Documents\GitHub\mrs-test-scripts\Headless Mode &amp; Sideloading\WalkAndUnGZ.bat" "%USERPROFILE%\AppData\Local\Temp\OnboardLogs"\RTDC4011\2017-04-12 &amp; aws s3 cp s3://rtdc.mdm.uploadarchive.raw/RTDC4011/ "%USERPROFILE%\AppData\Local\Temp\OnboardLogs"\RTDC4011\2017-04-13 --exclude "*" --recursive --include "*20170413*" &amp; "%USERPROFILE%\Documents\GitHub\mrs-test-scripts\Headless Mode &amp; Sideloading\WalkAndUnGZ.bat" "%USERPROFILE%\AppData\Local\Temp\OnboardLogs"\RTDC4011\2017-04-13</v>
      </c>
      <c r="AF106" s="82" t="str">
        <f t="shared" si="37"/>
        <v>"C:\Program Files (x86)\AstroGrep\AstroGrep.exe" /e /r /s /spath="%USERPROFILE%\AppData\Local\Temp\OnboardLogs" /stypes="app*4011*20170412*" /stext=" 22:.+((SYSTEM_STATE.+slice.+state.+changed )|(ment ac)|(multiple cpu faults)|(system.+state.+changed )|(\[timeout)|(PRM\|1\|D)|(kpr)|(kdp)|(\|lc)|(penalty))"</v>
      </c>
      <c r="AG106" s="1" t="str">
        <f t="shared" si="38"/>
        <v>EC</v>
      </c>
      <c r="AH106" s="86" t="str">
        <f t="shared" si="40"/>
        <v>"%USERPROFILE%\Documents\GitHub\eaglep3\Utilities\RefineRTDCRunTimes.py" --tripid 194-12 --locoid 4011 --swversion DE.1.0.9.0 --startMP 204:232961 --initTime 2017-04-12T16:05:54 --startdatetime 2017-04-12T16:11:15 --delay 2 --endMP 204:160 --enddatetime 2017-04-12T16:51:42 --enforcementcount 0 &gt;&gt;C:\Users\stu\Documents\GitHub\eaglep3-reporting\EC\2017-04-12-refined-times.txt</v>
      </c>
      <c r="AI106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{"issue":{"subject":"","project_id":79,"tracker_id":40,"status_id":1,"priority_id":2,"assigned_to_id":23,"start_date":"2017-04-12","description":"","custom_fields":[{"id":1,"name":"Subdivision","value":"EC"},{"id":4,"name":"Milepost","value":"0.016"},{"id":17,"name":"Train ID","value":"194-12"},{"id":16,"name":"Locomotive ID","value":"4011"},{"id":130,"name":"Impact","value":""},{"id":150,"name":"Time of Event (Mountain Time)","value":"16:51:42"},{"id":151,"name":"Denver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8"/>
      <c r="AL106" s="48"/>
      <c r="AM106" s="150" t="str">
        <f t="shared" si="42"/>
        <v>start /low /b %USERPROFILE%\Documents\GitHub\eaglep3\Utilities\DownloadLogsFromS3.py --loco 4011 --day 2017-04-12</v>
      </c>
      <c r="AN106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22:51:42"},{"id":29,"name":"Sharepoint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780</v>
      </c>
      <c r="B107" s="7">
        <v>4042</v>
      </c>
      <c r="C107" s="21" t="s">
        <v>214</v>
      </c>
      <c r="D107" s="21" t="s">
        <v>474</v>
      </c>
      <c r="E107" s="13">
        <v>42837.643472222226</v>
      </c>
      <c r="F107" s="13">
        <v>42837.645983796298</v>
      </c>
      <c r="G107" s="7">
        <v>1</v>
      </c>
      <c r="H107" s="21" t="s">
        <v>917</v>
      </c>
      <c r="I107" s="13">
        <v>42837.670729166668</v>
      </c>
      <c r="J107" s="7">
        <v>0</v>
      </c>
      <c r="K107" s="97" t="str">
        <f t="shared" si="25"/>
        <v>4041/4042</v>
      </c>
      <c r="L107" s="21" t="str">
        <f>VLOOKUP(A107,'Trips&amp;Operators'!$C$1:$G$99999,5,FALSE)</f>
        <v>LOCKLEAR TRAVIS</v>
      </c>
      <c r="M107" s="6">
        <f t="shared" si="26"/>
        <v>2.47453703705105E-2</v>
      </c>
      <c r="N107" s="7">
        <f t="shared" si="39"/>
        <v>35.63333333353512</v>
      </c>
      <c r="O107" s="7"/>
      <c r="P107" s="7"/>
      <c r="Q107" s="22"/>
      <c r="R107" s="22"/>
      <c r="S107" s="31">
        <f t="shared" si="27"/>
        <v>1</v>
      </c>
      <c r="T107" s="46" t="str">
        <f t="shared" si="28"/>
        <v>NorthBound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 t="shared" si="29"/>
        <v>https://d0f6bd738d7f1b3e5a7ca70fe4ff75f0.us-east-1.aws.found.io/app/kibana#/discover/Steve-Slow-Train-Analysis-(2080s-and-2083s)?_g=(refreshInterval:(display:Off,pause:!f,section:0,value:0),time:(from:'2017-04-12T14:26:36-0600',mode:absolute,to:'2017-04-12T17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7" s="183" t="str">
        <f t="shared" si="30"/>
        <v>N</v>
      </c>
      <c r="X107" s="183">
        <f t="shared" si="31"/>
        <v>1</v>
      </c>
      <c r="Y107" s="62">
        <f t="shared" si="32"/>
        <v>4.6699999999999998E-2</v>
      </c>
      <c r="Z107" s="62">
        <f t="shared" si="33"/>
        <v>23.334599999999998</v>
      </c>
      <c r="AA107" s="62">
        <f t="shared" si="34"/>
        <v>23.287899999999997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5"/>
        <v>0195-12</v>
      </c>
      <c r="AE107" s="85" t="str">
        <f t="shared" si="36"/>
        <v>aws s3 cp s3://rtdc.mdm.uploadarchive.raw/RTDC4042/ "%USERPROFILE%\AppData\Local\Temp\OnboardLogs"\RTDC4042\2017-04-12 --exclude "*" --recursive --include "*20170412*" &amp; "%USERPROFILE%\Documents\GitHub\mrs-test-scripts\Headless Mode &amp; Sideloading\WalkAndUnGZ.bat" "%USERPROFILE%\AppData\Local\Temp\OnboardLogs"\RTDC4042\2017-04-12 &amp; aws s3 cp s3://rtdc.mdm.uploadarchive.raw/RTDC4042/ "%USERPROFILE%\AppData\Local\Temp\OnboardLogs"\RTDC4042\2017-04-13 --exclude "*" --recursive --include "*20170413*" &amp; "%USERPROFILE%\Documents\GitHub\mrs-test-scripts\Headless Mode &amp; Sideloading\WalkAndUnGZ.bat" "%USERPROFILE%\AppData\Local\Temp\OnboardLogs"\RTDC4042\2017-04-13</v>
      </c>
      <c r="AF107" s="82" t="str">
        <f t="shared" si="37"/>
        <v>"C:\Program Files (x86)\AstroGrep\AstroGrep.exe" /e /r /s /spath="%USERPROFILE%\AppData\Local\Temp\OnboardLogs" /stypes="app*4042*20170412*" /stext=" 22:.+((SYSTEM_STATE.+slice.+state.+changed )|(ment ac)|(multiple cpu faults)|(system.+state.+changed )|(\[timeout)|(PRM\|1\|D)|(kpr)|(kdp)|(\|lc)|(penalty))"</v>
      </c>
      <c r="AG107" s="1" t="str">
        <f t="shared" si="38"/>
        <v>EC</v>
      </c>
      <c r="AH107" s="86" t="str">
        <f t="shared" si="40"/>
        <v>"%USERPROFILE%\Documents\GitHub\eaglep3\Utilities\RefineRTDCRunTimes.py" --tripid 195-12 --locoid 4042 --swversion DE.1.0.9.0 --startMP 204:467 --initTime 2017-04-12T15:26:36 --startdatetime 2017-04-12T15:30:13 --delay 1 --endMP 204:233346 --enddatetime 2017-04-12T16:05:51 --enforcementcount 0 &gt;&gt;C:\Users\stu\Documents\GitHub\eaglep3-reporting\EC\2017-04-12-refined-times.txt</v>
      </c>
      <c r="AI107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{"issue":{"subject":"","project_id":79,"tracker_id":40,"status_id":1,"priority_id":2,"assigned_to_id":23,"start_date":"2017-04-12","description":"","custom_fields":[{"id":1,"name":"Subdivision","value":"EC"},{"id":4,"name":"Milepost","value":"23.3346"},{"id":17,"name":"Train ID","value":"195-12"},{"id":16,"name":"Locomotive ID","value":"4042"},{"id":130,"name":"Impact","value":""},{"id":150,"name":"Time of Event (Mountain Time)","value":"16:05:51"},{"id":151,"name":"Denver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8"/>
      <c r="AL107" s="48"/>
      <c r="AM107" s="150" t="str">
        <f t="shared" si="42"/>
        <v>start /low /b %USERPROFILE%\Documents\GitHub\eaglep3\Utilities\DownloadLogsFromS3.py --loco 4042 --day 2017-04-12</v>
      </c>
      <c r="AN107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22:05:51"},{"id":29,"name":"Sharepoint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648</v>
      </c>
      <c r="B108" s="7">
        <v>4041</v>
      </c>
      <c r="C108" s="21" t="s">
        <v>214</v>
      </c>
      <c r="D108" s="21" t="s">
        <v>918</v>
      </c>
      <c r="E108" s="13">
        <v>42837.682430555556</v>
      </c>
      <c r="F108" s="13">
        <v>42837.684861111113</v>
      </c>
      <c r="G108" s="7">
        <v>1</v>
      </c>
      <c r="H108" s="21" t="s">
        <v>919</v>
      </c>
      <c r="I108" s="13">
        <v>42837.711817129632</v>
      </c>
      <c r="J108" s="7">
        <v>0</v>
      </c>
      <c r="K108" s="97" t="str">
        <f t="shared" si="25"/>
        <v>4041/4042</v>
      </c>
      <c r="L108" s="21" t="str">
        <f>VLOOKUP(A108,'Trips&amp;Operators'!$C$1:$G$99999,5,FALSE)</f>
        <v>LOCKLEAR TRAVIS</v>
      </c>
      <c r="M108" s="6">
        <f t="shared" si="26"/>
        <v>2.6956018518831115E-2</v>
      </c>
      <c r="N108" s="7">
        <f t="shared" si="39"/>
        <v>38.816666667116806</v>
      </c>
      <c r="O108" s="7"/>
      <c r="P108" s="7"/>
      <c r="Q108" s="22"/>
      <c r="R108" s="22"/>
      <c r="S108" s="31">
        <f t="shared" si="27"/>
        <v>1</v>
      </c>
      <c r="T108" s="46" t="str">
        <f t="shared" si="28"/>
        <v>Southbound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2" t="str">
        <f t="shared" si="29"/>
        <v>https://d0f6bd738d7f1b3e5a7ca70fe4ff75f0.us-east-1.aws.found.io/app/kibana#/discover/Steve-Slow-Train-Analysis-(2080s-and-2083s)?_g=(refreshInterval:(display:Off,pause:!f,section:0,value:0),time:(from:'2017-04-12T15:22:42-0600',mode:absolute,to:'2017-04-12T18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8" s="183" t="str">
        <f t="shared" si="30"/>
        <v>N</v>
      </c>
      <c r="X108" s="183">
        <f t="shared" si="31"/>
        <v>1</v>
      </c>
      <c r="Y108" s="62">
        <f t="shared" si="32"/>
        <v>23.304300000000001</v>
      </c>
      <c r="Z108" s="62">
        <f t="shared" si="33"/>
        <v>2.1999999999999999E-2</v>
      </c>
      <c r="AA108" s="62">
        <f t="shared" si="34"/>
        <v>23.282300000000003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5"/>
        <v>0196-12</v>
      </c>
      <c r="AE108" s="85" t="str">
        <f t="shared" si="36"/>
        <v>aws s3 cp s3://rtdc.mdm.uploadarchive.raw/RTDC4041/ "%USERPROFILE%\AppData\Local\Temp\OnboardLogs"\RTDC4041\2017-04-12 --exclude "*" --recursive --include "*20170412*" &amp; "%USERPROFILE%\Documents\GitHub\mrs-test-scripts\Headless Mode &amp; Sideloading\WalkAndUnGZ.bat" "%USERPROFILE%\AppData\Local\Temp\OnboardLogs"\RTDC4041\2017-04-12 &amp; aws s3 cp s3://rtdc.mdm.uploadarchive.raw/RTDC4041/ "%USERPROFILE%\AppData\Local\Temp\OnboardLogs"\RTDC4041\2017-04-13 --exclude "*" --recursive --include "*20170413*" &amp; "%USERPROFILE%\Documents\GitHub\mrs-test-scripts\Headless Mode &amp; Sideloading\WalkAndUnGZ.bat" "%USERPROFILE%\AppData\Local\Temp\OnboardLogs"\RTDC4041\2017-04-13</v>
      </c>
      <c r="AF108" s="82" t="str">
        <f t="shared" si="37"/>
        <v>"C:\Program Files (x86)\AstroGrep\AstroGrep.exe" /e /r /s /spath="%USERPROFILE%\AppData\Local\Temp\OnboardLogs" /stypes="app*4041*20170412*" /stext=" 23:.+((SYSTEM_STATE.+slice.+state.+changed )|(ment ac)|(multiple cpu faults)|(system.+state.+changed )|(\[timeout)|(PRM\|1\|D)|(kpr)|(kdp)|(\|lc)|(penalty))"</v>
      </c>
      <c r="AG108" s="1" t="str">
        <f t="shared" si="38"/>
        <v>EC</v>
      </c>
      <c r="AH108" s="86" t="str">
        <f t="shared" si="40"/>
        <v>"%USERPROFILE%\Documents\GitHub\eaglep3\Utilities\RefineRTDCRunTimes.py" --tripid 196-12 --locoid 4041 --swversion DE.1.0.9.0 --startMP 204:233043 --initTime 2017-04-12T16:22:42 --startdatetime 2017-04-12T16:26:12 --delay 1 --endMP 204:220 --enddatetime 2017-04-12T17:05:01 --enforcementcount 0 &gt;&gt;C:\Users\stu\Documents\GitHub\eaglep3-reporting\EC\2017-04-12-refined-times.txt</v>
      </c>
      <c r="AI108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{"issue":{"subject":"","project_id":79,"tracker_id":40,"status_id":1,"priority_id":2,"assigned_to_id":23,"start_date":"2017-04-12","description":"","custom_fields":[{"id":1,"name":"Subdivision","value":"EC"},{"id":4,"name":"Milepost","value":"0.022"},{"id":17,"name":"Train ID","value":"196-12"},{"id":16,"name":"Locomotive ID","value":"4041"},{"id":130,"name":"Impact","value":""},{"id":150,"name":"Time of Event (Mountain Time)","value":"17:05:01"},{"id":151,"name":"Denver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8"/>
      <c r="AL108" s="48"/>
      <c r="AM108" s="150" t="str">
        <f t="shared" si="42"/>
        <v>start /low /b %USERPROFILE%\Documents\GitHub\eaglep3\Utilities\DownloadLogsFromS3.py --loco 4041 --day 2017-04-12</v>
      </c>
      <c r="AN108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23:05:01"},{"id":29,"name":"Sharepoint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643</v>
      </c>
      <c r="B109" s="7">
        <v>4020</v>
      </c>
      <c r="C109" s="21" t="s">
        <v>214</v>
      </c>
      <c r="D109" s="21" t="s">
        <v>514</v>
      </c>
      <c r="E109" s="13">
        <v>42837.652766203704</v>
      </c>
      <c r="F109" s="13">
        <v>42837.656423611108</v>
      </c>
      <c r="G109" s="7">
        <v>1</v>
      </c>
      <c r="H109" s="21" t="s">
        <v>920</v>
      </c>
      <c r="I109" s="13">
        <v>42837.681793981479</v>
      </c>
      <c r="J109" s="7">
        <v>0</v>
      </c>
      <c r="K109" s="97" t="str">
        <f t="shared" si="25"/>
        <v>4019/4020</v>
      </c>
      <c r="L109" s="21" t="str">
        <f>VLOOKUP(A109,'Trips&amp;Operators'!$C$1:$G$99999,5,FALSE)</f>
        <v>LEVIN SCOTT</v>
      </c>
      <c r="M109" s="6">
        <f t="shared" si="26"/>
        <v>2.5370370371092577E-2</v>
      </c>
      <c r="N109" s="7">
        <f t="shared" si="39"/>
        <v>36.53333333437331</v>
      </c>
      <c r="O109" s="7"/>
      <c r="P109" s="7"/>
      <c r="Q109" s="22"/>
      <c r="R109" s="22"/>
      <c r="S109" s="31">
        <f t="shared" si="27"/>
        <v>1</v>
      </c>
      <c r="T109" s="46" t="str">
        <f t="shared" si="28"/>
        <v>NorthBound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 t="shared" si="29"/>
        <v>https://d0f6bd738d7f1b3e5a7ca70fe4ff75f0.us-east-1.aws.found.io/app/kibana#/discover/Steve-Slow-Train-Analysis-(2080s-and-2083s)?_g=(refreshInterval:(display:Off,pause:!f,section:0,value:0),time:(from:'2017-04-12T14:39:59-0600',mode:absolute,to:'2017-04-12T17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9" s="183" t="str">
        <f t="shared" si="30"/>
        <v>N</v>
      </c>
      <c r="X109" s="183">
        <f t="shared" si="31"/>
        <v>1</v>
      </c>
      <c r="Y109" s="62">
        <f t="shared" si="32"/>
        <v>4.4699999999999997E-2</v>
      </c>
      <c r="Z109" s="62">
        <f t="shared" si="33"/>
        <v>23.337599999999998</v>
      </c>
      <c r="AA109" s="62">
        <f t="shared" si="34"/>
        <v>23.292899999999999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5"/>
        <v>0197-12</v>
      </c>
      <c r="AE109" s="85" t="str">
        <f t="shared" si="36"/>
        <v>aws s3 cp s3://rtdc.mdm.uploadarchive.raw/RTDC4020/ "%USERPROFILE%\AppData\Local\Temp\OnboardLogs"\RTDC4020\2017-04-12 --exclude "*" --recursive --include "*20170412*" &amp; "%USERPROFILE%\Documents\GitHub\mrs-test-scripts\Headless Mode &amp; Sideloading\WalkAndUnGZ.bat" "%USERPROFILE%\AppData\Local\Temp\OnboardLogs"\RTDC4020\2017-04-12 &amp; aws s3 cp s3://rtdc.mdm.uploadarchive.raw/RTDC4020/ "%USERPROFILE%\AppData\Local\Temp\OnboardLogs"\RTDC4020\2017-04-13 --exclude "*" --recursive --include "*20170413*" &amp; "%USERPROFILE%\Documents\GitHub\mrs-test-scripts\Headless Mode &amp; Sideloading\WalkAndUnGZ.bat" "%USERPROFILE%\AppData\Local\Temp\OnboardLogs"\RTDC4020\2017-04-13</v>
      </c>
      <c r="AF109" s="82" t="str">
        <f t="shared" si="37"/>
        <v>"C:\Program Files (x86)\AstroGrep\AstroGrep.exe" /e /r /s /spath="%USERPROFILE%\AppData\Local\Temp\OnboardLogs" /stypes="app*4020*20170412*" /stext=" 22:.+((SYSTEM_STATE.+slice.+state.+changed )|(ment ac)|(multiple cpu faults)|(system.+state.+changed )|(\[timeout)|(PRM\|1\|D)|(kpr)|(kdp)|(\|lc)|(penalty))"</v>
      </c>
      <c r="AG109" s="1" t="str">
        <f t="shared" si="38"/>
        <v>EC</v>
      </c>
      <c r="AH109" s="86" t="str">
        <f t="shared" si="40"/>
        <v>"%USERPROFILE%\Documents\GitHub\eaglep3\Utilities\RefineRTDCRunTimes.py" --tripid 197-12 --locoid 4020 --swversion DE.1.0.9.0 --startMP 204:447 --initTime 2017-04-12T15:39:59 --startdatetime 2017-04-12T15:45:15 --delay 1 --endMP 204:233376 --enddatetime 2017-04-12T16:21:47 --enforcementcount 0 &gt;&gt;C:\Users\stu\Documents\GitHub\eaglep3-reporting\EC\2017-04-12-refined-times.txt</v>
      </c>
      <c r="AI109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{"issue":{"subject":"","project_id":79,"tracker_id":40,"status_id":1,"priority_id":2,"assigned_to_id":23,"start_date":"2017-04-12","description":"","custom_fields":[{"id":1,"name":"Subdivision","value":"EC"},{"id":4,"name":"Milepost","value":"23.3376"},{"id":17,"name":"Train ID","value":"197-12"},{"id":16,"name":"Locomotive ID","value":"4020"},{"id":130,"name":"Impact","value":""},{"id":150,"name":"Time of Event (Mountain Time)","value":"16:21:47"},{"id":151,"name":"Denver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8"/>
      <c r="AL109" s="48"/>
      <c r="AM109" s="150" t="str">
        <f t="shared" si="42"/>
        <v>start /low /b %USERPROFILE%\Documents\GitHub\eaglep3\Utilities\DownloadLogsFromS3.py --loco 4020 --day 2017-04-12</v>
      </c>
      <c r="AN109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22:21:47"},{"id":29,"name":"Sharepoint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646</v>
      </c>
      <c r="B110" s="7">
        <v>4019</v>
      </c>
      <c r="C110" s="21" t="s">
        <v>214</v>
      </c>
      <c r="D110" s="21" t="s">
        <v>896</v>
      </c>
      <c r="E110" s="13">
        <v>42837.691932870373</v>
      </c>
      <c r="F110" s="13">
        <v>42837.695324074077</v>
      </c>
      <c r="G110" s="7">
        <v>1</v>
      </c>
      <c r="H110" s="21" t="s">
        <v>901</v>
      </c>
      <c r="I110" s="13">
        <v>42837.722743055558</v>
      </c>
      <c r="J110" s="7">
        <v>0</v>
      </c>
      <c r="K110" s="97" t="str">
        <f t="shared" si="25"/>
        <v>4019/4020</v>
      </c>
      <c r="L110" s="21" t="str">
        <f>VLOOKUP(A110,'Trips&amp;Operators'!$C$1:$G$99999,5,FALSE)</f>
        <v>LEVIN SCOTT</v>
      </c>
      <c r="M110" s="6">
        <f t="shared" si="26"/>
        <v>2.7418981480877846E-2</v>
      </c>
      <c r="N110" s="7">
        <f t="shared" ref="N110:N141" si="44">24*60*SUM($M110:$M110)</f>
        <v>39.483333332464099</v>
      </c>
      <c r="O110" s="7"/>
      <c r="P110" s="7"/>
      <c r="Q110" s="22"/>
      <c r="R110" s="22"/>
      <c r="S110" s="31">
        <f t="shared" si="27"/>
        <v>1</v>
      </c>
      <c r="T110" s="46" t="str">
        <f t="shared" si="28"/>
        <v>Southbound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 t="shared" si="29"/>
        <v>https://d0f6bd738d7f1b3e5a7ca70fe4ff75f0.us-east-1.aws.found.io/app/kibana#/discover/Steve-Slow-Train-Analysis-(2080s-and-2083s)?_g=(refreshInterval:(display:Off,pause:!f,section:0,value:0),time:(from:'2017-04-12T15:36:23-0600',mode:absolute,to:'2017-04-12T18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0" s="183" t="str">
        <f t="shared" si="30"/>
        <v>N</v>
      </c>
      <c r="X110" s="183">
        <f t="shared" si="31"/>
        <v>1</v>
      </c>
      <c r="Y110" s="62">
        <f t="shared" si="32"/>
        <v>23.3063</v>
      </c>
      <c r="Z110" s="62">
        <f t="shared" si="33"/>
        <v>1.2500000000000001E-2</v>
      </c>
      <c r="AA110" s="62">
        <f t="shared" si="34"/>
        <v>23.293800000000001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5"/>
        <v>0198-12</v>
      </c>
      <c r="AE110" s="85" t="str">
        <f t="shared" si="36"/>
        <v>aws s3 cp s3://rtdc.mdm.uploadarchive.raw/RTDC4019/ "%USERPROFILE%\AppData\Local\Temp\OnboardLogs"\RTDC4019\2017-04-12 --exclude "*" --recursive --include "*20170412*" &amp; "%USERPROFILE%\Documents\GitHub\mrs-test-scripts\Headless Mode &amp; Sideloading\WalkAndUnGZ.bat" "%USERPROFILE%\AppData\Local\Temp\OnboardLogs"\RTDC4019\2017-04-12 &amp; aws s3 cp s3://rtdc.mdm.uploadarchive.raw/RTDC4019/ "%USERPROFILE%\AppData\Local\Temp\OnboardLogs"\RTDC4019\2017-04-13 --exclude "*" --recursive --include "*20170413*" &amp; "%USERPROFILE%\Documents\GitHub\mrs-test-scripts\Headless Mode &amp; Sideloading\WalkAndUnGZ.bat" "%USERPROFILE%\AppData\Local\Temp\OnboardLogs"\RTDC4019\2017-04-13</v>
      </c>
      <c r="AF110" s="82" t="str">
        <f t="shared" si="37"/>
        <v>"C:\Program Files (x86)\AstroGrep\AstroGrep.exe" /e /r /s /spath="%USERPROFILE%\AppData\Local\Temp\OnboardLogs" /stypes="app*4019*20170412*" /stext=" 23:.+((SYSTEM_STATE.+slice.+state.+changed )|(ment ac)|(multiple cpu faults)|(system.+state.+changed )|(\[timeout)|(PRM\|1\|D)|(kpr)|(kdp)|(\|lc)|(penalty))"</v>
      </c>
      <c r="AG110" s="1" t="str">
        <f t="shared" si="38"/>
        <v>EC</v>
      </c>
      <c r="AH110" s="86" t="str">
        <f t="shared" si="40"/>
        <v>"%USERPROFILE%\Documents\GitHub\eaglep3\Utilities\RefineRTDCRunTimes.py" --tripid 198-12 --locoid 4019 --swversion DE.1.0.9.0 --startMP 204:233063 --initTime 2017-04-12T16:36:23 --startdatetime 2017-04-12T16:41:16 --delay 1 --endMP 204:125 --enddatetime 2017-04-12T17:20:45 --enforcementcount 0 &gt;&gt;C:\Users\stu\Documents\GitHub\eaglep3-reporting\EC\2017-04-12-refined-times.txt</v>
      </c>
      <c r="AI110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{"issue":{"subject":"","project_id":79,"tracker_id":40,"status_id":1,"priority_id":2,"assigned_to_id":23,"start_date":"2017-04-12","description":"","custom_fields":[{"id":1,"name":"Subdivision","value":"EC"},{"id":4,"name":"Milepost","value":"0.0125"},{"id":17,"name":"Train ID","value":"198-12"},{"id":16,"name":"Locomotive ID","value":"4019"},{"id":130,"name":"Impact","value":""},{"id":150,"name":"Time of Event (Mountain Time)","value":"17:20:45"},{"id":151,"name":"Denver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8"/>
      <c r="AL110" s="48"/>
      <c r="AM110" s="150" t="str">
        <f t="shared" si="42"/>
        <v>start /low /b %USERPROFILE%\Documents\GitHub\eaglep3\Utilities\DownloadLogsFromS3.py --loco 4019 --day 2017-04-12</v>
      </c>
      <c r="AN110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23:20:45"},{"id":29,"name":"Sharepoint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3" t="s">
        <v>644</v>
      </c>
      <c r="B111" s="7">
        <v>4040</v>
      </c>
      <c r="C111" s="21" t="s">
        <v>214</v>
      </c>
      <c r="D111" s="21" t="s">
        <v>408</v>
      </c>
      <c r="E111" s="13">
        <v>42837.662893518522</v>
      </c>
      <c r="F111" s="13">
        <v>42837.667187500003</v>
      </c>
      <c r="G111" s="7">
        <v>1</v>
      </c>
      <c r="H111" s="21" t="s">
        <v>921</v>
      </c>
      <c r="I111" s="13">
        <v>42837.692939814813</v>
      </c>
      <c r="J111" s="7">
        <v>0</v>
      </c>
      <c r="K111" s="97" t="str">
        <f t="shared" si="25"/>
        <v>4039/4040</v>
      </c>
      <c r="L111" s="21" t="str">
        <f>VLOOKUP(A111,'Trips&amp;Operators'!$C$1:$G$99999,5,FALSE)</f>
        <v>STRICKLAND EVAN</v>
      </c>
      <c r="M111" s="6">
        <f t="shared" si="26"/>
        <v>2.5752314810233656E-2</v>
      </c>
      <c r="N111" s="7">
        <f t="shared" si="44"/>
        <v>37.083333326736465</v>
      </c>
      <c r="O111" s="7"/>
      <c r="P111" s="7"/>
      <c r="Q111" s="22"/>
      <c r="R111" s="22"/>
      <c r="S111" s="31">
        <f t="shared" si="27"/>
        <v>1</v>
      </c>
      <c r="T111" s="46" t="str">
        <f t="shared" si="28"/>
        <v>NorthBound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 t="shared" si="29"/>
        <v>https://d0f6bd738d7f1b3e5a7ca70fe4ff75f0.us-east-1.aws.found.io/app/kibana#/discover/Steve-Slow-Train-Analysis-(2080s-and-2083s)?_g=(refreshInterval:(display:Off,pause:!f,section:0,value:0),time:(from:'2017-04-12T14:54:34-0600',mode:absolute,to:'2017-04-12T17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1" s="183" t="str">
        <f t="shared" si="30"/>
        <v>N</v>
      </c>
      <c r="X111" s="183">
        <f t="shared" si="31"/>
        <v>1</v>
      </c>
      <c r="Y111" s="62">
        <f t="shared" si="32"/>
        <v>4.6199999999999998E-2</v>
      </c>
      <c r="Z111" s="62">
        <f t="shared" si="33"/>
        <v>23.334</v>
      </c>
      <c r="AA111" s="62">
        <f t="shared" si="34"/>
        <v>23.287800000000001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5"/>
        <v>0199-12</v>
      </c>
      <c r="AE111" s="85" t="str">
        <f t="shared" si="36"/>
        <v>aws s3 cp s3://rtdc.mdm.uploadarchive.raw/RTDC4040/ "%USERPROFILE%\AppData\Local\Temp\OnboardLogs"\RTDC4040\2017-04-12 --exclude "*" --recursive --include "*20170412*" &amp; "%USERPROFILE%\Documents\GitHub\mrs-test-scripts\Headless Mode &amp; Sideloading\WalkAndUnGZ.bat" "%USERPROFILE%\AppData\Local\Temp\OnboardLogs"\RTDC4040\2017-04-12 &amp; aws s3 cp s3://rtdc.mdm.uploadarchive.raw/RTDC4040/ "%USERPROFILE%\AppData\Local\Temp\OnboardLogs"\RTDC4040\2017-04-13 --exclude "*" --recursive --include "*20170413*" &amp; "%USERPROFILE%\Documents\GitHub\mrs-test-scripts\Headless Mode &amp; Sideloading\WalkAndUnGZ.bat" "%USERPROFILE%\AppData\Local\Temp\OnboardLogs"\RTDC4040\2017-04-13</v>
      </c>
      <c r="AF111" s="82" t="str">
        <f t="shared" si="37"/>
        <v>"C:\Program Files (x86)\AstroGrep\AstroGrep.exe" /e /r /s /spath="%USERPROFILE%\AppData\Local\Temp\OnboardLogs" /stypes="app*4040*20170412*" /stext=" 22:.+((SYSTEM_STATE.+slice.+state.+changed )|(ment ac)|(multiple cpu faults)|(system.+state.+changed )|(\[timeout)|(PRM\|1\|D)|(kpr)|(kdp)|(\|lc)|(penalty))"</v>
      </c>
      <c r="AG111" s="1" t="str">
        <f t="shared" si="38"/>
        <v>EC</v>
      </c>
      <c r="AH111" s="86" t="str">
        <f t="shared" si="40"/>
        <v>"%USERPROFILE%\Documents\GitHub\eaglep3\Utilities\RefineRTDCRunTimes.py" --tripid 199-12 --locoid 4040 --swversion DE.1.0.9.0 --startMP 204:462 --initTime 2017-04-12T15:54:34 --startdatetime 2017-04-12T16:00:45 --delay 1 --endMP 204:233340 --enddatetime 2017-04-12T16:37:50 --enforcementcount 0 &gt;&gt;C:\Users\stu\Documents\GitHub\eaglep3-reporting\EC\2017-04-12-refined-times.txt</v>
      </c>
      <c r="AI111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{"issue":{"subject":"","project_id":79,"tracker_id":40,"status_id":1,"priority_id":2,"assigned_to_id":23,"start_date":"2017-04-12","description":"","custom_fields":[{"id":1,"name":"Subdivision","value":"EC"},{"id":4,"name":"Milepost","value":"23.334"},{"id":17,"name":"Train ID","value":"199-12"},{"id":16,"name":"Locomotive ID","value":"4040"},{"id":130,"name":"Impact","value":""},{"id":150,"name":"Time of Event (Mountain Time)","value":"16:37:50"},{"id":151,"name":"Denver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20"/>
      <c r="AK111" s="48"/>
      <c r="AL111" s="48"/>
      <c r="AM111" s="150" t="str">
        <f t="shared" si="42"/>
        <v>start /low /b %USERPROFILE%\Documents\GitHub\eaglep3\Utilities\DownloadLogsFromS3.py --loco 4040 --day 2017-04-12</v>
      </c>
      <c r="AN111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22:37:50"},{"id":29,"name":"Sharepoint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2" spans="1:91" s="20" customFormat="1" x14ac:dyDescent="0.25">
      <c r="A112" s="33" t="s">
        <v>791</v>
      </c>
      <c r="B112" s="7">
        <v>4039</v>
      </c>
      <c r="C112" s="21" t="s">
        <v>214</v>
      </c>
      <c r="D112" s="21" t="s">
        <v>922</v>
      </c>
      <c r="E112" s="13">
        <v>42837.695949074077</v>
      </c>
      <c r="F112" s="13">
        <v>42837.705775462964</v>
      </c>
      <c r="G112" s="7">
        <v>1</v>
      </c>
      <c r="H112" s="21" t="s">
        <v>203</v>
      </c>
      <c r="I112" s="13">
        <v>42837.734178240738</v>
      </c>
      <c r="J112" s="7">
        <v>0</v>
      </c>
      <c r="K112" s="97" t="str">
        <f t="shared" si="25"/>
        <v>4039/4040</v>
      </c>
      <c r="L112" s="21" t="str">
        <f>VLOOKUP(A112,'Trips&amp;Operators'!$C$1:$G$99999,5,FALSE)</f>
        <v>STRICKLAND EVAN</v>
      </c>
      <c r="M112" s="6">
        <f t="shared" si="26"/>
        <v>2.8402777774317656E-2</v>
      </c>
      <c r="N112" s="7">
        <f t="shared" si="44"/>
        <v>40.899999995017424</v>
      </c>
      <c r="O112" s="7"/>
      <c r="P112" s="7"/>
      <c r="Q112" s="22"/>
      <c r="R112" s="22"/>
      <c r="S112" s="31">
        <f t="shared" si="27"/>
        <v>1</v>
      </c>
      <c r="T112" s="46" t="str">
        <f t="shared" si="28"/>
        <v>Southbound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 t="shared" si="29"/>
        <v>https://d0f6bd738d7f1b3e5a7ca70fe4ff75f0.us-east-1.aws.found.io/app/kibana#/discover/Steve-Slow-Train-Analysis-(2080s-and-2083s)?_g=(refreshInterval:(display:Off,pause:!f,section:0,value:0),time:(from:'2017-04-12T15:42:10-0600',mode:absolute,to:'2017-04-12T18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2" s="183" t="str">
        <f t="shared" si="30"/>
        <v>N</v>
      </c>
      <c r="X112" s="183">
        <f t="shared" si="31"/>
        <v>1</v>
      </c>
      <c r="Y112" s="62">
        <f t="shared" si="32"/>
        <v>23.300999999999998</v>
      </c>
      <c r="Z112" s="62">
        <f t="shared" si="33"/>
        <v>1.54E-2</v>
      </c>
      <c r="AA112" s="62">
        <f t="shared" si="34"/>
        <v>23.285599999999999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5"/>
        <v>0200-12</v>
      </c>
      <c r="AE112" s="85" t="str">
        <f t="shared" si="36"/>
        <v>aws s3 cp s3://rtdc.mdm.uploadarchive.raw/RTDC4039/ "%USERPROFILE%\AppData\Local\Temp\OnboardLogs"\RTDC4039\2017-04-12 --exclude "*" --recursive --include "*20170412*" &amp; "%USERPROFILE%\Documents\GitHub\mrs-test-scripts\Headless Mode &amp; Sideloading\WalkAndUnGZ.bat" "%USERPROFILE%\AppData\Local\Temp\OnboardLogs"\RTDC4039\2017-04-12 &amp; aws s3 cp s3://rtdc.mdm.uploadarchive.raw/RTDC4039/ "%USERPROFILE%\AppData\Local\Temp\OnboardLogs"\RTDC4039\2017-04-13 --exclude "*" --recursive --include "*20170413*" &amp; "%USERPROFILE%\Documents\GitHub\mrs-test-scripts\Headless Mode &amp; Sideloading\WalkAndUnGZ.bat" "%USERPROFILE%\AppData\Local\Temp\OnboardLogs"\RTDC4039\2017-04-13</v>
      </c>
      <c r="AF112" s="82" t="str">
        <f t="shared" si="37"/>
        <v>"C:\Program Files (x86)\AstroGrep\AstroGrep.exe" /e /r /s /spath="%USERPROFILE%\AppData\Local\Temp\OnboardLogs" /stypes="app*4039*20170412*" /stext=" 23:.+((SYSTEM_STATE.+slice.+state.+changed )|(ment ac)|(multiple cpu faults)|(system.+state.+changed )|(\[timeout)|(PRM\|1\|D)|(kpr)|(kdp)|(\|lc)|(penalty))"</v>
      </c>
      <c r="AG112" s="1" t="str">
        <f t="shared" si="38"/>
        <v>EC</v>
      </c>
      <c r="AH112" s="86" t="str">
        <f t="shared" si="40"/>
        <v>"%USERPROFILE%\Documents\GitHub\eaglep3\Utilities\RefineRTDCRunTimes.py" --tripid 200-12 --locoid 4039 --swversion DE.1.0.9.0 --startMP 204:233010 --initTime 2017-04-12T16:42:10 --startdatetime 2017-04-12T16:56:19 --delay 1 --endMP 204:154 --enddatetime 2017-04-12T17:37:13 --enforcementcount 0 &gt;&gt;C:\Users\stu\Documents\GitHub\eaglep3-reporting\EC\2017-04-12-refined-times.txt</v>
      </c>
      <c r="AI112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{"issue":{"subject":"","project_id":79,"tracker_id":40,"status_id":1,"priority_id":2,"assigned_to_id":23,"start_date":"2017-04-12","description":"","custom_fields":[{"id":1,"name":"Subdivision","value":"EC"},{"id":4,"name":"Milepost","value":"0.0154"},{"id":17,"name":"Train ID","value":"200-12"},{"id":16,"name":"Locomotive ID","value":"4039"},{"id":130,"name":"Impact","value":""},{"id":150,"name":"Time of Event (Mountain Time)","value":"17:37:13"},{"id":151,"name":"Denver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8"/>
      <c r="AL112" s="48"/>
      <c r="AM112" s="150" t="str">
        <f t="shared" si="42"/>
        <v>start /low /b %USERPROFILE%\Documents\GitHub\eaglep3\Utilities\DownloadLogsFromS3.py --loco 4039 --day 2017-04-12</v>
      </c>
      <c r="AN112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23:37:13"},{"id":29,"name":"Sharepoint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787</v>
      </c>
      <c r="B113" s="7">
        <v>4032</v>
      </c>
      <c r="C113" s="21" t="s">
        <v>214</v>
      </c>
      <c r="D113" s="21" t="s">
        <v>391</v>
      </c>
      <c r="E113" s="13">
        <v>42837.672789351855</v>
      </c>
      <c r="F113" s="13">
        <v>42837.677476851852</v>
      </c>
      <c r="G113" s="7">
        <v>1</v>
      </c>
      <c r="H113" s="21" t="s">
        <v>923</v>
      </c>
      <c r="I113" s="13">
        <v>42837.703043981484</v>
      </c>
      <c r="J113" s="7">
        <v>0</v>
      </c>
      <c r="K113" s="97" t="str">
        <f t="shared" si="25"/>
        <v>4031/4032</v>
      </c>
      <c r="L113" s="21" t="str">
        <f>VLOOKUP(A113,'Trips&amp;Operators'!$C$1:$G$99999,5,FALSE)</f>
        <v>DELGADO DIANAH</v>
      </c>
      <c r="M113" s="6">
        <f t="shared" si="26"/>
        <v>2.5567129632690921E-2</v>
      </c>
      <c r="N113" s="7">
        <f t="shared" si="44"/>
        <v>36.816666671074927</v>
      </c>
      <c r="O113" s="7"/>
      <c r="P113" s="7"/>
      <c r="Q113" s="22"/>
      <c r="R113" s="22"/>
      <c r="S113" s="31">
        <f t="shared" si="27"/>
        <v>1</v>
      </c>
      <c r="T113" s="46" t="str">
        <f t="shared" si="28"/>
        <v>NorthBound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 t="shared" si="29"/>
        <v>https://d0f6bd738d7f1b3e5a7ca70fe4ff75f0.us-east-1.aws.found.io/app/kibana#/discover/Steve-Slow-Train-Analysis-(2080s-and-2083s)?_g=(refreshInterval:(display:Off,pause:!f,section:0,value:0),time:(from:'2017-04-12T15:08:49-0600',mode:absolute,to:'2017-04-12T17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3" s="183" t="str">
        <f t="shared" si="30"/>
        <v>N</v>
      </c>
      <c r="X113" s="183">
        <f t="shared" si="31"/>
        <v>1</v>
      </c>
      <c r="Y113" s="62">
        <f t="shared" si="32"/>
        <v>4.4900000000000002E-2</v>
      </c>
      <c r="Z113" s="62">
        <f t="shared" si="33"/>
        <v>23.338699999999999</v>
      </c>
      <c r="AA113" s="62">
        <f t="shared" si="34"/>
        <v>23.293800000000001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5"/>
        <v>0201-12</v>
      </c>
      <c r="AE113" s="85" t="str">
        <f t="shared" si="36"/>
        <v>aws s3 cp s3://rtdc.mdm.uploadarchive.raw/RTDC4032/ "%USERPROFILE%\AppData\Local\Temp\OnboardLogs"\RTDC4032\2017-04-12 --exclude "*" --recursive --include "*20170412*" &amp; "%USERPROFILE%\Documents\GitHub\mrs-test-scripts\Headless Mode &amp; Sideloading\WalkAndUnGZ.bat" "%USERPROFILE%\AppData\Local\Temp\OnboardLogs"\RTDC4032\2017-04-12 &amp; aws s3 cp s3://rtdc.mdm.uploadarchive.raw/RTDC4032/ "%USERPROFILE%\AppData\Local\Temp\OnboardLogs"\RTDC4032\2017-04-13 --exclude "*" --recursive --include "*20170413*" &amp; "%USERPROFILE%\Documents\GitHub\mrs-test-scripts\Headless Mode &amp; Sideloading\WalkAndUnGZ.bat" "%USERPROFILE%\AppData\Local\Temp\OnboardLogs"\RTDC4032\2017-04-13</v>
      </c>
      <c r="AF113" s="82" t="str">
        <f t="shared" si="37"/>
        <v>"C:\Program Files (x86)\AstroGrep\AstroGrep.exe" /e /r /s /spath="%USERPROFILE%\AppData\Local\Temp\OnboardLogs" /stypes="app*4032*20170412*" /stext=" 22:.+((SYSTEM_STATE.+slice.+state.+changed )|(ment ac)|(multiple cpu faults)|(system.+state.+changed )|(\[timeout)|(PRM\|1\|D)|(kpr)|(kdp)|(\|lc)|(penalty))"</v>
      </c>
      <c r="AG113" s="1" t="str">
        <f t="shared" si="38"/>
        <v>EC</v>
      </c>
      <c r="AH113" s="86" t="str">
        <f t="shared" si="40"/>
        <v>"%USERPROFILE%\Documents\GitHub\eaglep3\Utilities\RefineRTDCRunTimes.py" --tripid 201-12 --locoid 4032 --swversion DE.1.0.9.0 --startMP 204:449 --initTime 2017-04-12T16:08:49 --startdatetime 2017-04-12T16:15:34 --delay 1 --endMP 204:233387 --enddatetime 2017-04-12T16:52:23 --enforcementcount 0 &gt;&gt;C:\Users\stu\Documents\GitHub\eaglep3-reporting\EC\2017-04-12-refined-times.txt</v>
      </c>
      <c r="AI113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{"issue":{"subject":"","project_id":79,"tracker_id":40,"status_id":1,"priority_id":2,"assigned_to_id":23,"start_date":"2017-04-12","description":"","custom_fields":[{"id":1,"name":"Subdivision","value":"EC"},{"id":4,"name":"Milepost","value":"23.3387"},{"id":17,"name":"Train ID","value":"201-12"},{"id":16,"name":"Locomotive ID","value":"4032"},{"id":130,"name":"Impact","value":""},{"id":150,"name":"Time of Event (Mountain Time)","value":"16:52:23"},{"id":151,"name":"Denver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8"/>
      <c r="AL113" s="48"/>
      <c r="AM113" s="150" t="str">
        <f t="shared" si="42"/>
        <v>start /low /b %USERPROFILE%\Documents\GitHub\eaglep3\Utilities\DownloadLogsFromS3.py --loco 4032 --day 2017-04-12</v>
      </c>
      <c r="AN113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22:52:23"},{"id":29,"name":"Sharepoint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794</v>
      </c>
      <c r="B114" s="7">
        <v>4031</v>
      </c>
      <c r="C114" s="21" t="s">
        <v>214</v>
      </c>
      <c r="D114" s="21" t="s">
        <v>924</v>
      </c>
      <c r="E114" s="13">
        <v>42837.710486111115</v>
      </c>
      <c r="F114" s="13">
        <v>42837.716828703706</v>
      </c>
      <c r="G114" s="7">
        <v>1</v>
      </c>
      <c r="H114" s="21" t="s">
        <v>197</v>
      </c>
      <c r="I114" s="13">
        <v>42837.746458333335</v>
      </c>
      <c r="J114" s="7">
        <v>0</v>
      </c>
      <c r="K114" s="97" t="str">
        <f t="shared" si="25"/>
        <v>4031/4032</v>
      </c>
      <c r="L114" s="21" t="str">
        <f>VLOOKUP(A114,'Trips&amp;Operators'!$C$1:$G$99999,5,FALSE)</f>
        <v>DELGADO DIANAH</v>
      </c>
      <c r="M114" s="6">
        <f t="shared" si="26"/>
        <v>2.9629629629198462E-2</v>
      </c>
      <c r="N114" s="7">
        <f t="shared" si="44"/>
        <v>42.666666666045785</v>
      </c>
      <c r="O114" s="7"/>
      <c r="P114" s="7"/>
      <c r="Q114" s="22"/>
      <c r="R114" s="22"/>
      <c r="S114" s="31">
        <f t="shared" si="27"/>
        <v>1</v>
      </c>
      <c r="T114" s="46" t="str">
        <f t="shared" si="28"/>
        <v>Southbound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 t="shared" si="29"/>
        <v>https://d0f6bd738d7f1b3e5a7ca70fe4ff75f0.us-east-1.aws.found.io/app/kibana#/discover/Steve-Slow-Train-Analysis-(2080s-and-2083s)?_g=(refreshInterval:(display:Off,pause:!f,section:0,value:0),time:(from:'2017-04-12T16:03:06-0600',mode:absolute,to:'2017-04-12T18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4" s="183" t="str">
        <f t="shared" si="30"/>
        <v>N</v>
      </c>
      <c r="X114" s="183">
        <f t="shared" si="31"/>
        <v>1</v>
      </c>
      <c r="Y114" s="62">
        <f t="shared" si="32"/>
        <v>23.308199999999999</v>
      </c>
      <c r="Z114" s="62">
        <f t="shared" si="33"/>
        <v>1.52E-2</v>
      </c>
      <c r="AA114" s="62">
        <f t="shared" si="34"/>
        <v>23.292999999999999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5"/>
        <v>0202-12</v>
      </c>
      <c r="AE114" s="85" t="str">
        <f t="shared" si="36"/>
        <v>aws s3 cp s3://rtdc.mdm.uploadarchive.raw/RTDC4031/ "%USERPROFILE%\AppData\Local\Temp\OnboardLogs"\RTDC4031\2017-04-12 --exclude "*" --recursive --include "*20170412*" &amp; "%USERPROFILE%\Documents\GitHub\mrs-test-scripts\Headless Mode &amp; Sideloading\WalkAndUnGZ.bat" "%USERPROFILE%\AppData\Local\Temp\OnboardLogs"\RTDC4031\2017-04-12 &amp; aws s3 cp s3://rtdc.mdm.uploadarchive.raw/RTDC4031/ "%USERPROFILE%\AppData\Local\Temp\OnboardLogs"\RTDC4031\2017-04-13 --exclude "*" --recursive --include "*20170413*" &amp; "%USERPROFILE%\Documents\GitHub\mrs-test-scripts\Headless Mode &amp; Sideloading\WalkAndUnGZ.bat" "%USERPROFILE%\AppData\Local\Temp\OnboardLogs"\RTDC4031\2017-04-13</v>
      </c>
      <c r="AF114" s="82" t="str">
        <f t="shared" si="37"/>
        <v>"C:\Program Files (x86)\AstroGrep\AstroGrep.exe" /e /r /s /spath="%USERPROFILE%\AppData\Local\Temp\OnboardLogs" /stypes="app*4031*20170412*" /stext=" 23:.+((SYSTEM_STATE.+slice.+state.+changed )|(ment ac)|(multiple cpu faults)|(system.+state.+changed )|(\[timeout)|(PRM\|1\|D)|(kpr)|(kdp)|(\|lc)|(penalty))"</v>
      </c>
      <c r="AG114" s="1" t="str">
        <f t="shared" si="38"/>
        <v>EC</v>
      </c>
      <c r="AH114" s="86" t="str">
        <f t="shared" si="40"/>
        <v>"%USERPROFILE%\Documents\GitHub\eaglep3\Utilities\RefineRTDCRunTimes.py" --tripid 202-12 --locoid 4031 --swversion DE.1.0.9.0 --startMP 204:233082 --initTime 2017-04-12T17:03:06 --startdatetime 2017-04-12T17:12:14 --delay 1 --endMP 204:152 --enddatetime 2017-04-12T17:54:54 --enforcementcount 0 &gt;&gt;C:\Users\stu\Documents\GitHub\eaglep3-reporting\EC\2017-04-12-refined-times.txt</v>
      </c>
      <c r="AI114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{"issue":{"subject":"","project_id":79,"tracker_id":40,"status_id":1,"priority_id":2,"assigned_to_id":23,"start_date":"2017-04-12","description":"","custom_fields":[{"id":1,"name":"Subdivision","value":"EC"},{"id":4,"name":"Milepost","value":"0.0152"},{"id":17,"name":"Train ID","value":"202-12"},{"id":16,"name":"Locomotive ID","value":"4031"},{"id":130,"name":"Impact","value":""},{"id":150,"name":"Time of Event (Mountain Time)","value":"17:54:54"},{"id":151,"name":"Denver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8"/>
      <c r="AL114" s="48"/>
      <c r="AM114" s="150" t="str">
        <f t="shared" si="42"/>
        <v>start /low /b %USERPROFILE%\Documents\GitHub\eaglep3\Utilities\DownloadLogsFromS3.py --loco 4031 --day 2017-04-12</v>
      </c>
      <c r="AN114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23:54:54"},{"id":29,"name":"Sharepoint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789</v>
      </c>
      <c r="B115" s="7">
        <v>4054</v>
      </c>
      <c r="C115" s="21" t="s">
        <v>214</v>
      </c>
      <c r="D115" s="21" t="s">
        <v>204</v>
      </c>
      <c r="E115" s="13">
        <v>42837.684884259259</v>
      </c>
      <c r="F115" s="13">
        <v>42837.687719907408</v>
      </c>
      <c r="G115" s="7">
        <v>2</v>
      </c>
      <c r="H115" s="21" t="s">
        <v>456</v>
      </c>
      <c r="I115" s="13">
        <v>42837.712743055556</v>
      </c>
      <c r="J115" s="7">
        <v>0</v>
      </c>
      <c r="K115" s="97" t="str">
        <f t="shared" si="25"/>
        <v>4053/4054</v>
      </c>
      <c r="L115" s="21" t="str">
        <f>VLOOKUP(A115,'Trips&amp;Operators'!$C$1:$G$99999,5,FALSE)</f>
        <v>ARVIDSON DANIEL</v>
      </c>
      <c r="M115" s="6">
        <f t="shared" si="26"/>
        <v>2.5023148147738539E-2</v>
      </c>
      <c r="N115" s="7">
        <f t="shared" si="44"/>
        <v>36.033333332743496</v>
      </c>
      <c r="O115" s="7"/>
      <c r="P115" s="7"/>
      <c r="Q115" s="22"/>
      <c r="R115" s="22"/>
      <c r="S115" s="31">
        <f t="shared" si="27"/>
        <v>1</v>
      </c>
      <c r="T115" s="46" t="str">
        <f t="shared" si="28"/>
        <v>NorthBound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 t="shared" si="29"/>
        <v>https://d0f6bd738d7f1b3e5a7ca70fe4ff75f0.us-east-1.aws.found.io/app/kibana#/discover/Steve-Slow-Train-Analysis-(2080s-and-2083s)?_g=(refreshInterval:(display:Off,pause:!f,section:0,value:0),time:(from:'2017-04-12T15:26:14-0600',mode:absolute,to:'2017-04-12T18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5" s="183" t="str">
        <f t="shared" si="30"/>
        <v>N</v>
      </c>
      <c r="X115" s="183">
        <f t="shared" si="31"/>
        <v>1</v>
      </c>
      <c r="Y115" s="62">
        <f t="shared" si="32"/>
        <v>4.5100000000000001E-2</v>
      </c>
      <c r="Z115" s="62">
        <f t="shared" si="33"/>
        <v>23.331199999999999</v>
      </c>
      <c r="AA115" s="62">
        <f t="shared" si="34"/>
        <v>23.286099999999998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5"/>
        <v>0203-12</v>
      </c>
      <c r="AE115" s="85" t="str">
        <f t="shared" si="36"/>
        <v>aws s3 cp s3://rtdc.mdm.uploadarchive.raw/RTDC4054/ "%USERPROFILE%\AppData\Local\Temp\OnboardLogs"\RTDC4054\2017-04-12 --exclude "*" --recursive --include "*20170412*" &amp; "%USERPROFILE%\Documents\GitHub\mrs-test-scripts\Headless Mode &amp; Sideloading\WalkAndUnGZ.bat" "%USERPROFILE%\AppData\Local\Temp\OnboardLogs"\RTDC4054\2017-04-12 &amp; aws s3 cp s3://rtdc.mdm.uploadarchive.raw/RTDC4054/ "%USERPROFILE%\AppData\Local\Temp\OnboardLogs"\RTDC4054\2017-04-13 --exclude "*" --recursive --include "*20170413*" &amp; "%USERPROFILE%\Documents\GitHub\mrs-test-scripts\Headless Mode &amp; Sideloading\WalkAndUnGZ.bat" "%USERPROFILE%\AppData\Local\Temp\OnboardLogs"\RTDC4054\2017-04-13</v>
      </c>
      <c r="AF115" s="82" t="str">
        <f t="shared" si="37"/>
        <v>"C:\Program Files (x86)\AstroGrep\AstroGrep.exe" /e /r /s /spath="%USERPROFILE%\AppData\Local\Temp\OnboardLogs" /stypes="app*4054*20170412*" /stext=" 23:.+((SYSTEM_STATE.+slice.+state.+changed )|(ment ac)|(multiple cpu faults)|(system.+state.+changed )|(\[timeout)|(PRM\|1\|D)|(kpr)|(kdp)|(\|lc)|(penalty))"</v>
      </c>
      <c r="AG115" s="1" t="str">
        <f t="shared" si="38"/>
        <v>EC</v>
      </c>
      <c r="AH115" s="86" t="str">
        <f t="shared" si="40"/>
        <v>"%USERPROFILE%\Documents\GitHub\eaglep3\Utilities\RefineRTDCRunTimes.py" --tripid 203-12 --locoid 4054 --swversion DE.1.0.9.0 --startMP 204:451 --initTime 2017-04-12T16:26:14 --startdatetime 2017-04-12T16:30:19 --delay 2 --endMP 204:233312 --enddatetime 2017-04-12T17:06:21 --enforcementcount 0 &gt;&gt;C:\Users\stu\Documents\GitHub\eaglep3-reporting\EC\2017-04-12-refined-times.txt</v>
      </c>
      <c r="AI115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{"issue":{"subject":"","project_id":79,"tracker_id":40,"status_id":1,"priority_id":2,"assigned_to_id":23,"start_date":"2017-04-12","description":"","custom_fields":[{"id":1,"name":"Subdivision","value":"EC"},{"id":4,"name":"Milepost","value":"23.3312"},{"id":17,"name":"Train ID","value":"203-12"},{"id":16,"name":"Locomotive ID","value":"4054"},{"id":130,"name":"Impact","value":""},{"id":150,"name":"Time of Event (Mountain Time)","value":"17:06:21"},{"id":151,"name":"Denver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8"/>
      <c r="AL115" s="48"/>
      <c r="AM115" s="150" t="str">
        <f t="shared" si="42"/>
        <v>start /low /b %USERPROFILE%\Documents\GitHub\eaglep3\Utilities\DownloadLogsFromS3.py --loco 4054 --day 2017-04-12</v>
      </c>
      <c r="AN115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23:06:21"},{"id":29,"name":"Sharepoint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801</v>
      </c>
      <c r="B116" s="7">
        <v>4053</v>
      </c>
      <c r="C116" s="21" t="s">
        <v>214</v>
      </c>
      <c r="D116" s="21" t="s">
        <v>505</v>
      </c>
      <c r="E116" s="13">
        <v>42837.72351851852</v>
      </c>
      <c r="F116" s="13">
        <v>42837.7265625</v>
      </c>
      <c r="G116" s="7">
        <v>1</v>
      </c>
      <c r="H116" s="21" t="s">
        <v>475</v>
      </c>
      <c r="I116" s="13">
        <v>42837.75613425926</v>
      </c>
      <c r="J116" s="7">
        <v>0</v>
      </c>
      <c r="K116" s="97" t="str">
        <f t="shared" si="25"/>
        <v>4053/4054</v>
      </c>
      <c r="L116" s="21" t="str">
        <f>VLOOKUP(A116,'Trips&amp;Operators'!$C$1:$G$99999,5,FALSE)</f>
        <v>ARVIDSON DANIEL</v>
      </c>
      <c r="M116" s="6">
        <f t="shared" si="26"/>
        <v>2.9571759259852115E-2</v>
      </c>
      <c r="N116" s="7">
        <f t="shared" si="44"/>
        <v>42.583333334187046</v>
      </c>
      <c r="O116" s="7"/>
      <c r="P116" s="7"/>
      <c r="Q116" s="22"/>
      <c r="R116" s="22"/>
      <c r="S116" s="31">
        <f t="shared" si="27"/>
        <v>1</v>
      </c>
      <c r="T116" s="46" t="str">
        <f t="shared" si="28"/>
        <v>Southbound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 t="shared" si="29"/>
        <v>https://d0f6bd738d7f1b3e5a7ca70fe4ff75f0.us-east-1.aws.found.io/app/kibana#/discover/Steve-Slow-Train-Analysis-(2080s-and-2083s)?_g=(refreshInterval:(display:Off,pause:!f,section:0,value:0),time:(from:'2017-04-12T16:21:52-0600',mode:absolute,to:'2017-04-12T19:08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6" s="183" t="str">
        <f t="shared" si="30"/>
        <v>N</v>
      </c>
      <c r="X116" s="183">
        <f t="shared" si="31"/>
        <v>1</v>
      </c>
      <c r="Y116" s="62">
        <f t="shared" si="32"/>
        <v>23.3004</v>
      </c>
      <c r="Z116" s="62">
        <f t="shared" si="33"/>
        <v>1.3599999999999999E-2</v>
      </c>
      <c r="AA116" s="62">
        <f t="shared" si="34"/>
        <v>23.286799999999999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5"/>
        <v>0204-12</v>
      </c>
      <c r="AE116" s="85" t="str">
        <f t="shared" si="36"/>
        <v>aws s3 cp s3://rtdc.mdm.uploadarchive.raw/RTDC4053/ "%USERPROFILE%\AppData\Local\Temp\OnboardLogs"\RTDC4053\2017-04-12 --exclude "*" --recursive --include "*20170412*" &amp; "%USERPROFILE%\Documents\GitHub\mrs-test-scripts\Headless Mode &amp; Sideloading\WalkAndUnGZ.bat" "%USERPROFILE%\AppData\Local\Temp\OnboardLogs"\RTDC4053\2017-04-12 &amp; aws s3 cp s3://rtdc.mdm.uploadarchive.raw/RTDC4053/ "%USERPROFILE%\AppData\Local\Temp\OnboardLogs"\RTDC4053\2017-04-13 --exclude "*" --recursive --include "*20170413*" &amp; "%USERPROFILE%\Documents\GitHub\mrs-test-scripts\Headless Mode &amp; Sideloading\WalkAndUnGZ.bat" "%USERPROFILE%\AppData\Local\Temp\OnboardLogs"\RTDC4053\2017-04-13</v>
      </c>
      <c r="AF116" s="82" t="str">
        <f t="shared" si="37"/>
        <v>"C:\Program Files (x86)\AstroGrep\AstroGrep.exe" /e /r /s /spath="%USERPROFILE%\AppData\Local\Temp\OnboardLogs" /stypes="app*4053*20170413*" /stext=" 00:.+((SYSTEM_STATE.+slice.+state.+changed )|(ment ac)|(multiple cpu faults)|(system.+state.+changed )|(\[timeout)|(PRM\|1\|D)|(kpr)|(kdp)|(\|lc)|(penalty))"</v>
      </c>
      <c r="AG116" s="1" t="str">
        <f t="shared" si="38"/>
        <v>EC</v>
      </c>
      <c r="AH116" s="86" t="str">
        <f t="shared" si="40"/>
        <v>"%USERPROFILE%\Documents\GitHub\eaglep3\Utilities\RefineRTDCRunTimes.py" --tripid 204-12 --locoid 4053 --swversion DE.1.0.9.0 --startMP 204:233004 --initTime 2017-04-12T17:21:52 --startdatetime 2017-04-12T17:26:15 --delay 1 --endMP 204:136 --enddatetime 2017-04-12T18:08:50 --enforcementcount 0 &gt;&gt;C:\Users\stu\Documents\GitHub\eaglep3-reporting\EC\2017-04-12-refined-times.txt</v>
      </c>
      <c r="AI116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{"issue":{"subject":"","project_id":79,"tracker_id":40,"status_id":1,"priority_id":2,"assigned_to_id":23,"start_date":"2017-04-12","description":"","custom_fields":[{"id":1,"name":"Subdivision","value":"EC"},{"id":4,"name":"Milepost","value":"0.0136"},{"id":17,"name":"Train ID","value":"204-12"},{"id":16,"name":"Locomotive ID","value":"4053"},{"id":130,"name":"Impact","value":""},{"id":150,"name":"Time of Event (Mountain Time)","value":"18:08:50"},{"id":151,"name":"Denver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8"/>
      <c r="AL116" s="48"/>
      <c r="AM116" s="150" t="str">
        <f t="shared" si="42"/>
        <v>start /low /b %USERPROFILE%\Documents\GitHub\eaglep3\Utilities\DownloadLogsFromS3.py --loco 4053 --day 2017-04-12</v>
      </c>
      <c r="AN116" s="159" t="str">
        <f t="shared" si="4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00:08:50"},{"id":29,"name":"Sharepoint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647</v>
      </c>
      <c r="B117" s="7">
        <v>4044</v>
      </c>
      <c r="C117" s="21" t="s">
        <v>214</v>
      </c>
      <c r="D117" s="21" t="s">
        <v>209</v>
      </c>
      <c r="E117" s="13">
        <v>42837.693298611113</v>
      </c>
      <c r="F117" s="13">
        <v>42837.698171296295</v>
      </c>
      <c r="G117" s="7">
        <v>1</v>
      </c>
      <c r="H117" s="21" t="s">
        <v>470</v>
      </c>
      <c r="I117" s="13">
        <v>42837.726481481484</v>
      </c>
      <c r="J117" s="7">
        <v>0</v>
      </c>
      <c r="K117" s="97" t="str">
        <f t="shared" si="25"/>
        <v>4043/4044</v>
      </c>
      <c r="L117" s="21" t="str">
        <f>VLOOKUP(A117,'Trips&amp;Operators'!$C$1:$G$99999,5,FALSE)</f>
        <v>GUZMAN DANNY</v>
      </c>
      <c r="M117" s="6">
        <f t="shared" si="26"/>
        <v>2.8310185189184267E-2</v>
      </c>
      <c r="N117" s="7">
        <f t="shared" si="44"/>
        <v>40.766666672425345</v>
      </c>
      <c r="O117" s="7"/>
      <c r="P117" s="7"/>
      <c r="Q117" s="22"/>
      <c r="R117" s="22"/>
      <c r="S117" s="31">
        <f t="shared" si="27"/>
        <v>1</v>
      </c>
      <c r="T117" s="46" t="str">
        <f t="shared" si="28"/>
        <v>NorthBound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 t="shared" si="29"/>
        <v>https://d0f6bd738d7f1b3e5a7ca70fe4ff75f0.us-east-1.aws.found.io/app/kibana#/discover/Steve-Slow-Train-Analysis-(2080s-and-2083s)?_g=(refreshInterval:(display:Off,pause:!f,section:0,value:0),time:(from:'2017-04-12T15:38:21-0600',mode:absolute,to:'2017-04-12T18:26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7" s="183" t="str">
        <f t="shared" si="30"/>
        <v>N</v>
      </c>
      <c r="X117" s="183">
        <f t="shared" si="31"/>
        <v>1</v>
      </c>
      <c r="Y117" s="62">
        <f t="shared" si="32"/>
        <v>4.53E-2</v>
      </c>
      <c r="Z117" s="62">
        <f t="shared" si="33"/>
        <v>23.328900000000001</v>
      </c>
      <c r="AA117" s="62">
        <f t="shared" si="34"/>
        <v>23.2836</v>
      </c>
      <c r="AB117" s="59" t="str">
        <f>VLOOKUP(A117,Enforcements!$C$7:$K$13,8,0)</f>
        <v>Bulletin (2)</v>
      </c>
      <c r="AC117" s="55" t="str">
        <f>VLOOKUP(A117,Enforcements!$C$7:$E$13,3,0)</f>
        <v>GRADE CROSSING</v>
      </c>
      <c r="AD117" s="56" t="str">
        <f t="shared" si="35"/>
        <v>0205-12</v>
      </c>
      <c r="AE117" s="85" t="str">
        <f t="shared" si="36"/>
        <v>aws s3 cp s3://rtdc.mdm.uploadarchive.raw/RTDC4044/ "%USERPROFILE%\AppData\Local\Temp\OnboardLogs"\RTDC4044\2017-04-12 --exclude "*" --recursive --include "*20170412*" &amp; "%USERPROFILE%\Documents\GitHub\mrs-test-scripts\Headless Mode &amp; Sideloading\WalkAndUnGZ.bat" "%USERPROFILE%\AppData\Local\Temp\OnboardLogs"\RTDC4044\2017-04-12 &amp; aws s3 cp s3://rtdc.mdm.uploadarchive.raw/RTDC4044/ "%USERPROFILE%\AppData\Local\Temp\OnboardLogs"\RTDC4044\2017-04-13 --exclude "*" --recursive --include "*20170413*" &amp; "%USERPROFILE%\Documents\GitHub\mrs-test-scripts\Headless Mode &amp; Sideloading\WalkAndUnGZ.bat" "%USERPROFILE%\AppData\Local\Temp\OnboardLogs"\RTDC4044\2017-04-13</v>
      </c>
      <c r="AF117" s="82" t="str">
        <f t="shared" si="37"/>
        <v>"C:\Program Files (x86)\AstroGrep\AstroGrep.exe" /e /r /s /spath="%USERPROFILE%\AppData\Local\Temp\OnboardLogs" /stypes="app*4044*20170412*" /stext=" 23:.+((SYSTEM_STATE.+slice.+state.+changed )|(ment ac)|(multiple cpu faults)|(system.+state.+changed )|(\[timeout)|(PRM\|1\|D)|(kpr)|(kdp)|(\|lc)|(penalty))"</v>
      </c>
      <c r="AG117" s="1" t="str">
        <f t="shared" si="38"/>
        <v>EC</v>
      </c>
      <c r="AH117" s="86" t="str">
        <f t="shared" si="40"/>
        <v>"%USERPROFILE%\Documents\GitHub\eaglep3\Utilities\RefineRTDCRunTimes.py" --tripid 205-12 --locoid 4044 --swversion DE.1.0.9.0 --startMP 204:453 --initTime 2017-04-12T16:38:21 --startdatetime 2017-04-12T16:45:22 --delay 1 --endMP 204:233289 --enddatetime 2017-04-12T17:26:08 --enforcementcount 0 &gt;&gt;C:\Users\stu\Documents\GitHub\eaglep3-reporting\EC\2017-04-12-refined-times.txt</v>
      </c>
      <c r="AI117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{"issue":{"subject":"","project_id":79,"tracker_id":40,"status_id":1,"priority_id":2,"assigned_to_id":23,"start_date":"2017-04-12","description":"","custom_fields":[{"id":1,"name":"Subdivision","value":"EC"},{"id":4,"name":"Milepost","value":"23.3289"},{"id":17,"name":"Train ID","value":"205-12"},{"id":16,"name":"Locomotive ID","value":"4044"},{"id":130,"name":"Impact","value":""},{"id":150,"name":"Time of Event (Mountain Time)","value":"17:26:08"},{"id":151,"name":"Denver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8"/>
      <c r="AL117" s="48"/>
      <c r="AM117" s="150" t="str">
        <f t="shared" si="42"/>
        <v>start /low /b %USERPROFILE%\Documents\GitHub\eaglep3\Utilities\DownloadLogsFromS3.py --loco 4044 --day 2017-04-12</v>
      </c>
      <c r="AN117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23:26:08"},{"id":29,"name":"Sharepoint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802</v>
      </c>
      <c r="B118" s="7">
        <v>4043</v>
      </c>
      <c r="C118" s="21" t="s">
        <v>214</v>
      </c>
      <c r="D118" s="21" t="s">
        <v>925</v>
      </c>
      <c r="E118" s="13">
        <v>42837.727731481478</v>
      </c>
      <c r="F118" s="13">
        <v>42837.736990740741</v>
      </c>
      <c r="G118" s="7">
        <v>1</v>
      </c>
      <c r="H118" s="21" t="s">
        <v>419</v>
      </c>
      <c r="I118" s="13">
        <v>42837.765659722223</v>
      </c>
      <c r="J118" s="7">
        <v>0</v>
      </c>
      <c r="K118" s="97" t="str">
        <f t="shared" si="25"/>
        <v>4043/4044</v>
      </c>
      <c r="L118" s="21" t="str">
        <f>VLOOKUP(A118,'Trips&amp;Operators'!$C$1:$G$99999,5,FALSE)</f>
        <v>GUZMAN DANNY</v>
      </c>
      <c r="M118" s="6">
        <f t="shared" si="26"/>
        <v>2.8668981482042E-2</v>
      </c>
      <c r="N118" s="7">
        <f t="shared" si="44"/>
        <v>41.28333333414048</v>
      </c>
      <c r="O118" s="7"/>
      <c r="P118" s="7"/>
      <c r="Q118" s="22"/>
      <c r="R118" s="22"/>
      <c r="S118" s="31">
        <f t="shared" si="27"/>
        <v>1</v>
      </c>
      <c r="T118" s="46" t="str">
        <f t="shared" si="28"/>
        <v>Southbound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 t="shared" si="29"/>
        <v>https://d0f6bd738d7f1b3e5a7ca70fe4ff75f0.us-east-1.aws.found.io/app/kibana#/discover/Steve-Slow-Train-Analysis-(2080s-and-2083s)?_g=(refreshInterval:(display:Off,pause:!f,section:0,value:0),time:(from:'2017-04-12T16:27:56-0600',mode:absolute,to:'2017-04-12T19:22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8" s="183" t="str">
        <f t="shared" si="30"/>
        <v>N</v>
      </c>
      <c r="X118" s="183">
        <f t="shared" si="31"/>
        <v>1</v>
      </c>
      <c r="Y118" s="62">
        <f t="shared" si="32"/>
        <v>23.2971</v>
      </c>
      <c r="Z118" s="62">
        <f t="shared" si="33"/>
        <v>1.6E-2</v>
      </c>
      <c r="AA118" s="62">
        <f t="shared" si="34"/>
        <v>23.281100000000002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5"/>
        <v>0206-12</v>
      </c>
      <c r="AE118" s="85" t="str">
        <f t="shared" si="36"/>
        <v>aws s3 cp s3://rtdc.mdm.uploadarchive.raw/RTDC4043/ "%USERPROFILE%\AppData\Local\Temp\OnboardLogs"\RTDC4043\2017-04-12 --exclude "*" --recursive --include "*20170412*" &amp; "%USERPROFILE%\Documents\GitHub\mrs-test-scripts\Headless Mode &amp; Sideloading\WalkAndUnGZ.bat" "%USERPROFILE%\AppData\Local\Temp\OnboardLogs"\RTDC4043\2017-04-12 &amp; aws s3 cp s3://rtdc.mdm.uploadarchive.raw/RTDC4043/ "%USERPROFILE%\AppData\Local\Temp\OnboardLogs"\RTDC4043\2017-04-13 --exclude "*" --recursive --include "*20170413*" &amp; "%USERPROFILE%\Documents\GitHub\mrs-test-scripts\Headless Mode &amp; Sideloading\WalkAndUnGZ.bat" "%USERPROFILE%\AppData\Local\Temp\OnboardLogs"\RTDC4043\2017-04-13</v>
      </c>
      <c r="AF118" s="82" t="str">
        <f t="shared" si="37"/>
        <v>"C:\Program Files (x86)\AstroGrep\AstroGrep.exe" /e /r /s /spath="%USERPROFILE%\AppData\Local\Temp\OnboardLogs" /stypes="app*4043*20170413*" /stext=" 00:.+((SYSTEM_STATE.+slice.+state.+changed )|(ment ac)|(multiple cpu faults)|(system.+state.+changed )|(\[timeout)|(PRM\|1\|D)|(kpr)|(kdp)|(\|lc)|(penalty))"</v>
      </c>
      <c r="AG118" s="1" t="str">
        <f t="shared" si="38"/>
        <v>EC</v>
      </c>
      <c r="AH118" s="86" t="str">
        <f t="shared" si="40"/>
        <v>"%USERPROFILE%\Documents\GitHub\eaglep3\Utilities\RefineRTDCRunTimes.py" --tripid 206-12 --locoid 4043 --swversion DE.1.0.9.0 --startMP 204:232971 --initTime 2017-04-12T17:27:56 --startdatetime 2017-04-12T17:41:16 --delay 1 --endMP 204:160 --enddatetime 2017-04-12T18:22:33 --enforcementcount 0 &gt;&gt;C:\Users\stu\Documents\GitHub\eaglep3-reporting\EC\2017-04-12-refined-times.txt</v>
      </c>
      <c r="AI118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{"issue":{"subject":"","project_id":79,"tracker_id":40,"status_id":1,"priority_id":2,"assigned_to_id":23,"start_date":"2017-04-12","description":"","custom_fields":[{"id":1,"name":"Subdivision","value":"EC"},{"id":4,"name":"Milepost","value":"0.016"},{"id":17,"name":"Train ID","value":"206-12"},{"id":16,"name":"Locomotive ID","value":"4043"},{"id":130,"name":"Impact","value":""},{"id":150,"name":"Time of Event (Mountain Time)","value":"18:22:33"},{"id":151,"name":"Denver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8"/>
      <c r="AL118" s="48"/>
      <c r="AM118" s="150" t="str">
        <f t="shared" si="42"/>
        <v>start /low /b %USERPROFILE%\Documents\GitHub\eaglep3\Utilities\DownloadLogsFromS3.py --loco 4043 --day 2017-04-12</v>
      </c>
      <c r="AN118" s="159" t="str">
        <f t="shared" si="4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00:22:33"},{"id":29,"name":"Sharepoint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793</v>
      </c>
      <c r="B119" s="7">
        <v>4012</v>
      </c>
      <c r="C119" s="21" t="s">
        <v>214</v>
      </c>
      <c r="D119" s="21" t="s">
        <v>422</v>
      </c>
      <c r="E119" s="13">
        <v>42837.704189814816</v>
      </c>
      <c r="F119" s="13">
        <v>42837.708541666667</v>
      </c>
      <c r="G119" s="7">
        <v>1</v>
      </c>
      <c r="H119" s="21" t="s">
        <v>506</v>
      </c>
      <c r="I119" s="13">
        <v>42837.734768518516</v>
      </c>
      <c r="J119" s="7">
        <v>0</v>
      </c>
      <c r="K119" s="97" t="str">
        <f t="shared" si="25"/>
        <v>4011/4012</v>
      </c>
      <c r="L119" s="21" t="str">
        <f>VLOOKUP(A119,'Trips&amp;Operators'!$C$1:$G$99999,5,FALSE)</f>
        <v>MENGES BRAD</v>
      </c>
      <c r="M119" s="6">
        <f t="shared" si="26"/>
        <v>2.622685184906004E-2</v>
      </c>
      <c r="N119" s="7">
        <f t="shared" si="44"/>
        <v>37.766666662646458</v>
      </c>
      <c r="O119" s="7"/>
      <c r="P119" s="7"/>
      <c r="Q119" s="22"/>
      <c r="R119" s="22"/>
      <c r="S119" s="31">
        <f t="shared" si="27"/>
        <v>1</v>
      </c>
      <c r="T119" s="46" t="str">
        <f t="shared" si="28"/>
        <v>NorthBound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 t="shared" si="29"/>
        <v>https://d0f6bd738d7f1b3e5a7ca70fe4ff75f0.us-east-1.aws.found.io/app/kibana#/discover/Steve-Slow-Train-Analysis-(2080s-and-2083s)?_g=(refreshInterval:(display:Off,pause:!f,section:0,value:0),time:(from:'2017-04-12T15:54:02-0600',mode:absolute,to:'2017-04-12T18:38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9" s="183" t="str">
        <f t="shared" si="30"/>
        <v>N</v>
      </c>
      <c r="X119" s="183">
        <f t="shared" si="31"/>
        <v>1</v>
      </c>
      <c r="Y119" s="62">
        <f t="shared" si="32"/>
        <v>4.58E-2</v>
      </c>
      <c r="Z119" s="62">
        <f t="shared" si="33"/>
        <v>23.327999999999999</v>
      </c>
      <c r="AA119" s="62">
        <f t="shared" si="34"/>
        <v>23.2822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5"/>
        <v>0207-12</v>
      </c>
      <c r="AE119" s="85" t="str">
        <f t="shared" si="36"/>
        <v>aws s3 cp s3://rtdc.mdm.uploadarchive.raw/RTDC4012/ "%USERPROFILE%\AppData\Local\Temp\OnboardLogs"\RTDC4012\2017-04-12 --exclude "*" --recursive --include "*20170412*" &amp; "%USERPROFILE%\Documents\GitHub\mrs-test-scripts\Headless Mode &amp; Sideloading\WalkAndUnGZ.bat" "%USERPROFILE%\AppData\Local\Temp\OnboardLogs"\RTDC4012\2017-04-12 &amp; aws s3 cp s3://rtdc.mdm.uploadarchive.raw/RTDC4012/ "%USERPROFILE%\AppData\Local\Temp\OnboardLogs"\RTDC4012\2017-04-13 --exclude "*" --recursive --include "*20170413*" &amp; "%USERPROFILE%\Documents\GitHub\mrs-test-scripts\Headless Mode &amp; Sideloading\WalkAndUnGZ.bat" "%USERPROFILE%\AppData\Local\Temp\OnboardLogs"\RTDC4012\2017-04-13</v>
      </c>
      <c r="AF119" s="82" t="str">
        <f t="shared" si="37"/>
        <v>"C:\Program Files (x86)\AstroGrep\AstroGrep.exe" /e /r /s /spath="%USERPROFILE%\AppData\Local\Temp\OnboardLogs" /stypes="app*4012*20170412*" /stext=" 23:.+((SYSTEM_STATE.+slice.+state.+changed )|(ment ac)|(multiple cpu faults)|(system.+state.+changed )|(\[timeout)|(PRM\|1\|D)|(kpr)|(kdp)|(\|lc)|(penalty))"</v>
      </c>
      <c r="AG119" s="1" t="str">
        <f t="shared" si="38"/>
        <v>EC</v>
      </c>
      <c r="AH119" s="86" t="str">
        <f t="shared" si="40"/>
        <v>"%USERPROFILE%\Documents\GitHub\eaglep3\Utilities\RefineRTDCRunTimes.py" --tripid 207-12 --locoid 4012 --swversion DE.1.0.9.0 --startMP 204:458 --initTime 2017-04-12T16:54:02 --startdatetime 2017-04-12T17:00:18 --delay 1 --endMP 204:233280 --enddatetime 2017-04-12T17:38:04 --enforcementcount 0 &gt;&gt;C:\Users\stu\Documents\GitHub\eaglep3-reporting\EC\2017-04-12-refined-times.txt</v>
      </c>
      <c r="AI119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{"issue":{"subject":"","project_id":79,"tracker_id":40,"status_id":1,"priority_id":2,"assigned_to_id":23,"start_date":"2017-04-12","description":"","custom_fields":[{"id":1,"name":"Subdivision","value":"EC"},{"id":4,"name":"Milepost","value":"23.328"},{"id":17,"name":"Train ID","value":"207-12"},{"id":16,"name":"Locomotive ID","value":"4012"},{"id":130,"name":"Impact","value":""},{"id":150,"name":"Time of Event (Mountain Time)","value":"17:38:04"},{"id":151,"name":"Denver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8"/>
      <c r="AL119" s="48"/>
      <c r="AM119" s="150" t="str">
        <f t="shared" si="42"/>
        <v>start /low /b %USERPROFILE%\Documents\GitHub\eaglep3\Utilities\DownloadLogsFromS3.py --loco 4012 --day 2017-04-12</v>
      </c>
      <c r="AN119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23:38:04"},{"id":29,"name":"Sharepoint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812</v>
      </c>
      <c r="B120" s="7">
        <v>4011</v>
      </c>
      <c r="C120" s="21" t="s">
        <v>214</v>
      </c>
      <c r="D120" s="21" t="s">
        <v>423</v>
      </c>
      <c r="E120" s="13">
        <v>42837.744351851848</v>
      </c>
      <c r="F120" s="13">
        <v>42837.747453703705</v>
      </c>
      <c r="G120" s="7">
        <v>1</v>
      </c>
      <c r="H120" s="21" t="s">
        <v>537</v>
      </c>
      <c r="I120" s="13">
        <v>42837.774467592593</v>
      </c>
      <c r="J120" s="7">
        <v>0</v>
      </c>
      <c r="K120" s="97" t="str">
        <f t="shared" si="25"/>
        <v>4011/4012</v>
      </c>
      <c r="L120" s="21" t="str">
        <f>VLOOKUP(A120,'Trips&amp;Operators'!$C$1:$G$99999,5,FALSE)</f>
        <v>MENGES BRAD</v>
      </c>
      <c r="M120" s="6">
        <f t="shared" si="26"/>
        <v>2.7013888888177462E-2</v>
      </c>
      <c r="N120" s="7">
        <f t="shared" si="44"/>
        <v>38.899999998975545</v>
      </c>
      <c r="O120" s="7"/>
      <c r="P120" s="7"/>
      <c r="Q120" s="22"/>
      <c r="R120" s="22"/>
      <c r="S120" s="31">
        <f t="shared" si="27"/>
        <v>1</v>
      </c>
      <c r="T120" s="46" t="str">
        <f t="shared" si="28"/>
        <v>Southbound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 t="shared" si="29"/>
        <v>https://d0f6bd738d7f1b3e5a7ca70fe4ff75f0.us-east-1.aws.found.io/app/kibana#/discover/Steve-Slow-Train-Analysis-(2080s-and-2083s)?_g=(refreshInterval:(display:Off,pause:!f,section:0,value:0),time:(from:'2017-04-12T16:51:52-0600',mode:absolute,to:'2017-04-12T19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0" s="183" t="str">
        <f t="shared" si="30"/>
        <v>N</v>
      </c>
      <c r="X120" s="183">
        <f t="shared" si="31"/>
        <v>1</v>
      </c>
      <c r="Y120" s="62">
        <f t="shared" si="32"/>
        <v>23.298500000000001</v>
      </c>
      <c r="Z120" s="62">
        <f t="shared" si="33"/>
        <v>1.67E-2</v>
      </c>
      <c r="AA120" s="62">
        <f t="shared" si="34"/>
        <v>23.2818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5"/>
        <v>0208-12</v>
      </c>
      <c r="AE120" s="85" t="str">
        <f t="shared" si="36"/>
        <v>aws s3 cp s3://rtdc.mdm.uploadarchive.raw/RTDC4011/ "%USERPROFILE%\AppData\Local\Temp\OnboardLogs"\RTDC4011\2017-04-12 --exclude "*" --recursive --include "*20170412*" &amp; "%USERPROFILE%\Documents\GitHub\mrs-test-scripts\Headless Mode &amp; Sideloading\WalkAndUnGZ.bat" "%USERPROFILE%\AppData\Local\Temp\OnboardLogs"\RTDC4011\2017-04-12 &amp; aws s3 cp s3://rtdc.mdm.uploadarchive.raw/RTDC4011/ "%USERPROFILE%\AppData\Local\Temp\OnboardLogs"\RTDC4011\2017-04-13 --exclude "*" --recursive --include "*20170413*" &amp; "%USERPROFILE%\Documents\GitHub\mrs-test-scripts\Headless Mode &amp; Sideloading\WalkAndUnGZ.bat" "%USERPROFILE%\AppData\Local\Temp\OnboardLogs"\RTDC4011\2017-04-13</v>
      </c>
      <c r="AF120" s="82" t="str">
        <f t="shared" si="37"/>
        <v>"C:\Program Files (x86)\AstroGrep\AstroGrep.exe" /e /r /s /spath="%USERPROFILE%\AppData\Local\Temp\OnboardLogs" /stypes="app*4011*20170413*" /stext=" 00:.+((SYSTEM_STATE.+slice.+state.+changed )|(ment ac)|(multiple cpu faults)|(system.+state.+changed )|(\[timeout)|(PRM\|1\|D)|(kpr)|(kdp)|(\|lc)|(penalty))"</v>
      </c>
      <c r="AG120" s="1" t="str">
        <f t="shared" si="38"/>
        <v>EC</v>
      </c>
      <c r="AH120" s="86" t="str">
        <f t="shared" si="40"/>
        <v>"%USERPROFILE%\Documents\GitHub\eaglep3\Utilities\RefineRTDCRunTimes.py" --tripid 208-12 --locoid 4011 --swversion DE.1.0.9.0 --startMP 204:232985 --initTime 2017-04-12T17:51:52 --startdatetime 2017-04-12T17:56:20 --delay 1 --endMP 204:167 --enddatetime 2017-04-12T18:35:14 --enforcementcount 0 &gt;&gt;C:\Users\stu\Documents\GitHub\eaglep3-reporting\EC\2017-04-12-refined-times.txt</v>
      </c>
      <c r="AI120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{"issue":{"subject":"","project_id":79,"tracker_id":40,"status_id":1,"priority_id":2,"assigned_to_id":23,"start_date":"2017-04-12","description":"","custom_fields":[{"id":1,"name":"Subdivision","value":"EC"},{"id":4,"name":"Milepost","value":"0.0167"},{"id":17,"name":"Train ID","value":"208-12"},{"id":16,"name":"Locomotive ID","value":"4011"},{"id":130,"name":"Impact","value":""},{"id":150,"name":"Time of Event (Mountain Time)","value":"18:35:14"},{"id":151,"name":"Denver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8"/>
      <c r="AL120" s="48"/>
      <c r="AM120" s="150" t="str">
        <f t="shared" si="42"/>
        <v>start /low /b %USERPROFILE%\Documents\GitHub\eaglep3\Utilities\DownloadLogsFromS3.py --loco 4011 --day 2017-04-12</v>
      </c>
      <c r="AN120" s="159" t="str">
        <f t="shared" si="4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00:35:14"},{"id":29,"name":"Sharepoint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795</v>
      </c>
      <c r="B121" s="7">
        <v>4042</v>
      </c>
      <c r="C121" s="21" t="s">
        <v>214</v>
      </c>
      <c r="D121" s="21" t="s">
        <v>926</v>
      </c>
      <c r="E121" s="13">
        <v>42837.714456018519</v>
      </c>
      <c r="F121" s="13">
        <v>42837.719178240739</v>
      </c>
      <c r="G121" s="7">
        <v>1</v>
      </c>
      <c r="H121" s="21" t="s">
        <v>542</v>
      </c>
      <c r="I121" s="13">
        <v>42837.745462962965</v>
      </c>
      <c r="J121" s="7">
        <v>0</v>
      </c>
      <c r="K121" s="97" t="str">
        <f t="shared" si="25"/>
        <v>4041/4042</v>
      </c>
      <c r="L121" s="21" t="str">
        <f>VLOOKUP(A121,'Trips&amp;Operators'!$C$1:$G$99999,5,FALSE)</f>
        <v>SWANSON BRYCE</v>
      </c>
      <c r="M121" s="6">
        <f t="shared" si="26"/>
        <v>2.6284722225682344E-2</v>
      </c>
      <c r="N121" s="7">
        <f t="shared" si="44"/>
        <v>37.850000004982576</v>
      </c>
      <c r="O121" s="7"/>
      <c r="P121" s="7"/>
      <c r="Q121" s="22"/>
      <c r="R121" s="22"/>
      <c r="S121" s="31">
        <f t="shared" si="27"/>
        <v>1</v>
      </c>
      <c r="T121" s="46" t="str">
        <f t="shared" si="28"/>
        <v>NorthBound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 t="shared" si="29"/>
        <v>https://d0f6bd738d7f1b3e5a7ca70fe4ff75f0.us-east-1.aws.found.io/app/kibana#/discover/Steve-Slow-Train-Analysis-(2080s-and-2083s)?_g=(refreshInterval:(display:Off,pause:!f,section:0,value:0),time:(from:'2017-04-12T16:08:49-0600',mode:absolute,to:'2017-04-12T18:53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1" s="183" t="str">
        <f t="shared" si="30"/>
        <v>N</v>
      </c>
      <c r="X121" s="183">
        <f t="shared" si="31"/>
        <v>1</v>
      </c>
      <c r="Y121" s="62">
        <f t="shared" si="32"/>
        <v>5.4899999999999997E-2</v>
      </c>
      <c r="Z121" s="62">
        <f t="shared" si="33"/>
        <v>23.329899999999999</v>
      </c>
      <c r="AA121" s="62">
        <f t="shared" si="34"/>
        <v>23.274999999999999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5"/>
        <v>0209-12</v>
      </c>
      <c r="AE121" s="85" t="str">
        <f t="shared" si="36"/>
        <v>aws s3 cp s3://rtdc.mdm.uploadarchive.raw/RTDC4042/ "%USERPROFILE%\AppData\Local\Temp\OnboardLogs"\RTDC4042\2017-04-12 --exclude "*" --recursive --include "*20170412*" &amp; "%USERPROFILE%\Documents\GitHub\mrs-test-scripts\Headless Mode &amp; Sideloading\WalkAndUnGZ.bat" "%USERPROFILE%\AppData\Local\Temp\OnboardLogs"\RTDC4042\2017-04-12 &amp; aws s3 cp s3://rtdc.mdm.uploadarchive.raw/RTDC4042/ "%USERPROFILE%\AppData\Local\Temp\OnboardLogs"\RTDC4042\2017-04-13 --exclude "*" --recursive --include "*20170413*" &amp; "%USERPROFILE%\Documents\GitHub\mrs-test-scripts\Headless Mode &amp; Sideloading\WalkAndUnGZ.bat" "%USERPROFILE%\AppData\Local\Temp\OnboardLogs"\RTDC4042\2017-04-13</v>
      </c>
      <c r="AF121" s="82" t="str">
        <f t="shared" si="37"/>
        <v>"C:\Program Files (x86)\AstroGrep\AstroGrep.exe" /e /r /s /spath="%USERPROFILE%\AppData\Local\Temp\OnboardLogs" /stypes="app*4042*20170412*" /stext=" 23:.+((SYSTEM_STATE.+slice.+state.+changed )|(ment ac)|(multiple cpu faults)|(system.+state.+changed )|(\[timeout)|(PRM\|1\|D)|(kpr)|(kdp)|(\|lc)|(penalty))"</v>
      </c>
      <c r="AG121" s="1" t="str">
        <f t="shared" si="38"/>
        <v>EC</v>
      </c>
      <c r="AH121" s="86" t="str">
        <f t="shared" si="40"/>
        <v>"%USERPROFILE%\Documents\GitHub\eaglep3\Utilities\RefineRTDCRunTimes.py" --tripid 209-12 --locoid 4042 --swversion DE.1.0.9.0 --startMP 204:549 --initTime 2017-04-12T17:08:49 --startdatetime 2017-04-12T17:15:37 --delay 1 --endMP 204:233299 --enddatetime 2017-04-12T17:53:28 --enforcementcount 0 &gt;&gt;C:\Users\stu\Documents\GitHub\eaglep3-reporting\EC\2017-04-12-refined-times.txt</v>
      </c>
      <c r="AI121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{"issue":{"subject":"","project_id":79,"tracker_id":40,"status_id":1,"priority_id":2,"assigned_to_id":23,"start_date":"2017-04-12","description":"","custom_fields":[{"id":1,"name":"Subdivision","value":"EC"},{"id":4,"name":"Milepost","value":"23.3299"},{"id":17,"name":"Train ID","value":"209-12"},{"id":16,"name":"Locomotive ID","value":"4042"},{"id":130,"name":"Impact","value":""},{"id":150,"name":"Time of Event (Mountain Time)","value":"17:53:28"},{"id":151,"name":"Denver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8"/>
      <c r="AL121" s="48"/>
      <c r="AM121" s="150" t="str">
        <f t="shared" si="42"/>
        <v>start /low /b %USERPROFILE%\Documents\GitHub\eaglep3\Utilities\DownloadLogsFromS3.py --loco 4042 --day 2017-04-12</v>
      </c>
      <c r="AN121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23:53:28"},{"id":29,"name":"Sharepoint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814</v>
      </c>
      <c r="B122" s="7">
        <v>4041</v>
      </c>
      <c r="C122" s="21" t="s">
        <v>214</v>
      </c>
      <c r="D122" s="21" t="s">
        <v>469</v>
      </c>
      <c r="E122" s="13">
        <v>42837.747997685183</v>
      </c>
      <c r="F122" s="13">
        <v>42837.757800925923</v>
      </c>
      <c r="G122" s="7">
        <v>1</v>
      </c>
      <c r="H122" s="21" t="s">
        <v>883</v>
      </c>
      <c r="I122" s="13">
        <v>42837.785150462965</v>
      </c>
      <c r="J122" s="7">
        <v>0</v>
      </c>
      <c r="K122" s="97" t="str">
        <f t="shared" si="25"/>
        <v>4041/4042</v>
      </c>
      <c r="L122" s="21" t="str">
        <f>VLOOKUP(A122,'Trips&amp;Operators'!$C$1:$G$99999,5,FALSE)</f>
        <v>SWANSON BRYCE</v>
      </c>
      <c r="M122" s="6">
        <f t="shared" si="26"/>
        <v>2.7349537042027805E-2</v>
      </c>
      <c r="N122" s="7">
        <f t="shared" si="44"/>
        <v>39.383333340520039</v>
      </c>
      <c r="O122" s="7"/>
      <c r="P122" s="7"/>
      <c r="Q122" s="22"/>
      <c r="R122" s="22"/>
      <c r="S122" s="31">
        <f t="shared" si="27"/>
        <v>1</v>
      </c>
      <c r="T122" s="46" t="str">
        <f t="shared" si="28"/>
        <v>Southbound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 t="shared" si="29"/>
        <v>https://d0f6bd738d7f1b3e5a7ca70fe4ff75f0.us-east-1.aws.found.io/app/kibana#/discover/Steve-Slow-Train-Analysis-(2080s-and-2083s)?_g=(refreshInterval:(display:Off,pause:!f,section:0,value:0),time:(from:'2017-04-12T16:57:07-0600',mode:absolute,to:'2017-04-12T19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2" s="183" t="str">
        <f t="shared" si="30"/>
        <v>N</v>
      </c>
      <c r="X122" s="183">
        <f t="shared" si="31"/>
        <v>1</v>
      </c>
      <c r="Y122" s="62">
        <f t="shared" si="32"/>
        <v>23.297799999999999</v>
      </c>
      <c r="Z122" s="62">
        <f t="shared" si="33"/>
        <v>1.3899999999999999E-2</v>
      </c>
      <c r="AA122" s="62">
        <f t="shared" si="34"/>
        <v>23.283899999999999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5"/>
        <v>0210-12</v>
      </c>
      <c r="AE122" s="85" t="str">
        <f t="shared" si="36"/>
        <v>aws s3 cp s3://rtdc.mdm.uploadarchive.raw/RTDC4041/ "%USERPROFILE%\AppData\Local\Temp\OnboardLogs"\RTDC4041\2017-04-12 --exclude "*" --recursive --include "*20170412*" &amp; "%USERPROFILE%\Documents\GitHub\mrs-test-scripts\Headless Mode &amp; Sideloading\WalkAndUnGZ.bat" "%USERPROFILE%\AppData\Local\Temp\OnboardLogs"\RTDC4041\2017-04-12 &amp; aws s3 cp s3://rtdc.mdm.uploadarchive.raw/RTDC4041/ "%USERPROFILE%\AppData\Local\Temp\OnboardLogs"\RTDC4041\2017-04-13 --exclude "*" --recursive --include "*20170413*" &amp; "%USERPROFILE%\Documents\GitHub\mrs-test-scripts\Headless Mode &amp; Sideloading\WalkAndUnGZ.bat" "%USERPROFILE%\AppData\Local\Temp\OnboardLogs"\RTDC4041\2017-04-13</v>
      </c>
      <c r="AF122" s="82" t="str">
        <f t="shared" si="37"/>
        <v>"C:\Program Files (x86)\AstroGrep\AstroGrep.exe" /e /r /s /spath="%USERPROFILE%\AppData\Local\Temp\OnboardLogs" /stypes="app*4041*20170413*" /stext=" 00:.+((SYSTEM_STATE.+slice.+state.+changed )|(ment ac)|(multiple cpu faults)|(system.+state.+changed )|(\[timeout)|(PRM\|1\|D)|(kpr)|(kdp)|(\|lc)|(penalty))"</v>
      </c>
      <c r="AG122" s="1" t="str">
        <f t="shared" si="38"/>
        <v>EC</v>
      </c>
      <c r="AH122" s="86" t="str">
        <f t="shared" si="40"/>
        <v>"%USERPROFILE%\Documents\GitHub\eaglep3\Utilities\RefineRTDCRunTimes.py" --tripid 210-12 --locoid 4041 --swversion DE.1.0.9.0 --startMP 204:232978 --initTime 2017-04-12T17:57:07 --startdatetime 2017-04-12T18:11:14 --delay 1 --endMP 204:139 --enddatetime 2017-04-12T18:50:37 --enforcementcount 0 &gt;&gt;C:\Users\stu\Documents\GitHub\eaglep3-reporting\EC\2017-04-12-refined-times.txt</v>
      </c>
      <c r="AI122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{"issue":{"subject":"","project_id":79,"tracker_id":40,"status_id":1,"priority_id":2,"assigned_to_id":23,"start_date":"2017-04-12","description":"","custom_fields":[{"id":1,"name":"Subdivision","value":"EC"},{"id":4,"name":"Milepost","value":"0.0139"},{"id":17,"name":"Train ID","value":"210-12"},{"id":16,"name":"Locomotive ID","value":"4041"},{"id":130,"name":"Impact","value":""},{"id":150,"name":"Time of Event (Mountain Time)","value":"18:50:37"},{"id":151,"name":"Denver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8"/>
      <c r="AL122" s="48"/>
      <c r="AM122" s="150" t="str">
        <f t="shared" si="42"/>
        <v>start /low /b %USERPROFILE%\Documents\GitHub\eaglep3\Utilities\DownloadLogsFromS3.py --loco 4041 --day 2017-04-12</v>
      </c>
      <c r="AN122" s="159" t="str">
        <f t="shared" si="4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00:50:37"},{"id":29,"name":"Sharepoint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649</v>
      </c>
      <c r="B123" s="7">
        <v>4020</v>
      </c>
      <c r="C123" s="21" t="s">
        <v>214</v>
      </c>
      <c r="D123" s="21" t="s">
        <v>577</v>
      </c>
      <c r="E123" s="13">
        <v>42837.724143518521</v>
      </c>
      <c r="F123" s="13">
        <v>42837.729375000003</v>
      </c>
      <c r="G123" s="7">
        <v>1</v>
      </c>
      <c r="H123" s="21" t="s">
        <v>927</v>
      </c>
      <c r="I123" s="13">
        <v>42837.755162037036</v>
      </c>
      <c r="J123" s="7">
        <v>0</v>
      </c>
      <c r="K123" s="97" t="str">
        <f t="shared" si="25"/>
        <v>4019/4020</v>
      </c>
      <c r="L123" s="21" t="str">
        <f>VLOOKUP(A123,'Trips&amp;Operators'!$C$1:$G$99999,5,FALSE)</f>
        <v>LOCKLEAR TRAVIS</v>
      </c>
      <c r="M123" s="6">
        <f t="shared" si="26"/>
        <v>2.5787037033296656E-2</v>
      </c>
      <c r="N123" s="7">
        <f t="shared" si="44"/>
        <v>37.133333327947184</v>
      </c>
      <c r="O123" s="7"/>
      <c r="P123" s="7"/>
      <c r="Q123" s="22"/>
      <c r="R123" s="22"/>
      <c r="S123" s="31">
        <f t="shared" si="27"/>
        <v>1</v>
      </c>
      <c r="T123" s="46" t="str">
        <f t="shared" si="28"/>
        <v>NorthBound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 t="shared" si="29"/>
        <v>https://d0f6bd738d7f1b3e5a7ca70fe4ff75f0.us-east-1.aws.found.io/app/kibana#/discover/Steve-Slow-Train-Analysis-(2080s-and-2083s)?_g=(refreshInterval:(display:Off,pause:!f,section:0,value:0),time:(from:'2017-04-12T16:22:46-0600',mode:absolute,to:'2017-04-12T19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3" s="183" t="str">
        <f t="shared" si="30"/>
        <v>N</v>
      </c>
      <c r="X123" s="183">
        <f t="shared" si="31"/>
        <v>1</v>
      </c>
      <c r="Y123" s="62">
        <f t="shared" si="32"/>
        <v>4.3999999999999997E-2</v>
      </c>
      <c r="Z123" s="62">
        <f t="shared" si="33"/>
        <v>23.334399999999999</v>
      </c>
      <c r="AA123" s="62">
        <f t="shared" si="34"/>
        <v>23.290399999999998</v>
      </c>
      <c r="AB123" s="59" t="str">
        <f>VLOOKUP(A123,Enforcements!$C$7:$K$13,8,0)</f>
        <v>Bulletin (2)</v>
      </c>
      <c r="AC123" s="55" t="str">
        <f>VLOOKUP(A123,Enforcements!$C$7:$E$13,3,0)</f>
        <v>GRADE CROSSING</v>
      </c>
      <c r="AD123" s="56" t="str">
        <f t="shared" si="35"/>
        <v>0211-12</v>
      </c>
      <c r="AE123" s="85" t="str">
        <f t="shared" si="36"/>
        <v>aws s3 cp s3://rtdc.mdm.uploadarchive.raw/RTDC4020/ "%USERPROFILE%\AppData\Local\Temp\OnboardLogs"\RTDC4020\2017-04-12 --exclude "*" --recursive --include "*20170412*" &amp; "%USERPROFILE%\Documents\GitHub\mrs-test-scripts\Headless Mode &amp; Sideloading\WalkAndUnGZ.bat" "%USERPROFILE%\AppData\Local\Temp\OnboardLogs"\RTDC4020\2017-04-12 &amp; aws s3 cp s3://rtdc.mdm.uploadarchive.raw/RTDC4020/ "%USERPROFILE%\AppData\Local\Temp\OnboardLogs"\RTDC4020\2017-04-13 --exclude "*" --recursive --include "*20170413*" &amp; "%USERPROFILE%\Documents\GitHub\mrs-test-scripts\Headless Mode &amp; Sideloading\WalkAndUnGZ.bat" "%USERPROFILE%\AppData\Local\Temp\OnboardLogs"\RTDC4020\2017-04-13</v>
      </c>
      <c r="AF123" s="82" t="str">
        <f t="shared" si="37"/>
        <v>"C:\Program Files (x86)\AstroGrep\AstroGrep.exe" /e /r /s /spath="%USERPROFILE%\AppData\Local\Temp\OnboardLogs" /stypes="app*4020*20170413*" /stext=" 00:.+((SYSTEM_STATE.+slice.+state.+changed )|(ment ac)|(multiple cpu faults)|(system.+state.+changed )|(\[timeout)|(PRM\|1\|D)|(kpr)|(kdp)|(\|lc)|(penalty))"</v>
      </c>
      <c r="AG123" s="1" t="str">
        <f t="shared" si="38"/>
        <v>EC</v>
      </c>
      <c r="AH123" s="86" t="str">
        <f t="shared" si="40"/>
        <v>"%USERPROFILE%\Documents\GitHub\eaglep3\Utilities\RefineRTDCRunTimes.py" --tripid 211-12 --locoid 4020 --swversion DE.1.0.9.0 --startMP 204:440 --initTime 2017-04-12T17:22:46 --startdatetime 2017-04-12T17:30:18 --delay 1 --endMP 204:233344 --enddatetime 2017-04-12T18:07:26 --enforcementcount 0 &gt;&gt;C:\Users\stu\Documents\GitHub\eaglep3-reporting\EC\2017-04-12-refined-times.txt</v>
      </c>
      <c r="AI123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{"issue":{"subject":"","project_id":79,"tracker_id":40,"status_id":1,"priority_id":2,"assigned_to_id":23,"start_date":"2017-04-12","description":"","custom_fields":[{"id":1,"name":"Subdivision","value":"EC"},{"id":4,"name":"Milepost","value":"23.3344"},{"id":17,"name":"Train ID","value":"211-12"},{"id":16,"name":"Locomotive ID","value":"4020"},{"id":130,"name":"Impact","value":""},{"id":150,"name":"Time of Event (Mountain Time)","value":"18:07:26"},{"id":151,"name":"Denver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8"/>
      <c r="AL123" s="48"/>
      <c r="AM123" s="150" t="str">
        <f t="shared" si="42"/>
        <v>start /low /b %USERPROFILE%\Documents\GitHub\eaglep3\Utilities\DownloadLogsFromS3.py --loco 4020 --day 2017-04-12</v>
      </c>
      <c r="AN123" s="159" t="str">
        <f t="shared" si="4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00:07:26"},{"id":29,"name":"Sharepoint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818</v>
      </c>
      <c r="B124" s="7">
        <v>4019</v>
      </c>
      <c r="C124" s="21" t="s">
        <v>214</v>
      </c>
      <c r="D124" s="21" t="s">
        <v>591</v>
      </c>
      <c r="E124" s="13">
        <v>42837.7659375</v>
      </c>
      <c r="F124" s="13">
        <v>42837.768310185187</v>
      </c>
      <c r="G124" s="7">
        <v>1</v>
      </c>
      <c r="H124" s="21" t="s">
        <v>909</v>
      </c>
      <c r="I124" s="13">
        <v>42837.795578703706</v>
      </c>
      <c r="J124" s="7">
        <v>0</v>
      </c>
      <c r="K124" s="97" t="str">
        <f t="shared" si="25"/>
        <v>4019/4020</v>
      </c>
      <c r="L124" s="21" t="str">
        <f>VLOOKUP(A124,'Trips&amp;Operators'!$C$1:$G$99999,5,FALSE)</f>
        <v>LOCKLEAR TRAVIS</v>
      </c>
      <c r="M124" s="6">
        <f t="shared" si="26"/>
        <v>2.7268518519122154E-2</v>
      </c>
      <c r="N124" s="7">
        <f t="shared" si="44"/>
        <v>39.266666667535901</v>
      </c>
      <c r="O124" s="7"/>
      <c r="P124" s="7"/>
      <c r="Q124" s="22"/>
      <c r="R124" s="22"/>
      <c r="S124" s="31">
        <f t="shared" si="27"/>
        <v>1</v>
      </c>
      <c r="T124" s="46" t="str">
        <f t="shared" si="28"/>
        <v>Southbound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 t="shared" si="29"/>
        <v>https://d0f6bd738d7f1b3e5a7ca70fe4ff75f0.us-east-1.aws.found.io/app/kibana#/discover/Steve-Slow-Train-Analysis-(2080s-and-2083s)?_g=(refreshInterval:(display:Off,pause:!f,section:0,value:0),time:(from:'2017-04-12T17:22:57-0600',mode:absolute,to:'2017-04-12T20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4" s="183" t="str">
        <f t="shared" si="30"/>
        <v>N</v>
      </c>
      <c r="X124" s="183">
        <f t="shared" si="31"/>
        <v>1</v>
      </c>
      <c r="Y124" s="62">
        <f t="shared" si="32"/>
        <v>23.304200000000002</v>
      </c>
      <c r="Z124" s="62">
        <f t="shared" si="33"/>
        <v>1.72E-2</v>
      </c>
      <c r="AA124" s="62">
        <f t="shared" si="34"/>
        <v>23.287000000000003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5"/>
        <v>0212-12</v>
      </c>
      <c r="AE124" s="85" t="str">
        <f t="shared" si="36"/>
        <v>aws s3 cp s3://rtdc.mdm.uploadarchive.raw/RTDC4019/ "%USERPROFILE%\AppData\Local\Temp\OnboardLogs"\RTDC4019\2017-04-12 --exclude "*" --recursive --include "*20170412*" &amp; "%USERPROFILE%\Documents\GitHub\mrs-test-scripts\Headless Mode &amp; Sideloading\WalkAndUnGZ.bat" "%USERPROFILE%\AppData\Local\Temp\OnboardLogs"\RTDC4019\2017-04-12 &amp; aws s3 cp s3://rtdc.mdm.uploadarchive.raw/RTDC4019/ "%USERPROFILE%\AppData\Local\Temp\OnboardLogs"\RTDC4019\2017-04-13 --exclude "*" --recursive --include "*20170413*" &amp; "%USERPROFILE%\Documents\GitHub\mrs-test-scripts\Headless Mode &amp; Sideloading\WalkAndUnGZ.bat" "%USERPROFILE%\AppData\Local\Temp\OnboardLogs"\RTDC4019\2017-04-13</v>
      </c>
      <c r="AF124" s="82" t="str">
        <f t="shared" si="37"/>
        <v>"C:\Program Files (x86)\AstroGrep\AstroGrep.exe" /e /r /s /spath="%USERPROFILE%\AppData\Local\Temp\OnboardLogs" /stypes="app*4019*20170413*" /stext=" 01:.+((SYSTEM_STATE.+slice.+state.+changed )|(ment ac)|(multiple cpu faults)|(system.+state.+changed )|(\[timeout)|(PRM\|1\|D)|(kpr)|(kdp)|(\|lc)|(penalty))"</v>
      </c>
      <c r="AG124" s="1" t="str">
        <f t="shared" si="38"/>
        <v>EC</v>
      </c>
      <c r="AH124" s="86" t="str">
        <f t="shared" si="40"/>
        <v>"%USERPROFILE%\Documents\GitHub\eaglep3\Utilities\RefineRTDCRunTimes.py" --tripid 212-12 --locoid 4019 --swversion DE.1.0.9.0 --startMP 204:233042 --initTime 2017-04-12T18:22:57 --startdatetime 2017-04-12T18:26:22 --delay 1 --endMP 204:172 --enddatetime 2017-04-12T19:05:38 --enforcementcount 0 &gt;&gt;C:\Users\stu\Documents\GitHub\eaglep3-reporting\EC\2017-04-12-refined-times.txt</v>
      </c>
      <c r="AI124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{"issue":{"subject":"","project_id":79,"tracker_id":40,"status_id":1,"priority_id":2,"assigned_to_id":23,"start_date":"2017-04-12","description":"","custom_fields":[{"id":1,"name":"Subdivision","value":"EC"},{"id":4,"name":"Milepost","value":"0.0172"},{"id":17,"name":"Train ID","value":"212-12"},{"id":16,"name":"Locomotive ID","value":"4019"},{"id":130,"name":"Impact","value":""},{"id":150,"name":"Time of Event (Mountain Time)","value":"19:05:38"},{"id":151,"name":"Denver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8"/>
      <c r="AL124" s="48"/>
      <c r="AM124" s="150" t="str">
        <f t="shared" si="42"/>
        <v>start /low /b %USERPROFILE%\Documents\GitHub\eaglep3\Utilities\DownloadLogsFromS3.py --loco 4019 --day 2017-04-12</v>
      </c>
      <c r="AN124" s="159" t="str">
        <f t="shared" si="4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01:05:38"},{"id":29,"name":"Sharepoint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804</v>
      </c>
      <c r="B125" s="7">
        <v>4040</v>
      </c>
      <c r="C125" s="21" t="s">
        <v>214</v>
      </c>
      <c r="D125" s="21" t="s">
        <v>468</v>
      </c>
      <c r="E125" s="13">
        <v>42837.737013888887</v>
      </c>
      <c r="F125" s="13">
        <v>42837.739791666667</v>
      </c>
      <c r="G125" s="7">
        <v>1</v>
      </c>
      <c r="H125" s="21" t="s">
        <v>928</v>
      </c>
      <c r="I125" s="13">
        <v>42837.76494212963</v>
      </c>
      <c r="J125" s="7">
        <v>0</v>
      </c>
      <c r="K125" s="97" t="str">
        <f t="shared" si="25"/>
        <v>4039/4040</v>
      </c>
      <c r="L125" s="21" t="str">
        <f>VLOOKUP(A125,'Trips&amp;Operators'!$C$1:$G$99999,5,FALSE)</f>
        <v>STORY SAMANTHA</v>
      </c>
      <c r="M125" s="6">
        <f t="shared" si="26"/>
        <v>2.5150462963210884E-2</v>
      </c>
      <c r="N125" s="7">
        <f t="shared" si="44"/>
        <v>36.216666667023674</v>
      </c>
      <c r="O125" s="7"/>
      <c r="P125" s="7"/>
      <c r="Q125" s="22"/>
      <c r="R125" s="22"/>
      <c r="S125" s="31">
        <f t="shared" si="27"/>
        <v>1</v>
      </c>
      <c r="T125" s="46" t="str">
        <f t="shared" si="28"/>
        <v>NorthBound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 t="shared" si="29"/>
        <v>https://d0f6bd738d7f1b3e5a7ca70fe4ff75f0.us-east-1.aws.found.io/app/kibana#/discover/Steve-Slow-Train-Analysis-(2080s-and-2083s)?_g=(refreshInterval:(display:Off,pause:!f,section:0,value:0),time:(from:'2017-04-12T16:41:18-0600',mode:absolute,to:'2017-04-12T19:21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5" s="183" t="str">
        <f t="shared" si="30"/>
        <v>N</v>
      </c>
      <c r="X125" s="183">
        <f t="shared" si="31"/>
        <v>1</v>
      </c>
      <c r="Y125" s="62">
        <f t="shared" si="32"/>
        <v>4.6899999999999997E-2</v>
      </c>
      <c r="Z125" s="62">
        <f t="shared" si="33"/>
        <v>23.332599999999999</v>
      </c>
      <c r="AA125" s="62">
        <f t="shared" si="34"/>
        <v>23.285699999999999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5"/>
        <v>0213-12</v>
      </c>
      <c r="AE125" s="85" t="str">
        <f t="shared" si="36"/>
        <v>aws s3 cp s3://rtdc.mdm.uploadarchive.raw/RTDC4040/ "%USERPROFILE%\AppData\Local\Temp\OnboardLogs"\RTDC4040\2017-04-12 --exclude "*" --recursive --include "*20170412*" &amp; "%USERPROFILE%\Documents\GitHub\mrs-test-scripts\Headless Mode &amp; Sideloading\WalkAndUnGZ.bat" "%USERPROFILE%\AppData\Local\Temp\OnboardLogs"\RTDC4040\2017-04-12 &amp; aws s3 cp s3://rtdc.mdm.uploadarchive.raw/RTDC4040/ "%USERPROFILE%\AppData\Local\Temp\OnboardLogs"\RTDC4040\2017-04-13 --exclude "*" --recursive --include "*20170413*" &amp; "%USERPROFILE%\Documents\GitHub\mrs-test-scripts\Headless Mode &amp; Sideloading\WalkAndUnGZ.bat" "%USERPROFILE%\AppData\Local\Temp\OnboardLogs"\RTDC4040\2017-04-13</v>
      </c>
      <c r="AF125" s="82" t="str">
        <f t="shared" si="37"/>
        <v>"C:\Program Files (x86)\AstroGrep\AstroGrep.exe" /e /r /s /spath="%USERPROFILE%\AppData\Local\Temp\OnboardLogs" /stypes="app*4040*20170413*" /stext=" 00:.+((SYSTEM_STATE.+slice.+state.+changed )|(ment ac)|(multiple cpu faults)|(system.+state.+changed )|(\[timeout)|(PRM\|1\|D)|(kpr)|(kdp)|(\|lc)|(penalty))"</v>
      </c>
      <c r="AG125" s="1" t="str">
        <f t="shared" si="38"/>
        <v>EC</v>
      </c>
      <c r="AH125" s="86" t="str">
        <f t="shared" si="40"/>
        <v>"%USERPROFILE%\Documents\GitHub\eaglep3\Utilities\RefineRTDCRunTimes.py" --tripid 213-12 --locoid 4040 --swversion DE.1.0.9.0 --startMP 204:469 --initTime 2017-04-12T17:41:18 --startdatetime 2017-04-12T17:45:18 --delay 1 --endMP 204:233326 --enddatetime 2017-04-12T18:21:31 --enforcementcount 0 &gt;&gt;C:\Users\stu\Documents\GitHub\eaglep3-reporting\EC\2017-04-12-refined-times.txt</v>
      </c>
      <c r="AI125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{"issue":{"subject":"","project_id":79,"tracker_id":40,"status_id":1,"priority_id":2,"assigned_to_id":23,"start_date":"2017-04-12","description":"","custom_fields":[{"id":1,"name":"Subdivision","value":"EC"},{"id":4,"name":"Milepost","value":"23.3326"},{"id":17,"name":"Train ID","value":"213-12"},{"id":16,"name":"Locomotive ID","value":"4040"},{"id":130,"name":"Impact","value":""},{"id":150,"name":"Time of Event (Mountain Time)","value":"18:21:31"},{"id":151,"name":"Denver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8"/>
      <c r="AL125" s="48"/>
      <c r="AM125" s="150" t="str">
        <f t="shared" si="42"/>
        <v>start /low /b %USERPROFILE%\Documents\GitHub\eaglep3\Utilities\DownloadLogsFromS3.py --loco 4040 --day 2017-04-12</v>
      </c>
      <c r="AN125" s="159" t="str">
        <f t="shared" si="4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00:21:31"},{"id":29,"name":"Sharepoint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822</v>
      </c>
      <c r="B126" s="7">
        <v>4039</v>
      </c>
      <c r="C126" s="21" t="s">
        <v>214</v>
      </c>
      <c r="D126" s="21" t="s">
        <v>929</v>
      </c>
      <c r="E126" s="13">
        <v>42837.769305555557</v>
      </c>
      <c r="F126" s="13">
        <v>42837.778796296298</v>
      </c>
      <c r="G126" s="7">
        <v>1</v>
      </c>
      <c r="H126" s="21" t="s">
        <v>886</v>
      </c>
      <c r="I126" s="13">
        <v>42837.806296296294</v>
      </c>
      <c r="J126" s="7">
        <v>0</v>
      </c>
      <c r="K126" s="97" t="str">
        <f t="shared" si="25"/>
        <v>4039/4040</v>
      </c>
      <c r="L126" s="21" t="str">
        <f>VLOOKUP(A126,'Trips&amp;Operators'!$C$1:$G$99999,5,FALSE)</f>
        <v>FORTUNATO FRANK</v>
      </c>
      <c r="M126" s="6">
        <f t="shared" si="26"/>
        <v>2.749999999650754E-2</v>
      </c>
      <c r="N126" s="7">
        <f t="shared" si="44"/>
        <v>39.599999994970858</v>
      </c>
      <c r="O126" s="7"/>
      <c r="P126" s="7"/>
      <c r="Q126" s="22"/>
      <c r="R126" s="22"/>
      <c r="S126" s="31">
        <f t="shared" si="27"/>
        <v>1</v>
      </c>
      <c r="T126" s="46" t="str">
        <f t="shared" si="28"/>
        <v>Southbound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 t="shared" si="29"/>
        <v>https://d0f6bd738d7f1b3e5a7ca70fe4ff75f0.us-east-1.aws.found.io/app/kibana#/discover/Steve-Slow-Train-Analysis-(2080s-and-2083s)?_g=(refreshInterval:(display:Off,pause:!f,section:0,value:0),time:(from:'2017-04-12T17:27:48-0600',mode:absolute,to:'2017-04-12T20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6" s="183" t="str">
        <f t="shared" si="30"/>
        <v>N</v>
      </c>
      <c r="X126" s="183">
        <f t="shared" si="31"/>
        <v>1</v>
      </c>
      <c r="Y126" s="62">
        <f t="shared" si="32"/>
        <v>23.3005</v>
      </c>
      <c r="Z126" s="62">
        <f t="shared" si="33"/>
        <v>1.61E-2</v>
      </c>
      <c r="AA126" s="62">
        <f t="shared" si="34"/>
        <v>23.284399999999998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5"/>
        <v>0214-12</v>
      </c>
      <c r="AE126" s="85" t="str">
        <f t="shared" si="36"/>
        <v>aws s3 cp s3://rtdc.mdm.uploadarchive.raw/RTDC4039/ "%USERPROFILE%\AppData\Local\Temp\OnboardLogs"\RTDC4039\2017-04-12 --exclude "*" --recursive --include "*20170412*" &amp; "%USERPROFILE%\Documents\GitHub\mrs-test-scripts\Headless Mode &amp; Sideloading\WalkAndUnGZ.bat" "%USERPROFILE%\AppData\Local\Temp\OnboardLogs"\RTDC4039\2017-04-12 &amp; aws s3 cp s3://rtdc.mdm.uploadarchive.raw/RTDC4039/ "%USERPROFILE%\AppData\Local\Temp\OnboardLogs"\RTDC4039\2017-04-13 --exclude "*" --recursive --include "*20170413*" &amp; "%USERPROFILE%\Documents\GitHub\mrs-test-scripts\Headless Mode &amp; Sideloading\WalkAndUnGZ.bat" "%USERPROFILE%\AppData\Local\Temp\OnboardLogs"\RTDC4039\2017-04-13</v>
      </c>
      <c r="AF126" s="82" t="str">
        <f t="shared" si="37"/>
        <v>"C:\Program Files (x86)\AstroGrep\AstroGrep.exe" /e /r /s /spath="%USERPROFILE%\AppData\Local\Temp\OnboardLogs" /stypes="app*4039*20170413*" /stext=" 01:.+((SYSTEM_STATE.+slice.+state.+changed )|(ment ac)|(multiple cpu faults)|(system.+state.+changed )|(\[timeout)|(PRM\|1\|D)|(kpr)|(kdp)|(\|lc)|(penalty))"</v>
      </c>
      <c r="AG126" s="1" t="str">
        <f t="shared" si="38"/>
        <v>EC</v>
      </c>
      <c r="AH126" s="86" t="str">
        <f t="shared" si="40"/>
        <v>"%USERPROFILE%\Documents\GitHub\eaglep3\Utilities\RefineRTDCRunTimes.py" --tripid 214-12 --locoid 4039 --swversion DE.1.0.9.0 --startMP 204:233005 --initTime 2017-04-12T18:27:48 --startdatetime 2017-04-12T18:41:28 --delay 1 --endMP 204:161 --enddatetime 2017-04-12T19:21:04 --enforcementcount 0 &gt;&gt;C:\Users\stu\Documents\GitHub\eaglep3-reporting\EC\2017-04-12-refined-times.txt</v>
      </c>
      <c r="AI126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{"issue":{"subject":"","project_id":79,"tracker_id":40,"status_id":1,"priority_id":2,"assigned_to_id":23,"start_date":"2017-04-12","description":"","custom_fields":[{"id":1,"name":"Subdivision","value":"EC"},{"id":4,"name":"Milepost","value":"0.0161"},{"id":17,"name":"Train ID","value":"214-12"},{"id":16,"name":"Locomotive ID","value":"4039"},{"id":130,"name":"Impact","value":""},{"id":150,"name":"Time of Event (Mountain Time)","value":"19:21:04"},{"id":151,"name":"Denver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8"/>
      <c r="AL126" s="48"/>
      <c r="AM126" s="150" t="str">
        <f t="shared" si="42"/>
        <v>start /low /b %USERPROFILE%\Documents\GitHub\eaglep3\Utilities\DownloadLogsFromS3.py --loco 4039 --day 2017-04-12</v>
      </c>
      <c r="AN126" s="159" t="str">
        <f t="shared" si="4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01:21:04"},{"id":29,"name":"Sharepoint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813</v>
      </c>
      <c r="B127" s="7">
        <v>4032</v>
      </c>
      <c r="C127" s="21" t="s">
        <v>214</v>
      </c>
      <c r="D127" s="21" t="s">
        <v>204</v>
      </c>
      <c r="E127" s="13">
        <v>42837.748148148145</v>
      </c>
      <c r="F127" s="13">
        <v>42837.750393518516</v>
      </c>
      <c r="G127" s="7">
        <v>1</v>
      </c>
      <c r="H127" s="21" t="s">
        <v>921</v>
      </c>
      <c r="I127" s="13">
        <v>42837.776967592596</v>
      </c>
      <c r="J127" s="7">
        <v>0</v>
      </c>
      <c r="K127" s="97" t="str">
        <f t="shared" si="25"/>
        <v>4031/4032</v>
      </c>
      <c r="L127" s="21" t="str">
        <f>VLOOKUP(A127,'Trips&amp;Operators'!$C$1:$G$99999,5,FALSE)</f>
        <v>STRICKLAND EVAN</v>
      </c>
      <c r="M127" s="6">
        <f t="shared" si="26"/>
        <v>2.6574074079690035E-2</v>
      </c>
      <c r="N127" s="7">
        <f t="shared" si="44"/>
        <v>38.266666674753651</v>
      </c>
      <c r="O127" s="7"/>
      <c r="P127" s="7"/>
      <c r="Q127" s="22"/>
      <c r="R127" s="22"/>
      <c r="S127" s="31">
        <f t="shared" si="27"/>
        <v>1</v>
      </c>
      <c r="T127" s="46" t="str">
        <f t="shared" si="28"/>
        <v>NorthBound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2" t="str">
        <f t="shared" si="29"/>
        <v>https://d0f6bd738d7f1b3e5a7ca70fe4ff75f0.us-east-1.aws.found.io/app/kibana#/discover/Steve-Slow-Train-Analysis-(2080s-and-2083s)?_g=(refreshInterval:(display:Off,pause:!f,section:0,value:0),time:(from:'2017-04-12T16:57:20-0600',mode:absolute,to:'2017-04-12T19:38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7" s="183" t="str">
        <f t="shared" si="30"/>
        <v>N</v>
      </c>
      <c r="X127" s="183">
        <f t="shared" si="31"/>
        <v>1</v>
      </c>
      <c r="Y127" s="62">
        <f t="shared" si="32"/>
        <v>4.5100000000000001E-2</v>
      </c>
      <c r="Z127" s="62">
        <f t="shared" si="33"/>
        <v>23.334</v>
      </c>
      <c r="AA127" s="62">
        <f t="shared" si="34"/>
        <v>23.288899999999998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5"/>
        <v>0215-12</v>
      </c>
      <c r="AE127" s="85" t="str">
        <f t="shared" si="36"/>
        <v>aws s3 cp s3://rtdc.mdm.uploadarchive.raw/RTDC4032/ "%USERPROFILE%\AppData\Local\Temp\OnboardLogs"\RTDC4032\2017-04-12 --exclude "*" --recursive --include "*20170412*" &amp; "%USERPROFILE%\Documents\GitHub\mrs-test-scripts\Headless Mode &amp; Sideloading\WalkAndUnGZ.bat" "%USERPROFILE%\AppData\Local\Temp\OnboardLogs"\RTDC4032\2017-04-12 &amp; aws s3 cp s3://rtdc.mdm.uploadarchive.raw/RTDC4032/ "%USERPROFILE%\AppData\Local\Temp\OnboardLogs"\RTDC4032\2017-04-13 --exclude "*" --recursive --include "*20170413*" &amp; "%USERPROFILE%\Documents\GitHub\mrs-test-scripts\Headless Mode &amp; Sideloading\WalkAndUnGZ.bat" "%USERPROFILE%\AppData\Local\Temp\OnboardLogs"\RTDC4032\2017-04-13</v>
      </c>
      <c r="AF127" s="82" t="str">
        <f t="shared" si="37"/>
        <v>"C:\Program Files (x86)\AstroGrep\AstroGrep.exe" /e /r /s /spath="%USERPROFILE%\AppData\Local\Temp\OnboardLogs" /stypes="app*4032*20170413*" /stext=" 00:.+((SYSTEM_STATE.+slice.+state.+changed )|(ment ac)|(multiple cpu faults)|(system.+state.+changed )|(\[timeout)|(PRM\|1\|D)|(kpr)|(kdp)|(\|lc)|(penalty))"</v>
      </c>
      <c r="AG127" s="1" t="str">
        <f t="shared" si="38"/>
        <v>EC</v>
      </c>
      <c r="AH127" s="86" t="str">
        <f t="shared" si="40"/>
        <v>"%USERPROFILE%\Documents\GitHub\eaglep3\Utilities\RefineRTDCRunTimes.py" --tripid 215-12 --locoid 4032 --swversion DE.1.0.9.0 --startMP 204:451 --initTime 2017-04-12T17:57:20 --startdatetime 2017-04-12T18:00:34 --delay 1 --endMP 204:233340 --enddatetime 2017-04-12T18:38:50 --enforcementcount 0 &gt;&gt;C:\Users\stu\Documents\GitHub\eaglep3-reporting\EC\2017-04-12-refined-times.txt</v>
      </c>
      <c r="AI127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{"issue":{"subject":"","project_id":79,"tracker_id":40,"status_id":1,"priority_id":2,"assigned_to_id":23,"start_date":"2017-04-12","description":"","custom_fields":[{"id":1,"name":"Subdivision","value":"EC"},{"id":4,"name":"Milepost","value":"23.334"},{"id":17,"name":"Train ID","value":"215-12"},{"id":16,"name":"Locomotive ID","value":"4032"},{"id":130,"name":"Impact","value":""},{"id":150,"name":"Time of Event (Mountain Time)","value":"18:38:50"},{"id":151,"name":"Denver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8"/>
      <c r="AL127" s="48"/>
      <c r="AM127" s="150" t="str">
        <f t="shared" si="42"/>
        <v>start /low /b %USERPROFILE%\Documents\GitHub\eaglep3\Utilities\DownloadLogsFromS3.py --loco 4032 --day 2017-04-12</v>
      </c>
      <c r="AN127" s="159" t="str">
        <f t="shared" si="4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00:38:50"},{"id":29,"name":"Sharepoint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825</v>
      </c>
      <c r="B128" s="7">
        <v>4031</v>
      </c>
      <c r="C128" s="21" t="s">
        <v>214</v>
      </c>
      <c r="D128" s="21" t="s">
        <v>930</v>
      </c>
      <c r="E128" s="13">
        <v>42837.779548611114</v>
      </c>
      <c r="F128" s="13">
        <v>42837.789189814815</v>
      </c>
      <c r="G128" s="7">
        <v>1</v>
      </c>
      <c r="H128" s="21" t="s">
        <v>504</v>
      </c>
      <c r="I128" s="13">
        <v>42837.816736111112</v>
      </c>
      <c r="J128" s="7">
        <v>0</v>
      </c>
      <c r="K128" s="97" t="str">
        <f t="shared" si="25"/>
        <v>4031/4032</v>
      </c>
      <c r="L128" s="21" t="str">
        <f>VLOOKUP(A128,'Trips&amp;Operators'!$C$1:$G$99999,5,FALSE)</f>
        <v>STRICKLAND EVAN</v>
      </c>
      <c r="M128" s="6">
        <f t="shared" si="26"/>
        <v>2.7546296296350192E-2</v>
      </c>
      <c r="N128" s="7">
        <f t="shared" si="44"/>
        <v>39.666666666744277</v>
      </c>
      <c r="O128" s="7"/>
      <c r="P128" s="7"/>
      <c r="Q128" s="22"/>
      <c r="R128" s="22"/>
      <c r="S128" s="31">
        <f t="shared" si="27"/>
        <v>1</v>
      </c>
      <c r="T128" s="46" t="str">
        <f t="shared" si="28"/>
        <v>Southbound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 t="shared" si="29"/>
        <v>https://d0f6bd738d7f1b3e5a7ca70fe4ff75f0.us-east-1.aws.found.io/app/kibana#/discover/Steve-Slow-Train-Analysis-(2080s-and-2083s)?_g=(refreshInterval:(display:Off,pause:!f,section:0,value:0),time:(from:'2017-04-12T17:42:33-0600',mode:absolute,to:'2017-04-12T20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8" s="183" t="str">
        <f t="shared" si="30"/>
        <v>N</v>
      </c>
      <c r="X128" s="183">
        <f t="shared" si="31"/>
        <v>1</v>
      </c>
      <c r="Y128" s="62">
        <f t="shared" si="32"/>
        <v>23.304500000000001</v>
      </c>
      <c r="Z128" s="62">
        <f t="shared" si="33"/>
        <v>1.4999999999999999E-2</v>
      </c>
      <c r="AA128" s="62">
        <f t="shared" si="34"/>
        <v>23.2895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5"/>
        <v>0216-12</v>
      </c>
      <c r="AE128" s="85" t="str">
        <f t="shared" si="36"/>
        <v>aws s3 cp s3://rtdc.mdm.uploadarchive.raw/RTDC4031/ "%USERPROFILE%\AppData\Local\Temp\OnboardLogs"\RTDC4031\2017-04-12 --exclude "*" --recursive --include "*20170412*" &amp; "%USERPROFILE%\Documents\GitHub\mrs-test-scripts\Headless Mode &amp; Sideloading\WalkAndUnGZ.bat" "%USERPROFILE%\AppData\Local\Temp\OnboardLogs"\RTDC4031\2017-04-12 &amp; aws s3 cp s3://rtdc.mdm.uploadarchive.raw/RTDC4031/ "%USERPROFILE%\AppData\Local\Temp\OnboardLogs"\RTDC4031\2017-04-13 --exclude "*" --recursive --include "*20170413*" &amp; "%USERPROFILE%\Documents\GitHub\mrs-test-scripts\Headless Mode &amp; Sideloading\WalkAndUnGZ.bat" "%USERPROFILE%\AppData\Local\Temp\OnboardLogs"\RTDC4031\2017-04-13</v>
      </c>
      <c r="AF128" s="82" t="str">
        <f t="shared" si="37"/>
        <v>"C:\Program Files (x86)\AstroGrep\AstroGrep.exe" /e /r /s /spath="%USERPROFILE%\AppData\Local\Temp\OnboardLogs" /stypes="app*4031*20170413*" /stext=" 01:.+((SYSTEM_STATE.+slice.+state.+changed )|(ment ac)|(multiple cpu faults)|(system.+state.+changed )|(\[timeout)|(PRM\|1\|D)|(kpr)|(kdp)|(\|lc)|(penalty))"</v>
      </c>
      <c r="AG128" s="1" t="str">
        <f t="shared" si="38"/>
        <v>EC</v>
      </c>
      <c r="AH128" s="86" t="str">
        <f t="shared" si="40"/>
        <v>"%USERPROFILE%\Documents\GitHub\eaglep3\Utilities\RefineRTDCRunTimes.py" --tripid 216-12 --locoid 4031 --swversion DE.1.0.9.0 --startMP 204:233045 --initTime 2017-04-12T18:42:33 --startdatetime 2017-04-12T18:56:26 --delay 1 --endMP 204:150 --enddatetime 2017-04-12T19:36:06 --enforcementcount 0 &gt;&gt;C:\Users\stu\Documents\GitHub\eaglep3-reporting\EC\2017-04-12-refined-times.txt</v>
      </c>
      <c r="AI128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{"issue":{"subject":"","project_id":79,"tracker_id":40,"status_id":1,"priority_id":2,"assigned_to_id":23,"start_date":"2017-04-12","description":"","custom_fields":[{"id":1,"name":"Subdivision","value":"EC"},{"id":4,"name":"Milepost","value":"0.015"},{"id":17,"name":"Train ID","value":"216-12"},{"id":16,"name":"Locomotive ID","value":"4031"},{"id":130,"name":"Impact","value":""},{"id":150,"name":"Time of Event (Mountain Time)","value":"19:36:06"},{"id":151,"name":"Denver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8"/>
      <c r="AL128" s="48"/>
      <c r="AM128" s="150" t="str">
        <f t="shared" si="42"/>
        <v>start /low /b %USERPROFILE%\Documents\GitHub\eaglep3\Utilities\DownloadLogsFromS3.py --loco 4031 --day 2017-04-12</v>
      </c>
      <c r="AN128" s="159" t="str">
        <f t="shared" si="4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01:36:06"},{"id":29,"name":"Sharepoint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650</v>
      </c>
      <c r="B129" s="7">
        <v>4054</v>
      </c>
      <c r="C129" s="21" t="s">
        <v>214</v>
      </c>
      <c r="D129" s="21" t="s">
        <v>931</v>
      </c>
      <c r="E129" s="13">
        <v>42837.758715277778</v>
      </c>
      <c r="F129" s="13">
        <v>42837.76059027778</v>
      </c>
      <c r="G129" s="7">
        <v>1</v>
      </c>
      <c r="H129" s="21" t="s">
        <v>575</v>
      </c>
      <c r="I129" s="13">
        <v>42837.786412037036</v>
      </c>
      <c r="J129" s="7">
        <v>0</v>
      </c>
      <c r="K129" s="97" t="str">
        <f t="shared" si="25"/>
        <v>4053/4054</v>
      </c>
      <c r="L129" s="21" t="str">
        <f>VLOOKUP(A129,'Trips&amp;Operators'!$C$1:$G$99999,5,FALSE)</f>
        <v>LALONDE GREGORY</v>
      </c>
      <c r="M129" s="6">
        <f t="shared" si="26"/>
        <v>2.5821759256359655E-2</v>
      </c>
      <c r="N129" s="7">
        <f t="shared" si="44"/>
        <v>37.183333329157904</v>
      </c>
      <c r="O129" s="7"/>
      <c r="P129" s="7"/>
      <c r="Q129" s="22"/>
      <c r="R129" s="22"/>
      <c r="S129" s="31">
        <f t="shared" si="27"/>
        <v>1</v>
      </c>
      <c r="T129" s="46" t="str">
        <f t="shared" si="28"/>
        <v>NorthBound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 t="shared" si="29"/>
        <v>https://d0f6bd738d7f1b3e5a7ca70fe4ff75f0.us-east-1.aws.found.io/app/kibana#/discover/Steve-Slow-Train-Analysis-(2080s-and-2083s)?_g=(refreshInterval:(display:Off,pause:!f,section:0,value:0),time:(from:'2017-04-12T17:12:33-0600',mode:absolute,to:'2017-04-12T19:52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9" s="183" t="str">
        <f t="shared" si="30"/>
        <v>N</v>
      </c>
      <c r="X129" s="183">
        <f t="shared" si="31"/>
        <v>1</v>
      </c>
      <c r="Y129" s="62">
        <f t="shared" si="32"/>
        <v>4.1500000000000002E-2</v>
      </c>
      <c r="Z129" s="62">
        <f t="shared" si="33"/>
        <v>23.333200000000001</v>
      </c>
      <c r="AA129" s="62">
        <f t="shared" si="34"/>
        <v>23.291700000000002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5"/>
        <v>0217-12</v>
      </c>
      <c r="AE129" s="85" t="str">
        <f t="shared" si="36"/>
        <v>aws s3 cp s3://rtdc.mdm.uploadarchive.raw/RTDC4054/ "%USERPROFILE%\AppData\Local\Temp\OnboardLogs"\RTDC4054\2017-04-12 --exclude "*" --recursive --include "*20170412*" &amp; "%USERPROFILE%\Documents\GitHub\mrs-test-scripts\Headless Mode &amp; Sideloading\WalkAndUnGZ.bat" "%USERPROFILE%\AppData\Local\Temp\OnboardLogs"\RTDC4054\2017-04-12 &amp; aws s3 cp s3://rtdc.mdm.uploadarchive.raw/RTDC4054/ "%USERPROFILE%\AppData\Local\Temp\OnboardLogs"\RTDC4054\2017-04-13 --exclude "*" --recursive --include "*20170413*" &amp; "%USERPROFILE%\Documents\GitHub\mrs-test-scripts\Headless Mode &amp; Sideloading\WalkAndUnGZ.bat" "%USERPROFILE%\AppData\Local\Temp\OnboardLogs"\RTDC4054\2017-04-13</v>
      </c>
      <c r="AF129" s="82" t="str">
        <f t="shared" si="37"/>
        <v>"C:\Program Files (x86)\AstroGrep\AstroGrep.exe" /e /r /s /spath="%USERPROFILE%\AppData\Local\Temp\OnboardLogs" /stypes="app*4054*20170413*" /stext=" 00:.+((SYSTEM_STATE.+slice.+state.+changed )|(ment ac)|(multiple cpu faults)|(system.+state.+changed )|(\[timeout)|(PRM\|1\|D)|(kpr)|(kdp)|(\|lc)|(penalty))"</v>
      </c>
      <c r="AG129" s="1" t="str">
        <f t="shared" si="38"/>
        <v>EC</v>
      </c>
      <c r="AH129" s="86" t="str">
        <f t="shared" si="40"/>
        <v>"%USERPROFILE%\Documents\GitHub\eaglep3\Utilities\RefineRTDCRunTimes.py" --tripid 217-12 --locoid 4054 --swversion DE.1.0.9.0 --startMP 204:415 --initTime 2017-04-12T18:12:33 --startdatetime 2017-04-12T18:15:15 --delay 1 --endMP 204:233332 --enddatetime 2017-04-12T18:52:26 --enforcementcount 0 &gt;&gt;C:\Users\stu\Documents\GitHub\eaglep3-reporting\EC\2017-04-12-refined-times.txt</v>
      </c>
      <c r="AI129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{"issue":{"subject":"","project_id":79,"tracker_id":40,"status_id":1,"priority_id":2,"assigned_to_id":23,"start_date":"2017-04-12","description":"","custom_fields":[{"id":1,"name":"Subdivision","value":"EC"},{"id":4,"name":"Milepost","value":"23.3332"},{"id":17,"name":"Train ID","value":"217-12"},{"id":16,"name":"Locomotive ID","value":"4054"},{"id":130,"name":"Impact","value":""},{"id":150,"name":"Time of Event (Mountain Time)","value":"18:52:26"},{"id":151,"name":"Denver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8"/>
      <c r="AL129" s="48"/>
      <c r="AM129" s="150" t="str">
        <f t="shared" si="42"/>
        <v>start /low /b %USERPROFILE%\Documents\GitHub\eaglep3\Utilities\DownloadLogsFromS3.py --loco 4054 --day 2017-04-12</v>
      </c>
      <c r="AN129" s="159" t="str">
        <f t="shared" si="4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00:52:26"},{"id":29,"name":"Sharepoint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828</v>
      </c>
      <c r="B130" s="7">
        <v>4053</v>
      </c>
      <c r="C130" s="21" t="s">
        <v>214</v>
      </c>
      <c r="D130" s="21" t="s">
        <v>513</v>
      </c>
      <c r="E130" s="13">
        <v>42837.789664351854</v>
      </c>
      <c r="F130" s="13">
        <v>42837.799467592595</v>
      </c>
      <c r="G130" s="7">
        <v>1</v>
      </c>
      <c r="H130" s="21" t="s">
        <v>198</v>
      </c>
      <c r="I130" s="13">
        <v>42837.825520833336</v>
      </c>
      <c r="J130" s="7">
        <v>0</v>
      </c>
      <c r="K130" s="97" t="str">
        <f t="shared" si="25"/>
        <v>4053/4054</v>
      </c>
      <c r="L130" s="21" t="str">
        <f>VLOOKUP(A130,'Trips&amp;Operators'!$C$1:$G$99999,5,FALSE)</f>
        <v>LALONDE GREGORY</v>
      </c>
      <c r="M130" s="6">
        <f t="shared" si="26"/>
        <v>2.6053240741021E-2</v>
      </c>
      <c r="N130" s="7">
        <f t="shared" si="44"/>
        <v>37.51666666707024</v>
      </c>
      <c r="O130" s="7"/>
      <c r="P130" s="7"/>
      <c r="Q130" s="22"/>
      <c r="R130" s="22"/>
      <c r="S130" s="31">
        <f t="shared" si="27"/>
        <v>1</v>
      </c>
      <c r="T130" s="46" t="str">
        <f t="shared" si="28"/>
        <v>Southbound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 t="shared" si="29"/>
        <v>https://d0f6bd738d7f1b3e5a7ca70fe4ff75f0.us-east-1.aws.found.io/app/kibana#/discover/Steve-Slow-Train-Analysis-(2080s-and-2083s)?_g=(refreshInterval:(display:Off,pause:!f,section:0,value:0),time:(from:'2017-04-12T17:57:07-0600',mode:absolute,to:'2017-04-12T20:48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0" s="183" t="str">
        <f t="shared" si="30"/>
        <v>N</v>
      </c>
      <c r="X130" s="183">
        <f t="shared" si="31"/>
        <v>1</v>
      </c>
      <c r="Y130" s="62">
        <f t="shared" si="32"/>
        <v>23.3</v>
      </c>
      <c r="Z130" s="62">
        <f t="shared" si="33"/>
        <v>1.5800000000000002E-2</v>
      </c>
      <c r="AA130" s="62">
        <f t="shared" si="34"/>
        <v>23.284200000000002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5"/>
        <v>0218-12</v>
      </c>
      <c r="AE130" s="85" t="str">
        <f t="shared" si="36"/>
        <v>aws s3 cp s3://rtdc.mdm.uploadarchive.raw/RTDC4053/ "%USERPROFILE%\AppData\Local\Temp\OnboardLogs"\RTDC4053\2017-04-12 --exclude "*" --recursive --include "*20170412*" &amp; "%USERPROFILE%\Documents\GitHub\mrs-test-scripts\Headless Mode &amp; Sideloading\WalkAndUnGZ.bat" "%USERPROFILE%\AppData\Local\Temp\OnboardLogs"\RTDC4053\2017-04-12 &amp; aws s3 cp s3://rtdc.mdm.uploadarchive.raw/RTDC4053/ "%USERPROFILE%\AppData\Local\Temp\OnboardLogs"\RTDC4053\2017-04-13 --exclude "*" --recursive --include "*20170413*" &amp; "%USERPROFILE%\Documents\GitHub\mrs-test-scripts\Headless Mode &amp; Sideloading\WalkAndUnGZ.bat" "%USERPROFILE%\AppData\Local\Temp\OnboardLogs"\RTDC4053\2017-04-13</v>
      </c>
      <c r="AF130" s="82" t="str">
        <f t="shared" si="37"/>
        <v>"C:\Program Files (x86)\AstroGrep\AstroGrep.exe" /e /r /s /spath="%USERPROFILE%\AppData\Local\Temp\OnboardLogs" /stypes="app*4053*20170413*" /stext=" 01:.+((SYSTEM_STATE.+slice.+state.+changed )|(ment ac)|(multiple cpu faults)|(system.+state.+changed )|(\[timeout)|(PRM\|1\|D)|(kpr)|(kdp)|(\|lc)|(penalty))"</v>
      </c>
      <c r="AG130" s="1" t="str">
        <f t="shared" si="38"/>
        <v>EC</v>
      </c>
      <c r="AH130" s="86" t="str">
        <f t="shared" si="40"/>
        <v>"%USERPROFILE%\Documents\GitHub\eaglep3\Utilities\RefineRTDCRunTimes.py" --tripid 218-12 --locoid 4053 --swversion DE.1.0.9.0 --startMP 204:233000 --initTime 2017-04-12T18:57:07 --startdatetime 2017-04-12T19:11:14 --delay 1 --endMP 204:158 --enddatetime 2017-04-12T19:48:45 --enforcementcount 0 &gt;&gt;C:\Users\stu\Documents\GitHub\eaglep3-reporting\EC\2017-04-12-refined-times.txt</v>
      </c>
      <c r="AI130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{"issue":{"subject":"","project_id":79,"tracker_id":40,"status_id":1,"priority_id":2,"assigned_to_id":23,"start_date":"2017-04-12","description":"","custom_fields":[{"id":1,"name":"Subdivision","value":"EC"},{"id":4,"name":"Milepost","value":"0.0158"},{"id":17,"name":"Train ID","value":"218-12"},{"id":16,"name":"Locomotive ID","value":"4053"},{"id":130,"name":"Impact","value":""},{"id":150,"name":"Time of Event (Mountain Time)","value":"19:48:45"},{"id":151,"name":"Denver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8"/>
      <c r="AL130" s="48"/>
      <c r="AM130" s="150" t="str">
        <f t="shared" si="42"/>
        <v>start /low /b %USERPROFILE%\Documents\GitHub\eaglep3\Utilities\DownloadLogsFromS3.py --loco 4053 --day 2017-04-12</v>
      </c>
      <c r="AN130" s="159" t="str">
        <f t="shared" si="4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01:48:45"},{"id":29,"name":"Sharepoint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819</v>
      </c>
      <c r="B131" s="7">
        <v>4044</v>
      </c>
      <c r="C131" s="21" t="s">
        <v>214</v>
      </c>
      <c r="D131" s="21" t="s">
        <v>408</v>
      </c>
      <c r="E131" s="13">
        <v>42837.76766203704</v>
      </c>
      <c r="F131" s="13">
        <v>42837.771134259259</v>
      </c>
      <c r="G131" s="7">
        <v>3</v>
      </c>
      <c r="H131" s="21" t="s">
        <v>472</v>
      </c>
      <c r="I131" s="13">
        <v>42837.797002314815</v>
      </c>
      <c r="J131" s="7">
        <v>0</v>
      </c>
      <c r="K131" s="97" t="str">
        <f t="shared" si="25"/>
        <v>4043/4044</v>
      </c>
      <c r="L131" s="21" t="str">
        <f>VLOOKUP(A131,'Trips&amp;Operators'!$C$1:$G$99999,5,FALSE)</f>
        <v>NELSON ARIANE</v>
      </c>
      <c r="M131" s="6">
        <f t="shared" si="26"/>
        <v>2.5868055556202307E-2</v>
      </c>
      <c r="N131" s="7">
        <f t="shared" si="44"/>
        <v>37.250000000931323</v>
      </c>
      <c r="O131" s="7"/>
      <c r="P131" s="7"/>
      <c r="Q131" s="22"/>
      <c r="R131" s="22"/>
      <c r="S131" s="31">
        <f t="shared" si="27"/>
        <v>1</v>
      </c>
      <c r="T131" s="46" t="str">
        <f t="shared" si="28"/>
        <v>NorthBound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 t="shared" si="29"/>
        <v>https://d0f6bd738d7f1b3e5a7ca70fe4ff75f0.us-east-1.aws.found.io/app/kibana#/discover/Steve-Slow-Train-Analysis-(2080s-and-2083s)?_g=(refreshInterval:(display:Off,pause:!f,section:0,value:0),time:(from:'2017-04-12T17:25:26-0600',mode:absolute,to:'2017-04-12T20:07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1" s="183" t="str">
        <f t="shared" si="30"/>
        <v>N</v>
      </c>
      <c r="X131" s="183">
        <f t="shared" si="31"/>
        <v>1</v>
      </c>
      <c r="Y131" s="62">
        <f t="shared" si="32"/>
        <v>4.6199999999999998E-2</v>
      </c>
      <c r="Z131" s="62">
        <f t="shared" si="33"/>
        <v>23.331700000000001</v>
      </c>
      <c r="AA131" s="62">
        <f t="shared" si="34"/>
        <v>23.285500000000003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5"/>
        <v>0219-12</v>
      </c>
      <c r="AE131" s="85" t="str">
        <f t="shared" si="36"/>
        <v>aws s3 cp s3://rtdc.mdm.uploadarchive.raw/RTDC4044/ "%USERPROFILE%\AppData\Local\Temp\OnboardLogs"\RTDC4044\2017-04-12 --exclude "*" --recursive --include "*20170412*" &amp; "%USERPROFILE%\Documents\GitHub\mrs-test-scripts\Headless Mode &amp; Sideloading\WalkAndUnGZ.bat" "%USERPROFILE%\AppData\Local\Temp\OnboardLogs"\RTDC4044\2017-04-12 &amp; aws s3 cp s3://rtdc.mdm.uploadarchive.raw/RTDC4044/ "%USERPROFILE%\AppData\Local\Temp\OnboardLogs"\RTDC4044\2017-04-13 --exclude "*" --recursive --include "*20170413*" &amp; "%USERPROFILE%\Documents\GitHub\mrs-test-scripts\Headless Mode &amp; Sideloading\WalkAndUnGZ.bat" "%USERPROFILE%\AppData\Local\Temp\OnboardLogs"\RTDC4044\2017-04-13</v>
      </c>
      <c r="AF131" s="82" t="str">
        <f t="shared" si="37"/>
        <v>"C:\Program Files (x86)\AstroGrep\AstroGrep.exe" /e /r /s /spath="%USERPROFILE%\AppData\Local\Temp\OnboardLogs" /stypes="app*4044*20170413*" /stext=" 01:.+((SYSTEM_STATE.+slice.+state.+changed )|(ment ac)|(multiple cpu faults)|(system.+state.+changed )|(\[timeout)|(PRM\|1\|D)|(kpr)|(kdp)|(\|lc)|(penalty))"</v>
      </c>
      <c r="AG131" s="1" t="str">
        <f t="shared" si="38"/>
        <v>EC</v>
      </c>
      <c r="AH131" s="86" t="str">
        <f t="shared" si="40"/>
        <v>"%USERPROFILE%\Documents\GitHub\eaglep3\Utilities\RefineRTDCRunTimes.py" --tripid 219-12 --locoid 4044 --swversion DE.1.0.9.0 --startMP 204:462 --initTime 2017-04-12T18:25:26 --startdatetime 2017-04-12T18:30:26 --delay 3 --endMP 204:233317 --enddatetime 2017-04-12T19:07:41 --enforcementcount 0 &gt;&gt;C:\Users\stu\Documents\GitHub\eaglep3-reporting\EC\2017-04-12-refined-times.txt</v>
      </c>
      <c r="AI131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{"issue":{"subject":"","project_id":79,"tracker_id":40,"status_id":1,"priority_id":2,"assigned_to_id":23,"start_date":"2017-04-12","description":"","custom_fields":[{"id":1,"name":"Subdivision","value":"EC"},{"id":4,"name":"Milepost","value":"23.3317"},{"id":17,"name":"Train ID","value":"219-12"},{"id":16,"name":"Locomotive ID","value":"4044"},{"id":130,"name":"Impact","value":""},{"id":150,"name":"Time of Event (Mountain Time)","value":"19:07:41"},{"id":151,"name":"Denver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8"/>
      <c r="AL131" s="48"/>
      <c r="AM131" s="150" t="str">
        <f t="shared" si="42"/>
        <v>start /low /b %USERPROFILE%\Documents\GitHub\eaglep3\Utilities\DownloadLogsFromS3.py --loco 4044 --day 2017-04-12</v>
      </c>
      <c r="AN131" s="159" t="str">
        <f t="shared" si="4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01:07:41"},{"id":29,"name":"Sharepoint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832</v>
      </c>
      <c r="B132" s="7">
        <v>4043</v>
      </c>
      <c r="C132" s="21" t="s">
        <v>214</v>
      </c>
      <c r="D132" s="21" t="s">
        <v>581</v>
      </c>
      <c r="E132" s="13">
        <v>42837.80704861111</v>
      </c>
      <c r="F132" s="13">
        <v>42837.810011574074</v>
      </c>
      <c r="G132" s="7">
        <v>2</v>
      </c>
      <c r="H132" s="21" t="s">
        <v>540</v>
      </c>
      <c r="I132" s="13">
        <v>42837.838472222225</v>
      </c>
      <c r="J132" s="7">
        <v>0</v>
      </c>
      <c r="K132" s="97" t="str">
        <f t="shared" si="25"/>
        <v>4043/4044</v>
      </c>
      <c r="L132" s="21" t="str">
        <f>VLOOKUP(A132,'Trips&amp;Operators'!$C$1:$G$99999,5,FALSE)</f>
        <v>NELSON ARIANE</v>
      </c>
      <c r="M132" s="6">
        <f t="shared" si="26"/>
        <v>2.846064815093996E-2</v>
      </c>
      <c r="N132" s="7">
        <f t="shared" si="44"/>
        <v>40.983333337353542</v>
      </c>
      <c r="O132" s="7"/>
      <c r="P132" s="7"/>
      <c r="Q132" s="22"/>
      <c r="R132" s="22"/>
      <c r="S132" s="31">
        <f t="shared" si="27"/>
        <v>1</v>
      </c>
      <c r="T132" s="46" t="str">
        <f t="shared" si="28"/>
        <v>Southbound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 t="shared" si="29"/>
        <v>https://d0f6bd738d7f1b3e5a7ca70fe4ff75f0.us-east-1.aws.found.io/app/kibana#/discover/Steve-Slow-Train-Analysis-(2080s-and-2083s)?_g=(refreshInterval:(display:Off,pause:!f,section:0,value:0),time:(from:'2017-04-12T18:22:09-0600',mode:absolute,to:'2017-04-12T21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2" s="183" t="str">
        <f t="shared" si="30"/>
        <v>N</v>
      </c>
      <c r="X132" s="183">
        <f t="shared" si="31"/>
        <v>1</v>
      </c>
      <c r="Y132" s="62">
        <f t="shared" si="32"/>
        <v>23.301300000000001</v>
      </c>
      <c r="Z132" s="62">
        <f t="shared" si="33"/>
        <v>1.43E-2</v>
      </c>
      <c r="AA132" s="62">
        <f t="shared" si="34"/>
        <v>23.287000000000003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5"/>
        <v>0220-12</v>
      </c>
      <c r="AE132" s="85" t="str">
        <f t="shared" si="36"/>
        <v>aws s3 cp s3://rtdc.mdm.uploadarchive.raw/RTDC4043/ "%USERPROFILE%\AppData\Local\Temp\OnboardLogs"\RTDC4043\2017-04-12 --exclude "*" --recursive --include "*20170412*" &amp; "%USERPROFILE%\Documents\GitHub\mrs-test-scripts\Headless Mode &amp; Sideloading\WalkAndUnGZ.bat" "%USERPROFILE%\AppData\Local\Temp\OnboardLogs"\RTDC4043\2017-04-12 &amp; aws s3 cp s3://rtdc.mdm.uploadarchive.raw/RTDC4043/ "%USERPROFILE%\AppData\Local\Temp\OnboardLogs"\RTDC4043\2017-04-13 --exclude "*" --recursive --include "*20170413*" &amp; "%USERPROFILE%\Documents\GitHub\mrs-test-scripts\Headless Mode &amp; Sideloading\WalkAndUnGZ.bat" "%USERPROFILE%\AppData\Local\Temp\OnboardLogs"\RTDC4043\2017-04-13</v>
      </c>
      <c r="AF132" s="82" t="str">
        <f t="shared" si="37"/>
        <v>"C:\Program Files (x86)\AstroGrep\AstroGrep.exe" /e /r /s /spath="%USERPROFILE%\AppData\Local\Temp\OnboardLogs" /stypes="app*4043*20170413*" /stext=" 02:.+((SYSTEM_STATE.+slice.+state.+changed )|(ment ac)|(multiple cpu faults)|(system.+state.+changed )|(\[timeout)|(PRM\|1\|D)|(kpr)|(kdp)|(\|lc)|(penalty))"</v>
      </c>
      <c r="AG132" s="1" t="str">
        <f t="shared" si="38"/>
        <v>EC</v>
      </c>
      <c r="AH132" s="86" t="str">
        <f t="shared" si="40"/>
        <v>"%USERPROFILE%\Documents\GitHub\eaglep3\Utilities\RefineRTDCRunTimes.py" --tripid 220-12 --locoid 4043 --swversion DE.1.0.9.0 --startMP 204:233013 --initTime 2017-04-12T19:22:09 --startdatetime 2017-04-12T19:26:25 --delay 2 --endMP 204:143 --enddatetime 2017-04-12T20:07:24 --enforcementcount 0 &gt;&gt;C:\Users\stu\Documents\GitHub\eaglep3-reporting\EC\2017-04-12-refined-times.txt</v>
      </c>
      <c r="AI132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{"issue":{"subject":"","project_id":79,"tracker_id":40,"status_id":1,"priority_id":2,"assigned_to_id":23,"start_date":"2017-04-12","description":"","custom_fields":[{"id":1,"name":"Subdivision","value":"EC"},{"id":4,"name":"Milepost","value":"0.0143"},{"id":17,"name":"Train ID","value":"220-12"},{"id":16,"name":"Locomotive ID","value":"4043"},{"id":130,"name":"Impact","value":""},{"id":150,"name":"Time of Event (Mountain Time)","value":"20:07:24"},{"id":151,"name":"Denver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8"/>
      <c r="AL132" s="48"/>
      <c r="AM132" s="150" t="str">
        <f t="shared" si="42"/>
        <v>start /low /b %USERPROFILE%\Documents\GitHub\eaglep3\Utilities\DownloadLogsFromS3.py --loco 4043 --day 2017-04-12</v>
      </c>
      <c r="AN132" s="159" t="str">
        <f t="shared" si="4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02:07:24"},{"id":29,"name":"Sharepoint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827</v>
      </c>
      <c r="B133" s="7">
        <v>4042</v>
      </c>
      <c r="C133" s="21" t="s">
        <v>214</v>
      </c>
      <c r="D133" s="21" t="s">
        <v>422</v>
      </c>
      <c r="E133" s="13">
        <v>42837.786585648151</v>
      </c>
      <c r="F133" s="13">
        <v>42837.791886574072</v>
      </c>
      <c r="G133" s="7">
        <v>1</v>
      </c>
      <c r="H133" s="21" t="s">
        <v>920</v>
      </c>
      <c r="I133" s="13">
        <v>42837.817395833335</v>
      </c>
      <c r="J133" s="7">
        <v>0</v>
      </c>
      <c r="K133" s="97" t="str">
        <f t="shared" si="25"/>
        <v>4041/4042</v>
      </c>
      <c r="L133" s="21" t="str">
        <f>VLOOKUP(A133,'Trips&amp;Operators'!$C$1:$G$99999,5,FALSE)</f>
        <v>SWANSON BRYCE</v>
      </c>
      <c r="M133" s="6">
        <f t="shared" si="26"/>
        <v>2.5509259263344575E-2</v>
      </c>
      <c r="N133" s="7">
        <f t="shared" si="44"/>
        <v>36.733333339216188</v>
      </c>
      <c r="O133" s="7"/>
      <c r="P133" s="7"/>
      <c r="Q133" s="22"/>
      <c r="R133" s="22"/>
      <c r="S133" s="31">
        <f t="shared" si="27"/>
        <v>1</v>
      </c>
      <c r="T133" s="46" t="str">
        <f t="shared" si="28"/>
        <v>NorthBound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2" t="str">
        <f t="shared" si="29"/>
        <v>https://d0f6bd738d7f1b3e5a7ca70fe4ff75f0.us-east-1.aws.found.io/app/kibana#/discover/Steve-Slow-Train-Analysis-(2080s-and-2083s)?_g=(refreshInterval:(display:Off,pause:!f,section:0,value:0),time:(from:'2017-04-12T17:52:41-0600',mode:absolute,to:'2017-04-12T20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3" s="183" t="str">
        <f t="shared" si="30"/>
        <v>N</v>
      </c>
      <c r="X133" s="183">
        <f t="shared" si="31"/>
        <v>1</v>
      </c>
      <c r="Y133" s="62">
        <f t="shared" si="32"/>
        <v>4.58E-2</v>
      </c>
      <c r="Z133" s="62">
        <f t="shared" si="33"/>
        <v>23.337599999999998</v>
      </c>
      <c r="AA133" s="62">
        <f t="shared" si="34"/>
        <v>23.291799999999999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5"/>
        <v>0221-12</v>
      </c>
      <c r="AE133" s="85" t="str">
        <f t="shared" si="36"/>
        <v>aws s3 cp s3://rtdc.mdm.uploadarchive.raw/RTDC4042/ "%USERPROFILE%\AppData\Local\Temp\OnboardLogs"\RTDC4042\2017-04-12 --exclude "*" --recursive --include "*20170412*" &amp; "%USERPROFILE%\Documents\GitHub\mrs-test-scripts\Headless Mode &amp; Sideloading\WalkAndUnGZ.bat" "%USERPROFILE%\AppData\Local\Temp\OnboardLogs"\RTDC4042\2017-04-12 &amp; aws s3 cp s3://rtdc.mdm.uploadarchive.raw/RTDC4042/ "%USERPROFILE%\AppData\Local\Temp\OnboardLogs"\RTDC4042\2017-04-13 --exclude "*" --recursive --include "*20170413*" &amp; "%USERPROFILE%\Documents\GitHub\mrs-test-scripts\Headless Mode &amp; Sideloading\WalkAndUnGZ.bat" "%USERPROFILE%\AppData\Local\Temp\OnboardLogs"\RTDC4042\2017-04-13</v>
      </c>
      <c r="AF133" s="82" t="str">
        <f t="shared" si="37"/>
        <v>"C:\Program Files (x86)\AstroGrep\AstroGrep.exe" /e /r /s /spath="%USERPROFILE%\AppData\Local\Temp\OnboardLogs" /stypes="app*4042*20170413*" /stext=" 01:.+((SYSTEM_STATE.+slice.+state.+changed )|(ment ac)|(multiple cpu faults)|(system.+state.+changed )|(\[timeout)|(PRM\|1\|D)|(kpr)|(kdp)|(\|lc)|(penalty))"</v>
      </c>
      <c r="AG133" s="1" t="str">
        <f t="shared" si="38"/>
        <v>EC</v>
      </c>
      <c r="AH133" s="86" t="str">
        <f t="shared" si="40"/>
        <v>"%USERPROFILE%\Documents\GitHub\eaglep3\Utilities\RefineRTDCRunTimes.py" --tripid 221-12 --locoid 4042 --swversion DE.1.0.9.0 --startMP 204:458 --initTime 2017-04-12T18:52:41 --startdatetime 2017-04-12T19:00:19 --delay 1 --endMP 204:233376 --enddatetime 2017-04-12T19:37:03 --enforcementcount 0 &gt;&gt;C:\Users\stu\Documents\GitHub\eaglep3-reporting\EC\2017-04-12-refined-times.txt</v>
      </c>
      <c r="AI133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{"issue":{"subject":"","project_id":79,"tracker_id":40,"status_id":1,"priority_id":2,"assigned_to_id":23,"start_date":"2017-04-12","description":"","custom_fields":[{"id":1,"name":"Subdivision","value":"EC"},{"id":4,"name":"Milepost","value":"23.3376"},{"id":17,"name":"Train ID","value":"221-12"},{"id":16,"name":"Locomotive ID","value":"4042"},{"id":130,"name":"Impact","value":""},{"id":150,"name":"Time of Event (Mountain Time)","value":"19:37:03"},{"id":151,"name":"Denver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8"/>
      <c r="AL133" s="48"/>
      <c r="AM133" s="150" t="str">
        <f t="shared" si="42"/>
        <v>start /low /b %USERPROFILE%\Documents\GitHub\eaglep3\Utilities\DownloadLogsFromS3.py --loco 4042 --day 2017-04-12</v>
      </c>
      <c r="AN133" s="159" t="str">
        <f t="shared" si="4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01:37:03"},{"id":29,"name":"Sharepoint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836</v>
      </c>
      <c r="B134" s="7">
        <v>4041</v>
      </c>
      <c r="C134" s="21" t="s">
        <v>214</v>
      </c>
      <c r="D134" s="21" t="s">
        <v>932</v>
      </c>
      <c r="E134" s="13">
        <v>42837.819456018522</v>
      </c>
      <c r="F134" s="13">
        <v>42837.830740740741</v>
      </c>
      <c r="G134" s="7">
        <v>1</v>
      </c>
      <c r="H134" s="21" t="s">
        <v>933</v>
      </c>
      <c r="I134" s="13">
        <v>42837.859097222223</v>
      </c>
      <c r="J134" s="7">
        <v>0</v>
      </c>
      <c r="K134" s="97" t="str">
        <f t="shared" si="25"/>
        <v>4041/4042</v>
      </c>
      <c r="L134" s="21" t="str">
        <f>VLOOKUP(A134,'Trips&amp;Operators'!$C$1:$G$99999,5,FALSE)</f>
        <v>SWANSON BRYCE</v>
      </c>
      <c r="M134" s="6">
        <f t="shared" si="26"/>
        <v>2.8356481481750961E-2</v>
      </c>
      <c r="N134" s="7">
        <f t="shared" si="44"/>
        <v>40.833333333721384</v>
      </c>
      <c r="O134" s="7"/>
      <c r="P134" s="7"/>
      <c r="Q134" s="22"/>
      <c r="R134" s="22"/>
      <c r="S134" s="31">
        <f t="shared" si="27"/>
        <v>1</v>
      </c>
      <c r="T134" s="46" t="str">
        <f t="shared" si="28"/>
        <v>Southbound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 t="shared" si="29"/>
        <v>https://d0f6bd738d7f1b3e5a7ca70fe4ff75f0.us-east-1.aws.found.io/app/kibana#/discover/Steve-Slow-Train-Analysis-(2080s-and-2083s)?_g=(refreshInterval:(display:Off,pause:!f,section:0,value:0),time:(from:'2017-04-12T18:40:01-0600',mode:absolute,to:'2017-04-12T21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4" s="183" t="str">
        <f t="shared" si="30"/>
        <v>N</v>
      </c>
      <c r="X134" s="183">
        <f t="shared" si="31"/>
        <v>1</v>
      </c>
      <c r="Y134" s="62">
        <f t="shared" si="32"/>
        <v>23.307200000000002</v>
      </c>
      <c r="Z134" s="62">
        <f t="shared" si="33"/>
        <v>1.6299999999999999E-2</v>
      </c>
      <c r="AA134" s="62">
        <f t="shared" si="34"/>
        <v>23.290900000000001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5"/>
        <v>0222-12</v>
      </c>
      <c r="AE134" s="85" t="str">
        <f t="shared" si="36"/>
        <v>aws s3 cp s3://rtdc.mdm.uploadarchive.raw/RTDC4041/ "%USERPROFILE%\AppData\Local\Temp\OnboardLogs"\RTDC4041\2017-04-12 --exclude "*" --recursive --include "*20170412*" &amp; "%USERPROFILE%\Documents\GitHub\mrs-test-scripts\Headless Mode &amp; Sideloading\WalkAndUnGZ.bat" "%USERPROFILE%\AppData\Local\Temp\OnboardLogs"\RTDC4041\2017-04-12 &amp; aws s3 cp s3://rtdc.mdm.uploadarchive.raw/RTDC4041/ "%USERPROFILE%\AppData\Local\Temp\OnboardLogs"\RTDC4041\2017-04-13 --exclude "*" --recursive --include "*20170413*" &amp; "%USERPROFILE%\Documents\GitHub\mrs-test-scripts\Headless Mode &amp; Sideloading\WalkAndUnGZ.bat" "%USERPROFILE%\AppData\Local\Temp\OnboardLogs"\RTDC4041\2017-04-13</v>
      </c>
      <c r="AF134" s="82" t="str">
        <f t="shared" si="37"/>
        <v>"C:\Program Files (x86)\AstroGrep\AstroGrep.exe" /e /r /s /spath="%USERPROFILE%\AppData\Local\Temp\OnboardLogs" /stypes="app*4041*20170413*" /stext=" 02:.+((SYSTEM_STATE.+slice.+state.+changed )|(ment ac)|(multiple cpu faults)|(system.+state.+changed )|(\[timeout)|(PRM\|1\|D)|(kpr)|(kdp)|(\|lc)|(penalty))"</v>
      </c>
      <c r="AG134" s="1" t="str">
        <f t="shared" si="38"/>
        <v>EC</v>
      </c>
      <c r="AH134" s="86" t="str">
        <f t="shared" si="40"/>
        <v>"%USERPROFILE%\Documents\GitHub\eaglep3\Utilities\RefineRTDCRunTimes.py" --tripid 222-12 --locoid 4041 --swversion DE.1.0.9.0 --startMP 204:233072 --initTime 2017-04-12T19:40:01 --startdatetime 2017-04-12T19:56:16 --delay 1 --endMP 204:163 --enddatetime 2017-04-12T20:37:06 --enforcementcount 0 &gt;&gt;C:\Users\stu\Documents\GitHub\eaglep3-reporting\EC\2017-04-12-refined-times.txt</v>
      </c>
      <c r="AI134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{"issue":{"subject":"","project_id":79,"tracker_id":40,"status_id":1,"priority_id":2,"assigned_to_id":23,"start_date":"2017-04-12","description":"","custom_fields":[{"id":1,"name":"Subdivision","value":"EC"},{"id":4,"name":"Milepost","value":"0.0163"},{"id":17,"name":"Train ID","value":"222-12"},{"id":16,"name":"Locomotive ID","value":"4041"},{"id":130,"name":"Impact","value":""},{"id":150,"name":"Time of Event (Mountain Time)","value":"20:37:06"},{"id":151,"name":"Denver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8"/>
      <c r="AL134" s="48"/>
      <c r="AM134" s="150" t="str">
        <f t="shared" si="42"/>
        <v>start /low /b %USERPROFILE%\Documents\GitHub\eaglep3\Utilities\DownloadLogsFromS3.py --loco 4041 --day 2017-04-12</v>
      </c>
      <c r="AN134" s="159" t="str">
        <f t="shared" si="4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02:37:06"},{"id":29,"name":"Sharepoint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833</v>
      </c>
      <c r="B135" s="7">
        <v>4040</v>
      </c>
      <c r="C135" s="21" t="s">
        <v>214</v>
      </c>
      <c r="D135" s="21" t="s">
        <v>577</v>
      </c>
      <c r="E135" s="13">
        <v>42837.80810185185</v>
      </c>
      <c r="F135" s="13">
        <v>42837.812847222223</v>
      </c>
      <c r="G135" s="7">
        <v>1</v>
      </c>
      <c r="H135" s="21" t="s">
        <v>407</v>
      </c>
      <c r="I135" s="13">
        <v>42837.838900462964</v>
      </c>
      <c r="J135" s="7">
        <v>0</v>
      </c>
      <c r="K135" s="97" t="str">
        <f t="shared" si="25"/>
        <v>4039/4040</v>
      </c>
      <c r="L135" s="21" t="str">
        <f>VLOOKUP(A135,'Trips&amp;Operators'!$C$1:$G$99999,5,FALSE)</f>
        <v>FORTUNATO FRANK</v>
      </c>
      <c r="M135" s="6">
        <f t="shared" si="26"/>
        <v>2.6053240741021E-2</v>
      </c>
      <c r="N135" s="7">
        <f t="shared" si="44"/>
        <v>37.51666666707024</v>
      </c>
      <c r="O135" s="7"/>
      <c r="P135" s="7"/>
      <c r="Q135" s="22"/>
      <c r="R135" s="22"/>
      <c r="S135" s="31">
        <f t="shared" si="27"/>
        <v>1</v>
      </c>
      <c r="T135" s="46" t="str">
        <f t="shared" si="28"/>
        <v>NorthBound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 t="shared" si="29"/>
        <v>https://d0f6bd738d7f1b3e5a7ca70fe4ff75f0.us-east-1.aws.found.io/app/kibana#/discover/Steve-Slow-Train-Analysis-(2080s-and-2083s)?_g=(refreshInterval:(display:Off,pause:!f,section:0,value:0),time:(from:'2017-04-12T18:23:40-0600',mode:absolute,to:'2017-04-12T21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5" s="183" t="str">
        <f t="shared" si="30"/>
        <v>N</v>
      </c>
      <c r="X135" s="183">
        <f t="shared" si="31"/>
        <v>1</v>
      </c>
      <c r="Y135" s="62">
        <f t="shared" si="32"/>
        <v>4.3999999999999997E-2</v>
      </c>
      <c r="Z135" s="62">
        <f t="shared" si="33"/>
        <v>23.330400000000001</v>
      </c>
      <c r="AA135" s="62">
        <f t="shared" si="34"/>
        <v>23.2864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5"/>
        <v>0223-12</v>
      </c>
      <c r="AE135" s="85" t="str">
        <f t="shared" si="36"/>
        <v>aws s3 cp s3://rtdc.mdm.uploadarchive.raw/RTDC4040/ "%USERPROFILE%\AppData\Local\Temp\OnboardLogs"\RTDC4040\2017-04-12 --exclude "*" --recursive --include "*20170412*" &amp; "%USERPROFILE%\Documents\GitHub\mrs-test-scripts\Headless Mode &amp; Sideloading\WalkAndUnGZ.bat" "%USERPROFILE%\AppData\Local\Temp\OnboardLogs"\RTDC4040\2017-04-12 &amp; aws s3 cp s3://rtdc.mdm.uploadarchive.raw/RTDC4040/ "%USERPROFILE%\AppData\Local\Temp\OnboardLogs"\RTDC4040\2017-04-13 --exclude "*" --recursive --include "*20170413*" &amp; "%USERPROFILE%\Documents\GitHub\mrs-test-scripts\Headless Mode &amp; Sideloading\WalkAndUnGZ.bat" "%USERPROFILE%\AppData\Local\Temp\OnboardLogs"\RTDC4040\2017-04-13</v>
      </c>
      <c r="AF135" s="82" t="str">
        <f t="shared" si="37"/>
        <v>"C:\Program Files (x86)\AstroGrep\AstroGrep.exe" /e /r /s /spath="%USERPROFILE%\AppData\Local\Temp\OnboardLogs" /stypes="app*4040*20170413*" /stext=" 02:.+((SYSTEM_STATE.+slice.+state.+changed )|(ment ac)|(multiple cpu faults)|(system.+state.+changed )|(\[timeout)|(PRM\|1\|D)|(kpr)|(kdp)|(\|lc)|(penalty))"</v>
      </c>
      <c r="AG135" s="1" t="str">
        <f t="shared" si="38"/>
        <v>EC</v>
      </c>
      <c r="AH135" s="86" t="str">
        <f t="shared" si="40"/>
        <v>"%USERPROFILE%\Documents\GitHub\eaglep3\Utilities\RefineRTDCRunTimes.py" --tripid 223-12 --locoid 4040 --swversion DE.1.0.9.0 --startMP 204:440 --initTime 2017-04-12T19:23:40 --startdatetime 2017-04-12T19:30:30 --delay 1 --endMP 204:233304 --enddatetime 2017-04-12T20:08:01 --enforcementcount 0 &gt;&gt;C:\Users\stu\Documents\GitHub\eaglep3-reporting\EC\2017-04-12-refined-times.txt</v>
      </c>
      <c r="AI135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{"issue":{"subject":"","project_id":79,"tracker_id":40,"status_id":1,"priority_id":2,"assigned_to_id":23,"start_date":"2017-04-12","description":"","custom_fields":[{"id":1,"name":"Subdivision","value":"EC"},{"id":4,"name":"Milepost","value":"23.3304"},{"id":17,"name":"Train ID","value":"223-12"},{"id":16,"name":"Locomotive ID","value":"4040"},{"id":130,"name":"Impact","value":""},{"id":150,"name":"Time of Event (Mountain Time)","value":"20:08:01"},{"id":151,"name":"Denver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8"/>
      <c r="AL135" s="48"/>
      <c r="AM135" s="150" t="str">
        <f t="shared" si="42"/>
        <v>start /low /b %USERPROFILE%\Documents\GitHub\eaglep3\Utilities\DownloadLogsFromS3.py --loco 4040 --day 2017-04-12</v>
      </c>
      <c r="AN135" s="159" t="str">
        <f t="shared" si="4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02:08:01"},{"id":29,"name":"Sharepoint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838</v>
      </c>
      <c r="B136" s="7">
        <v>4039</v>
      </c>
      <c r="C136" s="21" t="s">
        <v>214</v>
      </c>
      <c r="D136" s="21" t="s">
        <v>580</v>
      </c>
      <c r="E136" s="13">
        <v>42837.841307870367</v>
      </c>
      <c r="F136" s="13">
        <v>42837.851539351854</v>
      </c>
      <c r="G136" s="7">
        <v>1</v>
      </c>
      <c r="H136" s="21" t="s">
        <v>475</v>
      </c>
      <c r="I136" s="13">
        <v>42837.87940972222</v>
      </c>
      <c r="J136" s="7">
        <v>0</v>
      </c>
      <c r="K136" s="97" t="str">
        <f t="shared" si="25"/>
        <v>4039/4040</v>
      </c>
      <c r="L136" s="21" t="str">
        <f>VLOOKUP(A136,'Trips&amp;Operators'!$C$1:$G$99999,5,FALSE)</f>
        <v>FORTUNATO FRANK</v>
      </c>
      <c r="M136" s="6">
        <f t="shared" si="26"/>
        <v>2.7870370366144925E-2</v>
      </c>
      <c r="N136" s="7">
        <f t="shared" si="44"/>
        <v>40.133333327248693</v>
      </c>
      <c r="O136" s="7"/>
      <c r="P136" s="7"/>
      <c r="Q136" s="22"/>
      <c r="R136" s="22"/>
      <c r="S136" s="31">
        <f t="shared" si="27"/>
        <v>1</v>
      </c>
      <c r="T136" s="46" t="str">
        <f t="shared" si="28"/>
        <v>Southbound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 t="shared" si="29"/>
        <v>https://d0f6bd738d7f1b3e5a7ca70fe4ff75f0.us-east-1.aws.found.io/app/kibana#/discover/Steve-Slow-Train-Analysis-(2080s-and-2083s)?_g=(refreshInterval:(display:Off,pause:!f,section:0,value:0),time:(from:'2017-04-12T19:11:29-0600',mode:absolute,to:'2017-04-12T22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6" s="183" t="str">
        <f t="shared" si="30"/>
        <v>N</v>
      </c>
      <c r="X136" s="183">
        <f t="shared" si="31"/>
        <v>1</v>
      </c>
      <c r="Y136" s="62">
        <f t="shared" si="32"/>
        <v>23.300799999999999</v>
      </c>
      <c r="Z136" s="62">
        <f t="shared" si="33"/>
        <v>1.3599999999999999E-2</v>
      </c>
      <c r="AA136" s="62">
        <f t="shared" si="34"/>
        <v>23.287199999999999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5"/>
        <v>0224-12</v>
      </c>
      <c r="AE136" s="85" t="str">
        <f t="shared" si="36"/>
        <v>aws s3 cp s3://rtdc.mdm.uploadarchive.raw/RTDC4039/ "%USERPROFILE%\AppData\Local\Temp\OnboardLogs"\RTDC4039\2017-04-12 --exclude "*" --recursive --include "*20170412*" &amp; "%USERPROFILE%\Documents\GitHub\mrs-test-scripts\Headless Mode &amp; Sideloading\WalkAndUnGZ.bat" "%USERPROFILE%\AppData\Local\Temp\OnboardLogs"\RTDC4039\2017-04-12 &amp; aws s3 cp s3://rtdc.mdm.uploadarchive.raw/RTDC4039/ "%USERPROFILE%\AppData\Local\Temp\OnboardLogs"\RTDC4039\2017-04-13 --exclude "*" --recursive --include "*20170413*" &amp; "%USERPROFILE%\Documents\GitHub\mrs-test-scripts\Headless Mode &amp; Sideloading\WalkAndUnGZ.bat" "%USERPROFILE%\AppData\Local\Temp\OnboardLogs"\RTDC4039\2017-04-13</v>
      </c>
      <c r="AF136" s="82" t="str">
        <f t="shared" si="37"/>
        <v>"C:\Program Files (x86)\AstroGrep\AstroGrep.exe" /e /r /s /spath="%USERPROFILE%\AppData\Local\Temp\OnboardLogs" /stypes="app*4039*20170413*" /stext=" 03:.+((SYSTEM_STATE.+slice.+state.+changed )|(ment ac)|(multiple cpu faults)|(system.+state.+changed )|(\[timeout)|(PRM\|1\|D)|(kpr)|(kdp)|(\|lc)|(penalty))"</v>
      </c>
      <c r="AG136" s="1" t="str">
        <f t="shared" si="38"/>
        <v>EC</v>
      </c>
      <c r="AH136" s="86" t="str">
        <f t="shared" si="40"/>
        <v>"%USERPROFILE%\Documents\GitHub\eaglep3\Utilities\RefineRTDCRunTimes.py" --tripid 224-12 --locoid 4039 --swversion DE.1.0.9.0 --startMP 204:233008 --initTime 2017-04-12T20:11:29 --startdatetime 2017-04-12T20:26:13 --delay 1 --endMP 204:136 --enddatetime 2017-04-12T21:06:21 --enforcementcount 0 &gt;&gt;C:\Users\stu\Documents\GitHub\eaglep3-reporting\EC\2017-04-12-refined-times.txt</v>
      </c>
      <c r="AI136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{"issue":{"subject":"","project_id":79,"tracker_id":40,"status_id":1,"priority_id":2,"assigned_to_id":23,"start_date":"2017-04-12","description":"","custom_fields":[{"id":1,"name":"Subdivision","value":"EC"},{"id":4,"name":"Milepost","value":"0.0136"},{"id":17,"name":"Train ID","value":"224-12"},{"id":16,"name":"Locomotive ID","value":"4039"},{"id":130,"name":"Impact","value":""},{"id":150,"name":"Time of Event (Mountain Time)","value":"21:06:21"},{"id":151,"name":"Denver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8"/>
      <c r="AL136" s="48"/>
      <c r="AM136" s="150" t="str">
        <f t="shared" si="42"/>
        <v>start /low /b %USERPROFILE%\Documents\GitHub\eaglep3\Utilities\DownloadLogsFromS3.py --loco 4039 --day 2017-04-12</v>
      </c>
      <c r="AN136" s="159" t="str">
        <f t="shared" si="4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03:06:21"},{"id":29,"name":"Sharepoint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837</v>
      </c>
      <c r="B137" s="7">
        <v>4054</v>
      </c>
      <c r="C137" s="21" t="s">
        <v>214</v>
      </c>
      <c r="D137" s="21" t="s">
        <v>391</v>
      </c>
      <c r="E137" s="13">
        <v>42837.828784722224</v>
      </c>
      <c r="F137" s="13">
        <v>42837.833495370367</v>
      </c>
      <c r="G137" s="7">
        <v>1</v>
      </c>
      <c r="H137" s="21" t="s">
        <v>934</v>
      </c>
      <c r="I137" s="13">
        <v>42837.858900462961</v>
      </c>
      <c r="J137" s="7">
        <v>0</v>
      </c>
      <c r="K137" s="97" t="str">
        <f t="shared" si="25"/>
        <v>4053/4054</v>
      </c>
      <c r="L137" s="21" t="str">
        <f>VLOOKUP(A137,'Trips&amp;Operators'!$C$1:$G$99999,5,FALSE)</f>
        <v>BROWN JACOB</v>
      </c>
      <c r="M137" s="6">
        <f t="shared" si="26"/>
        <v>2.5405092594155576E-2</v>
      </c>
      <c r="N137" s="7">
        <f t="shared" si="44"/>
        <v>36.58333333558403</v>
      </c>
      <c r="O137" s="7"/>
      <c r="P137" s="7"/>
      <c r="Q137" s="22"/>
      <c r="R137" s="22"/>
      <c r="S137" s="31">
        <f t="shared" si="27"/>
        <v>1</v>
      </c>
      <c r="T137" s="46" t="str">
        <f t="shared" si="28"/>
        <v>NorthBound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 t="shared" si="29"/>
        <v>https://d0f6bd738d7f1b3e5a7ca70fe4ff75f0.us-east-1.aws.found.io/app/kibana#/discover/Steve-Slow-Train-Analysis-(2080s-and-2083s)?_g=(refreshInterval:(display:Off,pause:!f,section:0,value:0),time:(from:'2017-04-12T18:53:27-0600',mode:absolute,to:'2017-04-12T21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7" s="183" t="str">
        <f t="shared" si="30"/>
        <v>N</v>
      </c>
      <c r="X137" s="183">
        <f t="shared" si="31"/>
        <v>1</v>
      </c>
      <c r="Y137" s="62">
        <f t="shared" si="32"/>
        <v>4.4900000000000002E-2</v>
      </c>
      <c r="Z137" s="62">
        <f t="shared" si="33"/>
        <v>23.332100000000001</v>
      </c>
      <c r="AA137" s="62">
        <f t="shared" si="34"/>
        <v>23.287200000000002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5"/>
        <v>0225-12</v>
      </c>
      <c r="AE137" s="85" t="str">
        <f t="shared" si="36"/>
        <v>aws s3 cp s3://rtdc.mdm.uploadarchive.raw/RTDC4054/ "%USERPROFILE%\AppData\Local\Temp\OnboardLogs"\RTDC4054\2017-04-12 --exclude "*" --recursive --include "*20170412*" &amp; "%USERPROFILE%\Documents\GitHub\mrs-test-scripts\Headless Mode &amp; Sideloading\WalkAndUnGZ.bat" "%USERPROFILE%\AppData\Local\Temp\OnboardLogs"\RTDC4054\2017-04-12 &amp; aws s3 cp s3://rtdc.mdm.uploadarchive.raw/RTDC4054/ "%USERPROFILE%\AppData\Local\Temp\OnboardLogs"\RTDC4054\2017-04-13 --exclude "*" --recursive --include "*20170413*" &amp; "%USERPROFILE%\Documents\GitHub\mrs-test-scripts\Headless Mode &amp; Sideloading\WalkAndUnGZ.bat" "%USERPROFILE%\AppData\Local\Temp\OnboardLogs"\RTDC4054\2017-04-13</v>
      </c>
      <c r="AF137" s="82" t="str">
        <f t="shared" si="37"/>
        <v>"C:\Program Files (x86)\AstroGrep\AstroGrep.exe" /e /r /s /spath="%USERPROFILE%\AppData\Local\Temp\OnboardLogs" /stypes="app*4054*20170413*" /stext=" 02:.+((SYSTEM_STATE.+slice.+state.+changed )|(ment ac)|(multiple cpu faults)|(system.+state.+changed )|(\[timeout)|(PRM\|1\|D)|(kpr)|(kdp)|(\|lc)|(penalty))"</v>
      </c>
      <c r="AG137" s="1" t="str">
        <f t="shared" si="38"/>
        <v>EC</v>
      </c>
      <c r="AH137" s="86" t="str">
        <f t="shared" si="40"/>
        <v>"%USERPROFILE%\Documents\GitHub\eaglep3\Utilities\RefineRTDCRunTimes.py" --tripid 225-12 --locoid 4054 --swversion DE.1.0.9.0 --startMP 204:449 --initTime 2017-04-12T19:53:27 --startdatetime 2017-04-12T20:00:14 --delay 1 --endMP 204:233321 --enddatetime 2017-04-12T20:36:49 --enforcementcount 0 &gt;&gt;C:\Users\stu\Documents\GitHub\eaglep3-reporting\EC\2017-04-12-refined-times.txt</v>
      </c>
      <c r="AI137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{"issue":{"subject":"","project_id":79,"tracker_id":40,"status_id":1,"priority_id":2,"assigned_to_id":23,"start_date":"2017-04-12","description":"","custom_fields":[{"id":1,"name":"Subdivision","value":"EC"},{"id":4,"name":"Milepost","value":"23.3321"},{"id":17,"name":"Train ID","value":"225-12"},{"id":16,"name":"Locomotive ID","value":"4054"},{"id":130,"name":"Impact","value":""},{"id":150,"name":"Time of Event (Mountain Time)","value":"20:36:49"},{"id":151,"name":"Denver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8"/>
      <c r="AL137" s="48"/>
      <c r="AM137" s="150" t="str">
        <f t="shared" si="42"/>
        <v>start /low /b %USERPROFILE%\Documents\GitHub\eaglep3\Utilities\DownloadLogsFromS3.py --loco 4054 --day 2017-04-12</v>
      </c>
      <c r="AN137" s="159" t="str">
        <f t="shared" si="4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02:36:49"},{"id":29,"name":"Sharepoint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843</v>
      </c>
      <c r="B138" s="7">
        <v>4053</v>
      </c>
      <c r="C138" s="21" t="s">
        <v>214</v>
      </c>
      <c r="D138" s="21" t="s">
        <v>578</v>
      </c>
      <c r="E138" s="13">
        <v>42837.867696759262</v>
      </c>
      <c r="F138" s="13">
        <v>42837.872430555559</v>
      </c>
      <c r="G138" s="7">
        <v>1</v>
      </c>
      <c r="H138" s="21" t="s">
        <v>504</v>
      </c>
      <c r="I138" s="13">
        <v>42837.900671296295</v>
      </c>
      <c r="J138" s="7">
        <v>0</v>
      </c>
      <c r="K138" s="97" t="str">
        <f t="shared" si="25"/>
        <v>4053/4054</v>
      </c>
      <c r="L138" s="21" t="str">
        <f>VLOOKUP(A138,'Trips&amp;Operators'!$C$1:$G$99999,5,FALSE)</f>
        <v>BROWN JACOB</v>
      </c>
      <c r="M138" s="6">
        <f t="shared" si="26"/>
        <v>2.824074073578231E-2</v>
      </c>
      <c r="N138" s="7">
        <f t="shared" si="44"/>
        <v>40.666666659526527</v>
      </c>
      <c r="O138" s="7"/>
      <c r="P138" s="7"/>
      <c r="Q138" s="22"/>
      <c r="R138" s="22"/>
      <c r="S138" s="31">
        <f t="shared" si="27"/>
        <v>1</v>
      </c>
      <c r="T138" s="46" t="str">
        <f t="shared" si="28"/>
        <v>Southbound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 t="shared" si="29"/>
        <v>https://d0f6bd738d7f1b3e5a7ca70fe4ff75f0.us-east-1.aws.found.io/app/kibana#/discover/Steve-Slow-Train-Analysis-(2080s-and-2083s)?_g=(refreshInterval:(display:Off,pause:!f,section:0,value:0),time:(from:'2017-04-12T19:49:29-0600',mode:absolute,to:'2017-04-12T22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8" s="183" t="str">
        <f t="shared" si="30"/>
        <v>N</v>
      </c>
      <c r="X138" s="183">
        <f t="shared" si="31"/>
        <v>1</v>
      </c>
      <c r="Y138" s="62">
        <f t="shared" si="32"/>
        <v>23.301500000000001</v>
      </c>
      <c r="Z138" s="62">
        <f t="shared" si="33"/>
        <v>1.4999999999999999E-2</v>
      </c>
      <c r="AA138" s="62">
        <f t="shared" si="34"/>
        <v>23.2865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5"/>
        <v>0226-12</v>
      </c>
      <c r="AE138" s="85" t="str">
        <f t="shared" si="36"/>
        <v>aws s3 cp s3://rtdc.mdm.uploadarchive.raw/RTDC4053/ "%USERPROFILE%\AppData\Local\Temp\OnboardLogs"\RTDC4053\2017-04-12 --exclude "*" --recursive --include "*20170412*" &amp; "%USERPROFILE%\Documents\GitHub\mrs-test-scripts\Headless Mode &amp; Sideloading\WalkAndUnGZ.bat" "%USERPROFILE%\AppData\Local\Temp\OnboardLogs"\RTDC4053\2017-04-12 &amp; aws s3 cp s3://rtdc.mdm.uploadarchive.raw/RTDC4053/ "%USERPROFILE%\AppData\Local\Temp\OnboardLogs"\RTDC4053\2017-04-13 --exclude "*" --recursive --include "*20170413*" &amp; "%USERPROFILE%\Documents\GitHub\mrs-test-scripts\Headless Mode &amp; Sideloading\WalkAndUnGZ.bat" "%USERPROFILE%\AppData\Local\Temp\OnboardLogs"\RTDC4053\2017-04-13</v>
      </c>
      <c r="AF138" s="82" t="str">
        <f t="shared" si="37"/>
        <v>"C:\Program Files (x86)\AstroGrep\AstroGrep.exe" /e /r /s /spath="%USERPROFILE%\AppData\Local\Temp\OnboardLogs" /stypes="app*4053*20170413*" /stext=" 03:.+((SYSTEM_STATE.+slice.+state.+changed )|(ment ac)|(multiple cpu faults)|(system.+state.+changed )|(\[timeout)|(PRM\|1\|D)|(kpr)|(kdp)|(\|lc)|(penalty))"</v>
      </c>
      <c r="AG138" s="1" t="str">
        <f t="shared" si="38"/>
        <v>EC</v>
      </c>
      <c r="AH138" s="86" t="str">
        <f t="shared" si="40"/>
        <v>"%USERPROFILE%\Documents\GitHub\eaglep3\Utilities\RefineRTDCRunTimes.py" --tripid 226-12 --locoid 4053 --swversion DE.1.0.9.0 --startMP 204:233015 --initTime 2017-04-12T20:49:29 --startdatetime 2017-04-12T20:56:18 --delay 1 --endMP 204:150 --enddatetime 2017-04-12T21:36:58 --enforcementcount 0 &gt;&gt;C:\Users\stu\Documents\GitHub\eaglep3-reporting\EC\2017-04-12-refined-times.txt</v>
      </c>
      <c r="AI138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{"issue":{"subject":"","project_id":79,"tracker_id":40,"status_id":1,"priority_id":2,"assigned_to_id":23,"start_date":"2017-04-12","description":"","custom_fields":[{"id":1,"name":"Subdivision","value":"EC"},{"id":4,"name":"Milepost","value":"0.015"},{"id":17,"name":"Train ID","value":"226-12"},{"id":16,"name":"Locomotive ID","value":"4053"},{"id":130,"name":"Impact","value":""},{"id":150,"name":"Time of Event (Mountain Time)","value":"21:36:58"},{"id":151,"name":"Denver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8"/>
      <c r="AL138" s="48"/>
      <c r="AM138" s="150" t="str">
        <f t="shared" si="42"/>
        <v>start /low /b %USERPROFILE%\Documents\GitHub\eaglep3\Utilities\DownloadLogsFromS3.py --loco 4053 --day 2017-04-12</v>
      </c>
      <c r="AN138" s="159" t="str">
        <f t="shared" si="4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03:36:58"},{"id":29,"name":"Sharepoint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840</v>
      </c>
      <c r="B139" s="7">
        <v>4044</v>
      </c>
      <c r="C139" s="21" t="s">
        <v>214</v>
      </c>
      <c r="D139" s="21" t="s">
        <v>548</v>
      </c>
      <c r="E139" s="13">
        <v>42837.851030092592</v>
      </c>
      <c r="F139" s="13">
        <v>42837.854548611111</v>
      </c>
      <c r="G139" s="7">
        <v>1</v>
      </c>
      <c r="H139" s="21" t="s">
        <v>935</v>
      </c>
      <c r="I139" s="13">
        <v>42837.881180555552</v>
      </c>
      <c r="J139" s="7">
        <v>0</v>
      </c>
      <c r="K139" s="97" t="str">
        <f t="shared" si="25"/>
        <v>4043/4044</v>
      </c>
      <c r="L139" s="21" t="str">
        <f>VLOOKUP(A139,'Trips&amp;Operators'!$C$1:$G$99999,5,FALSE)</f>
        <v>NELSON ARIANE</v>
      </c>
      <c r="M139" s="6">
        <f t="shared" si="26"/>
        <v>2.6631944441760425E-2</v>
      </c>
      <c r="N139" s="7">
        <f t="shared" si="44"/>
        <v>38.349999996135011</v>
      </c>
      <c r="O139" s="7"/>
      <c r="P139" s="7"/>
      <c r="Q139" s="22"/>
      <c r="R139" s="22"/>
      <c r="S139" s="31">
        <f t="shared" si="27"/>
        <v>1</v>
      </c>
      <c r="T139" s="46" t="str">
        <f t="shared" si="28"/>
        <v>NorthBound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2" t="str">
        <f t="shared" si="29"/>
        <v>https://d0f6bd738d7f1b3e5a7ca70fe4ff75f0.us-east-1.aws.found.io/app/kibana#/discover/Steve-Slow-Train-Analysis-(2080s-and-2083s)?_g=(refreshInterval:(display:Off,pause:!f,section:0,value:0),time:(from:'2017-04-12T19:25:29-0600',mode:absolute,to:'2017-04-12T22:08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9" s="183" t="str">
        <f t="shared" si="30"/>
        <v>N</v>
      </c>
      <c r="X139" s="183">
        <f t="shared" si="31"/>
        <v>1</v>
      </c>
      <c r="Y139" s="62">
        <f t="shared" si="32"/>
        <v>4.3299999999999998E-2</v>
      </c>
      <c r="Z139" s="62">
        <f t="shared" si="33"/>
        <v>23.328499999999998</v>
      </c>
      <c r="AA139" s="62">
        <f t="shared" si="34"/>
        <v>23.2852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5"/>
        <v>0227-12</v>
      </c>
      <c r="AE139" s="85" t="str">
        <f t="shared" si="36"/>
        <v>aws s3 cp s3://rtdc.mdm.uploadarchive.raw/RTDC4044/ "%USERPROFILE%\AppData\Local\Temp\OnboardLogs"\RTDC4044\2017-04-12 --exclude "*" --recursive --include "*20170412*" &amp; "%USERPROFILE%\Documents\GitHub\mrs-test-scripts\Headless Mode &amp; Sideloading\WalkAndUnGZ.bat" "%USERPROFILE%\AppData\Local\Temp\OnboardLogs"\RTDC4044\2017-04-12 &amp; aws s3 cp s3://rtdc.mdm.uploadarchive.raw/RTDC4044/ "%USERPROFILE%\AppData\Local\Temp\OnboardLogs"\RTDC4044\2017-04-13 --exclude "*" --recursive --include "*20170413*" &amp; "%USERPROFILE%\Documents\GitHub\mrs-test-scripts\Headless Mode &amp; Sideloading\WalkAndUnGZ.bat" "%USERPROFILE%\AppData\Local\Temp\OnboardLogs"\RTDC4044\2017-04-13</v>
      </c>
      <c r="AF139" s="82" t="str">
        <f t="shared" si="37"/>
        <v>"C:\Program Files (x86)\AstroGrep\AstroGrep.exe" /e /r /s /spath="%USERPROFILE%\AppData\Local\Temp\OnboardLogs" /stypes="app*4044*20170413*" /stext=" 03:.+((SYSTEM_STATE.+slice.+state.+changed )|(ment ac)|(multiple cpu faults)|(system.+state.+changed )|(\[timeout)|(PRM\|1\|D)|(kpr)|(kdp)|(\|lc)|(penalty))"</v>
      </c>
      <c r="AG139" s="1" t="str">
        <f t="shared" si="38"/>
        <v>EC</v>
      </c>
      <c r="AH139" s="86" t="str">
        <f t="shared" si="40"/>
        <v>"%USERPROFILE%\Documents\GitHub\eaglep3\Utilities\RefineRTDCRunTimes.py" --tripid 227-12 --locoid 4044 --swversion DE.1.0.9.0 --startMP 204:433 --initTime 2017-04-12T20:25:29 --startdatetime 2017-04-12T20:30:33 --delay 1 --endMP 204:233285 --enddatetime 2017-04-12T21:08:54 --enforcementcount 0 &gt;&gt;C:\Users\stu\Documents\GitHub\eaglep3-reporting\EC\2017-04-12-refined-times.txt</v>
      </c>
      <c r="AI139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{"issue":{"subject":"","project_id":79,"tracker_id":40,"status_id":1,"priority_id":2,"assigned_to_id":23,"start_date":"2017-04-12","description":"","custom_fields":[{"id":1,"name":"Subdivision","value":"EC"},{"id":4,"name":"Milepost","value":"23.3285"},{"id":17,"name":"Train ID","value":"227-12"},{"id":16,"name":"Locomotive ID","value":"4044"},{"id":130,"name":"Impact","value":""},{"id":150,"name":"Time of Event (Mountain Time)","value":"21:08:54"},{"id":151,"name":"Denver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8"/>
      <c r="AL139" s="48"/>
      <c r="AM139" s="150" t="str">
        <f t="shared" si="42"/>
        <v>start /low /b %USERPROFILE%\Documents\GitHub\eaglep3\Utilities\DownloadLogsFromS3.py --loco 4044 --day 2017-04-12</v>
      </c>
      <c r="AN139" s="159" t="str">
        <f t="shared" si="4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03:08:54"},{"id":29,"name":"Sharepoint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846</v>
      </c>
      <c r="B140" s="7">
        <v>4043</v>
      </c>
      <c r="C140" s="21" t="s">
        <v>214</v>
      </c>
      <c r="D140" s="21" t="s">
        <v>936</v>
      </c>
      <c r="E140" s="13">
        <v>42837.890405092592</v>
      </c>
      <c r="F140" s="13">
        <v>42837.89340277778</v>
      </c>
      <c r="G140" s="7">
        <v>1</v>
      </c>
      <c r="H140" s="21" t="s">
        <v>401</v>
      </c>
      <c r="I140" s="13">
        <v>42837.922534722224</v>
      </c>
      <c r="J140" s="7">
        <v>0</v>
      </c>
      <c r="K140" s="97" t="str">
        <f t="shared" si="25"/>
        <v>4043/4044</v>
      </c>
      <c r="L140" s="21" t="str">
        <f>VLOOKUP(A140,'Trips&amp;Operators'!$C$1:$G$99999,5,FALSE)</f>
        <v>NELSON ARIANE</v>
      </c>
      <c r="M140" s="6">
        <f t="shared" si="26"/>
        <v>2.9131944444088731E-2</v>
      </c>
      <c r="N140" s="7">
        <f t="shared" si="44"/>
        <v>41.949999999487773</v>
      </c>
      <c r="O140" s="7"/>
      <c r="P140" s="7"/>
      <c r="Q140" s="22"/>
      <c r="R140" s="22"/>
      <c r="S140" s="31">
        <f t="shared" si="27"/>
        <v>1</v>
      </c>
      <c r="T140" s="46" t="str">
        <f t="shared" si="28"/>
        <v>Southbound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 t="shared" si="29"/>
        <v>https://d0f6bd738d7f1b3e5a7ca70fe4ff75f0.us-east-1.aws.found.io/app/kibana#/discover/Steve-Slow-Train-Analysis-(2080s-and-2083s)?_g=(refreshInterval:(display:Off,pause:!f,section:0,value:0),time:(from:'2017-04-12T20:22:11-0600',mode:absolute,to:'2017-04-12T23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0" s="183" t="str">
        <f t="shared" si="30"/>
        <v>N</v>
      </c>
      <c r="X140" s="183">
        <f t="shared" si="31"/>
        <v>1</v>
      </c>
      <c r="Y140" s="62">
        <f t="shared" si="32"/>
        <v>23.297000000000001</v>
      </c>
      <c r="Z140" s="62">
        <f t="shared" si="33"/>
        <v>1.38E-2</v>
      </c>
      <c r="AA140" s="62">
        <f t="shared" si="34"/>
        <v>23.283200000000001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5"/>
        <v>0228-12</v>
      </c>
      <c r="AE140" s="85" t="str">
        <f t="shared" si="36"/>
        <v>aws s3 cp s3://rtdc.mdm.uploadarchive.raw/RTDC4043/ "%USERPROFILE%\AppData\Local\Temp\OnboardLogs"\RTDC4043\2017-04-12 --exclude "*" --recursive --include "*20170412*" &amp; "%USERPROFILE%\Documents\GitHub\mrs-test-scripts\Headless Mode &amp; Sideloading\WalkAndUnGZ.bat" "%USERPROFILE%\AppData\Local\Temp\OnboardLogs"\RTDC4043\2017-04-12 &amp; aws s3 cp s3://rtdc.mdm.uploadarchive.raw/RTDC4043/ "%USERPROFILE%\AppData\Local\Temp\OnboardLogs"\RTDC4043\2017-04-13 --exclude "*" --recursive --include "*20170413*" &amp; "%USERPROFILE%\Documents\GitHub\mrs-test-scripts\Headless Mode &amp; Sideloading\WalkAndUnGZ.bat" "%USERPROFILE%\AppData\Local\Temp\OnboardLogs"\RTDC4043\2017-04-13</v>
      </c>
      <c r="AF140" s="82" t="str">
        <f t="shared" si="37"/>
        <v>"C:\Program Files (x86)\AstroGrep\AstroGrep.exe" /e /r /s /spath="%USERPROFILE%\AppData\Local\Temp\OnboardLogs" /stypes="app*4043*20170413*" /stext=" 04:.+((SYSTEM_STATE.+slice.+state.+changed )|(ment ac)|(multiple cpu faults)|(system.+state.+changed )|(\[timeout)|(PRM\|1\|D)|(kpr)|(kdp)|(\|lc)|(penalty))"</v>
      </c>
      <c r="AG140" s="1" t="str">
        <f t="shared" si="38"/>
        <v>EC</v>
      </c>
      <c r="AH140" s="86" t="str">
        <f t="shared" si="40"/>
        <v>"%USERPROFILE%\Documents\GitHub\eaglep3\Utilities\RefineRTDCRunTimes.py" --tripid 228-12 --locoid 4043 --swversion DE.1.0.9.0 --startMP 204:232970 --initTime 2017-04-12T21:22:11 --startdatetime 2017-04-12T21:26:30 --delay 1 --endMP 204:138 --enddatetime 2017-04-12T22:08:27 --enforcementcount 0 &gt;&gt;C:\Users\stu\Documents\GitHub\eaglep3-reporting\EC\2017-04-12-refined-times.txt</v>
      </c>
      <c r="AI140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{"issue":{"subject":"","project_id":79,"tracker_id":40,"status_id":1,"priority_id":2,"assigned_to_id":23,"start_date":"2017-04-12","description":"","custom_fields":[{"id":1,"name":"Subdivision","value":"EC"},{"id":4,"name":"Milepost","value":"0.0138"},{"id":17,"name":"Train ID","value":"228-12"},{"id":16,"name":"Locomotive ID","value":"4043"},{"id":130,"name":"Impact","value":""},{"id":150,"name":"Time of Event (Mountain Time)","value":"22:08:27"},{"id":151,"name":"Denver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8"/>
      <c r="AL140" s="48"/>
      <c r="AM140" s="150" t="str">
        <f t="shared" si="42"/>
        <v>start /low /b %USERPROFILE%\Documents\GitHub\eaglep3\Utilities\DownloadLogsFromS3.py --loco 4043 --day 2017-04-12</v>
      </c>
      <c r="AN140" s="159" t="str">
        <f t="shared" si="4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04:08:27"},{"id":29,"name":"Sharepoint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842</v>
      </c>
      <c r="B141" s="7">
        <v>4042</v>
      </c>
      <c r="C141" s="21" t="s">
        <v>214</v>
      </c>
      <c r="D141" s="21" t="s">
        <v>545</v>
      </c>
      <c r="E141" s="13">
        <v>42837.861168981479</v>
      </c>
      <c r="F141" s="13">
        <v>42837.875381944446</v>
      </c>
      <c r="G141" s="7">
        <v>1</v>
      </c>
      <c r="H141" s="21" t="s">
        <v>400</v>
      </c>
      <c r="I141" s="13">
        <v>42837.901180555556</v>
      </c>
      <c r="J141" s="7">
        <v>0</v>
      </c>
      <c r="K141" s="97" t="str">
        <f t="shared" ref="K141:K204" si="45">IF(ISEVEN(B141),(B141-1)&amp;"/"&amp;B141,B141&amp;"/"&amp;(B141+1))</f>
        <v>4041/4042</v>
      </c>
      <c r="L141" s="21" t="str">
        <f>VLOOKUP(A141,'Trips&amp;Operators'!$C$1:$G$99999,5,FALSE)</f>
        <v>SWANSON BRYCE</v>
      </c>
      <c r="M141" s="6">
        <f t="shared" ref="M141:M204" si="46">I141-F141</f>
        <v>2.5798611110076308E-2</v>
      </c>
      <c r="N141" s="7">
        <f t="shared" si="44"/>
        <v>37.149999998509884</v>
      </c>
      <c r="O141" s="7"/>
      <c r="P141" s="7"/>
      <c r="Q141" s="22"/>
      <c r="R141" s="22"/>
      <c r="S141" s="31">
        <f t="shared" ref="S141:S204" si="47">SUM(U141:U141)/IF(AG141="EC",12,1)</f>
        <v>1</v>
      </c>
      <c r="T141" s="46" t="str">
        <f t="shared" ref="T141:T204" si="48">IF(ISEVEN(LEFT(AD141,4)),"Southbound","NorthBound")</f>
        <v>NorthBound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 t="shared" ref="V141:V204" si="49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-04-12T19:40:05-0600',mode:absolute,to:'2017-04-12T22:37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1" s="183" t="str">
        <f t="shared" ref="W141:W204" si="50">IF(AA141&lt;IF(AG141="EC",23,5.65),"Y","N")</f>
        <v>N</v>
      </c>
      <c r="X141" s="183">
        <f t="shared" ref="X141:X204" si="51">VALUE(LEFT(AD141,4))-VALUE(LEFT(AD140,4))</f>
        <v>1</v>
      </c>
      <c r="Y141" s="62">
        <f t="shared" ref="Y141:Y204" si="52">RIGHT(D141,LEN(D141)-4)/10000</f>
        <v>4.7500000000000001E-2</v>
      </c>
      <c r="Z141" s="62">
        <f t="shared" ref="Z141:Z204" si="53">RIGHT(H141,LEN(H141)-4)/10000</f>
        <v>23.329499999999999</v>
      </c>
      <c r="AA141" s="62">
        <f t="shared" ref="AA141:AA204" si="54">ABS(Z141-Y141)</f>
        <v>23.282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55">IF(LEN(A141)=6,"0"&amp;A141,A141)</f>
        <v>0229-12</v>
      </c>
      <c r="AE141" s="85" t="str">
        <f t="shared" ref="AE141:AE204" si="5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s3://rtdc.mdm.uploadarchive.raw/RTDC4042/ "%USERPROFILE%\AppData\Local\Temp\OnboardLogs"\RTDC4042\2017-04-12 --exclude "*" --recursive --include "*20170412*" &amp; "%USERPROFILE%\Documents\GitHub\mrs-test-scripts\Headless Mode &amp; Sideloading\WalkAndUnGZ.bat" "%USERPROFILE%\AppData\Local\Temp\OnboardLogs"\RTDC4042\2017-04-12 &amp; aws s3 cp s3://rtdc.mdm.uploadarchive.raw/RTDC4042/ "%USERPROFILE%\AppData\Local\Temp\OnboardLogs"\RTDC4042\2017-04-13 --exclude "*" --recursive --include "*20170413*" &amp; "%USERPROFILE%\Documents\GitHub\mrs-test-scripts\Headless Mode &amp; Sideloading\WalkAndUnGZ.bat" "%USERPROFILE%\AppData\Local\Temp\OnboardLogs"\RTDC4042\2017-04-13</v>
      </c>
      <c r="AF141" s="82" t="str">
        <f t="shared" ref="AF141:AF204" si="57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/stypes="app*4042*20170413*" /stext=" 03:.+((SYSTEM_STATE.+slice.+state.+changed )|(ment ac)|(multiple cpu faults)|(system.+state.+changed )|(\[timeout)|(PRM\|1\|D)|(kpr)|(kdp)|(\|lc)|(penalty))"</v>
      </c>
      <c r="AG141" s="1" t="str">
        <f t="shared" ref="AG141:AG204" si="58">IFERROR(IF(VALUE(LEFT(AD141,2))&lt;=2,"EC",IF(OR(VALUE(LEFT(AD141,2))=8,VALUE(LEFT(AD141,2))=18),"NW","Other")),"Other")</f>
        <v>EC</v>
      </c>
      <c r="AH141" s="86" t="str">
        <f t="shared" si="40"/>
        <v>"%USERPROFILE%\Documents\GitHub\eaglep3\Utilities\RefineRTDCRunTimes.py" --tripid 229-12 --locoid 4042 --swversion DE.1.0.9.0 --startMP 204:475 --initTime 2017-04-12T20:40:05 --startdatetime 2017-04-12T21:00:33 --delay 1 --endMP 204:233295 --enddatetime 2017-04-12T21:37:42 --enforcementcount 0 &gt;&gt;C:\Users\stu\Documents\GitHub\eaglep3-reporting\EC\2017-04-12-refined-times.txt</v>
      </c>
      <c r="AI141" s="104" t="str">
        <f t="shared" si="41"/>
        <v>echo {"issue":{"subject":"","project_id":79,"tracker_id":40,"status_id":1,"priority_id":2,"assigned_to_id":23,"start_date":"2017-04-12","description":"","custom_fields":[{"id":1,"name":"Subdivision","value":"EC"},{"id":4,"name":"Milepost","value":"23.3295"},{"id":17,"name":"Train ID","value":"229-12"},{"id":16,"name":"Locomotive ID","value":"4042"},{"id":130,"name":"Impact","value":""},{"id":150,"name":"Time of Event (Mountain Time)","value":"21:37:42"},{"id":151,"name":"Denver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8"/>
      <c r="AL141" s="48"/>
      <c r="AM141" s="150" t="str">
        <f t="shared" si="42"/>
        <v>start /low /b %USERPROFILE%\Documents\GitHub\eaglep3\Utilities\DownloadLogsFromS3.py --loco 4042 --day 2017-04-12</v>
      </c>
      <c r="AN141" s="159" t="str">
        <f t="shared" si="4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03:37:42"},{"id":29,"name":"Sharepoint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848</v>
      </c>
      <c r="B142" s="7">
        <v>4041</v>
      </c>
      <c r="C142" s="21" t="s">
        <v>214</v>
      </c>
      <c r="D142" s="21" t="s">
        <v>477</v>
      </c>
      <c r="E142" s="13">
        <v>42837.906041666669</v>
      </c>
      <c r="F142" s="13">
        <v>42837.914143518516</v>
      </c>
      <c r="G142" s="7">
        <v>1</v>
      </c>
      <c r="H142" s="21" t="s">
        <v>430</v>
      </c>
      <c r="I142" s="13">
        <v>42837.942372685182</v>
      </c>
      <c r="J142" s="7">
        <v>0</v>
      </c>
      <c r="K142" s="97" t="str">
        <f t="shared" si="45"/>
        <v>4041/4042</v>
      </c>
      <c r="L142" s="21" t="str">
        <f>VLOOKUP(A142,'Trips&amp;Operators'!$C$1:$G$99999,5,FALSE)</f>
        <v>SWANSON BRYCE</v>
      </c>
      <c r="M142" s="6">
        <f t="shared" si="46"/>
        <v>2.8229166666278616E-2</v>
      </c>
      <c r="N142" s="7">
        <f t="shared" ref="N142:N173" si="59">24*60*SUM($M142:$M142)</f>
        <v>40.649999999441206</v>
      </c>
      <c r="O142" s="7"/>
      <c r="P142" s="7"/>
      <c r="Q142" s="22"/>
      <c r="R142" s="22"/>
      <c r="S142" s="31">
        <f t="shared" si="47"/>
        <v>1</v>
      </c>
      <c r="T142" s="46" t="str">
        <f t="shared" si="48"/>
        <v>Southbound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 t="shared" si="49"/>
        <v>https://d0f6bd738d7f1b3e5a7ca70fe4ff75f0.us-east-1.aws.found.io/app/kibana#/discover/Steve-Slow-Train-Analysis-(2080s-and-2083s)?_g=(refreshInterval:(display:Off,pause:!f,section:0,value:0),time:(from:'2017-04-12T20:44:42-0600',mode:absolute,to:'2017-04-12T23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2" s="183" t="str">
        <f t="shared" si="50"/>
        <v>N</v>
      </c>
      <c r="X142" s="183">
        <f t="shared" si="51"/>
        <v>1</v>
      </c>
      <c r="Y142" s="62">
        <f t="shared" si="52"/>
        <v>23.3002</v>
      </c>
      <c r="Z142" s="62">
        <f t="shared" si="53"/>
        <v>1.6500000000000001E-2</v>
      </c>
      <c r="AA142" s="62">
        <f t="shared" si="54"/>
        <v>23.2837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5"/>
        <v>0230-12</v>
      </c>
      <c r="AE142" s="85" t="str">
        <f t="shared" si="56"/>
        <v>aws s3 cp s3://rtdc.mdm.uploadarchive.raw/RTDC4041/ "%USERPROFILE%\AppData\Local\Temp\OnboardLogs"\RTDC4041\2017-04-12 --exclude "*" --recursive --include "*20170412*" &amp; "%USERPROFILE%\Documents\GitHub\mrs-test-scripts\Headless Mode &amp; Sideloading\WalkAndUnGZ.bat" "%USERPROFILE%\AppData\Local\Temp\OnboardLogs"\RTDC4041\2017-04-12 &amp; aws s3 cp s3://rtdc.mdm.uploadarchive.raw/RTDC4041/ "%USERPROFILE%\AppData\Local\Temp\OnboardLogs"\RTDC4041\2017-04-13 --exclude "*" --recursive --include "*20170413*" &amp; "%USERPROFILE%\Documents\GitHub\mrs-test-scripts\Headless Mode &amp; Sideloading\WalkAndUnGZ.bat" "%USERPROFILE%\AppData\Local\Temp\OnboardLogs"\RTDC4041\2017-04-13</v>
      </c>
      <c r="AF142" s="82" t="str">
        <f t="shared" si="57"/>
        <v>"C:\Program Files (x86)\AstroGrep\AstroGrep.exe" /e /r /s /spath="%USERPROFILE%\AppData\Local\Temp\OnboardLogs" /stypes="app*4041*20170413*" /stext=" 04:.+((SYSTEM_STATE.+slice.+state.+changed )|(ment ac)|(multiple cpu faults)|(system.+state.+changed )|(\[timeout)|(PRM\|1\|D)|(kpr)|(kdp)|(\|lc)|(penalty))"</v>
      </c>
      <c r="AG142" s="1" t="str">
        <f t="shared" si="58"/>
        <v>EC</v>
      </c>
      <c r="AH142" s="86" t="str">
        <f t="shared" ref="AH142:AH205" si="60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230-12 --locoid 4041 --swversion DE.1.0.9.0 --startMP 204:233002 --initTime 2017-04-12T21:44:42 --startdatetime 2017-04-12T21:56:22 --delay 1 --endMP 204:165 --enddatetime 2017-04-12T22:37:01 --enforcementcount 0 &gt;&gt;C:\Users\stu\Documents\GitHub\eaglep3-reporting\EC\2017-04-12-refined-times.txt</v>
      </c>
      <c r="AI142" s="104" t="str">
        <f t="shared" ref="AI142:AI205" si="61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{"issue":{"subject":"","project_id":79,"tracker_id":40,"status_id":1,"priority_id":2,"assigned_to_id":23,"start_date":"2017-04-12","description":"","custom_fields":[{"id":1,"name":"Subdivision","value":"EC"},{"id":4,"name":"Milepost","value":"0.0165"},{"id":17,"name":"Train ID","value":"230-12"},{"id":16,"name":"Locomotive ID","value":"4041"},{"id":130,"name":"Impact","value":""},{"id":150,"name":"Time of Event (Mountain Time)","value":"22:37:01"},{"id":151,"name":"Denver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8"/>
      <c r="AL142" s="48"/>
      <c r="AM142" s="150" t="str">
        <f t="shared" ref="AM142:AM205" si="62">"start /low /b "&amp;dls3logs&amp;" --loco "&amp;B142&amp;" --day "&amp;TEXT(F142,"YYYY-MM-DD")</f>
        <v>start /low /b %USERPROFILE%\Documents\GitHub\eaglep3\Utilities\DownloadLogsFromS3.py --loco 4041 --day 2017-04-12</v>
      </c>
      <c r="AN142" s="159" t="str">
        <f t="shared" ref="AN142:AN205" si="63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04:37:01"},{"id":29,"name":"Sharepoint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x14ac:dyDescent="0.25">
      <c r="A143" s="33" t="s">
        <v>844</v>
      </c>
      <c r="B143" s="7">
        <v>4040</v>
      </c>
      <c r="C143" s="21" t="s">
        <v>214</v>
      </c>
      <c r="D143" s="21" t="s">
        <v>541</v>
      </c>
      <c r="E143" s="13">
        <v>42837.881030092591</v>
      </c>
      <c r="F143" s="13">
        <v>42837.896226851852</v>
      </c>
      <c r="G143" s="7">
        <v>1</v>
      </c>
      <c r="H143" s="21" t="s">
        <v>927</v>
      </c>
      <c r="I143" s="13">
        <v>42837.921979166669</v>
      </c>
      <c r="J143" s="7">
        <v>0</v>
      </c>
      <c r="K143" s="97" t="str">
        <f t="shared" si="45"/>
        <v>4039/4040</v>
      </c>
      <c r="L143" s="21" t="str">
        <f>VLOOKUP(A143,'Trips&amp;Operators'!$C$1:$G$99999,5,FALSE)</f>
        <v>FORTUNATO FRANK</v>
      </c>
      <c r="M143" s="6">
        <f t="shared" si="46"/>
        <v>2.5752314817509614E-2</v>
      </c>
      <c r="N143" s="7">
        <f t="shared" si="59"/>
        <v>37.083333337213844</v>
      </c>
      <c r="O143" s="7"/>
      <c r="P143" s="7"/>
      <c r="Q143" s="22"/>
      <c r="R143" s="22"/>
      <c r="S143" s="31">
        <f t="shared" si="47"/>
        <v>1</v>
      </c>
      <c r="T143" s="46" t="str">
        <f t="shared" si="48"/>
        <v>NorthBound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 t="shared" si="49"/>
        <v>https://d0f6bd738d7f1b3e5a7ca70fe4ff75f0.us-east-1.aws.found.io/app/kibana#/discover/Steve-Slow-Train-Analysis-(2080s-and-2083s)?_g=(refreshInterval:(display:Off,pause:!f,section:0,value:0),time:(from:'2017-04-12T20:08:41-0600',mode:absolute,to:'2017-04-12T23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3" s="183" t="str">
        <f t="shared" si="50"/>
        <v>N</v>
      </c>
      <c r="X143" s="183">
        <f t="shared" si="51"/>
        <v>1</v>
      </c>
      <c r="Y143" s="62">
        <f t="shared" si="52"/>
        <v>4.4400000000000002E-2</v>
      </c>
      <c r="Z143" s="62">
        <f t="shared" si="53"/>
        <v>23.334399999999999</v>
      </c>
      <c r="AA143" s="62">
        <f t="shared" si="54"/>
        <v>23.29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5"/>
        <v>0231-12</v>
      </c>
      <c r="AE143" s="85" t="str">
        <f t="shared" si="56"/>
        <v>aws s3 cp s3://rtdc.mdm.uploadarchive.raw/RTDC4040/ "%USERPROFILE%\AppData\Local\Temp\OnboardLogs"\RTDC4040\2017-04-12 --exclude "*" --recursive --include "*20170412*" &amp; "%USERPROFILE%\Documents\GitHub\mrs-test-scripts\Headless Mode &amp; Sideloading\WalkAndUnGZ.bat" "%USERPROFILE%\AppData\Local\Temp\OnboardLogs"\RTDC4040\2017-04-12 &amp; aws s3 cp s3://rtdc.mdm.uploadarchive.raw/RTDC4040/ "%USERPROFILE%\AppData\Local\Temp\OnboardLogs"\RTDC4040\2017-04-13 --exclude "*" --recursive --include "*20170413*" &amp; "%USERPROFILE%\Documents\GitHub\mrs-test-scripts\Headless Mode &amp; Sideloading\WalkAndUnGZ.bat" "%USERPROFILE%\AppData\Local\Temp\OnboardLogs"\RTDC4040\2017-04-13</v>
      </c>
      <c r="AF143" s="82" t="str">
        <f t="shared" si="57"/>
        <v>"C:\Program Files (x86)\AstroGrep\AstroGrep.exe" /e /r /s /spath="%USERPROFILE%\AppData\Local\Temp\OnboardLogs" /stypes="app*4040*20170413*" /stext=" 04:.+((SYSTEM_STATE.+slice.+state.+changed )|(ment ac)|(multiple cpu faults)|(system.+state.+changed )|(\[timeout)|(PRM\|1\|D)|(kpr)|(kdp)|(\|lc)|(penalty))"</v>
      </c>
      <c r="AG143" s="1" t="str">
        <f t="shared" si="58"/>
        <v>EC</v>
      </c>
      <c r="AH143" s="86" t="str">
        <f t="shared" si="60"/>
        <v>"%USERPROFILE%\Documents\GitHub\eaglep3\Utilities\RefineRTDCRunTimes.py" --tripid 231-12 --locoid 4040 --swversion DE.1.0.9.0 --startMP 204:444 --initTime 2017-04-12T21:08:41 --startdatetime 2017-04-12T21:30:34 --delay 1 --endMP 204:233344 --enddatetime 2017-04-12T22:07:39 --enforcementcount 0 &gt;&gt;C:\Users\stu\Documents\GitHub\eaglep3-reporting\EC\2017-04-12-refined-times.txt</v>
      </c>
      <c r="AI143" s="104" t="str">
        <f t="shared" si="61"/>
        <v>echo {"issue":{"subject":"","project_id":79,"tracker_id":40,"status_id":1,"priority_id":2,"assigned_to_id":23,"start_date":"2017-04-12","description":"","custom_fields":[{"id":1,"name":"Subdivision","value":"EC"},{"id":4,"name":"Milepost","value":"23.3344"},{"id":17,"name":"Train ID","value":"231-12"},{"id":16,"name":"Locomotive ID","value":"4040"},{"id":130,"name":"Impact","value":""},{"id":150,"name":"Time of Event (Mountain Time)","value":"22:07:39"},{"id":151,"name":"Denver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20"/>
      <c r="AK143" s="48"/>
      <c r="AL143" s="48"/>
      <c r="AM143" s="150" t="str">
        <f t="shared" si="62"/>
        <v>start /low /b %USERPROFILE%\Documents\GitHub\eaglep3\Utilities\DownloadLogsFromS3.py --loco 4040 --day 2017-04-12</v>
      </c>
      <c r="AN143" s="159" t="str">
        <f t="shared" si="6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04:07:39"},{"id":29,"name":"Sharepoint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4" spans="1:91" s="20" customFormat="1" x14ac:dyDescent="0.25">
      <c r="A144" s="33" t="s">
        <v>850</v>
      </c>
      <c r="B144" s="7">
        <v>4039</v>
      </c>
      <c r="C144" s="21" t="s">
        <v>214</v>
      </c>
      <c r="D144" s="21" t="s">
        <v>594</v>
      </c>
      <c r="E144" s="13">
        <v>42837.923229166663</v>
      </c>
      <c r="F144" s="13">
        <v>42837.935081018521</v>
      </c>
      <c r="G144" s="7">
        <v>1</v>
      </c>
      <c r="H144" s="21" t="s">
        <v>418</v>
      </c>
      <c r="I144" s="13">
        <v>42837.966377314813</v>
      </c>
      <c r="J144" s="7">
        <v>0</v>
      </c>
      <c r="K144" s="97" t="str">
        <f t="shared" si="45"/>
        <v>4039/4040</v>
      </c>
      <c r="L144" s="21" t="str">
        <f>VLOOKUP(A144,'Trips&amp;Operators'!$C$1:$G$99999,5,FALSE)</f>
        <v>FORTUNATO FRANK</v>
      </c>
      <c r="M144" s="6">
        <f t="shared" si="46"/>
        <v>3.1296296292566694E-2</v>
      </c>
      <c r="N144" s="7">
        <f t="shared" si="59"/>
        <v>45.06666666129604</v>
      </c>
      <c r="O144" s="7"/>
      <c r="P144" s="7"/>
      <c r="Q144" s="22"/>
      <c r="R144" s="22"/>
      <c r="S144" s="31">
        <f t="shared" si="47"/>
        <v>1</v>
      </c>
      <c r="T144" s="46" t="str">
        <f t="shared" si="48"/>
        <v>Southbound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2" t="str">
        <f t="shared" si="49"/>
        <v>https://d0f6bd738d7f1b3e5a7ca70fe4ff75f0.us-east-1.aws.found.io/app/kibana#/discover/Steve-Slow-Train-Analysis-(2080s-and-2083s)?_g=(refreshInterval:(display:Off,pause:!f,section:0,value:0),time:(from:'2017-04-12T21:09:27-0600',mode:absolute,to:'2017-04-13T00:11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4" s="183" t="str">
        <f t="shared" si="50"/>
        <v>N</v>
      </c>
      <c r="X144" s="183">
        <f t="shared" si="51"/>
        <v>1</v>
      </c>
      <c r="Y144" s="62">
        <f t="shared" si="52"/>
        <v>23.302700000000002</v>
      </c>
      <c r="Z144" s="62">
        <f t="shared" si="53"/>
        <v>1.4500000000000001E-2</v>
      </c>
      <c r="AA144" s="62">
        <f t="shared" si="54"/>
        <v>23.2882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5"/>
        <v>0232-12</v>
      </c>
      <c r="AE144" s="85" t="str">
        <f t="shared" si="56"/>
        <v>aws s3 cp s3://rtdc.mdm.uploadarchive.raw/RTDC4039/ "%USERPROFILE%\AppData\Local\Temp\OnboardLogs"\RTDC4039\2017-04-12 --exclude "*" --recursive --include "*20170412*" &amp; "%USERPROFILE%\Documents\GitHub\mrs-test-scripts\Headless Mode &amp; Sideloading\WalkAndUnGZ.bat" "%USERPROFILE%\AppData\Local\Temp\OnboardLogs"\RTDC4039\2017-04-12 &amp; aws s3 cp s3://rtdc.mdm.uploadarchive.raw/RTDC4039/ "%USERPROFILE%\AppData\Local\Temp\OnboardLogs"\RTDC4039\2017-04-13 --exclude "*" --recursive --include "*20170413*" &amp; "%USERPROFILE%\Documents\GitHub\mrs-test-scripts\Headless Mode &amp; Sideloading\WalkAndUnGZ.bat" "%USERPROFILE%\AppData\Local\Temp\OnboardLogs"\RTDC4039\2017-04-13</v>
      </c>
      <c r="AF144" s="82" t="str">
        <f t="shared" si="57"/>
        <v>"C:\Program Files (x86)\AstroGrep\AstroGrep.exe" /e /r /s /spath="%USERPROFILE%\AppData\Local\Temp\OnboardLogs" /stypes="app*4039*20170413*" /stext=" 05:.+((SYSTEM_STATE.+slice.+state.+changed )|(ment ac)|(multiple cpu faults)|(system.+state.+changed )|(\[timeout)|(PRM\|1\|D)|(kpr)|(kdp)|(\|lc)|(penalty))"</v>
      </c>
      <c r="AG144" s="1" t="str">
        <f t="shared" si="58"/>
        <v>EC</v>
      </c>
      <c r="AH144" s="86" t="str">
        <f t="shared" si="60"/>
        <v>"%USERPROFILE%\Documents\GitHub\eaglep3\Utilities\RefineRTDCRunTimes.py" --tripid 232-12 --locoid 4039 --swversion DE.1.0.9.0 --startMP 204:233027 --initTime 2017-04-12T22:09:27 --startdatetime 2017-04-12T22:26:31 --delay 1 --endMP 204:145 --enddatetime 2017-04-12T23:11:35 --enforcementcount 0 &gt;&gt;C:\Users\stu\Documents\GitHub\eaglep3-reporting\EC\2017-04-12-refined-times.txt</v>
      </c>
      <c r="AI144" s="104" t="str">
        <f t="shared" si="61"/>
        <v>echo {"issue":{"subject":"","project_id":79,"tracker_id":40,"status_id":1,"priority_id":2,"assigned_to_id":23,"start_date":"2017-04-12","description":"","custom_fields":[{"id":1,"name":"Subdivision","value":"EC"},{"id":4,"name":"Milepost","value":"0.0145"},{"id":17,"name":"Train ID","value":"232-12"},{"id":16,"name":"Locomotive ID","value":"4039"},{"id":130,"name":"Impact","value":""},{"id":150,"name":"Time of Event (Mountain Time)","value":"23:11:35"},{"id":151,"name":"Denver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8"/>
      <c r="AL144" s="48"/>
      <c r="AM144" s="150" t="str">
        <f t="shared" si="62"/>
        <v>start /low /b %USERPROFILE%\Documents\GitHub\eaglep3\Utilities\DownloadLogsFromS3.py --loco 4039 --day 2017-04-12</v>
      </c>
      <c r="AN144" s="159" t="str">
        <f t="shared" si="6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05:11:35"},{"id":29,"name":"Sharepoint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849</v>
      </c>
      <c r="B145" s="7">
        <v>4054</v>
      </c>
      <c r="C145" s="21" t="s">
        <v>214</v>
      </c>
      <c r="D145" s="21" t="s">
        <v>514</v>
      </c>
      <c r="E145" s="13">
        <v>42837.913287037038</v>
      </c>
      <c r="F145" s="13">
        <v>42837.916851851849</v>
      </c>
      <c r="G145" s="7">
        <v>1</v>
      </c>
      <c r="H145" s="21" t="s">
        <v>884</v>
      </c>
      <c r="I145" s="13">
        <v>42837.942974537036</v>
      </c>
      <c r="J145" s="7">
        <v>0</v>
      </c>
      <c r="K145" s="97" t="str">
        <f t="shared" si="45"/>
        <v>4053/4054</v>
      </c>
      <c r="L145" s="21" t="str">
        <f>VLOOKUP(A145,'Trips&amp;Operators'!$C$1:$G$99999,5,FALSE)</f>
        <v>BROWN JACOB</v>
      </c>
      <c r="M145" s="6">
        <f t="shared" si="46"/>
        <v>2.6122685187146999E-2</v>
      </c>
      <c r="N145" s="7">
        <f t="shared" si="59"/>
        <v>37.616666669491678</v>
      </c>
      <c r="O145" s="7"/>
      <c r="P145" s="7"/>
      <c r="Q145" s="22"/>
      <c r="R145" s="22"/>
      <c r="S145" s="31">
        <f t="shared" si="47"/>
        <v>1</v>
      </c>
      <c r="T145" s="46" t="str">
        <f t="shared" si="48"/>
        <v>NorthBound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 t="shared" si="49"/>
        <v>https://d0f6bd738d7f1b3e5a7ca70fe4ff75f0.us-east-1.aws.found.io/app/kibana#/discover/Steve-Slow-Train-Analysis-(2080s-and-2083s)?_g=(refreshInterval:(display:Off,pause:!f,section:0,value:0),time:(from:'2017-04-12T20:55:08-0600',mode:absolute,to:'2017-04-12T23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5" s="183" t="str">
        <f t="shared" si="50"/>
        <v>N</v>
      </c>
      <c r="X145" s="183">
        <f t="shared" si="51"/>
        <v>1</v>
      </c>
      <c r="Y145" s="62">
        <f t="shared" si="52"/>
        <v>4.4699999999999997E-2</v>
      </c>
      <c r="Z145" s="62">
        <f t="shared" si="53"/>
        <v>23.330500000000001</v>
      </c>
      <c r="AA145" s="62">
        <f t="shared" si="54"/>
        <v>23.285800000000002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5"/>
        <v>0233-12</v>
      </c>
      <c r="AE145" s="85" t="str">
        <f t="shared" si="56"/>
        <v>aws s3 cp s3://rtdc.mdm.uploadarchive.raw/RTDC4054/ "%USERPROFILE%\AppData\Local\Temp\OnboardLogs"\RTDC4054\2017-04-12 --exclude "*" --recursive --include "*20170412*" &amp; "%USERPROFILE%\Documents\GitHub\mrs-test-scripts\Headless Mode &amp; Sideloading\WalkAndUnGZ.bat" "%USERPROFILE%\AppData\Local\Temp\OnboardLogs"\RTDC4054\2017-04-12 &amp; aws s3 cp s3://rtdc.mdm.uploadarchive.raw/RTDC4054/ "%USERPROFILE%\AppData\Local\Temp\OnboardLogs"\RTDC4054\2017-04-13 --exclude "*" --recursive --include "*20170413*" &amp; "%USERPROFILE%\Documents\GitHub\mrs-test-scripts\Headless Mode &amp; Sideloading\WalkAndUnGZ.bat" "%USERPROFILE%\AppData\Local\Temp\OnboardLogs"\RTDC4054\2017-04-13</v>
      </c>
      <c r="AF145" s="82" t="str">
        <f t="shared" si="57"/>
        <v>"C:\Program Files (x86)\AstroGrep\AstroGrep.exe" /e /r /s /spath="%USERPROFILE%\AppData\Local\Temp\OnboardLogs" /stypes="app*4054*20170413*" /stext=" 04:.+((SYSTEM_STATE.+slice.+state.+changed )|(ment ac)|(multiple cpu faults)|(system.+state.+changed )|(\[timeout)|(PRM\|1\|D)|(kpr)|(kdp)|(\|lc)|(penalty))"</v>
      </c>
      <c r="AG145" s="1" t="str">
        <f t="shared" si="58"/>
        <v>EC</v>
      </c>
      <c r="AH145" s="86" t="str">
        <f t="shared" si="60"/>
        <v>"%USERPROFILE%\Documents\GitHub\eaglep3\Utilities\RefineRTDCRunTimes.py" --tripid 233-12 --locoid 4054 --swversion DE.1.0.9.0 --startMP 204:447 --initTime 2017-04-12T21:55:08 --startdatetime 2017-04-12T22:00:16 --delay 1 --endMP 204:233305 --enddatetime 2017-04-12T22:37:53 --enforcementcount 0 &gt;&gt;C:\Users\stu\Documents\GitHub\eaglep3-reporting\EC\2017-04-12-refined-times.txt</v>
      </c>
      <c r="AI145" s="104" t="str">
        <f t="shared" si="61"/>
        <v>echo {"issue":{"subject":"","project_id":79,"tracker_id":40,"status_id":1,"priority_id":2,"assigned_to_id":23,"start_date":"2017-04-12","description":"","custom_fields":[{"id":1,"name":"Subdivision","value":"EC"},{"id":4,"name":"Milepost","value":"23.3305"},{"id":17,"name":"Train ID","value":"233-12"},{"id":16,"name":"Locomotive ID","value":"4054"},{"id":130,"name":"Impact","value":""},{"id":150,"name":"Time of Event (Mountain Time)","value":"22:37:53"},{"id":151,"name":"Denver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8"/>
      <c r="AL145" s="48"/>
      <c r="AM145" s="150" t="str">
        <f t="shared" si="62"/>
        <v>start /low /b %USERPROFILE%\Documents\GitHub\eaglep3\Utilities\DownloadLogsFromS3.py --loco 4054 --day 2017-04-12</v>
      </c>
      <c r="AN145" s="159" t="str">
        <f t="shared" si="6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04:37:53"},{"id":29,"name":"Sharepoint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854</v>
      </c>
      <c r="B146" s="7">
        <v>4053</v>
      </c>
      <c r="C146" s="21" t="s">
        <v>214</v>
      </c>
      <c r="D146" s="21" t="s">
        <v>539</v>
      </c>
      <c r="E146" s="13">
        <v>42837.949965277781</v>
      </c>
      <c r="F146" s="13">
        <v>42837.955763888887</v>
      </c>
      <c r="G146" s="7">
        <v>4</v>
      </c>
      <c r="H146" s="21" t="s">
        <v>418</v>
      </c>
      <c r="I146" s="13">
        <v>42837.983043981483</v>
      </c>
      <c r="J146" s="7">
        <v>0</v>
      </c>
      <c r="K146" s="97" t="str">
        <f t="shared" si="45"/>
        <v>4053/4054</v>
      </c>
      <c r="L146" s="21" t="str">
        <f>VLOOKUP(A146,'Trips&amp;Operators'!$C$1:$G$99999,5,FALSE)</f>
        <v>BROWN JACOB</v>
      </c>
      <c r="M146" s="6">
        <f t="shared" si="46"/>
        <v>2.7280092595901806E-2</v>
      </c>
      <c r="N146" s="7">
        <f t="shared" si="59"/>
        <v>39.283333338098601</v>
      </c>
      <c r="O146" s="7"/>
      <c r="P146" s="7"/>
      <c r="Q146" s="22"/>
      <c r="R146" s="22"/>
      <c r="S146" s="31">
        <f t="shared" si="47"/>
        <v>1</v>
      </c>
      <c r="T146" s="46" t="str">
        <f t="shared" si="48"/>
        <v>Southbound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 t="shared" si="49"/>
        <v>https://d0f6bd738d7f1b3e5a7ca70fe4ff75f0.us-east-1.aws.found.io/app/kibana#/discover/Steve-Slow-Train-Analysis-(2080s-and-2083s)?_g=(refreshInterval:(display:Off,pause:!f,section:0,value:0),time:(from:'2017-04-12T21:47:57-0600',mode:absolute,to:'2017-04-13T00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6" s="183" t="str">
        <f t="shared" si="50"/>
        <v>N</v>
      </c>
      <c r="X146" s="183">
        <f t="shared" si="51"/>
        <v>1</v>
      </c>
      <c r="Y146" s="62">
        <f t="shared" si="52"/>
        <v>23.299800000000001</v>
      </c>
      <c r="Z146" s="62">
        <f t="shared" si="53"/>
        <v>1.4500000000000001E-2</v>
      </c>
      <c r="AA146" s="62">
        <f t="shared" si="54"/>
        <v>23.285299999999999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5"/>
        <v>0234-12</v>
      </c>
      <c r="AE146" s="85" t="str">
        <f t="shared" si="56"/>
        <v>aws s3 cp s3://rtdc.mdm.uploadarchive.raw/RTDC4053/ "%USERPROFILE%\AppData\Local\Temp\OnboardLogs"\RTDC4053\2017-04-12 --exclude "*" --recursive --include "*20170412*" &amp; "%USERPROFILE%\Documents\GitHub\mrs-test-scripts\Headless Mode &amp; Sideloading\WalkAndUnGZ.bat" "%USERPROFILE%\AppData\Local\Temp\OnboardLogs"\RTDC4053\2017-04-12 &amp; aws s3 cp s3://rtdc.mdm.uploadarchive.raw/RTDC4053/ "%USERPROFILE%\AppData\Local\Temp\OnboardLogs"\RTDC4053\2017-04-13 --exclude "*" --recursive --include "*20170413*" &amp; "%USERPROFILE%\Documents\GitHub\mrs-test-scripts\Headless Mode &amp; Sideloading\WalkAndUnGZ.bat" "%USERPROFILE%\AppData\Local\Temp\OnboardLogs"\RTDC4053\2017-04-13</v>
      </c>
      <c r="AF146" s="82" t="str">
        <f t="shared" si="57"/>
        <v>"C:\Program Files (x86)\AstroGrep\AstroGrep.exe" /e /r /s /spath="%USERPROFILE%\AppData\Local\Temp\OnboardLogs" /stypes="app*4053*20170413*" /stext=" 05:.+((SYSTEM_STATE.+slice.+state.+changed )|(ment ac)|(multiple cpu faults)|(system.+state.+changed )|(\[timeout)|(PRM\|1\|D)|(kpr)|(kdp)|(\|lc)|(penalty))"</v>
      </c>
      <c r="AG146" s="1" t="str">
        <f t="shared" si="58"/>
        <v>EC</v>
      </c>
      <c r="AH146" s="86" t="str">
        <f t="shared" si="60"/>
        <v>"%USERPROFILE%\Documents\GitHub\eaglep3\Utilities\RefineRTDCRunTimes.py" --tripid 234-12 --locoid 4053 --swversion DE.1.0.9.0 --startMP 204:232998 --initTime 2017-04-12T22:47:57 --startdatetime 2017-04-12T22:56:18 --delay 4 --endMP 204:145 --enddatetime 2017-04-12T23:35:35 --enforcementcount 0 &gt;&gt;C:\Users\stu\Documents\GitHub\eaglep3-reporting\EC\2017-04-12-refined-times.txt</v>
      </c>
      <c r="AI146" s="104" t="str">
        <f t="shared" si="61"/>
        <v>echo {"issue":{"subject":"","project_id":79,"tracker_id":40,"status_id":1,"priority_id":2,"assigned_to_id":23,"start_date":"2017-04-12","description":"","custom_fields":[{"id":1,"name":"Subdivision","value":"EC"},{"id":4,"name":"Milepost","value":"0.0145"},{"id":17,"name":"Train ID","value":"234-12"},{"id":16,"name":"Locomotive ID","value":"4053"},{"id":130,"name":"Impact","value":""},{"id":150,"name":"Time of Event (Mountain Time)","value":"23:35:35"},{"id":151,"name":"Denver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8"/>
      <c r="AL146" s="48"/>
      <c r="AM146" s="150" t="str">
        <f t="shared" si="62"/>
        <v>start /low /b %USERPROFILE%\Documents\GitHub\eaglep3\Utilities\DownloadLogsFromS3.py --loco 4053 --day 2017-04-12</v>
      </c>
      <c r="AN146" s="159" t="str">
        <f t="shared" si="6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05:35:35"},{"id":29,"name":"Sharepoint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852</v>
      </c>
      <c r="B147" s="7">
        <v>4044</v>
      </c>
      <c r="C147" s="21" t="s">
        <v>214</v>
      </c>
      <c r="D147" s="21" t="s">
        <v>408</v>
      </c>
      <c r="E147" s="13">
        <v>42837.933969907404</v>
      </c>
      <c r="F147" s="13">
        <v>42837.937962962962</v>
      </c>
      <c r="G147" s="7">
        <v>1</v>
      </c>
      <c r="H147" s="21" t="s">
        <v>509</v>
      </c>
      <c r="I147" s="13">
        <v>42837.970636574071</v>
      </c>
      <c r="J147" s="7">
        <v>0</v>
      </c>
      <c r="K147" s="97" t="str">
        <f t="shared" si="45"/>
        <v>4043/4044</v>
      </c>
      <c r="L147" s="21" t="str">
        <f>VLOOKUP(A147,'Trips&amp;Operators'!$C$1:$G$99999,5,FALSE)</f>
        <v>NELSON ARIANE</v>
      </c>
      <c r="M147" s="6">
        <f t="shared" si="46"/>
        <v>3.2673611109203193E-2</v>
      </c>
      <c r="N147" s="7">
        <f t="shared" si="59"/>
        <v>47.049999997252598</v>
      </c>
      <c r="O147" s="7"/>
      <c r="P147" s="7"/>
      <c r="Q147" s="22"/>
      <c r="R147" s="22"/>
      <c r="S147" s="31">
        <f t="shared" si="47"/>
        <v>1</v>
      </c>
      <c r="T147" s="46" t="str">
        <f t="shared" si="48"/>
        <v>NorthBound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2" t="str">
        <f t="shared" si="49"/>
        <v>https://d0f6bd738d7f1b3e5a7ca70fe4ff75f0.us-east-1.aws.found.io/app/kibana#/discover/Steve-Slow-Train-Analysis-(2080s-and-2083s)?_g=(refreshInterval:(display:Off,pause:!f,section:0,value:0),time:(from:'2017-04-12T21:24:55-0600',mode:absolute,to:'2017-04-13T00:17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7" s="183" t="str">
        <f t="shared" si="50"/>
        <v>N</v>
      </c>
      <c r="X147" s="183">
        <f t="shared" si="51"/>
        <v>1</v>
      </c>
      <c r="Y147" s="62">
        <f t="shared" si="52"/>
        <v>4.6199999999999998E-2</v>
      </c>
      <c r="Z147" s="62">
        <f t="shared" si="53"/>
        <v>23.3325</v>
      </c>
      <c r="AA147" s="62">
        <f t="shared" si="54"/>
        <v>23.286300000000001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5"/>
        <v>0235-12</v>
      </c>
      <c r="AE147" s="85" t="str">
        <f t="shared" si="56"/>
        <v>aws s3 cp s3://rtdc.mdm.uploadarchive.raw/RTDC4044/ "%USERPROFILE%\AppData\Local\Temp\OnboardLogs"\RTDC4044\2017-04-12 --exclude "*" --recursive --include "*20170412*" &amp; "%USERPROFILE%\Documents\GitHub\mrs-test-scripts\Headless Mode &amp; Sideloading\WalkAndUnGZ.bat" "%USERPROFILE%\AppData\Local\Temp\OnboardLogs"\RTDC4044\2017-04-12 &amp; aws s3 cp s3://rtdc.mdm.uploadarchive.raw/RTDC4044/ "%USERPROFILE%\AppData\Local\Temp\OnboardLogs"\RTDC4044\2017-04-13 --exclude "*" --recursive --include "*20170413*" &amp; "%USERPROFILE%\Documents\GitHub\mrs-test-scripts\Headless Mode &amp; Sideloading\WalkAndUnGZ.bat" "%USERPROFILE%\AppData\Local\Temp\OnboardLogs"\RTDC4044\2017-04-13</v>
      </c>
      <c r="AF147" s="82" t="str">
        <f t="shared" si="57"/>
        <v>"C:\Program Files (x86)\AstroGrep\AstroGrep.exe" /e /r /s /spath="%USERPROFILE%\AppData\Local\Temp\OnboardLogs" /stypes="app*4044*20170413*" /stext=" 05:.+((SYSTEM_STATE.+slice.+state.+changed )|(ment ac)|(multiple cpu faults)|(system.+state.+changed )|(\[timeout)|(PRM\|1\|D)|(kpr)|(kdp)|(\|lc)|(penalty))"</v>
      </c>
      <c r="AG147" s="1" t="str">
        <f t="shared" si="58"/>
        <v>EC</v>
      </c>
      <c r="AH147" s="86" t="str">
        <f t="shared" si="60"/>
        <v>"%USERPROFILE%\Documents\GitHub\eaglep3\Utilities\RefineRTDCRunTimes.py" --tripid 235-12 --locoid 4044 --swversion DE.1.0.9.0 --startMP 204:462 --initTime 2017-04-12T22:24:55 --startdatetime 2017-04-12T22:30:40 --delay 1 --endMP 204:233325 --enddatetime 2017-04-12T23:17:43 --enforcementcount 0 &gt;&gt;C:\Users\stu\Documents\GitHub\eaglep3-reporting\EC\2017-04-12-refined-times.txt</v>
      </c>
      <c r="AI147" s="104" t="str">
        <f t="shared" si="61"/>
        <v>echo {"issue":{"subject":"","project_id":79,"tracker_id":40,"status_id":1,"priority_id":2,"assigned_to_id":23,"start_date":"2017-04-12","description":"","custom_fields":[{"id":1,"name":"Subdivision","value":"EC"},{"id":4,"name":"Milepost","value":"23.3325"},{"id":17,"name":"Train ID","value":"235-12"},{"id":16,"name":"Locomotive ID","value":"4044"},{"id":130,"name":"Impact","value":""},{"id":150,"name":"Time of Event (Mountain Time)","value":"23:17:43"},{"id":151,"name":"Denver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8"/>
      <c r="AL147" s="48"/>
      <c r="AM147" s="150" t="str">
        <f t="shared" si="62"/>
        <v>start /low /b %USERPROFILE%\Documents\GitHub\eaglep3\Utilities\DownloadLogsFromS3.py --loco 4044 --day 2017-04-12</v>
      </c>
      <c r="AN147" s="159" t="str">
        <f t="shared" si="6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05:17:43"},{"id":29,"name":"Sharepoint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857</v>
      </c>
      <c r="B148" s="7">
        <v>4043</v>
      </c>
      <c r="C148" s="21" t="s">
        <v>214</v>
      </c>
      <c r="D148" s="21" t="s">
        <v>937</v>
      </c>
      <c r="E148" s="13">
        <v>42837.974212962959</v>
      </c>
      <c r="F148" s="13">
        <v>42837.976643518516</v>
      </c>
      <c r="G148" s="7">
        <v>1</v>
      </c>
      <c r="H148" s="21" t="s">
        <v>886</v>
      </c>
      <c r="I148" s="13">
        <v>42838.007592592592</v>
      </c>
      <c r="J148" s="7">
        <v>0</v>
      </c>
      <c r="K148" s="97" t="str">
        <f t="shared" si="45"/>
        <v>4043/4044</v>
      </c>
      <c r="L148" s="21" t="str">
        <f>VLOOKUP(A148,'Trips&amp;Operators'!$C$1:$G$99999,5,FALSE)</f>
        <v>NELSON ARIANE</v>
      </c>
      <c r="M148" s="6">
        <f t="shared" si="46"/>
        <v>3.0949074076488614E-2</v>
      </c>
      <c r="N148" s="7">
        <f t="shared" si="59"/>
        <v>44.566666670143604</v>
      </c>
      <c r="O148" s="7"/>
      <c r="P148" s="7"/>
      <c r="Q148" s="22"/>
      <c r="R148" s="22"/>
      <c r="S148" s="31">
        <f t="shared" si="47"/>
        <v>1</v>
      </c>
      <c r="T148" s="46" t="str">
        <f t="shared" si="48"/>
        <v>Southbound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 t="shared" si="49"/>
        <v>https://d0f6bd738d7f1b3e5a7ca70fe4ff75f0.us-east-1.aws.found.io/app/kibana#/discover/Steve-Slow-Train-Analysis-(2080s-and-2083s)?_g=(refreshInterval:(display:Off,pause:!f,section:0,value:0),time:(from:'2017-04-12T22:22:52-0600',mode:absolute,to:'2017-04-13T01:10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8" s="183" t="str">
        <f t="shared" si="50"/>
        <v>N</v>
      </c>
      <c r="X148" s="183">
        <f t="shared" si="51"/>
        <v>1</v>
      </c>
      <c r="Y148" s="62">
        <f t="shared" si="52"/>
        <v>23.2987</v>
      </c>
      <c r="Z148" s="62">
        <f t="shared" si="53"/>
        <v>1.61E-2</v>
      </c>
      <c r="AA148" s="62">
        <f t="shared" si="54"/>
        <v>23.282599999999999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5"/>
        <v>0236-12</v>
      </c>
      <c r="AE148" s="85" t="str">
        <f t="shared" si="56"/>
        <v>aws s3 cp s3://rtdc.mdm.uploadarchive.raw/RTDC4043/ "%USERPROFILE%\AppData\Local\Temp\OnboardLogs"\RTDC4043\2017-04-12 --exclude "*" --recursive --include "*20170412*" &amp; "%USERPROFILE%\Documents\GitHub\mrs-test-scripts\Headless Mode &amp; Sideloading\WalkAndUnGZ.bat" "%USERPROFILE%\AppData\Local\Temp\OnboardLogs"\RTDC4043\2017-04-12 &amp; aws s3 cp s3://rtdc.mdm.uploadarchive.raw/RTDC4043/ "%USERPROFILE%\AppData\Local\Temp\OnboardLogs"\RTDC4043\2017-04-13 --exclude "*" --recursive --include "*20170413*" &amp; "%USERPROFILE%\Documents\GitHub\mrs-test-scripts\Headless Mode &amp; Sideloading\WalkAndUnGZ.bat" "%USERPROFILE%\AppData\Local\Temp\OnboardLogs"\RTDC4043\2017-04-13</v>
      </c>
      <c r="AF148" s="82" t="str">
        <f t="shared" si="57"/>
        <v>"C:\Program Files (x86)\AstroGrep\AstroGrep.exe" /e /r /s /spath="%USERPROFILE%\AppData\Local\Temp\OnboardLogs" /stypes="app*4043*20170413*" /stext=" 06:.+((SYSTEM_STATE.+slice.+state.+changed )|(ment ac)|(multiple cpu faults)|(system.+state.+changed )|(\[timeout)|(PRM\|1\|D)|(kpr)|(kdp)|(\|lc)|(penalty))"</v>
      </c>
      <c r="AG148" s="1" t="str">
        <f t="shared" si="58"/>
        <v>EC</v>
      </c>
      <c r="AH148" s="86" t="str">
        <f t="shared" si="60"/>
        <v>"%USERPROFILE%\Documents\GitHub\eaglep3\Utilities\RefineRTDCRunTimes.py" --tripid 236-12 --locoid 4043 --swversion DE.1.0.9.0 --startMP 204:232987 --initTime 2017-04-12T23:22:52 --startdatetime 2017-04-12T23:26:22 --delay 1 --endMP 204:161 --enddatetime 2017-04-13T00:10:56 --enforcementcount 0 &gt;&gt;C:\Users\stu\Documents\GitHub\eaglep3-reporting\EC\2017-04-12-refined-times.txt</v>
      </c>
      <c r="AI148" s="104" t="str">
        <f t="shared" si="61"/>
        <v>echo {"issue":{"subject":"","project_id":79,"tracker_id":40,"status_id":1,"priority_id":2,"assigned_to_id":23,"start_date":"2017-04-13","description":"","custom_fields":[{"id":1,"name":"Subdivision","value":"EC"},{"id":4,"name":"Milepost","value":"0.0161"},{"id":17,"name":"Train ID","value":"236-12"},{"id":16,"name":"Locomotive ID","value":"4043"},{"id":130,"name":"Impact","value":""},{"id":150,"name":"Time of Event (Mountain Time)","value":"00:10:56"},{"id":151,"name":"Denver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8"/>
      <c r="AL148" s="48"/>
      <c r="AM148" s="150" t="str">
        <f t="shared" si="62"/>
        <v>start /low /b %USERPROFILE%\Documents\GitHub\eaglep3\Utilities\DownloadLogsFromS3.py --loco 4043 --day 2017-04-12</v>
      </c>
      <c r="AN148" s="159" t="str">
        <f t="shared" si="6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06:10:56"},{"id":29,"name":"Sharepoint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3" t="s">
        <v>855</v>
      </c>
      <c r="B149" s="7">
        <v>4042</v>
      </c>
      <c r="C149" s="21" t="s">
        <v>214</v>
      </c>
      <c r="D149" s="21" t="s">
        <v>408</v>
      </c>
      <c r="E149" s="13">
        <v>42837.956400462965</v>
      </c>
      <c r="F149" s="13">
        <v>42837.959247685183</v>
      </c>
      <c r="G149" s="7">
        <v>1</v>
      </c>
      <c r="H149" s="21" t="s">
        <v>417</v>
      </c>
      <c r="I149" s="13">
        <v>42837.986134259256</v>
      </c>
      <c r="J149" s="7">
        <v>0</v>
      </c>
      <c r="K149" s="97" t="str">
        <f t="shared" si="45"/>
        <v>4041/4042</v>
      </c>
      <c r="L149" s="21" t="str">
        <f>VLOOKUP(A149,'Trips&amp;Operators'!$C$1:$G$99999,5,FALSE)</f>
        <v>SWANSON BRYCE</v>
      </c>
      <c r="M149" s="6">
        <f t="shared" si="46"/>
        <v>2.6886574072705116E-2</v>
      </c>
      <c r="N149" s="7">
        <f t="shared" si="59"/>
        <v>38.716666664695367</v>
      </c>
      <c r="O149" s="7"/>
      <c r="P149" s="7"/>
      <c r="Q149" s="22"/>
      <c r="R149" s="22"/>
      <c r="S149" s="31">
        <f t="shared" si="47"/>
        <v>1</v>
      </c>
      <c r="T149" s="46" t="str">
        <f t="shared" si="48"/>
        <v>NorthBound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 t="shared" si="49"/>
        <v>https://d0f6bd738d7f1b3e5a7ca70fe4ff75f0.us-east-1.aws.found.io/app/kibana#/discover/Steve-Slow-Train-Analysis-(2080s-and-2083s)?_g=(refreshInterval:(display:Off,pause:!f,section:0,value:0),time:(from:'2017-04-12T21:57:13-0600',mode:absolute,to:'2017-04-13T00:40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9" s="183" t="str">
        <f t="shared" si="50"/>
        <v>N</v>
      </c>
      <c r="X149" s="183">
        <f t="shared" si="51"/>
        <v>1</v>
      </c>
      <c r="Y149" s="62">
        <f t="shared" si="52"/>
        <v>4.6199999999999998E-2</v>
      </c>
      <c r="Z149" s="62">
        <f t="shared" si="53"/>
        <v>23.329699999999999</v>
      </c>
      <c r="AA149" s="62">
        <f t="shared" si="54"/>
        <v>23.2835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5"/>
        <v>0237-12</v>
      </c>
      <c r="AE149" s="85" t="str">
        <f t="shared" si="56"/>
        <v>aws s3 cp s3://rtdc.mdm.uploadarchive.raw/RTDC4042/ "%USERPROFILE%\AppData\Local\Temp\OnboardLogs"\RTDC4042\2017-04-12 --exclude "*" --recursive --include "*20170412*" &amp; "%USERPROFILE%\Documents\GitHub\mrs-test-scripts\Headless Mode &amp; Sideloading\WalkAndUnGZ.bat" "%USERPROFILE%\AppData\Local\Temp\OnboardLogs"\RTDC4042\2017-04-12 &amp; aws s3 cp s3://rtdc.mdm.uploadarchive.raw/RTDC4042/ "%USERPROFILE%\AppData\Local\Temp\OnboardLogs"\RTDC4042\2017-04-13 --exclude "*" --recursive --include "*20170413*" &amp; "%USERPROFILE%\Documents\GitHub\mrs-test-scripts\Headless Mode &amp; Sideloading\WalkAndUnGZ.bat" "%USERPROFILE%\AppData\Local\Temp\OnboardLogs"\RTDC4042\2017-04-13</v>
      </c>
      <c r="AF149" s="82" t="str">
        <f t="shared" si="57"/>
        <v>"C:\Program Files (x86)\AstroGrep\AstroGrep.exe" /e /r /s /spath="%USERPROFILE%\AppData\Local\Temp\OnboardLogs" /stypes="app*4042*20170413*" /stext=" 05:.+((SYSTEM_STATE.+slice.+state.+changed )|(ment ac)|(multiple cpu faults)|(system.+state.+changed )|(\[timeout)|(PRM\|1\|D)|(kpr)|(kdp)|(\|lc)|(penalty))"</v>
      </c>
      <c r="AG149" s="1" t="str">
        <f t="shared" si="58"/>
        <v>EC</v>
      </c>
      <c r="AH149" s="86" t="str">
        <f t="shared" si="60"/>
        <v>"%USERPROFILE%\Documents\GitHub\eaglep3\Utilities\RefineRTDCRunTimes.py" --tripid 237-12 --locoid 4042 --swversion DE.1.0.9.0 --startMP 204:462 --initTime 2017-04-12T22:57:13 --startdatetime 2017-04-12T23:01:19 --delay 1 --endMP 204:233297 --enddatetime 2017-04-12T23:40:02 --enforcementcount 0 &gt;&gt;C:\Users\stu\Documents\GitHub\eaglep3-reporting\EC\2017-04-12-refined-times.txt</v>
      </c>
      <c r="AI149" s="104" t="str">
        <f t="shared" si="61"/>
        <v>echo {"issue":{"subject":"","project_id":79,"tracker_id":40,"status_id":1,"priority_id":2,"assigned_to_id":23,"start_date":"2017-04-12","description":"","custom_fields":[{"id":1,"name":"Subdivision","value":"EC"},{"id":4,"name":"Milepost","value":"23.3297"},{"id":17,"name":"Train ID","value":"237-12"},{"id":16,"name":"Locomotive ID","value":"4042"},{"id":130,"name":"Impact","value":""},{"id":150,"name":"Time of Event (Mountain Time)","value":"23:40:02"},{"id":151,"name":"Denver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8"/>
      <c r="AL149" s="48"/>
      <c r="AM149" s="150" t="str">
        <f t="shared" si="62"/>
        <v>start /low /b %USERPROFILE%\Documents\GitHub\eaglep3\Utilities\DownloadLogsFromS3.py --loco 4042 --day 2017-04-12</v>
      </c>
      <c r="AN149" s="159" t="str">
        <f t="shared" si="6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05:40:02"},{"id":29,"name":"Sharepoint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s="20" customFormat="1" x14ac:dyDescent="0.25">
      <c r="A150" s="33" t="s">
        <v>858</v>
      </c>
      <c r="B150" s="7">
        <v>4041</v>
      </c>
      <c r="C150" s="21" t="s">
        <v>214</v>
      </c>
      <c r="D150" s="21" t="s">
        <v>513</v>
      </c>
      <c r="E150" s="13">
        <v>42837.994108796294</v>
      </c>
      <c r="F150" s="13">
        <v>42837.997430555559</v>
      </c>
      <c r="G150" s="7">
        <v>1</v>
      </c>
      <c r="H150" s="21" t="s">
        <v>883</v>
      </c>
      <c r="I150" s="13">
        <v>42838.027060185188</v>
      </c>
      <c r="J150" s="7">
        <v>0</v>
      </c>
      <c r="K150" s="97" t="str">
        <f t="shared" si="45"/>
        <v>4041/4042</v>
      </c>
      <c r="L150" s="21" t="str">
        <f>VLOOKUP(A150,'Trips&amp;Operators'!$C$1:$G$99999,5,FALSE)</f>
        <v>SWANSON BRYCE</v>
      </c>
      <c r="M150" s="6">
        <f t="shared" si="46"/>
        <v>2.9629629629198462E-2</v>
      </c>
      <c r="N150" s="7">
        <f t="shared" si="59"/>
        <v>42.666666666045785</v>
      </c>
      <c r="O150" s="7"/>
      <c r="P150" s="7"/>
      <c r="Q150" s="22"/>
      <c r="R150" s="22"/>
      <c r="S150" s="31">
        <f t="shared" si="47"/>
        <v>1</v>
      </c>
      <c r="T150" s="46" t="str">
        <f t="shared" si="48"/>
        <v>Southbound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 t="shared" si="49"/>
        <v>https://d0f6bd738d7f1b3e5a7ca70fe4ff75f0.us-east-1.aws.found.io/app/kibana#/discover/Steve-Slow-Train-Analysis-(2080s-and-2083s)?_g=(refreshInterval:(display:Off,pause:!f,section:0,value:0),time:(from:'2017-04-12T22:51:31-0600',mode:absolute,to:'2017-04-13T01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0" s="183" t="str">
        <f t="shared" si="50"/>
        <v>N</v>
      </c>
      <c r="X150" s="183">
        <f t="shared" si="51"/>
        <v>1</v>
      </c>
      <c r="Y150" s="62">
        <f t="shared" si="52"/>
        <v>23.3</v>
      </c>
      <c r="Z150" s="62">
        <f t="shared" si="53"/>
        <v>1.3899999999999999E-2</v>
      </c>
      <c r="AA150" s="62">
        <f t="shared" si="54"/>
        <v>23.286100000000001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5"/>
        <v>0238-12</v>
      </c>
      <c r="AE150" s="85" t="str">
        <f t="shared" si="56"/>
        <v>aws s3 cp s3://rtdc.mdm.uploadarchive.raw/RTDC4041/ "%USERPROFILE%\AppData\Local\Temp\OnboardLogs"\RTDC4041\2017-04-12 --exclude "*" --recursive --include "*20170412*" &amp; "%USERPROFILE%\Documents\GitHub\mrs-test-scripts\Headless Mode &amp; Sideloading\WalkAndUnGZ.bat" "%USERPROFILE%\AppData\Local\Temp\OnboardLogs"\RTDC4041\2017-04-12 &amp; aws s3 cp s3://rtdc.mdm.uploadarchive.raw/RTDC4041/ "%USERPROFILE%\AppData\Local\Temp\OnboardLogs"\RTDC4041\2017-04-13 --exclude "*" --recursive --include "*20170413*" &amp; "%USERPROFILE%\Documents\GitHub\mrs-test-scripts\Headless Mode &amp; Sideloading\WalkAndUnGZ.bat" "%USERPROFILE%\AppData\Local\Temp\OnboardLogs"\RTDC4041\2017-04-13</v>
      </c>
      <c r="AF150" s="82" t="str">
        <f t="shared" si="57"/>
        <v>"C:\Program Files (x86)\AstroGrep\AstroGrep.exe" /e /r /s /spath="%USERPROFILE%\AppData\Local\Temp\OnboardLogs" /stypes="app*4041*20170413*" /stext=" 06:.+((SYSTEM_STATE.+slice.+state.+changed )|(ment ac)|(multiple cpu faults)|(system.+state.+changed )|(\[timeout)|(PRM\|1\|D)|(kpr)|(kdp)|(\|lc)|(penalty))"</v>
      </c>
      <c r="AG150" s="1" t="str">
        <f t="shared" si="58"/>
        <v>EC</v>
      </c>
      <c r="AH150" s="86" t="str">
        <f t="shared" si="60"/>
        <v>"%USERPROFILE%\Documents\GitHub\eaglep3\Utilities\RefineRTDCRunTimes.py" --tripid 238-12 --locoid 4041 --swversion DE.1.0.9.0 --startMP 204:233000 --initTime 2017-04-12T23:51:31 --startdatetime 2017-04-12T23:56:18 --delay 1 --endMP 204:139 --enddatetime 2017-04-13T00:38:58 --enforcementcount 0 &gt;&gt;C:\Users\stu\Documents\GitHub\eaglep3-reporting\EC\2017-04-12-refined-times.txt</v>
      </c>
      <c r="AI150" s="104" t="str">
        <f t="shared" si="61"/>
        <v>echo {"issue":{"subject":"","project_id":79,"tracker_id":40,"status_id":1,"priority_id":2,"assigned_to_id":23,"start_date":"2017-04-13","description":"","custom_fields":[{"id":1,"name":"Subdivision","value":"EC"},{"id":4,"name":"Milepost","value":"0.0139"},{"id":17,"name":"Train ID","value":"238-12"},{"id":16,"name":"Locomotive ID","value":"4041"},{"id":130,"name":"Impact","value":""},{"id":150,"name":"Time of Event (Mountain Time)","value":"00:38:58"},{"id":151,"name":"Denver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8"/>
      <c r="AL150" s="48"/>
      <c r="AM150" s="150" t="str">
        <f t="shared" si="62"/>
        <v>start /low /b %USERPROFILE%\Documents\GitHub\eaglep3\Utilities\DownloadLogsFromS3.py --loco 4041 --day 2017-04-12</v>
      </c>
      <c r="AN150" s="159" t="str">
        <f t="shared" si="6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06:38:58"},{"id":29,"name":"Sharepoint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856</v>
      </c>
      <c r="B151" s="7">
        <v>4040</v>
      </c>
      <c r="C151" s="21" t="s">
        <v>214</v>
      </c>
      <c r="D151" s="21" t="s">
        <v>514</v>
      </c>
      <c r="E151" s="13">
        <v>42837.967997685184</v>
      </c>
      <c r="F151" s="13">
        <v>42837.979490740741</v>
      </c>
      <c r="G151" s="7">
        <v>1</v>
      </c>
      <c r="H151" s="21" t="s">
        <v>579</v>
      </c>
      <c r="I151" s="13">
        <v>42838.00708333333</v>
      </c>
      <c r="J151" s="7">
        <v>0</v>
      </c>
      <c r="K151" s="97" t="str">
        <f t="shared" si="45"/>
        <v>4039/4040</v>
      </c>
      <c r="L151" s="21" t="str">
        <f>VLOOKUP(A151,'Trips&amp;Operators'!$C$1:$G$99999,5,FALSE)</f>
        <v>FORTUNATO FRANK</v>
      </c>
      <c r="M151" s="6">
        <f t="shared" si="46"/>
        <v>2.7592592588916887E-2</v>
      </c>
      <c r="N151" s="7">
        <f t="shared" si="59"/>
        <v>39.733333328040317</v>
      </c>
      <c r="O151" s="7"/>
      <c r="P151" s="7"/>
      <c r="Q151" s="22"/>
      <c r="R151" s="22"/>
      <c r="S151" s="31">
        <f t="shared" si="47"/>
        <v>1</v>
      </c>
      <c r="T151" s="46" t="str">
        <f t="shared" si="48"/>
        <v>NorthBound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 t="shared" si="49"/>
        <v>https://d0f6bd738d7f1b3e5a7ca70fe4ff75f0.us-east-1.aws.found.io/app/kibana#/discover/Steve-Slow-Train-Analysis-(2080s-and-2083s)?_g=(refreshInterval:(display:Off,pause:!f,section:0,value:0),time:(from:'2017-04-12T22:13:55-0600',mode:absolute,to:'2017-04-13T01:10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1" s="183" t="str">
        <f t="shared" si="50"/>
        <v>N</v>
      </c>
      <c r="X151" s="183">
        <f t="shared" si="51"/>
        <v>1</v>
      </c>
      <c r="Y151" s="62">
        <f t="shared" si="52"/>
        <v>4.4699999999999997E-2</v>
      </c>
      <c r="Z151" s="62">
        <f t="shared" si="53"/>
        <v>23.331</v>
      </c>
      <c r="AA151" s="62">
        <f t="shared" si="54"/>
        <v>23.286300000000001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5"/>
        <v>0239-12</v>
      </c>
      <c r="AE151" s="85" t="str">
        <f t="shared" si="56"/>
        <v>aws s3 cp s3://rtdc.mdm.uploadarchive.raw/RTDC4040/ "%USERPROFILE%\AppData\Local\Temp\OnboardLogs"\RTDC4040\2017-04-12 --exclude "*" --recursive --include "*20170412*" &amp; "%USERPROFILE%\Documents\GitHub\mrs-test-scripts\Headless Mode &amp; Sideloading\WalkAndUnGZ.bat" "%USERPROFILE%\AppData\Local\Temp\OnboardLogs"\RTDC4040\2017-04-12 &amp; aws s3 cp s3://rtdc.mdm.uploadarchive.raw/RTDC4040/ "%USERPROFILE%\AppData\Local\Temp\OnboardLogs"\RTDC4040\2017-04-13 --exclude "*" --recursive --include "*20170413*" &amp; "%USERPROFILE%\Documents\GitHub\mrs-test-scripts\Headless Mode &amp; Sideloading\WalkAndUnGZ.bat" "%USERPROFILE%\AppData\Local\Temp\OnboardLogs"\RTDC4040\2017-04-13</v>
      </c>
      <c r="AF151" s="82" t="str">
        <f t="shared" si="57"/>
        <v>"C:\Program Files (x86)\AstroGrep\AstroGrep.exe" /e /r /s /spath="%USERPROFILE%\AppData\Local\Temp\OnboardLogs" /stypes="app*4040*20170413*" /stext=" 06:.+((SYSTEM_STATE.+slice.+state.+changed )|(ment ac)|(multiple cpu faults)|(system.+state.+changed )|(\[timeout)|(PRM\|1\|D)|(kpr)|(kdp)|(\|lc)|(penalty))"</v>
      </c>
      <c r="AG151" s="1" t="str">
        <f t="shared" si="58"/>
        <v>EC</v>
      </c>
      <c r="AH151" s="86" t="str">
        <f t="shared" si="60"/>
        <v>"%USERPROFILE%\Documents\GitHub\eaglep3\Utilities\RefineRTDCRunTimes.py" --tripid 239-12 --locoid 4040 --swversion DE.1.0.9.0 --startMP 204:447 --initTime 2017-04-12T23:13:55 --startdatetime 2017-04-12T23:30:28 --delay 1 --endMP 204:233310 --enddatetime 2017-04-13T00:10:12 --enforcementcount 0 &gt;&gt;C:\Users\stu\Documents\GitHub\eaglep3-reporting\EC\2017-04-12-refined-times.txt</v>
      </c>
      <c r="AI151" s="104" t="str">
        <f t="shared" si="61"/>
        <v>echo {"issue":{"subject":"","project_id":79,"tracker_id":40,"status_id":1,"priority_id":2,"assigned_to_id":23,"start_date":"2017-04-13","description":"","custom_fields":[{"id":1,"name":"Subdivision","value":"EC"},{"id":4,"name":"Milepost","value":"23.331"},{"id":17,"name":"Train ID","value":"239-12"},{"id":16,"name":"Locomotive ID","value":"4040"},{"id":130,"name":"Impact","value":""},{"id":150,"name":"Time of Event (Mountain Time)","value":"00:10:12"},{"id":151,"name":"Denver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8"/>
      <c r="AL151" s="48"/>
      <c r="AM151" s="150" t="str">
        <f t="shared" si="62"/>
        <v>start /low /b %USERPROFILE%\Documents\GitHub\eaglep3\Utilities\DownloadLogsFromS3.py --loco 4040 --day 2017-04-12</v>
      </c>
      <c r="AN151" s="159" t="str">
        <f t="shared" si="6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06:10:12"},{"id":29,"name":"Sharepoint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860</v>
      </c>
      <c r="B152" s="7">
        <v>4039</v>
      </c>
      <c r="C152" s="21" t="s">
        <v>214</v>
      </c>
      <c r="D152" s="21" t="s">
        <v>543</v>
      </c>
      <c r="E152" s="13">
        <v>42838.009421296294</v>
      </c>
      <c r="F152" s="13">
        <v>42838.018240740741</v>
      </c>
      <c r="G152" s="7">
        <v>1</v>
      </c>
      <c r="H152" s="21" t="s">
        <v>938</v>
      </c>
      <c r="I152" s="13">
        <v>42838.045289351852</v>
      </c>
      <c r="J152" s="7">
        <v>0</v>
      </c>
      <c r="K152" s="97" t="str">
        <f t="shared" si="45"/>
        <v>4039/4040</v>
      </c>
      <c r="L152" s="21" t="str">
        <f>VLOOKUP(A152,'Trips&amp;Operators'!$C$1:$G$99999,5,FALSE)</f>
        <v>FORTUNATO FRANK</v>
      </c>
      <c r="M152" s="6">
        <f t="shared" si="46"/>
        <v>2.7048611111240461E-2</v>
      </c>
      <c r="N152" s="7">
        <f t="shared" si="59"/>
        <v>38.950000000186265</v>
      </c>
      <c r="O152" s="7"/>
      <c r="P152" s="7"/>
      <c r="Q152" s="22"/>
      <c r="R152" s="22"/>
      <c r="S152" s="31">
        <f t="shared" si="47"/>
        <v>1</v>
      </c>
      <c r="T152" s="46" t="str">
        <f t="shared" si="48"/>
        <v>Southbound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 t="shared" si="49"/>
        <v>https://d0f6bd738d7f1b3e5a7ca70fe4ff75f0.us-east-1.aws.found.io/app/kibana#/discover/Steve-Slow-Train-Analysis-(2080s-and-2083s)?_g=(refreshInterval:(display:Off,pause:!f,section:0,value:0),time:(from:'2017-04-12T23:13:34-0600',mode:absolute,to:'2017-04-13T02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2" s="183" t="str">
        <f t="shared" si="50"/>
        <v>N</v>
      </c>
      <c r="X152" s="183">
        <f t="shared" si="51"/>
        <v>1</v>
      </c>
      <c r="Y152" s="62">
        <f t="shared" si="52"/>
        <v>23.299600000000002</v>
      </c>
      <c r="Z152" s="62">
        <f t="shared" si="53"/>
        <v>2.8000000000000001E-2</v>
      </c>
      <c r="AA152" s="62">
        <f t="shared" si="54"/>
        <v>23.271600000000003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5"/>
        <v>0240-12</v>
      </c>
      <c r="AE152" s="85" t="str">
        <f t="shared" si="56"/>
        <v>aws s3 cp s3://rtdc.mdm.uploadarchive.raw/RTDC4039/ "%USERPROFILE%\AppData\Local\Temp\OnboardLogs"\RTDC4039\2017-04-13 --exclude "*" --recursive --include "*20170413*" &amp; "%USERPROFILE%\Documents\GitHub\mrs-test-scripts\Headless Mode &amp; Sideloading\WalkAndUnGZ.bat" "%USERPROFILE%\AppData\Local\Temp\OnboardLogs"\RTDC4039\2017-04-13 &amp; aws s3 cp s3://rtdc.mdm.uploadarchive.raw/RTDC4039/ "%USERPROFILE%\AppData\Local\Temp\OnboardLogs"\RTDC4039\2017-04-14 --exclude "*" --recursive --include "*20170414*" &amp; "%USERPROFILE%\Documents\GitHub\mrs-test-scripts\Headless Mode &amp; Sideloading\WalkAndUnGZ.bat" "%USERPROFILE%\AppData\Local\Temp\OnboardLogs"\RTDC4039\2017-04-14</v>
      </c>
      <c r="AF152" s="82" t="str">
        <f t="shared" si="57"/>
        <v>"C:\Program Files (x86)\AstroGrep\AstroGrep.exe" /e /r /s /spath="%USERPROFILE%\AppData\Local\Temp\OnboardLogs" /stypes="app*4039*20170413*" /stext=" 07:.+((SYSTEM_STATE.+slice.+state.+changed )|(ment ac)|(multiple cpu faults)|(system.+state.+changed )|(\[timeout)|(PRM\|1\|D)|(kpr)|(kdp)|(\|lc)|(penalty))"</v>
      </c>
      <c r="AG152" s="1" t="str">
        <f t="shared" si="58"/>
        <v>EC</v>
      </c>
      <c r="AH152" s="86" t="str">
        <f t="shared" si="60"/>
        <v>"%USERPROFILE%\Documents\GitHub\eaglep3\Utilities\RefineRTDCRunTimes.py" --tripid 240-12 --locoid 4039 --swversion DE.1.0.9.0 --startMP 204:232996 --initTime 2017-04-13T00:13:34 --startdatetime 2017-04-13T00:26:16 --delay 1 --endMP 204:280 --enddatetime 2017-04-13T01:05:13 --enforcementcount 0 &gt;&gt;C:\Users\stu\Documents\GitHub\eaglep3-reporting\EC\2017-04-12-refined-times.txt</v>
      </c>
      <c r="AI152" s="104" t="str">
        <f t="shared" si="61"/>
        <v>echo {"issue":{"subject":"","project_id":79,"tracker_id":40,"status_id":1,"priority_id":2,"assigned_to_id":23,"start_date":"2017-04-13","description":"","custom_fields":[{"id":1,"name":"Subdivision","value":"EC"},{"id":4,"name":"Milepost","value":"0.028"},{"id":17,"name":"Train ID","value":"240-12"},{"id":16,"name":"Locomotive ID","value":"4039"},{"id":130,"name":"Impact","value":""},{"id":150,"name":"Time of Event (Mountain Time)","value":"01:05:13"},{"id":151,"name":"Denver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8"/>
      <c r="AL152" s="48"/>
      <c r="AM152" s="150" t="str">
        <f t="shared" si="62"/>
        <v>start /low /b %USERPROFILE%\Documents\GitHub\eaglep3\Utilities\DownloadLogsFromS3.py --loco 4039 --day 2017-04-13</v>
      </c>
      <c r="AN152" s="159" t="str">
        <f t="shared" si="6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07:05:13"},{"id":29,"name":"Sharepoint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3" t="s">
        <v>859</v>
      </c>
      <c r="B153" s="7">
        <v>4054</v>
      </c>
      <c r="C153" s="21" t="s">
        <v>214</v>
      </c>
      <c r="D153" s="21" t="s">
        <v>209</v>
      </c>
      <c r="E153" s="13">
        <v>42837.997465277775</v>
      </c>
      <c r="F153" s="13">
        <v>42838.000277777777</v>
      </c>
      <c r="G153" s="7">
        <v>1</v>
      </c>
      <c r="H153" s="21" t="s">
        <v>509</v>
      </c>
      <c r="I153" s="13">
        <v>42838.025925925926</v>
      </c>
      <c r="J153" s="7">
        <v>0</v>
      </c>
      <c r="K153" s="97" t="str">
        <f t="shared" si="45"/>
        <v>4053/4054</v>
      </c>
      <c r="L153" s="21" t="str">
        <f>VLOOKUP(A153,'Trips&amp;Operators'!$C$1:$G$99999,5,FALSE)</f>
        <v>BROWN JACOB</v>
      </c>
      <c r="M153" s="6">
        <f t="shared" si="46"/>
        <v>2.5648148148320615E-2</v>
      </c>
      <c r="N153" s="7">
        <f t="shared" si="59"/>
        <v>36.933333333581686</v>
      </c>
      <c r="O153" s="7"/>
      <c r="P153" s="7"/>
      <c r="Q153" s="22"/>
      <c r="R153" s="22"/>
      <c r="S153" s="31">
        <f t="shared" si="47"/>
        <v>1</v>
      </c>
      <c r="T153" s="46" t="str">
        <f t="shared" si="48"/>
        <v>NorthBound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 t="shared" si="49"/>
        <v>https://d0f6bd738d7f1b3e5a7ca70fe4ff75f0.us-east-1.aws.found.io/app/kibana#/discover/Steve-Slow-Train-Analysis-(2080s-and-2083s)?_g=(refreshInterval:(display:Off,pause:!f,section:0,value:0),time:(from:'2017-04-12T22:56:21-0600',mode:absolute,to:'2017-04-13T01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3" s="183" t="str">
        <f t="shared" si="50"/>
        <v>N</v>
      </c>
      <c r="X153" s="183">
        <f t="shared" si="51"/>
        <v>1</v>
      </c>
      <c r="Y153" s="62">
        <f t="shared" si="52"/>
        <v>4.53E-2</v>
      </c>
      <c r="Z153" s="62">
        <f t="shared" si="53"/>
        <v>23.3325</v>
      </c>
      <c r="AA153" s="62">
        <f t="shared" si="54"/>
        <v>23.287199999999999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5"/>
        <v>0241-12</v>
      </c>
      <c r="AE153" s="85" t="str">
        <f t="shared" si="56"/>
        <v>aws s3 cp s3://rtdc.mdm.uploadarchive.raw/RTDC4054/ "%USERPROFILE%\AppData\Local\Temp\OnboardLogs"\RTDC4054\2017-04-13 --exclude "*" --recursive --include "*20170413*" &amp; "%USERPROFILE%\Documents\GitHub\mrs-test-scripts\Headless Mode &amp; Sideloading\WalkAndUnGZ.bat" "%USERPROFILE%\AppData\Local\Temp\OnboardLogs"\RTDC4054\2017-04-13 &amp; aws s3 cp s3://rtdc.mdm.uploadarchive.raw/RTDC4054/ "%USERPROFILE%\AppData\Local\Temp\OnboardLogs"\RTDC4054\2017-04-14 --exclude "*" --recursive --include "*20170414*" &amp; "%USERPROFILE%\Documents\GitHub\mrs-test-scripts\Headless Mode &amp; Sideloading\WalkAndUnGZ.bat" "%USERPROFILE%\AppData\Local\Temp\OnboardLogs"\RTDC4054\2017-04-14</v>
      </c>
      <c r="AF153" s="82" t="str">
        <f t="shared" si="57"/>
        <v>"C:\Program Files (x86)\AstroGrep\AstroGrep.exe" /e /r /s /spath="%USERPROFILE%\AppData\Local\Temp\OnboardLogs" /stypes="app*4054*20170413*" /stext=" 06:.+((SYSTEM_STATE.+slice.+state.+changed )|(ment ac)|(multiple cpu faults)|(system.+state.+changed )|(\[timeout)|(PRM\|1\|D)|(kpr)|(kdp)|(\|lc)|(penalty))"</v>
      </c>
      <c r="AG153" s="1" t="str">
        <f t="shared" si="58"/>
        <v>EC</v>
      </c>
      <c r="AH153" s="86" t="str">
        <f t="shared" si="60"/>
        <v>"%USERPROFILE%\Documents\GitHub\eaglep3\Utilities\RefineRTDCRunTimes.py" --tripid 241-12 --locoid 4054 --swversion DE.1.0.9.0 --startMP 204:453 --initTime 2017-04-12T23:56:21 --startdatetime 2017-04-13T00:00:24 --delay 1 --endMP 204:233325 --enddatetime 2017-04-13T00:37:20 --enforcementcount 0 &gt;&gt;C:\Users\stu\Documents\GitHub\eaglep3-reporting\EC\2017-04-12-refined-times.txt</v>
      </c>
      <c r="AI153" s="104" t="str">
        <f t="shared" si="61"/>
        <v>echo {"issue":{"subject":"","project_id":79,"tracker_id":40,"status_id":1,"priority_id":2,"assigned_to_id":23,"start_date":"2017-04-13","description":"","custom_fields":[{"id":1,"name":"Subdivision","value":"EC"},{"id":4,"name":"Milepost","value":"23.3325"},{"id":17,"name":"Train ID","value":"241-12"},{"id":16,"name":"Locomotive ID","value":"4054"},{"id":130,"name":"Impact","value":""},{"id":150,"name":"Time of Event (Mountain Time)","value":"00:37:20"},{"id":151,"name":"Denver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8"/>
      <c r="AL153" s="48"/>
      <c r="AM153" s="150" t="str">
        <f t="shared" si="62"/>
        <v>start /low /b %USERPROFILE%\Documents\GitHub\eaglep3\Utilities\DownloadLogsFromS3.py --loco 4054 --day 2017-04-13</v>
      </c>
      <c r="AN153" s="159" t="str">
        <f t="shared" si="6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06:37:20"},{"id":29,"name":"Sharepoint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x14ac:dyDescent="0.25">
      <c r="A154" s="33" t="s">
        <v>863</v>
      </c>
      <c r="B154" s="7">
        <v>4053</v>
      </c>
      <c r="C154" s="21" t="s">
        <v>214</v>
      </c>
      <c r="D154" s="21" t="s">
        <v>578</v>
      </c>
      <c r="E154" s="13">
        <v>42838.037129629629</v>
      </c>
      <c r="F154" s="13">
        <v>42838.039050925923</v>
      </c>
      <c r="G154" s="7">
        <v>1</v>
      </c>
      <c r="H154" s="21" t="s">
        <v>540</v>
      </c>
      <c r="I154" s="13">
        <v>42838.066759259258</v>
      </c>
      <c r="J154" s="7">
        <v>0</v>
      </c>
      <c r="K154" s="97" t="str">
        <f t="shared" si="45"/>
        <v>4053/4054</v>
      </c>
      <c r="L154" s="21" t="str">
        <f>VLOOKUP(A154,'Trips&amp;Operators'!$C$1:$G$99999,5,FALSE)</f>
        <v>BROWN JACOB</v>
      </c>
      <c r="M154" s="6">
        <f t="shared" si="46"/>
        <v>2.7708333334885538E-2</v>
      </c>
      <c r="N154" s="7">
        <f t="shared" si="59"/>
        <v>39.900000002235174</v>
      </c>
      <c r="O154" s="7"/>
      <c r="P154" s="7"/>
      <c r="Q154" s="22"/>
      <c r="R154" s="22"/>
      <c r="S154" s="31">
        <f t="shared" si="47"/>
        <v>1</v>
      </c>
      <c r="T154" s="46" t="str">
        <f t="shared" si="48"/>
        <v>Southbound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 t="shared" si="49"/>
        <v>https://d0f6bd738d7f1b3e5a7ca70fe4ff75f0.us-east-1.aws.found.io/app/kibana#/discover/Steve-Slow-Train-Analysis-(2080s-and-2083s)?_g=(refreshInterval:(display:Off,pause:!f,section:0,value:0),time:(from:'2017-04-12T23:53:28-0600',mode:absolute,to:'2017-04-13T02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4" s="183" t="str">
        <f t="shared" si="50"/>
        <v>N</v>
      </c>
      <c r="X154" s="183">
        <f t="shared" si="51"/>
        <v>1</v>
      </c>
      <c r="Y154" s="62">
        <f t="shared" si="52"/>
        <v>23.301500000000001</v>
      </c>
      <c r="Z154" s="62">
        <f t="shared" si="53"/>
        <v>1.43E-2</v>
      </c>
      <c r="AA154" s="62">
        <f t="shared" si="54"/>
        <v>23.287200000000002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5"/>
        <v>0242-12</v>
      </c>
      <c r="AE154" s="85" t="str">
        <f t="shared" si="56"/>
        <v>aws s3 cp s3://rtdc.mdm.uploadarchive.raw/RTDC4053/ "%USERPROFILE%\AppData\Local\Temp\OnboardLogs"\RTDC4053\2017-04-13 --exclude "*" --recursive --include "*20170413*" &amp; "%USERPROFILE%\Documents\GitHub\mrs-test-scripts\Headless Mode &amp; Sideloading\WalkAndUnGZ.bat" "%USERPROFILE%\AppData\Local\Temp\OnboardLogs"\RTDC4053\2017-04-13 &amp; aws s3 cp s3://rtdc.mdm.uploadarchive.raw/RTDC4053/ "%USERPROFILE%\AppData\Local\Temp\OnboardLogs"\RTDC4053\2017-04-14 --exclude "*" --recursive --include "*20170414*" &amp; "%USERPROFILE%\Documents\GitHub\mrs-test-scripts\Headless Mode &amp; Sideloading\WalkAndUnGZ.bat" "%USERPROFILE%\AppData\Local\Temp\OnboardLogs"\RTDC4053\2017-04-14</v>
      </c>
      <c r="AF154" s="82" t="str">
        <f t="shared" si="57"/>
        <v>"C:\Program Files (x86)\AstroGrep\AstroGrep.exe" /e /r /s /spath="%USERPROFILE%\AppData\Local\Temp\OnboardLogs" /stypes="app*4053*20170413*" /stext=" 07:.+((SYSTEM_STATE.+slice.+state.+changed )|(ment ac)|(multiple cpu faults)|(system.+state.+changed )|(\[timeout)|(PRM\|1\|D)|(kpr)|(kdp)|(\|lc)|(penalty))"</v>
      </c>
      <c r="AG154" s="1" t="str">
        <f t="shared" si="58"/>
        <v>EC</v>
      </c>
      <c r="AH154" s="86" t="str">
        <f t="shared" si="60"/>
        <v>"%USERPROFILE%\Documents\GitHub\eaglep3\Utilities\RefineRTDCRunTimes.py" --tripid 242-12 --locoid 4053 --swversion DE.1.0.9.0 --startMP 204:233015 --initTime 2017-04-13T00:53:28 --startdatetime 2017-04-13T00:56:14 --delay 1 --endMP 204:143 --enddatetime 2017-04-13T01:36:08 --enforcementcount 0 &gt;&gt;C:\Users\stu\Documents\GitHub\eaglep3-reporting\EC\2017-04-12-refined-times.txt</v>
      </c>
      <c r="AI154" s="104" t="str">
        <f t="shared" si="61"/>
        <v>echo {"issue":{"subject":"","project_id":79,"tracker_id":40,"status_id":1,"priority_id":2,"assigned_to_id":23,"start_date":"2017-04-13","description":"","custom_fields":[{"id":1,"name":"Subdivision","value":"EC"},{"id":4,"name":"Milepost","value":"0.0143"},{"id":17,"name":"Train ID","value":"242-12"},{"id":16,"name":"Locomotive ID","value":"4053"},{"id":130,"name":"Impact","value":""},{"id":150,"name":"Time of Event (Mountain Time)","value":"01:36:08"},{"id":151,"name":"Denver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8"/>
      <c r="AL154" s="48"/>
      <c r="AM154" s="150" t="str">
        <f t="shared" si="62"/>
        <v>start /low /b %USERPROFILE%\Documents\GitHub\eaglep3\Utilities\DownloadLogsFromS3.py --loco 4053 --day 2017-04-13</v>
      </c>
      <c r="AN154" s="159" t="str">
        <f t="shared" si="6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07:36:08"},{"id":29,"name":"Sharepoint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x14ac:dyDescent="0.25">
      <c r="A155" s="33" t="s">
        <v>861</v>
      </c>
      <c r="B155" s="7">
        <v>4044</v>
      </c>
      <c r="C155" s="21" t="s">
        <v>214</v>
      </c>
      <c r="D155" s="21" t="s">
        <v>514</v>
      </c>
      <c r="E155" s="13">
        <v>42838.015868055554</v>
      </c>
      <c r="F155" s="13">
        <v>42838.021273148152</v>
      </c>
      <c r="G155" s="7">
        <v>2</v>
      </c>
      <c r="H155" s="21" t="s">
        <v>939</v>
      </c>
      <c r="I155" s="13">
        <v>42838.048344907409</v>
      </c>
      <c r="J155" s="7">
        <v>0</v>
      </c>
      <c r="K155" s="97" t="str">
        <f t="shared" si="45"/>
        <v>4043/4044</v>
      </c>
      <c r="L155" s="21" t="str">
        <f>VLOOKUP(A155,'Trips&amp;Operators'!$C$1:$G$99999,5,FALSE)</f>
        <v>NELSON ARIANE</v>
      </c>
      <c r="M155" s="6">
        <f t="shared" si="46"/>
        <v>2.7071759257523809E-2</v>
      </c>
      <c r="N155" s="7">
        <f t="shared" si="59"/>
        <v>38.983333330834284</v>
      </c>
      <c r="O155" s="7"/>
      <c r="P155" s="7"/>
      <c r="Q155" s="22"/>
      <c r="R155" s="22"/>
      <c r="S155" s="31">
        <f t="shared" si="47"/>
        <v>1</v>
      </c>
      <c r="T155" s="46" t="str">
        <f t="shared" si="48"/>
        <v>NorthBound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 t="shared" si="49"/>
        <v>https://d0f6bd738d7f1b3e5a7ca70fe4ff75f0.us-east-1.aws.found.io/app/kibana#/discover/Steve-Slow-Train-Analysis-(2080s-and-2083s)?_g=(refreshInterval:(display:Off,pause:!f,section:0,value:0),time:(from:'2017-04-12T23:22:51-0600',mode:absolute,to:'2017-04-13T02:09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5" s="183" t="str">
        <f t="shared" si="50"/>
        <v>N</v>
      </c>
      <c r="X155" s="183">
        <f t="shared" si="51"/>
        <v>1</v>
      </c>
      <c r="Y155" s="62">
        <f t="shared" si="52"/>
        <v>4.4699999999999997E-2</v>
      </c>
      <c r="Z155" s="62">
        <f t="shared" si="53"/>
        <v>23.325500000000002</v>
      </c>
      <c r="AA155" s="62">
        <f t="shared" si="54"/>
        <v>23.280800000000003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5"/>
        <v>0243-12</v>
      </c>
      <c r="AE155" s="85" t="str">
        <f t="shared" si="56"/>
        <v>aws s3 cp s3://rtdc.mdm.uploadarchive.raw/RTDC4044/ "%USERPROFILE%\AppData\Local\Temp\OnboardLogs"\RTDC4044\2017-04-13 --exclude "*" --recursive --include "*20170413*" &amp; "%USERPROFILE%\Documents\GitHub\mrs-test-scripts\Headless Mode &amp; Sideloading\WalkAndUnGZ.bat" "%USERPROFILE%\AppData\Local\Temp\OnboardLogs"\RTDC4044\2017-04-13 &amp; aws s3 cp s3://rtdc.mdm.uploadarchive.raw/RTDC4044/ "%USERPROFILE%\AppData\Local\Temp\OnboardLogs"\RTDC4044\2017-04-14 --exclude "*" --recursive --include "*20170414*" &amp; "%USERPROFILE%\Documents\GitHub\mrs-test-scripts\Headless Mode &amp; Sideloading\WalkAndUnGZ.bat" "%USERPROFILE%\AppData\Local\Temp\OnboardLogs"\RTDC4044\2017-04-14</v>
      </c>
      <c r="AF155" s="82" t="str">
        <f t="shared" si="57"/>
        <v>"C:\Program Files (x86)\AstroGrep\AstroGrep.exe" /e /r /s /spath="%USERPROFILE%\AppData\Local\Temp\OnboardLogs" /stypes="app*4044*20170413*" /stext=" 07:.+((SYSTEM_STATE.+slice.+state.+changed )|(ment ac)|(multiple cpu faults)|(system.+state.+changed )|(\[timeout)|(PRM\|1\|D)|(kpr)|(kdp)|(\|lc)|(penalty))"</v>
      </c>
      <c r="AG155" s="1" t="str">
        <f t="shared" si="58"/>
        <v>EC</v>
      </c>
      <c r="AH155" s="86" t="str">
        <f t="shared" si="60"/>
        <v>"%USERPROFILE%\Documents\GitHub\eaglep3\Utilities\RefineRTDCRunTimes.py" --tripid 243-12 --locoid 4044 --swversion DE.1.0.9.0 --startMP 204:447 --initTime 2017-04-13T00:22:51 --startdatetime 2017-04-13T00:30:38 --delay 2 --endMP 204:233255 --enddatetime 2017-04-13T01:09:37 --enforcementcount 0 &gt;&gt;C:\Users\stu\Documents\GitHub\eaglep3-reporting\EC\2017-04-12-refined-times.txt</v>
      </c>
      <c r="AI155" s="104" t="str">
        <f t="shared" si="61"/>
        <v>echo {"issue":{"subject":"","project_id":79,"tracker_id":40,"status_id":1,"priority_id":2,"assigned_to_id":23,"start_date":"2017-04-13","description":"","custom_fields":[{"id":1,"name":"Subdivision","value":"EC"},{"id":4,"name":"Milepost","value":"23.3255"},{"id":17,"name":"Train ID","value":"243-12"},{"id":16,"name":"Locomotive ID","value":"4044"},{"id":130,"name":"Impact","value":""},{"id":150,"name":"Time of Event (Mountain Time)","value":"01:09:37"},{"id":151,"name":"Denver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8"/>
      <c r="AL155" s="48"/>
      <c r="AM155" s="150" t="str">
        <f t="shared" si="62"/>
        <v>start /low /b %USERPROFILE%\Documents\GitHub\eaglep3\Utilities\DownloadLogsFromS3.py --loco 4044 --day 2017-04-13</v>
      </c>
      <c r="AN155" s="159" t="str">
        <f t="shared" si="6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07:09:37"},{"id":29,"name":"Sharepoint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x14ac:dyDescent="0.25">
      <c r="A156" s="33" t="s">
        <v>865</v>
      </c>
      <c r="B156" s="7">
        <v>4043</v>
      </c>
      <c r="C156" s="21" t="s">
        <v>214</v>
      </c>
      <c r="D156" s="21" t="s">
        <v>940</v>
      </c>
      <c r="E156" s="13">
        <v>42838.056886574072</v>
      </c>
      <c r="F156" s="13">
        <v>42838.060057870367</v>
      </c>
      <c r="G156" s="7">
        <v>1</v>
      </c>
      <c r="H156" s="21" t="s">
        <v>541</v>
      </c>
      <c r="I156" s="13">
        <v>42838.089467592596</v>
      </c>
      <c r="J156" s="7">
        <v>0</v>
      </c>
      <c r="K156" s="97" t="str">
        <f t="shared" si="45"/>
        <v>4043/4044</v>
      </c>
      <c r="L156" s="21" t="str">
        <f>VLOOKUP(A156,'Trips&amp;Operators'!$C$1:$G$99999,5,FALSE)</f>
        <v>NELSON ARIANE</v>
      </c>
      <c r="M156" s="6">
        <f t="shared" si="46"/>
        <v>2.9409722228592727E-2</v>
      </c>
      <c r="N156" s="7">
        <f t="shared" si="59"/>
        <v>42.350000009173527</v>
      </c>
      <c r="O156" s="7"/>
      <c r="P156" s="7"/>
      <c r="Q156" s="22"/>
      <c r="R156" s="22"/>
      <c r="S156" s="31">
        <f t="shared" si="47"/>
        <v>1</v>
      </c>
      <c r="T156" s="46" t="str">
        <f t="shared" si="48"/>
        <v>Southbound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2" t="str">
        <f t="shared" si="49"/>
        <v>https://d0f6bd738d7f1b3e5a7ca70fe4ff75f0.us-east-1.aws.found.io/app/kibana#/discover/Steve-Slow-Train-Analysis-(2080s-and-2083s)?_g=(refreshInterval:(display:Off,pause:!f,section:0,value:0),time:(from:'2017-04-13T00:21:55-0600',mode:absolute,to:'2017-04-13T03:08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6" s="183" t="str">
        <f t="shared" si="50"/>
        <v>N</v>
      </c>
      <c r="X156" s="183">
        <f t="shared" si="51"/>
        <v>1</v>
      </c>
      <c r="Y156" s="62">
        <f t="shared" si="52"/>
        <v>23.294499999999999</v>
      </c>
      <c r="Z156" s="62">
        <f t="shared" si="53"/>
        <v>4.4400000000000002E-2</v>
      </c>
      <c r="AA156" s="62">
        <f t="shared" si="54"/>
        <v>23.2501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5"/>
        <v>0244-12</v>
      </c>
      <c r="AE156" s="85" t="str">
        <f t="shared" si="56"/>
        <v>aws s3 cp s3://rtdc.mdm.uploadarchive.raw/RTDC4043/ "%USERPROFILE%\AppData\Local\Temp\OnboardLogs"\RTDC4043\2017-04-13 --exclude "*" --recursive --include "*20170413*" &amp; "%USERPROFILE%\Documents\GitHub\mrs-test-scripts\Headless Mode &amp; Sideloading\WalkAndUnGZ.bat" "%USERPROFILE%\AppData\Local\Temp\OnboardLogs"\RTDC4043\2017-04-13 &amp; aws s3 cp s3://rtdc.mdm.uploadarchive.raw/RTDC4043/ "%USERPROFILE%\AppData\Local\Temp\OnboardLogs"\RTDC4043\2017-04-14 --exclude "*" --recursive --include "*20170414*" &amp; "%USERPROFILE%\Documents\GitHub\mrs-test-scripts\Headless Mode &amp; Sideloading\WalkAndUnGZ.bat" "%USERPROFILE%\AppData\Local\Temp\OnboardLogs"\RTDC4043\2017-04-14</v>
      </c>
      <c r="AF156" s="82" t="str">
        <f t="shared" si="57"/>
        <v>"C:\Program Files (x86)\AstroGrep\AstroGrep.exe" /e /r /s /spath="%USERPROFILE%\AppData\Local\Temp\OnboardLogs" /stypes="app*4043*20170413*" /stext=" 08:.+((SYSTEM_STATE.+slice.+state.+changed )|(ment ac)|(multiple cpu faults)|(system.+state.+changed )|(\[timeout)|(PRM\|1\|D)|(kpr)|(kdp)|(\|lc)|(penalty))"</v>
      </c>
      <c r="AG156" s="1" t="str">
        <f t="shared" si="58"/>
        <v>EC</v>
      </c>
      <c r="AH156" s="86" t="str">
        <f t="shared" si="60"/>
        <v>"%USERPROFILE%\Documents\GitHub\eaglep3\Utilities\RefineRTDCRunTimes.py" --tripid 244-12 --locoid 4043 --swversion DE.1.0.9.0 --startMP 204:232945 --initTime 2017-04-13T01:21:55 --startdatetime 2017-04-13T01:26:29 --delay 1 --endMP 204:444 --enddatetime 2017-04-13T02:08:50 --enforcementcount 0 &gt;&gt;C:\Users\stu\Documents\GitHub\eaglep3-reporting\EC\2017-04-12-refined-times.txt</v>
      </c>
      <c r="AI156" s="104" t="str">
        <f t="shared" si="61"/>
        <v>echo {"issue":{"subject":"","project_id":79,"tracker_id":40,"status_id":1,"priority_id":2,"assigned_to_id":23,"start_date":"2017-04-13","description":"","custom_fields":[{"id":1,"name":"Subdivision","value":"EC"},{"id":4,"name":"Milepost","value":"0.0444"},{"id":17,"name":"Train ID","value":"244-12"},{"id":16,"name":"Locomotive ID","value":"4043"},{"id":130,"name":"Impact","value":""},{"id":150,"name":"Time of Event (Mountain Time)","value":"02:08:50"},{"id":151,"name":"Denver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8"/>
      <c r="AL156" s="48"/>
      <c r="AM156" s="150" t="str">
        <f t="shared" si="62"/>
        <v>start /low /b %USERPROFILE%\Documents\GitHub\eaglep3\Utilities\DownloadLogsFromS3.py --loco 4043 --day 2017-04-13</v>
      </c>
      <c r="AN156" s="159" t="str">
        <f t="shared" si="6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08:08:50"},{"id":29,"name":"Sharepoint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x14ac:dyDescent="0.25">
      <c r="A157" s="33" t="s">
        <v>675</v>
      </c>
      <c r="B157" s="7">
        <v>4021</v>
      </c>
      <c r="C157" s="21" t="s">
        <v>214</v>
      </c>
      <c r="D157" s="21" t="s">
        <v>602</v>
      </c>
      <c r="E157" s="13">
        <v>42837.209247685183</v>
      </c>
      <c r="F157" s="13">
        <v>42837.216192129628</v>
      </c>
      <c r="G157" s="7">
        <v>1</v>
      </c>
      <c r="H157" s="21" t="s">
        <v>511</v>
      </c>
      <c r="I157" s="13">
        <v>42837.225335648145</v>
      </c>
      <c r="J157" s="7">
        <v>0</v>
      </c>
      <c r="K157" s="97" t="str">
        <f t="shared" si="45"/>
        <v>4021/4022</v>
      </c>
      <c r="L157" s="21" t="str">
        <f>VLOOKUP(A157,'Trips&amp;Operators'!$C$1:$G$99999,5,FALSE)</f>
        <v>YORK EDGAR</v>
      </c>
      <c r="M157" s="6">
        <f t="shared" si="46"/>
        <v>9.1435185167938471E-3</v>
      </c>
      <c r="N157" s="7">
        <f t="shared" si="59"/>
        <v>13.16666666418314</v>
      </c>
      <c r="O157" s="7"/>
      <c r="P157" s="7"/>
      <c r="Q157" s="22"/>
      <c r="R157" s="22"/>
      <c r="S157" s="31">
        <f t="shared" si="47"/>
        <v>1</v>
      </c>
      <c r="T157" s="46" t="str">
        <f t="shared" si="48"/>
        <v>Southbound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82" t="str">
        <f t="shared" si="49"/>
        <v>https://d0f6bd738d7f1b3e5a7ca70fe4ff75f0.us-east-1.aws.found.io/app/kibana#/discover/Steve-Slow-Train-Analysis-(2080s-and-2083s)?_g=(refreshInterval:(display:Off,pause:!f,section:0,value:0),time:(from:'2017-04-12T04:01:19-0600',mode:absolute,to:'2017-04-12T06:24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7" s="183" t="str">
        <f t="shared" si="50"/>
        <v>N</v>
      </c>
      <c r="X157" s="183">
        <f t="shared" si="51"/>
        <v>556</v>
      </c>
      <c r="Y157" s="62">
        <f t="shared" si="52"/>
        <v>5.8620999999999999</v>
      </c>
      <c r="Z157" s="62">
        <f t="shared" si="53"/>
        <v>7.4099999999999999E-2</v>
      </c>
      <c r="AA157" s="62">
        <f t="shared" si="54"/>
        <v>5.7880000000000003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5"/>
        <v>0800-12</v>
      </c>
      <c r="AE157" s="85" t="str">
        <f t="shared" si="56"/>
        <v>aws s3 cp s3://rtdc.mdm.uploadarchive.raw/RTDC4021/ "%USERPROFILE%\AppData\Local\Temp\OnboardLogs"\RTDC4021\2017-04-12 --exclude "*" --recursive --include "*20170412*" &amp; "%USERPROFILE%\Documents\GitHub\mrs-test-scripts\Headless Mode &amp; Sideloading\WalkAndUnGZ.bat" "%USERPROFILE%\AppData\Local\Temp\OnboardLogs"\RTDC4021\2017-04-12 &amp; aws s3 cp s3://rtdc.mdm.uploadarchive.raw/RTDC4021/ "%USERPROFILE%\AppData\Local\Temp\OnboardLogs"\RTDC4021\2017-04-13 --exclude "*" --recursive --include "*20170413*" &amp; "%USERPROFILE%\Documents\GitHub\mrs-test-scripts\Headless Mode &amp; Sideloading\WalkAndUnGZ.bat" "%USERPROFILE%\AppData\Local\Temp\OnboardLogs"\RTDC4021\2017-04-13</v>
      </c>
      <c r="AF157" s="82" t="str">
        <f t="shared" si="57"/>
        <v>"C:\Program Files (x86)\AstroGrep\AstroGrep.exe" /e /r /s /spath="%USERPROFILE%\AppData\Local\Temp\OnboardLogs" /stypes="app*4021*20170412*" /stext=" 11:.+((SYSTEM_STATE.+slice.+state.+changed )|(ment ac)|(multiple cpu faults)|(system.+state.+changed )|(\[timeout)|(PRM\|1\|D)|(kpr)|(kdp)|(\|lc)|(penalty))"</v>
      </c>
      <c r="AG157" s="1" t="str">
        <f t="shared" si="58"/>
        <v>NW</v>
      </c>
      <c r="AH157" s="86" t="str">
        <f t="shared" si="60"/>
        <v>"%USERPROFILE%\Documents\GitHub\eaglep3\Utilities\RefineRTDCRunTimes.py" --tripid 800-12 --locoid 4021 --swversion DE.1.0.9.0 --startMP 300:58621 --initTime 2017-04-12T05:01:19 --startdatetime 2017-04-12T05:11:19 --delay 1 --endMP 204:741 --enddatetime 2017-04-12T05:24:29 --enforcementcount 0 &gt;&gt;C:\Users\stu\Documents\GitHub\eaglep3-reporting\EC\2017-04-12-refined-times.txt</v>
      </c>
      <c r="AI157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{"issue":{"subject":"","project_id":79,"tracker_id":40,"status_id":1,"priority_id":2,"assigned_to_id":23,"start_date":"2017-04-12","description":"","custom_fields":[{"id":1,"name":"Subdivision","value":"NW"},{"id":4,"name":"Milepost","value":"0.0741"},{"id":17,"name":"Train ID","value":"800-12"},{"id":16,"name":"Locomotive ID","value":"4021"},{"id":130,"name":"Impact","value":""},{"id":150,"name":"Time of Event (Mountain Time)","value":"05:24:29"},{"id":151,"name":"Denver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8"/>
      <c r="AL157" s="48"/>
      <c r="AM157" s="150" t="str">
        <f t="shared" si="62"/>
        <v>start /low /b %USERPROFILE%\Documents\GitHub\eaglep3\Utilities\DownloadLogsFromS3.py --loco 4021 --day 2017-04-12</v>
      </c>
      <c r="AN157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11:24:29"},{"id":29,"name":"Sharepoint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x14ac:dyDescent="0.25">
      <c r="A158" s="33" t="s">
        <v>682</v>
      </c>
      <c r="B158" s="7">
        <v>4022</v>
      </c>
      <c r="C158" s="21" t="s">
        <v>214</v>
      </c>
      <c r="D158" s="21" t="s">
        <v>598</v>
      </c>
      <c r="E158" s="13">
        <v>42837.22792824074</v>
      </c>
      <c r="F158" s="13">
        <v>42837.244143518517</v>
      </c>
      <c r="G158" s="7">
        <v>0</v>
      </c>
      <c r="H158" s="21" t="s">
        <v>493</v>
      </c>
      <c r="I158" s="13">
        <v>42837.25277777778</v>
      </c>
      <c r="J158" s="7">
        <v>0</v>
      </c>
      <c r="K158" s="97" t="str">
        <f t="shared" si="45"/>
        <v>4021/4022</v>
      </c>
      <c r="L158" s="21" t="str">
        <f>VLOOKUP(A158,'Trips&amp;Operators'!$C$1:$G$99999,5,FALSE)</f>
        <v>YORK EDGAR</v>
      </c>
      <c r="M158" s="6">
        <f t="shared" si="46"/>
        <v>8.6342592621804215E-3</v>
      </c>
      <c r="N158" s="7">
        <f t="shared" si="59"/>
        <v>12.433333337539807</v>
      </c>
      <c r="O158" s="7"/>
      <c r="P158" s="7"/>
      <c r="Q158" s="22"/>
      <c r="R158" s="22"/>
      <c r="S158" s="31">
        <f t="shared" si="47"/>
        <v>1</v>
      </c>
      <c r="T158" s="46" t="str">
        <f t="shared" si="48"/>
        <v>NorthBound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2" t="str">
        <f t="shared" si="49"/>
        <v>https://d0f6bd738d7f1b3e5a7ca70fe4ff75f0.us-east-1.aws.found.io/app/kibana#/discover/Steve-Slow-Train-Analysis-(2080s-and-2083s)?_g=(refreshInterval:(display:Off,pause:!f,section:0,value:0),time:(from:'2017-04-12T04:28:13-0600',mode:absolute,to:'2017-04-12T07:04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8" s="183" t="str">
        <f t="shared" si="50"/>
        <v>N</v>
      </c>
      <c r="X158" s="183">
        <f t="shared" si="51"/>
        <v>1</v>
      </c>
      <c r="Y158" s="62">
        <f t="shared" si="52"/>
        <v>0.10059999999999999</v>
      </c>
      <c r="Z158" s="62">
        <f t="shared" si="53"/>
        <v>5.8933</v>
      </c>
      <c r="AA158" s="62">
        <f t="shared" si="54"/>
        <v>5.7927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5"/>
        <v>0801-12</v>
      </c>
      <c r="AE158" s="85" t="str">
        <f t="shared" si="56"/>
        <v>aws s3 cp s3://rtdc.mdm.uploadarchive.raw/RTDC4022/ "%USERPROFILE%\AppData\Local\Temp\OnboardLogs"\RTDC4022\2017-04-12 --exclude "*" --recursive --include "*20170412*" &amp; "%USERPROFILE%\Documents\GitHub\mrs-test-scripts\Headless Mode &amp; Sideloading\WalkAndUnGZ.bat" "%USERPROFILE%\AppData\Local\Temp\OnboardLogs"\RTDC4022\2017-04-12 &amp; aws s3 cp s3://rtdc.mdm.uploadarchive.raw/RTDC4022/ "%USERPROFILE%\AppData\Local\Temp\OnboardLogs"\RTDC4022\2017-04-13 --exclude "*" --recursive --include "*20170413*" &amp; "%USERPROFILE%\Documents\GitHub\mrs-test-scripts\Headless Mode &amp; Sideloading\WalkAndUnGZ.bat" "%USERPROFILE%\AppData\Local\Temp\OnboardLogs"\RTDC4022\2017-04-13</v>
      </c>
      <c r="AF158" s="82" t="str">
        <f t="shared" si="57"/>
        <v>"C:\Program Files (x86)\AstroGrep\AstroGrep.exe" /e /r /s /spath="%USERPROFILE%\AppData\Local\Temp\OnboardLogs" /stypes="app*4022*20170412*" /stext=" 12:.+((SYSTEM_STATE.+slice.+state.+changed )|(ment ac)|(multiple cpu faults)|(system.+state.+changed )|(\[timeout)|(PRM\|1\|D)|(kpr)|(kdp)|(\|lc)|(penalty))"</v>
      </c>
      <c r="AG158" s="1" t="str">
        <f t="shared" si="58"/>
        <v>NW</v>
      </c>
      <c r="AH158" s="86" t="str">
        <f t="shared" si="60"/>
        <v>"%USERPROFILE%\Documents\GitHub\eaglep3\Utilities\RefineRTDCRunTimes.py" --tripid 801-12 --locoid 4022 --swversion DE.1.0.9.0 --startMP 204:1006 --initTime 2017-04-12T05:28:13 --startdatetime 2017-04-12T05:51:34 --delay 0 --endMP 300:58933 --enddatetime 2017-04-12T06:04:00 --enforcementcount 0 &gt;&gt;C:\Users\stu\Documents\GitHub\eaglep3-reporting\EC\2017-04-12-refined-times.txt</v>
      </c>
      <c r="AI158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{"issue":{"subject":"","project_id":79,"tracker_id":40,"status_id":1,"priority_id":2,"assigned_to_id":23,"start_date":"2017-04-12","description":"","custom_fields":[{"id":1,"name":"Subdivision","value":"NW"},{"id":4,"name":"Milepost","value":"5.8933"},{"id":17,"name":"Train ID","value":"801-12"},{"id":16,"name":"Locomotive ID","value":"4022"},{"id":130,"name":"Impact","value":""},{"id":150,"name":"Time of Event (Mountain Time)","value":"06:04:00"},{"id":151,"name":"Denver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8"/>
      <c r="AL158" s="48"/>
      <c r="AM158" s="150" t="str">
        <f t="shared" si="62"/>
        <v>start /low /b %USERPROFILE%\Documents\GitHub\eaglep3\Utilities\DownloadLogsFromS3.py --loco 4022 --day 2017-04-12</v>
      </c>
      <c r="AN158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12:04:00"},{"id":29,"name":"Sharepoint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x14ac:dyDescent="0.25">
      <c r="A159" s="33" t="s">
        <v>690</v>
      </c>
      <c r="B159" s="7">
        <v>4021</v>
      </c>
      <c r="C159" s="21" t="s">
        <v>214</v>
      </c>
      <c r="D159" s="21" t="s">
        <v>615</v>
      </c>
      <c r="E159" s="13">
        <v>42837.253888888888</v>
      </c>
      <c r="F159" s="13">
        <v>42837.258414351854</v>
      </c>
      <c r="G159" s="7">
        <v>0</v>
      </c>
      <c r="H159" s="21" t="s">
        <v>969</v>
      </c>
      <c r="I159" s="13">
        <v>42837.267534722225</v>
      </c>
      <c r="J159" s="7">
        <v>0</v>
      </c>
      <c r="K159" s="97" t="str">
        <f t="shared" si="45"/>
        <v>4021/4022</v>
      </c>
      <c r="L159" s="21" t="str">
        <f>VLOOKUP(A159,'Trips&amp;Operators'!$C$1:$G$99999,5,FALSE)</f>
        <v>YORK EDGAR</v>
      </c>
      <c r="M159" s="6">
        <f t="shared" si="46"/>
        <v>9.1203703705104999E-3</v>
      </c>
      <c r="N159" s="7">
        <f t="shared" si="59"/>
        <v>13.13333333353512</v>
      </c>
      <c r="O159" s="7"/>
      <c r="P159" s="7"/>
      <c r="Q159" s="22"/>
      <c r="R159" s="22"/>
      <c r="S159" s="31">
        <f t="shared" si="47"/>
        <v>1</v>
      </c>
      <c r="T159" s="46" t="str">
        <f t="shared" si="48"/>
        <v>Southbound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2" t="str">
        <f t="shared" si="49"/>
        <v>https://d0f6bd738d7f1b3e5a7ca70fe4ff75f0.us-east-1.aws.found.io/app/kibana#/discover/Steve-Slow-Train-Analysis-(2080s-and-2083s)?_g=(refreshInterval:(display:Off,pause:!f,section:0,value:0),time:(from:'2017-04-12T05:05:36-0600',mode:absolute,to:'2017-04-12T07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9" s="183" t="str">
        <f t="shared" si="50"/>
        <v>N</v>
      </c>
      <c r="X159" s="183">
        <f t="shared" si="51"/>
        <v>1</v>
      </c>
      <c r="Y159" s="62">
        <f t="shared" si="52"/>
        <v>5.8615000000000004</v>
      </c>
      <c r="Z159" s="62">
        <f t="shared" si="53"/>
        <v>7.4999999999999997E-2</v>
      </c>
      <c r="AA159" s="62">
        <f t="shared" si="54"/>
        <v>5.7865000000000002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5"/>
        <v>0802-12</v>
      </c>
      <c r="AE159" s="85" t="str">
        <f t="shared" si="56"/>
        <v>aws s3 cp s3://rtdc.mdm.uploadarchive.raw/RTDC4021/ "%USERPROFILE%\AppData\Local\Temp\OnboardLogs"\RTDC4021\2017-04-12 --exclude "*" --recursive --include "*20170412*" &amp; "%USERPROFILE%\Documents\GitHub\mrs-test-scripts\Headless Mode &amp; Sideloading\WalkAndUnGZ.bat" "%USERPROFILE%\AppData\Local\Temp\OnboardLogs"\RTDC4021\2017-04-12 &amp; aws s3 cp s3://rtdc.mdm.uploadarchive.raw/RTDC4021/ "%USERPROFILE%\AppData\Local\Temp\OnboardLogs"\RTDC4021\2017-04-13 --exclude "*" --recursive --include "*20170413*" &amp; "%USERPROFILE%\Documents\GitHub\mrs-test-scripts\Headless Mode &amp; Sideloading\WalkAndUnGZ.bat" "%USERPROFILE%\AppData\Local\Temp\OnboardLogs"\RTDC4021\2017-04-13</v>
      </c>
      <c r="AF159" s="82" t="str">
        <f t="shared" si="57"/>
        <v>"C:\Program Files (x86)\AstroGrep\AstroGrep.exe" /e /r /s /spath="%USERPROFILE%\AppData\Local\Temp\OnboardLogs" /stypes="app*4021*20170412*" /stext=" 12:.+((SYSTEM_STATE.+slice.+state.+changed )|(ment ac)|(multiple cpu faults)|(system.+state.+changed )|(\[timeout)|(PRM\|1\|D)|(kpr)|(kdp)|(\|lc)|(penalty))"</v>
      </c>
      <c r="AG159" s="1" t="str">
        <f t="shared" si="58"/>
        <v>NW</v>
      </c>
      <c r="AH159" s="86" t="str">
        <f t="shared" si="60"/>
        <v>"%USERPROFILE%\Documents\GitHub\eaglep3\Utilities\RefineRTDCRunTimes.py" --tripid 802-12 --locoid 4021 --swversion DE.1.0.9.0 --startMP 300:58615 --initTime 2017-04-12T06:05:36 --startdatetime 2017-04-12T06:12:07 --delay 0 --endMP 204:750 --enddatetime 2017-04-12T06:25:15 --enforcementcount 0 &gt;&gt;C:\Users\stu\Documents\GitHub\eaglep3-reporting\EC\2017-04-12-refined-times.txt</v>
      </c>
      <c r="AI159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{"issue":{"subject":"","project_id":79,"tracker_id":40,"status_id":1,"priority_id":2,"assigned_to_id":23,"start_date":"2017-04-12","description":"","custom_fields":[{"id":1,"name":"Subdivision","value":"NW"},{"id":4,"name":"Milepost","value":"0.075"},{"id":17,"name":"Train ID","value":"802-12"},{"id":16,"name":"Locomotive ID","value":"4021"},{"id":130,"name":"Impact","value":""},{"id":150,"name":"Time of Event (Mountain Time)","value":"06:25:15"},{"id":151,"name":"Denver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8"/>
      <c r="AL159" s="48"/>
      <c r="AM159" s="150" t="str">
        <f t="shared" si="62"/>
        <v>start /low /b %USERPROFILE%\Documents\GitHub\eaglep3\Utilities\DownloadLogsFromS3.py --loco 4021 --day 2017-04-12</v>
      </c>
      <c r="AN159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12:25:15"},{"id":29,"name":"Sharepoint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s="20" customFormat="1" x14ac:dyDescent="0.25">
      <c r="A160" s="33" t="s">
        <v>692</v>
      </c>
      <c r="B160" s="7">
        <v>4016</v>
      </c>
      <c r="C160" s="21" t="s">
        <v>214</v>
      </c>
      <c r="D160" s="21" t="s">
        <v>970</v>
      </c>
      <c r="E160" s="13">
        <v>42837.262974537036</v>
      </c>
      <c r="F160" s="13">
        <v>42837.264861111114</v>
      </c>
      <c r="G160" s="7">
        <v>1</v>
      </c>
      <c r="H160" s="21" t="s">
        <v>971</v>
      </c>
      <c r="I160" s="13">
        <v>42837.274918981479</v>
      </c>
      <c r="J160" s="7">
        <v>0</v>
      </c>
      <c r="K160" s="97" t="str">
        <f t="shared" si="45"/>
        <v>4015/4016</v>
      </c>
      <c r="L160" s="21" t="str">
        <f>VLOOKUP(A160,'Trips&amp;Operators'!$C$1:$G$99999,5,FALSE)</f>
        <v>WILLIAMS DONTE</v>
      </c>
      <c r="M160" s="6">
        <f t="shared" si="46"/>
        <v>1.0057870364107657E-2</v>
      </c>
      <c r="N160" s="7">
        <f t="shared" si="59"/>
        <v>14.483333324315026</v>
      </c>
      <c r="O160" s="7"/>
      <c r="P160" s="7"/>
      <c r="Q160" s="22"/>
      <c r="R160" s="22"/>
      <c r="S160" s="31">
        <f t="shared" si="47"/>
        <v>1</v>
      </c>
      <c r="T160" s="46" t="str">
        <f t="shared" si="48"/>
        <v>NorthBound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2" t="str">
        <f t="shared" si="49"/>
        <v>https://d0f6bd738d7f1b3e5a7ca70fe4ff75f0.us-east-1.aws.found.io/app/kibana#/discover/Steve-Slow-Train-Analysis-(2080s-and-2083s)?_g=(refreshInterval:(display:Off,pause:!f,section:0,value:0),time:(from:'2017-04-12T05:18:41-0600',mode:absolute,to:'2017-04-12T07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0" s="183" t="str">
        <f t="shared" si="50"/>
        <v>N</v>
      </c>
      <c r="X160" s="183">
        <f t="shared" si="51"/>
        <v>1</v>
      </c>
      <c r="Y160" s="62">
        <f t="shared" si="52"/>
        <v>9.69E-2</v>
      </c>
      <c r="Z160" s="62">
        <f t="shared" si="53"/>
        <v>5.8925999999999998</v>
      </c>
      <c r="AA160" s="62">
        <f t="shared" si="54"/>
        <v>5.7957000000000001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5"/>
        <v>0803-12</v>
      </c>
      <c r="AE160" s="85" t="str">
        <f t="shared" si="56"/>
        <v>aws s3 cp s3://rtdc.mdm.uploadarchive.raw/RTDC4016/ "%USERPROFILE%\AppData\Local\Temp\OnboardLogs"\RTDC4016\2017-04-12 --exclude "*" --recursive --include "*20170412*" &amp; "%USERPROFILE%\Documents\GitHub\mrs-test-scripts\Headless Mode &amp; Sideloading\WalkAndUnGZ.bat" "%USERPROFILE%\AppData\Local\Temp\OnboardLogs"\RTDC4016\2017-04-12 &amp; aws s3 cp s3://rtdc.mdm.uploadarchive.raw/RTDC4016/ "%USERPROFILE%\AppData\Local\Temp\OnboardLogs"\RTDC4016\2017-04-13 --exclude "*" --recursive --include "*20170413*" &amp; "%USERPROFILE%\Documents\GitHub\mrs-test-scripts\Headless Mode &amp; Sideloading\WalkAndUnGZ.bat" "%USERPROFILE%\AppData\Local\Temp\OnboardLogs"\RTDC4016\2017-04-13</v>
      </c>
      <c r="AF160" s="82" t="str">
        <f t="shared" si="57"/>
        <v>"C:\Program Files (x86)\AstroGrep\AstroGrep.exe" /e /r /s /spath="%USERPROFILE%\AppData\Local\Temp\OnboardLogs" /stypes="app*4016*20170412*" /stext=" 12:.+((SYSTEM_STATE.+slice.+state.+changed )|(ment ac)|(multiple cpu faults)|(system.+state.+changed )|(\[timeout)|(PRM\|1\|D)|(kpr)|(kdp)|(\|lc)|(penalty))"</v>
      </c>
      <c r="AG160" s="1" t="str">
        <f t="shared" si="58"/>
        <v>NW</v>
      </c>
      <c r="AH160" s="86" t="str">
        <f t="shared" si="60"/>
        <v>"%USERPROFILE%\Documents\GitHub\eaglep3\Utilities\RefineRTDCRunTimes.py" --tripid 803-12 --locoid 4016 --swversion DE.1.0.9.0 --startMP 204:969 --initTime 2017-04-12T06:18:41 --startdatetime 2017-04-12T06:21:24 --delay 1 --endMP 300:58926 --enddatetime 2017-04-12T06:35:53 --enforcementcount 0 &gt;&gt;C:\Users\stu\Documents\GitHub\eaglep3-reporting\EC\2017-04-12-refined-times.txt</v>
      </c>
      <c r="AI160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{"issue":{"subject":"","project_id":79,"tracker_id":40,"status_id":1,"priority_id":2,"assigned_to_id":23,"start_date":"2017-04-12","description":"","custom_fields":[{"id":1,"name":"Subdivision","value":"NW"},{"id":4,"name":"Milepost","value":"5.8926"},{"id":17,"name":"Train ID","value":"803-12"},{"id":16,"name":"Locomotive ID","value":"4016"},{"id":130,"name":"Impact","value":""},{"id":150,"name":"Time of Event (Mountain Time)","value":"06:35:53"},{"id":151,"name":"Denver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8"/>
      <c r="AL160" s="48"/>
      <c r="AM160" s="150" t="str">
        <f t="shared" si="62"/>
        <v>start /low /b %USERPROFILE%\Documents\GitHub\eaglep3\Utilities\DownloadLogsFromS3.py --loco 4016 --day 2017-04-12</v>
      </c>
      <c r="AN160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12:35:53"},{"id":29,"name":"Sharepoint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3" t="s">
        <v>697</v>
      </c>
      <c r="B161" s="7">
        <v>4015</v>
      </c>
      <c r="C161" s="21" t="s">
        <v>214</v>
      </c>
      <c r="D161" s="21" t="s">
        <v>552</v>
      </c>
      <c r="E161" s="13">
        <v>42837.276273148149</v>
      </c>
      <c r="F161" s="13">
        <v>42837.278240740743</v>
      </c>
      <c r="G161" s="7">
        <v>1</v>
      </c>
      <c r="H161" s="21" t="s">
        <v>972</v>
      </c>
      <c r="I161" s="13">
        <v>42837.28943287037</v>
      </c>
      <c r="J161" s="7">
        <v>0</v>
      </c>
      <c r="K161" s="97" t="str">
        <f t="shared" si="45"/>
        <v>4015/4016</v>
      </c>
      <c r="L161" s="21" t="str">
        <f>VLOOKUP(A161,'Trips&amp;Operators'!$C$1:$G$99999,5,FALSE)</f>
        <v>WILLIAMS DONTE</v>
      </c>
      <c r="M161" s="6">
        <f t="shared" si="46"/>
        <v>1.1192129626579117E-2</v>
      </c>
      <c r="N161" s="7">
        <f t="shared" si="59"/>
        <v>16.116666662273929</v>
      </c>
      <c r="O161" s="7"/>
      <c r="P161" s="7"/>
      <c r="Q161" s="22"/>
      <c r="R161" s="22"/>
      <c r="S161" s="31">
        <f t="shared" si="47"/>
        <v>1</v>
      </c>
      <c r="T161" s="46" t="str">
        <f t="shared" si="48"/>
        <v>Southbound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2" t="str">
        <f t="shared" si="49"/>
        <v>https://d0f6bd738d7f1b3e5a7ca70fe4ff75f0.us-east-1.aws.found.io/app/kibana#/discover/Steve-Slow-Train-Analysis-(2080s-and-2083s)?_g=(refreshInterval:(display:Off,pause:!f,section:0,value:0),time:(from:'2017-04-12T05:37:50-0600',mode:absolute,to:'2017-04-12T07:56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1" s="183" t="str">
        <f t="shared" si="50"/>
        <v>N</v>
      </c>
      <c r="X161" s="183">
        <f t="shared" si="51"/>
        <v>1</v>
      </c>
      <c r="Y161" s="62">
        <f t="shared" si="52"/>
        <v>5.8611000000000004</v>
      </c>
      <c r="Z161" s="62">
        <f t="shared" si="53"/>
        <v>7.4499999999999997E-2</v>
      </c>
      <c r="AA161" s="62">
        <f t="shared" si="54"/>
        <v>5.7866000000000009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5"/>
        <v>0804-12</v>
      </c>
      <c r="AE161" s="85" t="str">
        <f t="shared" si="56"/>
        <v>aws s3 cp s3://rtdc.mdm.uploadarchive.raw/RTDC4015/ "%USERPROFILE%\AppData\Local\Temp\OnboardLogs"\RTDC4015\2017-04-12 --exclude "*" --recursive --include "*20170412*" &amp; "%USERPROFILE%\Documents\GitHub\mrs-test-scripts\Headless Mode &amp; Sideloading\WalkAndUnGZ.bat" "%USERPROFILE%\AppData\Local\Temp\OnboardLogs"\RTDC4015\2017-04-12 &amp; aws s3 cp s3://rtdc.mdm.uploadarchive.raw/RTDC4015/ "%USERPROFILE%\AppData\Local\Temp\OnboardLogs"\RTDC4015\2017-04-13 --exclude "*" --recursive --include "*20170413*" &amp; "%USERPROFILE%\Documents\GitHub\mrs-test-scripts\Headless Mode &amp; Sideloading\WalkAndUnGZ.bat" "%USERPROFILE%\AppData\Local\Temp\OnboardLogs"\RTDC4015\2017-04-13</v>
      </c>
      <c r="AF161" s="82" t="str">
        <f t="shared" si="57"/>
        <v>"C:\Program Files (x86)\AstroGrep\AstroGrep.exe" /e /r /s /spath="%USERPROFILE%\AppData\Local\Temp\OnboardLogs" /stypes="app*4015*20170412*" /stext=" 12:.+((SYSTEM_STATE.+slice.+state.+changed )|(ment ac)|(multiple cpu faults)|(system.+state.+changed )|(\[timeout)|(PRM\|1\|D)|(kpr)|(kdp)|(\|lc)|(penalty))"</v>
      </c>
      <c r="AG161" s="1" t="str">
        <f t="shared" si="58"/>
        <v>NW</v>
      </c>
      <c r="AH161" s="86" t="str">
        <f t="shared" si="60"/>
        <v>"%USERPROFILE%\Documents\GitHub\eaglep3\Utilities\RefineRTDCRunTimes.py" --tripid 804-12 --locoid 4015 --swversion DE.1.0.9.0 --startMP 300:58611 --initTime 2017-04-12T06:37:50 --startdatetime 2017-04-12T06:40:40 --delay 1 --endMP 204:745 --enddatetime 2017-04-12T06:56:47 --enforcementcount 0 &gt;&gt;C:\Users\stu\Documents\GitHub\eaglep3-reporting\EC\2017-04-12-refined-times.txt</v>
      </c>
      <c r="AI161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{"issue":{"subject":"","project_id":79,"tracker_id":40,"status_id":1,"priority_id":2,"assigned_to_id":23,"start_date":"2017-04-12","description":"","custom_fields":[{"id":1,"name":"Subdivision","value":"NW"},{"id":4,"name":"Milepost","value":"0.0745"},{"id":17,"name":"Train ID","value":"804-12"},{"id":16,"name":"Locomotive ID","value":"4015"},{"id":130,"name":"Impact","value":""},{"id":150,"name":"Time of Event (Mountain Time)","value":"06:56:47"},{"id":151,"name":"Denver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8"/>
      <c r="AL161" s="48"/>
      <c r="AM161" s="150" t="str">
        <f t="shared" si="62"/>
        <v>start /low /b %USERPROFILE%\Documents\GitHub\eaglep3\Utilities\DownloadLogsFromS3.py --loco 4015 --day 2017-04-12</v>
      </c>
      <c r="AN161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12:56:47"},{"id":29,"name":"Sharepoint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s="20" customFormat="1" x14ac:dyDescent="0.25">
      <c r="A162" s="33" t="s">
        <v>695</v>
      </c>
      <c r="B162" s="7">
        <v>4022</v>
      </c>
      <c r="C162" s="21" t="s">
        <v>214</v>
      </c>
      <c r="D162" s="21" t="s">
        <v>596</v>
      </c>
      <c r="E162" s="13">
        <v>42837.268622685187</v>
      </c>
      <c r="F162" s="13">
        <v>42837.286516203705</v>
      </c>
      <c r="G162" s="7">
        <v>1</v>
      </c>
      <c r="H162" s="21" t="s">
        <v>510</v>
      </c>
      <c r="I162" s="13">
        <v>42837.295092592591</v>
      </c>
      <c r="J162" s="7">
        <v>0</v>
      </c>
      <c r="K162" s="97" t="str">
        <f t="shared" si="45"/>
        <v>4021/4022</v>
      </c>
      <c r="L162" s="21" t="str">
        <f>VLOOKUP(A162,'Trips&amp;Operators'!$C$1:$G$99999,5,FALSE)</f>
        <v>YORK EDGAR</v>
      </c>
      <c r="M162" s="6">
        <f t="shared" si="46"/>
        <v>8.5763888855581172E-3</v>
      </c>
      <c r="N162" s="7">
        <f t="shared" si="59"/>
        <v>12.349999995203689</v>
      </c>
      <c r="O162" s="7"/>
      <c r="P162" s="7"/>
      <c r="Q162" s="22"/>
      <c r="R162" s="22"/>
      <c r="S162" s="31">
        <f t="shared" si="47"/>
        <v>1</v>
      </c>
      <c r="T162" s="46" t="str">
        <f t="shared" si="48"/>
        <v>NorthBound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 t="shared" si="49"/>
        <v>https://d0f6bd738d7f1b3e5a7ca70fe4ff75f0.us-east-1.aws.found.io/app/kibana#/discover/Steve-Slow-Train-Analysis-(2080s-and-2083s)?_g=(refreshInterval:(display:Off,pause:!f,section:0,value:0),time:(from:'2017-04-12T05:26:49-0600',mode:absolute,to:'2017-04-12T08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2" s="183" t="str">
        <f t="shared" si="50"/>
        <v>N</v>
      </c>
      <c r="X162" s="183">
        <f t="shared" si="51"/>
        <v>1</v>
      </c>
      <c r="Y162" s="62">
        <f t="shared" si="52"/>
        <v>0.1018</v>
      </c>
      <c r="Z162" s="62">
        <f t="shared" si="53"/>
        <v>5.8935000000000004</v>
      </c>
      <c r="AA162" s="62">
        <f t="shared" si="54"/>
        <v>5.7917000000000005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5"/>
        <v>0805-12</v>
      </c>
      <c r="AE162" s="85" t="str">
        <f t="shared" si="56"/>
        <v>aws s3 cp s3://rtdc.mdm.uploadarchive.raw/RTDC4022/ "%USERPROFILE%\AppData\Local\Temp\OnboardLogs"\RTDC4022\2017-04-12 --exclude "*" --recursive --include "*20170412*" &amp; "%USERPROFILE%\Documents\GitHub\mrs-test-scripts\Headless Mode &amp; Sideloading\WalkAndUnGZ.bat" "%USERPROFILE%\AppData\Local\Temp\OnboardLogs"\RTDC4022\2017-04-12 &amp; aws s3 cp s3://rtdc.mdm.uploadarchive.raw/RTDC4022/ "%USERPROFILE%\AppData\Local\Temp\OnboardLogs"\RTDC4022\2017-04-13 --exclude "*" --recursive --include "*20170413*" &amp; "%USERPROFILE%\Documents\GitHub\mrs-test-scripts\Headless Mode &amp; Sideloading\WalkAndUnGZ.bat" "%USERPROFILE%\AppData\Local\Temp\OnboardLogs"\RTDC4022\2017-04-13</v>
      </c>
      <c r="AF162" s="82" t="str">
        <f t="shared" si="57"/>
        <v>"C:\Program Files (x86)\AstroGrep\AstroGrep.exe" /e /r /s /spath="%USERPROFILE%\AppData\Local\Temp\OnboardLogs" /stypes="app*4022*20170412*" /stext=" 13:.+((SYSTEM_STATE.+slice.+state.+changed )|(ment ac)|(multiple cpu faults)|(system.+state.+changed )|(\[timeout)|(PRM\|1\|D)|(kpr)|(kdp)|(\|lc)|(penalty))"</v>
      </c>
      <c r="AG162" s="1" t="str">
        <f t="shared" si="58"/>
        <v>NW</v>
      </c>
      <c r="AH162" s="86" t="str">
        <f t="shared" si="60"/>
        <v>"%USERPROFILE%\Documents\GitHub\eaglep3\Utilities\RefineRTDCRunTimes.py" --tripid 805-12 --locoid 4022 --swversion DE.1.0.9.0 --startMP 204:1018 --initTime 2017-04-12T06:26:49 --startdatetime 2017-04-12T06:52:35 --delay 1 --endMP 300:58935 --enddatetime 2017-04-12T07:04:56 --enforcementcount 0 &gt;&gt;C:\Users\stu\Documents\GitHub\eaglep3-reporting\EC\2017-04-12-refined-times.txt</v>
      </c>
      <c r="AI162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{"issue":{"subject":"","project_id":79,"tracker_id":40,"status_id":1,"priority_id":2,"assigned_to_id":23,"start_date":"2017-04-12","description":"","custom_fields":[{"id":1,"name":"Subdivision","value":"NW"},{"id":4,"name":"Milepost","value":"5.8935"},{"id":17,"name":"Train ID","value":"805-12"},{"id":16,"name":"Locomotive ID","value":"4022"},{"id":130,"name":"Impact","value":""},{"id":150,"name":"Time of Event (Mountain Time)","value":"07:04:56"},{"id":151,"name":"Denver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8"/>
      <c r="AL162" s="48"/>
      <c r="AM162" s="150" t="str">
        <f t="shared" si="62"/>
        <v>start /low /b %USERPROFILE%\Documents\GitHub\eaglep3\Utilities\DownloadLogsFromS3.py --loco 4022 --day 2017-04-12</v>
      </c>
      <c r="AN162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13:04:56"},{"id":29,"name":"Sharepoint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3" t="s">
        <v>702</v>
      </c>
      <c r="B163" s="7">
        <v>4021</v>
      </c>
      <c r="C163" s="21" t="s">
        <v>214</v>
      </c>
      <c r="D163" s="21" t="s">
        <v>973</v>
      </c>
      <c r="E163" s="13">
        <v>42837.296018518522</v>
      </c>
      <c r="F163" s="13">
        <v>42837.299837962964</v>
      </c>
      <c r="G163" s="7">
        <v>1</v>
      </c>
      <c r="H163" s="21" t="s">
        <v>974</v>
      </c>
      <c r="I163" s="13">
        <v>42837.308831018519</v>
      </c>
      <c r="J163" s="7">
        <v>0</v>
      </c>
      <c r="K163" s="97" t="str">
        <f t="shared" si="45"/>
        <v>4021/4022</v>
      </c>
      <c r="L163" s="21" t="str">
        <f>VLOOKUP(A163,'Trips&amp;Operators'!$C$1:$G$99999,5,FALSE)</f>
        <v>YORK EDGAR</v>
      </c>
      <c r="M163" s="6">
        <f t="shared" si="46"/>
        <v>8.9930555550381541E-3</v>
      </c>
      <c r="N163" s="7">
        <f t="shared" si="59"/>
        <v>12.949999999254942</v>
      </c>
      <c r="O163" s="7"/>
      <c r="P163" s="7"/>
      <c r="Q163" s="22"/>
      <c r="R163" s="22"/>
      <c r="S163" s="31">
        <f t="shared" si="47"/>
        <v>1</v>
      </c>
      <c r="T163" s="46" t="str">
        <f t="shared" si="48"/>
        <v>Southbound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2" t="str">
        <f t="shared" si="49"/>
        <v>https://d0f6bd738d7f1b3e5a7ca70fe4ff75f0.us-east-1.aws.found.io/app/kibana#/discover/Steve-Slow-Train-Analysis-(2080s-and-2083s)?_g=(refreshInterval:(display:Off,pause:!f,section:0,value:0),time:(from:'2017-04-12T06:06:16-0600',mode:absolute,to:'2017-04-12T08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3" s="183" t="str">
        <f t="shared" si="50"/>
        <v>N</v>
      </c>
      <c r="X163" s="183">
        <f t="shared" si="51"/>
        <v>1</v>
      </c>
      <c r="Y163" s="62">
        <f t="shared" si="52"/>
        <v>5.8628</v>
      </c>
      <c r="Z163" s="62">
        <f t="shared" si="53"/>
        <v>7.3599999999999999E-2</v>
      </c>
      <c r="AA163" s="62">
        <f t="shared" si="54"/>
        <v>5.7892000000000001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5"/>
        <v>0806-12</v>
      </c>
      <c r="AE163" s="85" t="str">
        <f t="shared" si="56"/>
        <v>aws s3 cp s3://rtdc.mdm.uploadarchive.raw/RTDC4021/ "%USERPROFILE%\AppData\Local\Temp\OnboardLogs"\RTDC4021\2017-04-12 --exclude "*" --recursive --include "*20170412*" &amp; "%USERPROFILE%\Documents\GitHub\mrs-test-scripts\Headless Mode &amp; Sideloading\WalkAndUnGZ.bat" "%USERPROFILE%\AppData\Local\Temp\OnboardLogs"\RTDC4021\2017-04-12 &amp; aws s3 cp s3://rtdc.mdm.uploadarchive.raw/RTDC4021/ "%USERPROFILE%\AppData\Local\Temp\OnboardLogs"\RTDC4021\2017-04-13 --exclude "*" --recursive --include "*20170413*" &amp; "%USERPROFILE%\Documents\GitHub\mrs-test-scripts\Headless Mode &amp; Sideloading\WalkAndUnGZ.bat" "%USERPROFILE%\AppData\Local\Temp\OnboardLogs"\RTDC4021\2017-04-13</v>
      </c>
      <c r="AF163" s="82" t="str">
        <f t="shared" si="57"/>
        <v>"C:\Program Files (x86)\AstroGrep\AstroGrep.exe" /e /r /s /spath="%USERPROFILE%\AppData\Local\Temp\OnboardLogs" /stypes="app*4021*20170412*" /stext=" 13:.+((SYSTEM_STATE.+slice.+state.+changed )|(ment ac)|(multiple cpu faults)|(system.+state.+changed )|(\[timeout)|(PRM\|1\|D)|(kpr)|(kdp)|(\|lc)|(penalty))"</v>
      </c>
      <c r="AG163" s="1" t="str">
        <f t="shared" si="58"/>
        <v>NW</v>
      </c>
      <c r="AH163" s="86" t="str">
        <f t="shared" si="60"/>
        <v>"%USERPROFILE%\Documents\GitHub\eaglep3\Utilities\RefineRTDCRunTimes.py" --tripid 806-12 --locoid 4021 --swversion DE.1.0.9.0 --startMP 300:58628 --initTime 2017-04-12T07:06:16 --startdatetime 2017-04-12T07:11:46 --delay 1 --endMP 204:736 --enddatetime 2017-04-12T07:24:43 --enforcementcount 0 &gt;&gt;C:\Users\stu\Documents\GitHub\eaglep3-reporting\EC\2017-04-12-refined-times.txt</v>
      </c>
      <c r="AI163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{"issue":{"subject":"","project_id":79,"tracker_id":40,"status_id":1,"priority_id":2,"assigned_to_id":23,"start_date":"2017-04-12","description":"","custom_fields":[{"id":1,"name":"Subdivision","value":"NW"},{"id":4,"name":"Milepost","value":"0.0736"},{"id":17,"name":"Train ID","value":"806-12"},{"id":16,"name":"Locomotive ID","value":"4021"},{"id":130,"name":"Impact","value":""},{"id":150,"name":"Time of Event (Mountain Time)","value":"07:24:43"},{"id":151,"name":"Denver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8"/>
      <c r="AL163" s="48"/>
      <c r="AM163" s="150" t="str">
        <f t="shared" si="62"/>
        <v>start /low /b %USERPROFILE%\Documents\GitHub\eaglep3\Utilities\DownloadLogsFromS3.py --loco 4021 --day 2017-04-12</v>
      </c>
      <c r="AN163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13:24:43"},{"id":29,"name":"Sharepoint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3" t="s">
        <v>704</v>
      </c>
      <c r="B164" s="7">
        <v>4016</v>
      </c>
      <c r="C164" s="21" t="s">
        <v>214</v>
      </c>
      <c r="D164" s="21" t="s">
        <v>975</v>
      </c>
      <c r="E164" s="13">
        <v>42837.302499999998</v>
      </c>
      <c r="F164" s="13">
        <v>42837.306527777779</v>
      </c>
      <c r="G164" s="7">
        <v>1</v>
      </c>
      <c r="H164" s="21" t="s">
        <v>609</v>
      </c>
      <c r="I164" s="13">
        <v>42837.315335648149</v>
      </c>
      <c r="J164" s="7">
        <v>0</v>
      </c>
      <c r="K164" s="97" t="str">
        <f t="shared" si="45"/>
        <v>4015/4016</v>
      </c>
      <c r="L164" s="21" t="str">
        <f>VLOOKUP(A164,'Trips&amp;Operators'!$C$1:$G$99999,5,FALSE)</f>
        <v>LOZA FIDEL</v>
      </c>
      <c r="M164" s="6">
        <f t="shared" si="46"/>
        <v>8.8078703702194616E-3</v>
      </c>
      <c r="N164" s="7">
        <f t="shared" si="59"/>
        <v>12.683333333116025</v>
      </c>
      <c r="O164" s="7"/>
      <c r="P164" s="7"/>
      <c r="Q164" s="22"/>
      <c r="R164" s="22"/>
      <c r="S164" s="31">
        <f t="shared" si="47"/>
        <v>1</v>
      </c>
      <c r="T164" s="46" t="str">
        <f t="shared" si="48"/>
        <v>NorthBound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 t="shared" si="49"/>
        <v>https://d0f6bd738d7f1b3e5a7ca70fe4ff75f0.us-east-1.aws.found.io/app/kibana#/discover/Steve-Slow-Train-Analysis-(2080s-and-2083s)?_g=(refreshInterval:(display:Off,pause:!f,section:0,value:0),time:(from:'2017-04-12T06:15:36-0600',mode:absolute,to:'2017-04-12T08:34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4" s="183" t="str">
        <f t="shared" si="50"/>
        <v>N</v>
      </c>
      <c r="X164" s="183">
        <f t="shared" si="51"/>
        <v>1</v>
      </c>
      <c r="Y164" s="62">
        <f t="shared" si="52"/>
        <v>0.1028</v>
      </c>
      <c r="Z164" s="62">
        <f t="shared" si="53"/>
        <v>5.8949999999999996</v>
      </c>
      <c r="AA164" s="62">
        <f t="shared" si="54"/>
        <v>5.7921999999999993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5"/>
        <v>0807-12</v>
      </c>
      <c r="AE164" s="85" t="str">
        <f t="shared" si="56"/>
        <v>aws s3 cp s3://rtdc.mdm.uploadarchive.raw/RTDC4016/ "%USERPROFILE%\AppData\Local\Temp\OnboardLogs"\RTDC4016\2017-04-12 --exclude "*" --recursive --include "*20170412*" &amp; "%USERPROFILE%\Documents\GitHub\mrs-test-scripts\Headless Mode &amp; Sideloading\WalkAndUnGZ.bat" "%USERPROFILE%\AppData\Local\Temp\OnboardLogs"\RTDC4016\2017-04-12 &amp; aws s3 cp s3://rtdc.mdm.uploadarchive.raw/RTDC4016/ "%USERPROFILE%\AppData\Local\Temp\OnboardLogs"\RTDC4016\2017-04-13 --exclude "*" --recursive --include "*20170413*" &amp; "%USERPROFILE%\Documents\GitHub\mrs-test-scripts\Headless Mode &amp; Sideloading\WalkAndUnGZ.bat" "%USERPROFILE%\AppData\Local\Temp\OnboardLogs"\RTDC4016\2017-04-13</v>
      </c>
      <c r="AF164" s="82" t="str">
        <f t="shared" si="57"/>
        <v>"C:\Program Files (x86)\AstroGrep\AstroGrep.exe" /e /r /s /spath="%USERPROFILE%\AppData\Local\Temp\OnboardLogs" /stypes="app*4016*20170412*" /stext=" 13:.+((SYSTEM_STATE.+slice.+state.+changed )|(ment ac)|(multiple cpu faults)|(system.+state.+changed )|(\[timeout)|(PRM\|1\|D)|(kpr)|(kdp)|(\|lc)|(penalty))"</v>
      </c>
      <c r="AG164" s="1" t="str">
        <f t="shared" si="58"/>
        <v>NW</v>
      </c>
      <c r="AH164" s="86" t="str">
        <f t="shared" si="60"/>
        <v>"%USERPROFILE%\Documents\GitHub\eaglep3\Utilities\RefineRTDCRunTimes.py" --tripid 807-12 --locoid 4016 --swversion DE.1.0.9.0 --startMP 204:1028 --initTime 2017-04-12T07:15:36 --startdatetime 2017-04-12T07:21:24 --delay 1 --endMP 300:58950 --enddatetime 2017-04-12T07:34:05 --enforcementcount 0 &gt;&gt;C:\Users\stu\Documents\GitHub\eaglep3-reporting\EC\2017-04-12-refined-times.txt</v>
      </c>
      <c r="AI164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{"issue":{"subject":"","project_id":79,"tracker_id":40,"status_id":1,"priority_id":2,"assigned_to_id":23,"start_date":"2017-04-12","description":"","custom_fields":[{"id":1,"name":"Subdivision","value":"NW"},{"id":4,"name":"Milepost","value":"5.895"},{"id":17,"name":"Train ID","value":"807-12"},{"id":16,"name":"Locomotive ID","value":"4016"},{"id":130,"name":"Impact","value":""},{"id":150,"name":"Time of Event (Mountain Time)","value":"07:34:05"},{"id":151,"name":"Denver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8"/>
      <c r="AL164" s="48"/>
      <c r="AM164" s="150" t="str">
        <f t="shared" si="62"/>
        <v>start /low /b %USERPROFILE%\Documents\GitHub\eaglep3\Utilities\DownloadLogsFromS3.py --loco 4016 --day 2017-04-12</v>
      </c>
      <c r="AN164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13:34:05"},{"id":29,"name":"Sharepoint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s="20" customFormat="1" x14ac:dyDescent="0.25">
      <c r="A165" s="33" t="s">
        <v>622</v>
      </c>
      <c r="B165" s="7">
        <v>4015</v>
      </c>
      <c r="C165" s="21" t="s">
        <v>214</v>
      </c>
      <c r="D165" s="21" t="s">
        <v>976</v>
      </c>
      <c r="E165" s="13">
        <v>42837.31689814815</v>
      </c>
      <c r="F165" s="13">
        <v>42837.318912037037</v>
      </c>
      <c r="G165" s="7">
        <v>1</v>
      </c>
      <c r="H165" s="21" t="s">
        <v>866</v>
      </c>
      <c r="I165" s="13">
        <v>42837.330092592594</v>
      </c>
      <c r="J165" s="7">
        <v>0</v>
      </c>
      <c r="K165" s="97" t="str">
        <f t="shared" si="45"/>
        <v>4015/4016</v>
      </c>
      <c r="L165" s="21" t="str">
        <f>VLOOKUP(A165,'Trips&amp;Operators'!$C$1:$G$99999,5,FALSE)</f>
        <v>LOZA FIDEL</v>
      </c>
      <c r="M165" s="6">
        <f t="shared" si="46"/>
        <v>1.1180555557075422E-2</v>
      </c>
      <c r="N165" s="7">
        <f t="shared" si="59"/>
        <v>16.100000002188608</v>
      </c>
      <c r="O165" s="7"/>
      <c r="P165" s="7"/>
      <c r="Q165" s="22"/>
      <c r="R165" s="22"/>
      <c r="S165" s="31">
        <f t="shared" si="47"/>
        <v>1</v>
      </c>
      <c r="T165" s="46" t="str">
        <f t="shared" si="48"/>
        <v>Southbound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 t="shared" si="49"/>
        <v>https://d0f6bd738d7f1b3e5a7ca70fe4ff75f0.us-east-1.aws.found.io/app/kibana#/discover/Steve-Slow-Train-Analysis-(2080s-and-2083s)?_g=(refreshInterval:(display:Off,pause:!f,section:0,value:0),time:(from:'2017-04-12T06:36:20-0600',mode:absolute,to:'2017-04-12T08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5" s="183" t="str">
        <f t="shared" si="50"/>
        <v>N</v>
      </c>
      <c r="X165" s="183">
        <f t="shared" si="51"/>
        <v>1</v>
      </c>
      <c r="Y165" s="62">
        <f t="shared" si="52"/>
        <v>5.8639999999999999</v>
      </c>
      <c r="Z165" s="62">
        <f t="shared" si="53"/>
        <v>7.4800000000000005E-2</v>
      </c>
      <c r="AA165" s="62">
        <f t="shared" si="54"/>
        <v>5.7892000000000001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5"/>
        <v>0808-12</v>
      </c>
      <c r="AE165" s="85" t="str">
        <f t="shared" si="56"/>
        <v>aws s3 cp s3://rtdc.mdm.uploadarchive.raw/RTDC4015/ "%USERPROFILE%\AppData\Local\Temp\OnboardLogs"\RTDC4015\2017-04-12 --exclude "*" --recursive --include "*20170412*" &amp; "%USERPROFILE%\Documents\GitHub\mrs-test-scripts\Headless Mode &amp; Sideloading\WalkAndUnGZ.bat" "%USERPROFILE%\AppData\Local\Temp\OnboardLogs"\RTDC4015\2017-04-12 &amp; aws s3 cp s3://rtdc.mdm.uploadarchive.raw/RTDC4015/ "%USERPROFILE%\AppData\Local\Temp\OnboardLogs"\RTDC4015\2017-04-13 --exclude "*" --recursive --include "*20170413*" &amp; "%USERPROFILE%\Documents\GitHub\mrs-test-scripts\Headless Mode &amp; Sideloading\WalkAndUnGZ.bat" "%USERPROFILE%\AppData\Local\Temp\OnboardLogs"\RTDC4015\2017-04-13</v>
      </c>
      <c r="AF165" s="82" t="str">
        <f t="shared" si="57"/>
        <v>"C:\Program Files (x86)\AstroGrep\AstroGrep.exe" /e /r /s /spath="%USERPROFILE%\AppData\Local\Temp\OnboardLogs" /stypes="app*4015*20170412*" /stext=" 13:.+((SYSTEM_STATE.+slice.+state.+changed )|(ment ac)|(multiple cpu faults)|(system.+state.+changed )|(\[timeout)|(PRM\|1\|D)|(kpr)|(kdp)|(\|lc)|(penalty))"</v>
      </c>
      <c r="AG165" s="1" t="str">
        <f t="shared" si="58"/>
        <v>NW</v>
      </c>
      <c r="AH165" s="86" t="str">
        <f t="shared" si="60"/>
        <v>"%USERPROFILE%\Documents\GitHub\eaglep3\Utilities\RefineRTDCRunTimes.py" --tripid 808-12 --locoid 4015 --swversion DE.1.0.9.0 --startMP 300:58640 --initTime 2017-04-12T07:36:20 --startdatetime 2017-04-12T07:39:14 --delay 1 --endMP 204:748 --enddatetime 2017-04-12T07:55:20 --enforcementcount 0 &gt;&gt;C:\Users\stu\Documents\GitHub\eaglep3-reporting\EC\2017-04-12-refined-times.txt</v>
      </c>
      <c r="AI165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{"issue":{"subject":"","project_id":79,"tracker_id":40,"status_id":1,"priority_id":2,"assigned_to_id":23,"start_date":"2017-04-12","description":"","custom_fields":[{"id":1,"name":"Subdivision","value":"NW"},{"id":4,"name":"Milepost","value":"0.0748"},{"id":17,"name":"Train ID","value":"808-12"},{"id":16,"name":"Locomotive ID","value":"4015"},{"id":130,"name":"Impact","value":""},{"id":150,"name":"Time of Event (Mountain Time)","value":"07:55:20"},{"id":151,"name":"Denver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8"/>
      <c r="AL165" s="48"/>
      <c r="AM165" s="150" t="str">
        <f t="shared" si="62"/>
        <v>start /low /b %USERPROFILE%\Documents\GitHub\eaglep3\Utilities\DownloadLogsFromS3.py --loco 4015 --day 2017-04-12</v>
      </c>
      <c r="AN165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13:55:20"},{"id":29,"name":"Sharepoint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3" t="s">
        <v>708</v>
      </c>
      <c r="B166" s="7">
        <v>4022</v>
      </c>
      <c r="C166" s="21" t="s">
        <v>214</v>
      </c>
      <c r="D166" s="21" t="s">
        <v>600</v>
      </c>
      <c r="E166" s="13">
        <v>42837.326655092591</v>
      </c>
      <c r="F166" s="13">
        <v>42837.327847222223</v>
      </c>
      <c r="G166" s="7">
        <v>1</v>
      </c>
      <c r="H166" s="21" t="s">
        <v>611</v>
      </c>
      <c r="I166" s="13">
        <v>42837.336041666669</v>
      </c>
      <c r="J166" s="7">
        <v>0</v>
      </c>
      <c r="K166" s="97" t="str">
        <f t="shared" si="45"/>
        <v>4021/4022</v>
      </c>
      <c r="L166" s="21" t="str">
        <f>VLOOKUP(A166,'Trips&amp;Operators'!$C$1:$G$99999,5,FALSE)</f>
        <v>YORK EDGAR</v>
      </c>
      <c r="M166" s="6">
        <f t="shared" si="46"/>
        <v>8.1944444464170374E-3</v>
      </c>
      <c r="N166" s="7">
        <f t="shared" si="59"/>
        <v>11.800000002840534</v>
      </c>
      <c r="O166" s="7"/>
      <c r="P166" s="7"/>
      <c r="Q166" s="22"/>
      <c r="R166" s="22"/>
      <c r="S166" s="31">
        <f t="shared" si="47"/>
        <v>1</v>
      </c>
      <c r="T166" s="46" t="str">
        <f t="shared" si="48"/>
        <v>NorthBound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 t="shared" si="49"/>
        <v>https://d0f6bd738d7f1b3e5a7ca70fe4ff75f0.us-east-1.aws.found.io/app/kibana#/discover/Steve-Slow-Train-Analysis-(2080s-and-2083s)?_g=(refreshInterval:(display:Off,pause:!f,section:0,value:0),time:(from:'2017-04-12T06:50:23-0600',mode:absolute,to:'2017-04-12T09:03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6" s="183" t="str">
        <f t="shared" si="50"/>
        <v>N</v>
      </c>
      <c r="X166" s="183">
        <f t="shared" si="51"/>
        <v>1</v>
      </c>
      <c r="Y166" s="62">
        <f t="shared" si="52"/>
        <v>0.1027</v>
      </c>
      <c r="Z166" s="62">
        <f t="shared" si="53"/>
        <v>5.8940999999999999</v>
      </c>
      <c r="AA166" s="62">
        <f t="shared" si="54"/>
        <v>5.7914000000000003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5"/>
        <v>0809-12</v>
      </c>
      <c r="AE166" s="85" t="str">
        <f t="shared" si="56"/>
        <v>aws s3 cp s3://rtdc.mdm.uploadarchive.raw/RTDC4022/ "%USERPROFILE%\AppData\Local\Temp\OnboardLogs"\RTDC4022\2017-04-12 --exclude "*" --recursive --include "*20170412*" &amp; "%USERPROFILE%\Documents\GitHub\mrs-test-scripts\Headless Mode &amp; Sideloading\WalkAndUnGZ.bat" "%USERPROFILE%\AppData\Local\Temp\OnboardLogs"\RTDC4022\2017-04-12 &amp; aws s3 cp s3://rtdc.mdm.uploadarchive.raw/RTDC4022/ "%USERPROFILE%\AppData\Local\Temp\OnboardLogs"\RTDC4022\2017-04-13 --exclude "*" --recursive --include "*20170413*" &amp; "%USERPROFILE%\Documents\GitHub\mrs-test-scripts\Headless Mode &amp; Sideloading\WalkAndUnGZ.bat" "%USERPROFILE%\AppData\Local\Temp\OnboardLogs"\RTDC4022\2017-04-13</v>
      </c>
      <c r="AF166" s="82" t="str">
        <f t="shared" si="57"/>
        <v>"C:\Program Files (x86)\AstroGrep\AstroGrep.exe" /e /r /s /spath="%USERPROFILE%\AppData\Local\Temp\OnboardLogs" /stypes="app*4022*20170412*" /stext=" 14:.+((SYSTEM_STATE.+slice.+state.+changed )|(ment ac)|(multiple cpu faults)|(system.+state.+changed )|(\[timeout)|(PRM\|1\|D)|(kpr)|(kdp)|(\|lc)|(penalty))"</v>
      </c>
      <c r="AG166" s="1" t="str">
        <f t="shared" si="58"/>
        <v>NW</v>
      </c>
      <c r="AH166" s="86" t="str">
        <f t="shared" si="60"/>
        <v>"%USERPROFILE%\Documents\GitHub\eaglep3\Utilities\RefineRTDCRunTimes.py" --tripid 809-12 --locoid 4022 --swversion DE.1.0.9.0 --startMP 204:1027 --initTime 2017-04-12T07:50:23 --startdatetime 2017-04-12T07:52:06 --delay 1 --endMP 300:58941 --enddatetime 2017-04-12T08:03:54 --enforcementcount 0 &gt;&gt;C:\Users\stu\Documents\GitHub\eaglep3-reporting\EC\2017-04-12-refined-times.txt</v>
      </c>
      <c r="AI166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{"issue":{"subject":"","project_id":79,"tracker_id":40,"status_id":1,"priority_id":2,"assigned_to_id":23,"start_date":"2017-04-12","description":"","custom_fields":[{"id":1,"name":"Subdivision","value":"NW"},{"id":4,"name":"Milepost","value":"5.8941"},{"id":17,"name":"Train ID","value":"809-12"},{"id":16,"name":"Locomotive ID","value":"4022"},{"id":130,"name":"Impact","value":""},{"id":150,"name":"Time of Event (Mountain Time)","value":"08:03:54"},{"id":151,"name":"Denver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8"/>
      <c r="AL166" s="48"/>
      <c r="AM166" s="150" t="str">
        <f t="shared" si="62"/>
        <v>start /low /b %USERPROFILE%\Documents\GitHub\eaglep3\Utilities\DownloadLogsFromS3.py --loco 4022 --day 2017-04-12</v>
      </c>
      <c r="AN166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14:03:54"},{"id":29,"name":"Sharepoint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3" t="s">
        <v>711</v>
      </c>
      <c r="B167" s="7">
        <v>4021</v>
      </c>
      <c r="C167" s="21" t="s">
        <v>214</v>
      </c>
      <c r="D167" s="21" t="s">
        <v>977</v>
      </c>
      <c r="E167" s="13">
        <v>42837.337025462963</v>
      </c>
      <c r="F167" s="13">
        <v>42837.34138888889</v>
      </c>
      <c r="G167" s="7">
        <v>1</v>
      </c>
      <c r="H167" s="21" t="s">
        <v>978</v>
      </c>
      <c r="I167" s="13">
        <v>42837.35050925926</v>
      </c>
      <c r="J167" s="7">
        <v>0</v>
      </c>
      <c r="K167" s="97" t="str">
        <f t="shared" si="45"/>
        <v>4021/4022</v>
      </c>
      <c r="L167" s="21" t="str">
        <f>VLOOKUP(A167,'Trips&amp;Operators'!$C$1:$G$99999,5,FALSE)</f>
        <v>YORK EDGAR</v>
      </c>
      <c r="M167" s="6">
        <f t="shared" si="46"/>
        <v>9.1203703705104999E-3</v>
      </c>
      <c r="N167" s="7">
        <f t="shared" si="59"/>
        <v>13.13333333353512</v>
      </c>
      <c r="O167" s="7"/>
      <c r="P167" s="7"/>
      <c r="Q167" s="22"/>
      <c r="R167" s="22"/>
      <c r="S167" s="31">
        <f t="shared" si="47"/>
        <v>1</v>
      </c>
      <c r="T167" s="46" t="str">
        <f t="shared" si="48"/>
        <v>Southbound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 t="shared" si="49"/>
        <v>https://d0f6bd738d7f1b3e5a7ca70fe4ff75f0.us-east-1.aws.found.io/app/kibana#/discover/Steve-Slow-Train-Analysis-(2080s-and-2083s)?_g=(refreshInterval:(display:Off,pause:!f,section:0,value:0),time:(from:'2017-04-12T07:05:19-0600',mode:absolute,to:'2017-04-12T09:24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7" s="183" t="str">
        <f t="shared" si="50"/>
        <v>N</v>
      </c>
      <c r="X167" s="183">
        <f t="shared" si="51"/>
        <v>1</v>
      </c>
      <c r="Y167" s="62">
        <f t="shared" si="52"/>
        <v>5.8623000000000003</v>
      </c>
      <c r="Z167" s="62">
        <f t="shared" si="53"/>
        <v>7.9699999999999993E-2</v>
      </c>
      <c r="AA167" s="62">
        <f t="shared" si="54"/>
        <v>5.7826000000000004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5"/>
        <v>0810-12</v>
      </c>
      <c r="AE167" s="85" t="str">
        <f t="shared" si="56"/>
        <v>aws s3 cp s3://rtdc.mdm.uploadarchive.raw/RTDC4021/ "%USERPROFILE%\AppData\Local\Temp\OnboardLogs"\RTDC4021\2017-04-12 --exclude "*" --recursive --include "*20170412*" &amp; "%USERPROFILE%\Documents\GitHub\mrs-test-scripts\Headless Mode &amp; Sideloading\WalkAndUnGZ.bat" "%USERPROFILE%\AppData\Local\Temp\OnboardLogs"\RTDC4021\2017-04-12 &amp; aws s3 cp s3://rtdc.mdm.uploadarchive.raw/RTDC4021/ "%USERPROFILE%\AppData\Local\Temp\OnboardLogs"\RTDC4021\2017-04-13 --exclude "*" --recursive --include "*20170413*" &amp; "%USERPROFILE%\Documents\GitHub\mrs-test-scripts\Headless Mode &amp; Sideloading\WalkAndUnGZ.bat" "%USERPROFILE%\AppData\Local\Temp\OnboardLogs"\RTDC4021\2017-04-13</v>
      </c>
      <c r="AF167" s="82" t="str">
        <f t="shared" si="57"/>
        <v>"C:\Program Files (x86)\AstroGrep\AstroGrep.exe" /e /r /s /spath="%USERPROFILE%\AppData\Local\Temp\OnboardLogs" /stypes="app*4021*20170412*" /stext=" 14:.+((SYSTEM_STATE.+slice.+state.+changed )|(ment ac)|(multiple cpu faults)|(system.+state.+changed )|(\[timeout)|(PRM\|1\|D)|(kpr)|(kdp)|(\|lc)|(penalty))"</v>
      </c>
      <c r="AG167" s="1" t="str">
        <f t="shared" si="58"/>
        <v>NW</v>
      </c>
      <c r="AH167" s="86" t="str">
        <f t="shared" si="60"/>
        <v>"%USERPROFILE%\Documents\GitHub\eaglep3\Utilities\RefineRTDCRunTimes.py" --tripid 810-12 --locoid 4021 --swversion DE.1.0.9.0 --startMP 300:58623 --initTime 2017-04-12T08:05:19 --startdatetime 2017-04-12T08:11:36 --delay 1 --endMP 204:797 --enddatetime 2017-04-12T08:24:44 --enforcementcount 0 &gt;&gt;C:\Users\stu\Documents\GitHub\eaglep3-reporting\EC\2017-04-12-refined-times.txt</v>
      </c>
      <c r="AI167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{"issue":{"subject":"","project_id":79,"tracker_id":40,"status_id":1,"priority_id":2,"assigned_to_id":23,"start_date":"2017-04-12","description":"","custom_fields":[{"id":1,"name":"Subdivision","value":"NW"},{"id":4,"name":"Milepost","value":"0.0797"},{"id":17,"name":"Train ID","value":"810-12"},{"id":16,"name":"Locomotive ID","value":"4021"},{"id":130,"name":"Impact","value":""},{"id":150,"name":"Time of Event (Mountain Time)","value":"08:24:44"},{"id":151,"name":"Denver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8"/>
      <c r="AL167" s="48"/>
      <c r="AM167" s="150" t="str">
        <f t="shared" si="62"/>
        <v>start /low /b %USERPROFILE%\Documents\GitHub\eaglep3\Utilities\DownloadLogsFromS3.py --loco 4021 --day 2017-04-12</v>
      </c>
      <c r="AN167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14:24:44"},{"id":29,"name":"Sharepoint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s="20" customFormat="1" x14ac:dyDescent="0.25">
      <c r="A168" s="33" t="s">
        <v>713</v>
      </c>
      <c r="B168" s="7">
        <v>4016</v>
      </c>
      <c r="C168" s="21" t="s">
        <v>214</v>
      </c>
      <c r="D168" s="21" t="s">
        <v>979</v>
      </c>
      <c r="E168" s="13">
        <v>42837.345567129632</v>
      </c>
      <c r="F168" s="13">
        <v>42837.348113425927</v>
      </c>
      <c r="G168" s="7">
        <v>2</v>
      </c>
      <c r="H168" s="21" t="s">
        <v>512</v>
      </c>
      <c r="I168" s="13">
        <v>42837.357430555552</v>
      </c>
      <c r="J168" s="7">
        <v>0</v>
      </c>
      <c r="K168" s="97" t="str">
        <f t="shared" si="45"/>
        <v>4015/4016</v>
      </c>
      <c r="L168" s="21" t="str">
        <f>VLOOKUP(A168,'Trips&amp;Operators'!$C$1:$G$99999,5,FALSE)</f>
        <v>WILLIAMS DONTE</v>
      </c>
      <c r="M168" s="6">
        <f t="shared" si="46"/>
        <v>9.3171296248328872E-3</v>
      </c>
      <c r="N168" s="7">
        <f t="shared" si="59"/>
        <v>13.416666659759358</v>
      </c>
      <c r="O168" s="7"/>
      <c r="P168" s="7"/>
      <c r="Q168" s="22"/>
      <c r="R168" s="22"/>
      <c r="S168" s="31">
        <f t="shared" si="47"/>
        <v>1</v>
      </c>
      <c r="T168" s="46" t="str">
        <f t="shared" si="48"/>
        <v>NorthBound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 t="shared" si="49"/>
        <v>https://d0f6bd738d7f1b3e5a7ca70fe4ff75f0.us-east-1.aws.found.io/app/kibana#/discover/Steve-Slow-Train-Analysis-(2080s-and-2083s)?_g=(refreshInterval:(display:Off,pause:!f,section:0,value:0),time:(from:'2017-04-12T07:17:37-0600',mode:absolute,to:'2017-04-12T09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8" s="183" t="str">
        <f t="shared" si="50"/>
        <v>N</v>
      </c>
      <c r="X168" s="183">
        <f t="shared" si="51"/>
        <v>1</v>
      </c>
      <c r="Y168" s="62">
        <f t="shared" si="52"/>
        <v>0.1095</v>
      </c>
      <c r="Z168" s="62">
        <f t="shared" si="53"/>
        <v>5.8943000000000003</v>
      </c>
      <c r="AA168" s="62">
        <f t="shared" si="54"/>
        <v>5.7848000000000006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5"/>
        <v>0811-12</v>
      </c>
      <c r="AE168" s="85" t="str">
        <f t="shared" si="56"/>
        <v>aws s3 cp s3://rtdc.mdm.uploadarchive.raw/RTDC4016/ "%USERPROFILE%\AppData\Local\Temp\OnboardLogs"\RTDC4016\2017-04-12 --exclude "*" --recursive --include "*20170412*" &amp; "%USERPROFILE%\Documents\GitHub\mrs-test-scripts\Headless Mode &amp; Sideloading\WalkAndUnGZ.bat" "%USERPROFILE%\AppData\Local\Temp\OnboardLogs"\RTDC4016\2017-04-12 &amp; aws s3 cp s3://rtdc.mdm.uploadarchive.raw/RTDC4016/ "%USERPROFILE%\AppData\Local\Temp\OnboardLogs"\RTDC4016\2017-04-13 --exclude "*" --recursive --include "*20170413*" &amp; "%USERPROFILE%\Documents\GitHub\mrs-test-scripts\Headless Mode &amp; Sideloading\WalkAndUnGZ.bat" "%USERPROFILE%\AppData\Local\Temp\OnboardLogs"\RTDC4016\2017-04-13</v>
      </c>
      <c r="AF168" s="82" t="str">
        <f t="shared" si="57"/>
        <v>"C:\Program Files (x86)\AstroGrep\AstroGrep.exe" /e /r /s /spath="%USERPROFILE%\AppData\Local\Temp\OnboardLogs" /stypes="app*4016*20170412*" /stext=" 14:.+((SYSTEM_STATE.+slice.+state.+changed )|(ment ac)|(multiple cpu faults)|(system.+state.+changed )|(\[timeout)|(PRM\|1\|D)|(kpr)|(kdp)|(\|lc)|(penalty))"</v>
      </c>
      <c r="AG168" s="1" t="str">
        <f t="shared" si="58"/>
        <v>NW</v>
      </c>
      <c r="AH168" s="86" t="str">
        <f t="shared" si="60"/>
        <v>"%USERPROFILE%\Documents\GitHub\eaglep3\Utilities\RefineRTDCRunTimes.py" --tripid 811-12 --locoid 4016 --swversion DE.1.0.9.0 --startMP 204:1095 --initTime 2017-04-12T08:17:37 --startdatetime 2017-04-12T08:21:17 --delay 2 --endMP 300:58943 --enddatetime 2017-04-12T08:34:42 --enforcementcount 0 &gt;&gt;C:\Users\stu\Documents\GitHub\eaglep3-reporting\EC\2017-04-12-refined-times.txt</v>
      </c>
      <c r="AI168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{"issue":{"subject":"","project_id":79,"tracker_id":40,"status_id":1,"priority_id":2,"assigned_to_id":23,"start_date":"2017-04-12","description":"","custom_fields":[{"id":1,"name":"Subdivision","value":"NW"},{"id":4,"name":"Milepost","value":"5.8943"},{"id":17,"name":"Train ID","value":"811-12"},{"id":16,"name":"Locomotive ID","value":"4016"},{"id":130,"name":"Impact","value":""},{"id":150,"name":"Time of Event (Mountain Time)","value":"08:34:42"},{"id":151,"name":"Denver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8"/>
      <c r="AL168" s="48"/>
      <c r="AM168" s="150" t="str">
        <f t="shared" si="62"/>
        <v>start /low /b %USERPROFILE%\Documents\GitHub\eaglep3\Utilities\DownloadLogsFromS3.py --loco 4016 --day 2017-04-12</v>
      </c>
      <c r="AN168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14:34:42"},{"id":29,"name":"Sharepoint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3" t="s">
        <v>718</v>
      </c>
      <c r="B169" s="7">
        <v>4015</v>
      </c>
      <c r="C169" s="21" t="s">
        <v>214</v>
      </c>
      <c r="D169" s="21" t="s">
        <v>612</v>
      </c>
      <c r="E169" s="13">
        <v>42837.358842592592</v>
      </c>
      <c r="F169" s="13">
        <v>42837.36078703704</v>
      </c>
      <c r="G169" s="7">
        <v>1</v>
      </c>
      <c r="H169" s="21" t="s">
        <v>980</v>
      </c>
      <c r="I169" s="13">
        <v>42837.371689814812</v>
      </c>
      <c r="J169" s="7">
        <v>0</v>
      </c>
      <c r="K169" s="97" t="str">
        <f t="shared" si="45"/>
        <v>4015/4016</v>
      </c>
      <c r="L169" s="21" t="str">
        <f>VLOOKUP(A169,'Trips&amp;Operators'!$C$1:$G$99999,5,FALSE)</f>
        <v>WILLIAMS DONTE</v>
      </c>
      <c r="M169" s="6">
        <f t="shared" si="46"/>
        <v>1.0902777772571426E-2</v>
      </c>
      <c r="N169" s="7">
        <f t="shared" si="59"/>
        <v>15.699999992502853</v>
      </c>
      <c r="O169" s="7"/>
      <c r="P169" s="7"/>
      <c r="Q169" s="22"/>
      <c r="R169" s="22"/>
      <c r="S169" s="31">
        <f t="shared" si="47"/>
        <v>1</v>
      </c>
      <c r="T169" s="46" t="str">
        <f t="shared" si="48"/>
        <v>Southbound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 t="shared" si="49"/>
        <v>https://d0f6bd738d7f1b3e5a7ca70fe4ff75f0.us-east-1.aws.found.io/app/kibana#/discover/Steve-Slow-Train-Analysis-(2080s-and-2083s)?_g=(refreshInterval:(display:Off,pause:!f,section:0,value:0),time:(from:'2017-04-12T07:36:44-0600',mode:absolute,to:'2017-04-12T09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9" s="183" t="str">
        <f t="shared" si="50"/>
        <v>N</v>
      </c>
      <c r="X169" s="183">
        <f t="shared" si="51"/>
        <v>1</v>
      </c>
      <c r="Y169" s="62">
        <f t="shared" si="52"/>
        <v>5.8624000000000001</v>
      </c>
      <c r="Z169" s="62">
        <f t="shared" si="53"/>
        <v>7.1999999999999995E-2</v>
      </c>
      <c r="AA169" s="62">
        <f t="shared" si="54"/>
        <v>5.7904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5"/>
        <v>0812-12</v>
      </c>
      <c r="AE169" s="85" t="str">
        <f t="shared" si="56"/>
        <v>aws s3 cp s3://rtdc.mdm.uploadarchive.raw/RTDC4015/ "%USERPROFILE%\AppData\Local\Temp\OnboardLogs"\RTDC4015\2017-04-12 --exclude "*" --recursive --include "*20170412*" &amp; "%USERPROFILE%\Documents\GitHub\mrs-test-scripts\Headless Mode &amp; Sideloading\WalkAndUnGZ.bat" "%USERPROFILE%\AppData\Local\Temp\OnboardLogs"\RTDC4015\2017-04-12 &amp; aws s3 cp s3://rtdc.mdm.uploadarchive.raw/RTDC4015/ "%USERPROFILE%\AppData\Local\Temp\OnboardLogs"\RTDC4015\2017-04-13 --exclude "*" --recursive --include "*20170413*" &amp; "%USERPROFILE%\Documents\GitHub\mrs-test-scripts\Headless Mode &amp; Sideloading\WalkAndUnGZ.bat" "%USERPROFILE%\AppData\Local\Temp\OnboardLogs"\RTDC4015\2017-04-13</v>
      </c>
      <c r="AF169" s="82" t="str">
        <f t="shared" si="57"/>
        <v>"C:\Program Files (x86)\AstroGrep\AstroGrep.exe" /e /r /s /spath="%USERPROFILE%\AppData\Local\Temp\OnboardLogs" /stypes="app*4015*20170412*" /stext=" 14:.+((SYSTEM_STATE.+slice.+state.+changed )|(ment ac)|(multiple cpu faults)|(system.+state.+changed )|(\[timeout)|(PRM\|1\|D)|(kpr)|(kdp)|(\|lc)|(penalty))"</v>
      </c>
      <c r="AG169" s="1" t="str">
        <f t="shared" si="58"/>
        <v>NW</v>
      </c>
      <c r="AH169" s="86" t="str">
        <f t="shared" si="60"/>
        <v>"%USERPROFILE%\Documents\GitHub\eaglep3\Utilities\RefineRTDCRunTimes.py" --tripid 812-12 --locoid 4015 --swversion DE.1.0.9.0 --startMP 300:58624 --initTime 2017-04-12T08:36:44 --startdatetime 2017-04-12T08:39:32 --delay 1 --endMP 204:720 --enddatetime 2017-04-12T08:55:14 --enforcementcount 0 &gt;&gt;C:\Users\stu\Documents\GitHub\eaglep3-reporting\EC\2017-04-12-refined-times.txt</v>
      </c>
      <c r="AI169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{"issue":{"subject":"","project_id":79,"tracker_id":40,"status_id":1,"priority_id":2,"assigned_to_id":23,"start_date":"2017-04-12","description":"","custom_fields":[{"id":1,"name":"Subdivision","value":"NW"},{"id":4,"name":"Milepost","value":"0.072"},{"id":17,"name":"Train ID","value":"812-12"},{"id":16,"name":"Locomotive ID","value":"4015"},{"id":130,"name":"Impact","value":""},{"id":150,"name":"Time of Event (Mountain Time)","value":"08:55:14"},{"id":151,"name":"Denver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8"/>
      <c r="AL169" s="48"/>
      <c r="AM169" s="150" t="str">
        <f t="shared" si="62"/>
        <v>start /low /b %USERPROFILE%\Documents\GitHub\eaglep3\Utilities\DownloadLogsFromS3.py --loco 4015 --day 2017-04-12</v>
      </c>
      <c r="AN169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14:55:14"},{"id":29,"name":"Sharepoint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x14ac:dyDescent="0.25">
      <c r="A170" s="33" t="s">
        <v>724</v>
      </c>
      <c r="B170" s="7">
        <v>4016</v>
      </c>
      <c r="C170" s="21" t="s">
        <v>214</v>
      </c>
      <c r="D170" s="21" t="s">
        <v>603</v>
      </c>
      <c r="E170" s="13">
        <v>42837.386863425927</v>
      </c>
      <c r="F170" s="13">
        <v>42837.389826388891</v>
      </c>
      <c r="G170" s="7">
        <v>2</v>
      </c>
      <c r="H170" s="21" t="s">
        <v>981</v>
      </c>
      <c r="I170" s="13">
        <v>42837.398576388892</v>
      </c>
      <c r="J170" s="7">
        <v>0</v>
      </c>
      <c r="K170" s="97" t="str">
        <f t="shared" si="45"/>
        <v>4015/4016</v>
      </c>
      <c r="L170" s="21" t="str">
        <f>VLOOKUP(A170,'Trips&amp;Operators'!$C$1:$G$99999,5,FALSE)</f>
        <v>LOZA FIDEL</v>
      </c>
      <c r="M170" s="6">
        <f t="shared" si="46"/>
        <v>8.7500000008731149E-3</v>
      </c>
      <c r="N170" s="7">
        <f t="shared" si="59"/>
        <v>12.600000001257285</v>
      </c>
      <c r="O170" s="7"/>
      <c r="P170" s="7"/>
      <c r="Q170" s="22"/>
      <c r="R170" s="22"/>
      <c r="S170" s="31">
        <f t="shared" si="47"/>
        <v>1</v>
      </c>
      <c r="T170" s="46" t="str">
        <f t="shared" si="48"/>
        <v>NorthBound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 t="shared" si="49"/>
        <v>https://d0f6bd738d7f1b3e5a7ca70fe4ff75f0.us-east-1.aws.found.io/app/kibana#/discover/Steve-Slow-Train-Analysis-(2080s-and-2083s)?_g=(refreshInterval:(display:Off,pause:!f,section:0,value:0),time:(from:'2017-04-12T08:17:05-0600',mode:absolute,to:'2017-04-12T10:33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0" s="183" t="str">
        <f t="shared" si="50"/>
        <v>N</v>
      </c>
      <c r="X170" s="183">
        <f t="shared" si="51"/>
        <v>1</v>
      </c>
      <c r="Y170" s="62">
        <f t="shared" si="52"/>
        <v>0.1009</v>
      </c>
      <c r="Z170" s="62">
        <f t="shared" si="53"/>
        <v>5.8948</v>
      </c>
      <c r="AA170" s="62">
        <f t="shared" si="54"/>
        <v>5.7938999999999998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5"/>
        <v>0813-12</v>
      </c>
      <c r="AE170" s="85" t="str">
        <f t="shared" si="56"/>
        <v>aws s3 cp s3://rtdc.mdm.uploadarchive.raw/RTDC4016/ "%USERPROFILE%\AppData\Local\Temp\OnboardLogs"\RTDC4016\2017-04-12 --exclude "*" --recursive --include "*20170412*" &amp; "%USERPROFILE%\Documents\GitHub\mrs-test-scripts\Headless Mode &amp; Sideloading\WalkAndUnGZ.bat" "%USERPROFILE%\AppData\Local\Temp\OnboardLogs"\RTDC4016\2017-04-12 &amp; aws s3 cp s3://rtdc.mdm.uploadarchive.raw/RTDC4016/ "%USERPROFILE%\AppData\Local\Temp\OnboardLogs"\RTDC4016\2017-04-13 --exclude "*" --recursive --include "*20170413*" &amp; "%USERPROFILE%\Documents\GitHub\mrs-test-scripts\Headless Mode &amp; Sideloading\WalkAndUnGZ.bat" "%USERPROFILE%\AppData\Local\Temp\OnboardLogs"\RTDC4016\2017-04-13</v>
      </c>
      <c r="AF170" s="82" t="str">
        <f t="shared" si="57"/>
        <v>"C:\Program Files (x86)\AstroGrep\AstroGrep.exe" /e /r /s /spath="%USERPROFILE%\AppData\Local\Temp\OnboardLogs" /stypes="app*4016*20170412*" /stext=" 15:.+((SYSTEM_STATE.+slice.+state.+changed )|(ment ac)|(multiple cpu faults)|(system.+state.+changed )|(\[timeout)|(PRM\|1\|D)|(kpr)|(kdp)|(\|lc)|(penalty))"</v>
      </c>
      <c r="AG170" s="1" t="str">
        <f t="shared" si="58"/>
        <v>NW</v>
      </c>
      <c r="AH170" s="86" t="str">
        <f t="shared" si="60"/>
        <v>"%USERPROFILE%\Documents\GitHub\eaglep3\Utilities\RefineRTDCRunTimes.py" --tripid 813-12 --locoid 4016 --swversion DE.1.0.9.0 --startMP 204:1009 --initTime 2017-04-12T09:17:05 --startdatetime 2017-04-12T09:21:21 --delay 2 --endMP 300:58948 --enddatetime 2017-04-12T09:33:57 --enforcementcount 0 &gt;&gt;C:\Users\stu\Documents\GitHub\eaglep3-reporting\EC\2017-04-12-refined-times.txt</v>
      </c>
      <c r="AI170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{"issue":{"subject":"","project_id":79,"tracker_id":40,"status_id":1,"priority_id":2,"assigned_to_id":23,"start_date":"2017-04-12","description":"","custom_fields":[{"id":1,"name":"Subdivision","value":"NW"},{"id":4,"name":"Milepost","value":"5.8948"},{"id":17,"name":"Train ID","value":"813-12"},{"id":16,"name":"Locomotive ID","value":"4016"},{"id":130,"name":"Impact","value":""},{"id":150,"name":"Time of Event (Mountain Time)","value":"09:33:57"},{"id":151,"name":"Denver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8"/>
      <c r="AL170" s="48"/>
      <c r="AM170" s="150" t="str">
        <f t="shared" si="62"/>
        <v>start /low /b %USERPROFILE%\Documents\GitHub\eaglep3\Utilities\DownloadLogsFromS3.py --loco 4016 --day 2017-04-12</v>
      </c>
      <c r="AN170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15:33:57"},{"id":29,"name":"Sharepoint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s="20" customFormat="1" x14ac:dyDescent="0.25">
      <c r="A171" s="33" t="s">
        <v>727</v>
      </c>
      <c r="B171" s="7">
        <v>4015</v>
      </c>
      <c r="C171" s="21" t="s">
        <v>214</v>
      </c>
      <c r="D171" s="21" t="s">
        <v>982</v>
      </c>
      <c r="E171" s="13">
        <v>42837.399780092594</v>
      </c>
      <c r="F171" s="13">
        <v>42837.401631944442</v>
      </c>
      <c r="G171" s="7">
        <v>1</v>
      </c>
      <c r="H171" s="21" t="s">
        <v>983</v>
      </c>
      <c r="I171" s="13">
        <v>42837.414988425924</v>
      </c>
      <c r="J171" s="7">
        <v>0</v>
      </c>
      <c r="K171" s="97" t="str">
        <f t="shared" si="45"/>
        <v>4015/4016</v>
      </c>
      <c r="L171" s="21" t="str">
        <f>VLOOKUP(A171,'Trips&amp;Operators'!$C$1:$G$99999,5,FALSE)</f>
        <v>LOZA FIDEL</v>
      </c>
      <c r="M171" s="6">
        <f t="shared" si="46"/>
        <v>1.3356481482333038E-2</v>
      </c>
      <c r="N171" s="7">
        <f t="shared" si="59"/>
        <v>19.233333334559575</v>
      </c>
      <c r="O171" s="7"/>
      <c r="P171" s="7"/>
      <c r="Q171" s="22"/>
      <c r="R171" s="22"/>
      <c r="S171" s="31">
        <f t="shared" si="47"/>
        <v>1</v>
      </c>
      <c r="T171" s="46" t="str">
        <f t="shared" si="48"/>
        <v>Southbound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 t="shared" si="49"/>
        <v>https://d0f6bd738d7f1b3e5a7ca70fe4ff75f0.us-east-1.aws.found.io/app/kibana#/discover/Steve-Slow-Train-Analysis-(2080s-and-2083s)?_g=(refreshInterval:(display:Off,pause:!f,section:0,value:0),time:(from:'2017-04-12T08:35:41-0600',mode:absolute,to:'2017-04-12T10:57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1" s="183" t="str">
        <f t="shared" si="50"/>
        <v>N</v>
      </c>
      <c r="X171" s="183">
        <f t="shared" si="51"/>
        <v>1</v>
      </c>
      <c r="Y171" s="62">
        <f t="shared" si="52"/>
        <v>5.8640999999999996</v>
      </c>
      <c r="Z171" s="62">
        <f t="shared" si="53"/>
        <v>6.8199999999999997E-2</v>
      </c>
      <c r="AA171" s="62">
        <f t="shared" si="54"/>
        <v>5.7958999999999996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5"/>
        <v>0814-12</v>
      </c>
      <c r="AE171" s="85" t="str">
        <f t="shared" si="56"/>
        <v>aws s3 cp s3://rtdc.mdm.uploadarchive.raw/RTDC4015/ "%USERPROFILE%\AppData\Local\Temp\OnboardLogs"\RTDC4015\2017-04-12 --exclude "*" --recursive --include "*20170412*" &amp; "%USERPROFILE%\Documents\GitHub\mrs-test-scripts\Headless Mode &amp; Sideloading\WalkAndUnGZ.bat" "%USERPROFILE%\AppData\Local\Temp\OnboardLogs"\RTDC4015\2017-04-12 &amp; aws s3 cp s3://rtdc.mdm.uploadarchive.raw/RTDC4015/ "%USERPROFILE%\AppData\Local\Temp\OnboardLogs"\RTDC4015\2017-04-13 --exclude "*" --recursive --include "*20170413*" &amp; "%USERPROFILE%\Documents\GitHub\mrs-test-scripts\Headless Mode &amp; Sideloading\WalkAndUnGZ.bat" "%USERPROFILE%\AppData\Local\Temp\OnboardLogs"\RTDC4015\2017-04-13</v>
      </c>
      <c r="AF171" s="82" t="str">
        <f t="shared" si="57"/>
        <v>"C:\Program Files (x86)\AstroGrep\AstroGrep.exe" /e /r /s /spath="%USERPROFILE%\AppData\Local\Temp\OnboardLogs" /stypes="app*4015*20170412*" /stext=" 15:.+((SYSTEM_STATE.+slice.+state.+changed )|(ment ac)|(multiple cpu faults)|(system.+state.+changed )|(\[timeout)|(PRM\|1\|D)|(kpr)|(kdp)|(\|lc)|(penalty))"</v>
      </c>
      <c r="AG171" s="1" t="str">
        <f t="shared" si="58"/>
        <v>NW</v>
      </c>
      <c r="AH171" s="86" t="str">
        <f t="shared" si="60"/>
        <v>"%USERPROFILE%\Documents\GitHub\eaglep3\Utilities\RefineRTDCRunTimes.py" --tripid 814-12 --locoid 4015 --swversion DE.1.0.9.0 --startMP 300:58641 --initTime 2017-04-12T09:35:41 --startdatetime 2017-04-12T09:38:21 --delay 1 --endMP 204:682 --enddatetime 2017-04-12T09:57:35 --enforcementcount 0 &gt;&gt;C:\Users\stu\Documents\GitHub\eaglep3-reporting\EC\2017-04-12-refined-times.txt</v>
      </c>
      <c r="AI171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{"issue":{"subject":"","project_id":79,"tracker_id":40,"status_id":1,"priority_id":2,"assigned_to_id":23,"start_date":"2017-04-12","description":"","custom_fields":[{"id":1,"name":"Subdivision","value":"NW"},{"id":4,"name":"Milepost","value":"0.0682"},{"id":17,"name":"Train ID","value":"814-12"},{"id":16,"name":"Locomotive ID","value":"4015"},{"id":130,"name":"Impact","value":""},{"id":150,"name":"Time of Event (Mountain Time)","value":"09:57:35"},{"id":151,"name":"Denver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8"/>
      <c r="AL171" s="48"/>
      <c r="AM171" s="150" t="str">
        <f t="shared" si="62"/>
        <v>start /low /b %USERPROFILE%\Documents\GitHub\eaglep3\Utilities\DownloadLogsFromS3.py --loco 4015 --day 2017-04-12</v>
      </c>
      <c r="AN171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15:57:35"},{"id":29,"name":"Sharepoint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3" t="s">
        <v>626</v>
      </c>
      <c r="B172" s="7">
        <v>4016</v>
      </c>
      <c r="C172" s="21" t="s">
        <v>214</v>
      </c>
      <c r="D172" s="21" t="s">
        <v>984</v>
      </c>
      <c r="E172" s="13">
        <v>42837.428784722222</v>
      </c>
      <c r="F172" s="13">
        <v>42837.431504629632</v>
      </c>
      <c r="G172" s="7">
        <v>1</v>
      </c>
      <c r="H172" s="21" t="s">
        <v>553</v>
      </c>
      <c r="I172" s="13">
        <v>42837.441770833335</v>
      </c>
      <c r="J172" s="7">
        <v>0</v>
      </c>
      <c r="K172" s="97" t="str">
        <f t="shared" si="45"/>
        <v>4015/4016</v>
      </c>
      <c r="L172" s="21" t="str">
        <f>VLOOKUP(A172,'Trips&amp;Operators'!$C$1:$G$99999,5,FALSE)</f>
        <v>WILLIAMS DONTE</v>
      </c>
      <c r="M172" s="6">
        <f t="shared" si="46"/>
        <v>1.0266203702485655E-2</v>
      </c>
      <c r="N172" s="7">
        <f t="shared" si="59"/>
        <v>14.783333331579342</v>
      </c>
      <c r="O172" s="7"/>
      <c r="P172" s="7"/>
      <c r="Q172" s="22"/>
      <c r="R172" s="22"/>
      <c r="S172" s="31">
        <f t="shared" si="47"/>
        <v>1</v>
      </c>
      <c r="T172" s="46" t="str">
        <f t="shared" si="48"/>
        <v>NorthBound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 t="shared" si="49"/>
        <v>https://d0f6bd738d7f1b3e5a7ca70fe4ff75f0.us-east-1.aws.found.io/app/kibana#/discover/Steve-Slow-Train-Analysis-(2080s-and-2083s)?_g=(refreshInterval:(display:Off,pause:!f,section:0,value:0),time:(from:'2017-04-12T09:17:27-0600',mode:absolute,to:'2017-04-12T11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2" s="183" t="str">
        <f t="shared" si="50"/>
        <v>N</v>
      </c>
      <c r="X172" s="183">
        <f t="shared" si="51"/>
        <v>1</v>
      </c>
      <c r="Y172" s="62">
        <f t="shared" si="52"/>
        <v>9.7600000000000006E-2</v>
      </c>
      <c r="Z172" s="62">
        <f t="shared" si="53"/>
        <v>5.8924000000000003</v>
      </c>
      <c r="AA172" s="62">
        <f t="shared" si="54"/>
        <v>5.7948000000000004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5"/>
        <v>0815-12</v>
      </c>
      <c r="AE172" s="85" t="str">
        <f t="shared" si="56"/>
        <v>aws s3 cp s3://rtdc.mdm.uploadarchive.raw/RTDC4016/ "%USERPROFILE%\AppData\Local\Temp\OnboardLogs"\RTDC4016\2017-04-12 --exclude "*" --recursive --include "*20170412*" &amp; "%USERPROFILE%\Documents\GitHub\mrs-test-scripts\Headless Mode &amp; Sideloading\WalkAndUnGZ.bat" "%USERPROFILE%\AppData\Local\Temp\OnboardLogs"\RTDC4016\2017-04-12 &amp; aws s3 cp s3://rtdc.mdm.uploadarchive.raw/RTDC4016/ "%USERPROFILE%\AppData\Local\Temp\OnboardLogs"\RTDC4016\2017-04-13 --exclude "*" --recursive --include "*20170413*" &amp; "%USERPROFILE%\Documents\GitHub\mrs-test-scripts\Headless Mode &amp; Sideloading\WalkAndUnGZ.bat" "%USERPROFILE%\AppData\Local\Temp\OnboardLogs"\RTDC4016\2017-04-13</v>
      </c>
      <c r="AF172" s="82" t="str">
        <f t="shared" si="57"/>
        <v>"C:\Program Files (x86)\AstroGrep\AstroGrep.exe" /e /r /s /spath="%USERPROFILE%\AppData\Local\Temp\OnboardLogs" /stypes="app*4016*20170412*" /stext=" 16:.+((SYSTEM_STATE.+slice.+state.+changed )|(ment ac)|(multiple cpu faults)|(system.+state.+changed )|(\[timeout)|(PRM\|1\|D)|(kpr)|(kdp)|(\|lc)|(penalty))"</v>
      </c>
      <c r="AG172" s="1" t="str">
        <f t="shared" si="58"/>
        <v>NW</v>
      </c>
      <c r="AH172" s="86" t="str">
        <f t="shared" si="60"/>
        <v>"%USERPROFILE%\Documents\GitHub\eaglep3\Utilities\RefineRTDCRunTimes.py" --tripid 815-12 --locoid 4016 --swversion DE.1.0.9.0 --startMP 204:976 --initTime 2017-04-12T10:17:27 --startdatetime 2017-04-12T10:21:22 --delay 1 --endMP 300:58924 --enddatetime 2017-04-12T10:36:09 --enforcementcount 0 &gt;&gt;C:\Users\stu\Documents\GitHub\eaglep3-reporting\EC\2017-04-12-refined-times.txt</v>
      </c>
      <c r="AI172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{"issue":{"subject":"","project_id":79,"tracker_id":40,"status_id":1,"priority_id":2,"assigned_to_id":23,"start_date":"2017-04-12","description":"","custom_fields":[{"id":1,"name":"Subdivision","value":"NW"},{"id":4,"name":"Milepost","value":"5.8924"},{"id":17,"name":"Train ID","value":"815-12"},{"id":16,"name":"Locomotive ID","value":"4016"},{"id":130,"name":"Impact","value":""},{"id":150,"name":"Time of Event (Mountain Time)","value":"10:36:09"},{"id":151,"name":"Denver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8"/>
      <c r="AL172" s="48"/>
      <c r="AM172" s="150" t="str">
        <f t="shared" si="62"/>
        <v>start /low /b %USERPROFILE%\Documents\GitHub\eaglep3\Utilities\DownloadLogsFromS3.py --loco 4016 --day 2017-04-12</v>
      </c>
      <c r="AN172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16:36:09"},{"id":29,"name":"Sharepoint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s="20" customFormat="1" x14ac:dyDescent="0.25">
      <c r="A173" s="33" t="s">
        <v>628</v>
      </c>
      <c r="B173" s="7">
        <v>4015</v>
      </c>
      <c r="C173" s="21" t="s">
        <v>214</v>
      </c>
      <c r="D173" s="21" t="s">
        <v>552</v>
      </c>
      <c r="E173" s="13">
        <v>42837.443020833336</v>
      </c>
      <c r="F173" s="13">
        <v>42837.444861111115</v>
      </c>
      <c r="G173" s="7">
        <v>1</v>
      </c>
      <c r="H173" s="21" t="s">
        <v>985</v>
      </c>
      <c r="I173" s="13">
        <v>42837.455046296294</v>
      </c>
      <c r="J173" s="7">
        <v>0</v>
      </c>
      <c r="K173" s="97" t="str">
        <f t="shared" si="45"/>
        <v>4015/4016</v>
      </c>
      <c r="L173" s="21" t="str">
        <f>VLOOKUP(A173,'Trips&amp;Operators'!$C$1:$G$99999,5,FALSE)</f>
        <v>WILLIAMS DONTE</v>
      </c>
      <c r="M173" s="6">
        <f t="shared" si="46"/>
        <v>1.0185185179580003E-2</v>
      </c>
      <c r="N173" s="7">
        <f t="shared" si="59"/>
        <v>14.666666658595204</v>
      </c>
      <c r="O173" s="7"/>
      <c r="P173" s="7"/>
      <c r="Q173" s="22"/>
      <c r="R173" s="22"/>
      <c r="S173" s="31">
        <f t="shared" si="47"/>
        <v>1</v>
      </c>
      <c r="T173" s="46" t="str">
        <f t="shared" si="48"/>
        <v>Southbound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 t="shared" si="49"/>
        <v>https://d0f6bd738d7f1b3e5a7ca70fe4ff75f0.us-east-1.aws.found.io/app/kibana#/discover/Steve-Slow-Train-Analysis-(2080s-and-2083s)?_g=(refreshInterval:(display:Off,pause:!f,section:0,value:0),time:(from:'2017-04-12T09:37:57-0600',mode:absolute,to:'2017-04-12T11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3" s="183" t="str">
        <f t="shared" si="50"/>
        <v>N</v>
      </c>
      <c r="X173" s="183">
        <f t="shared" si="51"/>
        <v>1</v>
      </c>
      <c r="Y173" s="62">
        <f t="shared" si="52"/>
        <v>5.8611000000000004</v>
      </c>
      <c r="Z173" s="62">
        <f t="shared" si="53"/>
        <v>7.0999999999999994E-2</v>
      </c>
      <c r="AA173" s="62">
        <f t="shared" si="54"/>
        <v>5.7901000000000007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5"/>
        <v>0816-12</v>
      </c>
      <c r="AE173" s="85" t="str">
        <f t="shared" si="56"/>
        <v>aws s3 cp s3://rtdc.mdm.uploadarchive.raw/RTDC4015/ "%USERPROFILE%\AppData\Local\Temp\OnboardLogs"\RTDC4015\2017-04-12 --exclude "*" --recursive --include "*20170412*" &amp; "%USERPROFILE%\Documents\GitHub\mrs-test-scripts\Headless Mode &amp; Sideloading\WalkAndUnGZ.bat" "%USERPROFILE%\AppData\Local\Temp\OnboardLogs"\RTDC4015\2017-04-12 &amp; aws s3 cp s3://rtdc.mdm.uploadarchive.raw/RTDC4015/ "%USERPROFILE%\AppData\Local\Temp\OnboardLogs"\RTDC4015\2017-04-13 --exclude "*" --recursive --include "*20170413*" &amp; "%USERPROFILE%\Documents\GitHub\mrs-test-scripts\Headless Mode &amp; Sideloading\WalkAndUnGZ.bat" "%USERPROFILE%\AppData\Local\Temp\OnboardLogs"\RTDC4015\2017-04-13</v>
      </c>
      <c r="AF173" s="82" t="str">
        <f t="shared" si="57"/>
        <v>"C:\Program Files (x86)\AstroGrep\AstroGrep.exe" /e /r /s /spath="%USERPROFILE%\AppData\Local\Temp\OnboardLogs" /stypes="app*4015*20170412*" /stext=" 16:.+((SYSTEM_STATE.+slice.+state.+changed )|(ment ac)|(multiple cpu faults)|(system.+state.+changed )|(\[timeout)|(PRM\|1\|D)|(kpr)|(kdp)|(\|lc)|(penalty))"</v>
      </c>
      <c r="AG173" s="1" t="str">
        <f t="shared" si="58"/>
        <v>NW</v>
      </c>
      <c r="AH173" s="86" t="str">
        <f t="shared" si="60"/>
        <v>"%USERPROFILE%\Documents\GitHub\eaglep3\Utilities\RefineRTDCRunTimes.py" --tripid 816-12 --locoid 4015 --swversion DE.1.0.9.0 --startMP 300:58611 --initTime 2017-04-12T10:37:57 --startdatetime 2017-04-12T10:40:36 --delay 1 --endMP 204:710 --enddatetime 2017-04-12T10:55:16 --enforcementcount 0 &gt;&gt;C:\Users\stu\Documents\GitHub\eaglep3-reporting\EC\2017-04-12-refined-times.txt</v>
      </c>
      <c r="AI173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{"issue":{"subject":"","project_id":79,"tracker_id":40,"status_id":1,"priority_id":2,"assigned_to_id":23,"start_date":"2017-04-12","description":"","custom_fields":[{"id":1,"name":"Subdivision","value":"NW"},{"id":4,"name":"Milepost","value":"0.071"},{"id":17,"name":"Train ID","value":"816-12"},{"id":16,"name":"Locomotive ID","value":"4015"},{"id":130,"name":"Impact","value":""},{"id":150,"name":"Time of Event (Mountain Time)","value":"10:55:16"},{"id":151,"name":"Denver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8"/>
      <c r="AL173" s="48"/>
      <c r="AM173" s="150" t="str">
        <f t="shared" si="62"/>
        <v>start /low /b %USERPROFILE%\Documents\GitHub\eaglep3\Utilities\DownloadLogsFromS3.py --loco 4015 --day 2017-04-12</v>
      </c>
      <c r="AN173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16:55:16"},{"id":29,"name":"Sharepoint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3" t="s">
        <v>743</v>
      </c>
      <c r="B174" s="7">
        <v>4016</v>
      </c>
      <c r="C174" s="21" t="s">
        <v>214</v>
      </c>
      <c r="D174" s="21" t="s">
        <v>986</v>
      </c>
      <c r="E174" s="13">
        <v>42837.457777777781</v>
      </c>
      <c r="F174" s="13">
        <v>42837.473101851851</v>
      </c>
      <c r="G174" s="7">
        <v>1</v>
      </c>
      <c r="H174" s="21" t="s">
        <v>604</v>
      </c>
      <c r="I174" s="13">
        <v>42837.48228009259</v>
      </c>
      <c r="J174" s="7">
        <v>0</v>
      </c>
      <c r="K174" s="97" t="str">
        <f t="shared" si="45"/>
        <v>4015/4016</v>
      </c>
      <c r="L174" s="21" t="str">
        <f>VLOOKUP(A174,'Trips&amp;Operators'!$C$1:$G$99999,5,FALSE)</f>
        <v>WILLIAMS DONTE</v>
      </c>
      <c r="M174" s="6">
        <f t="shared" si="46"/>
        <v>9.1782407398568466E-3</v>
      </c>
      <c r="N174" s="7">
        <f t="shared" ref="N174:N205" si="64">24*60*SUM($M174:$M174)</f>
        <v>13.216666665393859</v>
      </c>
      <c r="O174" s="7"/>
      <c r="P174" s="7"/>
      <c r="Q174" s="22"/>
      <c r="R174" s="22"/>
      <c r="S174" s="31">
        <f t="shared" si="47"/>
        <v>1</v>
      </c>
      <c r="T174" s="46" t="str">
        <f t="shared" si="48"/>
        <v>NorthBound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 t="shared" si="49"/>
        <v>https://d0f6bd738d7f1b3e5a7ca70fe4ff75f0.us-east-1.aws.found.io/app/kibana#/discover/Steve-Slow-Train-Analysis-(2080s-and-2083s)?_g=(refreshInterval:(display:Off,pause:!f,section:0,value:0),time:(from:'2017-04-12T09:59:12-0600',mode:absolute,to:'2017-04-12T12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4" s="183" t="str">
        <f t="shared" si="50"/>
        <v>N</v>
      </c>
      <c r="X174" s="183">
        <f t="shared" si="51"/>
        <v>1</v>
      </c>
      <c r="Y174" s="62">
        <f t="shared" si="52"/>
        <v>9.9299999999999999E-2</v>
      </c>
      <c r="Z174" s="62">
        <f t="shared" si="53"/>
        <v>5.8952</v>
      </c>
      <c r="AA174" s="62">
        <f t="shared" si="54"/>
        <v>5.7958999999999996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5"/>
        <v>0817-12</v>
      </c>
      <c r="AE174" s="85" t="str">
        <f t="shared" si="56"/>
        <v>aws s3 cp s3://rtdc.mdm.uploadarchive.raw/RTDC4016/ "%USERPROFILE%\AppData\Local\Temp\OnboardLogs"\RTDC4016\2017-04-12 --exclude "*" --recursive --include "*20170412*" &amp; "%USERPROFILE%\Documents\GitHub\mrs-test-scripts\Headless Mode &amp; Sideloading\WalkAndUnGZ.bat" "%USERPROFILE%\AppData\Local\Temp\OnboardLogs"\RTDC4016\2017-04-12 &amp; aws s3 cp s3://rtdc.mdm.uploadarchive.raw/RTDC4016/ "%USERPROFILE%\AppData\Local\Temp\OnboardLogs"\RTDC4016\2017-04-13 --exclude "*" --recursive --include "*20170413*" &amp; "%USERPROFILE%\Documents\GitHub\mrs-test-scripts\Headless Mode &amp; Sideloading\WalkAndUnGZ.bat" "%USERPROFILE%\AppData\Local\Temp\OnboardLogs"\RTDC4016\2017-04-13</v>
      </c>
      <c r="AF174" s="82" t="str">
        <f t="shared" si="57"/>
        <v>"C:\Program Files (x86)\AstroGrep\AstroGrep.exe" /e /r /s /spath="%USERPROFILE%\AppData\Local\Temp\OnboardLogs" /stypes="app*4016*20170412*" /stext=" 17:.+((SYSTEM_STATE.+slice.+state.+changed )|(ment ac)|(multiple cpu faults)|(system.+state.+changed )|(\[timeout)|(PRM\|1\|D)|(kpr)|(kdp)|(\|lc)|(penalty))"</v>
      </c>
      <c r="AG174" s="1" t="str">
        <f t="shared" si="58"/>
        <v>NW</v>
      </c>
      <c r="AH174" s="86" t="str">
        <f t="shared" si="60"/>
        <v>"%USERPROFILE%\Documents\GitHub\eaglep3\Utilities\RefineRTDCRunTimes.py" --tripid 817-12 --locoid 4016 --swversion DE.1.0.9.0 --startMP 204:993 --initTime 2017-04-12T10:59:12 --startdatetime 2017-04-12T11:21:16 --delay 1 --endMP 300:58952 --enddatetime 2017-04-12T11:34:29 --enforcementcount 0 &gt;&gt;C:\Users\stu\Documents\GitHub\eaglep3-reporting\EC\2017-04-12-refined-times.txt</v>
      </c>
      <c r="AI174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{"issue":{"subject":"","project_id":79,"tracker_id":40,"status_id":1,"priority_id":2,"assigned_to_id":23,"start_date":"2017-04-12","description":"","custom_fields":[{"id":1,"name":"Subdivision","value":"NW"},{"id":4,"name":"Milepost","value":"5.8952"},{"id":17,"name":"Train ID","value":"817-12"},{"id":16,"name":"Locomotive ID","value":"4016"},{"id":130,"name":"Impact","value":""},{"id":150,"name":"Time of Event (Mountain Time)","value":"11:34:29"},{"id":151,"name":"Denver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8"/>
      <c r="AL174" s="48"/>
      <c r="AM174" s="150" t="str">
        <f t="shared" si="62"/>
        <v>start /low /b %USERPROFILE%\Documents\GitHub\eaglep3\Utilities\DownloadLogsFromS3.py --loco 4016 --day 2017-04-12</v>
      </c>
      <c r="AN174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17:34:29"},{"id":29,"name":"Sharepoint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3" t="s">
        <v>751</v>
      </c>
      <c r="B175" s="7">
        <v>4015</v>
      </c>
      <c r="C175" s="21" t="s">
        <v>214</v>
      </c>
      <c r="D175" s="21" t="s">
        <v>606</v>
      </c>
      <c r="E175" s="13">
        <v>42837.483854166669</v>
      </c>
      <c r="F175" s="13">
        <v>42837.485636574071</v>
      </c>
      <c r="G175" s="7">
        <v>1</v>
      </c>
      <c r="H175" s="21" t="s">
        <v>987</v>
      </c>
      <c r="I175" s="13">
        <v>42837.496631944443</v>
      </c>
      <c r="J175" s="7">
        <v>0</v>
      </c>
      <c r="K175" s="97" t="str">
        <f t="shared" si="45"/>
        <v>4015/4016</v>
      </c>
      <c r="L175" s="21" t="str">
        <f>VLOOKUP(A175,'Trips&amp;Operators'!$C$1:$G$99999,5,FALSE)</f>
        <v>LOZA FIDEL</v>
      </c>
      <c r="M175" s="6">
        <f t="shared" si="46"/>
        <v>1.099537037225673E-2</v>
      </c>
      <c r="N175" s="7">
        <f t="shared" si="64"/>
        <v>15.833333336049691</v>
      </c>
      <c r="O175" s="7"/>
      <c r="P175" s="7"/>
      <c r="Q175" s="22"/>
      <c r="R175" s="22"/>
      <c r="S175" s="31">
        <f t="shared" si="47"/>
        <v>1</v>
      </c>
      <c r="T175" s="46" t="str">
        <f t="shared" si="48"/>
        <v>Southbound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 t="shared" si="49"/>
        <v>https://d0f6bd738d7f1b3e5a7ca70fe4ff75f0.us-east-1.aws.found.io/app/kibana#/discover/Steve-Slow-Train-Analysis-(2080s-and-2083s)?_g=(refreshInterval:(display:Off,pause:!f,section:0,value:0),time:(from:'2017-04-12T10:36:45-0600',mode:absolute,to:'2017-04-12T12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5" s="183" t="str">
        <f t="shared" si="50"/>
        <v>N</v>
      </c>
      <c r="X175" s="183">
        <f t="shared" si="51"/>
        <v>1</v>
      </c>
      <c r="Y175" s="62">
        <f t="shared" si="52"/>
        <v>5.8630000000000004</v>
      </c>
      <c r="Z175" s="62">
        <f t="shared" si="53"/>
        <v>6.5699999999999995E-2</v>
      </c>
      <c r="AA175" s="62">
        <f t="shared" si="54"/>
        <v>5.7973000000000008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5"/>
        <v>0818-12</v>
      </c>
      <c r="AE175" s="85" t="str">
        <f t="shared" si="56"/>
        <v>aws s3 cp s3://rtdc.mdm.uploadarchive.raw/RTDC4015/ "%USERPROFILE%\AppData\Local\Temp\OnboardLogs"\RTDC4015\2017-04-12 --exclude "*" --recursive --include "*20170412*" &amp; "%USERPROFILE%\Documents\GitHub\mrs-test-scripts\Headless Mode &amp; Sideloading\WalkAndUnGZ.bat" "%USERPROFILE%\AppData\Local\Temp\OnboardLogs"\RTDC4015\2017-04-12 &amp; aws s3 cp s3://rtdc.mdm.uploadarchive.raw/RTDC4015/ "%USERPROFILE%\AppData\Local\Temp\OnboardLogs"\RTDC4015\2017-04-13 --exclude "*" --recursive --include "*20170413*" &amp; "%USERPROFILE%\Documents\GitHub\mrs-test-scripts\Headless Mode &amp; Sideloading\WalkAndUnGZ.bat" "%USERPROFILE%\AppData\Local\Temp\OnboardLogs"\RTDC4015\2017-04-13</v>
      </c>
      <c r="AF175" s="82" t="str">
        <f t="shared" si="57"/>
        <v>"C:\Program Files (x86)\AstroGrep\AstroGrep.exe" /e /r /s /spath="%USERPROFILE%\AppData\Local\Temp\OnboardLogs" /stypes="app*4015*20170412*" /stext=" 17:.+((SYSTEM_STATE.+slice.+state.+changed )|(ment ac)|(multiple cpu faults)|(system.+state.+changed )|(\[timeout)|(PRM\|1\|D)|(kpr)|(kdp)|(\|lc)|(penalty))"</v>
      </c>
      <c r="AG175" s="1" t="str">
        <f t="shared" si="58"/>
        <v>NW</v>
      </c>
      <c r="AH175" s="86" t="str">
        <f t="shared" si="60"/>
        <v>"%USERPROFILE%\Documents\GitHub\eaglep3\Utilities\RefineRTDCRunTimes.py" --tripid 818-12 --locoid 4015 --swversion DE.1.0.9.0 --startMP 300:58630 --initTime 2017-04-12T11:36:45 --startdatetime 2017-04-12T11:39:19 --delay 1 --endMP 204:657 --enddatetime 2017-04-12T11:55:09 --enforcementcount 0 &gt;&gt;C:\Users\stu\Documents\GitHub\eaglep3-reporting\EC\2017-04-12-refined-times.txt</v>
      </c>
      <c r="AI175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{"issue":{"subject":"","project_id":79,"tracker_id":40,"status_id":1,"priority_id":2,"assigned_to_id":23,"start_date":"2017-04-12","description":"","custom_fields":[{"id":1,"name":"Subdivision","value":"NW"},{"id":4,"name":"Milepost","value":"0.0657"},{"id":17,"name":"Train ID","value":"818-12"},{"id":16,"name":"Locomotive ID","value":"4015"},{"id":130,"name":"Impact","value":""},{"id":150,"name":"Time of Event (Mountain Time)","value":"11:55:09"},{"id":151,"name":"Denver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8"/>
      <c r="AL175" s="48"/>
      <c r="AM175" s="150" t="str">
        <f t="shared" si="62"/>
        <v>start /low /b %USERPROFILE%\Documents\GitHub\eaglep3\Utilities\DownloadLogsFromS3.py --loco 4015 --day 2017-04-12</v>
      </c>
      <c r="AN175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17:55:09"},{"id":29,"name":"Sharepoint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s="20" customFormat="1" x14ac:dyDescent="0.25">
      <c r="A176" s="33" t="s">
        <v>633</v>
      </c>
      <c r="B176" s="7">
        <v>4016</v>
      </c>
      <c r="C176" s="21" t="s">
        <v>214</v>
      </c>
      <c r="D176" s="21" t="s">
        <v>549</v>
      </c>
      <c r="E176" s="13">
        <v>42837.49900462963</v>
      </c>
      <c r="F176" s="13">
        <v>42837.514791666668</v>
      </c>
      <c r="G176" s="7">
        <v>1</v>
      </c>
      <c r="H176" s="21" t="s">
        <v>512</v>
      </c>
      <c r="I176" s="13">
        <v>42837.52548611111</v>
      </c>
      <c r="J176" s="7">
        <v>0</v>
      </c>
      <c r="K176" s="97" t="str">
        <f t="shared" si="45"/>
        <v>4015/4016</v>
      </c>
      <c r="L176" s="21" t="str">
        <f>VLOOKUP(A176,'Trips&amp;Operators'!$C$1:$G$99999,5,FALSE)</f>
        <v>WILLIAMS DONTE</v>
      </c>
      <c r="M176" s="6">
        <f t="shared" si="46"/>
        <v>1.0694444441469386E-2</v>
      </c>
      <c r="N176" s="7">
        <f t="shared" si="64"/>
        <v>15.399999995715916</v>
      </c>
      <c r="O176" s="7"/>
      <c r="P176" s="7"/>
      <c r="Q176" s="22"/>
      <c r="R176" s="22"/>
      <c r="S176" s="31">
        <f t="shared" si="47"/>
        <v>1</v>
      </c>
      <c r="T176" s="46" t="str">
        <f t="shared" si="48"/>
        <v>NorthBound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2" t="str">
        <f t="shared" si="49"/>
        <v>https://d0f6bd738d7f1b3e5a7ca70fe4ff75f0.us-east-1.aws.found.io/app/kibana#/discover/Steve-Slow-Train-Analysis-(2080s-and-2083s)?_g=(refreshInterval:(display:Off,pause:!f,section:0,value:0),time:(from:'2017-04-12T10:58:34-0600',mode:absolute,to:'2017-04-12T13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6" s="183" t="str">
        <f t="shared" si="50"/>
        <v>N</v>
      </c>
      <c r="X176" s="183">
        <f t="shared" si="51"/>
        <v>1</v>
      </c>
      <c r="Y176" s="62">
        <f t="shared" si="52"/>
        <v>9.6699999999999994E-2</v>
      </c>
      <c r="Z176" s="62">
        <f t="shared" si="53"/>
        <v>5.8943000000000003</v>
      </c>
      <c r="AA176" s="62">
        <f t="shared" si="54"/>
        <v>5.7976000000000001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5"/>
        <v>0819-12</v>
      </c>
      <c r="AE176" s="85" t="str">
        <f t="shared" si="56"/>
        <v>aws s3 cp s3://rtdc.mdm.uploadarchive.raw/RTDC4016/ "%USERPROFILE%\AppData\Local\Temp\OnboardLogs"\RTDC4016\2017-04-12 --exclude "*" --recursive --include "*20170412*" &amp; "%USERPROFILE%\Documents\GitHub\mrs-test-scripts\Headless Mode &amp; Sideloading\WalkAndUnGZ.bat" "%USERPROFILE%\AppData\Local\Temp\OnboardLogs"\RTDC4016\2017-04-12 &amp; aws s3 cp s3://rtdc.mdm.uploadarchive.raw/RTDC4016/ "%USERPROFILE%\AppData\Local\Temp\OnboardLogs"\RTDC4016\2017-04-13 --exclude "*" --recursive --include "*20170413*" &amp; "%USERPROFILE%\Documents\GitHub\mrs-test-scripts\Headless Mode &amp; Sideloading\WalkAndUnGZ.bat" "%USERPROFILE%\AppData\Local\Temp\OnboardLogs"\RTDC4016\2017-04-13</v>
      </c>
      <c r="AF176" s="82" t="str">
        <f t="shared" si="57"/>
        <v>"C:\Program Files (x86)\AstroGrep\AstroGrep.exe" /e /r /s /spath="%USERPROFILE%\AppData\Local\Temp\OnboardLogs" /stypes="app*4016*20170412*" /stext=" 18:.+((SYSTEM_STATE.+slice.+state.+changed )|(ment ac)|(multiple cpu faults)|(system.+state.+changed )|(\[timeout)|(PRM\|1\|D)|(kpr)|(kdp)|(\|lc)|(penalty))"</v>
      </c>
      <c r="AG176" s="1" t="str">
        <f t="shared" si="58"/>
        <v>NW</v>
      </c>
      <c r="AH176" s="86" t="str">
        <f t="shared" si="60"/>
        <v>"%USERPROFILE%\Documents\GitHub\eaglep3\Utilities\RefineRTDCRunTimes.py" --tripid 819-12 --locoid 4016 --swversion DE.1.0.9.0 --startMP 204:967 --initTime 2017-04-12T11:58:34 --startdatetime 2017-04-12T12:21:18 --delay 1 --endMP 300:58943 --enddatetime 2017-04-12T12:36:42 --enforcementcount 0 &gt;&gt;C:\Users\stu\Documents\GitHub\eaglep3-reporting\EC\2017-04-12-refined-times.txt</v>
      </c>
      <c r="AI176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{"issue":{"subject":"","project_id":79,"tracker_id":40,"status_id":1,"priority_id":2,"assigned_to_id":23,"start_date":"2017-04-12","description":"","custom_fields":[{"id":1,"name":"Subdivision","value":"NW"},{"id":4,"name":"Milepost","value":"5.8943"},{"id":17,"name":"Train ID","value":"819-12"},{"id":16,"name":"Locomotive ID","value":"4016"},{"id":130,"name":"Impact","value":""},{"id":150,"name":"Time of Event (Mountain Time)","value":"12:36:42"},{"id":151,"name":"Denver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8"/>
      <c r="AL176" s="48"/>
      <c r="AM176" s="150" t="str">
        <f t="shared" si="62"/>
        <v>start /low /b %USERPROFILE%\Documents\GitHub\eaglep3\Utilities\DownloadLogsFromS3.py --loco 4016 --day 2017-04-12</v>
      </c>
      <c r="AN176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18:36:42"},{"id":29,"name":"Sharepoint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3" t="s">
        <v>758</v>
      </c>
      <c r="B177" s="7">
        <v>4015</v>
      </c>
      <c r="C177" s="21" t="s">
        <v>214</v>
      </c>
      <c r="D177" s="21" t="s">
        <v>988</v>
      </c>
      <c r="E177" s="13">
        <v>42837.526932870373</v>
      </c>
      <c r="F177" s="13">
        <v>42837.528715277775</v>
      </c>
      <c r="G177" s="7">
        <v>1</v>
      </c>
      <c r="H177" s="21" t="s">
        <v>551</v>
      </c>
      <c r="I177" s="13">
        <v>42837.539143518516</v>
      </c>
      <c r="J177" s="7">
        <v>0</v>
      </c>
      <c r="K177" s="97" t="str">
        <f t="shared" si="45"/>
        <v>4015/4016</v>
      </c>
      <c r="L177" s="21" t="str">
        <f>VLOOKUP(A177,'Trips&amp;Operators'!$C$1:$G$99999,5,FALSE)</f>
        <v>WILLIAMS DONTE</v>
      </c>
      <c r="M177" s="6">
        <f t="shared" si="46"/>
        <v>1.0428240741021E-2</v>
      </c>
      <c r="N177" s="7">
        <f t="shared" si="64"/>
        <v>15.01666666707024</v>
      </c>
      <c r="O177" s="7"/>
      <c r="P177" s="7"/>
      <c r="Q177" s="22"/>
      <c r="R177" s="22"/>
      <c r="S177" s="31">
        <f t="shared" si="47"/>
        <v>1</v>
      </c>
      <c r="T177" s="46" t="str">
        <f t="shared" si="48"/>
        <v>Southbound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 t="shared" si="49"/>
        <v>https://d0f6bd738d7f1b3e5a7ca70fe4ff75f0.us-east-1.aws.found.io/app/kibana#/discover/Steve-Slow-Train-Analysis-(2080s-and-2083s)?_g=(refreshInterval:(display:Off,pause:!f,section:0,value:0),time:(from:'2017-04-12T11:38:47-0600',mode:absolute,to:'2017-04-12T13:56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7" s="183" t="str">
        <f t="shared" si="50"/>
        <v>N</v>
      </c>
      <c r="X177" s="183">
        <f t="shared" si="51"/>
        <v>1</v>
      </c>
      <c r="Y177" s="62">
        <f t="shared" si="52"/>
        <v>5.8635999999999999</v>
      </c>
      <c r="Z177" s="62">
        <f t="shared" si="53"/>
        <v>6.9599999999999995E-2</v>
      </c>
      <c r="AA177" s="62">
        <f t="shared" si="54"/>
        <v>5.7939999999999996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5"/>
        <v>0820-12</v>
      </c>
      <c r="AE177" s="85" t="str">
        <f t="shared" si="56"/>
        <v>aws s3 cp s3://rtdc.mdm.uploadarchive.raw/RTDC4015/ "%USERPROFILE%\AppData\Local\Temp\OnboardLogs"\RTDC4015\2017-04-12 --exclude "*" --recursive --include "*20170412*" &amp; "%USERPROFILE%\Documents\GitHub\mrs-test-scripts\Headless Mode &amp; Sideloading\WalkAndUnGZ.bat" "%USERPROFILE%\AppData\Local\Temp\OnboardLogs"\RTDC4015\2017-04-12 &amp; aws s3 cp s3://rtdc.mdm.uploadarchive.raw/RTDC4015/ "%USERPROFILE%\AppData\Local\Temp\OnboardLogs"\RTDC4015\2017-04-13 --exclude "*" --recursive --include "*20170413*" &amp; "%USERPROFILE%\Documents\GitHub\mrs-test-scripts\Headless Mode &amp; Sideloading\WalkAndUnGZ.bat" "%USERPROFILE%\AppData\Local\Temp\OnboardLogs"\RTDC4015\2017-04-13</v>
      </c>
      <c r="AF177" s="82" t="str">
        <f t="shared" si="57"/>
        <v>"C:\Program Files (x86)\AstroGrep\AstroGrep.exe" /e /r /s /spath="%USERPROFILE%\AppData\Local\Temp\OnboardLogs" /stypes="app*4015*20170412*" /stext=" 18:.+((SYSTEM_STATE.+slice.+state.+changed )|(ment ac)|(multiple cpu faults)|(system.+state.+changed )|(\[timeout)|(PRM\|1\|D)|(kpr)|(kdp)|(\|lc)|(penalty))"</v>
      </c>
      <c r="AG177" s="1" t="str">
        <f t="shared" si="58"/>
        <v>NW</v>
      </c>
      <c r="AH177" s="86" t="str">
        <f t="shared" si="60"/>
        <v>"%USERPROFILE%\Documents\GitHub\eaglep3\Utilities\RefineRTDCRunTimes.py" --tripid 820-12 --locoid 4015 --swversion DE.1.0.9.0 --startMP 300:58636 --initTime 2017-04-12T12:38:47 --startdatetime 2017-04-12T12:41:21 --delay 1 --endMP 204:696 --enddatetime 2017-04-12T12:56:22 --enforcementcount 0 &gt;&gt;C:\Users\stu\Documents\GitHub\eaglep3-reporting\EC\2017-04-12-refined-times.txt</v>
      </c>
      <c r="AI177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{"issue":{"subject":"","project_id":79,"tracker_id":40,"status_id":1,"priority_id":2,"assigned_to_id":23,"start_date":"2017-04-12","description":"","custom_fields":[{"id":1,"name":"Subdivision","value":"NW"},{"id":4,"name":"Milepost","value":"0.0696"},{"id":17,"name":"Train ID","value":"820-12"},{"id":16,"name":"Locomotive ID","value":"4015"},{"id":130,"name":"Impact","value":""},{"id":150,"name":"Time of Event (Mountain Time)","value":"12:56:22"},{"id":151,"name":"Denver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8"/>
      <c r="AL177" s="48"/>
      <c r="AM177" s="150" t="str">
        <f t="shared" si="62"/>
        <v>start /low /b %USERPROFILE%\Documents\GitHub\eaglep3\Utilities\DownloadLogsFromS3.py --loco 4015 --day 2017-04-12</v>
      </c>
      <c r="AN177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18:56:22"},{"id":29,"name":"Sharepoint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3" t="s">
        <v>638</v>
      </c>
      <c r="B178" s="7">
        <v>4016</v>
      </c>
      <c r="C178" s="21" t="s">
        <v>214</v>
      </c>
      <c r="D178" s="21" t="s">
        <v>986</v>
      </c>
      <c r="E178" s="13">
        <v>42837.548981481479</v>
      </c>
      <c r="F178" s="13">
        <v>42837.556435185186</v>
      </c>
      <c r="G178" s="7">
        <v>2</v>
      </c>
      <c r="H178" s="21" t="s">
        <v>512</v>
      </c>
      <c r="I178" s="13">
        <v>42837.566689814812</v>
      </c>
      <c r="J178" s="7">
        <v>0</v>
      </c>
      <c r="K178" s="97" t="str">
        <f t="shared" si="45"/>
        <v>4015/4016</v>
      </c>
      <c r="L178" s="21" t="str">
        <f>VLOOKUP(A178,'Trips&amp;Operators'!$C$1:$G$99999,5,FALSE)</f>
        <v>SULLIVAN BRANDON</v>
      </c>
      <c r="M178" s="6">
        <f t="shared" si="46"/>
        <v>1.0254629625706002E-2</v>
      </c>
      <c r="N178" s="7">
        <f t="shared" si="64"/>
        <v>14.766666661016643</v>
      </c>
      <c r="O178" s="7"/>
      <c r="P178" s="7"/>
      <c r="Q178" s="22"/>
      <c r="R178" s="22"/>
      <c r="S178" s="31">
        <f t="shared" si="47"/>
        <v>1</v>
      </c>
      <c r="T178" s="46" t="str">
        <f t="shared" si="48"/>
        <v>NorthBound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 t="shared" si="49"/>
        <v>https://d0f6bd738d7f1b3e5a7ca70fe4ff75f0.us-east-1.aws.found.io/app/kibana#/discover/Steve-Slow-Train-Analysis-(2080s-and-2083s)?_g=(refreshInterval:(display:Off,pause:!f,section:0,value:0),time:(from:'2017-04-12T12:10:32-0600',mode:absolute,to:'2017-04-12T14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8" s="183" t="str">
        <f t="shared" si="50"/>
        <v>N</v>
      </c>
      <c r="X178" s="183">
        <f t="shared" si="51"/>
        <v>1</v>
      </c>
      <c r="Y178" s="62">
        <f t="shared" si="52"/>
        <v>9.9299999999999999E-2</v>
      </c>
      <c r="Z178" s="62">
        <f t="shared" si="53"/>
        <v>5.8943000000000003</v>
      </c>
      <c r="AA178" s="62">
        <f t="shared" si="54"/>
        <v>5.7949999999999999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5"/>
        <v>0821-12</v>
      </c>
      <c r="AE178" s="85" t="str">
        <f t="shared" si="56"/>
        <v>aws s3 cp s3://rtdc.mdm.uploadarchive.raw/RTDC4016/ "%USERPROFILE%\AppData\Local\Temp\OnboardLogs"\RTDC4016\2017-04-12 --exclude "*" --recursive --include "*20170412*" &amp; "%USERPROFILE%\Documents\GitHub\mrs-test-scripts\Headless Mode &amp; Sideloading\WalkAndUnGZ.bat" "%USERPROFILE%\AppData\Local\Temp\OnboardLogs"\RTDC4016\2017-04-12 &amp; aws s3 cp s3://rtdc.mdm.uploadarchive.raw/RTDC4016/ "%USERPROFILE%\AppData\Local\Temp\OnboardLogs"\RTDC4016\2017-04-13 --exclude "*" --recursive --include "*20170413*" &amp; "%USERPROFILE%\Documents\GitHub\mrs-test-scripts\Headless Mode &amp; Sideloading\WalkAndUnGZ.bat" "%USERPROFILE%\AppData\Local\Temp\OnboardLogs"\RTDC4016\2017-04-13</v>
      </c>
      <c r="AF178" s="82" t="str">
        <f t="shared" si="57"/>
        <v>"C:\Program Files (x86)\AstroGrep\AstroGrep.exe" /e /r /s /spath="%USERPROFILE%\AppData\Local\Temp\OnboardLogs" /stypes="app*4016*20170412*" /stext=" 19:.+((SYSTEM_STATE.+slice.+state.+changed )|(ment ac)|(multiple cpu faults)|(system.+state.+changed )|(\[timeout)|(PRM\|1\|D)|(kpr)|(kdp)|(\|lc)|(penalty))"</v>
      </c>
      <c r="AG178" s="1" t="str">
        <f t="shared" si="58"/>
        <v>NW</v>
      </c>
      <c r="AH178" s="86" t="str">
        <f t="shared" si="60"/>
        <v>"%USERPROFILE%\Documents\GitHub\eaglep3\Utilities\RefineRTDCRunTimes.py" --tripid 821-12 --locoid 4016 --swversion DE.1.0.9.0 --startMP 204:993 --initTime 2017-04-12T13:10:32 --startdatetime 2017-04-12T13:21:16 --delay 2 --endMP 300:58943 --enddatetime 2017-04-12T13:36:02 --enforcementcount 0 &gt;&gt;C:\Users\stu\Documents\GitHub\eaglep3-reporting\EC\2017-04-12-refined-times.txt</v>
      </c>
      <c r="AI178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{"issue":{"subject":"","project_id":79,"tracker_id":40,"status_id":1,"priority_id":2,"assigned_to_id":23,"start_date":"2017-04-12","description":"","custom_fields":[{"id":1,"name":"Subdivision","value":"NW"},{"id":4,"name":"Milepost","value":"5.8943"},{"id":17,"name":"Train ID","value":"821-12"},{"id":16,"name":"Locomotive ID","value":"4016"},{"id":130,"name":"Impact","value":""},{"id":150,"name":"Time of Event (Mountain Time)","value":"13:36:02"},{"id":151,"name":"Denver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8"/>
      <c r="AL178" s="48"/>
      <c r="AM178" s="150" t="str">
        <f t="shared" si="62"/>
        <v>start /low /b %USERPROFILE%\Documents\GitHub\eaglep3\Utilities\DownloadLogsFromS3.py --loco 4016 --day 2017-04-12</v>
      </c>
      <c r="AN178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19:36:02"},{"id":29,"name":"Sharepoint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3" t="s">
        <v>766</v>
      </c>
      <c r="B179" s="7">
        <v>4015</v>
      </c>
      <c r="C179" s="21" t="s">
        <v>214</v>
      </c>
      <c r="D179" s="21" t="s">
        <v>989</v>
      </c>
      <c r="E179" s="13">
        <v>42837.568101851852</v>
      </c>
      <c r="F179" s="13">
        <v>42837.570069444446</v>
      </c>
      <c r="G179" s="7">
        <v>1</v>
      </c>
      <c r="H179" s="21" t="s">
        <v>990</v>
      </c>
      <c r="I179" s="13">
        <v>42837.580185185187</v>
      </c>
      <c r="J179" s="7">
        <v>0</v>
      </c>
      <c r="K179" s="97" t="str">
        <f t="shared" si="45"/>
        <v>4015/4016</v>
      </c>
      <c r="L179" s="21" t="str">
        <f>VLOOKUP(A179,'Trips&amp;Operators'!$C$1:$G$99999,5,FALSE)</f>
        <v>SULLIVAN BRANDON</v>
      </c>
      <c r="M179" s="6">
        <f t="shared" si="46"/>
        <v>1.0115740740729962E-2</v>
      </c>
      <c r="N179" s="7">
        <f t="shared" si="64"/>
        <v>14.566666666651145</v>
      </c>
      <c r="O179" s="7"/>
      <c r="P179" s="7"/>
      <c r="Q179" s="22"/>
      <c r="R179" s="22"/>
      <c r="S179" s="31">
        <f t="shared" si="47"/>
        <v>1</v>
      </c>
      <c r="T179" s="46" t="str">
        <f t="shared" si="48"/>
        <v>Southbound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 t="shared" si="49"/>
        <v>https://d0f6bd738d7f1b3e5a7ca70fe4ff75f0.us-east-1.aws.found.io/app/kibana#/discover/Steve-Slow-Train-Analysis-(2080s-and-2083s)?_g=(refreshInterval:(display:Off,pause:!f,section:0,value:0),time:(from:'2017-04-12T12:38:04-0600',mode:absolute,to:'2017-04-12T14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9" s="183" t="str">
        <f t="shared" si="50"/>
        <v>N</v>
      </c>
      <c r="X179" s="183">
        <f t="shared" si="51"/>
        <v>1</v>
      </c>
      <c r="Y179" s="62">
        <f t="shared" si="52"/>
        <v>5.8625999999999996</v>
      </c>
      <c r="Z179" s="62">
        <f t="shared" si="53"/>
        <v>6.9099999999999995E-2</v>
      </c>
      <c r="AA179" s="62">
        <f t="shared" si="54"/>
        <v>5.7934999999999999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5"/>
        <v>0822-12</v>
      </c>
      <c r="AE179" s="85" t="str">
        <f t="shared" si="56"/>
        <v>aws s3 cp s3://rtdc.mdm.uploadarchive.raw/RTDC4015/ "%USERPROFILE%\AppData\Local\Temp\OnboardLogs"\RTDC4015\2017-04-12 --exclude "*" --recursive --include "*20170412*" &amp; "%USERPROFILE%\Documents\GitHub\mrs-test-scripts\Headless Mode &amp; Sideloading\WalkAndUnGZ.bat" "%USERPROFILE%\AppData\Local\Temp\OnboardLogs"\RTDC4015\2017-04-12 &amp; aws s3 cp s3://rtdc.mdm.uploadarchive.raw/RTDC4015/ "%USERPROFILE%\AppData\Local\Temp\OnboardLogs"\RTDC4015\2017-04-13 --exclude "*" --recursive --include "*20170413*" &amp; "%USERPROFILE%\Documents\GitHub\mrs-test-scripts\Headless Mode &amp; Sideloading\WalkAndUnGZ.bat" "%USERPROFILE%\AppData\Local\Temp\OnboardLogs"\RTDC4015\2017-04-13</v>
      </c>
      <c r="AF179" s="82" t="str">
        <f t="shared" si="57"/>
        <v>"C:\Program Files (x86)\AstroGrep\AstroGrep.exe" /e /r /s /spath="%USERPROFILE%\AppData\Local\Temp\OnboardLogs" /stypes="app*4015*20170412*" /stext=" 19:.+((SYSTEM_STATE.+slice.+state.+changed )|(ment ac)|(multiple cpu faults)|(system.+state.+changed )|(\[timeout)|(PRM\|1\|D)|(kpr)|(kdp)|(\|lc)|(penalty))"</v>
      </c>
      <c r="AG179" s="1" t="str">
        <f t="shared" si="58"/>
        <v>NW</v>
      </c>
      <c r="AH179" s="86" t="str">
        <f t="shared" si="60"/>
        <v>"%USERPROFILE%\Documents\GitHub\eaglep3\Utilities\RefineRTDCRunTimes.py" --tripid 822-12 --locoid 4015 --swversion DE.1.0.9.0 --startMP 300:58626 --initTime 2017-04-12T13:38:04 --startdatetime 2017-04-12T13:40:54 --delay 1 --endMP 204:691 --enddatetime 2017-04-12T13:55:28 --enforcementcount 0 &gt;&gt;C:\Users\stu\Documents\GitHub\eaglep3-reporting\EC\2017-04-12-refined-times.txt</v>
      </c>
      <c r="AI179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{"issue":{"subject":"","project_id":79,"tracker_id":40,"status_id":1,"priority_id":2,"assigned_to_id":23,"start_date":"2017-04-12","description":"","custom_fields":[{"id":1,"name":"Subdivision","value":"NW"},{"id":4,"name":"Milepost","value":"0.0691"},{"id":17,"name":"Train ID","value":"822-12"},{"id":16,"name":"Locomotive ID","value":"4015"},{"id":130,"name":"Impact","value":""},{"id":150,"name":"Time of Event (Mountain Time)","value":"13:55:28"},{"id":151,"name":"Denver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8"/>
      <c r="AL179" s="48"/>
      <c r="AM179" s="150" t="str">
        <f t="shared" si="62"/>
        <v>start /low /b %USERPROFILE%\Documents\GitHub\eaglep3\Utilities\DownloadLogsFromS3.py --loco 4015 --day 2017-04-12</v>
      </c>
      <c r="AN179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19:55:28"},{"id":29,"name":"Sharepoint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3" t="s">
        <v>772</v>
      </c>
      <c r="B180" s="7">
        <v>4016</v>
      </c>
      <c r="C180" s="21" t="s">
        <v>214</v>
      </c>
      <c r="D180" s="21" t="s">
        <v>991</v>
      </c>
      <c r="E180" s="13">
        <v>42837.592627314814</v>
      </c>
      <c r="F180" s="13">
        <v>42837.598136574074</v>
      </c>
      <c r="G180" s="7">
        <v>1</v>
      </c>
      <c r="H180" s="21" t="s">
        <v>609</v>
      </c>
      <c r="I180" s="13">
        <v>42837.607824074075</v>
      </c>
      <c r="J180" s="7">
        <v>0</v>
      </c>
      <c r="K180" s="97" t="str">
        <f t="shared" si="45"/>
        <v>4015/4016</v>
      </c>
      <c r="L180" s="21" t="str">
        <f>VLOOKUP(A180,'Trips&amp;Operators'!$C$1:$G$99999,5,FALSE)</f>
        <v>SULLIVAN BRANDON</v>
      </c>
      <c r="M180" s="6">
        <f t="shared" si="46"/>
        <v>9.6875000017462298E-3</v>
      </c>
      <c r="N180" s="7">
        <f t="shared" si="64"/>
        <v>13.950000002514571</v>
      </c>
      <c r="O180" s="7"/>
      <c r="P180" s="7"/>
      <c r="Q180" s="22"/>
      <c r="R180" s="22"/>
      <c r="S180" s="31">
        <f t="shared" si="47"/>
        <v>1</v>
      </c>
      <c r="T180" s="46" t="str">
        <f t="shared" si="48"/>
        <v>NorthBound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 t="shared" si="49"/>
        <v>https://d0f6bd738d7f1b3e5a7ca70fe4ff75f0.us-east-1.aws.found.io/app/kibana#/discover/Steve-Slow-Train-Analysis-(2080s-and-2083s)?_g=(refreshInterval:(display:Off,pause:!f,section:0,value:0),time:(from:'2017-04-12T13:13:23-0600',mode:absolute,to:'2017-04-12T15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0" s="183" t="str">
        <f t="shared" si="50"/>
        <v>N</v>
      </c>
      <c r="X180" s="183">
        <f t="shared" si="51"/>
        <v>1</v>
      </c>
      <c r="Y180" s="62">
        <f t="shared" si="52"/>
        <v>9.7199999999999995E-2</v>
      </c>
      <c r="Z180" s="62">
        <f t="shared" si="53"/>
        <v>5.8949999999999996</v>
      </c>
      <c r="AA180" s="62">
        <f t="shared" si="54"/>
        <v>5.7977999999999996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5"/>
        <v>0823-12</v>
      </c>
      <c r="AE180" s="85" t="str">
        <f t="shared" si="56"/>
        <v>aws s3 cp s3://rtdc.mdm.uploadarchive.raw/RTDC4016/ "%USERPROFILE%\AppData\Local\Temp\OnboardLogs"\RTDC4016\2017-04-12 --exclude "*" --recursive --include "*20170412*" &amp; "%USERPROFILE%\Documents\GitHub\mrs-test-scripts\Headless Mode &amp; Sideloading\WalkAndUnGZ.bat" "%USERPROFILE%\AppData\Local\Temp\OnboardLogs"\RTDC4016\2017-04-12 &amp; aws s3 cp s3://rtdc.mdm.uploadarchive.raw/RTDC4016/ "%USERPROFILE%\AppData\Local\Temp\OnboardLogs"\RTDC4016\2017-04-13 --exclude "*" --recursive --include "*20170413*" &amp; "%USERPROFILE%\Documents\GitHub\mrs-test-scripts\Headless Mode &amp; Sideloading\WalkAndUnGZ.bat" "%USERPROFILE%\AppData\Local\Temp\OnboardLogs"\RTDC4016\2017-04-13</v>
      </c>
      <c r="AF180" s="82" t="str">
        <f t="shared" si="57"/>
        <v>"C:\Program Files (x86)\AstroGrep\AstroGrep.exe" /e /r /s /spath="%USERPROFILE%\AppData\Local\Temp\OnboardLogs" /stypes="app*4016*20170412*" /stext=" 20:.+((SYSTEM_STATE.+slice.+state.+changed )|(ment ac)|(multiple cpu faults)|(system.+state.+changed )|(\[timeout)|(PRM\|1\|D)|(kpr)|(kdp)|(\|lc)|(penalty))"</v>
      </c>
      <c r="AG180" s="1" t="str">
        <f t="shared" si="58"/>
        <v>NW</v>
      </c>
      <c r="AH180" s="86" t="str">
        <f t="shared" si="60"/>
        <v>"%USERPROFILE%\Documents\GitHub\eaglep3\Utilities\RefineRTDCRunTimes.py" --tripid 823-12 --locoid 4016 --swversion DE.1.0.9.0 --startMP 204:972 --initTime 2017-04-12T14:13:23 --startdatetime 2017-04-12T14:21:19 --delay 1 --endMP 300:58950 --enddatetime 2017-04-12T14:35:16 --enforcementcount 0 &gt;&gt;C:\Users\stu\Documents\GitHub\eaglep3-reporting\EC\2017-04-12-refined-times.txt</v>
      </c>
      <c r="AI180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{"issue":{"subject":"","project_id":79,"tracker_id":40,"status_id":1,"priority_id":2,"assigned_to_id":23,"start_date":"2017-04-12","description":"","custom_fields":[{"id":1,"name":"Subdivision","value":"NW"},{"id":4,"name":"Milepost","value":"5.895"},{"id":17,"name":"Train ID","value":"823-12"},{"id":16,"name":"Locomotive ID","value":"4016"},{"id":130,"name":"Impact","value":""},{"id":150,"name":"Time of Event (Mountain Time)","value":"14:35:16"},{"id":151,"name":"Denver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8"/>
      <c r="AL180" s="48"/>
      <c r="AM180" s="150" t="str">
        <f t="shared" si="62"/>
        <v>start /low /b %USERPROFILE%\Documents\GitHub\eaglep3\Utilities\DownloadLogsFromS3.py --loco 4016 --day 2017-04-12</v>
      </c>
      <c r="AN180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20:35:16"},{"id":29,"name":"Sharepoint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3" t="s">
        <v>775</v>
      </c>
      <c r="B181" s="7">
        <v>4015</v>
      </c>
      <c r="C181" s="21" t="s">
        <v>214</v>
      </c>
      <c r="D181" s="21" t="s">
        <v>606</v>
      </c>
      <c r="E181" s="13">
        <v>42837.608912037038</v>
      </c>
      <c r="F181" s="13">
        <v>42837.610358796293</v>
      </c>
      <c r="G181" s="7">
        <v>1</v>
      </c>
      <c r="H181" s="21" t="s">
        <v>992</v>
      </c>
      <c r="I181" s="13">
        <v>42837.622129629628</v>
      </c>
      <c r="J181" s="7">
        <v>0</v>
      </c>
      <c r="K181" s="97" t="str">
        <f t="shared" si="45"/>
        <v>4015/4016</v>
      </c>
      <c r="L181" s="21" t="str">
        <f>VLOOKUP(A181,'Trips&amp;Operators'!$C$1:$G$99999,5,FALSE)</f>
        <v>SULLIVAN BRANDON</v>
      </c>
      <c r="M181" s="6">
        <f t="shared" si="46"/>
        <v>1.1770833334594499E-2</v>
      </c>
      <c r="N181" s="7">
        <f t="shared" si="64"/>
        <v>16.950000001816079</v>
      </c>
      <c r="O181" s="7"/>
      <c r="P181" s="7"/>
      <c r="Q181" s="22"/>
      <c r="R181" s="22"/>
      <c r="S181" s="31">
        <f t="shared" si="47"/>
        <v>1</v>
      </c>
      <c r="T181" s="46" t="str">
        <f t="shared" si="48"/>
        <v>Southbound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 t="shared" si="49"/>
        <v>https://d0f6bd738d7f1b3e5a7ca70fe4ff75f0.us-east-1.aws.found.io/app/kibana#/discover/Steve-Slow-Train-Analysis-(2080s-and-2083s)?_g=(refreshInterval:(display:Off,pause:!f,section:0,value:0),time:(from:'2017-04-12T13:36:50-0600',mode:absolute,to:'2017-04-12T15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1" s="183" t="str">
        <f t="shared" si="50"/>
        <v>N</v>
      </c>
      <c r="X181" s="183">
        <f t="shared" si="51"/>
        <v>1</v>
      </c>
      <c r="Y181" s="62">
        <f t="shared" si="52"/>
        <v>5.8630000000000004</v>
      </c>
      <c r="Z181" s="62">
        <f t="shared" si="53"/>
        <v>6.7100000000000007E-2</v>
      </c>
      <c r="AA181" s="62">
        <f t="shared" si="54"/>
        <v>5.7959000000000005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5"/>
        <v>0824-12</v>
      </c>
      <c r="AE181" s="85" t="str">
        <f t="shared" si="56"/>
        <v>aws s3 cp s3://rtdc.mdm.uploadarchive.raw/RTDC4015/ "%USERPROFILE%\AppData\Local\Temp\OnboardLogs"\RTDC4015\2017-04-12 --exclude "*" --recursive --include "*20170412*" &amp; "%USERPROFILE%\Documents\GitHub\mrs-test-scripts\Headless Mode &amp; Sideloading\WalkAndUnGZ.bat" "%USERPROFILE%\AppData\Local\Temp\OnboardLogs"\RTDC4015\2017-04-12 &amp; aws s3 cp s3://rtdc.mdm.uploadarchive.raw/RTDC4015/ "%USERPROFILE%\AppData\Local\Temp\OnboardLogs"\RTDC4015\2017-04-13 --exclude "*" --recursive --include "*20170413*" &amp; "%USERPROFILE%\Documents\GitHub\mrs-test-scripts\Headless Mode &amp; Sideloading\WalkAndUnGZ.bat" "%USERPROFILE%\AppData\Local\Temp\OnboardLogs"\RTDC4015\2017-04-13</v>
      </c>
      <c r="AF181" s="82" t="str">
        <f t="shared" si="57"/>
        <v>"C:\Program Files (x86)\AstroGrep\AstroGrep.exe" /e /r /s /spath="%USERPROFILE%\AppData\Local\Temp\OnboardLogs" /stypes="app*4015*20170412*" /stext=" 20:.+((SYSTEM_STATE.+slice.+state.+changed )|(ment ac)|(multiple cpu faults)|(system.+state.+changed )|(\[timeout)|(PRM\|1\|D)|(kpr)|(kdp)|(\|lc)|(penalty))"</v>
      </c>
      <c r="AG181" s="1" t="str">
        <f t="shared" si="58"/>
        <v>NW</v>
      </c>
      <c r="AH181" s="86" t="str">
        <f t="shared" si="60"/>
        <v>"%USERPROFILE%\Documents\GitHub\eaglep3\Utilities\RefineRTDCRunTimes.py" --tripid 824-12 --locoid 4015 --swversion DE.1.0.9.0 --startMP 300:58630 --initTime 2017-04-12T14:36:50 --startdatetime 2017-04-12T14:38:55 --delay 1 --endMP 204:671 --enddatetime 2017-04-12T14:55:52 --enforcementcount 0 &gt;&gt;C:\Users\stu\Documents\GitHub\eaglep3-reporting\EC\2017-04-12-refined-times.txt</v>
      </c>
      <c r="AI181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{"issue":{"subject":"","project_id":79,"tracker_id":40,"status_id":1,"priority_id":2,"assigned_to_id":23,"start_date":"2017-04-12","description":"","custom_fields":[{"id":1,"name":"Subdivision","value":"NW"},{"id":4,"name":"Milepost","value":"0.0671"},{"id":17,"name":"Train ID","value":"824-12"},{"id":16,"name":"Locomotive ID","value":"4015"},{"id":130,"name":"Impact","value":""},{"id":150,"name":"Time of Event (Mountain Time)","value":"14:55:52"},{"id":151,"name":"Denver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8"/>
      <c r="AL181" s="48"/>
      <c r="AM181" s="150" t="str">
        <f t="shared" si="62"/>
        <v>start /low /b %USERPROFILE%\Documents\GitHub\eaglep3\Utilities\DownloadLogsFromS3.py --loco 4015 --day 2017-04-12</v>
      </c>
      <c r="AN181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20:55:52"},{"id":29,"name":"Sharepoint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3" t="s">
        <v>778</v>
      </c>
      <c r="B182" s="7">
        <v>4016</v>
      </c>
      <c r="C182" s="21" t="s">
        <v>214</v>
      </c>
      <c r="D182" s="21" t="s">
        <v>550</v>
      </c>
      <c r="E182" s="13">
        <v>42837.634583333333</v>
      </c>
      <c r="F182" s="13">
        <v>42837.639768518522</v>
      </c>
      <c r="G182" s="7">
        <v>1</v>
      </c>
      <c r="H182" s="21" t="s">
        <v>512</v>
      </c>
      <c r="I182" s="13">
        <v>42837.649606481478</v>
      </c>
      <c r="J182" s="7">
        <v>0</v>
      </c>
      <c r="K182" s="97" t="str">
        <f t="shared" si="45"/>
        <v>4015/4016</v>
      </c>
      <c r="L182" s="21" t="str">
        <f>VLOOKUP(A182,'Trips&amp;Operators'!$C$1:$G$99999,5,FALSE)</f>
        <v>SULLIVAN BRANDON</v>
      </c>
      <c r="M182" s="6">
        <f t="shared" si="46"/>
        <v>9.8379629562259652E-3</v>
      </c>
      <c r="N182" s="7">
        <f t="shared" si="64"/>
        <v>14.16666665696539</v>
      </c>
      <c r="O182" s="7"/>
      <c r="P182" s="7"/>
      <c r="Q182" s="22"/>
      <c r="R182" s="22"/>
      <c r="S182" s="31">
        <f t="shared" si="47"/>
        <v>1</v>
      </c>
      <c r="T182" s="46" t="str">
        <f t="shared" si="48"/>
        <v>NorthBound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 t="shared" si="49"/>
        <v>https://d0f6bd738d7f1b3e5a7ca70fe4ff75f0.us-east-1.aws.found.io/app/kibana#/discover/Steve-Slow-Train-Analysis-(2080s-and-2083s)?_g=(refreshInterval:(display:Off,pause:!f,section:0,value:0),time:(from:'2017-04-12T14:13:48-0600',mode:absolute,to:'2017-04-12T16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2" s="183" t="str">
        <f t="shared" si="50"/>
        <v>N</v>
      </c>
      <c r="X182" s="183">
        <f t="shared" si="51"/>
        <v>1</v>
      </c>
      <c r="Y182" s="62">
        <f t="shared" si="52"/>
        <v>9.74E-2</v>
      </c>
      <c r="Z182" s="62">
        <f t="shared" si="53"/>
        <v>5.8943000000000003</v>
      </c>
      <c r="AA182" s="62">
        <f t="shared" si="54"/>
        <v>5.7968999999999999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5"/>
        <v>0825-12</v>
      </c>
      <c r="AE182" s="85" t="str">
        <f t="shared" si="56"/>
        <v>aws s3 cp s3://rtdc.mdm.uploadarchive.raw/RTDC4016/ "%USERPROFILE%\AppData\Local\Temp\OnboardLogs"\RTDC4016\2017-04-12 --exclude "*" --recursive --include "*20170412*" &amp; "%USERPROFILE%\Documents\GitHub\mrs-test-scripts\Headless Mode &amp; Sideloading\WalkAndUnGZ.bat" "%USERPROFILE%\AppData\Local\Temp\OnboardLogs"\RTDC4016\2017-04-12 &amp; aws s3 cp s3://rtdc.mdm.uploadarchive.raw/RTDC4016/ "%USERPROFILE%\AppData\Local\Temp\OnboardLogs"\RTDC4016\2017-04-13 --exclude "*" --recursive --include "*20170413*" &amp; "%USERPROFILE%\Documents\GitHub\mrs-test-scripts\Headless Mode &amp; Sideloading\WalkAndUnGZ.bat" "%USERPROFILE%\AppData\Local\Temp\OnboardLogs"\RTDC4016\2017-04-13</v>
      </c>
      <c r="AF182" s="82" t="str">
        <f t="shared" si="57"/>
        <v>"C:\Program Files (x86)\AstroGrep\AstroGrep.exe" /e /r /s /spath="%USERPROFILE%\AppData\Local\Temp\OnboardLogs" /stypes="app*4016*20170412*" /stext=" 21:.+((SYSTEM_STATE.+slice.+state.+changed )|(ment ac)|(multiple cpu faults)|(system.+state.+changed )|(\[timeout)|(PRM\|1\|D)|(kpr)|(kdp)|(\|lc)|(penalty))"</v>
      </c>
      <c r="AG182" s="1" t="str">
        <f t="shared" si="58"/>
        <v>NW</v>
      </c>
      <c r="AH182" s="86" t="str">
        <f t="shared" si="60"/>
        <v>"%USERPROFILE%\Documents\GitHub\eaglep3\Utilities\RefineRTDCRunTimes.py" --tripid 825-12 --locoid 4016 --swversion DE.1.0.9.0 --startMP 204:974 --initTime 2017-04-12T15:13:48 --startdatetime 2017-04-12T15:21:16 --delay 1 --endMP 300:58943 --enddatetime 2017-04-12T15:35:26 --enforcementcount 0 &gt;&gt;C:\Users\stu\Documents\GitHub\eaglep3-reporting\EC\2017-04-12-refined-times.txt</v>
      </c>
      <c r="AI182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{"issue":{"subject":"","project_id":79,"tracker_id":40,"status_id":1,"priority_id":2,"assigned_to_id":23,"start_date":"2017-04-12","description":"","custom_fields":[{"id":1,"name":"Subdivision","value":"NW"},{"id":4,"name":"Milepost","value":"5.8943"},{"id":17,"name":"Train ID","value":"825-12"},{"id":16,"name":"Locomotive ID","value":"4016"},{"id":130,"name":"Impact","value":""},{"id":150,"name":"Time of Event (Mountain Time)","value":"15:35:26"},{"id":151,"name":"Denver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8"/>
      <c r="AL182" s="48"/>
      <c r="AM182" s="150" t="str">
        <f t="shared" si="62"/>
        <v>start /low /b %USERPROFILE%\Documents\GitHub\eaglep3\Utilities\DownloadLogsFromS3.py --loco 4016 --day 2017-04-12</v>
      </c>
      <c r="AN182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21:35:26"},{"id":29,"name":"Sharepoint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3" t="s">
        <v>783</v>
      </c>
      <c r="B183" s="7">
        <v>4015</v>
      </c>
      <c r="C183" s="21" t="s">
        <v>214</v>
      </c>
      <c r="D183" s="21" t="s">
        <v>605</v>
      </c>
      <c r="E183" s="13">
        <v>42837.650601851848</v>
      </c>
      <c r="F183" s="13">
        <v>42837.651967592596</v>
      </c>
      <c r="G183" s="7">
        <v>1</v>
      </c>
      <c r="H183" s="21" t="s">
        <v>613</v>
      </c>
      <c r="I183" s="13">
        <v>42837.663715277777</v>
      </c>
      <c r="J183" s="7">
        <v>0</v>
      </c>
      <c r="K183" s="97" t="str">
        <f t="shared" si="45"/>
        <v>4015/4016</v>
      </c>
      <c r="L183" s="21" t="str">
        <f>VLOOKUP(A183,'Trips&amp;Operators'!$C$1:$G$99999,5,FALSE)</f>
        <v>SULLIVAN BRANDON</v>
      </c>
      <c r="M183" s="6">
        <f t="shared" si="46"/>
        <v>1.1747685181035195E-2</v>
      </c>
      <c r="N183" s="7">
        <f t="shared" si="64"/>
        <v>16.91666666069068</v>
      </c>
      <c r="O183" s="7"/>
      <c r="P183" s="7"/>
      <c r="Q183" s="22"/>
      <c r="R183" s="22"/>
      <c r="S183" s="31">
        <f t="shared" si="47"/>
        <v>1</v>
      </c>
      <c r="T183" s="46" t="str">
        <f t="shared" si="48"/>
        <v>Southbound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 t="shared" si="49"/>
        <v>https://d0f6bd738d7f1b3e5a7ca70fe4ff75f0.us-east-1.aws.found.io/app/kibana#/discover/Steve-Slow-Train-Analysis-(2080s-and-2083s)?_g=(refreshInterval:(display:Off,pause:!f,section:0,value:0),time:(from:'2017-04-12T14:36:52-0600',mode:absolute,to:'2017-04-12T16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3" s="183" t="str">
        <f t="shared" si="50"/>
        <v>N</v>
      </c>
      <c r="X183" s="183">
        <f t="shared" si="51"/>
        <v>1</v>
      </c>
      <c r="Y183" s="62">
        <f t="shared" si="52"/>
        <v>5.8634000000000004</v>
      </c>
      <c r="Z183" s="62">
        <f t="shared" si="53"/>
        <v>6.7799999999999999E-2</v>
      </c>
      <c r="AA183" s="62">
        <f t="shared" si="54"/>
        <v>5.7956000000000003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5"/>
        <v>0826-12</v>
      </c>
      <c r="AE183" s="85" t="str">
        <f t="shared" si="56"/>
        <v>aws s3 cp s3://rtdc.mdm.uploadarchive.raw/RTDC4015/ "%USERPROFILE%\AppData\Local\Temp\OnboardLogs"\RTDC4015\2017-04-12 --exclude "*" --recursive --include "*20170412*" &amp; "%USERPROFILE%\Documents\GitHub\mrs-test-scripts\Headless Mode &amp; Sideloading\WalkAndUnGZ.bat" "%USERPROFILE%\AppData\Local\Temp\OnboardLogs"\RTDC4015\2017-04-12 &amp; aws s3 cp s3://rtdc.mdm.uploadarchive.raw/RTDC4015/ "%USERPROFILE%\AppData\Local\Temp\OnboardLogs"\RTDC4015\2017-04-13 --exclude "*" --recursive --include "*20170413*" &amp; "%USERPROFILE%\Documents\GitHub\mrs-test-scripts\Headless Mode &amp; Sideloading\WalkAndUnGZ.bat" "%USERPROFILE%\AppData\Local\Temp\OnboardLogs"\RTDC4015\2017-04-13</v>
      </c>
      <c r="AF183" s="82" t="str">
        <f t="shared" si="57"/>
        <v>"C:\Program Files (x86)\AstroGrep\AstroGrep.exe" /e /r /s /spath="%USERPROFILE%\AppData\Local\Temp\OnboardLogs" /stypes="app*4015*20170412*" /stext=" 21:.+((SYSTEM_STATE.+slice.+state.+changed )|(ment ac)|(multiple cpu faults)|(system.+state.+changed )|(\[timeout)|(PRM\|1\|D)|(kpr)|(kdp)|(\|lc)|(penalty))"</v>
      </c>
      <c r="AG183" s="1" t="str">
        <f t="shared" si="58"/>
        <v>NW</v>
      </c>
      <c r="AH183" s="86" t="str">
        <f t="shared" si="60"/>
        <v>"%USERPROFILE%\Documents\GitHub\eaglep3\Utilities\RefineRTDCRunTimes.py" --tripid 826-12 --locoid 4015 --swversion DE.1.0.9.0 --startMP 300:58634 --initTime 2017-04-12T15:36:52 --startdatetime 2017-04-12T15:38:50 --delay 1 --endMP 204:678 --enddatetime 2017-04-12T15:55:45 --enforcementcount 0 &gt;&gt;C:\Users\stu\Documents\GitHub\eaglep3-reporting\EC\2017-04-12-refined-times.txt</v>
      </c>
      <c r="AI183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{"issue":{"subject":"","project_id":79,"tracker_id":40,"status_id":1,"priority_id":2,"assigned_to_id":23,"start_date":"2017-04-12","description":"","custom_fields":[{"id":1,"name":"Subdivision","value":"NW"},{"id":4,"name":"Milepost","value":"0.0678"},{"id":17,"name":"Train ID","value":"826-12"},{"id":16,"name":"Locomotive ID","value":"4015"},{"id":130,"name":"Impact","value":""},{"id":150,"name":"Time of Event (Mountain Time)","value":"15:55:45"},{"id":151,"name":"Denver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8"/>
      <c r="AL183" s="48"/>
      <c r="AM183" s="150" t="str">
        <f t="shared" si="62"/>
        <v>start /low /b %USERPROFILE%\Documents\GitHub\eaglep3\Utilities\DownloadLogsFromS3.py --loco 4015 --day 2017-04-12</v>
      </c>
      <c r="AN183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21:55:45"},{"id":29,"name":"Sharepoint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3" t="s">
        <v>785</v>
      </c>
      <c r="B184" s="7">
        <v>4022</v>
      </c>
      <c r="C184" s="21" t="s">
        <v>214</v>
      </c>
      <c r="D184" s="21" t="s">
        <v>993</v>
      </c>
      <c r="E184" s="13">
        <v>42837.659479166665</v>
      </c>
      <c r="F184" s="13">
        <v>42837.660671296297</v>
      </c>
      <c r="G184" s="7">
        <v>1</v>
      </c>
      <c r="H184" s="21" t="s">
        <v>994</v>
      </c>
      <c r="I184" s="13">
        <v>42837.671006944445</v>
      </c>
      <c r="J184" s="7">
        <v>0</v>
      </c>
      <c r="K184" s="97" t="str">
        <f t="shared" si="45"/>
        <v>4021/4022</v>
      </c>
      <c r="L184" s="21" t="str">
        <f>VLOOKUP(A184,'Trips&amp;Operators'!$C$1:$G$99999,5,FALSE)</f>
        <v>CHANDLER KELVIN</v>
      </c>
      <c r="M184" s="6">
        <f t="shared" si="46"/>
        <v>1.0335648148611654E-2</v>
      </c>
      <c r="N184" s="7">
        <f t="shared" si="64"/>
        <v>14.883333334000781</v>
      </c>
      <c r="O184" s="7"/>
      <c r="P184" s="7"/>
      <c r="Q184" s="22"/>
      <c r="R184" s="22"/>
      <c r="S184" s="31">
        <f t="shared" si="47"/>
        <v>1</v>
      </c>
      <c r="T184" s="46" t="str">
        <f t="shared" si="48"/>
        <v>NorthBound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 t="shared" si="49"/>
        <v>https://d0f6bd738d7f1b3e5a7ca70fe4ff75f0.us-east-1.aws.found.io/app/kibana#/discover/Steve-Slow-Train-Analysis-(2080s-and-2083s)?_g=(refreshInterval:(display:Off,pause:!f,section:0,value:0),time:(from:'2017-04-12T14:49:39-0600',mode:absolute,to:'2017-04-12T17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4" s="183" t="str">
        <f t="shared" si="50"/>
        <v>N</v>
      </c>
      <c r="X184" s="183">
        <f t="shared" si="51"/>
        <v>1</v>
      </c>
      <c r="Y184" s="62">
        <f t="shared" si="52"/>
        <v>9.6500000000000002E-2</v>
      </c>
      <c r="Z184" s="62">
        <f t="shared" si="53"/>
        <v>5.8986000000000001</v>
      </c>
      <c r="AA184" s="62">
        <f t="shared" si="54"/>
        <v>5.8021000000000003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5"/>
        <v>0827-12</v>
      </c>
      <c r="AE184" s="85" t="str">
        <f t="shared" si="56"/>
        <v>aws s3 cp s3://rtdc.mdm.uploadarchive.raw/RTDC4022/ "%USERPROFILE%\AppData\Local\Temp\OnboardLogs"\RTDC4022\2017-04-12 --exclude "*" --recursive --include "*20170412*" &amp; "%USERPROFILE%\Documents\GitHub\mrs-test-scripts\Headless Mode &amp; Sideloading\WalkAndUnGZ.bat" "%USERPROFILE%\AppData\Local\Temp\OnboardLogs"\RTDC4022\2017-04-12 &amp; aws s3 cp s3://rtdc.mdm.uploadarchive.raw/RTDC4022/ "%USERPROFILE%\AppData\Local\Temp\OnboardLogs"\RTDC4022\2017-04-13 --exclude "*" --recursive --include "*20170413*" &amp; "%USERPROFILE%\Documents\GitHub\mrs-test-scripts\Headless Mode &amp; Sideloading\WalkAndUnGZ.bat" "%USERPROFILE%\AppData\Local\Temp\OnboardLogs"\RTDC4022\2017-04-13</v>
      </c>
      <c r="AF184" s="82" t="str">
        <f t="shared" si="57"/>
        <v>"C:\Program Files (x86)\AstroGrep\AstroGrep.exe" /e /r /s /spath="%USERPROFILE%\AppData\Local\Temp\OnboardLogs" /stypes="app*4022*20170412*" /stext=" 22:.+((SYSTEM_STATE.+slice.+state.+changed )|(ment ac)|(multiple cpu faults)|(system.+state.+changed )|(\[timeout)|(PRM\|1\|D)|(kpr)|(kdp)|(\|lc)|(penalty))"</v>
      </c>
      <c r="AG184" s="1" t="str">
        <f t="shared" si="58"/>
        <v>NW</v>
      </c>
      <c r="AH184" s="86" t="str">
        <f t="shared" si="60"/>
        <v>"%USERPROFILE%\Documents\GitHub\eaglep3\Utilities\RefineRTDCRunTimes.py" --tripid 827-12 --locoid 4022 --swversion DE.1.0.9.0 --startMP 204:965 --initTime 2017-04-12T15:49:39 --startdatetime 2017-04-12T15:51:22 --delay 1 --endMP 300:58986 --enddatetime 2017-04-12T16:06:15 --enforcementcount 0 &gt;&gt;C:\Users\stu\Documents\GitHub\eaglep3-reporting\EC\2017-04-12-refined-times.txt</v>
      </c>
      <c r="AI184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{"issue":{"subject":"","project_id":79,"tracker_id":40,"status_id":1,"priority_id":2,"assigned_to_id":23,"start_date":"2017-04-12","description":"","custom_fields":[{"id":1,"name":"Subdivision","value":"NW"},{"id":4,"name":"Milepost","value":"5.8986"},{"id":17,"name":"Train ID","value":"827-12"},{"id":16,"name":"Locomotive ID","value":"4022"},{"id":130,"name":"Impact","value":""},{"id":150,"name":"Time of Event (Mountain Time)","value":"16:06:15"},{"id":151,"name":"Denver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8"/>
      <c r="AL184" s="48"/>
      <c r="AM184" s="150" t="str">
        <f t="shared" si="62"/>
        <v>start /low /b %USERPROFILE%\Documents\GitHub\eaglep3\Utilities\DownloadLogsFromS3.py --loco 4022 --day 2017-04-12</v>
      </c>
      <c r="AN184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22:06:15"},{"id":29,"name":"Sharepoint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3" t="s">
        <v>786</v>
      </c>
      <c r="B185" s="7">
        <v>4021</v>
      </c>
      <c r="C185" s="21" t="s">
        <v>214</v>
      </c>
      <c r="D185" s="21" t="s">
        <v>599</v>
      </c>
      <c r="E185" s="13">
        <v>42837.672488425924</v>
      </c>
      <c r="F185" s="13">
        <v>42837.673784722225</v>
      </c>
      <c r="G185" s="7">
        <v>0</v>
      </c>
      <c r="H185" s="21" t="s">
        <v>995</v>
      </c>
      <c r="I185" s="13">
        <v>42837.684999999998</v>
      </c>
      <c r="J185" s="7">
        <v>0</v>
      </c>
      <c r="K185" s="97" t="str">
        <f t="shared" si="45"/>
        <v>4021/4022</v>
      </c>
      <c r="L185" s="21" t="str">
        <f>VLOOKUP(A185,'Trips&amp;Operators'!$C$1:$G$99999,5,FALSE)</f>
        <v>CHANDLER KELVIN</v>
      </c>
      <c r="M185" s="6">
        <f t="shared" si="46"/>
        <v>1.1215277772862464E-2</v>
      </c>
      <c r="N185" s="7">
        <f t="shared" si="64"/>
        <v>16.149999992921948</v>
      </c>
      <c r="O185" s="7"/>
      <c r="P185" s="7"/>
      <c r="Q185" s="22"/>
      <c r="R185" s="22"/>
      <c r="S185" s="31">
        <f t="shared" si="47"/>
        <v>1</v>
      </c>
      <c r="T185" s="46" t="str">
        <f t="shared" si="48"/>
        <v>Southbound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 t="shared" si="49"/>
        <v>https://d0f6bd738d7f1b3e5a7ca70fe4ff75f0.us-east-1.aws.found.io/app/kibana#/discover/Steve-Slow-Train-Analysis-(2080s-and-2083s)?_g=(refreshInterval:(display:Off,pause:!f,section:0,value:0),time:(from:'2017-04-12T15:08:23-0600',mode:absolute,to:'2017-04-12T17:26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5" s="183" t="str">
        <f t="shared" si="50"/>
        <v>N</v>
      </c>
      <c r="X185" s="183">
        <f t="shared" si="51"/>
        <v>1</v>
      </c>
      <c r="Y185" s="62">
        <f t="shared" si="52"/>
        <v>5.8674999999999997</v>
      </c>
      <c r="Z185" s="62">
        <f t="shared" si="53"/>
        <v>6.6799999999999998E-2</v>
      </c>
      <c r="AA185" s="62">
        <f t="shared" si="54"/>
        <v>5.8007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5"/>
        <v>0828-12</v>
      </c>
      <c r="AE185" s="85" t="str">
        <f t="shared" si="56"/>
        <v>aws s3 cp s3://rtdc.mdm.uploadarchive.raw/RTDC4021/ "%USERPROFILE%\AppData\Local\Temp\OnboardLogs"\RTDC4021\2017-04-12 --exclude "*" --recursive --include "*20170412*" &amp; "%USERPROFILE%\Documents\GitHub\mrs-test-scripts\Headless Mode &amp; Sideloading\WalkAndUnGZ.bat" "%USERPROFILE%\AppData\Local\Temp\OnboardLogs"\RTDC4021\2017-04-12 &amp; aws s3 cp s3://rtdc.mdm.uploadarchive.raw/RTDC4021/ "%USERPROFILE%\AppData\Local\Temp\OnboardLogs"\RTDC4021\2017-04-13 --exclude "*" --recursive --include "*20170413*" &amp; "%USERPROFILE%\Documents\GitHub\mrs-test-scripts\Headless Mode &amp; Sideloading\WalkAndUnGZ.bat" "%USERPROFILE%\AppData\Local\Temp\OnboardLogs"\RTDC4021\2017-04-13</v>
      </c>
      <c r="AF185" s="82" t="str">
        <f t="shared" si="57"/>
        <v>"C:\Program Files (x86)\AstroGrep\AstroGrep.exe" /e /r /s /spath="%USERPROFILE%\AppData\Local\Temp\OnboardLogs" /stypes="app*4021*20170412*" /stext=" 22:.+((SYSTEM_STATE.+slice.+state.+changed )|(ment ac)|(multiple cpu faults)|(system.+state.+changed )|(\[timeout)|(PRM\|1\|D)|(kpr)|(kdp)|(\|lc)|(penalty))"</v>
      </c>
      <c r="AG185" s="1" t="str">
        <f t="shared" si="58"/>
        <v>NW</v>
      </c>
      <c r="AH185" s="86" t="str">
        <f t="shared" si="60"/>
        <v>"%USERPROFILE%\Documents\GitHub\eaglep3\Utilities\RefineRTDCRunTimes.py" --tripid 828-12 --locoid 4021 --swversion DE.1.0.9.0 --startMP 300:58675 --initTime 2017-04-12T16:08:23 --startdatetime 2017-04-12T16:10:15 --delay 0 --endMP 204:668 --enddatetime 2017-04-12T16:26:24 --enforcementcount 0 &gt;&gt;C:\Users\stu\Documents\GitHub\eaglep3-reporting\EC\2017-04-12-refined-times.txt</v>
      </c>
      <c r="AI185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{"issue":{"subject":"","project_id":79,"tracker_id":40,"status_id":1,"priority_id":2,"assigned_to_id":23,"start_date":"2017-04-12","description":"","custom_fields":[{"id":1,"name":"Subdivision","value":"NW"},{"id":4,"name":"Milepost","value":"0.0668"},{"id":17,"name":"Train ID","value":"828-12"},{"id":16,"name":"Locomotive ID","value":"4021"},{"id":130,"name":"Impact","value":""},{"id":150,"name":"Time of Event (Mountain Time)","value":"16:26:24"},{"id":151,"name":"Denver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8"/>
      <c r="AL185" s="48"/>
      <c r="AM185" s="150" t="str">
        <f t="shared" si="62"/>
        <v>start /low /b %USERPROFILE%\Documents\GitHub\eaglep3\Utilities\DownloadLogsFromS3.py --loco 4021 --day 2017-04-12</v>
      </c>
      <c r="AN185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22:26:24"},{"id":29,"name":"Sharepoint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s="20" customFormat="1" x14ac:dyDescent="0.25">
      <c r="A186" s="33" t="s">
        <v>788</v>
      </c>
      <c r="B186" s="7">
        <v>4016</v>
      </c>
      <c r="C186" s="21" t="s">
        <v>214</v>
      </c>
      <c r="D186" s="21" t="s">
        <v>996</v>
      </c>
      <c r="E186" s="13">
        <v>42837.675428240742</v>
      </c>
      <c r="F186" s="13">
        <v>42837.681435185186</v>
      </c>
      <c r="G186" s="7">
        <v>1</v>
      </c>
      <c r="H186" s="21" t="s">
        <v>493</v>
      </c>
      <c r="I186" s="13">
        <v>42837.691307870373</v>
      </c>
      <c r="J186" s="7">
        <v>0</v>
      </c>
      <c r="K186" s="97" t="str">
        <f t="shared" si="45"/>
        <v>4015/4016</v>
      </c>
      <c r="L186" s="21" t="str">
        <f>VLOOKUP(A186,'Trips&amp;Operators'!$C$1:$G$99999,5,FALSE)</f>
        <v>SULLIVAN BRANDON</v>
      </c>
      <c r="M186" s="6">
        <f t="shared" si="46"/>
        <v>9.8726851865649223E-3</v>
      </c>
      <c r="N186" s="7">
        <f t="shared" si="64"/>
        <v>14.216666668653488</v>
      </c>
      <c r="O186" s="7"/>
      <c r="P186" s="7"/>
      <c r="Q186" s="22"/>
      <c r="R186" s="22"/>
      <c r="S186" s="31">
        <f t="shared" si="47"/>
        <v>1</v>
      </c>
      <c r="T186" s="46" t="str">
        <f t="shared" si="48"/>
        <v>NorthBound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 t="shared" si="49"/>
        <v>https://d0f6bd738d7f1b3e5a7ca70fe4ff75f0.us-east-1.aws.found.io/app/kibana#/discover/Steve-Slow-Train-Analysis-(2080s-and-2083s)?_g=(refreshInterval:(display:Off,pause:!f,section:0,value:0),time:(from:'2017-04-12T15:12:37-0600',mode:absolute,to:'2017-04-12T17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6" s="183" t="str">
        <f t="shared" si="50"/>
        <v>N</v>
      </c>
      <c r="X186" s="183">
        <f t="shared" si="51"/>
        <v>1</v>
      </c>
      <c r="Y186" s="62">
        <f t="shared" si="52"/>
        <v>9.8500000000000004E-2</v>
      </c>
      <c r="Z186" s="62">
        <f t="shared" si="53"/>
        <v>5.8933</v>
      </c>
      <c r="AA186" s="62">
        <f t="shared" si="54"/>
        <v>5.7948000000000004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5"/>
        <v>0829-12</v>
      </c>
      <c r="AE186" s="85" t="str">
        <f t="shared" si="56"/>
        <v>aws s3 cp s3://rtdc.mdm.uploadarchive.raw/RTDC4016/ "%USERPROFILE%\AppData\Local\Temp\OnboardLogs"\RTDC4016\2017-04-12 --exclude "*" --recursive --include "*20170412*" &amp; "%USERPROFILE%\Documents\GitHub\mrs-test-scripts\Headless Mode &amp; Sideloading\WalkAndUnGZ.bat" "%USERPROFILE%\AppData\Local\Temp\OnboardLogs"\RTDC4016\2017-04-12 &amp; aws s3 cp s3://rtdc.mdm.uploadarchive.raw/RTDC4016/ "%USERPROFILE%\AppData\Local\Temp\OnboardLogs"\RTDC4016\2017-04-13 --exclude "*" --recursive --include "*20170413*" &amp; "%USERPROFILE%\Documents\GitHub\mrs-test-scripts\Headless Mode &amp; Sideloading\WalkAndUnGZ.bat" "%USERPROFILE%\AppData\Local\Temp\OnboardLogs"\RTDC4016\2017-04-13</v>
      </c>
      <c r="AF186" s="82" t="str">
        <f t="shared" si="57"/>
        <v>"C:\Program Files (x86)\AstroGrep\AstroGrep.exe" /e /r /s /spath="%USERPROFILE%\AppData\Local\Temp\OnboardLogs" /stypes="app*4016*20170412*" /stext=" 22:.+((SYSTEM_STATE.+slice.+state.+changed )|(ment ac)|(multiple cpu faults)|(system.+state.+changed )|(\[timeout)|(PRM\|1\|D)|(kpr)|(kdp)|(\|lc)|(penalty))"</v>
      </c>
      <c r="AG186" s="1" t="str">
        <f t="shared" si="58"/>
        <v>NW</v>
      </c>
      <c r="AH186" s="86" t="str">
        <f t="shared" si="60"/>
        <v>"%USERPROFILE%\Documents\GitHub\eaglep3\Utilities\RefineRTDCRunTimes.py" --tripid 829-12 --locoid 4016 --swversion DE.1.0.9.0 --startMP 204:985 --initTime 2017-04-12T16:12:37 --startdatetime 2017-04-12T16:21:16 --delay 1 --endMP 300:58933 --enddatetime 2017-04-12T16:35:29 --enforcementcount 0 &gt;&gt;C:\Users\stu\Documents\GitHub\eaglep3-reporting\EC\2017-04-12-refined-times.txt</v>
      </c>
      <c r="AI186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{"issue":{"subject":"","project_id":79,"tracker_id":40,"status_id":1,"priority_id":2,"assigned_to_id":23,"start_date":"2017-04-12","description":"","custom_fields":[{"id":1,"name":"Subdivision","value":"NW"},{"id":4,"name":"Milepost","value":"5.8933"},{"id":17,"name":"Train ID","value":"829-12"},{"id":16,"name":"Locomotive ID","value":"4016"},{"id":130,"name":"Impact","value":""},{"id":150,"name":"Time of Event (Mountain Time)","value":"16:35:29"},{"id":151,"name":"Denver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8"/>
      <c r="AL186" s="48"/>
      <c r="AM186" s="150" t="str">
        <f t="shared" si="62"/>
        <v>start /low /b %USERPROFILE%\Documents\GitHub\eaglep3\Utilities\DownloadLogsFromS3.py --loco 4016 --day 2017-04-12</v>
      </c>
      <c r="AN186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22:35:29"},{"id":29,"name":"Sharepoint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3" t="s">
        <v>790</v>
      </c>
      <c r="B187" s="7">
        <v>4015</v>
      </c>
      <c r="C187" s="21" t="s">
        <v>214</v>
      </c>
      <c r="D187" s="21" t="s">
        <v>977</v>
      </c>
      <c r="E187" s="13">
        <v>42837.692245370374</v>
      </c>
      <c r="F187" s="13">
        <v>42837.693657407406</v>
      </c>
      <c r="G187" s="7">
        <v>1</v>
      </c>
      <c r="H187" s="21" t="s">
        <v>610</v>
      </c>
      <c r="I187" s="13">
        <v>42837.705474537041</v>
      </c>
      <c r="J187" s="7">
        <v>0</v>
      </c>
      <c r="K187" s="97" t="str">
        <f t="shared" si="45"/>
        <v>4015/4016</v>
      </c>
      <c r="L187" s="21" t="str">
        <f>VLOOKUP(A187,'Trips&amp;Operators'!$C$1:$G$99999,5,FALSE)</f>
        <v>SULLIVAN BRANDON</v>
      </c>
      <c r="M187" s="6">
        <f t="shared" si="46"/>
        <v>1.1817129634437151E-2</v>
      </c>
      <c r="N187" s="7">
        <f t="shared" si="64"/>
        <v>17.016666673589498</v>
      </c>
      <c r="O187" s="7"/>
      <c r="P187" s="7"/>
      <c r="Q187" s="22"/>
      <c r="R187" s="22"/>
      <c r="S187" s="31">
        <f t="shared" si="47"/>
        <v>1</v>
      </c>
      <c r="T187" s="46" t="str">
        <f t="shared" si="48"/>
        <v>Southbound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 t="shared" si="49"/>
        <v>https://d0f6bd738d7f1b3e5a7ca70fe4ff75f0.us-east-1.aws.found.io/app/kibana#/discover/Steve-Slow-Train-Analysis-(2080s-and-2083s)?_g=(refreshInterval:(display:Off,pause:!f,section:0,value:0),time:(from:'2017-04-12T15:36:50-0600',mode:absolute,to:'2017-04-12T17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7" s="183" t="str">
        <f t="shared" si="50"/>
        <v>N</v>
      </c>
      <c r="X187" s="183">
        <f t="shared" si="51"/>
        <v>1</v>
      </c>
      <c r="Y187" s="62">
        <f t="shared" si="52"/>
        <v>5.8623000000000003</v>
      </c>
      <c r="Z187" s="62">
        <f t="shared" si="53"/>
        <v>6.9400000000000003E-2</v>
      </c>
      <c r="AA187" s="62">
        <f t="shared" si="54"/>
        <v>5.7929000000000004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5"/>
        <v>0830-12</v>
      </c>
      <c r="AE187" s="85" t="str">
        <f t="shared" si="56"/>
        <v>aws s3 cp s3://rtdc.mdm.uploadarchive.raw/RTDC4015/ "%USERPROFILE%\AppData\Local\Temp\OnboardLogs"\RTDC4015\2017-04-12 --exclude "*" --recursive --include "*20170412*" &amp; "%USERPROFILE%\Documents\GitHub\mrs-test-scripts\Headless Mode &amp; Sideloading\WalkAndUnGZ.bat" "%USERPROFILE%\AppData\Local\Temp\OnboardLogs"\RTDC4015\2017-04-12 &amp; aws s3 cp s3://rtdc.mdm.uploadarchive.raw/RTDC4015/ "%USERPROFILE%\AppData\Local\Temp\OnboardLogs"\RTDC4015\2017-04-13 --exclude "*" --recursive --include "*20170413*" &amp; "%USERPROFILE%\Documents\GitHub\mrs-test-scripts\Headless Mode &amp; Sideloading\WalkAndUnGZ.bat" "%USERPROFILE%\AppData\Local\Temp\OnboardLogs"\RTDC4015\2017-04-13</v>
      </c>
      <c r="AF187" s="82" t="str">
        <f t="shared" si="57"/>
        <v>"C:\Program Files (x86)\AstroGrep\AstroGrep.exe" /e /r /s /spath="%USERPROFILE%\AppData\Local\Temp\OnboardLogs" /stypes="app*4015*20170412*" /stext=" 22:.+((SYSTEM_STATE.+slice.+state.+changed )|(ment ac)|(multiple cpu faults)|(system.+state.+changed )|(\[timeout)|(PRM\|1\|D)|(kpr)|(kdp)|(\|lc)|(penalty))"</v>
      </c>
      <c r="AG187" s="1" t="str">
        <f t="shared" si="58"/>
        <v>NW</v>
      </c>
      <c r="AH187" s="86" t="str">
        <f t="shared" si="60"/>
        <v>"%USERPROFILE%\Documents\GitHub\eaglep3\Utilities\RefineRTDCRunTimes.py" --tripid 830-12 --locoid 4015 --swversion DE.1.0.9.0 --startMP 300:58623 --initTime 2017-04-12T16:36:50 --startdatetime 2017-04-12T16:38:52 --delay 1 --endMP 204:694 --enddatetime 2017-04-12T16:55:53 --enforcementcount 0 &gt;&gt;C:\Users\stu\Documents\GitHub\eaglep3-reporting\EC\2017-04-12-refined-times.txt</v>
      </c>
      <c r="AI187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{"issue":{"subject":"","project_id":79,"tracker_id":40,"status_id":1,"priority_id":2,"assigned_to_id":23,"start_date":"2017-04-12","description":"","custom_fields":[{"id":1,"name":"Subdivision","value":"NW"},{"id":4,"name":"Milepost","value":"0.0694"},{"id":17,"name":"Train ID","value":"830-12"},{"id":16,"name":"Locomotive ID","value":"4015"},{"id":130,"name":"Impact","value":""},{"id":150,"name":"Time of Event (Mountain Time)","value":"16:55:53"},{"id":151,"name":"Denver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8"/>
      <c r="AL187" s="48"/>
      <c r="AM187" s="150" t="str">
        <f t="shared" si="62"/>
        <v>start /low /b %USERPROFILE%\Documents\GitHub\eaglep3\Utilities\DownloadLogsFromS3.py --loco 4015 --day 2017-04-12</v>
      </c>
      <c r="AN187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22:55:53"},{"id":29,"name":"Sharepoint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3" t="s">
        <v>792</v>
      </c>
      <c r="B188" s="7">
        <v>4022</v>
      </c>
      <c r="C188" s="21" t="s">
        <v>214</v>
      </c>
      <c r="D188" s="21" t="s">
        <v>997</v>
      </c>
      <c r="E188" s="13">
        <v>42837.699479166666</v>
      </c>
      <c r="F188" s="13">
        <v>42837.702349537038</v>
      </c>
      <c r="G188" s="7">
        <v>1</v>
      </c>
      <c r="H188" s="21" t="s">
        <v>998</v>
      </c>
      <c r="I188" s="13">
        <v>42837.712754629632</v>
      </c>
      <c r="J188" s="7">
        <v>0</v>
      </c>
      <c r="K188" s="97" t="str">
        <f t="shared" si="45"/>
        <v>4021/4022</v>
      </c>
      <c r="L188" s="21" t="str">
        <f>VLOOKUP(A188,'Trips&amp;Operators'!$C$1:$G$99999,5,FALSE)</f>
        <v>CHANDLER KELVIN</v>
      </c>
      <c r="M188" s="6">
        <f t="shared" si="46"/>
        <v>1.0405092594737653E-2</v>
      </c>
      <c r="N188" s="7">
        <f t="shared" si="64"/>
        <v>14.98333333642222</v>
      </c>
      <c r="O188" s="7"/>
      <c r="P188" s="7"/>
      <c r="Q188" s="22"/>
      <c r="R188" s="22"/>
      <c r="S188" s="31">
        <f t="shared" si="47"/>
        <v>1</v>
      </c>
      <c r="T188" s="46" t="str">
        <f t="shared" si="48"/>
        <v>NorthBound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 t="shared" si="49"/>
        <v>https://d0f6bd738d7f1b3e5a7ca70fe4ff75f0.us-east-1.aws.found.io/app/kibana#/discover/Steve-Slow-Train-Analysis-(2080s-and-2083s)?_g=(refreshInterval:(display:Off,pause:!f,section:0,value:0),time:(from:'2017-04-12T15:47:15-0600',mode:absolute,to:'2017-04-12T18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8" s="183" t="str">
        <f t="shared" si="50"/>
        <v>N</v>
      </c>
      <c r="X188" s="183">
        <f t="shared" si="51"/>
        <v>1</v>
      </c>
      <c r="Y188" s="62">
        <f t="shared" si="52"/>
        <v>9.5299999999999996E-2</v>
      </c>
      <c r="Z188" s="62">
        <f t="shared" si="53"/>
        <v>5.8983999999999996</v>
      </c>
      <c r="AA188" s="62">
        <f t="shared" si="54"/>
        <v>5.8030999999999997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5"/>
        <v>0831-12</v>
      </c>
      <c r="AE188" s="85" t="str">
        <f t="shared" si="56"/>
        <v>aws s3 cp s3://rtdc.mdm.uploadarchive.raw/RTDC4022/ "%USERPROFILE%\AppData\Local\Temp\OnboardLogs"\RTDC4022\2017-04-12 --exclude "*" --recursive --include "*20170412*" &amp; "%USERPROFILE%\Documents\GitHub\mrs-test-scripts\Headless Mode &amp; Sideloading\WalkAndUnGZ.bat" "%USERPROFILE%\AppData\Local\Temp\OnboardLogs"\RTDC4022\2017-04-12 &amp; aws s3 cp s3://rtdc.mdm.uploadarchive.raw/RTDC4022/ "%USERPROFILE%\AppData\Local\Temp\OnboardLogs"\RTDC4022\2017-04-13 --exclude "*" --recursive --include "*20170413*" &amp; "%USERPROFILE%\Documents\GitHub\mrs-test-scripts\Headless Mode &amp; Sideloading\WalkAndUnGZ.bat" "%USERPROFILE%\AppData\Local\Temp\OnboardLogs"\RTDC4022\2017-04-13</v>
      </c>
      <c r="AF188" s="82" t="str">
        <f t="shared" si="57"/>
        <v>"C:\Program Files (x86)\AstroGrep\AstroGrep.exe" /e /r /s /spath="%USERPROFILE%\AppData\Local\Temp\OnboardLogs" /stypes="app*4022*20170412*" /stext=" 23:.+((SYSTEM_STATE.+slice.+state.+changed )|(ment ac)|(multiple cpu faults)|(system.+state.+changed )|(\[timeout)|(PRM\|1\|D)|(kpr)|(kdp)|(\|lc)|(penalty))"</v>
      </c>
      <c r="AG188" s="1" t="str">
        <f t="shared" si="58"/>
        <v>NW</v>
      </c>
      <c r="AH188" s="86" t="str">
        <f t="shared" si="60"/>
        <v>"%USERPROFILE%\Documents\GitHub\eaglep3\Utilities\RefineRTDCRunTimes.py" --tripid 831-12 --locoid 4022 --swversion DE.1.0.9.0 --startMP 204:953 --initTime 2017-04-12T16:47:15 --startdatetime 2017-04-12T16:51:23 --delay 1 --endMP 300:58984 --enddatetime 2017-04-12T17:06:22 --enforcementcount 0 &gt;&gt;C:\Users\stu\Documents\GitHub\eaglep3-reporting\EC\2017-04-12-refined-times.txt</v>
      </c>
      <c r="AI188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{"issue":{"subject":"","project_id":79,"tracker_id":40,"status_id":1,"priority_id":2,"assigned_to_id":23,"start_date":"2017-04-12","description":"","custom_fields":[{"id":1,"name":"Subdivision","value":"NW"},{"id":4,"name":"Milepost","value":"5.8984"},{"id":17,"name":"Train ID","value":"831-12"},{"id":16,"name":"Locomotive ID","value":"4022"},{"id":130,"name":"Impact","value":""},{"id":150,"name":"Time of Event (Mountain Time)","value":"17:06:22"},{"id":151,"name":"Denver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8"/>
      <c r="AL188" s="48"/>
      <c r="AM188" s="150" t="str">
        <f t="shared" si="62"/>
        <v>start /low /b %USERPROFILE%\Documents\GitHub\eaglep3\Utilities\DownloadLogsFromS3.py --loco 4022 --day 2017-04-12</v>
      </c>
      <c r="AN188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23:06:22"},{"id":29,"name":"Sharepoint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3" t="s">
        <v>796</v>
      </c>
      <c r="B189" s="7">
        <v>4021</v>
      </c>
      <c r="C189" s="21" t="s">
        <v>214</v>
      </c>
      <c r="D189" s="21" t="s">
        <v>601</v>
      </c>
      <c r="E189" s="13">
        <v>42837.714895833335</v>
      </c>
      <c r="F189" s="13">
        <v>42837.716979166667</v>
      </c>
      <c r="G189" s="7">
        <v>1</v>
      </c>
      <c r="H189" s="21" t="s">
        <v>999</v>
      </c>
      <c r="I189" s="13">
        <v>42837.727800925924</v>
      </c>
      <c r="J189" s="7">
        <v>0</v>
      </c>
      <c r="K189" s="97" t="str">
        <f t="shared" si="45"/>
        <v>4021/4022</v>
      </c>
      <c r="L189" s="21" t="str">
        <f>VLOOKUP(A189,'Trips&amp;Operators'!$C$1:$G$99999,5,FALSE)</f>
        <v>CHANDLER KELVIN</v>
      </c>
      <c r="M189" s="6">
        <f t="shared" si="46"/>
        <v>1.0821759256941732E-2</v>
      </c>
      <c r="N189" s="7">
        <f t="shared" si="64"/>
        <v>15.583333329996094</v>
      </c>
      <c r="O189" s="7"/>
      <c r="P189" s="7"/>
      <c r="Q189" s="22"/>
      <c r="R189" s="22"/>
      <c r="S189" s="31">
        <f t="shared" si="47"/>
        <v>1</v>
      </c>
      <c r="T189" s="46" t="str">
        <f t="shared" si="48"/>
        <v>Southbound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 t="shared" si="49"/>
        <v>https://d0f6bd738d7f1b3e5a7ca70fe4ff75f0.us-east-1.aws.found.io/app/kibana#/discover/Steve-Slow-Train-Analysis-(2080s-and-2083s)?_g=(refreshInterval:(display:Off,pause:!f,section:0,value:0),time:(from:'2017-04-12T16:09:27-0600',mode:absolute,to:'2017-04-12T18:28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9" s="183" t="str">
        <f t="shared" si="50"/>
        <v>N</v>
      </c>
      <c r="X189" s="183">
        <f t="shared" si="51"/>
        <v>1</v>
      </c>
      <c r="Y189" s="62">
        <f t="shared" si="52"/>
        <v>5.867</v>
      </c>
      <c r="Z189" s="62">
        <f t="shared" si="53"/>
        <v>6.6600000000000006E-2</v>
      </c>
      <c r="AA189" s="62">
        <f t="shared" si="54"/>
        <v>5.8003999999999998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5"/>
        <v>0832-12</v>
      </c>
      <c r="AE189" s="85" t="str">
        <f t="shared" si="56"/>
        <v>aws s3 cp s3://rtdc.mdm.uploadarchive.raw/RTDC4021/ "%USERPROFILE%\AppData\Local\Temp\OnboardLogs"\RTDC4021\2017-04-12 --exclude "*" --recursive --include "*20170412*" &amp; "%USERPROFILE%\Documents\GitHub\mrs-test-scripts\Headless Mode &amp; Sideloading\WalkAndUnGZ.bat" "%USERPROFILE%\AppData\Local\Temp\OnboardLogs"\RTDC4021\2017-04-12 &amp; aws s3 cp s3://rtdc.mdm.uploadarchive.raw/RTDC4021/ "%USERPROFILE%\AppData\Local\Temp\OnboardLogs"\RTDC4021\2017-04-13 --exclude "*" --recursive --include "*20170413*" &amp; "%USERPROFILE%\Documents\GitHub\mrs-test-scripts\Headless Mode &amp; Sideloading\WalkAndUnGZ.bat" "%USERPROFILE%\AppData\Local\Temp\OnboardLogs"\RTDC4021\2017-04-13</v>
      </c>
      <c r="AF189" s="82" t="str">
        <f t="shared" si="57"/>
        <v>"C:\Program Files (x86)\AstroGrep\AstroGrep.exe" /e /r /s /spath="%USERPROFILE%\AppData\Local\Temp\OnboardLogs" /stypes="app*4021*20170412*" /stext=" 23:.+((SYSTEM_STATE.+slice.+state.+changed )|(ment ac)|(multiple cpu faults)|(system.+state.+changed )|(\[timeout)|(PRM\|1\|D)|(kpr)|(kdp)|(\|lc)|(penalty))"</v>
      </c>
      <c r="AG189" s="1" t="str">
        <f t="shared" si="58"/>
        <v>NW</v>
      </c>
      <c r="AH189" s="86" t="str">
        <f t="shared" si="60"/>
        <v>"%USERPROFILE%\Documents\GitHub\eaglep3\Utilities\RefineRTDCRunTimes.py" --tripid 832-12 --locoid 4021 --swversion DE.1.0.9.0 --startMP 300:58670 --initTime 2017-04-12T17:09:27 --startdatetime 2017-04-12T17:12:27 --delay 1 --endMP 204:666 --enddatetime 2017-04-12T17:28:02 --enforcementcount 0 &gt;&gt;C:\Users\stu\Documents\GitHub\eaglep3-reporting\EC\2017-04-12-refined-times.txt</v>
      </c>
      <c r="AI189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{"issue":{"subject":"","project_id":79,"tracker_id":40,"status_id":1,"priority_id":2,"assigned_to_id":23,"start_date":"2017-04-12","description":"","custom_fields":[{"id":1,"name":"Subdivision","value":"NW"},{"id":4,"name":"Milepost","value":"0.0666"},{"id":17,"name":"Train ID","value":"832-12"},{"id":16,"name":"Locomotive ID","value":"4021"},{"id":130,"name":"Impact","value":""},{"id":150,"name":"Time of Event (Mountain Time)","value":"17:28:02"},{"id":151,"name":"Denver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8"/>
      <c r="AL189" s="48"/>
      <c r="AM189" s="150" t="str">
        <f t="shared" si="62"/>
        <v>start /low /b %USERPROFILE%\Documents\GitHub\eaglep3\Utilities\DownloadLogsFromS3.py --loco 4021 --day 2017-04-12</v>
      </c>
      <c r="AN189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23:28:02"},{"id":29,"name":"Sharepoint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3" t="s">
        <v>797</v>
      </c>
      <c r="B190" s="7">
        <v>4016</v>
      </c>
      <c r="C190" s="21" t="s">
        <v>214</v>
      </c>
      <c r="D190" s="21" t="s">
        <v>1000</v>
      </c>
      <c r="E190" s="13">
        <v>42837.718182870369</v>
      </c>
      <c r="F190" s="13">
        <v>42837.723379629628</v>
      </c>
      <c r="G190" s="7">
        <v>1</v>
      </c>
      <c r="H190" s="21" t="s">
        <v>609</v>
      </c>
      <c r="I190" s="13">
        <v>42837.73332175926</v>
      </c>
      <c r="J190" s="7">
        <v>0</v>
      </c>
      <c r="K190" s="97" t="str">
        <f t="shared" si="45"/>
        <v>4015/4016</v>
      </c>
      <c r="L190" s="21" t="str">
        <f>VLOOKUP(A190,'Trips&amp;Operators'!$C$1:$G$99999,5,FALSE)</f>
        <v>SULLIVAN BRANDON</v>
      </c>
      <c r="M190" s="6">
        <f t="shared" si="46"/>
        <v>9.9421296326909214E-3</v>
      </c>
      <c r="N190" s="7">
        <f t="shared" si="64"/>
        <v>14.316666671074927</v>
      </c>
      <c r="O190" s="7"/>
      <c r="P190" s="7"/>
      <c r="Q190" s="22"/>
      <c r="R190" s="22"/>
      <c r="S190" s="31">
        <f t="shared" si="47"/>
        <v>1</v>
      </c>
      <c r="T190" s="46" t="str">
        <f t="shared" si="48"/>
        <v>NorthBound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 t="shared" si="49"/>
        <v>https://d0f6bd738d7f1b3e5a7ca70fe4ff75f0.us-east-1.aws.found.io/app/kibana#/discover/Steve-Slow-Train-Analysis-(2080s-and-2083s)?_g=(refreshInterval:(display:Off,pause:!f,section:0,value:0),time:(from:'2017-04-12T16:14:11-0600',mode:absolute,to:'2017-04-12T18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0" s="183" t="str">
        <f t="shared" si="50"/>
        <v>N</v>
      </c>
      <c r="X190" s="183">
        <f t="shared" si="51"/>
        <v>1</v>
      </c>
      <c r="Y190" s="62">
        <f t="shared" si="52"/>
        <v>9.9500000000000005E-2</v>
      </c>
      <c r="Z190" s="62">
        <f t="shared" si="53"/>
        <v>5.8949999999999996</v>
      </c>
      <c r="AA190" s="62">
        <f t="shared" si="54"/>
        <v>5.7954999999999997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5"/>
        <v>0833-12</v>
      </c>
      <c r="AE190" s="85" t="str">
        <f t="shared" si="56"/>
        <v>aws s3 cp s3://rtdc.mdm.uploadarchive.raw/RTDC4016/ "%USERPROFILE%\AppData\Local\Temp\OnboardLogs"\RTDC4016\2017-04-12 --exclude "*" --recursive --include "*20170412*" &amp; "%USERPROFILE%\Documents\GitHub\mrs-test-scripts\Headless Mode &amp; Sideloading\WalkAndUnGZ.bat" "%USERPROFILE%\AppData\Local\Temp\OnboardLogs"\RTDC4016\2017-04-12 &amp; aws s3 cp s3://rtdc.mdm.uploadarchive.raw/RTDC4016/ "%USERPROFILE%\AppData\Local\Temp\OnboardLogs"\RTDC4016\2017-04-13 --exclude "*" --recursive --include "*20170413*" &amp; "%USERPROFILE%\Documents\GitHub\mrs-test-scripts\Headless Mode &amp; Sideloading\WalkAndUnGZ.bat" "%USERPROFILE%\AppData\Local\Temp\OnboardLogs"\RTDC4016\2017-04-13</v>
      </c>
      <c r="AF190" s="82" t="str">
        <f t="shared" si="57"/>
        <v>"C:\Program Files (x86)\AstroGrep\AstroGrep.exe" /e /r /s /spath="%USERPROFILE%\AppData\Local\Temp\OnboardLogs" /stypes="app*4016*20170412*" /stext=" 23:.+((SYSTEM_STATE.+slice.+state.+changed )|(ment ac)|(multiple cpu faults)|(system.+state.+changed )|(\[timeout)|(PRM\|1\|D)|(kpr)|(kdp)|(\|lc)|(penalty))"</v>
      </c>
      <c r="AG190" s="1" t="str">
        <f t="shared" si="58"/>
        <v>NW</v>
      </c>
      <c r="AH190" s="86" t="str">
        <f t="shared" si="60"/>
        <v>"%USERPROFILE%\Documents\GitHub\eaglep3\Utilities\RefineRTDCRunTimes.py" --tripid 833-12 --locoid 4016 --swversion DE.1.0.9.0 --startMP 204:995 --initTime 2017-04-12T17:14:11 --startdatetime 2017-04-12T17:21:40 --delay 1 --endMP 300:58950 --enddatetime 2017-04-12T17:35:59 --enforcementcount 0 &gt;&gt;C:\Users\stu\Documents\GitHub\eaglep3-reporting\EC\2017-04-12-refined-times.txt</v>
      </c>
      <c r="AI190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{"issue":{"subject":"","project_id":79,"tracker_id":40,"status_id":1,"priority_id":2,"assigned_to_id":23,"start_date":"2017-04-12","description":"","custom_fields":[{"id":1,"name":"Subdivision","value":"NW"},{"id":4,"name":"Milepost","value":"5.895"},{"id":17,"name":"Train ID","value":"833-12"},{"id":16,"name":"Locomotive ID","value":"4016"},{"id":130,"name":"Impact","value":""},{"id":150,"name":"Time of Event (Mountain Time)","value":"17:35:59"},{"id":151,"name":"Denver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8"/>
      <c r="AL190" s="48"/>
      <c r="AM190" s="150" t="str">
        <f t="shared" si="62"/>
        <v>start /low /b %USERPROFILE%\Documents\GitHub\eaglep3\Utilities\DownloadLogsFromS3.py --loco 4016 --day 2017-04-12</v>
      </c>
      <c r="AN190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23:35:59"},{"id":29,"name":"Sharepoint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3" t="s">
        <v>803</v>
      </c>
      <c r="B191" s="7">
        <v>4015</v>
      </c>
      <c r="C191" s="21" t="s">
        <v>214</v>
      </c>
      <c r="D191" s="21" t="s">
        <v>1001</v>
      </c>
      <c r="E191" s="13">
        <v>42837.734490740739</v>
      </c>
      <c r="F191" s="13">
        <v>42837.735995370371</v>
      </c>
      <c r="G191" s="7">
        <v>1</v>
      </c>
      <c r="H191" s="21" t="s">
        <v>1002</v>
      </c>
      <c r="I191" s="13">
        <v>42837.747662037036</v>
      </c>
      <c r="J191" s="7">
        <v>0</v>
      </c>
      <c r="K191" s="97" t="str">
        <f t="shared" si="45"/>
        <v>4015/4016</v>
      </c>
      <c r="L191" s="21" t="str">
        <f>VLOOKUP(A191,'Trips&amp;Operators'!$C$1:$G$99999,5,FALSE)</f>
        <v>SULLIVAN BRANDON</v>
      </c>
      <c r="M191" s="6">
        <f t="shared" si="46"/>
        <v>1.1666666665405501E-2</v>
      </c>
      <c r="N191" s="7">
        <f t="shared" si="64"/>
        <v>16.799999998183921</v>
      </c>
      <c r="O191" s="7"/>
      <c r="P191" s="7"/>
      <c r="Q191" s="22"/>
      <c r="R191" s="22"/>
      <c r="S191" s="31">
        <f t="shared" si="47"/>
        <v>1</v>
      </c>
      <c r="T191" s="46" t="str">
        <f t="shared" si="48"/>
        <v>Southbound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 t="shared" si="49"/>
        <v>https://d0f6bd738d7f1b3e5a7ca70fe4ff75f0.us-east-1.aws.found.io/app/kibana#/discover/Steve-Slow-Train-Analysis-(2080s-and-2083s)?_g=(refreshInterval:(display:Off,pause:!f,section:0,value:0),time:(from:'2017-04-12T16:37:40-0600',mode:absolute,to:'2017-04-12T18:56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1" s="183" t="str">
        <f t="shared" si="50"/>
        <v>N</v>
      </c>
      <c r="X191" s="183">
        <f t="shared" si="51"/>
        <v>1</v>
      </c>
      <c r="Y191" s="62">
        <f t="shared" si="52"/>
        <v>5.8651</v>
      </c>
      <c r="Z191" s="62">
        <f t="shared" si="53"/>
        <v>6.8699999999999997E-2</v>
      </c>
      <c r="AA191" s="62">
        <f t="shared" si="54"/>
        <v>5.7964000000000002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5"/>
        <v>0834-12</v>
      </c>
      <c r="AE191" s="85" t="str">
        <f t="shared" si="56"/>
        <v>aws s3 cp s3://rtdc.mdm.uploadarchive.raw/RTDC4015/ "%USERPROFILE%\AppData\Local\Temp\OnboardLogs"\RTDC4015\2017-04-12 --exclude "*" --recursive --include "*20170412*" &amp; "%USERPROFILE%\Documents\GitHub\mrs-test-scripts\Headless Mode &amp; Sideloading\WalkAndUnGZ.bat" "%USERPROFILE%\AppData\Local\Temp\OnboardLogs"\RTDC4015\2017-04-12 &amp; aws s3 cp s3://rtdc.mdm.uploadarchive.raw/RTDC4015/ "%USERPROFILE%\AppData\Local\Temp\OnboardLogs"\RTDC4015\2017-04-13 --exclude "*" --recursive --include "*20170413*" &amp; "%USERPROFILE%\Documents\GitHub\mrs-test-scripts\Headless Mode &amp; Sideloading\WalkAndUnGZ.bat" "%USERPROFILE%\AppData\Local\Temp\OnboardLogs"\RTDC4015\2017-04-13</v>
      </c>
      <c r="AF191" s="82" t="str">
        <f t="shared" si="57"/>
        <v>"C:\Program Files (x86)\AstroGrep\AstroGrep.exe" /e /r /s /spath="%USERPROFILE%\AppData\Local\Temp\OnboardLogs" /stypes="app*4015*20170412*" /stext=" 23:.+((SYSTEM_STATE.+slice.+state.+changed )|(ment ac)|(multiple cpu faults)|(system.+state.+changed )|(\[timeout)|(PRM\|1\|D)|(kpr)|(kdp)|(\|lc)|(penalty))"</v>
      </c>
      <c r="AG191" s="1" t="str">
        <f t="shared" si="58"/>
        <v>NW</v>
      </c>
      <c r="AH191" s="86" t="str">
        <f t="shared" si="60"/>
        <v>"%USERPROFILE%\Documents\GitHub\eaglep3\Utilities\RefineRTDCRunTimes.py" --tripid 834-12 --locoid 4015 --swversion DE.1.0.9.0 --startMP 300:58651 --initTime 2017-04-12T17:37:40 --startdatetime 2017-04-12T17:39:50 --delay 1 --endMP 204:687 --enddatetime 2017-04-12T17:56:38 --enforcementcount 0 &gt;&gt;C:\Users\stu\Documents\GitHub\eaglep3-reporting\EC\2017-04-12-refined-times.txt</v>
      </c>
      <c r="AI191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{"issue":{"subject":"","project_id":79,"tracker_id":40,"status_id":1,"priority_id":2,"assigned_to_id":23,"start_date":"2017-04-12","description":"","custom_fields":[{"id":1,"name":"Subdivision","value":"NW"},{"id":4,"name":"Milepost","value":"0.0687"},{"id":17,"name":"Train ID","value":"834-12"},{"id":16,"name":"Locomotive ID","value":"4015"},{"id":130,"name":"Impact","value":""},{"id":150,"name":"Time of Event (Mountain Time)","value":"17:56:38"},{"id":151,"name":"Denver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8"/>
      <c r="AL191" s="48"/>
      <c r="AM191" s="150" t="str">
        <f t="shared" si="62"/>
        <v>start /low /b %USERPROFILE%\Documents\GitHub\eaglep3\Utilities\DownloadLogsFromS3.py --loco 4015 --day 2017-04-12</v>
      </c>
      <c r="AN191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23:56:38"},{"id":29,"name":"Sharepoint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809</v>
      </c>
      <c r="B192" s="7">
        <v>4022</v>
      </c>
      <c r="C192" s="21" t="s">
        <v>214</v>
      </c>
      <c r="D192" s="21" t="s">
        <v>1003</v>
      </c>
      <c r="E192" s="13">
        <v>42837.740902777776</v>
      </c>
      <c r="F192" s="13">
        <v>42837.744131944448</v>
      </c>
      <c r="G192" s="7">
        <v>3</v>
      </c>
      <c r="H192" s="21" t="s">
        <v>1004</v>
      </c>
      <c r="I192" s="13">
        <v>42837.754537037035</v>
      </c>
      <c r="J192" s="7">
        <v>0</v>
      </c>
      <c r="K192" s="97" t="str">
        <f t="shared" si="45"/>
        <v>4021/4022</v>
      </c>
      <c r="L192" s="21" t="str">
        <f>VLOOKUP(A192,'Trips&amp;Operators'!$C$1:$G$99999,5,FALSE)</f>
        <v>JACKSON WILLIAM</v>
      </c>
      <c r="M192" s="6">
        <f t="shared" si="46"/>
        <v>1.0405092587461695E-2</v>
      </c>
      <c r="N192" s="7">
        <f t="shared" si="64"/>
        <v>14.983333325944841</v>
      </c>
      <c r="O192" s="7"/>
      <c r="P192" s="7"/>
      <c r="Q192" s="22"/>
      <c r="R192" s="22"/>
      <c r="S192" s="31">
        <f t="shared" si="47"/>
        <v>1</v>
      </c>
      <c r="T192" s="46" t="str">
        <f t="shared" si="48"/>
        <v>NorthBound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 t="shared" si="49"/>
        <v>https://d0f6bd738d7f1b3e5a7ca70fe4ff75f0.us-east-1.aws.found.io/app/kibana#/discover/Steve-Slow-Train-Analysis-(2080s-and-2083s)?_g=(refreshInterval:(display:Off,pause:!f,section:0,value:0),time:(from:'2017-04-12T16:46:54-0600',mode:absolute,to:'2017-04-12T19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2" s="183" t="str">
        <f t="shared" si="50"/>
        <v>N</v>
      </c>
      <c r="X192" s="183">
        <f t="shared" si="51"/>
        <v>1</v>
      </c>
      <c r="Y192" s="62">
        <f t="shared" si="52"/>
        <v>9.5500000000000002E-2</v>
      </c>
      <c r="Z192" s="62">
        <f t="shared" si="53"/>
        <v>5.8987999999999996</v>
      </c>
      <c r="AA192" s="62">
        <f t="shared" si="54"/>
        <v>5.8032999999999992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5"/>
        <v>0835-12</v>
      </c>
      <c r="AE192" s="85" t="str">
        <f t="shared" si="56"/>
        <v>aws s3 cp s3://rtdc.mdm.uploadarchive.raw/RTDC4022/ "%USERPROFILE%\AppData\Local\Temp\OnboardLogs"\RTDC4022\2017-04-12 --exclude "*" --recursive --include "*20170412*" &amp; "%USERPROFILE%\Documents\GitHub\mrs-test-scripts\Headless Mode &amp; Sideloading\WalkAndUnGZ.bat" "%USERPROFILE%\AppData\Local\Temp\OnboardLogs"\RTDC4022\2017-04-12 &amp; aws s3 cp s3://rtdc.mdm.uploadarchive.raw/RTDC4022/ "%USERPROFILE%\AppData\Local\Temp\OnboardLogs"\RTDC4022\2017-04-13 --exclude "*" --recursive --include "*20170413*" &amp; "%USERPROFILE%\Documents\GitHub\mrs-test-scripts\Headless Mode &amp; Sideloading\WalkAndUnGZ.bat" "%USERPROFILE%\AppData\Local\Temp\OnboardLogs"\RTDC4022\2017-04-13</v>
      </c>
      <c r="AF192" s="82" t="str">
        <f t="shared" si="57"/>
        <v>"C:\Program Files (x86)\AstroGrep\AstroGrep.exe" /e /r /s /spath="%USERPROFILE%\AppData\Local\Temp\OnboardLogs" /stypes="app*4022*20170413*" /stext=" 00:.+((SYSTEM_STATE.+slice.+state.+changed )|(ment ac)|(multiple cpu faults)|(system.+state.+changed )|(\[timeout)|(PRM\|1\|D)|(kpr)|(kdp)|(\|lc)|(penalty))"</v>
      </c>
      <c r="AG192" s="1" t="str">
        <f t="shared" si="58"/>
        <v>NW</v>
      </c>
      <c r="AH192" s="86" t="str">
        <f t="shared" si="60"/>
        <v>"%USERPROFILE%\Documents\GitHub\eaglep3\Utilities\RefineRTDCRunTimes.py" --tripid 835-12 --locoid 4022 --swversion DE.1.0.9.0 --startMP 204:955 --initTime 2017-04-12T17:46:54 --startdatetime 2017-04-12T17:51:33 --delay 3 --endMP 300:58988 --enddatetime 2017-04-12T18:06:32 --enforcementcount 0 &gt;&gt;C:\Users\stu\Documents\GitHub\eaglep3-reporting\EC\2017-04-12-refined-times.txt</v>
      </c>
      <c r="AI192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{"issue":{"subject":"","project_id":79,"tracker_id":40,"status_id":1,"priority_id":2,"assigned_to_id":23,"start_date":"2017-04-12","description":"","custom_fields":[{"id":1,"name":"Subdivision","value":"NW"},{"id":4,"name":"Milepost","value":"5.8988"},{"id":17,"name":"Train ID","value":"835-12"},{"id":16,"name":"Locomotive ID","value":"4022"},{"id":130,"name":"Impact","value":""},{"id":150,"name":"Time of Event (Mountain Time)","value":"18:06:32"},{"id":151,"name":"Denver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8"/>
      <c r="AL192" s="48"/>
      <c r="AM192" s="150" t="str">
        <f t="shared" si="62"/>
        <v>start /low /b %USERPROFILE%\Documents\GitHub\eaglep3\Utilities\DownloadLogsFromS3.py --loco 4022 --day 2017-04-12</v>
      </c>
      <c r="AN192" s="159" t="str">
        <f t="shared" si="6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00:06:32"},{"id":29,"name":"Sharepoint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x14ac:dyDescent="0.25">
      <c r="A193" s="33" t="s">
        <v>815</v>
      </c>
      <c r="B193" s="7">
        <v>4021</v>
      </c>
      <c r="C193" s="21" t="s">
        <v>214</v>
      </c>
      <c r="D193" s="21" t="s">
        <v>601</v>
      </c>
      <c r="E193" s="13">
        <v>42837.75571759259</v>
      </c>
      <c r="F193" s="13">
        <v>42837.7575</v>
      </c>
      <c r="G193" s="7">
        <v>1</v>
      </c>
      <c r="H193" s="21" t="s">
        <v>1005</v>
      </c>
      <c r="I193" s="13">
        <v>42837.768483796295</v>
      </c>
      <c r="J193" s="7">
        <v>0</v>
      </c>
      <c r="K193" s="97" t="str">
        <f t="shared" si="45"/>
        <v>4021/4022</v>
      </c>
      <c r="L193" s="21" t="str">
        <f>VLOOKUP(A193,'Trips&amp;Operators'!$C$1:$G$99999,5,FALSE)</f>
        <v>JACKSON WILLIAM</v>
      </c>
      <c r="M193" s="6">
        <f t="shared" si="46"/>
        <v>1.0983796295477077E-2</v>
      </c>
      <c r="N193" s="7">
        <f t="shared" si="64"/>
        <v>15.816666665486991</v>
      </c>
      <c r="O193" s="7"/>
      <c r="P193" s="7"/>
      <c r="Q193" s="22"/>
      <c r="R193" s="22"/>
      <c r="S193" s="31">
        <f t="shared" si="47"/>
        <v>1</v>
      </c>
      <c r="T193" s="46" t="str">
        <f t="shared" si="48"/>
        <v>Southbound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 t="shared" si="49"/>
        <v>https://d0f6bd738d7f1b3e5a7ca70fe4ff75f0.us-east-1.aws.found.io/app/kibana#/discover/Steve-Slow-Train-Analysis-(2080s-and-2083s)?_g=(refreshInterval:(display:Off,pause:!f,section:0,value:0),time:(from:'2017-04-12T17:08:14-0600',mode:absolute,to:'2017-04-12T19:26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3" s="183" t="str">
        <f t="shared" si="50"/>
        <v>N</v>
      </c>
      <c r="X193" s="183">
        <f t="shared" si="51"/>
        <v>1</v>
      </c>
      <c r="Y193" s="62">
        <f t="shared" si="52"/>
        <v>5.867</v>
      </c>
      <c r="Z193" s="62">
        <f t="shared" si="53"/>
        <v>6.6100000000000006E-2</v>
      </c>
      <c r="AA193" s="62">
        <f t="shared" si="54"/>
        <v>5.8009000000000004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5"/>
        <v>0836-12</v>
      </c>
      <c r="AE193" s="85" t="str">
        <f t="shared" si="56"/>
        <v>aws s3 cp s3://rtdc.mdm.uploadarchive.raw/RTDC4021/ "%USERPROFILE%\AppData\Local\Temp\OnboardLogs"\RTDC4021\2017-04-12 --exclude "*" --recursive --include "*20170412*" &amp; "%USERPROFILE%\Documents\GitHub\mrs-test-scripts\Headless Mode &amp; Sideloading\WalkAndUnGZ.bat" "%USERPROFILE%\AppData\Local\Temp\OnboardLogs"\RTDC4021\2017-04-12 &amp; aws s3 cp s3://rtdc.mdm.uploadarchive.raw/RTDC4021/ "%USERPROFILE%\AppData\Local\Temp\OnboardLogs"\RTDC4021\2017-04-13 --exclude "*" --recursive --include "*20170413*" &amp; "%USERPROFILE%\Documents\GitHub\mrs-test-scripts\Headless Mode &amp; Sideloading\WalkAndUnGZ.bat" "%USERPROFILE%\AppData\Local\Temp\OnboardLogs"\RTDC4021\2017-04-13</v>
      </c>
      <c r="AF193" s="82" t="str">
        <f t="shared" si="57"/>
        <v>"C:\Program Files (x86)\AstroGrep\AstroGrep.exe" /e /r /s /spath="%USERPROFILE%\AppData\Local\Temp\OnboardLogs" /stypes="app*4021*20170413*" /stext=" 00:.+((SYSTEM_STATE.+slice.+state.+changed )|(ment ac)|(multiple cpu faults)|(system.+state.+changed )|(\[timeout)|(PRM\|1\|D)|(kpr)|(kdp)|(\|lc)|(penalty))"</v>
      </c>
      <c r="AG193" s="1" t="str">
        <f t="shared" si="58"/>
        <v>NW</v>
      </c>
      <c r="AH193" s="86" t="str">
        <f t="shared" si="60"/>
        <v>"%USERPROFILE%\Documents\GitHub\eaglep3\Utilities\RefineRTDCRunTimes.py" --tripid 836-12 --locoid 4021 --swversion DE.1.0.9.0 --startMP 300:58670 --initTime 2017-04-12T18:08:14 --startdatetime 2017-04-12T18:10:48 --delay 1 --endMP 204:661 --enddatetime 2017-04-12T18:26:37 --enforcementcount 0 &gt;&gt;C:\Users\stu\Documents\GitHub\eaglep3-reporting\EC\2017-04-12-refined-times.txt</v>
      </c>
      <c r="AI193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{"issue":{"subject":"","project_id":79,"tracker_id":40,"status_id":1,"priority_id":2,"assigned_to_id":23,"start_date":"2017-04-12","description":"","custom_fields":[{"id":1,"name":"Subdivision","value":"NW"},{"id":4,"name":"Milepost","value":"0.0661"},{"id":17,"name":"Train ID","value":"836-12"},{"id":16,"name":"Locomotive ID","value":"4021"},{"id":130,"name":"Impact","value":""},{"id":150,"name":"Time of Event (Mountain Time)","value":"18:26:37"},{"id":151,"name":"Denver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8"/>
      <c r="AL193" s="48"/>
      <c r="AM193" s="150" t="str">
        <f t="shared" si="62"/>
        <v>start /low /b %USERPROFILE%\Documents\GitHub\eaglep3\Utilities\DownloadLogsFromS3.py --loco 4021 --day 2017-04-12</v>
      </c>
      <c r="AN193" s="159" t="str">
        <f t="shared" si="6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00:26:37"},{"id":29,"name":"Sharepoint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x14ac:dyDescent="0.25">
      <c r="A194" s="33" t="s">
        <v>816</v>
      </c>
      <c r="B194" s="7">
        <v>4016</v>
      </c>
      <c r="C194" s="21" t="s">
        <v>214</v>
      </c>
      <c r="D194" s="21" t="s">
        <v>550</v>
      </c>
      <c r="E194" s="13">
        <v>42837.761504629627</v>
      </c>
      <c r="F194" s="13">
        <v>42837.764756944445</v>
      </c>
      <c r="G194" s="7">
        <v>1</v>
      </c>
      <c r="H194" s="21" t="s">
        <v>609</v>
      </c>
      <c r="I194" s="13">
        <v>42837.774571759262</v>
      </c>
      <c r="J194" s="7">
        <v>0</v>
      </c>
      <c r="K194" s="97" t="str">
        <f t="shared" si="45"/>
        <v>4015/4016</v>
      </c>
      <c r="L194" s="21" t="str">
        <f>VLOOKUP(A194,'Trips&amp;Operators'!$C$1:$G$99999,5,FALSE)</f>
        <v>SULLIVAN BRANDON</v>
      </c>
      <c r="M194" s="6">
        <f t="shared" si="46"/>
        <v>9.8148148172185756E-3</v>
      </c>
      <c r="N194" s="7">
        <f t="shared" si="64"/>
        <v>14.133333336794749</v>
      </c>
      <c r="O194" s="7"/>
      <c r="P194" s="7"/>
      <c r="Q194" s="22"/>
      <c r="R194" s="22"/>
      <c r="S194" s="31">
        <f t="shared" si="47"/>
        <v>1</v>
      </c>
      <c r="T194" s="46" t="str">
        <f t="shared" si="48"/>
        <v>NorthBound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 t="shared" si="49"/>
        <v>https://d0f6bd738d7f1b3e5a7ca70fe4ff75f0.us-east-1.aws.found.io/app/kibana#/discover/Steve-Slow-Train-Analysis-(2080s-and-2083s)?_g=(refreshInterval:(display:Off,pause:!f,section:0,value:0),time:(from:'2017-04-12T17:16:34-0600',mode:absolute,to:'2017-04-12T19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4" s="183" t="str">
        <f t="shared" si="50"/>
        <v>N</v>
      </c>
      <c r="X194" s="183">
        <f t="shared" si="51"/>
        <v>1</v>
      </c>
      <c r="Y194" s="62">
        <f t="shared" si="52"/>
        <v>9.74E-2</v>
      </c>
      <c r="Z194" s="62">
        <f t="shared" si="53"/>
        <v>5.8949999999999996</v>
      </c>
      <c r="AA194" s="62">
        <f t="shared" si="54"/>
        <v>5.7975999999999992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5"/>
        <v>0837-12</v>
      </c>
      <c r="AE194" s="85" t="str">
        <f t="shared" si="56"/>
        <v>aws s3 cp s3://rtdc.mdm.uploadarchive.raw/RTDC4016/ "%USERPROFILE%\AppData\Local\Temp\OnboardLogs"\RTDC4016\2017-04-12 --exclude "*" --recursive --include "*20170412*" &amp; "%USERPROFILE%\Documents\GitHub\mrs-test-scripts\Headless Mode &amp; Sideloading\WalkAndUnGZ.bat" "%USERPROFILE%\AppData\Local\Temp\OnboardLogs"\RTDC4016\2017-04-12 &amp; aws s3 cp s3://rtdc.mdm.uploadarchive.raw/RTDC4016/ "%USERPROFILE%\AppData\Local\Temp\OnboardLogs"\RTDC4016\2017-04-13 --exclude "*" --recursive --include "*20170413*" &amp; "%USERPROFILE%\Documents\GitHub\mrs-test-scripts\Headless Mode &amp; Sideloading\WalkAndUnGZ.bat" "%USERPROFILE%\AppData\Local\Temp\OnboardLogs"\RTDC4016\2017-04-13</v>
      </c>
      <c r="AF194" s="82" t="str">
        <f t="shared" si="57"/>
        <v>"C:\Program Files (x86)\AstroGrep\AstroGrep.exe" /e /r /s /spath="%USERPROFILE%\AppData\Local\Temp\OnboardLogs" /stypes="app*4016*20170413*" /stext=" 00:.+((SYSTEM_STATE.+slice.+state.+changed )|(ment ac)|(multiple cpu faults)|(system.+state.+changed )|(\[timeout)|(PRM\|1\|D)|(kpr)|(kdp)|(\|lc)|(penalty))"</v>
      </c>
      <c r="AG194" s="1" t="str">
        <f t="shared" si="58"/>
        <v>NW</v>
      </c>
      <c r="AH194" s="86" t="str">
        <f t="shared" si="60"/>
        <v>"%USERPROFILE%\Documents\GitHub\eaglep3\Utilities\RefineRTDCRunTimes.py" --tripid 837-12 --locoid 4016 --swversion DE.1.0.9.0 --startMP 204:974 --initTime 2017-04-12T18:16:34 --startdatetime 2017-04-12T18:21:15 --delay 1 --endMP 300:58950 --enddatetime 2017-04-12T18:35:23 --enforcementcount 0 &gt;&gt;C:\Users\stu\Documents\GitHub\eaglep3-reporting\EC\2017-04-12-refined-times.txt</v>
      </c>
      <c r="AI194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{"issue":{"subject":"","project_id":79,"tracker_id":40,"status_id":1,"priority_id":2,"assigned_to_id":23,"start_date":"2017-04-12","description":"","custom_fields":[{"id":1,"name":"Subdivision","value":"NW"},{"id":4,"name":"Milepost","value":"5.895"},{"id":17,"name":"Train ID","value":"837-12"},{"id":16,"name":"Locomotive ID","value":"4016"},{"id":130,"name":"Impact","value":""},{"id":150,"name":"Time of Event (Mountain Time)","value":"18:35:23"},{"id":151,"name":"Denver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8"/>
      <c r="AL194" s="48"/>
      <c r="AM194" s="150" t="str">
        <f t="shared" si="62"/>
        <v>start /low /b %USERPROFILE%\Documents\GitHub\eaglep3\Utilities\DownloadLogsFromS3.py --loco 4016 --day 2017-04-12</v>
      </c>
      <c r="AN194" s="159" t="str">
        <f t="shared" si="6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00:35:23"},{"id":29,"name":"Sharepoint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3" t="s">
        <v>823</v>
      </c>
      <c r="B195" s="7">
        <v>4015</v>
      </c>
      <c r="C195" s="21" t="s">
        <v>214</v>
      </c>
      <c r="D195" s="21" t="s">
        <v>976</v>
      </c>
      <c r="E195" s="13">
        <v>42837.775682870371</v>
      </c>
      <c r="F195" s="13">
        <v>42837.777013888888</v>
      </c>
      <c r="G195" s="7">
        <v>1</v>
      </c>
      <c r="H195" s="21" t="s">
        <v>1006</v>
      </c>
      <c r="I195" s="13">
        <v>42837.789143518516</v>
      </c>
      <c r="J195" s="7">
        <v>0</v>
      </c>
      <c r="K195" s="97" t="str">
        <f t="shared" si="45"/>
        <v>4015/4016</v>
      </c>
      <c r="L195" s="21" t="str">
        <f>VLOOKUP(A195,'Trips&amp;Operators'!$C$1:$G$99999,5,FALSE)</f>
        <v>SULLIVAN BRANDON</v>
      </c>
      <c r="M195" s="6">
        <f t="shared" si="46"/>
        <v>1.2129629627452232E-2</v>
      </c>
      <c r="N195" s="7">
        <f t="shared" si="64"/>
        <v>17.466666663531214</v>
      </c>
      <c r="O195" s="7"/>
      <c r="P195" s="7"/>
      <c r="Q195" s="22"/>
      <c r="R195" s="22"/>
      <c r="S195" s="31">
        <f t="shared" si="47"/>
        <v>1</v>
      </c>
      <c r="T195" s="46" t="str">
        <f t="shared" si="48"/>
        <v>Southbound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2" t="str">
        <f t="shared" si="49"/>
        <v>https://d0f6bd738d7f1b3e5a7ca70fe4ff75f0.us-east-1.aws.found.io/app/kibana#/discover/Steve-Slow-Train-Analysis-(2080s-and-2083s)?_g=(refreshInterval:(display:Off,pause:!f,section:0,value:0),time:(from:'2017-04-12T17:36:59-0600',mode:absolute,to:'2017-04-12T19:56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5" s="183" t="str">
        <f t="shared" si="50"/>
        <v>N</v>
      </c>
      <c r="X195" s="183">
        <f t="shared" si="51"/>
        <v>1</v>
      </c>
      <c r="Y195" s="62">
        <f t="shared" si="52"/>
        <v>5.8639999999999999</v>
      </c>
      <c r="Z195" s="62">
        <f t="shared" si="53"/>
        <v>6.7500000000000004E-2</v>
      </c>
      <c r="AA195" s="62">
        <f t="shared" si="54"/>
        <v>5.7965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5"/>
        <v>0838-12</v>
      </c>
      <c r="AE195" s="85" t="str">
        <f t="shared" si="56"/>
        <v>aws s3 cp s3://rtdc.mdm.uploadarchive.raw/RTDC4015/ "%USERPROFILE%\AppData\Local\Temp\OnboardLogs"\RTDC4015\2017-04-12 --exclude "*" --recursive --include "*20170412*" &amp; "%USERPROFILE%\Documents\GitHub\mrs-test-scripts\Headless Mode &amp; Sideloading\WalkAndUnGZ.bat" "%USERPROFILE%\AppData\Local\Temp\OnboardLogs"\RTDC4015\2017-04-12 &amp; aws s3 cp s3://rtdc.mdm.uploadarchive.raw/RTDC4015/ "%USERPROFILE%\AppData\Local\Temp\OnboardLogs"\RTDC4015\2017-04-13 --exclude "*" --recursive --include "*20170413*" &amp; "%USERPROFILE%\Documents\GitHub\mrs-test-scripts\Headless Mode &amp; Sideloading\WalkAndUnGZ.bat" "%USERPROFILE%\AppData\Local\Temp\OnboardLogs"\RTDC4015\2017-04-13</v>
      </c>
      <c r="AF195" s="82" t="str">
        <f t="shared" si="57"/>
        <v>"C:\Program Files (x86)\AstroGrep\AstroGrep.exe" /e /r /s /spath="%USERPROFILE%\AppData\Local\Temp\OnboardLogs" /stypes="app*4015*20170413*" /stext=" 00:.+((SYSTEM_STATE.+slice.+state.+changed )|(ment ac)|(multiple cpu faults)|(system.+state.+changed )|(\[timeout)|(PRM\|1\|D)|(kpr)|(kdp)|(\|lc)|(penalty))"</v>
      </c>
      <c r="AG195" s="1" t="str">
        <f t="shared" si="58"/>
        <v>NW</v>
      </c>
      <c r="AH195" s="86" t="str">
        <f t="shared" si="60"/>
        <v>"%USERPROFILE%\Documents\GitHub\eaglep3\Utilities\RefineRTDCRunTimes.py" --tripid 838-12 --locoid 4015 --swversion DE.1.0.9.0 --startMP 300:58640 --initTime 2017-04-12T18:36:59 --startdatetime 2017-04-12T18:38:54 --delay 1 --endMP 204:675 --enddatetime 2017-04-12T18:56:22 --enforcementcount 0 &gt;&gt;C:\Users\stu\Documents\GitHub\eaglep3-reporting\EC\2017-04-12-refined-times.txt</v>
      </c>
      <c r="AI195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{"issue":{"subject":"","project_id":79,"tracker_id":40,"status_id":1,"priority_id":2,"assigned_to_id":23,"start_date":"2017-04-12","description":"","custom_fields":[{"id":1,"name":"Subdivision","value":"NW"},{"id":4,"name":"Milepost","value":"0.0675"},{"id":17,"name":"Train ID","value":"838-12"},{"id":16,"name":"Locomotive ID","value":"4015"},{"id":130,"name":"Impact","value":""},{"id":150,"name":"Time of Event (Mountain Time)","value":"18:56:22"},{"id":151,"name":"Denver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8"/>
      <c r="AL195" s="48"/>
      <c r="AM195" s="150" t="str">
        <f t="shared" si="62"/>
        <v>start /low /b %USERPROFILE%\Documents\GitHub\eaglep3\Utilities\DownloadLogsFromS3.py --loco 4015 --day 2017-04-12</v>
      </c>
      <c r="AN195" s="159" t="str">
        <f t="shared" si="6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00:56:22"},{"id":29,"name":"Sharepoint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x14ac:dyDescent="0.25">
      <c r="A196" s="33" t="s">
        <v>826</v>
      </c>
      <c r="B196" s="7">
        <v>4022</v>
      </c>
      <c r="C196" s="21" t="s">
        <v>214</v>
      </c>
      <c r="D196" s="21" t="s">
        <v>607</v>
      </c>
      <c r="E196" s="13">
        <v>42837.784791666665</v>
      </c>
      <c r="F196" s="13">
        <v>42837.785914351851</v>
      </c>
      <c r="G196" s="7">
        <v>1</v>
      </c>
      <c r="H196" s="21" t="s">
        <v>1007</v>
      </c>
      <c r="I196" s="13">
        <v>42837.796064814815</v>
      </c>
      <c r="J196" s="7">
        <v>0</v>
      </c>
      <c r="K196" s="97" t="str">
        <f t="shared" si="45"/>
        <v>4021/4022</v>
      </c>
      <c r="L196" s="21" t="str">
        <f>VLOOKUP(A196,'Trips&amp;Operators'!$C$1:$G$99999,5,FALSE)</f>
        <v>CHANDLER KELVIN</v>
      </c>
      <c r="M196" s="6">
        <f t="shared" si="46"/>
        <v>1.0150462963792961E-2</v>
      </c>
      <c r="N196" s="7">
        <f t="shared" si="64"/>
        <v>14.616666667861864</v>
      </c>
      <c r="O196" s="7"/>
      <c r="P196" s="7"/>
      <c r="Q196" s="22"/>
      <c r="R196" s="22"/>
      <c r="S196" s="31">
        <f t="shared" si="47"/>
        <v>1</v>
      </c>
      <c r="T196" s="46" t="str">
        <f t="shared" si="48"/>
        <v>NorthBound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 t="shared" si="49"/>
        <v>https://d0f6bd738d7f1b3e5a7ca70fe4ff75f0.us-east-1.aws.found.io/app/kibana#/discover/Steve-Slow-Train-Analysis-(2080s-and-2083s)?_g=(refreshInterval:(display:Off,pause:!f,section:0,value:0),time:(from:'2017-04-12T17:50:06-0600',mode:absolute,to:'2017-04-12T20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6" s="183" t="str">
        <f t="shared" si="50"/>
        <v>N</v>
      </c>
      <c r="X196" s="183">
        <f t="shared" si="51"/>
        <v>1</v>
      </c>
      <c r="Y196" s="62">
        <f t="shared" si="52"/>
        <v>9.3600000000000003E-2</v>
      </c>
      <c r="Z196" s="62">
        <f t="shared" si="53"/>
        <v>5.8975999999999997</v>
      </c>
      <c r="AA196" s="62">
        <f t="shared" si="54"/>
        <v>5.8039999999999994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5"/>
        <v>0839-12</v>
      </c>
      <c r="AE196" s="85" t="str">
        <f t="shared" si="56"/>
        <v>aws s3 cp s3://rtdc.mdm.uploadarchive.raw/RTDC4022/ "%USERPROFILE%\AppData\Local\Temp\OnboardLogs"\RTDC4022\2017-04-12 --exclude "*" --recursive --include "*20170412*" &amp; "%USERPROFILE%\Documents\GitHub\mrs-test-scripts\Headless Mode &amp; Sideloading\WalkAndUnGZ.bat" "%USERPROFILE%\AppData\Local\Temp\OnboardLogs"\RTDC4022\2017-04-12 &amp; aws s3 cp s3://rtdc.mdm.uploadarchive.raw/RTDC4022/ "%USERPROFILE%\AppData\Local\Temp\OnboardLogs"\RTDC4022\2017-04-13 --exclude "*" --recursive --include "*20170413*" &amp; "%USERPROFILE%\Documents\GitHub\mrs-test-scripts\Headless Mode &amp; Sideloading\WalkAndUnGZ.bat" "%USERPROFILE%\AppData\Local\Temp\OnboardLogs"\RTDC4022\2017-04-13</v>
      </c>
      <c r="AF196" s="82" t="str">
        <f t="shared" si="57"/>
        <v>"C:\Program Files (x86)\AstroGrep\AstroGrep.exe" /e /r /s /spath="%USERPROFILE%\AppData\Local\Temp\OnboardLogs" /stypes="app*4022*20170413*" /stext=" 01:.+((SYSTEM_STATE.+slice.+state.+changed )|(ment ac)|(multiple cpu faults)|(system.+state.+changed )|(\[timeout)|(PRM\|1\|D)|(kpr)|(kdp)|(\|lc)|(penalty))"</v>
      </c>
      <c r="AG196" s="1" t="str">
        <f t="shared" si="58"/>
        <v>NW</v>
      </c>
      <c r="AH196" s="86" t="str">
        <f t="shared" si="60"/>
        <v>"%USERPROFILE%\Documents\GitHub\eaglep3\Utilities\RefineRTDCRunTimes.py" --tripid 839-12 --locoid 4022 --swversion DE.1.0.9.0 --startMP 204:936 --initTime 2017-04-12T18:50:06 --startdatetime 2017-04-12T18:51:43 --delay 1 --endMP 300:58976 --enddatetime 2017-04-12T19:06:20 --enforcementcount 0 &gt;&gt;C:\Users\stu\Documents\GitHub\eaglep3-reporting\EC\2017-04-12-refined-times.txt</v>
      </c>
      <c r="AI196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{"issue":{"subject":"","project_id":79,"tracker_id":40,"status_id":1,"priority_id":2,"assigned_to_id":23,"start_date":"2017-04-12","description":"","custom_fields":[{"id":1,"name":"Subdivision","value":"NW"},{"id":4,"name":"Milepost","value":"5.8976"},{"id":17,"name":"Train ID","value":"839-12"},{"id":16,"name":"Locomotive ID","value":"4022"},{"id":130,"name":"Impact","value":""},{"id":150,"name":"Time of Event (Mountain Time)","value":"19:06:20"},{"id":151,"name":"Denver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8"/>
      <c r="AL196" s="48"/>
      <c r="AM196" s="150" t="str">
        <f t="shared" si="62"/>
        <v>start /low /b %USERPROFILE%\Documents\GitHub\eaglep3\Utilities\DownloadLogsFromS3.py --loco 4022 --day 2017-04-12</v>
      </c>
      <c r="AN196" s="159" t="str">
        <f t="shared" si="6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01:06:20"},{"id":29,"name":"Sharepoint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x14ac:dyDescent="0.25">
      <c r="A197" s="33" t="s">
        <v>834</v>
      </c>
      <c r="B197" s="7">
        <v>4015</v>
      </c>
      <c r="C197" s="21" t="s">
        <v>214</v>
      </c>
      <c r="D197" s="21" t="s">
        <v>977</v>
      </c>
      <c r="E197" s="13">
        <v>42837.817407407405</v>
      </c>
      <c r="F197" s="13">
        <v>42837.818888888891</v>
      </c>
      <c r="G197" s="7">
        <v>1</v>
      </c>
      <c r="H197" s="21" t="s">
        <v>1008</v>
      </c>
      <c r="I197" s="13">
        <v>42837.832037037035</v>
      </c>
      <c r="J197" s="7">
        <v>0</v>
      </c>
      <c r="K197" s="97" t="str">
        <f t="shared" si="45"/>
        <v>4015/4016</v>
      </c>
      <c r="L197" s="21" t="str">
        <f>VLOOKUP(A197,'Trips&amp;Operators'!$C$1:$G$99999,5,FALSE)</f>
        <v>SULLIVAN BRANDON</v>
      </c>
      <c r="M197" s="6">
        <f t="shared" si="46"/>
        <v>1.3148148143955041E-2</v>
      </c>
      <c r="N197" s="7">
        <f t="shared" si="64"/>
        <v>18.933333327295259</v>
      </c>
      <c r="O197" s="7"/>
      <c r="P197" s="7"/>
      <c r="Q197" s="22"/>
      <c r="R197" s="22"/>
      <c r="S197" s="31">
        <f t="shared" si="47"/>
        <v>1</v>
      </c>
      <c r="T197" s="46" t="str">
        <f t="shared" si="48"/>
        <v>Southbound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 t="shared" si="49"/>
        <v>https://d0f6bd738d7f1b3e5a7ca70fe4ff75f0.us-east-1.aws.found.io/app/kibana#/discover/Steve-Slow-Train-Analysis-(2080s-and-2083s)?_g=(refreshInterval:(display:Off,pause:!f,section:0,value:0),time:(from:'2017-04-12T18:37:04-0600',mode:absolute,to:'2017-04-12T20:58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7" s="183" t="str">
        <f t="shared" si="50"/>
        <v>N</v>
      </c>
      <c r="X197" s="183">
        <f t="shared" si="51"/>
        <v>1</v>
      </c>
      <c r="Y197" s="62">
        <f t="shared" si="52"/>
        <v>5.8623000000000003</v>
      </c>
      <c r="Z197" s="62">
        <f t="shared" si="53"/>
        <v>7.0099999999999996E-2</v>
      </c>
      <c r="AA197" s="62">
        <f t="shared" si="54"/>
        <v>5.7922000000000002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5"/>
        <v>0840-12</v>
      </c>
      <c r="AE197" s="85" t="str">
        <f t="shared" si="56"/>
        <v>aws s3 cp s3://rtdc.mdm.uploadarchive.raw/RTDC4015/ "%USERPROFILE%\AppData\Local\Temp\OnboardLogs"\RTDC4015\2017-04-12 --exclude "*" --recursive --include "*20170412*" &amp; "%USERPROFILE%\Documents\GitHub\mrs-test-scripts\Headless Mode &amp; Sideloading\WalkAndUnGZ.bat" "%USERPROFILE%\AppData\Local\Temp\OnboardLogs"\RTDC4015\2017-04-12 &amp; aws s3 cp s3://rtdc.mdm.uploadarchive.raw/RTDC4015/ "%USERPROFILE%\AppData\Local\Temp\OnboardLogs"\RTDC4015\2017-04-13 --exclude "*" --recursive --include "*20170413*" &amp; "%USERPROFILE%\Documents\GitHub\mrs-test-scripts\Headless Mode &amp; Sideloading\WalkAndUnGZ.bat" "%USERPROFILE%\AppData\Local\Temp\OnboardLogs"\RTDC4015\2017-04-13</v>
      </c>
      <c r="AF197" s="82" t="str">
        <f t="shared" si="57"/>
        <v>"C:\Program Files (x86)\AstroGrep\AstroGrep.exe" /e /r /s /spath="%USERPROFILE%\AppData\Local\Temp\OnboardLogs" /stypes="app*4015*20170413*" /stext=" 01:.+((SYSTEM_STATE.+slice.+state.+changed )|(ment ac)|(multiple cpu faults)|(system.+state.+changed )|(\[timeout)|(PRM\|1\|D)|(kpr)|(kdp)|(\|lc)|(penalty))"</v>
      </c>
      <c r="AG197" s="1" t="str">
        <f t="shared" si="58"/>
        <v>NW</v>
      </c>
      <c r="AH197" s="86" t="str">
        <f t="shared" si="60"/>
        <v>"%USERPROFILE%\Documents\GitHub\eaglep3\Utilities\RefineRTDCRunTimes.py" --tripid 840-12 --locoid 4015 --swversion DE.1.0.9.0 --startMP 300:58623 --initTime 2017-04-12T19:37:04 --startdatetime 2017-04-12T19:39:12 --delay 1 --endMP 204:701 --enddatetime 2017-04-12T19:58:08 --enforcementcount 0 &gt;&gt;C:\Users\stu\Documents\GitHub\eaglep3-reporting\EC\2017-04-12-refined-times.txt</v>
      </c>
      <c r="AI197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{"issue":{"subject":"","project_id":79,"tracker_id":40,"status_id":1,"priority_id":2,"assigned_to_id":23,"start_date":"2017-04-12","description":"","custom_fields":[{"id":1,"name":"Subdivision","value":"NW"},{"id":4,"name":"Milepost","value":"0.0701"},{"id":17,"name":"Train ID","value":"840-12"},{"id":16,"name":"Locomotive ID","value":"4015"},{"id":130,"name":"Impact","value":""},{"id":150,"name":"Time of Event (Mountain Time)","value":"19:58:08"},{"id":151,"name":"Denver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8"/>
      <c r="AL197" s="48"/>
      <c r="AM197" s="150" t="str">
        <f t="shared" si="62"/>
        <v>start /low /b %USERPROFILE%\Documents\GitHub\eaglep3\Utilities\DownloadLogsFromS3.py --loco 4015 --day 2017-04-12</v>
      </c>
      <c r="AN197" s="159" t="str">
        <f t="shared" si="6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01:58:08"},{"id":29,"name":"Sharepoint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3" t="s">
        <v>829</v>
      </c>
      <c r="B198" s="7">
        <v>4016</v>
      </c>
      <c r="C198" s="21" t="s">
        <v>214</v>
      </c>
      <c r="D198" s="21" t="s">
        <v>1009</v>
      </c>
      <c r="E198" s="13">
        <v>42837.793449074074</v>
      </c>
      <c r="F198" s="13">
        <v>42837.806446759256</v>
      </c>
      <c r="G198" s="7">
        <v>1</v>
      </c>
      <c r="H198" s="21" t="s">
        <v>614</v>
      </c>
      <c r="I198" s="13">
        <v>42837.816458333335</v>
      </c>
      <c r="J198" s="7">
        <v>0</v>
      </c>
      <c r="K198" s="97" t="str">
        <f t="shared" si="45"/>
        <v>4015/4016</v>
      </c>
      <c r="L198" s="21" t="str">
        <f>VLOOKUP(A198,'Trips&amp;Operators'!$C$1:$G$99999,5,FALSE)</f>
        <v>SULLIVAN BRANDON</v>
      </c>
      <c r="M198" s="6">
        <f t="shared" si="46"/>
        <v>1.0011574078816921E-2</v>
      </c>
      <c r="N198" s="7">
        <f t="shared" si="64"/>
        <v>14.416666673496366</v>
      </c>
      <c r="O198" s="7"/>
      <c r="P198" s="7"/>
      <c r="Q198" s="22"/>
      <c r="R198" s="22"/>
      <c r="S198" s="31">
        <f t="shared" si="47"/>
        <v>1</v>
      </c>
      <c r="T198" s="46" t="str">
        <f t="shared" si="48"/>
        <v>NorthBound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 t="shared" si="49"/>
        <v>https://d0f6bd738d7f1b3e5a7ca70fe4ff75f0.us-east-1.aws.found.io/app/kibana#/discover/Steve-Slow-Train-Analysis-(2080s-and-2083s)?_g=(refreshInterval:(display:Off,pause:!f,section:0,value:0),time:(from:'2017-04-12T18:02:34-0600',mode:absolute,to:'2017-04-12T20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8" s="183" t="str">
        <f t="shared" si="50"/>
        <v>N</v>
      </c>
      <c r="X198" s="183">
        <f t="shared" si="51"/>
        <v>1</v>
      </c>
      <c r="Y198" s="62">
        <f t="shared" si="52"/>
        <v>9.8599999999999993E-2</v>
      </c>
      <c r="Z198" s="62">
        <f t="shared" si="53"/>
        <v>5.8944000000000001</v>
      </c>
      <c r="AA198" s="62">
        <f t="shared" si="54"/>
        <v>5.7957999999999998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5"/>
        <v>0841-12</v>
      </c>
      <c r="AE198" s="85" t="str">
        <f t="shared" si="56"/>
        <v>aws s3 cp s3://rtdc.mdm.uploadarchive.raw/RTDC4016/ "%USERPROFILE%\AppData\Local\Temp\OnboardLogs"\RTDC4016\2017-04-12 --exclude "*" --recursive --include "*20170412*" &amp; "%USERPROFILE%\Documents\GitHub\mrs-test-scripts\Headless Mode &amp; Sideloading\WalkAndUnGZ.bat" "%USERPROFILE%\AppData\Local\Temp\OnboardLogs"\RTDC4016\2017-04-12 &amp; aws s3 cp s3://rtdc.mdm.uploadarchive.raw/RTDC4016/ "%USERPROFILE%\AppData\Local\Temp\OnboardLogs"\RTDC4016\2017-04-13 --exclude "*" --recursive --include "*20170413*" &amp; "%USERPROFILE%\Documents\GitHub\mrs-test-scripts\Headless Mode &amp; Sideloading\WalkAndUnGZ.bat" "%USERPROFILE%\AppData\Local\Temp\OnboardLogs"\RTDC4016\2017-04-13</v>
      </c>
      <c r="AF198" s="82" t="str">
        <f t="shared" si="57"/>
        <v>"C:\Program Files (x86)\AstroGrep\AstroGrep.exe" /e /r /s /spath="%USERPROFILE%\AppData\Local\Temp\OnboardLogs" /stypes="app*4016*20170413*" /stext=" 01:.+((SYSTEM_STATE.+slice.+state.+changed )|(ment ac)|(multiple cpu faults)|(system.+state.+changed )|(\[timeout)|(PRM\|1\|D)|(kpr)|(kdp)|(\|lc)|(penalty))"</v>
      </c>
      <c r="AG198" s="1" t="str">
        <f t="shared" si="58"/>
        <v>NW</v>
      </c>
      <c r="AH198" s="86" t="str">
        <f t="shared" si="60"/>
        <v>"%USERPROFILE%\Documents\GitHub\eaglep3\Utilities\RefineRTDCRunTimes.py" --tripid 841-12 --locoid 4016 --swversion DE.1.0.9.0 --startMP 204:986 --initTime 2017-04-12T19:02:34 --startdatetime 2017-04-12T19:21:17 --delay 1 --endMP 300:58944 --enddatetime 2017-04-12T19:35:42 --enforcementcount 0 &gt;&gt;C:\Users\stu\Documents\GitHub\eaglep3-reporting\EC\2017-04-12-refined-times.txt</v>
      </c>
      <c r="AI198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{"issue":{"subject":"","project_id":79,"tracker_id":40,"status_id":1,"priority_id":2,"assigned_to_id":23,"start_date":"2017-04-12","description":"","custom_fields":[{"id":1,"name":"Subdivision","value":"NW"},{"id":4,"name":"Milepost","value":"5.8944"},{"id":17,"name":"Train ID","value":"841-12"},{"id":16,"name":"Locomotive ID","value":"4016"},{"id":130,"name":"Impact","value":""},{"id":150,"name":"Time of Event (Mountain Time)","value":"19:35:42"},{"id":151,"name":"Denver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8"/>
      <c r="AL198" s="48"/>
      <c r="AM198" s="150" t="str">
        <f t="shared" si="62"/>
        <v>start /low /b %USERPROFILE%\Documents\GitHub\eaglep3\Utilities\DownloadLogsFromS3.py --loco 4016 --day 2017-04-12</v>
      </c>
      <c r="AN198" s="159" t="str">
        <f t="shared" si="6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01:35:42"},{"id":29,"name":"Sharepoint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s="20" customFormat="1" x14ac:dyDescent="0.25">
      <c r="A199" s="33" t="s">
        <v>841</v>
      </c>
      <c r="B199" s="7">
        <v>4015</v>
      </c>
      <c r="C199" s="21" t="s">
        <v>214</v>
      </c>
      <c r="D199" s="21" t="s">
        <v>1010</v>
      </c>
      <c r="E199" s="13">
        <v>42837.859386574077</v>
      </c>
      <c r="F199" s="13">
        <v>42837.861006944448</v>
      </c>
      <c r="G199" s="7">
        <v>1</v>
      </c>
      <c r="H199" s="21" t="s">
        <v>983</v>
      </c>
      <c r="I199" s="13">
        <v>42837.871701388889</v>
      </c>
      <c r="J199" s="7">
        <v>0</v>
      </c>
      <c r="K199" s="97" t="str">
        <f t="shared" si="45"/>
        <v>4015/4016</v>
      </c>
      <c r="L199" s="21" t="str">
        <f>VLOOKUP(A199,'Trips&amp;Operators'!$C$1:$G$99999,5,FALSE)</f>
        <v>SULLIVAN BRANDON</v>
      </c>
      <c r="M199" s="6">
        <f t="shared" si="46"/>
        <v>1.0694444441469386E-2</v>
      </c>
      <c r="N199" s="7">
        <f t="shared" si="64"/>
        <v>15.399999995715916</v>
      </c>
      <c r="O199" s="7"/>
      <c r="P199" s="7"/>
      <c r="Q199" s="22"/>
      <c r="R199" s="22"/>
      <c r="S199" s="31">
        <f t="shared" si="47"/>
        <v>1</v>
      </c>
      <c r="T199" s="46" t="str">
        <f t="shared" si="48"/>
        <v>Southbound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 t="shared" si="49"/>
        <v>https://d0f6bd738d7f1b3e5a7ca70fe4ff75f0.us-east-1.aws.found.io/app/kibana#/discover/Steve-Slow-Train-Analysis-(2080s-and-2083s)?_g=(refreshInterval:(display:Off,pause:!f,section:0,value:0),time:(from:'2017-04-12T19:37:31-0600',mode:absolute,to:'2017-04-12T21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9" s="183" t="str">
        <f t="shared" si="50"/>
        <v>N</v>
      </c>
      <c r="X199" s="183">
        <f t="shared" si="51"/>
        <v>1</v>
      </c>
      <c r="Y199" s="62">
        <f t="shared" si="52"/>
        <v>5.8632</v>
      </c>
      <c r="Z199" s="62">
        <f t="shared" si="53"/>
        <v>6.8199999999999997E-2</v>
      </c>
      <c r="AA199" s="62">
        <f t="shared" si="54"/>
        <v>5.7949999999999999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5"/>
        <v>0842-12</v>
      </c>
      <c r="AE199" s="85" t="str">
        <f t="shared" si="56"/>
        <v>aws s3 cp s3://rtdc.mdm.uploadarchive.raw/RTDC4015/ "%USERPROFILE%\AppData\Local\Temp\OnboardLogs"\RTDC4015\2017-04-12 --exclude "*" --recursive --include "*20170412*" &amp; "%USERPROFILE%\Documents\GitHub\mrs-test-scripts\Headless Mode &amp; Sideloading\WalkAndUnGZ.bat" "%USERPROFILE%\AppData\Local\Temp\OnboardLogs"\RTDC4015\2017-04-12 &amp; aws s3 cp s3://rtdc.mdm.uploadarchive.raw/RTDC4015/ "%USERPROFILE%\AppData\Local\Temp\OnboardLogs"\RTDC4015\2017-04-13 --exclude "*" --recursive --include "*20170413*" &amp; "%USERPROFILE%\Documents\GitHub\mrs-test-scripts\Headless Mode &amp; Sideloading\WalkAndUnGZ.bat" "%USERPROFILE%\AppData\Local\Temp\OnboardLogs"\RTDC4015\2017-04-13</v>
      </c>
      <c r="AF199" s="82" t="str">
        <f t="shared" si="57"/>
        <v>"C:\Program Files (x86)\AstroGrep\AstroGrep.exe" /e /r /s /spath="%USERPROFILE%\AppData\Local\Temp\OnboardLogs" /stypes="app*4015*20170413*" /stext=" 02:.+((SYSTEM_STATE.+slice.+state.+changed )|(ment ac)|(multiple cpu faults)|(system.+state.+changed )|(\[timeout)|(PRM\|1\|D)|(kpr)|(kdp)|(\|lc)|(penalty))"</v>
      </c>
      <c r="AG199" s="1" t="str">
        <f t="shared" si="58"/>
        <v>NW</v>
      </c>
      <c r="AH199" s="86" t="str">
        <f t="shared" si="60"/>
        <v>"%USERPROFILE%\Documents\GitHub\eaglep3\Utilities\RefineRTDCRunTimes.py" --tripid 842-12 --locoid 4015 --swversion DE.1.0.9.0 --startMP 300:58632 --initTime 2017-04-12T20:37:31 --startdatetime 2017-04-12T20:39:51 --delay 1 --endMP 204:682 --enddatetime 2017-04-12T20:55:15 --enforcementcount 0 &gt;&gt;C:\Users\stu\Documents\GitHub\eaglep3-reporting\EC\2017-04-12-refined-times.txt</v>
      </c>
      <c r="AI199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{"issue":{"subject":"","project_id":79,"tracker_id":40,"status_id":1,"priority_id":2,"assigned_to_id":23,"start_date":"2017-04-12","description":"","custom_fields":[{"id":1,"name":"Subdivision","value":"NW"},{"id":4,"name":"Milepost","value":"0.0682"},{"id":17,"name":"Train ID","value":"842-12"},{"id":16,"name":"Locomotive ID","value":"4015"},{"id":130,"name":"Impact","value":""},{"id":150,"name":"Time of Event (Mountain Time)","value":"20:55:15"},{"id":151,"name":"Denver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9" s="48"/>
      <c r="AL199" s="48"/>
      <c r="AM199" s="150" t="str">
        <f t="shared" si="62"/>
        <v>start /low /b %USERPROFILE%\Documents\GitHub\eaglep3\Utilities\DownloadLogsFromS3.py --loco 4015 --day 2017-04-12</v>
      </c>
      <c r="AN199" s="159" t="str">
        <f t="shared" si="6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02:55:15"},{"id":29,"name":"Sharepoint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x14ac:dyDescent="0.25">
      <c r="A200" s="33" t="s">
        <v>839</v>
      </c>
      <c r="B200" s="7">
        <v>4016</v>
      </c>
      <c r="C200" s="21" t="s">
        <v>214</v>
      </c>
      <c r="D200" s="21" t="s">
        <v>550</v>
      </c>
      <c r="E200" s="13">
        <v>42837.842083333337</v>
      </c>
      <c r="F200" s="13">
        <v>42837.848136574074</v>
      </c>
      <c r="G200" s="7">
        <v>1</v>
      </c>
      <c r="H200" s="21" t="s">
        <v>1011</v>
      </c>
      <c r="I200" s="13">
        <v>42837.858124999999</v>
      </c>
      <c r="J200" s="7">
        <v>0</v>
      </c>
      <c r="K200" s="97" t="str">
        <f t="shared" si="45"/>
        <v>4015/4016</v>
      </c>
      <c r="L200" s="21" t="str">
        <f>VLOOKUP(A200,'Trips&amp;Operators'!$C$1:$G$99999,5,FALSE)</f>
        <v>SULLIVAN BRANDON</v>
      </c>
      <c r="M200" s="6">
        <f t="shared" si="46"/>
        <v>9.9884259252576157E-3</v>
      </c>
      <c r="N200" s="7">
        <f t="shared" si="64"/>
        <v>14.383333332370967</v>
      </c>
      <c r="O200" s="7"/>
      <c r="P200" s="7"/>
      <c r="Q200" s="22"/>
      <c r="R200" s="22"/>
      <c r="S200" s="31">
        <f t="shared" si="47"/>
        <v>1</v>
      </c>
      <c r="T200" s="46" t="str">
        <f t="shared" si="48"/>
        <v>NorthBound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 t="shared" si="49"/>
        <v>https://d0f6bd738d7f1b3e5a7ca70fe4ff75f0.us-east-1.aws.found.io/app/kibana#/discover/Steve-Slow-Train-Analysis-(2080s-and-2083s)?_g=(refreshInterval:(display:Off,pause:!f,section:0,value:0),time:(from:'2017-04-12T19:12:36-0600',mode:absolute,to:'2017-04-12T21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0" s="183" t="str">
        <f t="shared" si="50"/>
        <v>N</v>
      </c>
      <c r="X200" s="183">
        <f t="shared" si="51"/>
        <v>1</v>
      </c>
      <c r="Y200" s="62">
        <f t="shared" si="52"/>
        <v>9.74E-2</v>
      </c>
      <c r="Z200" s="62">
        <f t="shared" si="53"/>
        <v>5.8936999999999999</v>
      </c>
      <c r="AA200" s="62">
        <f t="shared" si="54"/>
        <v>5.7962999999999996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5"/>
        <v>0843-12</v>
      </c>
      <c r="AE200" s="85" t="str">
        <f t="shared" si="56"/>
        <v>aws s3 cp s3://rtdc.mdm.uploadarchive.raw/RTDC4016/ "%USERPROFILE%\AppData\Local\Temp\OnboardLogs"\RTDC4016\2017-04-12 --exclude "*" --recursive --include "*20170412*" &amp; "%USERPROFILE%\Documents\GitHub\mrs-test-scripts\Headless Mode &amp; Sideloading\WalkAndUnGZ.bat" "%USERPROFILE%\AppData\Local\Temp\OnboardLogs"\RTDC4016\2017-04-12 &amp; aws s3 cp s3://rtdc.mdm.uploadarchive.raw/RTDC4016/ "%USERPROFILE%\AppData\Local\Temp\OnboardLogs"\RTDC4016\2017-04-13 --exclude "*" --recursive --include "*20170413*" &amp; "%USERPROFILE%\Documents\GitHub\mrs-test-scripts\Headless Mode &amp; Sideloading\WalkAndUnGZ.bat" "%USERPROFILE%\AppData\Local\Temp\OnboardLogs"\RTDC4016\2017-04-13</v>
      </c>
      <c r="AF200" s="82" t="str">
        <f t="shared" si="57"/>
        <v>"C:\Program Files (x86)\AstroGrep\AstroGrep.exe" /e /r /s /spath="%USERPROFILE%\AppData\Local\Temp\OnboardLogs" /stypes="app*4016*20170413*" /stext=" 02:.+((SYSTEM_STATE.+slice.+state.+changed )|(ment ac)|(multiple cpu faults)|(system.+state.+changed )|(\[timeout)|(PRM\|1\|D)|(kpr)|(kdp)|(\|lc)|(penalty))"</v>
      </c>
      <c r="AG200" s="1" t="str">
        <f t="shared" si="58"/>
        <v>NW</v>
      </c>
      <c r="AH200" s="86" t="str">
        <f t="shared" si="60"/>
        <v>"%USERPROFILE%\Documents\GitHub\eaglep3\Utilities\RefineRTDCRunTimes.py" --tripid 843-12 --locoid 4016 --swversion DE.1.0.9.0 --startMP 204:974 --initTime 2017-04-12T20:12:36 --startdatetime 2017-04-12T20:21:19 --delay 1 --endMP 300:58937 --enddatetime 2017-04-12T20:35:42 --enforcementcount 0 &gt;&gt;C:\Users\stu\Documents\GitHub\eaglep3-reporting\EC\2017-04-12-refined-times.txt</v>
      </c>
      <c r="AI200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{"issue":{"subject":"","project_id":79,"tracker_id":40,"status_id":1,"priority_id":2,"assigned_to_id":23,"start_date":"2017-04-12","description":"","custom_fields":[{"id":1,"name":"Subdivision","value":"NW"},{"id":4,"name":"Milepost","value":"5.8937"},{"id":17,"name":"Train ID","value":"843-12"},{"id":16,"name":"Locomotive ID","value":"4016"},{"id":130,"name":"Impact","value":""},{"id":150,"name":"Time of Event (Mountain Time)","value":"20:35:42"},{"id":151,"name":"Denver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8"/>
      <c r="AL200" s="48"/>
      <c r="AM200" s="150" t="str">
        <f t="shared" si="62"/>
        <v>start /low /b %USERPROFILE%\Documents\GitHub\eaglep3\Utilities\DownloadLogsFromS3.py --loco 4016 --day 2017-04-12</v>
      </c>
      <c r="AN200" s="159" t="str">
        <f t="shared" si="6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02:35:42"},{"id":29,"name":"Sharepoint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3" t="s">
        <v>847</v>
      </c>
      <c r="B201" s="7">
        <v>4015</v>
      </c>
      <c r="C201" s="21" t="s">
        <v>214</v>
      </c>
      <c r="D201" s="21" t="s">
        <v>601</v>
      </c>
      <c r="E201" s="13">
        <v>42837.902245370373</v>
      </c>
      <c r="F201" s="13">
        <v>42837.903599537036</v>
      </c>
      <c r="G201" s="7">
        <v>1</v>
      </c>
      <c r="H201" s="21" t="s">
        <v>1005</v>
      </c>
      <c r="I201" s="13">
        <v>42837.913865740738</v>
      </c>
      <c r="J201" s="7">
        <v>0</v>
      </c>
      <c r="K201" s="97" t="str">
        <f t="shared" si="45"/>
        <v>4015/4016</v>
      </c>
      <c r="L201" s="21" t="str">
        <f>VLOOKUP(A201,'Trips&amp;Operators'!$C$1:$G$99999,5,FALSE)</f>
        <v>CHANDLER KELVIN</v>
      </c>
      <c r="M201" s="6">
        <f t="shared" si="46"/>
        <v>1.0266203702485655E-2</v>
      </c>
      <c r="N201" s="7">
        <f t="shared" si="64"/>
        <v>14.783333331579342</v>
      </c>
      <c r="O201" s="7"/>
      <c r="P201" s="7"/>
      <c r="Q201" s="22"/>
      <c r="R201" s="22"/>
      <c r="S201" s="31">
        <f t="shared" si="47"/>
        <v>1</v>
      </c>
      <c r="T201" s="46" t="str">
        <f t="shared" si="48"/>
        <v>Southbound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2" t="str">
        <f t="shared" si="49"/>
        <v>https://d0f6bd738d7f1b3e5a7ca70fe4ff75f0.us-east-1.aws.found.io/app/kibana#/discover/Steve-Slow-Train-Analysis-(2080s-and-2083s)?_g=(refreshInterval:(display:Off,pause:!f,section:0,value:0),time:(from:'2017-04-12T20:39:14-0600',mode:absolute,to:'2017-04-12T22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1" s="183" t="str">
        <f t="shared" si="50"/>
        <v>N</v>
      </c>
      <c r="X201" s="183">
        <f t="shared" si="51"/>
        <v>1</v>
      </c>
      <c r="Y201" s="62">
        <f t="shared" si="52"/>
        <v>5.867</v>
      </c>
      <c r="Z201" s="62">
        <f t="shared" si="53"/>
        <v>6.6100000000000006E-2</v>
      </c>
      <c r="AA201" s="62">
        <f t="shared" si="54"/>
        <v>5.8009000000000004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5"/>
        <v>0844-12</v>
      </c>
      <c r="AE201" s="85" t="str">
        <f t="shared" si="56"/>
        <v>aws s3 cp s3://rtdc.mdm.uploadarchive.raw/RTDC4015/ "%USERPROFILE%\AppData\Local\Temp\OnboardLogs"\RTDC4015\2017-04-12 --exclude "*" --recursive --include "*20170412*" &amp; "%USERPROFILE%\Documents\GitHub\mrs-test-scripts\Headless Mode &amp; Sideloading\WalkAndUnGZ.bat" "%USERPROFILE%\AppData\Local\Temp\OnboardLogs"\RTDC4015\2017-04-12 &amp; aws s3 cp s3://rtdc.mdm.uploadarchive.raw/RTDC4015/ "%USERPROFILE%\AppData\Local\Temp\OnboardLogs"\RTDC4015\2017-04-13 --exclude "*" --recursive --include "*20170413*" &amp; "%USERPROFILE%\Documents\GitHub\mrs-test-scripts\Headless Mode &amp; Sideloading\WalkAndUnGZ.bat" "%USERPROFILE%\AppData\Local\Temp\OnboardLogs"\RTDC4015\2017-04-13</v>
      </c>
      <c r="AF201" s="82" t="str">
        <f t="shared" si="57"/>
        <v>"C:\Program Files (x86)\AstroGrep\AstroGrep.exe" /e /r /s /spath="%USERPROFILE%\AppData\Local\Temp\OnboardLogs" /stypes="app*4015*20170413*" /stext=" 03:.+((SYSTEM_STATE.+slice.+state.+changed )|(ment ac)|(multiple cpu faults)|(system.+state.+changed )|(\[timeout)|(PRM\|1\|D)|(kpr)|(kdp)|(\|lc)|(penalty))"</v>
      </c>
      <c r="AG201" s="1" t="str">
        <f t="shared" si="58"/>
        <v>NW</v>
      </c>
      <c r="AH201" s="86" t="str">
        <f t="shared" si="60"/>
        <v>"%USERPROFILE%\Documents\GitHub\eaglep3\Utilities\RefineRTDCRunTimes.py" --tripid 844-12 --locoid 4015 --swversion DE.1.0.9.0 --startMP 300:58670 --initTime 2017-04-12T21:39:14 --startdatetime 2017-04-12T21:41:11 --delay 1 --endMP 204:661 --enddatetime 2017-04-12T21:55:58 --enforcementcount 0 &gt;&gt;C:\Users\stu\Documents\GitHub\eaglep3-reporting\EC\2017-04-12-refined-times.txt</v>
      </c>
      <c r="AI201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{"issue":{"subject":"","project_id":79,"tracker_id":40,"status_id":1,"priority_id":2,"assigned_to_id":23,"start_date":"2017-04-12","description":"","custom_fields":[{"id":1,"name":"Subdivision","value":"NW"},{"id":4,"name":"Milepost","value":"0.0661"},{"id":17,"name":"Train ID","value":"844-12"},{"id":16,"name":"Locomotive ID","value":"4015"},{"id":130,"name":"Impact","value":""},{"id":150,"name":"Time of Event (Mountain Time)","value":"21:55:58"},{"id":151,"name":"Denver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8"/>
      <c r="AL201" s="48"/>
      <c r="AM201" s="150" t="str">
        <f t="shared" si="62"/>
        <v>start /low /b %USERPROFILE%\Documents\GitHub\eaglep3\Utilities\DownloadLogsFromS3.py --loco 4015 --day 2017-04-12</v>
      </c>
      <c r="AN201" s="159" t="str">
        <f t="shared" si="6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03:55:58"},{"id":29,"name":"Sharepoint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3" t="s">
        <v>845</v>
      </c>
      <c r="B202" s="7">
        <v>4016</v>
      </c>
      <c r="C202" s="21" t="s">
        <v>214</v>
      </c>
      <c r="D202" s="21" t="s">
        <v>1012</v>
      </c>
      <c r="E202" s="13">
        <v>42837.888344907406</v>
      </c>
      <c r="F202" s="13">
        <v>42837.88994212963</v>
      </c>
      <c r="G202" s="7">
        <v>1</v>
      </c>
      <c r="H202" s="21" t="s">
        <v>998</v>
      </c>
      <c r="I202" s="13">
        <v>42837.89984953704</v>
      </c>
      <c r="J202" s="7">
        <v>0</v>
      </c>
      <c r="K202" s="97" t="str">
        <f t="shared" si="45"/>
        <v>4015/4016</v>
      </c>
      <c r="L202" s="21" t="str">
        <f>VLOOKUP(A202,'Trips&amp;Operators'!$C$1:$G$99999,5,FALSE)</f>
        <v>CHANDLER KELVIN</v>
      </c>
      <c r="M202" s="6">
        <f t="shared" si="46"/>
        <v>9.9074074096279219E-3</v>
      </c>
      <c r="N202" s="7">
        <f t="shared" si="64"/>
        <v>14.266666669864208</v>
      </c>
      <c r="O202" s="7"/>
      <c r="P202" s="7"/>
      <c r="Q202" s="22"/>
      <c r="R202" s="22"/>
      <c r="S202" s="31">
        <f t="shared" si="47"/>
        <v>1</v>
      </c>
      <c r="T202" s="46" t="str">
        <f t="shared" si="48"/>
        <v>NorthBound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 t="shared" si="49"/>
        <v>https://d0f6bd738d7f1b3e5a7ca70fe4ff75f0.us-east-1.aws.found.io/app/kibana#/discover/Steve-Slow-Train-Analysis-(2080s-and-2083s)?_g=(refreshInterval:(display:Off,pause:!f,section:0,value:0),time:(from:'2017-04-12T20:19:13-0600',mode:absolute,to:'2017-04-12T22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2" s="183" t="str">
        <f t="shared" si="50"/>
        <v>N</v>
      </c>
      <c r="X202" s="183">
        <f t="shared" si="51"/>
        <v>1</v>
      </c>
      <c r="Y202" s="62">
        <f t="shared" si="52"/>
        <v>9.7799999999999998E-2</v>
      </c>
      <c r="Z202" s="62">
        <f t="shared" si="53"/>
        <v>5.8983999999999996</v>
      </c>
      <c r="AA202" s="62">
        <f t="shared" si="54"/>
        <v>5.8005999999999993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5"/>
        <v>0845-12</v>
      </c>
      <c r="AE202" s="85" t="str">
        <f t="shared" si="56"/>
        <v>aws s3 cp s3://rtdc.mdm.uploadarchive.raw/RTDC4016/ "%USERPROFILE%\AppData\Local\Temp\OnboardLogs"\RTDC4016\2017-04-12 --exclude "*" --recursive --include "*20170412*" &amp; "%USERPROFILE%\Documents\GitHub\mrs-test-scripts\Headless Mode &amp; Sideloading\WalkAndUnGZ.bat" "%USERPROFILE%\AppData\Local\Temp\OnboardLogs"\RTDC4016\2017-04-12 &amp; aws s3 cp s3://rtdc.mdm.uploadarchive.raw/RTDC4016/ "%USERPROFILE%\AppData\Local\Temp\OnboardLogs"\RTDC4016\2017-04-13 --exclude "*" --recursive --include "*20170413*" &amp; "%USERPROFILE%\Documents\GitHub\mrs-test-scripts\Headless Mode &amp; Sideloading\WalkAndUnGZ.bat" "%USERPROFILE%\AppData\Local\Temp\OnboardLogs"\RTDC4016\2017-04-13</v>
      </c>
      <c r="AF202" s="82" t="str">
        <f t="shared" si="57"/>
        <v>"C:\Program Files (x86)\AstroGrep\AstroGrep.exe" /e /r /s /spath="%USERPROFILE%\AppData\Local\Temp\OnboardLogs" /stypes="app*4016*20170413*" /stext=" 03:.+((SYSTEM_STATE.+slice.+state.+changed )|(ment ac)|(multiple cpu faults)|(system.+state.+changed )|(\[timeout)|(PRM\|1\|D)|(kpr)|(kdp)|(\|lc)|(penalty))"</v>
      </c>
      <c r="AG202" s="1" t="str">
        <f t="shared" si="58"/>
        <v>NW</v>
      </c>
      <c r="AH202" s="86" t="str">
        <f t="shared" si="60"/>
        <v>"%USERPROFILE%\Documents\GitHub\eaglep3\Utilities\RefineRTDCRunTimes.py" --tripid 845-12 --locoid 4016 --swversion DE.1.0.9.0 --startMP 204:978 --initTime 2017-04-12T21:19:13 --startdatetime 2017-04-12T21:21:31 --delay 1 --endMP 300:58984 --enddatetime 2017-04-12T21:35:47 --enforcementcount 0 &gt;&gt;C:\Users\stu\Documents\GitHub\eaglep3-reporting\EC\2017-04-12-refined-times.txt</v>
      </c>
      <c r="AI202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{"issue":{"subject":"","project_id":79,"tracker_id":40,"status_id":1,"priority_id":2,"assigned_to_id":23,"start_date":"2017-04-12","description":"","custom_fields":[{"id":1,"name":"Subdivision","value":"NW"},{"id":4,"name":"Milepost","value":"5.8984"},{"id":17,"name":"Train ID","value":"845-12"},{"id":16,"name":"Locomotive ID","value":"4016"},{"id":130,"name":"Impact","value":""},{"id":150,"name":"Time of Event (Mountain Time)","value":"21:35:47"},{"id":151,"name":"Denver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8"/>
      <c r="AL202" s="48"/>
      <c r="AM202" s="150" t="str">
        <f t="shared" si="62"/>
        <v>start /low /b %USERPROFILE%\Documents\GitHub\eaglep3\Utilities\DownloadLogsFromS3.py --loco 4016 --day 2017-04-12</v>
      </c>
      <c r="AN202" s="159" t="str">
        <f t="shared" si="6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03:35:47"},{"id":29,"name":"Sharepoint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x14ac:dyDescent="0.25">
      <c r="A203" s="33" t="s">
        <v>851</v>
      </c>
      <c r="B203" s="7">
        <v>4016</v>
      </c>
      <c r="C203" s="21" t="s">
        <v>214</v>
      </c>
      <c r="D203" s="21" t="s">
        <v>1013</v>
      </c>
      <c r="E203" s="13">
        <v>42837.928495370368</v>
      </c>
      <c r="F203" s="13">
        <v>42837.931597222225</v>
      </c>
      <c r="G203" s="7">
        <v>1</v>
      </c>
      <c r="H203" s="21" t="s">
        <v>1014</v>
      </c>
      <c r="I203" s="13">
        <v>42837.94159722222</v>
      </c>
      <c r="J203" s="7">
        <v>0</v>
      </c>
      <c r="K203" s="97" t="str">
        <f t="shared" si="45"/>
        <v>4015/4016</v>
      </c>
      <c r="L203" s="21" t="str">
        <f>VLOOKUP(A203,'Trips&amp;Operators'!$C$1:$G$99999,5,FALSE)</f>
        <v>CHANDLER KELVIN</v>
      </c>
      <c r="M203" s="6">
        <f t="shared" si="46"/>
        <v>9.9999999947613105E-3</v>
      </c>
      <c r="N203" s="7">
        <f t="shared" si="64"/>
        <v>14.399999992456287</v>
      </c>
      <c r="O203" s="7"/>
      <c r="P203" s="7"/>
      <c r="Q203" s="22"/>
      <c r="R203" s="22"/>
      <c r="S203" s="31">
        <f t="shared" si="47"/>
        <v>1</v>
      </c>
      <c r="T203" s="46" t="str">
        <f t="shared" si="48"/>
        <v>NorthBound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 t="shared" si="49"/>
        <v>https://d0f6bd738d7f1b3e5a7ca70fe4ff75f0.us-east-1.aws.found.io/app/kibana#/discover/Steve-Slow-Train-Analysis-(2080s-and-2083s)?_g=(refreshInterval:(display:Off,pause:!f,section:0,value:0),time:(from:'2017-04-12T21:17:02-0600',mode:absolute,to:'2017-04-12T23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3" s="183" t="str">
        <f t="shared" si="50"/>
        <v>N</v>
      </c>
      <c r="X203" s="183">
        <f t="shared" si="51"/>
        <v>2</v>
      </c>
      <c r="Y203" s="62">
        <f t="shared" si="52"/>
        <v>9.5699999999999993E-2</v>
      </c>
      <c r="Z203" s="62">
        <f t="shared" si="53"/>
        <v>5.8994999999999997</v>
      </c>
      <c r="AA203" s="62">
        <f t="shared" si="54"/>
        <v>5.8037999999999998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5"/>
        <v>0847-12</v>
      </c>
      <c r="AE203" s="85" t="str">
        <f t="shared" si="56"/>
        <v>aws s3 cp s3://rtdc.mdm.uploadarchive.raw/RTDC4016/ "%USERPROFILE%\AppData\Local\Temp\OnboardLogs"\RTDC4016\2017-04-12 --exclude "*" --recursive --include "*20170412*" &amp; "%USERPROFILE%\Documents\GitHub\mrs-test-scripts\Headless Mode &amp; Sideloading\WalkAndUnGZ.bat" "%USERPROFILE%\AppData\Local\Temp\OnboardLogs"\RTDC4016\2017-04-12 &amp; aws s3 cp s3://rtdc.mdm.uploadarchive.raw/RTDC4016/ "%USERPROFILE%\AppData\Local\Temp\OnboardLogs"\RTDC4016\2017-04-13 --exclude "*" --recursive --include "*20170413*" &amp; "%USERPROFILE%\Documents\GitHub\mrs-test-scripts\Headless Mode &amp; Sideloading\WalkAndUnGZ.bat" "%USERPROFILE%\AppData\Local\Temp\OnboardLogs"\RTDC4016\2017-04-13</v>
      </c>
      <c r="AF203" s="82" t="str">
        <f t="shared" si="57"/>
        <v>"C:\Program Files (x86)\AstroGrep\AstroGrep.exe" /e /r /s /spath="%USERPROFILE%\AppData\Local\Temp\OnboardLogs" /stypes="app*4016*20170413*" /stext=" 04:.+((SYSTEM_STATE.+slice.+state.+changed )|(ment ac)|(multiple cpu faults)|(system.+state.+changed )|(\[timeout)|(PRM\|1\|D)|(kpr)|(kdp)|(\|lc)|(penalty))"</v>
      </c>
      <c r="AG203" s="1" t="str">
        <f t="shared" si="58"/>
        <v>NW</v>
      </c>
      <c r="AH203" s="86" t="str">
        <f t="shared" si="60"/>
        <v>"%USERPROFILE%\Documents\GitHub\eaglep3\Utilities\RefineRTDCRunTimes.py" --tripid 847-12 --locoid 4016 --swversion DE.1.0.9.0 --startMP 204:957 --initTime 2017-04-12T22:17:02 --startdatetime 2017-04-12T22:21:30 --delay 1 --endMP 300:58995 --enddatetime 2017-04-12T22:35:54 --enforcementcount 0 &gt;&gt;C:\Users\stu\Documents\GitHub\eaglep3-reporting\EC\2017-04-12-refined-times.txt</v>
      </c>
      <c r="AI203" s="104" t="str">
        <f t="shared" si="61"/>
        <v>echo {"issue":{"subject":"","project_id":79,"tracker_id":40,"status_id":1,"priority_id":2,"assigned_to_id":23,"start_date":"2017-04-12","description":"","custom_fields":[{"id":1,"name":"Subdivision","value":"NW"},{"id":4,"name":"Milepost","value":"5.8995"},{"id":17,"name":"Train ID","value":"847-12"},{"id":16,"name":"Locomotive ID","value":"4016"},{"id":130,"name":"Impact","value":""},{"id":150,"name":"Time of Event (Mountain Time)","value":"22:35:54"},{"id":151,"name":"Denver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8"/>
      <c r="AL203" s="48"/>
      <c r="AM203" s="150" t="str">
        <f t="shared" si="62"/>
        <v>start /low /b %USERPROFILE%\Documents\GitHub\eaglep3\Utilities\DownloadLogsFromS3.py --loco 4016 --day 2017-04-12</v>
      </c>
      <c r="AN203" s="159" t="str">
        <f t="shared" si="6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04:35:54"},{"id":29,"name":"Sharepoint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x14ac:dyDescent="0.25">
      <c r="A204" s="33" t="s">
        <v>652</v>
      </c>
      <c r="B204" s="7">
        <v>4039</v>
      </c>
      <c r="C204" s="21" t="s">
        <v>214</v>
      </c>
      <c r="D204" s="21" t="s">
        <v>941</v>
      </c>
      <c r="E204" s="13">
        <v>42837.12159722222</v>
      </c>
      <c r="F204" s="13">
        <v>42837.126076388886</v>
      </c>
      <c r="G204" s="7">
        <v>6</v>
      </c>
      <c r="H204" s="21" t="s">
        <v>540</v>
      </c>
      <c r="I204" s="13">
        <v>42837.13208333333</v>
      </c>
      <c r="J204" s="7">
        <v>0</v>
      </c>
      <c r="K204" s="97" t="str">
        <f t="shared" si="45"/>
        <v>4039/4040</v>
      </c>
      <c r="L204" s="21" t="str">
        <f>VLOOKUP(A204,'Trips&amp;Operators'!$C$1:$G$99999,5,FALSE)</f>
        <v>BADERTSCHER DIANE</v>
      </c>
      <c r="M204" s="6">
        <f t="shared" si="46"/>
        <v>6.0069444443797693E-3</v>
      </c>
      <c r="N204" s="7">
        <f t="shared" si="64"/>
        <v>8.6499999999068677</v>
      </c>
      <c r="O204" s="7"/>
      <c r="P204" s="7"/>
      <c r="Q204" s="22"/>
      <c r="R204" s="22"/>
      <c r="S204" s="31">
        <f t="shared" si="47"/>
        <v>1</v>
      </c>
      <c r="T204" s="46" t="str">
        <f t="shared" si="48"/>
        <v>Southbound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2" t="str">
        <f t="shared" si="49"/>
        <v>https://d0f6bd738d7f1b3e5a7ca70fe4ff75f0.us-east-1.aws.found.io/app/kibana#/discover/Steve-Slow-Train-Analysis-(2080s-and-2083s)?_g=(refreshInterval:(display:Off,pause:!f,section:0,value:0),time:(from:'2017-04-12T01:55:06-0600',mode:absolute,to:'2017-04-12T04:10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4" s="183" t="str">
        <f t="shared" si="50"/>
        <v>Y</v>
      </c>
      <c r="X204" s="183">
        <f t="shared" si="51"/>
        <v>-545</v>
      </c>
      <c r="Y204" s="62">
        <f t="shared" si="52"/>
        <v>2.2907999999999999</v>
      </c>
      <c r="Z204" s="62">
        <f t="shared" si="53"/>
        <v>1.43E-2</v>
      </c>
      <c r="AA204" s="62">
        <f t="shared" si="54"/>
        <v>2.2765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55"/>
        <v>0302-12</v>
      </c>
      <c r="AE204" s="85" t="str">
        <f t="shared" si="56"/>
        <v>aws s3 cp s3://rtdc.mdm.uploadarchive.raw/RTDC4039/ "%USERPROFILE%\AppData\Local\Temp\OnboardLogs"\RTDC4039\2017-04-12 --exclude "*" --recursive --include "*20170412*" &amp; "%USERPROFILE%\Documents\GitHub\mrs-test-scripts\Headless Mode &amp; Sideloading\WalkAndUnGZ.bat" "%USERPROFILE%\AppData\Local\Temp\OnboardLogs"\RTDC4039\2017-04-12 &amp; aws s3 cp s3://rtdc.mdm.uploadarchive.raw/RTDC4039/ "%USERPROFILE%\AppData\Local\Temp\OnboardLogs"\RTDC4039\2017-04-13 --exclude "*" --recursive --include "*20170413*" &amp; "%USERPROFILE%\Documents\GitHub\mrs-test-scripts\Headless Mode &amp; Sideloading\WalkAndUnGZ.bat" "%USERPROFILE%\AppData\Local\Temp\OnboardLogs"\RTDC4039\2017-04-13</v>
      </c>
      <c r="AF204" s="82" t="str">
        <f t="shared" si="57"/>
        <v>"C:\Program Files (x86)\AstroGrep\AstroGrep.exe" /e /r /s /spath="%USERPROFILE%\AppData\Local\Temp\OnboardLogs" /stypes="app*4039*20170412*" /stext=" 09:.+((SYSTEM_STATE.+slice.+state.+changed )|(ment ac)|(multiple cpu faults)|(system.+state.+changed )|(\[timeout)|(PRM\|1\|D)|(kpr)|(kdp)|(\|lc)|(penalty))"</v>
      </c>
      <c r="AG204" s="1" t="str">
        <f t="shared" si="58"/>
        <v>Other</v>
      </c>
      <c r="AH204" s="86" t="str">
        <f t="shared" si="60"/>
        <v>"%USERPROFILE%\Documents\GitHub\eaglep3\Utilities\RefineRTDCRunTimes.py" --tripid 302-12 --locoid 4039 --swversion DE.1.0.9.0 --startMP 300:22908 --initTime 2017-04-12T02:55:06 --startdatetime 2017-04-12T03:01:33 --delay 6 --endMP 204:143 --enddatetime 2017-04-12T03:10:12 --enforcementcount 0 &gt;&gt;C:\Users\stu\Documents\GitHub\eaglep3-reporting\EC\2017-04-12-refined-times.txt</v>
      </c>
      <c r="AI204" s="104" t="str">
        <f t="shared" si="61"/>
        <v>echo {"issue":{"subject":"","project_id":79,"tracker_id":40,"status_id":1,"priority_id":2,"assigned_to_id":23,"start_date":"2017-04-12","description":"","custom_fields":[{"id":1,"name":"Subdivision","value":"Other"},{"id":4,"name":"Milepost","value":"0.0143"},{"id":17,"name":"Train ID","value":"302-12"},{"id":16,"name":"Locomotive ID","value":"4039"},{"id":130,"name":"Impact","value":""},{"id":150,"name":"Time of Event (Mountain Time)","value":"03:10:12"},{"id":151,"name":"Denver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8"/>
      <c r="AL204" s="48"/>
      <c r="AM204" s="150" t="str">
        <f t="shared" si="62"/>
        <v>start /low /b %USERPROFILE%\Documents\GitHub\eaglep3\Utilities\DownloadLogsFromS3.py --loco 4039 --day 2017-04-12</v>
      </c>
      <c r="AN204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09:10:12"},{"id":29,"name":"Sharepoint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x14ac:dyDescent="0.25">
      <c r="A205" s="33" t="s">
        <v>660</v>
      </c>
      <c r="B205" s="7">
        <v>4053</v>
      </c>
      <c r="C205" s="21" t="s">
        <v>214</v>
      </c>
      <c r="D205" s="21" t="s">
        <v>942</v>
      </c>
      <c r="E205" s="13">
        <v>42837.141724537039</v>
      </c>
      <c r="F205" s="13">
        <v>42837.144976851851</v>
      </c>
      <c r="G205" s="7">
        <v>4</v>
      </c>
      <c r="H205" s="21" t="s">
        <v>504</v>
      </c>
      <c r="I205" s="13">
        <v>42837.150590277779</v>
      </c>
      <c r="J205" s="7">
        <v>0</v>
      </c>
      <c r="K205" s="97" t="str">
        <f t="shared" ref="K205:K228" si="65">IF(ISEVEN(B205),(B205-1)&amp;"/"&amp;B205,B205&amp;"/"&amp;(B205+1))</f>
        <v>4053/4054</v>
      </c>
      <c r="L205" s="21" t="str">
        <f>VLOOKUP(A205,'Trips&amp;Operators'!$C$1:$G$99999,5,FALSE)</f>
        <v>MAELZER KURT</v>
      </c>
      <c r="M205" s="6">
        <f t="shared" ref="M205:M228" si="66">I205-F205</f>
        <v>5.6134259284590371E-3</v>
      </c>
      <c r="N205" s="7">
        <f t="shared" si="64"/>
        <v>8.0833333369810134</v>
      </c>
      <c r="O205" s="7"/>
      <c r="P205" s="7"/>
      <c r="Q205" s="22"/>
      <c r="R205" s="22"/>
      <c r="S205" s="31">
        <f t="shared" ref="S205:S228" si="67">SUM(U205:U205)/IF(AG205="EC",12,1)</f>
        <v>1</v>
      </c>
      <c r="T205" s="46" t="str">
        <f t="shared" ref="T205:T228" si="68">IF(ISEVEN(LEFT(AD205,4)),"Southbound","NorthBound")</f>
        <v>Southbound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2" t="str">
        <f t="shared" ref="V205:V228" si="69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-04-12T02:24:05-0600',mode:absolute,to:'2017-04-12T04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5" s="183" t="str">
        <f t="shared" ref="W205:W228" si="70">IF(AA205&lt;IF(AG205="EC",23,5.65),"Y","N")</f>
        <v>Y</v>
      </c>
      <c r="X205" s="183">
        <f t="shared" ref="X205:X228" si="71">VALUE(LEFT(AD205,4))-VALUE(LEFT(AD204,4))</f>
        <v>2</v>
      </c>
      <c r="Y205" s="62">
        <f t="shared" ref="Y205:Y228" si="72">RIGHT(D205,LEN(D205)-4)/10000</f>
        <v>2.2650000000000001</v>
      </c>
      <c r="Z205" s="62">
        <f t="shared" ref="Z205:Z228" si="73">RIGHT(H205,LEN(H205)-4)/10000</f>
        <v>1.4999999999999999E-2</v>
      </c>
      <c r="AA205" s="62">
        <f t="shared" ref="AA205:AA268" si="74">ABS(Z205-Y205)</f>
        <v>2.25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28" si="75">IF(LEN(A205)=6,"0"&amp;A205,A205)</f>
        <v>0304-12</v>
      </c>
      <c r="AE205" s="85" t="str">
        <f t="shared" ref="AE205:AE228" si="76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s3://rtdc.mdm.uploadarchive.raw/RTDC4053/ "%USERPROFILE%\AppData\Local\Temp\OnboardLogs"\RTDC4053\2017-04-12 --exclude "*" --recursive --include "*20170412*" &amp; "%USERPROFILE%\Documents\GitHub\mrs-test-scripts\Headless Mode &amp; Sideloading\WalkAndUnGZ.bat" "%USERPROFILE%\AppData\Local\Temp\OnboardLogs"\RTDC4053\2017-04-12 &amp; aws s3 cp s3://rtdc.mdm.uploadarchive.raw/RTDC4053/ "%USERPROFILE%\AppData\Local\Temp\OnboardLogs"\RTDC4053\2017-04-13 --exclude "*" --recursive --include "*20170413*" &amp; "%USERPROFILE%\Documents\GitHub\mrs-test-scripts\Headless Mode &amp; Sideloading\WalkAndUnGZ.bat" "%USERPROFILE%\AppData\Local\Temp\OnboardLogs"\RTDC4053\2017-04-13</v>
      </c>
      <c r="AF205" s="82" t="str">
        <f t="shared" ref="AF205:AF228" si="77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/stypes="app*4053*20170412*" /stext=" 09:.+((SYSTEM_STATE.+slice.+state.+changed )|(ment ac)|(multiple cpu faults)|(system.+state.+changed )|(\[timeout)|(PRM\|1\|D)|(kpr)|(kdp)|(\|lc)|(penalty))"</v>
      </c>
      <c r="AG205" s="1" t="str">
        <f t="shared" ref="AG205:AG228" si="78">IFERROR(IF(VALUE(LEFT(AD205,2))&lt;=2,"EC",IF(OR(VALUE(LEFT(AD205,2))=8,VALUE(LEFT(AD205,2))=18),"NW","Other")),"Other")</f>
        <v>Other</v>
      </c>
      <c r="AH205" s="86" t="str">
        <f t="shared" si="60"/>
        <v>"%USERPROFILE%\Documents\GitHub\eaglep3\Utilities\RefineRTDCRunTimes.py" --tripid 304-12 --locoid 4053 --swversion DE.1.0.9.0 --startMP 300:22650 --initTime 2017-04-12T03:24:05 --startdatetime 2017-04-12T03:28:46 --delay 4 --endMP 204:150 --enddatetime 2017-04-12T03:36:51 --enforcementcount 0 &gt;&gt;C:\Users\stu\Documents\GitHub\eaglep3-reporting\EC\2017-04-12-refined-times.txt</v>
      </c>
      <c r="AI205" s="104" t="str">
        <f t="shared" si="61"/>
        <v>echo {"issue":{"subject":"","project_id":79,"tracker_id":40,"status_id":1,"priority_id":2,"assigned_to_id":23,"start_date":"2017-04-12","description":"","custom_fields":[{"id":1,"name":"Subdivision","value":"Other"},{"id":4,"name":"Milepost","value":"0.015"},{"id":17,"name":"Train ID","value":"304-12"},{"id":16,"name":"Locomotive ID","value":"4053"},{"id":130,"name":"Impact","value":""},{"id":150,"name":"Time of Event (Mountain Time)","value":"03:36:51"},{"id":151,"name":"Denver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8"/>
      <c r="AL205" s="48"/>
      <c r="AM205" s="150" t="str">
        <f t="shared" si="62"/>
        <v>start /low /b %USERPROFILE%\Documents\GitHub\eaglep3\Utilities\DownloadLogsFromS3.py --loco 4053 --day 2017-04-12</v>
      </c>
      <c r="AN205" s="159" t="str">
        <f t="shared" si="6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09:36:51"},{"id":29,"name":"Sharepoint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s="20" customFormat="1" x14ac:dyDescent="0.25">
      <c r="A206" s="33" t="s">
        <v>830</v>
      </c>
      <c r="B206" s="7">
        <v>4020</v>
      </c>
      <c r="C206" s="21" t="s">
        <v>214</v>
      </c>
      <c r="D206" s="21" t="s">
        <v>943</v>
      </c>
      <c r="E206" s="13">
        <v>42837.797581018516</v>
      </c>
      <c r="F206" s="13">
        <v>42837.802453703705</v>
      </c>
      <c r="G206" s="7">
        <v>1</v>
      </c>
      <c r="H206" s="21" t="s">
        <v>944</v>
      </c>
      <c r="I206" s="13">
        <v>42837.80741898148</v>
      </c>
      <c r="J206" s="7">
        <v>0</v>
      </c>
      <c r="K206" s="97" t="str">
        <f t="shared" si="65"/>
        <v>4019/4020</v>
      </c>
      <c r="L206" s="21" t="str">
        <f>VLOOKUP(A206,'Trips&amp;Operators'!$C$1:$G$99999,5,FALSE)</f>
        <v>LOCKLEAR TRAVIS</v>
      </c>
      <c r="M206" s="6">
        <f t="shared" si="66"/>
        <v>4.9652777743176557E-3</v>
      </c>
      <c r="N206" s="7">
        <f t="shared" ref="N206:N228" si="79">24*60*SUM($M206:$M206)</f>
        <v>7.1499999950174242</v>
      </c>
      <c r="O206" s="7"/>
      <c r="P206" s="7"/>
      <c r="Q206" s="22"/>
      <c r="R206" s="22"/>
      <c r="S206" s="31">
        <f t="shared" si="67"/>
        <v>1</v>
      </c>
      <c r="T206" s="46" t="str">
        <f t="shared" si="68"/>
        <v>NorthBound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2" t="str">
        <f t="shared" si="69"/>
        <v>https://d0f6bd738d7f1b3e5a7ca70fe4ff75f0.us-east-1.aws.found.io/app/kibana#/discover/Steve-Slow-Train-Analysis-(2080s-and-2083s)?_g=(refreshInterval:(display:Off,pause:!f,section:0,value:0),time:(from:'2017-04-12T18:08:31-0600',mode:absolute,to:'2017-04-12T20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6" s="183" t="str">
        <f t="shared" si="70"/>
        <v>Y</v>
      </c>
      <c r="X206" s="183">
        <f t="shared" si="71"/>
        <v>1</v>
      </c>
      <c r="Y206" s="62">
        <f t="shared" si="72"/>
        <v>4.8399999999999999E-2</v>
      </c>
      <c r="Z206" s="62">
        <f t="shared" si="73"/>
        <v>2.3149000000000002</v>
      </c>
      <c r="AA206" s="62">
        <f t="shared" si="74"/>
        <v>2.2665000000000002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75"/>
        <v>0305-12</v>
      </c>
      <c r="AE206" s="85" t="str">
        <f t="shared" si="76"/>
        <v>aws s3 cp s3://rtdc.mdm.uploadarchive.raw/RTDC4020/ "%USERPROFILE%\AppData\Local\Temp\OnboardLogs"\RTDC4020\2017-04-12 --exclude "*" --recursive --include "*20170412*" &amp; "%USERPROFILE%\Documents\GitHub\mrs-test-scripts\Headless Mode &amp; Sideloading\WalkAndUnGZ.bat" "%USERPROFILE%\AppData\Local\Temp\OnboardLogs"\RTDC4020\2017-04-12 &amp; aws s3 cp s3://rtdc.mdm.uploadarchive.raw/RTDC4020/ "%USERPROFILE%\AppData\Local\Temp\OnboardLogs"\RTDC4020\2017-04-13 --exclude "*" --recursive --include "*20170413*" &amp; "%USERPROFILE%\Documents\GitHub\mrs-test-scripts\Headless Mode &amp; Sideloading\WalkAndUnGZ.bat" "%USERPROFILE%\AppData\Local\Temp\OnboardLogs"\RTDC4020\2017-04-13</v>
      </c>
      <c r="AF206" s="82" t="str">
        <f t="shared" si="77"/>
        <v>"C:\Program Files (x86)\AstroGrep\AstroGrep.exe" /e /r /s /spath="%USERPROFILE%\AppData\Local\Temp\OnboardLogs" /stypes="app*4020*20170413*" /stext=" 01:.+((SYSTEM_STATE.+slice.+state.+changed )|(ment ac)|(multiple cpu faults)|(system.+state.+changed )|(\[timeout)|(PRM\|1\|D)|(kpr)|(kdp)|(\|lc)|(penalty))"</v>
      </c>
      <c r="AG206" s="1" t="str">
        <f t="shared" si="78"/>
        <v>Other</v>
      </c>
      <c r="AH206" s="86" t="str">
        <f t="shared" ref="AH206:AH228" si="80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305-12 --locoid 4020 --swversion DE.1.0.9.0 --startMP 204:484 --initTime 2017-04-12T19:08:31 --startdatetime 2017-04-12T19:15:32 --delay 1 --endMP 300:23149 --enddatetime 2017-04-12T19:22:41 --enforcementcount 0 &gt;&gt;C:\Users\stu\Documents\GitHub\eaglep3-reporting\EC\2017-04-12-refined-times.txt</v>
      </c>
      <c r="AI206" s="104" t="str">
        <f t="shared" ref="AI206:AI228" si="81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{"issue":{"subject":"","project_id":79,"tracker_id":40,"status_id":1,"priority_id":2,"assigned_to_id":23,"start_date":"2017-04-12","description":"","custom_fields":[{"id":1,"name":"Subdivision","value":"Other"},{"id":4,"name":"Milepost","value":"2.3149"},{"id":17,"name":"Train ID","value":"305-12"},{"id":16,"name":"Locomotive ID","value":"4020"},{"id":130,"name":"Impact","value":""},{"id":150,"name":"Time of Event (Mountain Time)","value":"19:22:41"},{"id":151,"name":"Denver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6" s="48"/>
      <c r="AL206" s="48"/>
      <c r="AM206" s="150" t="str">
        <f t="shared" ref="AM206:AM228" si="82">"start /low /b "&amp;dls3logs&amp;" --loco "&amp;B206&amp;" --day "&amp;TEXT(F206,"YYYY-MM-DD")</f>
        <v>start /low /b %USERPROFILE%\Documents\GitHub\eaglep3\Utilities\DownloadLogsFromS3.py --loco 4020 --day 2017-04-12</v>
      </c>
      <c r="AN206" s="159" t="str">
        <f t="shared" ref="AN206:AN228" si="83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01:22:41"},{"id":29,"name":"Sharepoint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x14ac:dyDescent="0.25">
      <c r="A207" s="33" t="s">
        <v>662</v>
      </c>
      <c r="B207" s="7">
        <v>4045</v>
      </c>
      <c r="C207" s="21" t="s">
        <v>214</v>
      </c>
      <c r="D207" s="21" t="s">
        <v>945</v>
      </c>
      <c r="E207" s="13">
        <v>42837.159745370373</v>
      </c>
      <c r="F207" s="13">
        <v>42837.163888888892</v>
      </c>
      <c r="G207" s="7">
        <v>5</v>
      </c>
      <c r="H207" s="21" t="s">
        <v>946</v>
      </c>
      <c r="I207" s="13">
        <v>42837.169351851851</v>
      </c>
      <c r="J207" s="7">
        <v>0</v>
      </c>
      <c r="K207" s="97" t="str">
        <f t="shared" si="65"/>
        <v>4045/4046</v>
      </c>
      <c r="L207" s="21" t="str">
        <f>VLOOKUP(A207,'Trips&amp;Operators'!$C$1:$G$99999,5,FALSE)</f>
        <v>GEBRETEKLE DAGNEW</v>
      </c>
      <c r="M207" s="6">
        <f t="shared" si="66"/>
        <v>5.4629629594273865E-3</v>
      </c>
      <c r="N207" s="7">
        <f t="shared" si="79"/>
        <v>7.8666666615754366</v>
      </c>
      <c r="O207" s="7"/>
      <c r="P207" s="7"/>
      <c r="Q207" s="22"/>
      <c r="R207" s="22"/>
      <c r="S207" s="31">
        <f t="shared" si="67"/>
        <v>1</v>
      </c>
      <c r="T207" s="46" t="str">
        <f t="shared" si="68"/>
        <v>Southbound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2" t="str">
        <f t="shared" si="69"/>
        <v>https://d0f6bd738d7f1b3e5a7ca70fe4ff75f0.us-east-1.aws.found.io/app/kibana#/discover/Steve-Slow-Train-Analysis-(2080s-and-2083s)?_g=(refreshInterval:(display:Off,pause:!f,section:0,value:0),time:(from:'2017-04-12T02:50:02-0600',mode:absolute,to:'2017-04-12T05:03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7" s="183" t="str">
        <f t="shared" si="70"/>
        <v>Y</v>
      </c>
      <c r="X207" s="183">
        <f t="shared" si="71"/>
        <v>1</v>
      </c>
      <c r="Y207" s="62">
        <f t="shared" si="72"/>
        <v>2.3523000000000001</v>
      </c>
      <c r="Z207" s="62">
        <f t="shared" si="73"/>
        <v>1.29E-2</v>
      </c>
      <c r="AA207" s="62">
        <f t="shared" si="74"/>
        <v>2.3393999999999999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75"/>
        <v>0306-12</v>
      </c>
      <c r="AE207" s="85" t="str">
        <f t="shared" si="76"/>
        <v>aws s3 cp s3://rtdc.mdm.uploadarchive.raw/RTDC4045/ "%USERPROFILE%\AppData\Local\Temp\OnboardLogs"\RTDC4045\2017-04-12 --exclude "*" --recursive --include "*20170412*" &amp; "%USERPROFILE%\Documents\GitHub\mrs-test-scripts\Headless Mode &amp; Sideloading\WalkAndUnGZ.bat" "%USERPROFILE%\AppData\Local\Temp\OnboardLogs"\RTDC4045\2017-04-12 &amp; aws s3 cp s3://rtdc.mdm.uploadarchive.raw/RTDC4045/ "%USERPROFILE%\AppData\Local\Temp\OnboardLogs"\RTDC4045\2017-04-13 --exclude "*" --recursive --include "*20170413*" &amp; "%USERPROFILE%\Documents\GitHub\mrs-test-scripts\Headless Mode &amp; Sideloading\WalkAndUnGZ.bat" "%USERPROFILE%\AppData\Local\Temp\OnboardLogs"\RTDC4045\2017-04-13</v>
      </c>
      <c r="AF207" s="82" t="str">
        <f t="shared" si="77"/>
        <v>"C:\Program Files (x86)\AstroGrep\AstroGrep.exe" /e /r /s /spath="%USERPROFILE%\AppData\Local\Temp\OnboardLogs" /stypes="app*4045*20170412*" /stext=" 10:.+((SYSTEM_STATE.+slice.+state.+changed )|(ment ac)|(multiple cpu faults)|(system.+state.+changed )|(\[timeout)|(PRM\|1\|D)|(kpr)|(kdp)|(\|lc)|(penalty))"</v>
      </c>
      <c r="AG207" s="1" t="str">
        <f t="shared" si="78"/>
        <v>Other</v>
      </c>
      <c r="AH207" s="86" t="str">
        <f t="shared" si="80"/>
        <v>"%USERPROFILE%\Documents\GitHub\eaglep3\Utilities\RefineRTDCRunTimes.py" --tripid 306-12 --locoid 4045 --swversion DE.1.0.9.0 --startMP 300:23523 --initTime 2017-04-12T03:50:02 --startdatetime 2017-04-12T03:56:00 --delay 5 --endMP 204:129 --enddatetime 2017-04-12T04:03:52 --enforcementcount 0 &gt;&gt;C:\Users\stu\Documents\GitHub\eaglep3-reporting\EC\2017-04-12-refined-times.txt</v>
      </c>
      <c r="AI207" s="104" t="str">
        <f t="shared" si="81"/>
        <v>echo {"issue":{"subject":"","project_id":79,"tracker_id":40,"status_id":1,"priority_id":2,"assigned_to_id":23,"start_date":"2017-04-12","description":"","custom_fields":[{"id":1,"name":"Subdivision","value":"Other"},{"id":4,"name":"Milepost","value":"0.0129"},{"id":17,"name":"Train ID","value":"306-12"},{"id":16,"name":"Locomotive ID","value":"4045"},{"id":130,"name":"Impact","value":""},{"id":150,"name":"Time of Event (Mountain Time)","value":"04:03:52"},{"id":151,"name":"Denver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8"/>
      <c r="AL207" s="48"/>
      <c r="AM207" s="150" t="str">
        <f t="shared" si="82"/>
        <v>start /low /b %USERPROFILE%\Documents\GitHub\eaglep3\Utilities\DownloadLogsFromS3.py --loco 4045 --day 2017-04-12</v>
      </c>
      <c r="AN207" s="159" t="str">
        <f t="shared" si="8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10:03:52"},{"id":29,"name":"Sharepoint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3" t="s">
        <v>835</v>
      </c>
      <c r="B208" s="7">
        <v>4032</v>
      </c>
      <c r="C208" s="21" t="s">
        <v>214</v>
      </c>
      <c r="D208" s="21" t="s">
        <v>204</v>
      </c>
      <c r="E208" s="13">
        <v>42837.819201388891</v>
      </c>
      <c r="F208" s="13">
        <v>42837.820439814815</v>
      </c>
      <c r="G208" s="7">
        <v>1</v>
      </c>
      <c r="H208" s="21" t="s">
        <v>595</v>
      </c>
      <c r="I208" s="13">
        <v>42837.827696759261</v>
      </c>
      <c r="J208" s="7">
        <v>0</v>
      </c>
      <c r="K208" s="97" t="str">
        <f t="shared" si="65"/>
        <v>4031/4032</v>
      </c>
      <c r="L208" s="21" t="str">
        <f>VLOOKUP(A208,'Trips&amp;Operators'!$C$1:$G$99999,5,FALSE)</f>
        <v>STRICKLAND EVAN</v>
      </c>
      <c r="M208" s="6">
        <f t="shared" si="66"/>
        <v>7.2569444455439225E-3</v>
      </c>
      <c r="N208" s="7">
        <f t="shared" si="79"/>
        <v>10.450000001583248</v>
      </c>
      <c r="O208" s="7"/>
      <c r="P208" s="7"/>
      <c r="Q208" s="22"/>
      <c r="R208" s="22"/>
      <c r="S208" s="31">
        <f t="shared" si="67"/>
        <v>1</v>
      </c>
      <c r="T208" s="46" t="str">
        <f t="shared" si="68"/>
        <v>NorthBound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2" t="str">
        <f t="shared" si="69"/>
        <v>https://d0f6bd738d7f1b3e5a7ca70fe4ff75f0.us-east-1.aws.found.io/app/kibana#/discover/Steve-Slow-Train-Analysis-(2080s-and-2083s)?_g=(refreshInterval:(display:Off,pause:!f,section:0,value:0),time:(from:'2017-04-12T18:39:39-0600',mode:absolute,to:'2017-04-12T20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8" s="183" t="str">
        <f t="shared" si="70"/>
        <v>Y</v>
      </c>
      <c r="X208" s="183">
        <f t="shared" si="71"/>
        <v>1</v>
      </c>
      <c r="Y208" s="62">
        <f t="shared" si="72"/>
        <v>4.5100000000000001E-2</v>
      </c>
      <c r="Z208" s="62">
        <f t="shared" si="73"/>
        <v>2.3346</v>
      </c>
      <c r="AA208" s="62">
        <f t="shared" si="74"/>
        <v>2.2894999999999999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75"/>
        <v>0307-12</v>
      </c>
      <c r="AE208" s="85" t="str">
        <f t="shared" si="76"/>
        <v>aws s3 cp s3://rtdc.mdm.uploadarchive.raw/RTDC4032/ "%USERPROFILE%\AppData\Local\Temp\OnboardLogs"\RTDC4032\2017-04-12 --exclude "*" --recursive --include "*20170412*" &amp; "%USERPROFILE%\Documents\GitHub\mrs-test-scripts\Headless Mode &amp; Sideloading\WalkAndUnGZ.bat" "%USERPROFILE%\AppData\Local\Temp\OnboardLogs"\RTDC4032\2017-04-12 &amp; aws s3 cp s3://rtdc.mdm.uploadarchive.raw/RTDC4032/ "%USERPROFILE%\AppData\Local\Temp\OnboardLogs"\RTDC4032\2017-04-13 --exclude "*" --recursive --include "*20170413*" &amp; "%USERPROFILE%\Documents\GitHub\mrs-test-scripts\Headless Mode &amp; Sideloading\WalkAndUnGZ.bat" "%USERPROFILE%\AppData\Local\Temp\OnboardLogs"\RTDC4032\2017-04-13</v>
      </c>
      <c r="AF208" s="82" t="str">
        <f t="shared" si="77"/>
        <v>"C:\Program Files (x86)\AstroGrep\AstroGrep.exe" /e /r /s /spath="%USERPROFILE%\AppData\Local\Temp\OnboardLogs" /stypes="app*4032*20170413*" /stext=" 01:.+((SYSTEM_STATE.+slice.+state.+changed )|(ment ac)|(multiple cpu faults)|(system.+state.+changed )|(\[timeout)|(PRM\|1\|D)|(kpr)|(kdp)|(\|lc)|(penalty))"</v>
      </c>
      <c r="AG208" s="1" t="str">
        <f t="shared" si="78"/>
        <v>Other</v>
      </c>
      <c r="AH208" s="86" t="str">
        <f t="shared" si="80"/>
        <v>"%USERPROFILE%\Documents\GitHub\eaglep3\Utilities\RefineRTDCRunTimes.py" --tripid 307-12 --locoid 4032 --swversion DE.1.0.9.0 --startMP 204:451 --initTime 2017-04-12T19:39:39 --startdatetime 2017-04-12T19:41:26 --delay 1 --endMP 300:23346 --enddatetime 2017-04-12T19:51:53 --enforcementcount 0 &gt;&gt;C:\Users\stu\Documents\GitHub\eaglep3-reporting\EC\2017-04-12-refined-times.txt</v>
      </c>
      <c r="AI208" s="104" t="str">
        <f t="shared" si="81"/>
        <v>echo {"issue":{"subject":"","project_id":79,"tracker_id":40,"status_id":1,"priority_id":2,"assigned_to_id":23,"start_date":"2017-04-12","description":"","custom_fields":[{"id":1,"name":"Subdivision","value":"Other"},{"id":4,"name":"Milepost","value":"2.3346"},{"id":17,"name":"Train ID","value":"307-12"},{"id":16,"name":"Locomotive ID","value":"4032"},{"id":130,"name":"Impact","value":""},{"id":150,"name":"Time of Event (Mountain Time)","value":"19:51:53"},{"id":151,"name":"Denver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8"/>
      <c r="AL208" s="48"/>
      <c r="AM208" s="150" t="str">
        <f t="shared" si="82"/>
        <v>start /low /b %USERPROFILE%\Documents\GitHub\eaglep3\Utilities\DownloadLogsFromS3.py --loco 4032 --day 2017-04-12</v>
      </c>
      <c r="AN208" s="159" t="str">
        <f t="shared" si="8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01:51:53"},{"id":29,"name":"Sharepoint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666</v>
      </c>
      <c r="B209" s="7">
        <v>4043</v>
      </c>
      <c r="C209" s="21" t="s">
        <v>214</v>
      </c>
      <c r="D209" s="21" t="s">
        <v>947</v>
      </c>
      <c r="E209" s="13">
        <v>42837.170543981483</v>
      </c>
      <c r="F209" s="13">
        <v>42837.174502314818</v>
      </c>
      <c r="G209" s="7">
        <v>5</v>
      </c>
      <c r="H209" s="21" t="s">
        <v>538</v>
      </c>
      <c r="I209" s="13">
        <v>42837.180659722224</v>
      </c>
      <c r="J209" s="7">
        <v>0</v>
      </c>
      <c r="K209" s="97" t="str">
        <f t="shared" si="65"/>
        <v>4043/4044</v>
      </c>
      <c r="L209" s="21" t="str">
        <f>VLOOKUP(A209,'Trips&amp;Operators'!$C$1:$G$99999,5,FALSE)</f>
        <v>BONDS REYNALDO</v>
      </c>
      <c r="M209" s="6">
        <f t="shared" si="66"/>
        <v>6.1574074061354622E-3</v>
      </c>
      <c r="N209" s="7">
        <f t="shared" si="79"/>
        <v>8.8666666648350656</v>
      </c>
      <c r="O209" s="7"/>
      <c r="P209" s="7"/>
      <c r="Q209" s="22"/>
      <c r="R209" s="22"/>
      <c r="S209" s="31">
        <f t="shared" si="67"/>
        <v>1</v>
      </c>
      <c r="T209" s="46" t="str">
        <f t="shared" si="68"/>
        <v>Southbound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2" t="str">
        <f t="shared" si="69"/>
        <v>https://d0f6bd738d7f1b3e5a7ca70fe4ff75f0.us-east-1.aws.found.io/app/kibana#/discover/Steve-Slow-Train-Analysis-(2080s-and-2083s)?_g=(refreshInterval:(display:Off,pause:!f,section:0,value:0),time:(from:'2017-04-12T03:05:35-0600',mode:absolute,to:'2017-04-12T05:20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9" s="183" t="str">
        <f t="shared" si="70"/>
        <v>Y</v>
      </c>
      <c r="X209" s="183">
        <f t="shared" si="71"/>
        <v>1</v>
      </c>
      <c r="Y209" s="62">
        <f t="shared" si="72"/>
        <v>2.3447</v>
      </c>
      <c r="Z209" s="62">
        <f t="shared" si="73"/>
        <v>1.49E-2</v>
      </c>
      <c r="AA209" s="62">
        <f t="shared" si="74"/>
        <v>2.3298000000000001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75"/>
        <v>0308-12</v>
      </c>
      <c r="AE209" s="85" t="str">
        <f t="shared" si="76"/>
        <v>aws s3 cp s3://rtdc.mdm.uploadarchive.raw/RTDC4043/ "%USERPROFILE%\AppData\Local\Temp\OnboardLogs"\RTDC4043\2017-04-12 --exclude "*" --recursive --include "*20170412*" &amp; "%USERPROFILE%\Documents\GitHub\mrs-test-scripts\Headless Mode &amp; Sideloading\WalkAndUnGZ.bat" "%USERPROFILE%\AppData\Local\Temp\OnboardLogs"\RTDC4043\2017-04-12 &amp; aws s3 cp s3://rtdc.mdm.uploadarchive.raw/RTDC4043/ "%USERPROFILE%\AppData\Local\Temp\OnboardLogs"\RTDC4043\2017-04-13 --exclude "*" --recursive --include "*20170413*" &amp; "%USERPROFILE%\Documents\GitHub\mrs-test-scripts\Headless Mode &amp; Sideloading\WalkAndUnGZ.bat" "%USERPROFILE%\AppData\Local\Temp\OnboardLogs"\RTDC4043\2017-04-13</v>
      </c>
      <c r="AF209" s="82" t="str">
        <f t="shared" si="77"/>
        <v>"C:\Program Files (x86)\AstroGrep\AstroGrep.exe" /e /r /s /spath="%USERPROFILE%\AppData\Local\Temp\OnboardLogs" /stypes="app*4043*20170412*" /stext=" 10:.+((SYSTEM_STATE.+slice.+state.+changed )|(ment ac)|(multiple cpu faults)|(system.+state.+changed )|(\[timeout)|(PRM\|1\|D)|(kpr)|(kdp)|(\|lc)|(penalty))"</v>
      </c>
      <c r="AG209" s="1" t="str">
        <f t="shared" si="78"/>
        <v>Other</v>
      </c>
      <c r="AH209" s="86" t="str">
        <f t="shared" si="80"/>
        <v>"%USERPROFILE%\Documents\GitHub\eaglep3\Utilities\RefineRTDCRunTimes.py" --tripid 308-12 --locoid 4043 --swversion DE.1.0.9.0 --startMP 300:23447 --initTime 2017-04-12T04:05:35 --startdatetime 2017-04-12T04:11:17 --delay 5 --endMP 204:149 --enddatetime 2017-04-12T04:20:09 --enforcementcount 0 &gt;&gt;C:\Users\stu\Documents\GitHub\eaglep3-reporting\EC\2017-04-12-refined-times.txt</v>
      </c>
      <c r="AI209" s="104" t="str">
        <f t="shared" si="81"/>
        <v>echo {"issue":{"subject":"","project_id":79,"tracker_id":40,"status_id":1,"priority_id":2,"assigned_to_id":23,"start_date":"2017-04-12","description":"","custom_fields":[{"id":1,"name":"Subdivision","value":"Other"},{"id":4,"name":"Milepost","value":"0.0149"},{"id":17,"name":"Train ID","value":"308-12"},{"id":16,"name":"Locomotive ID","value":"4043"},{"id":130,"name":"Impact","value":""},{"id":150,"name":"Time of Event (Mountain Time)","value":"04:20:09"},{"id":151,"name":"Denver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8"/>
      <c r="AL209" s="48"/>
      <c r="AM209" s="150" t="str">
        <f t="shared" si="82"/>
        <v>start /low /b %USERPROFILE%\Documents\GitHub\eaglep3\Utilities\DownloadLogsFromS3.py --loco 4043 --day 2017-04-12</v>
      </c>
      <c r="AN209" s="159" t="str">
        <f t="shared" si="8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10:20:09"},{"id":29,"name":"Sharepoint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864</v>
      </c>
      <c r="B210" s="7">
        <v>4040</v>
      </c>
      <c r="C210" s="21" t="s">
        <v>214</v>
      </c>
      <c r="D210" s="21" t="s">
        <v>948</v>
      </c>
      <c r="E210" s="13">
        <v>42838.046736111108</v>
      </c>
      <c r="F210" s="13">
        <v>42838.047766203701</v>
      </c>
      <c r="G210" s="7">
        <v>1</v>
      </c>
      <c r="H210" s="21" t="s">
        <v>547</v>
      </c>
      <c r="I210" s="13">
        <v>42838.054629629631</v>
      </c>
      <c r="J210" s="7">
        <v>0</v>
      </c>
      <c r="K210" s="97" t="str">
        <f t="shared" si="65"/>
        <v>4039/4040</v>
      </c>
      <c r="L210" s="21" t="str">
        <f>VLOOKUP(A210,'Trips&amp;Operators'!$C$1:$G$99999,5,FALSE)</f>
        <v>FORTUNATO FRANK</v>
      </c>
      <c r="M210" s="6">
        <f t="shared" si="66"/>
        <v>6.8634259296231903E-3</v>
      </c>
      <c r="N210" s="7">
        <f t="shared" si="79"/>
        <v>9.8833333386573941</v>
      </c>
      <c r="O210" s="7"/>
      <c r="P210" s="7"/>
      <c r="Q210" s="22"/>
      <c r="R210" s="22"/>
      <c r="S210" s="31">
        <f t="shared" si="67"/>
        <v>1</v>
      </c>
      <c r="T210" s="46" t="str">
        <f t="shared" si="68"/>
        <v>NorthBound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2" t="str">
        <f t="shared" si="69"/>
        <v>https://d0f6bd738d7f1b3e5a7ca70fe4ff75f0.us-east-1.aws.found.io/app/kibana#/discover/Steve-Slow-Train-Analysis-(2080s-and-2083s)?_g=(refreshInterval:(display:Off,pause:!f,section:0,value:0),time:(from:'2017-04-13T00:07:18-0600',mode:absolute,to:'2017-04-13T02:18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0" s="183" t="str">
        <f t="shared" si="70"/>
        <v>Y</v>
      </c>
      <c r="X210" s="183">
        <f t="shared" si="71"/>
        <v>1</v>
      </c>
      <c r="Y210" s="62">
        <f t="shared" si="72"/>
        <v>5.8599999999999999E-2</v>
      </c>
      <c r="Z210" s="62">
        <f t="shared" si="73"/>
        <v>2.3308</v>
      </c>
      <c r="AA210" s="62">
        <f t="shared" si="74"/>
        <v>2.2721999999999998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75"/>
        <v>0309-12</v>
      </c>
      <c r="AE210" s="85" t="str">
        <f t="shared" si="76"/>
        <v>aws s3 cp s3://rtdc.mdm.uploadarchive.raw/RTDC4040/ "%USERPROFILE%\AppData\Local\Temp\OnboardLogs"\RTDC4040\2017-04-13 --exclude "*" --recursive --include "*20170413*" &amp; "%USERPROFILE%\Documents\GitHub\mrs-test-scripts\Headless Mode &amp; Sideloading\WalkAndUnGZ.bat" "%USERPROFILE%\AppData\Local\Temp\OnboardLogs"\RTDC4040\2017-04-13 &amp; aws s3 cp s3://rtdc.mdm.uploadarchive.raw/RTDC4040/ "%USERPROFILE%\AppData\Local\Temp\OnboardLogs"\RTDC4040\2017-04-14 --exclude "*" --recursive --include "*20170414*" &amp; "%USERPROFILE%\Documents\GitHub\mrs-test-scripts\Headless Mode &amp; Sideloading\WalkAndUnGZ.bat" "%USERPROFILE%\AppData\Local\Temp\OnboardLogs"\RTDC4040\2017-04-14</v>
      </c>
      <c r="AF210" s="82" t="str">
        <f t="shared" si="77"/>
        <v>"C:\Program Files (x86)\AstroGrep\AstroGrep.exe" /e /r /s /spath="%USERPROFILE%\AppData\Local\Temp\OnboardLogs" /stypes="app*4040*20170413*" /stext=" 07:.+((SYSTEM_STATE.+slice.+state.+changed )|(ment ac)|(multiple cpu faults)|(system.+state.+changed )|(\[timeout)|(PRM\|1\|D)|(kpr)|(kdp)|(\|lc)|(penalty))"</v>
      </c>
      <c r="AG210" s="1" t="str">
        <f t="shared" si="78"/>
        <v>Other</v>
      </c>
      <c r="AH210" s="86" t="str">
        <f t="shared" si="80"/>
        <v>"%USERPROFILE%\Documents\GitHub\eaglep3\Utilities\RefineRTDCRunTimes.py" --tripid 309-12 --locoid 4040 --swversion DE.1.0.9.0 --startMP 204:586 --initTime 2017-04-13T01:07:18 --startdatetime 2017-04-13T01:08:47 --delay 1 --endMP 300:23308 --enddatetime 2017-04-13T01:18:40 --enforcementcount 0 &gt;&gt;C:\Users\stu\Documents\GitHub\eaglep3-reporting\EC\2017-04-12-refined-times.txt</v>
      </c>
      <c r="AI210" s="104" t="str">
        <f t="shared" si="81"/>
        <v>echo {"issue":{"subject":"","project_id":79,"tracker_id":40,"status_id":1,"priority_id":2,"assigned_to_id":23,"start_date":"2017-04-13","description":"","custom_fields":[{"id":1,"name":"Subdivision","value":"Other"},{"id":4,"name":"Milepost","value":"2.3308"},{"id":17,"name":"Train ID","value":"309-12"},{"id":16,"name":"Locomotive ID","value":"4040"},{"id":130,"name":"Impact","value":""},{"id":150,"name":"Time of Event (Mountain Time)","value":"01:18:40"},{"id":151,"name":"Denver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8"/>
      <c r="AL210" s="48"/>
      <c r="AM210" s="150" t="str">
        <f t="shared" si="82"/>
        <v>start /low /b %USERPROFILE%\Documents\GitHub\eaglep3\Utilities\DownloadLogsFromS3.py --loco 4040 --day 2017-04-13</v>
      </c>
      <c r="AN210" s="159" t="str">
        <f t="shared" si="8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07:18:40"},{"id":29,"name":"Sharepoint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3" t="s">
        <v>670</v>
      </c>
      <c r="B211" s="7">
        <v>4011</v>
      </c>
      <c r="C211" s="21" t="s">
        <v>214</v>
      </c>
      <c r="D211" s="21" t="s">
        <v>949</v>
      </c>
      <c r="E211" s="13">
        <v>42837.177731481483</v>
      </c>
      <c r="F211" s="13">
        <v>42837.182812500003</v>
      </c>
      <c r="G211" s="7">
        <v>7</v>
      </c>
      <c r="H211" s="21" t="s">
        <v>211</v>
      </c>
      <c r="I211" s="13">
        <v>42837.187060185184</v>
      </c>
      <c r="J211" s="7">
        <v>0</v>
      </c>
      <c r="K211" s="97" t="str">
        <f t="shared" si="65"/>
        <v>4011/4012</v>
      </c>
      <c r="L211" s="21" t="str">
        <f>VLOOKUP(A211,'Trips&amp;Operators'!$C$1:$G$99999,5,FALSE)</f>
        <v>SANTIZO D. EDY</v>
      </c>
      <c r="M211" s="6">
        <f t="shared" si="66"/>
        <v>4.2476851813262329E-3</v>
      </c>
      <c r="N211" s="7">
        <f t="shared" si="79"/>
        <v>6.1166666611097753</v>
      </c>
      <c r="O211" s="7"/>
      <c r="P211" s="7"/>
      <c r="Q211" s="22"/>
      <c r="R211" s="22"/>
      <c r="S211" s="31">
        <f t="shared" si="67"/>
        <v>1</v>
      </c>
      <c r="T211" s="46" t="str">
        <f t="shared" si="68"/>
        <v>Southbound</v>
      </c>
      <c r="U211" s="18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2" t="str">
        <f t="shared" si="69"/>
        <v>https://d0f6bd738d7f1b3e5a7ca70fe4ff75f0.us-east-1.aws.found.io/app/kibana#/discover/Steve-Slow-Train-Analysis-(2080s-and-2083s)?_g=(refreshInterval:(display:Off,pause:!f,section:0,value:0),time:(from:'2017-04-12T03:15:56-0600',mode:absolute,to:'2017-04-12T05:29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1" s="183" t="str">
        <f t="shared" si="70"/>
        <v>Y</v>
      </c>
      <c r="X211" s="183">
        <f t="shared" si="71"/>
        <v>1</v>
      </c>
      <c r="Y211" s="62">
        <f t="shared" si="72"/>
        <v>1.9642999999999999</v>
      </c>
      <c r="Z211" s="62">
        <f t="shared" si="73"/>
        <v>1.47E-2</v>
      </c>
      <c r="AA211" s="62">
        <f t="shared" si="74"/>
        <v>1.9496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75"/>
        <v>0310-12</v>
      </c>
      <c r="AE211" s="85" t="str">
        <f t="shared" si="76"/>
        <v>aws s3 cp s3://rtdc.mdm.uploadarchive.raw/RTDC4011/ "%USERPROFILE%\AppData\Local\Temp\OnboardLogs"\RTDC4011\2017-04-12 --exclude "*" --recursive --include "*20170412*" &amp; "%USERPROFILE%\Documents\GitHub\mrs-test-scripts\Headless Mode &amp; Sideloading\WalkAndUnGZ.bat" "%USERPROFILE%\AppData\Local\Temp\OnboardLogs"\RTDC4011\2017-04-12 &amp; aws s3 cp s3://rtdc.mdm.uploadarchive.raw/RTDC4011/ "%USERPROFILE%\AppData\Local\Temp\OnboardLogs"\RTDC4011\2017-04-13 --exclude "*" --recursive --include "*20170413*" &amp; "%USERPROFILE%\Documents\GitHub\mrs-test-scripts\Headless Mode &amp; Sideloading\WalkAndUnGZ.bat" "%USERPROFILE%\AppData\Local\Temp\OnboardLogs"\RTDC4011\2017-04-13</v>
      </c>
      <c r="AF211" s="82" t="str">
        <f t="shared" si="77"/>
        <v>"C:\Program Files (x86)\AstroGrep\AstroGrep.exe" /e /r /s /spath="%USERPROFILE%\AppData\Local\Temp\OnboardLogs" /stypes="app*4011*20170412*" /stext=" 10:.+((SYSTEM_STATE.+slice.+state.+changed )|(ment ac)|(multiple cpu faults)|(system.+state.+changed )|(\[timeout)|(PRM\|1\|D)|(kpr)|(kdp)|(\|lc)|(penalty))"</v>
      </c>
      <c r="AG211" s="1" t="str">
        <f t="shared" si="78"/>
        <v>Other</v>
      </c>
      <c r="AH211" s="86" t="str">
        <f t="shared" si="80"/>
        <v>"%USERPROFILE%\Documents\GitHub\eaglep3\Utilities\RefineRTDCRunTimes.py" --tripid 310-12 --locoid 4011 --swversion DE.1.0.9.0 --startMP 300:19643 --initTime 2017-04-12T04:15:56 --startdatetime 2017-04-12T04:23:15 --delay 7 --endMP 204:147 --enddatetime 2017-04-12T04:29:22 --enforcementcount 0 &gt;&gt;C:\Users\stu\Documents\GitHub\eaglep3-reporting\EC\2017-04-12-refined-times.txt</v>
      </c>
      <c r="AI211" s="104" t="str">
        <f t="shared" si="81"/>
        <v>echo {"issue":{"subject":"","project_id":79,"tracker_id":40,"status_id":1,"priority_id":2,"assigned_to_id":23,"start_date":"2017-04-12","description":"","custom_fields":[{"id":1,"name":"Subdivision","value":"Other"},{"id":4,"name":"Milepost","value":"0.0147"},{"id":17,"name":"Train ID","value":"310-12"},{"id":16,"name":"Locomotive ID","value":"4011"},{"id":130,"name":"Impact","value":""},{"id":150,"name":"Time of Event (Mountain Time)","value":"04:29:22"},{"id":151,"name":"Denver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8"/>
      <c r="AL211" s="48"/>
      <c r="AM211" s="150" t="str">
        <f t="shared" si="82"/>
        <v>start /low /b %USERPROFILE%\Documents\GitHub\eaglep3\Utilities\DownloadLogsFromS3.py --loco 4011 --day 2017-04-12</v>
      </c>
      <c r="AN211" s="159" t="str">
        <f t="shared" si="8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10:29:22"},{"id":29,"name":"Sharepoint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3" t="s">
        <v>862</v>
      </c>
      <c r="B212" s="7">
        <v>4042</v>
      </c>
      <c r="C212" s="21" t="s">
        <v>214</v>
      </c>
      <c r="D212" s="21" t="s">
        <v>391</v>
      </c>
      <c r="E212" s="13">
        <v>42838.031041666669</v>
      </c>
      <c r="F212" s="13">
        <v>42838.032812500001</v>
      </c>
      <c r="G212" s="7">
        <v>1</v>
      </c>
      <c r="H212" s="21" t="s">
        <v>595</v>
      </c>
      <c r="I212" s="13">
        <v>42838.041087962964</v>
      </c>
      <c r="J212" s="7">
        <v>0</v>
      </c>
      <c r="K212" s="97" t="str">
        <f t="shared" si="65"/>
        <v>4041/4042</v>
      </c>
      <c r="L212" s="21" t="str">
        <f>VLOOKUP(A212,'Trips&amp;Operators'!$C$1:$G$99999,5,FALSE)</f>
        <v>SWANSON BRYCE</v>
      </c>
      <c r="M212" s="6">
        <f t="shared" si="66"/>
        <v>8.2754629620467313E-3</v>
      </c>
      <c r="N212" s="7">
        <f t="shared" si="79"/>
        <v>11.916666665347293</v>
      </c>
      <c r="O212" s="7"/>
      <c r="P212" s="7"/>
      <c r="Q212" s="22"/>
      <c r="R212" s="22"/>
      <c r="S212" s="31">
        <f t="shared" si="67"/>
        <v>1</v>
      </c>
      <c r="T212" s="46" t="str">
        <f t="shared" si="68"/>
        <v>NorthBound</v>
      </c>
      <c r="U212" s="18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2" t="str">
        <f t="shared" si="69"/>
        <v>https://d0f6bd738d7f1b3e5a7ca70fe4ff75f0.us-east-1.aws.found.io/app/kibana#/discover/Steve-Slow-Train-Analysis-(2080s-and-2083s)?_g=(refreshInterval:(display:Off,pause:!f,section:0,value:0),time:(from:'2017-04-12T23:44:42-0600',mode:absolute,to:'2017-04-13T01:59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2" s="183" t="str">
        <f t="shared" si="70"/>
        <v>Y</v>
      </c>
      <c r="X212" s="183">
        <f t="shared" si="71"/>
        <v>5</v>
      </c>
      <c r="Y212" s="62">
        <f t="shared" si="72"/>
        <v>4.4900000000000002E-2</v>
      </c>
      <c r="Z212" s="62">
        <f t="shared" si="73"/>
        <v>2.3346</v>
      </c>
      <c r="AA212" s="62">
        <f t="shared" si="74"/>
        <v>2.2896999999999998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75"/>
        <v>0315-12</v>
      </c>
      <c r="AE212" s="85" t="str">
        <f t="shared" si="76"/>
        <v>aws s3 cp s3://rtdc.mdm.uploadarchive.raw/RTDC4042/ "%USERPROFILE%\AppData\Local\Temp\OnboardLogs"\RTDC4042\2017-04-13 --exclude "*" --recursive --include "*20170413*" &amp; "%USERPROFILE%\Documents\GitHub\mrs-test-scripts\Headless Mode &amp; Sideloading\WalkAndUnGZ.bat" "%USERPROFILE%\AppData\Local\Temp\OnboardLogs"\RTDC4042\2017-04-13 &amp; aws s3 cp s3://rtdc.mdm.uploadarchive.raw/RTDC4042/ "%USERPROFILE%\AppData\Local\Temp\OnboardLogs"\RTDC4042\2017-04-14 --exclude "*" --recursive --include "*20170414*" &amp; "%USERPROFILE%\Documents\GitHub\mrs-test-scripts\Headless Mode &amp; Sideloading\WalkAndUnGZ.bat" "%USERPROFILE%\AppData\Local\Temp\OnboardLogs"\RTDC4042\2017-04-14</v>
      </c>
      <c r="AF212" s="82" t="str">
        <f t="shared" si="77"/>
        <v>"C:\Program Files (x86)\AstroGrep\AstroGrep.exe" /e /r /s /spath="%USERPROFILE%\AppData\Local\Temp\OnboardLogs" /stypes="app*4042*20170413*" /stext=" 06:.+((SYSTEM_STATE.+slice.+state.+changed )|(ment ac)|(multiple cpu faults)|(system.+state.+changed )|(\[timeout)|(PRM\|1\|D)|(kpr)|(kdp)|(\|lc)|(penalty))"</v>
      </c>
      <c r="AG212" s="1" t="str">
        <f t="shared" si="78"/>
        <v>Other</v>
      </c>
      <c r="AH212" s="86" t="str">
        <f t="shared" si="80"/>
        <v>"%USERPROFILE%\Documents\GitHub\eaglep3\Utilities\RefineRTDCRunTimes.py" --tripid 315-12 --locoid 4042 --swversion DE.1.0.9.0 --startMP 204:449 --initTime 2017-04-13T00:44:42 --startdatetime 2017-04-13T00:47:15 --delay 1 --endMP 300:23346 --enddatetime 2017-04-13T00:59:10 --enforcementcount 0 &gt;&gt;C:\Users\stu\Documents\GitHub\eaglep3-reporting\EC\2017-04-12-refined-times.txt</v>
      </c>
      <c r="AI212" s="104" t="str">
        <f t="shared" si="81"/>
        <v>echo {"issue":{"subject":"","project_id":79,"tracker_id":40,"status_id":1,"priority_id":2,"assigned_to_id":23,"start_date":"2017-04-13","description":"","custom_fields":[{"id":1,"name":"Subdivision","value":"Other"},{"id":4,"name":"Milepost","value":"2.3346"},{"id":17,"name":"Train ID","value":"315-12"},{"id":16,"name":"Locomotive ID","value":"4042"},{"id":130,"name":"Impact","value":""},{"id":150,"name":"Time of Event (Mountain Time)","value":"00:59:10"},{"id":151,"name":"Denver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8"/>
      <c r="AL212" s="48"/>
      <c r="AM212" s="150" t="str">
        <f t="shared" si="82"/>
        <v>start /low /b %USERPROFILE%\Documents\GitHub\eaglep3\Utilities\DownloadLogsFromS3.py --loco 4042 --day 2017-04-13</v>
      </c>
      <c r="AN212" s="159" t="str">
        <f t="shared" si="8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06:59:10"},{"id":29,"name":"Sharepoint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3" t="s">
        <v>674</v>
      </c>
      <c r="B213" s="7">
        <v>4022</v>
      </c>
      <c r="C213" s="21" t="s">
        <v>214</v>
      </c>
      <c r="D213" s="21" t="s">
        <v>1015</v>
      </c>
      <c r="E213" s="13">
        <v>42837.199363425927</v>
      </c>
      <c r="F213" s="13">
        <v>42837.203136574077</v>
      </c>
      <c r="G213" s="7">
        <v>5</v>
      </c>
      <c r="H213" s="21" t="s">
        <v>1016</v>
      </c>
      <c r="I213" s="13">
        <v>42837.20815972222</v>
      </c>
      <c r="J213" s="7">
        <v>0</v>
      </c>
      <c r="K213" s="97" t="str">
        <f t="shared" si="65"/>
        <v>4021/4022</v>
      </c>
      <c r="L213" s="21" t="str">
        <f>VLOOKUP(A213,'Trips&amp;Operators'!$C$1:$G$99999,5,FALSE)</f>
        <v>YORK EDGAR</v>
      </c>
      <c r="M213" s="6">
        <f t="shared" si="66"/>
        <v>5.0231481436640024E-3</v>
      </c>
      <c r="N213" s="7">
        <f t="shared" si="79"/>
        <v>7.2333333268761635</v>
      </c>
      <c r="O213" s="7"/>
      <c r="P213" s="7"/>
      <c r="Q213" s="22"/>
      <c r="R213" s="22"/>
      <c r="S213" s="31">
        <f t="shared" si="67"/>
        <v>0</v>
      </c>
      <c r="T213" s="46" t="str">
        <f t="shared" si="68"/>
        <v>NorthBound</v>
      </c>
      <c r="U213" s="18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82" t="str">
        <f t="shared" si="69"/>
        <v>https://d0f6bd738d7f1b3e5a7ca70fe4ff75f0.us-east-1.aws.found.io/app/kibana#/discover/Steve-Slow-Train-Analysis-(2080s-and-2083s)?_g=(refreshInterval:(display:Off,pause:!f,section:0,value:0),time:(from:'2017-04-12T03:47:05-0600',mode:absolute,to:'2017-04-12T05:59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3" s="183" t="str">
        <f t="shared" si="70"/>
        <v>Y</v>
      </c>
      <c r="X213" s="183">
        <f t="shared" si="71"/>
        <v>586</v>
      </c>
      <c r="Y213" s="62">
        <f t="shared" si="72"/>
        <v>3.0179999999999998</v>
      </c>
      <c r="Z213" s="62">
        <f t="shared" si="73"/>
        <v>5.8921999999999999</v>
      </c>
      <c r="AA213" s="62">
        <f t="shared" si="74"/>
        <v>2.8742000000000001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75"/>
        <v>0901-12</v>
      </c>
      <c r="AE213" s="85" t="str">
        <f t="shared" si="76"/>
        <v>aws s3 cp s3://rtdc.mdm.uploadarchive.raw/RTDC4022/ "%USERPROFILE%\AppData\Local\Temp\OnboardLogs"\RTDC4022\2017-04-12 --exclude "*" --recursive --include "*20170412*" &amp; "%USERPROFILE%\Documents\GitHub\mrs-test-scripts\Headless Mode &amp; Sideloading\WalkAndUnGZ.bat" "%USERPROFILE%\AppData\Local\Temp\OnboardLogs"\RTDC4022\2017-04-12 &amp; aws s3 cp s3://rtdc.mdm.uploadarchive.raw/RTDC4022/ "%USERPROFILE%\AppData\Local\Temp\OnboardLogs"\RTDC4022\2017-04-13 --exclude "*" --recursive --include "*20170413*" &amp; "%USERPROFILE%\Documents\GitHub\mrs-test-scripts\Headless Mode &amp; Sideloading\WalkAndUnGZ.bat" "%USERPROFILE%\AppData\Local\Temp\OnboardLogs"\RTDC4022\2017-04-13</v>
      </c>
      <c r="AF213" s="82" t="str">
        <f t="shared" si="77"/>
        <v>"C:\Program Files (x86)\AstroGrep\AstroGrep.exe" /e /r /s /spath="%USERPROFILE%\AppData\Local\Temp\OnboardLogs" /stypes="app*4022*20170412*" /stext=" 10:.+((SYSTEM_STATE.+slice.+state.+changed )|(ment ac)|(multiple cpu faults)|(system.+state.+changed )|(\[timeout)|(PRM\|1\|D)|(kpr)|(kdp)|(\|lc)|(penalty))"</v>
      </c>
      <c r="AG213" s="1" t="str">
        <f t="shared" si="78"/>
        <v>Other</v>
      </c>
      <c r="AH213" s="86" t="str">
        <f t="shared" si="80"/>
        <v>"%USERPROFILE%\Documents\GitHub\eaglep3\Utilities\RefineRTDCRunTimes.py" --tripid 901-12 --locoid 4022 --swversion DE.1.0.9.0 --startMP 300:30180 --initTime 2017-04-12T04:47:05 --startdatetime 2017-04-12T04:52:31 --delay 5 --endMP 300:58922 --enddatetime 2017-04-12T04:59:45 --enforcementcount 0 &gt;&gt;C:\Users\stu\Documents\GitHub\eaglep3-reporting\EC\2017-04-12-refined-times.txt</v>
      </c>
      <c r="AI213" s="104" t="str">
        <f t="shared" si="81"/>
        <v>echo {"issue":{"subject":"","project_id":79,"tracker_id":40,"status_id":1,"priority_id":2,"assigned_to_id":23,"start_date":"2017-04-12","description":"","custom_fields":[{"id":1,"name":"Subdivision","value":"Other"},{"id":4,"name":"Milepost","value":"5.8922"},{"id":17,"name":"Train ID","value":"901-12"},{"id":16,"name":"Locomotive ID","value":"4022"},{"id":130,"name":"Impact","value":""},{"id":150,"name":"Time of Event (Mountain Time)","value":"04:59:45"},{"id":151,"name":"Denver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8"/>
      <c r="AL213" s="48"/>
      <c r="AM213" s="150" t="str">
        <f t="shared" si="82"/>
        <v>start /low /b %USERPROFILE%\Documents\GitHub\eaglep3\Utilities\DownloadLogsFromS3.py --loco 4022 --day 2017-04-12</v>
      </c>
      <c r="AN213" s="159" t="str">
        <f t="shared" si="8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10:59:45"},{"id":29,"name":"Sharepoint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3" t="s">
        <v>686</v>
      </c>
      <c r="B214" s="7">
        <v>4015</v>
      </c>
      <c r="C214" s="21" t="s">
        <v>214</v>
      </c>
      <c r="D214" s="21" t="s">
        <v>1017</v>
      </c>
      <c r="E214" s="13">
        <v>42837.250879629632</v>
      </c>
      <c r="F214" s="13">
        <v>42837.253634259258</v>
      </c>
      <c r="G214" s="7">
        <v>3</v>
      </c>
      <c r="H214" s="21" t="s">
        <v>1018</v>
      </c>
      <c r="I214" s="13">
        <v>42837.258900462963</v>
      </c>
      <c r="J214" s="7">
        <v>0</v>
      </c>
      <c r="K214" s="97" t="str">
        <f t="shared" si="65"/>
        <v>4015/4016</v>
      </c>
      <c r="L214" s="21" t="str">
        <f>VLOOKUP(A214,'Trips&amp;Operators'!$C$1:$G$99999,5,FALSE)</f>
        <v>LOZA FIDEL</v>
      </c>
      <c r="M214" s="6">
        <f t="shared" si="66"/>
        <v>5.2662037051049992E-3</v>
      </c>
      <c r="N214" s="7">
        <f t="shared" si="79"/>
        <v>7.5833333353511989</v>
      </c>
      <c r="O214" s="7"/>
      <c r="P214" s="7"/>
      <c r="Q214" s="22"/>
      <c r="R214" s="22"/>
      <c r="S214" s="31">
        <f t="shared" si="67"/>
        <v>1</v>
      </c>
      <c r="T214" s="46" t="str">
        <f t="shared" si="68"/>
        <v>Southbound</v>
      </c>
      <c r="U214" s="18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2" t="str">
        <f t="shared" si="69"/>
        <v>https://d0f6bd738d7f1b3e5a7ca70fe4ff75f0.us-east-1.aws.found.io/app/kibana#/discover/Steve-Slow-Train-Analysis-(2080s-and-2083s)?_g=(refreshInterval:(display:Off,pause:!f,section:0,value:0),time:(from:'2017-04-12T05:01:16-0600',mode:absolute,to:'2017-04-12T07:12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4" s="183" t="str">
        <f t="shared" si="70"/>
        <v>Y</v>
      </c>
      <c r="X214" s="183">
        <f t="shared" si="71"/>
        <v>1</v>
      </c>
      <c r="Y214" s="62">
        <f t="shared" si="72"/>
        <v>2.3347000000000002</v>
      </c>
      <c r="Z214" s="62">
        <f t="shared" si="73"/>
        <v>6.9199999999999998E-2</v>
      </c>
      <c r="AA214" s="62">
        <f t="shared" si="74"/>
        <v>2.2655000000000003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75"/>
        <v>0902-12</v>
      </c>
      <c r="AE214" s="85" t="str">
        <f t="shared" si="76"/>
        <v>aws s3 cp s3://rtdc.mdm.uploadarchive.raw/RTDC4015/ "%USERPROFILE%\AppData\Local\Temp\OnboardLogs"\RTDC4015\2017-04-12 --exclude "*" --recursive --include "*20170412*" &amp; "%USERPROFILE%\Documents\GitHub\mrs-test-scripts\Headless Mode &amp; Sideloading\WalkAndUnGZ.bat" "%USERPROFILE%\AppData\Local\Temp\OnboardLogs"\RTDC4015\2017-04-12 &amp; aws s3 cp s3://rtdc.mdm.uploadarchive.raw/RTDC4015/ "%USERPROFILE%\AppData\Local\Temp\OnboardLogs"\RTDC4015\2017-04-13 --exclude "*" --recursive --include "*20170413*" &amp; "%USERPROFILE%\Documents\GitHub\mrs-test-scripts\Headless Mode &amp; Sideloading\WalkAndUnGZ.bat" "%USERPROFILE%\AppData\Local\Temp\OnboardLogs"\RTDC4015\2017-04-13</v>
      </c>
      <c r="AF214" s="82" t="str">
        <f t="shared" si="77"/>
        <v>"C:\Program Files (x86)\AstroGrep\AstroGrep.exe" /e /r /s /spath="%USERPROFILE%\AppData\Local\Temp\OnboardLogs" /stypes="app*4015*20170412*" /stext=" 12:.+((SYSTEM_STATE.+slice.+state.+changed )|(ment ac)|(multiple cpu faults)|(system.+state.+changed )|(\[timeout)|(PRM\|1\|D)|(kpr)|(kdp)|(\|lc)|(penalty))"</v>
      </c>
      <c r="AG214" s="1" t="str">
        <f t="shared" si="78"/>
        <v>Other</v>
      </c>
      <c r="AH214" s="86" t="str">
        <f t="shared" si="80"/>
        <v>"%USERPROFILE%\Documents\GitHub\eaglep3\Utilities\RefineRTDCRunTimes.py" --tripid 902-12 --locoid 4015 --swversion DE.1.0.9.0 --startMP 300:23347 --initTime 2017-04-12T06:01:16 --startdatetime 2017-04-12T06:05:14 --delay 3 --endMP 204:692 --enddatetime 2017-04-12T06:12:49 --enforcementcount 0 &gt;&gt;C:\Users\stu\Documents\GitHub\eaglep3-reporting\EC\2017-04-12-refined-times.txt</v>
      </c>
      <c r="AI214" s="104" t="str">
        <f t="shared" si="81"/>
        <v>echo {"issue":{"subject":"","project_id":79,"tracker_id":40,"status_id":1,"priority_id":2,"assigned_to_id":23,"start_date":"2017-04-12","description":"","custom_fields":[{"id":1,"name":"Subdivision","value":"Other"},{"id":4,"name":"Milepost","value":"0.0692"},{"id":17,"name":"Train ID","value":"902-12"},{"id":16,"name":"Locomotive ID","value":"4015"},{"id":130,"name":"Impact","value":""},{"id":150,"name":"Time of Event (Mountain Time)","value":"06:12:49"},{"id":151,"name":"Denver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8"/>
      <c r="AL214" s="48"/>
      <c r="AM214" s="150" t="str">
        <f t="shared" si="82"/>
        <v>start /low /b %USERPROFILE%\Documents\GitHub\eaglep3\Utilities\DownloadLogsFromS3.py --loco 4015 --day 2017-04-12</v>
      </c>
      <c r="AN214" s="159" t="str">
        <f t="shared" si="8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12:12:49"},{"id":29,"name":"Sharepoint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3" t="s">
        <v>716</v>
      </c>
      <c r="B215" s="7">
        <v>4022</v>
      </c>
      <c r="C215" s="21" t="s">
        <v>214</v>
      </c>
      <c r="D215" s="21" t="s">
        <v>1019</v>
      </c>
      <c r="E215" s="13">
        <v>42837.352187500001</v>
      </c>
      <c r="F215" s="13">
        <v>42837.353275462963</v>
      </c>
      <c r="G215" s="7">
        <v>0</v>
      </c>
      <c r="H215" s="21" t="s">
        <v>1020</v>
      </c>
      <c r="I215" s="13">
        <v>42837.358576388891</v>
      </c>
      <c r="J215" s="7">
        <v>0</v>
      </c>
      <c r="K215" s="97" t="str">
        <f t="shared" si="65"/>
        <v>4021/4022</v>
      </c>
      <c r="L215" s="21" t="str">
        <f>VLOOKUP(A215,'Trips&amp;Operators'!$C$1:$G$99999,5,FALSE)</f>
        <v>YORK EDGAR</v>
      </c>
      <c r="M215" s="6">
        <f t="shared" si="66"/>
        <v>5.3009259281679988E-3</v>
      </c>
      <c r="N215" s="7">
        <f t="shared" si="79"/>
        <v>7.6333333365619183</v>
      </c>
      <c r="O215" s="7"/>
      <c r="P215" s="7"/>
      <c r="Q215" s="22"/>
      <c r="R215" s="22"/>
      <c r="S215" s="31">
        <f t="shared" si="67"/>
        <v>1</v>
      </c>
      <c r="T215" s="46" t="str">
        <f t="shared" si="68"/>
        <v>NorthBound</v>
      </c>
      <c r="U215" s="18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2" t="str">
        <f t="shared" si="69"/>
        <v>https://d0f6bd738d7f1b3e5a7ca70fe4ff75f0.us-east-1.aws.found.io/app/kibana#/discover/Steve-Slow-Train-Analysis-(2080s-and-2083s)?_g=(refreshInterval:(display:Off,pause:!f,section:0,value:0),time:(from:'2017-04-12T07:27:09-0600',mode:absolute,to:'2017-04-12T09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5" s="183" t="str">
        <f t="shared" si="70"/>
        <v>Y</v>
      </c>
      <c r="X215" s="183">
        <f t="shared" si="71"/>
        <v>1</v>
      </c>
      <c r="Y215" s="62">
        <f t="shared" si="72"/>
        <v>0.11</v>
      </c>
      <c r="Z215" s="62">
        <f t="shared" si="73"/>
        <v>2.4237000000000002</v>
      </c>
      <c r="AA215" s="62">
        <f t="shared" si="74"/>
        <v>2.3137000000000003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75"/>
        <v>0903-12</v>
      </c>
      <c r="AE215" s="85" t="str">
        <f t="shared" si="76"/>
        <v>aws s3 cp s3://rtdc.mdm.uploadarchive.raw/RTDC4022/ "%USERPROFILE%\AppData\Local\Temp\OnboardLogs"\RTDC4022\2017-04-12 --exclude "*" --recursive --include "*20170412*" &amp; "%USERPROFILE%\Documents\GitHub\mrs-test-scripts\Headless Mode &amp; Sideloading\WalkAndUnGZ.bat" "%USERPROFILE%\AppData\Local\Temp\OnboardLogs"\RTDC4022\2017-04-12 &amp; aws s3 cp s3://rtdc.mdm.uploadarchive.raw/RTDC4022/ "%USERPROFILE%\AppData\Local\Temp\OnboardLogs"\RTDC4022\2017-04-13 --exclude "*" --recursive --include "*20170413*" &amp; "%USERPROFILE%\Documents\GitHub\mrs-test-scripts\Headless Mode &amp; Sideloading\WalkAndUnGZ.bat" "%USERPROFILE%\AppData\Local\Temp\OnboardLogs"\RTDC4022\2017-04-13</v>
      </c>
      <c r="AF215" s="82" t="str">
        <f t="shared" si="77"/>
        <v>"C:\Program Files (x86)\AstroGrep\AstroGrep.exe" /e /r /s /spath="%USERPROFILE%\AppData\Local\Temp\OnboardLogs" /stypes="app*4022*20170412*" /stext=" 14:.+((SYSTEM_STATE.+slice.+state.+changed )|(ment ac)|(multiple cpu faults)|(system.+state.+changed )|(\[timeout)|(PRM\|1\|D)|(kpr)|(kdp)|(\|lc)|(penalty))"</v>
      </c>
      <c r="AG215" s="1" t="str">
        <f t="shared" si="78"/>
        <v>Other</v>
      </c>
      <c r="AH215" s="86" t="str">
        <f t="shared" si="80"/>
        <v>"%USERPROFILE%\Documents\GitHub\eaglep3\Utilities\RefineRTDCRunTimes.py" --tripid 903-12 --locoid 4022 --swversion DE.1.0.9.0 --startMP 204:1100 --initTime 2017-04-12T08:27:09 --startdatetime 2017-04-12T08:28:43 --delay 0 --endMP 300:24237 --enddatetime 2017-04-12T08:36:21 --enforcementcount 0 &gt;&gt;C:\Users\stu\Documents\GitHub\eaglep3-reporting\EC\2017-04-12-refined-times.txt</v>
      </c>
      <c r="AI215" s="104" t="str">
        <f t="shared" si="81"/>
        <v>echo {"issue":{"subject":"","project_id":79,"tracker_id":40,"status_id":1,"priority_id":2,"assigned_to_id":23,"start_date":"2017-04-12","description":"","custom_fields":[{"id":1,"name":"Subdivision","value":"Other"},{"id":4,"name":"Milepost","value":"2.4237"},{"id":17,"name":"Train ID","value":"903-12"},{"id":16,"name":"Locomotive ID","value":"4022"},{"id":130,"name":"Impact","value":""},{"id":150,"name":"Time of Event (Mountain Time)","value":"08:36:21"},{"id":151,"name":"Denver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8"/>
      <c r="AL215" s="48"/>
      <c r="AM215" s="150" t="str">
        <f t="shared" si="82"/>
        <v>start /low /b %USERPROFILE%\Documents\GitHub\eaglep3\Utilities\DownloadLogsFromS3.py --loco 4022 --day 2017-04-12</v>
      </c>
      <c r="AN215" s="159" t="str">
        <f t="shared" si="8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14:36:21"},{"id":29,"name":"Sharepoint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3" t="s">
        <v>781</v>
      </c>
      <c r="B216" s="7">
        <v>4021</v>
      </c>
      <c r="C216" s="21" t="s">
        <v>214</v>
      </c>
      <c r="D216" s="21" t="s">
        <v>1021</v>
      </c>
      <c r="E216" s="13">
        <v>42837.64371527778</v>
      </c>
      <c r="F216" s="13">
        <v>42837.647106481483</v>
      </c>
      <c r="G216" s="7">
        <v>3</v>
      </c>
      <c r="H216" s="21" t="s">
        <v>1005</v>
      </c>
      <c r="I216" s="13">
        <v>42837.653298611112</v>
      </c>
      <c r="J216" s="7">
        <v>0</v>
      </c>
      <c r="K216" s="97" t="str">
        <f t="shared" si="65"/>
        <v>4021/4022</v>
      </c>
      <c r="L216" s="21" t="str">
        <f>VLOOKUP(A216,'Trips&amp;Operators'!$C$1:$G$99999,5,FALSE)</f>
        <v>CHANDLER KELVIN</v>
      </c>
      <c r="M216" s="6">
        <f t="shared" si="66"/>
        <v>6.1921296291984618E-3</v>
      </c>
      <c r="N216" s="7">
        <f t="shared" si="79"/>
        <v>8.916666666045785</v>
      </c>
      <c r="O216" s="7"/>
      <c r="P216" s="7"/>
      <c r="Q216" s="22"/>
      <c r="R216" s="22"/>
      <c r="S216" s="31">
        <f t="shared" si="67"/>
        <v>1</v>
      </c>
      <c r="T216" s="46" t="str">
        <f t="shared" si="68"/>
        <v>Southbound</v>
      </c>
      <c r="U216" s="18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2" t="str">
        <f t="shared" si="69"/>
        <v>https://d0f6bd738d7f1b3e5a7ca70fe4ff75f0.us-east-1.aws.found.io/app/kibana#/discover/Steve-Slow-Train-Analysis-(2080s-and-2083s)?_g=(refreshInterval:(display:Off,pause:!f,section:0,value:0),time:(from:'2017-04-12T14:26:57-0600',mode:absolute,to:'2017-04-12T16:40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6" s="183" t="str">
        <f t="shared" si="70"/>
        <v>Y</v>
      </c>
      <c r="X216" s="183">
        <f t="shared" si="71"/>
        <v>1</v>
      </c>
      <c r="Y216" s="62">
        <f t="shared" si="72"/>
        <v>2.3420999999999998</v>
      </c>
      <c r="Z216" s="62">
        <f t="shared" si="73"/>
        <v>6.6100000000000006E-2</v>
      </c>
      <c r="AA216" s="62">
        <f t="shared" si="74"/>
        <v>2.2759999999999998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75"/>
        <v>0904-12</v>
      </c>
      <c r="AE216" s="85" t="str">
        <f t="shared" si="76"/>
        <v>aws s3 cp s3://rtdc.mdm.uploadarchive.raw/RTDC4021/ "%USERPROFILE%\AppData\Local\Temp\OnboardLogs"\RTDC4021\2017-04-12 --exclude "*" --recursive --include "*20170412*" &amp; "%USERPROFILE%\Documents\GitHub\mrs-test-scripts\Headless Mode &amp; Sideloading\WalkAndUnGZ.bat" "%USERPROFILE%\AppData\Local\Temp\OnboardLogs"\RTDC4021\2017-04-12 &amp; aws s3 cp s3://rtdc.mdm.uploadarchive.raw/RTDC4021/ "%USERPROFILE%\AppData\Local\Temp\OnboardLogs"\RTDC4021\2017-04-13 --exclude "*" --recursive --include "*20170413*" &amp; "%USERPROFILE%\Documents\GitHub\mrs-test-scripts\Headless Mode &amp; Sideloading\WalkAndUnGZ.bat" "%USERPROFILE%\AppData\Local\Temp\OnboardLogs"\RTDC4021\2017-04-13</v>
      </c>
      <c r="AF216" s="82" t="str">
        <f t="shared" si="77"/>
        <v>"C:\Program Files (x86)\AstroGrep\AstroGrep.exe" /e /r /s /spath="%USERPROFILE%\AppData\Local\Temp\OnboardLogs" /stypes="app*4021*20170412*" /stext=" 21:.+((SYSTEM_STATE.+slice.+state.+changed )|(ment ac)|(multiple cpu faults)|(system.+state.+changed )|(\[timeout)|(PRM\|1\|D)|(kpr)|(kdp)|(\|lc)|(penalty))"</v>
      </c>
      <c r="AG216" s="1" t="str">
        <f t="shared" si="78"/>
        <v>Other</v>
      </c>
      <c r="AH216" s="86" t="str">
        <f t="shared" si="80"/>
        <v>"%USERPROFILE%\Documents\GitHub\eaglep3\Utilities\RefineRTDCRunTimes.py" --tripid 904-12 --locoid 4021 --swversion DE.1.0.9.0 --startMP 300:23421 --initTime 2017-04-12T15:26:57 --startdatetime 2017-04-12T15:31:50 --delay 3 --endMP 204:661 --enddatetime 2017-04-12T15:40:45 --enforcementcount 0 &gt;&gt;C:\Users\stu\Documents\GitHub\eaglep3-reporting\EC\2017-04-12-refined-times.txt</v>
      </c>
      <c r="AI216" s="104" t="str">
        <f t="shared" si="81"/>
        <v>echo {"issue":{"subject":"","project_id":79,"tracker_id":40,"status_id":1,"priority_id":2,"assigned_to_id":23,"start_date":"2017-04-12","description":"","custom_fields":[{"id":1,"name":"Subdivision","value":"Other"},{"id":4,"name":"Milepost","value":"0.0661"},{"id":17,"name":"Train ID","value":"904-12"},{"id":16,"name":"Locomotive ID","value":"4021"},{"id":130,"name":"Impact","value":""},{"id":150,"name":"Time of Event (Mountain Time)","value":"15:40:45"},{"id":151,"name":"Denver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8"/>
      <c r="AL216" s="48"/>
      <c r="AM216" s="150" t="str">
        <f t="shared" si="82"/>
        <v>start /low /b %USERPROFILE%\Documents\GitHub\eaglep3\Utilities\DownloadLogsFromS3.py --loco 4021 --day 2017-04-12</v>
      </c>
      <c r="AN216" s="159" t="str">
        <f t="shared" si="8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21:40:45"},{"id":29,"name":"Sharepoint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3" t="s">
        <v>831</v>
      </c>
      <c r="B217" s="7">
        <v>4021</v>
      </c>
      <c r="C217" s="21" t="s">
        <v>214</v>
      </c>
      <c r="D217" s="21" t="s">
        <v>608</v>
      </c>
      <c r="E217" s="13">
        <v>42837.798171296294</v>
      </c>
      <c r="F217" s="13">
        <v>42837.799780092595</v>
      </c>
      <c r="G217" s="7">
        <v>1</v>
      </c>
      <c r="H217" s="21" t="s">
        <v>1022</v>
      </c>
      <c r="I217" s="13">
        <v>42837.807847222219</v>
      </c>
      <c r="J217" s="7">
        <v>0</v>
      </c>
      <c r="K217" s="97" t="str">
        <f t="shared" si="65"/>
        <v>4021/4022</v>
      </c>
      <c r="L217" s="21" t="str">
        <f>VLOOKUP(A217,'Trips&amp;Operators'!$C$1:$G$99999,5,FALSE)</f>
        <v>CHANDLER KELVIN</v>
      </c>
      <c r="M217" s="6">
        <f t="shared" si="66"/>
        <v>8.067129623668734E-3</v>
      </c>
      <c r="N217" s="7">
        <f t="shared" si="79"/>
        <v>11.616666658082977</v>
      </c>
      <c r="O217" s="7"/>
      <c r="P217" s="7"/>
      <c r="Q217" s="22"/>
      <c r="R217" s="22"/>
      <c r="S217" s="31">
        <f t="shared" si="67"/>
        <v>0</v>
      </c>
      <c r="T217" s="46" t="str">
        <f t="shared" si="68"/>
        <v>Southbound</v>
      </c>
      <c r="U217" s="18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2" t="str">
        <f t="shared" si="69"/>
        <v>https://d0f6bd738d7f1b3e5a7ca70fe4ff75f0.us-east-1.aws.found.io/app/kibana#/discover/Steve-Slow-Train-Analysis-(2080s-and-2083s)?_g=(refreshInterval:(display:Off,pause:!f,section:0,value:0),time:(from:'2017-04-12T18:09:22-0600',mode:absolute,to:'2017-04-12T20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7" s="183" t="str">
        <f t="shared" si="70"/>
        <v>Y</v>
      </c>
      <c r="X217" s="183">
        <f t="shared" si="71"/>
        <v>2</v>
      </c>
      <c r="Y217" s="62">
        <f t="shared" si="72"/>
        <v>5.8659999999999997</v>
      </c>
      <c r="Z217" s="62">
        <f t="shared" si="73"/>
        <v>2.8780000000000001</v>
      </c>
      <c r="AA217" s="62">
        <f t="shared" si="74"/>
        <v>2.9879999999999995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75"/>
        <v>0906-12</v>
      </c>
      <c r="AE217" s="85" t="str">
        <f t="shared" si="76"/>
        <v>aws s3 cp s3://rtdc.mdm.uploadarchive.raw/RTDC4021/ "%USERPROFILE%\AppData\Local\Temp\OnboardLogs"\RTDC4021\2017-04-12 --exclude "*" --recursive --include "*20170412*" &amp; "%USERPROFILE%\Documents\GitHub\mrs-test-scripts\Headless Mode &amp; Sideloading\WalkAndUnGZ.bat" "%USERPROFILE%\AppData\Local\Temp\OnboardLogs"\RTDC4021\2017-04-12 &amp; aws s3 cp s3://rtdc.mdm.uploadarchive.raw/RTDC4021/ "%USERPROFILE%\AppData\Local\Temp\OnboardLogs"\RTDC4021\2017-04-13 --exclude "*" --recursive --include "*20170413*" &amp; "%USERPROFILE%\Documents\GitHub\mrs-test-scripts\Headless Mode &amp; Sideloading\WalkAndUnGZ.bat" "%USERPROFILE%\AppData\Local\Temp\OnboardLogs"\RTDC4021\2017-04-13</v>
      </c>
      <c r="AF217" s="82" t="str">
        <f t="shared" si="77"/>
        <v>"C:\Program Files (x86)\AstroGrep\AstroGrep.exe" /e /r /s /spath="%USERPROFILE%\AppData\Local\Temp\OnboardLogs" /stypes="app*4021*20170413*" /stext=" 01:.+((SYSTEM_STATE.+slice.+state.+changed )|(ment ac)|(multiple cpu faults)|(system.+state.+changed )|(\[timeout)|(PRM\|1\|D)|(kpr)|(kdp)|(\|lc)|(penalty))"</v>
      </c>
      <c r="AG217" s="1" t="str">
        <f t="shared" si="78"/>
        <v>Other</v>
      </c>
      <c r="AH217" s="86" t="str">
        <f t="shared" si="80"/>
        <v>"%USERPROFILE%\Documents\GitHub\eaglep3\Utilities\RefineRTDCRunTimes.py" --tripid 906-12 --locoid 4021 --swversion DE.1.0.9.0 --startMP 300:58660 --initTime 2017-04-12T19:09:22 --startdatetime 2017-04-12T19:11:41 --delay 1 --endMP 300:28780 --enddatetime 2017-04-12T19:23:18 --enforcementcount 0 &gt;&gt;C:\Users\stu\Documents\GitHub\eaglep3-reporting\EC\2017-04-12-refined-times.txt</v>
      </c>
      <c r="AI217" s="104" t="str">
        <f t="shared" si="81"/>
        <v>echo {"issue":{"subject":"","project_id":79,"tracker_id":40,"status_id":1,"priority_id":2,"assigned_to_id":23,"start_date":"2017-04-12","description":"","custom_fields":[{"id":1,"name":"Subdivision","value":"Other"},{"id":4,"name":"Milepost","value":"2.878"},{"id":17,"name":"Train ID","value":"906-12"},{"id":16,"name":"Locomotive ID","value":"4021"},{"id":130,"name":"Impact","value":""},{"id":150,"name":"Time of Event (Mountain Time)","value":"19:23:18"},{"id":151,"name":"Denver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8"/>
      <c r="AL217" s="48"/>
      <c r="AM217" s="150" t="str">
        <f t="shared" si="82"/>
        <v>start /low /b %USERPROFILE%\Documents\GitHub\eaglep3\Utilities\DownloadLogsFromS3.py --loco 4021 --day 2017-04-12</v>
      </c>
      <c r="AN217" s="159" t="str">
        <f t="shared" si="8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01:23:18"},{"id":29,"name":"Sharepoint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3" t="s">
        <v>853</v>
      </c>
      <c r="B218" s="7">
        <v>4015</v>
      </c>
      <c r="C218" s="21" t="s">
        <v>214</v>
      </c>
      <c r="D218" s="21" t="s">
        <v>1023</v>
      </c>
      <c r="E218" s="13">
        <v>42837.943935185183</v>
      </c>
      <c r="F218" s="13">
        <v>42837.945150462961</v>
      </c>
      <c r="G218" s="7">
        <v>1</v>
      </c>
      <c r="H218" s="21" t="s">
        <v>1024</v>
      </c>
      <c r="I218" s="13">
        <v>42837.95071759259</v>
      </c>
      <c r="J218" s="7">
        <v>0</v>
      </c>
      <c r="K218" s="97" t="str">
        <f t="shared" si="65"/>
        <v>4015/4016</v>
      </c>
      <c r="L218" s="21" t="str">
        <f>VLOOKUP(A218,'Trips&amp;Operators'!$C$1:$G$99999,5,FALSE)</f>
        <v>CHANDLER KELVIN</v>
      </c>
      <c r="M218" s="6">
        <f t="shared" si="66"/>
        <v>5.5671296286163852E-3</v>
      </c>
      <c r="N218" s="7">
        <f t="shared" si="79"/>
        <v>8.0166666652075946</v>
      </c>
      <c r="O218" s="7"/>
      <c r="P218" s="7"/>
      <c r="Q218" s="22"/>
      <c r="R218" s="22"/>
      <c r="S218" s="31">
        <f t="shared" si="67"/>
        <v>0</v>
      </c>
      <c r="T218" s="46" t="str">
        <f t="shared" si="68"/>
        <v>Southbound</v>
      </c>
      <c r="U218" s="18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82" t="str">
        <f t="shared" si="69"/>
        <v>https://d0f6bd738d7f1b3e5a7ca70fe4ff75f0.us-east-1.aws.found.io/app/kibana#/discover/Steve-Slow-Train-Analysis-(2080s-and-2083s)?_g=(refreshInterval:(display:Off,pause:!f,section:0,value:0),time:(from:'2017-04-12T21:39:16-0600',mode:absolute,to:'2017-04-12T23:49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8" s="183" t="str">
        <f t="shared" si="70"/>
        <v>Y</v>
      </c>
      <c r="X218" s="183">
        <f t="shared" si="71"/>
        <v>2</v>
      </c>
      <c r="Y218" s="62">
        <f t="shared" si="72"/>
        <v>5.8682999999999996</v>
      </c>
      <c r="Z218" s="62">
        <f t="shared" si="73"/>
        <v>2.1627000000000001</v>
      </c>
      <c r="AA218" s="62">
        <f t="shared" si="74"/>
        <v>3.7055999999999996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75"/>
        <v>0908-12</v>
      </c>
      <c r="AE218" s="85" t="str">
        <f t="shared" si="76"/>
        <v>aws s3 cp s3://rtdc.mdm.uploadarchive.raw/RTDC4015/ "%USERPROFILE%\AppData\Local\Temp\OnboardLogs"\RTDC4015\2017-04-12 --exclude "*" --recursive --include "*20170412*" &amp; "%USERPROFILE%\Documents\GitHub\mrs-test-scripts\Headless Mode &amp; Sideloading\WalkAndUnGZ.bat" "%USERPROFILE%\AppData\Local\Temp\OnboardLogs"\RTDC4015\2017-04-12 &amp; aws s3 cp s3://rtdc.mdm.uploadarchive.raw/RTDC4015/ "%USERPROFILE%\AppData\Local\Temp\OnboardLogs"\RTDC4015\2017-04-13 --exclude "*" --recursive --include "*20170413*" &amp; "%USERPROFILE%\Documents\GitHub\mrs-test-scripts\Headless Mode &amp; Sideloading\WalkAndUnGZ.bat" "%USERPROFILE%\AppData\Local\Temp\OnboardLogs"\RTDC4015\2017-04-13</v>
      </c>
      <c r="AF218" s="82" t="str">
        <f t="shared" si="77"/>
        <v>"C:\Program Files (x86)\AstroGrep\AstroGrep.exe" /e /r /s /spath="%USERPROFILE%\AppData\Local\Temp\OnboardLogs" /stypes="app*4015*20170413*" /stext=" 04:.+((SYSTEM_STATE.+slice.+state.+changed )|(ment ac)|(multiple cpu faults)|(system.+state.+changed )|(\[timeout)|(PRM\|1\|D)|(kpr)|(kdp)|(\|lc)|(penalty))"</v>
      </c>
      <c r="AG218" s="1" t="str">
        <f t="shared" si="78"/>
        <v>Other</v>
      </c>
      <c r="AH218" s="86" t="str">
        <f t="shared" si="80"/>
        <v>"%USERPROFILE%\Documents\GitHub\eaglep3\Utilities\RefineRTDCRunTimes.py" --tripid 908-12 --locoid 4015 --swversion DE.1.0.9.0 --startMP 300:58683 --initTime 2017-04-12T22:39:16 --startdatetime 2017-04-12T22:41:01 --delay 1 --endMP 300:21627 --enddatetime 2017-04-12T22:49:02 --enforcementcount 0 &gt;&gt;C:\Users\stu\Documents\GitHub\eaglep3-reporting\EC\2017-04-12-refined-times.txt</v>
      </c>
      <c r="AI218" s="104" t="str">
        <f t="shared" si="81"/>
        <v>echo {"issue":{"subject":"","project_id":79,"tracker_id":40,"status_id":1,"priority_id":2,"assigned_to_id":23,"start_date":"2017-04-12","description":"","custom_fields":[{"id":1,"name":"Subdivision","value":"Other"},{"id":4,"name":"Milepost","value":"2.1627"},{"id":17,"name":"Train ID","value":"908-12"},{"id":16,"name":"Locomotive ID","value":"4015"},{"id":130,"name":"Impact","value":""},{"id":150,"name":"Time of Event (Mountain Time)","value":"22:49:02"},{"id":151,"name":"Denver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8"/>
      <c r="AL218" s="48"/>
      <c r="AM218" s="150" t="str">
        <f t="shared" si="82"/>
        <v>start /low /b %USERPROFILE%\Documents\GitHub\eaglep3\Utilities\DownloadLogsFromS3.py --loco 4015 --day 2017-04-12</v>
      </c>
      <c r="AN218" s="159" t="str">
        <f t="shared" si="8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04:49:02"},{"id":29,"name":"Sharepoint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3" t="s">
        <v>659</v>
      </c>
      <c r="B219" s="7">
        <v>4041</v>
      </c>
      <c r="C219" s="21" t="s">
        <v>214</v>
      </c>
      <c r="D219" s="21" t="s">
        <v>950</v>
      </c>
      <c r="E219" s="13">
        <v>42837.142002314817</v>
      </c>
      <c r="F219" s="13">
        <v>42837.143263888887</v>
      </c>
      <c r="G219" s="7">
        <v>0</v>
      </c>
      <c r="H219" s="21" t="s">
        <v>951</v>
      </c>
      <c r="I219" s="13">
        <v>42837.16201388889</v>
      </c>
      <c r="J219" s="7">
        <v>0</v>
      </c>
      <c r="K219" s="97" t="str">
        <f t="shared" si="65"/>
        <v>4041/4042</v>
      </c>
      <c r="L219" s="21" t="str">
        <f>VLOOKUP(A219,'Trips&amp;Operators'!$C$1:$G$99999,5,FALSE)</f>
        <v>YANAI IAN</v>
      </c>
      <c r="M219" s="6">
        <f t="shared" si="66"/>
        <v>1.8750000002910383E-2</v>
      </c>
      <c r="N219" s="7">
        <f t="shared" si="79"/>
        <v>27.000000004190952</v>
      </c>
      <c r="O219" s="7"/>
      <c r="P219" s="7"/>
      <c r="Q219" s="22"/>
      <c r="R219" s="22"/>
      <c r="S219" s="31">
        <f t="shared" si="67"/>
        <v>0</v>
      </c>
      <c r="T219" s="46" t="e">
        <f t="shared" si="68"/>
        <v>#VALUE!</v>
      </c>
      <c r="U219" s="18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2" t="str">
        <f t="shared" si="69"/>
        <v>https://d0f6bd738d7f1b3e5a7ca70fe4ff75f0.us-east-1.aws.found.io/app/kibana#/discover/Steve-Slow-Train-Analysis-(2080s-and-2083s)?_g=(refreshInterval:(display:Off,pause:!f,section:0,value:0),time:(from:'2017-04-12T02:24:29-0600',mode:absolute,to:'2017-04-12T04:53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9" s="183" t="str">
        <f t="shared" si="70"/>
        <v>N</v>
      </c>
      <c r="X219" s="183" t="e">
        <f t="shared" si="71"/>
        <v>#VALUE!</v>
      </c>
      <c r="Y219" s="62">
        <f t="shared" si="72"/>
        <v>10.6585</v>
      </c>
      <c r="Z219" s="62">
        <f t="shared" si="73"/>
        <v>9.35E-2</v>
      </c>
      <c r="AA219" s="62">
        <f t="shared" si="74"/>
        <v>10.565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75"/>
        <v>50-12</v>
      </c>
      <c r="AE219" s="85" t="str">
        <f t="shared" si="76"/>
        <v>aws s3 cp s3://rtdc.mdm.uploadarchive.raw/RTDC4041/ "%USERPROFILE%\AppData\Local\Temp\OnboardLogs"\RTDC4041\2017-04-12 --exclude "*" --recursive --include "*20170412*" &amp; "%USERPROFILE%\Documents\GitHub\mrs-test-scripts\Headless Mode &amp; Sideloading\WalkAndUnGZ.bat" "%USERPROFILE%\AppData\Local\Temp\OnboardLogs"\RTDC4041\2017-04-12 &amp; aws s3 cp s3://rtdc.mdm.uploadarchive.raw/RTDC4041/ "%USERPROFILE%\AppData\Local\Temp\OnboardLogs"\RTDC4041\2017-04-13 --exclude "*" --recursive --include "*20170413*" &amp; "%USERPROFILE%\Documents\GitHub\mrs-test-scripts\Headless Mode &amp; Sideloading\WalkAndUnGZ.bat" "%USERPROFILE%\AppData\Local\Temp\OnboardLogs"\RTDC4041\2017-04-13</v>
      </c>
      <c r="AF219" s="82" t="str">
        <f t="shared" si="77"/>
        <v>"C:\Program Files (x86)\AstroGrep\AstroGrep.exe" /e /r /s /spath="%USERPROFILE%\AppData\Local\Temp\OnboardLogs" /stypes="app*4041*20170412*" /stext=" 09:.+((SYSTEM_STATE.+slice.+state.+changed )|(ment ac)|(multiple cpu faults)|(system.+state.+changed )|(\[timeout)|(PRM\|1\|D)|(kpr)|(kdp)|(\|lc)|(penalty))"</v>
      </c>
      <c r="AG219" s="1" t="str">
        <f t="shared" si="78"/>
        <v>Other</v>
      </c>
      <c r="AH219" s="86" t="str">
        <f t="shared" si="80"/>
        <v>"%USERPROFILE%\Documents\GitHub\eaglep3\Utilities\RefineRTDCRunTimes.py" --tripid 50-12 --locoid 4041 --swversion DE.1.0.9.0 --startMP 204:106585 --initTime 2017-04-12T03:24:29 --startdatetime 2017-04-12T03:26:18 --delay 0 --endMP 204:935 --enddatetime 2017-04-12T03:53:18 --enforcementcount 0 &gt;&gt;C:\Users\stu\Documents\GitHub\eaglep3-reporting\EC\2017-04-12-refined-times.txt</v>
      </c>
      <c r="AI219" s="104" t="str">
        <f t="shared" si="81"/>
        <v>echo {"issue":{"subject":"","project_id":79,"tracker_id":40,"status_id":1,"priority_id":2,"assigned_to_id":23,"start_date":"2017-04-12","description":"","custom_fields":[{"id":1,"name":"Subdivision","value":"Other"},{"id":4,"name":"Milepost","value":"0.0935"},{"id":17,"name":"Train ID","value":"50-12"},{"id":16,"name":"Locomotive ID","value":"4041"},{"id":130,"name":"Impact","value":""},{"id":150,"name":"Time of Event (Mountain Time)","value":"03:53:18"},{"id":151,"name":"Denver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8"/>
      <c r="AL219" s="48"/>
      <c r="AM219" s="150" t="str">
        <f t="shared" si="82"/>
        <v>start /low /b %USERPROFILE%\Documents\GitHub\eaglep3\Utilities\DownloadLogsFromS3.py --loco 4041 --day 2017-04-12</v>
      </c>
      <c r="AN219" s="159" t="str">
        <f t="shared" si="8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09:53:18"},{"id":29,"name":"Sharepoint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3" t="s">
        <v>651</v>
      </c>
      <c r="B220" s="7">
        <v>4042</v>
      </c>
      <c r="C220" s="21" t="s">
        <v>214</v>
      </c>
      <c r="D220" s="21" t="s">
        <v>952</v>
      </c>
      <c r="E220" s="13">
        <v>42837.119733796295</v>
      </c>
      <c r="F220" s="13">
        <v>42837.121574074074</v>
      </c>
      <c r="G220" s="7">
        <v>1</v>
      </c>
      <c r="H220" s="21" t="s">
        <v>953</v>
      </c>
      <c r="I220" s="13">
        <v>42837.140173611115</v>
      </c>
      <c r="J220" s="7">
        <v>0</v>
      </c>
      <c r="K220" s="97" t="str">
        <f t="shared" si="65"/>
        <v>4041/4042</v>
      </c>
      <c r="L220" s="21" t="str">
        <f>VLOOKUP(A220,'Trips&amp;Operators'!$C$1:$G$99999,5,FALSE)</f>
        <v>YANAI IAN</v>
      </c>
      <c r="M220" s="6">
        <f t="shared" si="66"/>
        <v>1.859953704115469E-2</v>
      </c>
      <c r="N220" s="7">
        <f t="shared" si="79"/>
        <v>26.783333339262754</v>
      </c>
      <c r="O220" s="7"/>
      <c r="P220" s="7"/>
      <c r="Q220" s="22"/>
      <c r="R220" s="22"/>
      <c r="S220" s="31">
        <f t="shared" si="67"/>
        <v>0</v>
      </c>
      <c r="T220" s="46" t="e">
        <f t="shared" si="68"/>
        <v>#VALUE!</v>
      </c>
      <c r="U220" s="18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2" t="str">
        <f t="shared" si="69"/>
        <v>https://d0f6bd738d7f1b3e5a7ca70fe4ff75f0.us-east-1.aws.found.io/app/kibana#/discover/Steve-Slow-Train-Analysis-(2080s-and-2083s)?_g=(refreshInterval:(display:Off,pause:!f,section:0,value:0),time:(from:'2017-04-12T01:52:25-0600',mode:absolute,to:'2017-04-12T04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0" s="183" t="str">
        <f t="shared" si="70"/>
        <v>N</v>
      </c>
      <c r="X220" s="183" t="e">
        <f t="shared" si="71"/>
        <v>#VALUE!</v>
      </c>
      <c r="Y220" s="62">
        <f t="shared" si="72"/>
        <v>0.1135</v>
      </c>
      <c r="Z220" s="62">
        <f t="shared" si="73"/>
        <v>10.6911</v>
      </c>
      <c r="AA220" s="62">
        <f t="shared" si="74"/>
        <v>10.5776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75"/>
        <v>51-12</v>
      </c>
      <c r="AE220" s="85" t="str">
        <f t="shared" si="76"/>
        <v>aws s3 cp s3://rtdc.mdm.uploadarchive.raw/RTDC4042/ "%USERPROFILE%\AppData\Local\Temp\OnboardLogs"\RTDC4042\2017-04-12 --exclude "*" --recursive --include "*20170412*" &amp; "%USERPROFILE%\Documents\GitHub\mrs-test-scripts\Headless Mode &amp; Sideloading\WalkAndUnGZ.bat" "%USERPROFILE%\AppData\Local\Temp\OnboardLogs"\RTDC4042\2017-04-12 &amp; aws s3 cp s3://rtdc.mdm.uploadarchive.raw/RTDC4042/ "%USERPROFILE%\AppData\Local\Temp\OnboardLogs"\RTDC4042\2017-04-13 --exclude "*" --recursive --include "*20170413*" &amp; "%USERPROFILE%\Documents\GitHub\mrs-test-scripts\Headless Mode &amp; Sideloading\WalkAndUnGZ.bat" "%USERPROFILE%\AppData\Local\Temp\OnboardLogs"\RTDC4042\2017-04-13</v>
      </c>
      <c r="AF220" s="82" t="str">
        <f t="shared" si="77"/>
        <v>"C:\Program Files (x86)\AstroGrep\AstroGrep.exe" /e /r /s /spath="%USERPROFILE%\AppData\Local\Temp\OnboardLogs" /stypes="app*4042*20170412*" /stext=" 09:.+((SYSTEM_STATE.+slice.+state.+changed )|(ment ac)|(multiple cpu faults)|(system.+state.+changed )|(\[timeout)|(PRM\|1\|D)|(kpr)|(kdp)|(\|lc)|(penalty))"</v>
      </c>
      <c r="AG220" s="1" t="str">
        <f t="shared" si="78"/>
        <v>Other</v>
      </c>
      <c r="AH220" s="86" t="str">
        <f t="shared" si="80"/>
        <v>"%USERPROFILE%\Documents\GitHub\eaglep3\Utilities\RefineRTDCRunTimes.py" --tripid 51-12 --locoid 4042 --swversion DE.1.0.9.0 --startMP 204:1135 --initTime 2017-04-12T02:52:25 --startdatetime 2017-04-12T02:55:04 --delay 1 --endMP 204:106911 --enddatetime 2017-04-12T03:21:51 --enforcementcount 0 &gt;&gt;C:\Users\stu\Documents\GitHub\eaglep3-reporting\EC\2017-04-12-refined-times.txt</v>
      </c>
      <c r="AI220" s="104" t="str">
        <f t="shared" si="81"/>
        <v>echo {"issue":{"subject":"","project_id":79,"tracker_id":40,"status_id":1,"priority_id":2,"assigned_to_id":23,"start_date":"2017-04-12","description":"","custom_fields":[{"id":1,"name":"Subdivision","value":"Other"},{"id":4,"name":"Milepost","value":"10.6911"},{"id":17,"name":"Train ID","value":"51-12"},{"id":16,"name":"Locomotive ID","value":"4042"},{"id":130,"name":"Impact","value":""},{"id":150,"name":"Time of Event (Mountain Time)","value":"03:21:51"},{"id":151,"name":"Denver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8"/>
      <c r="AL220" s="48"/>
      <c r="AM220" s="150" t="str">
        <f t="shared" si="82"/>
        <v>start /low /b %USERPROFILE%\Documents\GitHub\eaglep3\Utilities\DownloadLogsFromS3.py --loco 4042 --day 2017-04-12</v>
      </c>
      <c r="AN220" s="159" t="str">
        <f t="shared" si="8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09:21:51"},{"id":29,"name":"Sharepoint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3" t="s">
        <v>734</v>
      </c>
      <c r="B221" s="7">
        <v>4007</v>
      </c>
      <c r="C221" s="21" t="s">
        <v>214</v>
      </c>
      <c r="D221" s="21" t="s">
        <v>954</v>
      </c>
      <c r="E221" s="13">
        <v>42837.430150462962</v>
      </c>
      <c r="F221" s="13">
        <v>42837.43304398148</v>
      </c>
      <c r="G221" s="7">
        <v>4</v>
      </c>
      <c r="H221" s="21" t="s">
        <v>955</v>
      </c>
      <c r="I221" s="13">
        <v>42837.438645833332</v>
      </c>
      <c r="J221" s="7">
        <v>0</v>
      </c>
      <c r="K221" s="97" t="str">
        <f t="shared" si="65"/>
        <v>4007/4008</v>
      </c>
      <c r="L221" s="21" t="str">
        <f>VLOOKUP(A221,'Trips&amp;Operators'!$C$1:$G$99999,5,FALSE)</f>
        <v>DE LA ROSA ALEX</v>
      </c>
      <c r="M221" s="6">
        <f t="shared" si="66"/>
        <v>5.6018518516793847E-3</v>
      </c>
      <c r="N221" s="7">
        <f t="shared" si="79"/>
        <v>8.066666666418314</v>
      </c>
      <c r="O221" s="7"/>
      <c r="P221" s="7"/>
      <c r="Q221" s="22"/>
      <c r="R221" s="22"/>
      <c r="S221" s="31">
        <f t="shared" si="67"/>
        <v>0</v>
      </c>
      <c r="T221" s="46" t="e">
        <f t="shared" si="68"/>
        <v>#VALUE!</v>
      </c>
      <c r="U221" s="18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2" t="str">
        <f t="shared" si="69"/>
        <v>https://d0f6bd738d7f1b3e5a7ca70fe4ff75f0.us-east-1.aws.found.io/app/kibana#/discover/Steve-Slow-Train-Analysis-(2080s-and-2083s)?_g=(refreshInterval:(display:Off,pause:!f,section:0,value:0),time:(from:'2017-04-12T09:19:25-0600',mode:absolute,to:'2017-04-12T11:31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1" s="183" t="str">
        <f t="shared" si="70"/>
        <v>Y</v>
      </c>
      <c r="X221" s="183" t="e">
        <f t="shared" si="71"/>
        <v>#VALUE!</v>
      </c>
      <c r="Y221" s="62">
        <f t="shared" si="72"/>
        <v>2.3323999999999998</v>
      </c>
      <c r="Z221" s="62">
        <f t="shared" si="73"/>
        <v>8.7099999999999997E-2</v>
      </c>
      <c r="AA221" s="62">
        <f t="shared" si="74"/>
        <v>2.2452999999999999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75"/>
        <v>54-12</v>
      </c>
      <c r="AE221" s="85" t="str">
        <f t="shared" si="76"/>
        <v>aws s3 cp s3://rtdc.mdm.uploadarchive.raw/RTDC4007/ "%USERPROFILE%\AppData\Local\Temp\OnboardLogs"\RTDC4007\2017-04-12 --exclude "*" --recursive --include "*20170412*" &amp; "%USERPROFILE%\Documents\GitHub\mrs-test-scripts\Headless Mode &amp; Sideloading\WalkAndUnGZ.bat" "%USERPROFILE%\AppData\Local\Temp\OnboardLogs"\RTDC4007\2017-04-12 &amp; aws s3 cp s3://rtdc.mdm.uploadarchive.raw/RTDC4007/ "%USERPROFILE%\AppData\Local\Temp\OnboardLogs"\RTDC4007\2017-04-13 --exclude "*" --recursive --include "*20170413*" &amp; "%USERPROFILE%\Documents\GitHub\mrs-test-scripts\Headless Mode &amp; Sideloading\WalkAndUnGZ.bat" "%USERPROFILE%\AppData\Local\Temp\OnboardLogs"\RTDC4007\2017-04-13</v>
      </c>
      <c r="AF221" s="82" t="str">
        <f t="shared" si="77"/>
        <v>"C:\Program Files (x86)\AstroGrep\AstroGrep.exe" /e /r /s /spath="%USERPROFILE%\AppData\Local\Temp\OnboardLogs" /stypes="app*4007*20170412*" /stext=" 16:.+((SYSTEM_STATE.+slice.+state.+changed )|(ment ac)|(multiple cpu faults)|(system.+state.+changed )|(\[timeout)|(PRM\|1\|D)|(kpr)|(kdp)|(\|lc)|(penalty))"</v>
      </c>
      <c r="AG221" s="1" t="str">
        <f t="shared" si="78"/>
        <v>Other</v>
      </c>
      <c r="AH221" s="86" t="str">
        <f t="shared" si="80"/>
        <v>"%USERPROFILE%\Documents\GitHub\eaglep3\Utilities\RefineRTDCRunTimes.py" --tripid 54-12 --locoid 4007 --swversion DE.1.0.9.0 --startMP 300:23324 --initTime 2017-04-12T10:19:25 --startdatetime 2017-04-12T10:23:35 --delay 4 --endMP 204:871 --enddatetime 2017-04-12T10:31:39 --enforcementcount 0 &gt;&gt;C:\Users\stu\Documents\GitHub\eaglep3-reporting\EC\2017-04-12-refined-times.txt</v>
      </c>
      <c r="AI221" s="104" t="str">
        <f t="shared" si="81"/>
        <v>echo {"issue":{"subject":"","project_id":79,"tracker_id":40,"status_id":1,"priority_id":2,"assigned_to_id":23,"start_date":"2017-04-12","description":"","custom_fields":[{"id":1,"name":"Subdivision","value":"Other"},{"id":4,"name":"Milepost","value":"0.0871"},{"id":17,"name":"Train ID","value":"54-12"},{"id":16,"name":"Locomotive ID","value":"4007"},{"id":130,"name":"Impact","value":""},{"id":150,"name":"Time of Event (Mountain Time)","value":"10:31:39"},{"id":151,"name":"Denver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8"/>
      <c r="AL221" s="48"/>
      <c r="AM221" s="150" t="str">
        <f t="shared" si="82"/>
        <v>start /low /b %USERPROFILE%\Documents\GitHub\eaglep3\Utilities\DownloadLogsFromS3.py --loco 4007 --day 2017-04-12</v>
      </c>
      <c r="AN221" s="159" t="str">
        <f t="shared" si="8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16:31:39"},{"id":29,"name":"Sharepoint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3" t="s">
        <v>745</v>
      </c>
      <c r="B222" s="7">
        <v>4008</v>
      </c>
      <c r="C222" s="21" t="s">
        <v>214</v>
      </c>
      <c r="D222" s="21" t="s">
        <v>956</v>
      </c>
      <c r="E222" s="13">
        <v>42837.458194444444</v>
      </c>
      <c r="F222" s="13">
        <v>42837.466423611113</v>
      </c>
      <c r="G222" s="7">
        <v>1</v>
      </c>
      <c r="H222" s="21" t="s">
        <v>957</v>
      </c>
      <c r="I222" s="13">
        <v>42837.471898148149</v>
      </c>
      <c r="J222" s="7">
        <v>0</v>
      </c>
      <c r="K222" s="97" t="str">
        <f t="shared" si="65"/>
        <v>4007/4008</v>
      </c>
      <c r="L222" s="21" t="str">
        <f>VLOOKUP(A222,'Trips&amp;Operators'!$C$1:$G$99999,5,FALSE)</f>
        <v>COOLAHAN JOHN</v>
      </c>
      <c r="M222" s="6">
        <f t="shared" si="66"/>
        <v>5.4745370362070389E-3</v>
      </c>
      <c r="N222" s="7">
        <f t="shared" si="79"/>
        <v>7.883333332138136</v>
      </c>
      <c r="O222" s="7"/>
      <c r="P222" s="7"/>
      <c r="Q222" s="22"/>
      <c r="R222" s="22"/>
      <c r="S222" s="31">
        <f t="shared" si="67"/>
        <v>0</v>
      </c>
      <c r="T222" s="46" t="e">
        <f t="shared" si="68"/>
        <v>#VALUE!</v>
      </c>
      <c r="U222" s="18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2" t="str">
        <f t="shared" si="69"/>
        <v>https://d0f6bd738d7f1b3e5a7ca70fe4ff75f0.us-east-1.aws.found.io/app/kibana#/discover/Steve-Slow-Train-Analysis-(2080s-and-2083s)?_g=(refreshInterval:(display:Off,pause:!f,section:0,value:0),time:(from:'2017-04-12T09:59:48-0600',mode:absolute,to:'2017-04-12T12:19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2" s="183" t="str">
        <f t="shared" si="70"/>
        <v>Y</v>
      </c>
      <c r="X222" s="183" t="e">
        <f t="shared" si="71"/>
        <v>#VALUE!</v>
      </c>
      <c r="Y222" s="62">
        <f t="shared" si="72"/>
        <v>0.1188</v>
      </c>
      <c r="Z222" s="62">
        <f t="shared" si="73"/>
        <v>2.4226999999999999</v>
      </c>
      <c r="AA222" s="62">
        <f t="shared" si="74"/>
        <v>2.3039000000000001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75"/>
        <v>55-12</v>
      </c>
      <c r="AE222" s="85" t="str">
        <f t="shared" si="76"/>
        <v>aws s3 cp s3://rtdc.mdm.uploadarchive.raw/RTDC4008/ "%USERPROFILE%\AppData\Local\Temp\OnboardLogs"\RTDC4008\2017-04-12 --exclude "*" --recursive --include "*20170412*" &amp; "%USERPROFILE%\Documents\GitHub\mrs-test-scripts\Headless Mode &amp; Sideloading\WalkAndUnGZ.bat" "%USERPROFILE%\AppData\Local\Temp\OnboardLogs"\RTDC4008\2017-04-12 &amp; aws s3 cp s3://rtdc.mdm.uploadarchive.raw/RTDC4008/ "%USERPROFILE%\AppData\Local\Temp\OnboardLogs"\RTDC4008\2017-04-13 --exclude "*" --recursive --include "*20170413*" &amp; "%USERPROFILE%\Documents\GitHub\mrs-test-scripts\Headless Mode &amp; Sideloading\WalkAndUnGZ.bat" "%USERPROFILE%\AppData\Local\Temp\OnboardLogs"\RTDC4008\2017-04-13</v>
      </c>
      <c r="AF222" s="82" t="str">
        <f t="shared" si="77"/>
        <v>"C:\Program Files (x86)\AstroGrep\AstroGrep.exe" /e /r /s /spath="%USERPROFILE%\AppData\Local\Temp\OnboardLogs" /stypes="app*4008*20170412*" /stext=" 17:.+((SYSTEM_STATE.+slice.+state.+changed )|(ment ac)|(multiple cpu faults)|(system.+state.+changed )|(\[timeout)|(PRM\|1\|D)|(kpr)|(kdp)|(\|lc)|(penalty))"</v>
      </c>
      <c r="AG222" s="1" t="str">
        <f t="shared" si="78"/>
        <v>Other</v>
      </c>
      <c r="AH222" s="86" t="str">
        <f t="shared" si="80"/>
        <v>"%USERPROFILE%\Documents\GitHub\eaglep3\Utilities\RefineRTDCRunTimes.py" --tripid 55-12 --locoid 4008 --swversion DE.1.0.9.0 --startMP 204:1188 --initTime 2017-04-12T10:59:48 --startdatetime 2017-04-12T11:11:39 --delay 1 --endMP 300:24227 --enddatetime 2017-04-12T11:19:32 --enforcementcount 0 &gt;&gt;C:\Users\stu\Documents\GitHub\eaglep3-reporting\EC\2017-04-12-refined-times.txt</v>
      </c>
      <c r="AI222" s="104" t="str">
        <f t="shared" si="81"/>
        <v>echo {"issue":{"subject":"","project_id":79,"tracker_id":40,"status_id":1,"priority_id":2,"assigned_to_id":23,"start_date":"2017-04-12","description":"","custom_fields":[{"id":1,"name":"Subdivision","value":"Other"},{"id":4,"name":"Milepost","value":"2.4227"},{"id":17,"name":"Train ID","value":"55-12"},{"id":16,"name":"Locomotive ID","value":"4008"},{"id":130,"name":"Impact","value":""},{"id":150,"name":"Time of Event (Mountain Time)","value":"11:19:32"},{"id":151,"name":"Denver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8"/>
      <c r="AL222" s="48"/>
      <c r="AM222" s="150" t="str">
        <f t="shared" si="82"/>
        <v>start /low /b %USERPROFILE%\Documents\GitHub\eaglep3\Utilities\DownloadLogsFromS3.py --loco 4008 --day 2017-04-12</v>
      </c>
      <c r="AN222" s="159" t="str">
        <f t="shared" si="8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17:19:32"},{"id":29,"name":"Sharepoint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3" t="s">
        <v>632</v>
      </c>
      <c r="B223" s="7">
        <v>4007</v>
      </c>
      <c r="C223" s="21" t="s">
        <v>214</v>
      </c>
      <c r="D223" s="21" t="s">
        <v>958</v>
      </c>
      <c r="E223" s="13">
        <v>42837.48537037037</v>
      </c>
      <c r="F223" s="13">
        <v>42837.49422453704</v>
      </c>
      <c r="G223" s="7">
        <v>12</v>
      </c>
      <c r="H223" s="21" t="s">
        <v>959</v>
      </c>
      <c r="I223" s="13">
        <v>42837.4997337963</v>
      </c>
      <c r="J223" s="7">
        <v>0</v>
      </c>
      <c r="K223" s="97" t="str">
        <f t="shared" si="65"/>
        <v>4007/4008</v>
      </c>
      <c r="L223" s="21" t="str">
        <f>VLOOKUP(A223,'Trips&amp;Operators'!$C$1:$G$99999,5,FALSE)</f>
        <v>STRICKLAND EVAN</v>
      </c>
      <c r="M223" s="6">
        <f t="shared" si="66"/>
        <v>5.5092592592700385E-3</v>
      </c>
      <c r="N223" s="7">
        <f t="shared" si="79"/>
        <v>7.9333333333488554</v>
      </c>
      <c r="O223" s="7"/>
      <c r="P223" s="7"/>
      <c r="Q223" s="22"/>
      <c r="R223" s="22"/>
      <c r="S223" s="31">
        <f t="shared" si="67"/>
        <v>0</v>
      </c>
      <c r="T223" s="46" t="e">
        <f t="shared" si="68"/>
        <v>#VALUE!</v>
      </c>
      <c r="U223" s="18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2" t="str">
        <f t="shared" si="69"/>
        <v>https://d0f6bd738d7f1b3e5a7ca70fe4ff75f0.us-east-1.aws.found.io/app/kibana#/discover/Steve-Slow-Train-Analysis-(2080s-and-2083s)?_g=(refreshInterval:(display:Off,pause:!f,section:0,value:0),time:(from:'2017-04-12T10:38:56-0600',mode:absolute,to:'2017-04-12T12:59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3" s="183" t="str">
        <f t="shared" si="70"/>
        <v>Y</v>
      </c>
      <c r="X223" s="183" t="e">
        <f t="shared" si="71"/>
        <v>#VALUE!</v>
      </c>
      <c r="Y223" s="62">
        <f t="shared" si="72"/>
        <v>2.3340999999999998</v>
      </c>
      <c r="Z223" s="62">
        <f t="shared" si="73"/>
        <v>8.7999999999999995E-2</v>
      </c>
      <c r="AA223" s="62">
        <f t="shared" si="74"/>
        <v>2.2460999999999998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75"/>
        <v>56-12</v>
      </c>
      <c r="AE223" s="85" t="str">
        <f t="shared" si="76"/>
        <v>aws s3 cp s3://rtdc.mdm.uploadarchive.raw/RTDC4007/ "%USERPROFILE%\AppData\Local\Temp\OnboardLogs"\RTDC4007\2017-04-12 --exclude "*" --recursive --include "*20170412*" &amp; "%USERPROFILE%\Documents\GitHub\mrs-test-scripts\Headless Mode &amp; Sideloading\WalkAndUnGZ.bat" "%USERPROFILE%\AppData\Local\Temp\OnboardLogs"\RTDC4007\2017-04-12 &amp; aws s3 cp s3://rtdc.mdm.uploadarchive.raw/RTDC4007/ "%USERPROFILE%\AppData\Local\Temp\OnboardLogs"\RTDC4007\2017-04-13 --exclude "*" --recursive --include "*20170413*" &amp; "%USERPROFILE%\Documents\GitHub\mrs-test-scripts\Headless Mode &amp; Sideloading\WalkAndUnGZ.bat" "%USERPROFILE%\AppData\Local\Temp\OnboardLogs"\RTDC4007\2017-04-13</v>
      </c>
      <c r="AF223" s="82" t="str">
        <f t="shared" si="77"/>
        <v>"C:\Program Files (x86)\AstroGrep\AstroGrep.exe" /e /r /s /spath="%USERPROFILE%\AppData\Local\Temp\OnboardLogs" /stypes="app*4007*20170412*" /stext=" 17:.+((SYSTEM_STATE.+slice.+state.+changed )|(ment ac)|(multiple cpu faults)|(system.+state.+changed )|(\[timeout)|(PRM\|1\|D)|(kpr)|(kdp)|(\|lc)|(penalty))"</v>
      </c>
      <c r="AG223" s="1" t="str">
        <f t="shared" si="78"/>
        <v>Other</v>
      </c>
      <c r="AH223" s="86" t="str">
        <f t="shared" si="80"/>
        <v>"%USERPROFILE%\Documents\GitHub\eaglep3\Utilities\RefineRTDCRunTimes.py" --tripid 56-12 --locoid 4007 --swversion DE.1.0.9.0 --startMP 300:23341 --initTime 2017-04-12T11:38:56 --startdatetime 2017-04-12T11:51:41 --delay 12 --endMP 204:880 --enddatetime 2017-04-12T11:59:37 --enforcementcount 0 &gt;&gt;C:\Users\stu\Documents\GitHub\eaglep3-reporting\EC\2017-04-12-refined-times.txt</v>
      </c>
      <c r="AI223" s="104" t="str">
        <f t="shared" si="81"/>
        <v>echo {"issue":{"subject":"","project_id":79,"tracker_id":40,"status_id":1,"priority_id":2,"assigned_to_id":23,"start_date":"2017-04-12","description":"","custom_fields":[{"id":1,"name":"Subdivision","value":"Other"},{"id":4,"name":"Milepost","value":"0.088"},{"id":17,"name":"Train ID","value":"56-12"},{"id":16,"name":"Locomotive ID","value":"4007"},{"id":130,"name":"Impact","value":""},{"id":150,"name":"Time of Event (Mountain Time)","value":"11:59:37"},{"id":151,"name":"Denver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8"/>
      <c r="AL223" s="48"/>
      <c r="AM223" s="150" t="str">
        <f t="shared" si="82"/>
        <v>start /low /b %USERPROFILE%\Documents\GitHub\eaglep3\Utilities\DownloadLogsFromS3.py --loco 4007 --day 2017-04-12</v>
      </c>
      <c r="AN223" s="159" t="str">
        <f t="shared" si="8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17:59:37"},{"id":29,"name":"Sharepoint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3" t="s">
        <v>757</v>
      </c>
      <c r="B224" s="7">
        <v>4008</v>
      </c>
      <c r="C224" s="21" t="s">
        <v>214</v>
      </c>
      <c r="D224" s="21" t="s">
        <v>960</v>
      </c>
      <c r="E224" s="13">
        <v>42837.521238425928</v>
      </c>
      <c r="F224" s="13">
        <v>42837.522511574076</v>
      </c>
      <c r="G224" s="7">
        <v>1</v>
      </c>
      <c r="H224" s="21" t="s">
        <v>961</v>
      </c>
      <c r="I224" s="13">
        <v>42837.530150462961</v>
      </c>
      <c r="J224" s="7">
        <v>0</v>
      </c>
      <c r="K224" s="97" t="str">
        <f t="shared" si="65"/>
        <v>4007/4008</v>
      </c>
      <c r="L224" s="21" t="str">
        <f>VLOOKUP(A224,'Trips&amp;Operators'!$C$1:$G$99999,5,FALSE)</f>
        <v>STARKS ANGELINA</v>
      </c>
      <c r="M224" s="6">
        <f t="shared" si="66"/>
        <v>7.6388888846850023E-3</v>
      </c>
      <c r="N224" s="7">
        <f t="shared" si="79"/>
        <v>10.999999993946403</v>
      </c>
      <c r="O224" s="7"/>
      <c r="P224" s="7"/>
      <c r="Q224" s="22"/>
      <c r="R224" s="22"/>
      <c r="S224" s="31">
        <f t="shared" si="67"/>
        <v>0</v>
      </c>
      <c r="T224" s="46" t="e">
        <f t="shared" si="68"/>
        <v>#VALUE!</v>
      </c>
      <c r="U224" s="18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2" t="str">
        <f t="shared" si="69"/>
        <v>https://d0f6bd738d7f1b3e5a7ca70fe4ff75f0.us-east-1.aws.found.io/app/kibana#/discover/Steve-Slow-Train-Analysis-(2080s-and-2083s)?_g=(refreshInterval:(display:Off,pause:!f,section:0,value:0),time:(from:'2017-04-12T11:30:35-0600',mode:absolute,to:'2017-04-12T13:43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4" s="183" t="str">
        <f t="shared" si="70"/>
        <v>Y</v>
      </c>
      <c r="X224" s="183" t="e">
        <f t="shared" si="71"/>
        <v>#VALUE!</v>
      </c>
      <c r="Y224" s="62">
        <f t="shared" si="72"/>
        <v>0.1186</v>
      </c>
      <c r="Z224" s="62">
        <f t="shared" si="73"/>
        <v>2.4226000000000001</v>
      </c>
      <c r="AA224" s="62">
        <f t="shared" si="74"/>
        <v>2.3040000000000003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75"/>
        <v>59-12</v>
      </c>
      <c r="AE224" s="85" t="str">
        <f t="shared" si="76"/>
        <v>aws s3 cp s3://rtdc.mdm.uploadarchive.raw/RTDC4008/ "%USERPROFILE%\AppData\Local\Temp\OnboardLogs"\RTDC4008\2017-04-12 --exclude "*" --recursive --include "*20170412*" &amp; "%USERPROFILE%\Documents\GitHub\mrs-test-scripts\Headless Mode &amp; Sideloading\WalkAndUnGZ.bat" "%USERPROFILE%\AppData\Local\Temp\OnboardLogs"\RTDC4008\2017-04-12 &amp; aws s3 cp s3://rtdc.mdm.uploadarchive.raw/RTDC4008/ "%USERPROFILE%\AppData\Local\Temp\OnboardLogs"\RTDC4008\2017-04-13 --exclude "*" --recursive --include "*20170413*" &amp; "%USERPROFILE%\Documents\GitHub\mrs-test-scripts\Headless Mode &amp; Sideloading\WalkAndUnGZ.bat" "%USERPROFILE%\AppData\Local\Temp\OnboardLogs"\RTDC4008\2017-04-13</v>
      </c>
      <c r="AF224" s="82" t="str">
        <f t="shared" si="77"/>
        <v>"C:\Program Files (x86)\AstroGrep\AstroGrep.exe" /e /r /s /spath="%USERPROFILE%\AppData\Local\Temp\OnboardLogs" /stypes="app*4008*20170412*" /stext=" 18:.+((SYSTEM_STATE.+slice.+state.+changed )|(ment ac)|(multiple cpu faults)|(system.+state.+changed )|(\[timeout)|(PRM\|1\|D)|(kpr)|(kdp)|(\|lc)|(penalty))"</v>
      </c>
      <c r="AG224" s="1" t="str">
        <f t="shared" si="78"/>
        <v>Other</v>
      </c>
      <c r="AH224" s="86" t="str">
        <f t="shared" si="80"/>
        <v>"%USERPROFILE%\Documents\GitHub\eaglep3\Utilities\RefineRTDCRunTimes.py" --tripid 59-12 --locoid 4008 --swversion DE.1.0.9.0 --startMP 204:1186 --initTime 2017-04-12T12:30:35 --startdatetime 2017-04-12T12:32:25 --delay 1 --endMP 300:24226 --enddatetime 2017-04-12T12:43:25 --enforcementcount 0 &gt;&gt;C:\Users\stu\Documents\GitHub\eaglep3-reporting\EC\2017-04-12-refined-times.txt</v>
      </c>
      <c r="AI224" s="104" t="str">
        <f t="shared" si="81"/>
        <v>echo {"issue":{"subject":"","project_id":79,"tracker_id":40,"status_id":1,"priority_id":2,"assigned_to_id":23,"start_date":"2017-04-12","description":"","custom_fields":[{"id":1,"name":"Subdivision","value":"Other"},{"id":4,"name":"Milepost","value":"2.4226"},{"id":17,"name":"Train ID","value":"59-12"},{"id":16,"name":"Locomotive ID","value":"4008"},{"id":130,"name":"Impact","value":""},{"id":150,"name":"Time of Event (Mountain Time)","value":"12:43:25"},{"id":151,"name":"Denver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8"/>
      <c r="AL224" s="48"/>
      <c r="AM224" s="150" t="str">
        <f t="shared" si="82"/>
        <v>start /low /b %USERPROFILE%\Documents\GitHub\eaglep3\Utilities\DownloadLogsFromS3.py --loco 4008 --day 2017-04-12</v>
      </c>
      <c r="AN224" s="159" t="str">
        <f t="shared" si="8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18:43:25"},{"id":29,"name":"Sharepoint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3" t="s">
        <v>798</v>
      </c>
      <c r="B225" s="7">
        <v>4024</v>
      </c>
      <c r="C225" s="21" t="s">
        <v>214</v>
      </c>
      <c r="D225" s="21" t="s">
        <v>962</v>
      </c>
      <c r="E225" s="13">
        <v>42837.723252314812</v>
      </c>
      <c r="F225" s="13">
        <v>42837.735821759263</v>
      </c>
      <c r="G225" s="7">
        <v>1</v>
      </c>
      <c r="H225" s="21" t="s">
        <v>963</v>
      </c>
      <c r="I225" s="13">
        <v>42837.746365740742</v>
      </c>
      <c r="J225" s="7">
        <v>0</v>
      </c>
      <c r="K225" s="97" t="str">
        <f t="shared" si="65"/>
        <v>4023/4024</v>
      </c>
      <c r="L225" s="21" t="str">
        <f>VLOOKUP(A225,'Trips&amp;Operators'!$C$1:$G$99999,5,FALSE)</f>
        <v>LOPES KIMBERLY</v>
      </c>
      <c r="M225" s="6">
        <f t="shared" si="66"/>
        <v>1.0543981479713693E-2</v>
      </c>
      <c r="N225" s="7">
        <f t="shared" si="79"/>
        <v>15.183333330787718</v>
      </c>
      <c r="O225" s="7"/>
      <c r="P225" s="7"/>
      <c r="Q225" s="22"/>
      <c r="R225" s="22"/>
      <c r="S225" s="31">
        <f t="shared" si="67"/>
        <v>0</v>
      </c>
      <c r="T225" s="46" t="e">
        <f t="shared" si="68"/>
        <v>#VALUE!</v>
      </c>
      <c r="U225" s="18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2" t="str">
        <f t="shared" si="69"/>
        <v>https://d0f6bd738d7f1b3e5a7ca70fe4ff75f0.us-east-1.aws.found.io/app/kibana#/discover/Steve-Slow-Train-Analysis-(2080s-and-2083s)?_g=(refreshInterval:(display:Off,pause:!f,section:0,value:0),time:(from:'2017-04-12T16:21:29-0600',mode:absolute,to:'2017-04-12T18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5" s="183" t="str">
        <f t="shared" si="70"/>
        <v>Y</v>
      </c>
      <c r="X225" s="183" t="e">
        <f t="shared" si="71"/>
        <v>#VALUE!</v>
      </c>
      <c r="Y225" s="62">
        <f t="shared" si="72"/>
        <v>0.15010000000000001</v>
      </c>
      <c r="Z225" s="62">
        <f t="shared" si="73"/>
        <v>2.3300999999999998</v>
      </c>
      <c r="AA225" s="62">
        <f t="shared" si="74"/>
        <v>2.1799999999999997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75"/>
        <v>69-12</v>
      </c>
      <c r="AE225" s="85" t="str">
        <f t="shared" si="76"/>
        <v>aws s3 cp s3://rtdc.mdm.uploadarchive.raw/RTDC4024/ "%USERPROFILE%\AppData\Local\Temp\OnboardLogs"\RTDC4024\2017-04-12 --exclude "*" --recursive --include "*20170412*" &amp; "%USERPROFILE%\Documents\GitHub\mrs-test-scripts\Headless Mode &amp; Sideloading\WalkAndUnGZ.bat" "%USERPROFILE%\AppData\Local\Temp\OnboardLogs"\RTDC4024\2017-04-12 &amp; aws s3 cp s3://rtdc.mdm.uploadarchive.raw/RTDC4024/ "%USERPROFILE%\AppData\Local\Temp\OnboardLogs"\RTDC4024\2017-04-13 --exclude "*" --recursive --include "*20170413*" &amp; "%USERPROFILE%\Documents\GitHub\mrs-test-scripts\Headless Mode &amp; Sideloading\WalkAndUnGZ.bat" "%USERPROFILE%\AppData\Local\Temp\OnboardLogs"\RTDC4024\2017-04-13</v>
      </c>
      <c r="AF225" s="82" t="str">
        <f t="shared" si="77"/>
        <v>"C:\Program Files (x86)\AstroGrep\AstroGrep.exe" /e /r /s /spath="%USERPROFILE%\AppData\Local\Temp\OnboardLogs" /stypes="app*4024*20170412*" /stext=" 23:.+((SYSTEM_STATE.+slice.+state.+changed )|(ment ac)|(multiple cpu faults)|(system.+state.+changed )|(\[timeout)|(PRM\|1\|D)|(kpr)|(kdp)|(\|lc)|(penalty))"</v>
      </c>
      <c r="AG225" s="1" t="str">
        <f t="shared" si="78"/>
        <v>Other</v>
      </c>
      <c r="AH225" s="86" t="str">
        <f t="shared" si="80"/>
        <v>"%USERPROFILE%\Documents\GitHub\eaglep3\Utilities\RefineRTDCRunTimes.py" --tripid 69-12 --locoid 4024 --swversion DE.1.0.9.0 --startMP 204:1501 --initTime 2017-04-12T17:21:29 --startdatetime 2017-04-12T17:39:35 --delay 1 --endMP 300:23301 --enddatetime 2017-04-12T17:54:46 --enforcementcount 0 &gt;&gt;C:\Users\stu\Documents\GitHub\eaglep3-reporting\EC\2017-04-12-refined-times.txt</v>
      </c>
      <c r="AI225" s="104" t="str">
        <f t="shared" si="81"/>
        <v>echo {"issue":{"subject":"","project_id":79,"tracker_id":40,"status_id":1,"priority_id":2,"assigned_to_id":23,"start_date":"2017-04-12","description":"","custom_fields":[{"id":1,"name":"Subdivision","value":"Other"},{"id":4,"name":"Milepost","value":"2.3301"},{"id":17,"name":"Train ID","value":"69-12"},{"id":16,"name":"Locomotive ID","value":"4024"},{"id":130,"name":"Impact","value":""},{"id":150,"name":"Time of Event (Mountain Time)","value":"17:54:46"},{"id":151,"name":"Denver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8"/>
      <c r="AL225" s="48"/>
      <c r="AM225" s="150" t="str">
        <f t="shared" si="82"/>
        <v>start /low /b %USERPROFILE%\Documents\GitHub\eaglep3\Utilities\DownloadLogsFromS3.py --loco 4024 --day 2017-04-12</v>
      </c>
      <c r="AN225" s="159" t="str">
        <f t="shared" si="8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23:54:46"},{"id":29,"name":"Sharepoint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3" t="s">
        <v>806</v>
      </c>
      <c r="B226" s="7">
        <v>4003</v>
      </c>
      <c r="C226" s="21" t="s">
        <v>214</v>
      </c>
      <c r="D226" s="21" t="s">
        <v>964</v>
      </c>
      <c r="E226" s="13">
        <v>42837.741493055553</v>
      </c>
      <c r="F226" s="13">
        <v>42837.746550925927</v>
      </c>
      <c r="G226" s="7">
        <v>7</v>
      </c>
      <c r="H226" s="21" t="s">
        <v>965</v>
      </c>
      <c r="I226" s="13">
        <v>42837.757893518516</v>
      </c>
      <c r="J226" s="7">
        <v>0</v>
      </c>
      <c r="K226" s="97" t="str">
        <f t="shared" si="65"/>
        <v>4003/4004</v>
      </c>
      <c r="L226" s="21" t="str">
        <f>VLOOKUP(A226,'Trips&amp;Operators'!$C$1:$G$99999,5,FALSE)</f>
        <v>MCREYNOLDS KYLE</v>
      </c>
      <c r="M226" s="6">
        <f t="shared" si="66"/>
        <v>1.134259258833481E-2</v>
      </c>
      <c r="N226" s="7">
        <f t="shared" si="79"/>
        <v>16.333333327202126</v>
      </c>
      <c r="O226" s="7"/>
      <c r="P226" s="7"/>
      <c r="Q226" s="22"/>
      <c r="R226" s="22"/>
      <c r="S226" s="31">
        <f t="shared" si="67"/>
        <v>0</v>
      </c>
      <c r="T226" s="46" t="e">
        <f t="shared" si="68"/>
        <v>#VALUE!</v>
      </c>
      <c r="U226" s="18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2" t="str">
        <f t="shared" si="69"/>
        <v>https://d0f6bd738d7f1b3e5a7ca70fe4ff75f0.us-east-1.aws.found.io/app/kibana#/discover/Steve-Slow-Train-Analysis-(2080s-and-2083s)?_g=(refreshInterval:(display:Off,pause:!f,section:0,value:0),time:(from:'2017-04-12T16:47:45-0600',mode:absolute,to:'2017-04-12T19:11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6" s="183" t="str">
        <f t="shared" si="70"/>
        <v>Y</v>
      </c>
      <c r="X226" s="183" t="e">
        <f t="shared" si="71"/>
        <v>#VALUE!</v>
      </c>
      <c r="Y226" s="62">
        <f t="shared" si="72"/>
        <v>2.3624999999999998</v>
      </c>
      <c r="Z226" s="62">
        <f t="shared" si="73"/>
        <v>0.1552</v>
      </c>
      <c r="AA226" s="62">
        <f t="shared" si="74"/>
        <v>2.2073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75"/>
        <v>70-12</v>
      </c>
      <c r="AE226" s="85" t="str">
        <f t="shared" si="76"/>
        <v>aws s3 cp s3://rtdc.mdm.uploadarchive.raw/RTDC4003/ "%USERPROFILE%\AppData\Local\Temp\OnboardLogs"\RTDC4003\2017-04-12 --exclude "*" --recursive --include "*20170412*" &amp; "%USERPROFILE%\Documents\GitHub\mrs-test-scripts\Headless Mode &amp; Sideloading\WalkAndUnGZ.bat" "%USERPROFILE%\AppData\Local\Temp\OnboardLogs"\RTDC4003\2017-04-12 &amp; aws s3 cp s3://rtdc.mdm.uploadarchive.raw/RTDC4003/ "%USERPROFILE%\AppData\Local\Temp\OnboardLogs"\RTDC4003\2017-04-13 --exclude "*" --recursive --include "*20170413*" &amp; "%USERPROFILE%\Documents\GitHub\mrs-test-scripts\Headless Mode &amp; Sideloading\WalkAndUnGZ.bat" "%USERPROFILE%\AppData\Local\Temp\OnboardLogs"\RTDC4003\2017-04-13</v>
      </c>
      <c r="AF226" s="82" t="str">
        <f t="shared" si="77"/>
        <v>"C:\Program Files (x86)\AstroGrep\AstroGrep.exe" /e /r /s /spath="%USERPROFILE%\AppData\Local\Temp\OnboardLogs" /stypes="app*4003*20170413*" /stext=" 00:.+((SYSTEM_STATE.+slice.+state.+changed )|(ment ac)|(multiple cpu faults)|(system.+state.+changed )|(\[timeout)|(PRM\|1\|D)|(kpr)|(kdp)|(\|lc)|(penalty))"</v>
      </c>
      <c r="AG226" s="1" t="str">
        <f t="shared" si="78"/>
        <v>Other</v>
      </c>
      <c r="AH226" s="86" t="str">
        <f t="shared" si="80"/>
        <v>"%USERPROFILE%\Documents\GitHub\eaglep3\Utilities\RefineRTDCRunTimes.py" --tripid 70-12 --locoid 4003 --swversion DE.1.0.9.0 --startMP 300:23625 --initTime 2017-04-12T17:47:45 --startdatetime 2017-04-12T17:55:02 --delay 7 --endMP 204:1552 --enddatetime 2017-04-12T18:11:22 --enforcementcount 0 &gt;&gt;C:\Users\stu\Documents\GitHub\eaglep3-reporting\EC\2017-04-12-refined-times.txt</v>
      </c>
      <c r="AI226" s="104" t="str">
        <f t="shared" si="81"/>
        <v>echo {"issue":{"subject":"","project_id":79,"tracker_id":40,"status_id":1,"priority_id":2,"assigned_to_id":23,"start_date":"2017-04-12","description":"","custom_fields":[{"id":1,"name":"Subdivision","value":"Other"},{"id":4,"name":"Milepost","value":"0.1552"},{"id":17,"name":"Train ID","value":"70-12"},{"id":16,"name":"Locomotive ID","value":"4003"},{"id":130,"name":"Impact","value":""},{"id":150,"name":"Time of Event (Mountain Time)","value":"18:11:22"},{"id":151,"name":"Denver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8"/>
      <c r="AL226" s="48"/>
      <c r="AM226" s="150" t="str">
        <f t="shared" si="82"/>
        <v>start /low /b %USERPROFILE%\Documents\GitHub\eaglep3\Utilities\DownloadLogsFromS3.py --loco 4003 --day 2017-04-12</v>
      </c>
      <c r="AN226" s="159" t="str">
        <f t="shared" si="8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00:11:22"},{"id":29,"name":"Sharepoint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s="20" customFormat="1" x14ac:dyDescent="0.25">
      <c r="A227" s="33" t="s">
        <v>805</v>
      </c>
      <c r="B227" s="7">
        <v>4007</v>
      </c>
      <c r="C227" s="21" t="s">
        <v>214</v>
      </c>
      <c r="D227" s="21" t="s">
        <v>966</v>
      </c>
      <c r="E227" s="13">
        <v>42837.739664351851</v>
      </c>
      <c r="F227" s="13">
        <v>42837.744421296295</v>
      </c>
      <c r="G227" s="7">
        <v>6</v>
      </c>
      <c r="H227" s="21" t="s">
        <v>538</v>
      </c>
      <c r="I227" s="13">
        <v>42837.7497337963</v>
      </c>
      <c r="J227" s="7">
        <v>0</v>
      </c>
      <c r="K227" s="97" t="str">
        <f t="shared" si="65"/>
        <v>4007/4008</v>
      </c>
      <c r="L227" s="21" t="str">
        <f>VLOOKUP(A227,'Trips&amp;Operators'!$C$1:$G$99999,5,FALSE)</f>
        <v>LALONDE GREGORY</v>
      </c>
      <c r="M227" s="6">
        <f t="shared" si="66"/>
        <v>5.3125000049476512E-3</v>
      </c>
      <c r="N227" s="7">
        <f t="shared" si="79"/>
        <v>7.6500000071246177</v>
      </c>
      <c r="O227" s="7"/>
      <c r="P227" s="7"/>
      <c r="Q227" s="22"/>
      <c r="R227" s="22"/>
      <c r="S227" s="31">
        <f t="shared" si="67"/>
        <v>0</v>
      </c>
      <c r="T227" s="46" t="e">
        <f t="shared" si="68"/>
        <v>#VALUE!</v>
      </c>
      <c r="U227" s="18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2" t="str">
        <f t="shared" si="69"/>
        <v>https://d0f6bd738d7f1b3e5a7ca70fe4ff75f0.us-east-1.aws.found.io/app/kibana#/discover/Steve-Slow-Train-Analysis-(2080s-and-2083s)?_g=(refreshInterval:(display:Off,pause:!f,section:0,value:0),time:(from:'2017-04-12T16:45:07-0600',mode:absolute,to:'2017-04-12T18:59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7" s="183" t="str">
        <f t="shared" si="70"/>
        <v>Y</v>
      </c>
      <c r="X227" s="183" t="e">
        <f t="shared" si="71"/>
        <v>#VALUE!</v>
      </c>
      <c r="Y227" s="62">
        <f t="shared" si="72"/>
        <v>2.3477999999999999</v>
      </c>
      <c r="Z227" s="62">
        <f t="shared" si="73"/>
        <v>1.49E-2</v>
      </c>
      <c r="AA227" s="62">
        <f t="shared" si="74"/>
        <v>2.3329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75"/>
        <v>72-12</v>
      </c>
      <c r="AE227" s="85" t="str">
        <f t="shared" si="76"/>
        <v>aws s3 cp s3://rtdc.mdm.uploadarchive.raw/RTDC4007/ "%USERPROFILE%\AppData\Local\Temp\OnboardLogs"\RTDC4007\2017-04-12 --exclude "*" --recursive --include "*20170412*" &amp; "%USERPROFILE%\Documents\GitHub\mrs-test-scripts\Headless Mode &amp; Sideloading\WalkAndUnGZ.bat" "%USERPROFILE%\AppData\Local\Temp\OnboardLogs"\RTDC4007\2017-04-12 &amp; aws s3 cp s3://rtdc.mdm.uploadarchive.raw/RTDC4007/ "%USERPROFILE%\AppData\Local\Temp\OnboardLogs"\RTDC4007\2017-04-13 --exclude "*" --recursive --include "*20170413*" &amp; "%USERPROFILE%\Documents\GitHub\mrs-test-scripts\Headless Mode &amp; Sideloading\WalkAndUnGZ.bat" "%USERPROFILE%\AppData\Local\Temp\OnboardLogs"\RTDC4007\2017-04-13</v>
      </c>
      <c r="AF227" s="82" t="str">
        <f t="shared" si="77"/>
        <v>"C:\Program Files (x86)\AstroGrep\AstroGrep.exe" /e /r /s /spath="%USERPROFILE%\AppData\Local\Temp\OnboardLogs" /stypes="app*4007*20170412*" /stext=" 23:.+((SYSTEM_STATE.+slice.+state.+changed )|(ment ac)|(multiple cpu faults)|(system.+state.+changed )|(\[timeout)|(PRM\|1\|D)|(kpr)|(kdp)|(\|lc)|(penalty))"</v>
      </c>
      <c r="AG227" s="1" t="str">
        <f t="shared" si="78"/>
        <v>Other</v>
      </c>
      <c r="AH227" s="86" t="str">
        <f t="shared" si="80"/>
        <v>"%USERPROFILE%\Documents\GitHub\eaglep3\Utilities\RefineRTDCRunTimes.py" --tripid 72-12 --locoid 4007 --swversion DE.1.0.9.0 --startMP 300:23478 --initTime 2017-04-12T17:45:07 --startdatetime 2017-04-12T17:51:58 --delay 6 --endMP 204:149 --enddatetime 2017-04-12T17:59:37 --enforcementcount 0 &gt;&gt;C:\Users\stu\Documents\GitHub\eaglep3-reporting\EC\2017-04-12-refined-times.txt</v>
      </c>
      <c r="AI227" s="104" t="str">
        <f t="shared" si="81"/>
        <v>echo {"issue":{"subject":"","project_id":79,"tracker_id":40,"status_id":1,"priority_id":2,"assigned_to_id":23,"start_date":"2017-04-12","description":"","custom_fields":[{"id":1,"name":"Subdivision","value":"Other"},{"id":4,"name":"Milepost","value":"0.0149"},{"id":17,"name":"Train ID","value":"72-12"},{"id":16,"name":"Locomotive ID","value":"4007"},{"id":130,"name":"Impact","value":""},{"id":150,"name":"Time of Event (Mountain Time)","value":"17:59:37"},{"id":151,"name":"Denver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7" s="48"/>
      <c r="AL227" s="48"/>
      <c r="AM227" s="150" t="str">
        <f t="shared" si="82"/>
        <v>start /low /b %USERPROFILE%\Documents\GitHub\eaglep3\Utilities\DownloadLogsFromS3.py --loco 4007 --day 2017-04-12</v>
      </c>
      <c r="AN227" s="159" t="str">
        <f t="shared" si="8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23:59:37"},{"id":29,"name":"Sharepoint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3" t="s">
        <v>817</v>
      </c>
      <c r="B228" s="7">
        <v>4008</v>
      </c>
      <c r="C228" s="21" t="s">
        <v>214</v>
      </c>
      <c r="D228" s="21" t="s">
        <v>967</v>
      </c>
      <c r="E228" s="13">
        <v>42837.765300925923</v>
      </c>
      <c r="F228" s="13">
        <v>42837.768483796295</v>
      </c>
      <c r="G228" s="7">
        <v>1</v>
      </c>
      <c r="H228" s="21" t="s">
        <v>968</v>
      </c>
      <c r="I228" s="13">
        <v>42837.773692129631</v>
      </c>
      <c r="J228" s="7">
        <v>0</v>
      </c>
      <c r="K228" s="97" t="str">
        <f t="shared" si="65"/>
        <v>4007/4008</v>
      </c>
      <c r="L228" s="21" t="str">
        <f>VLOOKUP(A228,'Trips&amp;Operators'!$C$1:$G$99999,5,FALSE)</f>
        <v>ARVIDSON DANIEL</v>
      </c>
      <c r="M228" s="6">
        <f t="shared" si="66"/>
        <v>5.2083333357586525E-3</v>
      </c>
      <c r="N228" s="7">
        <f t="shared" si="79"/>
        <v>7.5000000034924597</v>
      </c>
      <c r="O228" s="7"/>
      <c r="P228" s="7"/>
      <c r="Q228" s="22"/>
      <c r="R228" s="22"/>
      <c r="S228" s="31">
        <f t="shared" si="67"/>
        <v>0</v>
      </c>
      <c r="T228" s="46" t="e">
        <f t="shared" si="68"/>
        <v>#VALUE!</v>
      </c>
      <c r="U228" s="18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2" t="str">
        <f t="shared" si="69"/>
        <v>https://d0f6bd738d7f1b3e5a7ca70fe4ff75f0.us-east-1.aws.found.io/app/kibana#/discover/Steve-Slow-Train-Analysis-(2080s-and-2083s)?_g=(refreshInterval:(display:Off,pause:!f,section:0,value:0),time:(from:'2017-04-12T17:22:02-0600',mode:absolute,to:'2017-04-12T19:34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8" s="183" t="str">
        <f t="shared" si="70"/>
        <v>Y</v>
      </c>
      <c r="X228" s="183" t="e">
        <f t="shared" si="71"/>
        <v>#VALUE!</v>
      </c>
      <c r="Y228" s="62">
        <f t="shared" si="72"/>
        <v>4.2599999999999999E-2</v>
      </c>
      <c r="Z228" s="62">
        <f t="shared" si="73"/>
        <v>2.3155000000000001</v>
      </c>
      <c r="AA228" s="62">
        <f t="shared" si="74"/>
        <v>2.2728999999999999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75"/>
        <v>73-12</v>
      </c>
      <c r="AE228" s="85" t="str">
        <f t="shared" si="76"/>
        <v>aws s3 cp s3://rtdc.mdm.uploadarchive.raw/RTDC4008/ "%USERPROFILE%\AppData\Local\Temp\OnboardLogs"\RTDC4008\2017-04-12 --exclude "*" --recursive --include "*20170412*" &amp; "%USERPROFILE%\Documents\GitHub\mrs-test-scripts\Headless Mode &amp; Sideloading\WalkAndUnGZ.bat" "%USERPROFILE%\AppData\Local\Temp\OnboardLogs"\RTDC4008\2017-04-12 &amp; aws s3 cp s3://rtdc.mdm.uploadarchive.raw/RTDC4008/ "%USERPROFILE%\AppData\Local\Temp\OnboardLogs"\RTDC4008\2017-04-13 --exclude "*" --recursive --include "*20170413*" &amp; "%USERPROFILE%\Documents\GitHub\mrs-test-scripts\Headless Mode &amp; Sideloading\WalkAndUnGZ.bat" "%USERPROFILE%\AppData\Local\Temp\OnboardLogs"\RTDC4008\2017-04-13</v>
      </c>
      <c r="AF228" s="82" t="str">
        <f t="shared" si="77"/>
        <v>"C:\Program Files (x86)\AstroGrep\AstroGrep.exe" /e /r /s /spath="%USERPROFILE%\AppData\Local\Temp\OnboardLogs" /stypes="app*4008*20170413*" /stext=" 00:.+((SYSTEM_STATE.+slice.+state.+changed )|(ment ac)|(multiple cpu faults)|(system.+state.+changed )|(\[timeout)|(PRM\|1\|D)|(kpr)|(kdp)|(\|lc)|(penalty))"</v>
      </c>
      <c r="AG228" s="1" t="str">
        <f t="shared" si="78"/>
        <v>Other</v>
      </c>
      <c r="AH228" s="86" t="str">
        <f t="shared" si="80"/>
        <v>"%USERPROFILE%\Documents\GitHub\eaglep3\Utilities\RefineRTDCRunTimes.py" --tripid 73-12 --locoid 4008 --swversion DE.1.0.9.0 --startMP 204:426 --initTime 2017-04-12T18:22:02 --startdatetime 2017-04-12T18:26:37 --delay 1 --endMP 300:23155 --enddatetime 2017-04-12T18:34:07 --enforcementcount 0 &gt;&gt;C:\Users\stu\Documents\GitHub\eaglep3-reporting\EC\2017-04-12-refined-times.txt</v>
      </c>
      <c r="AI228" s="104" t="str">
        <f t="shared" si="81"/>
        <v>echo {"issue":{"subject":"","project_id":79,"tracker_id":40,"status_id":1,"priority_id":2,"assigned_to_id":23,"start_date":"2017-04-12","description":"","custom_fields":[{"id":1,"name":"Subdivision","value":"Other"},{"id":4,"name":"Milepost","value":"2.3155"},{"id":17,"name":"Train ID","value":"73-12"},{"id":16,"name":"Locomotive ID","value":"4008"},{"id":130,"name":"Impact","value":""},{"id":150,"name":"Time of Event (Mountain Time)","value":"18:34:07"},{"id":151,"name":"Denver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8"/>
      <c r="AL228" s="48"/>
      <c r="AM228" s="150" t="str">
        <f t="shared" si="82"/>
        <v>start /low /b %USERPROFILE%\Documents\GitHub\eaglep3\Utilities\DownloadLogsFromS3.py --loco 4008 --day 2017-04-12</v>
      </c>
      <c r="AN228" s="159" t="str">
        <f t="shared" si="83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00:34:07"},{"id":29,"name":"Sharepoint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40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40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</sheetData>
  <autoFilter ref="A12:AG262"/>
  <sortState ref="A13:AH200">
    <sortCondition ref="AG13:AG200"/>
    <sortCondition ref="AD13:AD200"/>
  </sortState>
  <mergeCells count="1">
    <mergeCell ref="A11:P11"/>
  </mergeCells>
  <conditionalFormatting sqref="W11:W12 W269:X1048576 W13:X228">
    <cfRule type="cellIs" dxfId="10" priority="370" operator="equal">
      <formula>"Y"</formula>
    </cfRule>
  </conditionalFormatting>
  <conditionalFormatting sqref="X269:X1048576 X13:X228">
    <cfRule type="cellIs" dxfId="9" priority="353" operator="greaterThan">
      <formula>1</formula>
    </cfRule>
  </conditionalFormatting>
  <conditionalFormatting sqref="X269:X1048576 X12:X228">
    <cfRule type="cellIs" dxfId="8" priority="350" operator="equal">
      <formula>0</formula>
    </cfRule>
  </conditionalFormatting>
  <conditionalFormatting sqref="A13:S228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A13:S228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AK13:AK228</xm:sqref>
        </x14:dataValidation>
        <x14:dataValidation type="list" allowBlank="1" showInputMessage="1" showErrorMessage="1">
          <x14:formula1>
            <xm:f>'Redmine List Values'!$C$2:$C$15</xm:f>
          </x14:formula1>
          <xm:sqref>AL13:AL228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3"/>
  <sheetViews>
    <sheetView topLeftCell="A2" zoomScaleNormal="100" workbookViewId="0">
      <selection activeCell="P14" sqref="P14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1" customWidth="1"/>
    <col min="5" max="5" width="14.855468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7.85546875" style="121" customWidth="1"/>
    <col min="13" max="13" width="7.85546875" style="2" customWidth="1"/>
    <col min="14" max="14" width="14.28515625" style="120" customWidth="1"/>
    <col min="15" max="15" width="5.140625" style="164" customWidth="1"/>
    <col min="16" max="16" width="30.28515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16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216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COUNTIF($O$7:$O$301,"=Y")</f>
        <v>0</v>
      </c>
      <c r="P2" s="118"/>
      <c r="R2" s="83"/>
      <c r="S2" s="90"/>
      <c r="T2" s="80"/>
      <c r="V2" s="44"/>
      <c r="Z2" s="216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COUNTA($O$7:$O$301)-O2</f>
        <v>37</v>
      </c>
      <c r="P3" s="118"/>
      <c r="R3" s="83"/>
      <c r="S3" s="90"/>
      <c r="T3" s="80"/>
      <c r="V3" s="44"/>
      <c r="Z3" s="216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216"/>
      <c r="AC4" s="124"/>
      <c r="AE4" s="150"/>
    </row>
    <row r="5" spans="1:32" s="10" customFormat="1" ht="15" customHeight="1" x14ac:dyDescent="0.25">
      <c r="A5" s="222" t="str">
        <f>"Eagle P3 Braking Events - "&amp;TEXT(Variables!$A$2,"YYYY-mm-dd")</f>
        <v>Eagle P3 Braking Events - 2017-04-12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217" t="s">
        <v>148</v>
      </c>
      <c r="AA6" s="114" t="s">
        <v>121</v>
      </c>
      <c r="AB6" s="114" t="s">
        <v>149</v>
      </c>
      <c r="AC6" s="126" t="s">
        <v>173</v>
      </c>
      <c r="AD6" s="115" t="s">
        <v>190</v>
      </c>
      <c r="AE6" s="151" t="s">
        <v>200</v>
      </c>
    </row>
    <row r="7" spans="1:32" s="1" customFormat="1" x14ac:dyDescent="0.25">
      <c r="A7" s="32">
        <v>42837.226354166669</v>
      </c>
      <c r="B7" s="30" t="s">
        <v>436</v>
      </c>
      <c r="C7" s="30" t="s">
        <v>617</v>
      </c>
      <c r="D7" s="30" t="s">
        <v>49</v>
      </c>
      <c r="E7" s="30" t="s">
        <v>191</v>
      </c>
      <c r="F7" s="43">
        <v>0</v>
      </c>
      <c r="G7" s="43">
        <v>222</v>
      </c>
      <c r="H7" s="43">
        <v>25870</v>
      </c>
      <c r="I7" s="43">
        <v>26257</v>
      </c>
      <c r="J7" s="30" t="s">
        <v>192</v>
      </c>
      <c r="K7" s="43">
        <v>27052</v>
      </c>
      <c r="L7" s="139" t="s">
        <v>50</v>
      </c>
      <c r="M7" s="140">
        <f t="shared" ref="M7:M43" si="0">CONVERT((I7-K7)/10000,"mi","ft")*IF(L7="Increasing Mileposts (1)",-1,1)</f>
        <v>419.76</v>
      </c>
      <c r="N7" s="141" t="str">
        <f>VLOOKUP(C7,'Trips&amp;Operators'!$C$1:$G$99999,5,FALSE)</f>
        <v>BADERTSCHER DIANE</v>
      </c>
      <c r="O7" s="190" t="s">
        <v>184</v>
      </c>
      <c r="P7" s="142" t="s">
        <v>1038</v>
      </c>
      <c r="Q7" s="30"/>
      <c r="R7" s="89" t="str">
        <f>IF(VLOOKUP(C7,'Train Runs'!$A$13:$AE$9938,1,1)=C7,VLOOKUP(C7,'Train Runs'!$A$13:$AE$9938,31,1),NA())</f>
        <v>aws s3 cp s3://rtdc.mdm.uploadarchive.raw/RTDC4020/ "%USERPROFILE%\AppData\Local\Temp\OnboardLogs"\RTDC4020\2017-04-12 --exclude "*" --recursive --include "*20170412*" &amp; "%USERPROFILE%\Documents\GitHub\mrs-test-scripts\Headless Mode &amp; Sideloading\WalkAndUnGZ.bat" "%USERPROFILE%\AppData\Local\Temp\OnboardLogs"\RTDC4020\2017-04-12 &amp; aws s3 cp s3://rtdc.mdm.uploadarchive.raw/RTDC4020/ "%USERPROFILE%\AppData\Local\Temp\OnboardLogs"\RTDC4020\2017-04-13 --exclude "*" --recursive --include "*20170413*" &amp; "%USERPROFILE%\Documents\GitHub\mrs-test-scripts\Headless Mode &amp; Sideloading\WalkAndUnGZ.bat" "%USERPROFILE%\AppData\Local\Temp\OnboardLogs"\RTDC4020\2017-04-13</v>
      </c>
      <c r="S7" s="92" t="str">
        <f>VLOOKUP(C7,'Train Runs'!$A$13:$AE$9938,22,0)</f>
        <v>https://d0f6bd738d7f1b3e5a7ca70fe4ff75f0.us-east-1.aws.found.io/app/kibana#/discover/Steve-Slow-Train-Analysis-(2080s-and-2083s)?_g=(refreshInterval:(display:Off,pause:!f,section:0,value:0),time:(from:'2017-04-12T04:16:50-0600',mode:absolute,to:'2017-04-12T07:00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7" s="94" t="str">
        <f t="shared" ref="T7:T43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/stypes="*4020*201704121*" /stext=" 11:.+((SYSTEM_STATE.+slice.+state.+changed )|(ment ac)|(multiple cpu faults)|(system.+state.+changed )|(\[timeout)|(PRM\|1\|D)|(kpr)|(kdp)|(\|lc)|(penalty))"</v>
      </c>
      <c r="U7" s="9" t="str">
        <f t="shared" ref="U7:U43" si="2">MID(B7,13,4)</f>
        <v>4020</v>
      </c>
      <c r="V7" s="32">
        <f t="shared" ref="V7:V43" si="3">A7-utc_offset/24</f>
        <v>42837.476354166669</v>
      </c>
      <c r="W7" s="46" t="str">
        <f t="shared" ref="W7:W43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43" si="5">IF(AND(E7="TRACK WARRANT AUTHORITY",G7&lt;10),"OMIT","KEEP")</f>
        <v>KEEP</v>
      </c>
      <c r="Y7" s="104" t="str">
        <f t="shared" ref="Y7:Y4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C","project_id":79,"tracker_id":40,"status_id":1,"priority_id":2,"assigned_to_id":23,"start_date":"2017-04-12","description":"","custom_fields":[{"id":1,"name":"Subdivision","value":"EC"},{"id":4,"name":"Milepost","value":"2.7052"},{"id":17,"name":"Train ID","value":"113-12"},{"id":16,"name":"Locomotive ID","value":"4020"},{"id":130,"name":"Impact","value":""},{"id":150,"name":"Time of Event (Mountain Time)","value":"05:25:57"},{"id":151,"name":"Denver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18"/>
      <c r="AA7" s="48"/>
      <c r="AB7" s="48"/>
      <c r="AC7" s="123" t="str">
        <f t="shared" ref="AC7:AC43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"%USERPROFILE%\AppData\Local\Temp\OnboardLogs"\RTDC4020\*4020*201704121*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"%USERPROFILE%\AppData\Local\Temp\OnboardLogs"\RTDC4020\*4020*201704121* &gt;&gt; 2017-04-12-SliceDisagreementCheck.txt</v>
      </c>
      <c r="AE7" s="153" t="str">
        <f t="shared" ref="AE7" si="8">"start /low /b "&amp;dls3logs&amp;" --loco "&amp;U7&amp;" --day "&amp;TEXT(V7,"YYYY-MM-DD")</f>
        <v>start /low /b %USERPROFILE%\Documents\GitHub\eaglep3\Utilities\DownloadLogsFromS3.py --loco 4020 --day 2017-04-12</v>
      </c>
    </row>
    <row r="8" spans="1:32" s="1" customFormat="1" x14ac:dyDescent="0.25">
      <c r="A8" s="32">
        <v>42837.442314814813</v>
      </c>
      <c r="B8" s="30" t="s">
        <v>436</v>
      </c>
      <c r="C8" s="30" t="s">
        <v>627</v>
      </c>
      <c r="D8" s="30" t="s">
        <v>49</v>
      </c>
      <c r="E8" s="30" t="s">
        <v>191</v>
      </c>
      <c r="F8" s="43">
        <v>0</v>
      </c>
      <c r="G8" s="43">
        <v>214</v>
      </c>
      <c r="H8" s="43">
        <v>26935</v>
      </c>
      <c r="I8" s="43">
        <v>27248</v>
      </c>
      <c r="J8" s="30" t="s">
        <v>192</v>
      </c>
      <c r="K8" s="43">
        <v>27053</v>
      </c>
      <c r="L8" s="139" t="s">
        <v>50</v>
      </c>
      <c r="M8" s="140">
        <f t="shared" si="0"/>
        <v>-102.96</v>
      </c>
      <c r="N8" s="141" t="str">
        <f>VLOOKUP(C8,'Trips&amp;Operators'!$C$1:$G$99999,5,FALSE)</f>
        <v>YORK EDGAR</v>
      </c>
      <c r="O8" s="190" t="s">
        <v>184</v>
      </c>
      <c r="P8" s="142" t="s">
        <v>431</v>
      </c>
      <c r="Q8" s="30"/>
      <c r="R8" s="89" t="str">
        <f>IF(VLOOKUP(C8,'Train Runs'!$A$13:$AE$9938,1,1)=C8,VLOOKUP(C8,'Train Runs'!$A$13:$AE$9938,31,1),NA())</f>
        <v>aws s3 cp s3://rtdc.mdm.uploadarchive.raw/RTDC4020/ "%USERPROFILE%\AppData\Local\Temp\OnboardLogs"\RTDC4020\2017-04-12 --exclude "*" --recursive --include "*20170412*" &amp; "%USERPROFILE%\Documents\GitHub\mrs-test-scripts\Headless Mode &amp; Sideloading\WalkAndUnGZ.bat" "%USERPROFILE%\AppData\Local\Temp\OnboardLogs"\RTDC4020\2017-04-12 &amp; aws s3 cp s3://rtdc.mdm.uploadarchive.raw/RTDC4020/ "%USERPROFILE%\AppData\Local\Temp\OnboardLogs"\RTDC4020\2017-04-13 --exclude "*" --recursive --include "*20170413*" &amp; "%USERPROFILE%\Documents\GitHub\mrs-test-scripts\Headless Mode &amp; Sideloading\WalkAndUnGZ.bat" "%USERPROFILE%\AppData\Local\Temp\OnboardLogs"\RTDC4020\2017-04-13</v>
      </c>
      <c r="S8" s="92" t="str">
        <f>VLOOKUP(C8,'Train Runs'!$A$13:$AE$9938,22,0)</f>
        <v>https://d0f6bd738d7f1b3e5a7ca70fe4ff75f0.us-east-1.aws.found.io/app/kibana#/discover/Steve-Slow-Train-Analysis-(2080s-and-2083s)?_g=(refreshInterval:(display:Off,pause:!f,section:0,value:0),time:(from:'2017-04-12T09:24:05-0600',mode:absolute,to:'2017-04-12T12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8" s="94" t="str">
        <f t="shared" si="1"/>
        <v>"C:\Program Files (x86)\AstroGrep\AstroGrep.exe" /e /r /s /spath="%USERPROFILE%\AppData\Local\Temp\OnboardLogs" /stypes="*4020*201704121*" /stext=" 16:.+((SYSTEM_STATE.+slice.+state.+changed )|(ment ac)|(multiple cpu faults)|(system.+state.+changed )|(\[timeout)|(PRM\|1\|D)|(kpr)|(kdp)|(\|lc)|(penalty))"</v>
      </c>
      <c r="U8" s="9" t="str">
        <f t="shared" si="2"/>
        <v>4020</v>
      </c>
      <c r="V8" s="32">
        <f t="shared" si="3"/>
        <v>42837.692314814813</v>
      </c>
      <c r="W8" s="46" t="str">
        <f t="shared" si="4"/>
        <v>EC</v>
      </c>
      <c r="X8" s="46" t="str">
        <f t="shared" si="5"/>
        <v>KEEP</v>
      </c>
      <c r="Y8" s="104" t="str">
        <f t="shared" si="6"/>
        <v>echo {"issue":{"subject":"Early arrival","project_id":79,"tracker_id":40,"status_id":1,"priority_id":2,"assigned_to_id":23,"start_date":"2017-04-12","description":"","custom_fields":[{"id":1,"name":"Subdivision","value":"EC"},{"id":4,"name":"Milepost","value":"2.7053"},{"id":17,"name":"Train ID","value":"155-12"},{"id":16,"name":"Locomotive ID","value":"4020"},{"id":130,"name":"Impact","value":""},{"id":150,"name":"Time of Event (Mountain Time)","value":"10:36:56"},{"id":151,"name":"Denver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18"/>
      <c r="AA8" s="48"/>
      <c r="AB8" s="48"/>
      <c r="AC8" s="123" t="str">
        <f t="shared" si="7"/>
        <v>grep -hSE -A400 "Enforcement Action" "%USERPROFILE%\AppData\Local\Temp\OnboardLogs"\RTDC4020\*4020*201704121*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"%USERPROFILE%\AppData\Local\Temp\OnboardLogs"\RTDC4020\*4020*201704121* &gt;&gt; 2017-04-12-SliceDisagreementCheck.txt</v>
      </c>
      <c r="AE8" s="153" t="str">
        <f t="shared" ref="AE8:AE43" si="9">"start /low /b "&amp;dls3logs&amp;" --loco "&amp;U8&amp;" --day "&amp;TEXT(V8,"YYYY-MM-DD")</f>
        <v>start /low /b %USERPROFILE%\Documents\GitHub\eaglep3\Utilities\DownloadLogsFromS3.py --loco 4020 --day 2017-04-12</v>
      </c>
    </row>
    <row r="9" spans="1:32" s="1" customFormat="1" x14ac:dyDescent="0.25">
      <c r="A9" s="32">
        <v>42837.696932870371</v>
      </c>
      <c r="B9" s="30" t="s">
        <v>555</v>
      </c>
      <c r="C9" s="30" t="s">
        <v>645</v>
      </c>
      <c r="D9" s="30" t="s">
        <v>98</v>
      </c>
      <c r="E9" s="30" t="s">
        <v>191</v>
      </c>
      <c r="F9" s="43">
        <v>190</v>
      </c>
      <c r="G9" s="43">
        <v>245</v>
      </c>
      <c r="H9" s="43">
        <v>27147</v>
      </c>
      <c r="I9" s="43">
        <v>26720</v>
      </c>
      <c r="J9" s="30" t="s">
        <v>192</v>
      </c>
      <c r="K9" s="43">
        <v>27350</v>
      </c>
      <c r="L9" s="139" t="s">
        <v>51</v>
      </c>
      <c r="M9" s="140">
        <f t="shared" si="0"/>
        <v>-332.64</v>
      </c>
      <c r="N9" s="141" t="str">
        <f>VLOOKUP(C9,'Trips&amp;Operators'!$C$1:$G$99999,5,FALSE)</f>
        <v>MENGES BRAD</v>
      </c>
      <c r="O9" s="190" t="s">
        <v>184</v>
      </c>
      <c r="P9" s="142" t="s">
        <v>431</v>
      </c>
      <c r="Q9" s="30"/>
      <c r="R9" s="89" t="str">
        <f>IF(VLOOKUP(C9,'Train Runs'!$A$13:$AE$9938,1,1)=C9,VLOOKUP(C9,'Train Runs'!$A$13:$AE$9938,31,1),NA())</f>
        <v>aws s3 cp s3://rtdc.mdm.uploadarchive.raw/RTDC4011/ "%USERPROFILE%\AppData\Local\Temp\OnboardLogs"\RTDC4011\2017-04-12 --exclude "*" --recursive --include "*20170412*" &amp; "%USERPROFILE%\Documents\GitHub\mrs-test-scripts\Headless Mode &amp; Sideloading\WalkAndUnGZ.bat" "%USERPROFILE%\AppData\Local\Temp\OnboardLogs"\RTDC4011\2017-04-12 &amp; aws s3 cp s3://rtdc.mdm.uploadarchive.raw/RTDC4011/ "%USERPROFILE%\AppData\Local\Temp\OnboardLogs"\RTDC4011\2017-04-13 --exclude "*" --recursive --include "*20170413*" &amp; "%USERPROFILE%\Documents\GitHub\mrs-test-scripts\Headless Mode &amp; Sideloading\WalkAndUnGZ.bat" "%USERPROFILE%\AppData\Local\Temp\OnboardLogs"\RTDC4011\2017-04-13</v>
      </c>
      <c r="S9" s="92" t="str">
        <f>VLOOKUP(C9,'Train Runs'!$A$13:$AE$9938,22,0)</f>
        <v>https://d0f6bd738d7f1b3e5a7ca70fe4ff75f0.us-east-1.aws.found.io/app/kibana#/discover/Steve-Slow-Train-Analysis-(2080s-and-2083s)?_g=(refreshInterval:(display:Off,pause:!f,section:0,value:0),time:(from:'2017-04-12T15:05:54-0600',mode:absolute,to:'2017-04-12T17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9" s="94" t="str">
        <f t="shared" si="1"/>
        <v>"C:\Program Files (x86)\AstroGrep\AstroGrep.exe" /e /r /s /spath="%USERPROFILE%\AppData\Local\Temp\OnboardLogs" /stypes="*4011*201704122*" /stext=" 22:.+((SYSTEM_STATE.+slice.+state.+changed )|(ment ac)|(multiple cpu faults)|(system.+state.+changed )|(\[timeout)|(PRM\|1\|D)|(kpr)|(kdp)|(\|lc)|(penalty))"</v>
      </c>
      <c r="U9" s="9" t="str">
        <f t="shared" si="2"/>
        <v>4011</v>
      </c>
      <c r="V9" s="32">
        <f t="shared" si="3"/>
        <v>42837.946932870371</v>
      </c>
      <c r="W9" s="46" t="str">
        <f t="shared" si="4"/>
        <v>EC</v>
      </c>
      <c r="X9" s="46" t="str">
        <f t="shared" si="5"/>
        <v>KEEP</v>
      </c>
      <c r="Y9" s="104" t="str">
        <f t="shared" si="6"/>
        <v>echo {"issue":{"subject":"Early arrival","project_id":79,"tracker_id":40,"status_id":1,"priority_id":2,"assigned_to_id":23,"start_date":"2017-04-12","description":"","custom_fields":[{"id":1,"name":"Subdivision","value":"EC"},{"id":4,"name":"Milepost","value":"2.735"},{"id":17,"name":"Train ID","value":"194-12"},{"id":16,"name":"Locomotive ID","value":"4011"},{"id":130,"name":"Impact","value":""},{"id":150,"name":"Time of Event (Mountain Time)","value":"16:43:35"},{"id":151,"name":"Denver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18"/>
      <c r="AA9" s="48"/>
      <c r="AB9" s="48"/>
      <c r="AC9" s="123" t="str">
        <f t="shared" si="7"/>
        <v>grep -hSE -A400 "Enforcement Action" "%USERPROFILE%\AppData\Local\Temp\OnboardLogs"\RTDC4011\*4011*201704122*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"%USERPROFILE%\AppData\Local\Temp\OnboardLogs"\RTDC4011\*4011*201704122* &gt;&gt; 2017-04-12-SliceDisagreementCheck.txt</v>
      </c>
      <c r="AE9" s="153" t="str">
        <f t="shared" si="9"/>
        <v>start /low /b %USERPROFILE%\Documents\GitHub\eaglep3\Utilities\DownloadLogsFromS3.py --loco 4011 --day 2017-04-12</v>
      </c>
    </row>
    <row r="10" spans="1:32" s="1" customFormat="1" x14ac:dyDescent="0.25">
      <c r="A10" s="32">
        <v>42837.643229166664</v>
      </c>
      <c r="B10" s="30" t="s">
        <v>433</v>
      </c>
      <c r="C10" s="30" t="s">
        <v>641</v>
      </c>
      <c r="D10" s="30" t="s">
        <v>49</v>
      </c>
      <c r="E10" s="30" t="s">
        <v>191</v>
      </c>
      <c r="F10" s="43">
        <v>0</v>
      </c>
      <c r="G10" s="43">
        <v>199</v>
      </c>
      <c r="H10" s="43">
        <v>31023</v>
      </c>
      <c r="I10" s="43">
        <v>30836</v>
      </c>
      <c r="J10" s="30" t="s">
        <v>192</v>
      </c>
      <c r="K10" s="43">
        <v>30970</v>
      </c>
      <c r="L10" s="139" t="s">
        <v>51</v>
      </c>
      <c r="M10" s="140">
        <f t="shared" si="0"/>
        <v>-70.751999999999995</v>
      </c>
      <c r="N10" s="141" t="str">
        <f>VLOOKUP(C10,'Trips&amp;Operators'!$C$1:$G$99999,5,FALSE)</f>
        <v>LEVIN SCOTT</v>
      </c>
      <c r="O10" s="190" t="s">
        <v>184</v>
      </c>
      <c r="P10" s="142" t="s">
        <v>431</v>
      </c>
      <c r="Q10" s="30"/>
      <c r="R10" s="89" t="str">
        <f>IF(VLOOKUP(C10,'Train Runs'!$A$13:$AE$9938,1,1)=C10,VLOOKUP(C10,'Train Runs'!$A$13:$AE$9938,31,1),NA())</f>
        <v>aws s3 cp s3://rtdc.mdm.uploadarchive.raw/RTDC4019/ "%USERPROFILE%\AppData\Local\Temp\OnboardLogs"\RTDC4019\2017-04-12 --exclude "*" --recursive --include "*20170412*" &amp; "%USERPROFILE%\Documents\GitHub\mrs-test-scripts\Headless Mode &amp; Sideloading\WalkAndUnGZ.bat" "%USERPROFILE%\AppData\Local\Temp\OnboardLogs"\RTDC4019\2017-04-12 &amp; aws s3 cp s3://rtdc.mdm.uploadarchive.raw/RTDC4019/ "%USERPROFILE%\AppData\Local\Temp\OnboardLogs"\RTDC4019\2017-04-13 --exclude "*" --recursive --include "*20170413*" &amp; "%USERPROFILE%\Documents\GitHub\mrs-test-scripts\Headless Mode &amp; Sideloading\WalkAndUnGZ.bat" "%USERPROFILE%\AppData\Local\Temp\OnboardLogs"\RTDC4019\2017-04-13</v>
      </c>
      <c r="S10" s="92" t="str">
        <f>VLOOKUP(C10,'Train Runs'!$A$13:$AE$9938,22,0)</f>
        <v>https://d0f6bd738d7f1b3e5a7ca70fe4ff75f0.us-east-1.aws.found.io/app/kibana#/discover/Steve-Slow-Train-Analysis-(2080s-and-2083s)?_g=(refreshInterval:(display:Off,pause:!f,section:0,value:0),time:(from:'2017-04-12T13:45:52-0600',mode:absolute,to:'2017-04-12T16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0" s="94" t="str">
        <f t="shared" si="1"/>
        <v>"C:\Program Files (x86)\AstroGrep\AstroGrep.exe" /e /r /s /spath="%USERPROFILE%\AppData\Local\Temp\OnboardLogs" /stypes="*4019*201704122*" /stext=" 21:.+((SYSTEM_STATE.+slice.+state.+changed )|(ment ac)|(multiple cpu faults)|(system.+state.+changed )|(\[timeout)|(PRM\|1\|D)|(kpr)|(kdp)|(\|lc)|(penalty))"</v>
      </c>
      <c r="U10" s="9" t="str">
        <f t="shared" si="2"/>
        <v>4019</v>
      </c>
      <c r="V10" s="32">
        <f t="shared" si="3"/>
        <v>42837.893229166664</v>
      </c>
      <c r="W10" s="46" t="str">
        <f t="shared" si="4"/>
        <v>EC</v>
      </c>
      <c r="X10" s="46" t="str">
        <f t="shared" si="5"/>
        <v>KEEP</v>
      </c>
      <c r="Y10" s="104" t="str">
        <f t="shared" si="6"/>
        <v>echo {"issue":{"subject":"Early arrival","project_id":79,"tracker_id":40,"status_id":1,"priority_id":2,"assigned_to_id":23,"start_date":"2017-04-12","description":"","custom_fields":[{"id":1,"name":"Subdivision","value":"EC"},{"id":4,"name":"Milepost","value":"3.097"},{"id":17,"name":"Train ID","value":"184-12"},{"id":16,"name":"Locomotive ID","value":"4019"},{"id":130,"name":"Impact","value":""},{"id":150,"name":"Time of Event (Mountain Time)","value":"15:26:15"},{"id":151,"name":"Denver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18"/>
      <c r="AA10" s="48"/>
      <c r="AB10" s="48"/>
      <c r="AC10" s="123" t="str">
        <f t="shared" si="7"/>
        <v>grep -hSE -A400 "Enforcement Action" "%USERPROFILE%\AppData\Local\Temp\OnboardLogs"\RTDC4019\*4019*201704122*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"%USERPROFILE%\AppData\Local\Temp\OnboardLogs"\RTDC4019\*4019*201704122* &gt;&gt; 2017-04-12-SliceDisagreementCheck.txt</v>
      </c>
      <c r="AE10" s="153" t="str">
        <f t="shared" si="9"/>
        <v>start /low /b %USERPROFILE%\Documents\GitHub\eaglep3\Utilities\DownloadLogsFromS3.py --loco 4019 --day 2017-04-12</v>
      </c>
    </row>
    <row r="11" spans="1:32" s="1" customFormat="1" x14ac:dyDescent="0.25">
      <c r="A11" s="32">
        <v>42837.708078703705</v>
      </c>
      <c r="B11" s="30" t="s">
        <v>380</v>
      </c>
      <c r="C11" s="30" t="s">
        <v>647</v>
      </c>
      <c r="D11" s="30" t="s">
        <v>49</v>
      </c>
      <c r="E11" s="30" t="s">
        <v>191</v>
      </c>
      <c r="F11" s="43">
        <v>0</v>
      </c>
      <c r="G11" s="43">
        <v>451</v>
      </c>
      <c r="H11" s="43">
        <v>56872</v>
      </c>
      <c r="I11" s="43">
        <v>58243</v>
      </c>
      <c r="J11" s="30" t="s">
        <v>192</v>
      </c>
      <c r="K11" s="43">
        <v>58118</v>
      </c>
      <c r="L11" s="139" t="s">
        <v>50</v>
      </c>
      <c r="M11" s="140">
        <f t="shared" si="0"/>
        <v>-66</v>
      </c>
      <c r="N11" s="141" t="str">
        <f>VLOOKUP(C11,'Trips&amp;Operators'!$C$1:$G$99999,5,FALSE)</f>
        <v>GUZMAN DANNY</v>
      </c>
      <c r="O11" s="190" t="s">
        <v>184</v>
      </c>
      <c r="P11" s="142" t="s">
        <v>431</v>
      </c>
      <c r="Q11" s="30"/>
      <c r="R11" s="89" t="str">
        <f>IF(VLOOKUP(C11,'Train Runs'!$A$13:$AE$9938,1,1)=C11,VLOOKUP(C11,'Train Runs'!$A$13:$AE$9938,31,1),NA())</f>
        <v>aws s3 cp s3://rtdc.mdm.uploadarchive.raw/RTDC4044/ "%USERPROFILE%\AppData\Local\Temp\OnboardLogs"\RTDC4044\2017-04-12 --exclude "*" --recursive --include "*20170412*" &amp; "%USERPROFILE%\Documents\GitHub\mrs-test-scripts\Headless Mode &amp; Sideloading\WalkAndUnGZ.bat" "%USERPROFILE%\AppData\Local\Temp\OnboardLogs"\RTDC4044\2017-04-12 &amp; aws s3 cp s3://rtdc.mdm.uploadarchive.raw/RTDC4044/ "%USERPROFILE%\AppData\Local\Temp\OnboardLogs"\RTDC4044\2017-04-13 --exclude "*" --recursive --include "*20170413*" &amp; "%USERPROFILE%\Documents\GitHub\mrs-test-scripts\Headless Mode &amp; Sideloading\WalkAndUnGZ.bat" "%USERPROFILE%\AppData\Local\Temp\OnboardLogs"\RTDC4044\2017-04-13</v>
      </c>
      <c r="S11" s="92" t="str">
        <f>VLOOKUP(C11,'Train Runs'!$A$13:$AE$9938,22,0)</f>
        <v>https://d0f6bd738d7f1b3e5a7ca70fe4ff75f0.us-east-1.aws.found.io/app/kibana#/discover/Steve-Slow-Train-Analysis-(2080s-and-2083s)?_g=(refreshInterval:(display:Off,pause:!f,section:0,value:0),time:(from:'2017-04-12T15:38:21-0600',mode:absolute,to:'2017-04-12T18:26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1" s="94" t="str">
        <f t="shared" si="1"/>
        <v>"C:\Program Files (x86)\AstroGrep\AstroGrep.exe" /e /r /s /spath="%USERPROFILE%\AppData\Local\Temp\OnboardLogs" /stypes="*4044*201704122*" /stext=" 22:.+((SYSTEM_STATE.+slice.+state.+changed )|(ment ac)|(multiple cpu faults)|(system.+state.+changed )|(\[timeout)|(PRM\|1\|D)|(kpr)|(kdp)|(\|lc)|(penalty))"</v>
      </c>
      <c r="U11" s="9" t="str">
        <f t="shared" si="2"/>
        <v>4044</v>
      </c>
      <c r="V11" s="32">
        <f t="shared" si="3"/>
        <v>42837.958078703705</v>
      </c>
      <c r="W11" s="46" t="str">
        <f t="shared" si="4"/>
        <v>EC</v>
      </c>
      <c r="X11" s="46" t="str">
        <f t="shared" si="5"/>
        <v>KEEP</v>
      </c>
      <c r="Y11" s="104" t="str">
        <f t="shared" si="6"/>
        <v>echo {"issue":{"subject":"Early arrival","project_id":79,"tracker_id":40,"status_id":1,"priority_id":2,"assigned_to_id":23,"start_date":"2017-04-12","description":"","custom_fields":[{"id":1,"name":"Subdivision","value":"EC"},{"id":4,"name":"Milepost","value":"5.8118"},{"id":17,"name":"Train ID","value":"205-12"},{"id":16,"name":"Locomotive ID","value":"4044"},{"id":130,"name":"Impact","value":""},{"id":150,"name":"Time of Event (Mountain Time)","value":"16:59:38"},{"id":151,"name":"Denver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18"/>
      <c r="AA11" s="48"/>
      <c r="AB11" s="48"/>
      <c r="AC11" s="123" t="str">
        <f t="shared" si="7"/>
        <v>grep -hSE -A400 "Enforcement Action" "%USERPROFILE%\AppData\Local\Temp\OnboardLogs"\RTDC4044\*4044*201704122*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"%USERPROFILE%\AppData\Local\Temp\OnboardLogs"\RTDC4044\*4044*201704122* &gt;&gt; 2017-04-12-SliceDisagreementCheck.txt</v>
      </c>
      <c r="AE11" s="153" t="str">
        <f t="shared" si="9"/>
        <v>start /low /b %USERPROFILE%\Documents\GitHub\eaglep3\Utilities\DownloadLogsFromS3.py --loco 4044 --day 2017-04-12</v>
      </c>
    </row>
    <row r="12" spans="1:32" s="1" customFormat="1" x14ac:dyDescent="0.25">
      <c r="A12" s="32">
        <v>42837.737847222219</v>
      </c>
      <c r="B12" s="30" t="s">
        <v>436</v>
      </c>
      <c r="C12" s="30" t="s">
        <v>649</v>
      </c>
      <c r="D12" s="30" t="s">
        <v>49</v>
      </c>
      <c r="E12" s="30" t="s">
        <v>191</v>
      </c>
      <c r="F12" s="43">
        <v>50</v>
      </c>
      <c r="G12" s="43">
        <v>372</v>
      </c>
      <c r="H12" s="43">
        <v>56433</v>
      </c>
      <c r="I12" s="43">
        <v>57331</v>
      </c>
      <c r="J12" s="30" t="s">
        <v>192</v>
      </c>
      <c r="K12" s="43">
        <v>58118</v>
      </c>
      <c r="L12" s="139" t="s">
        <v>50</v>
      </c>
      <c r="M12" s="140">
        <f t="shared" si="0"/>
        <v>415.536</v>
      </c>
      <c r="N12" s="141" t="str">
        <f>VLOOKUP(C12,'Trips&amp;Operators'!$C$1:$G$99999,5,FALSE)</f>
        <v>LOCKLEAR TRAVIS</v>
      </c>
      <c r="O12" s="190" t="s">
        <v>184</v>
      </c>
      <c r="P12" s="142" t="s">
        <v>431</v>
      </c>
      <c r="Q12" s="30"/>
      <c r="R12" s="89" t="str">
        <f>IF(VLOOKUP(C12,'Train Runs'!$A$13:$AE$9938,1,1)=C12,VLOOKUP(C12,'Train Runs'!$A$13:$AE$9938,31,1),NA())</f>
        <v>aws s3 cp s3://rtdc.mdm.uploadarchive.raw/RTDC4020/ "%USERPROFILE%\AppData\Local\Temp\OnboardLogs"\RTDC4020\2017-04-12 --exclude "*" --recursive --include "*20170412*" &amp; "%USERPROFILE%\Documents\GitHub\mrs-test-scripts\Headless Mode &amp; Sideloading\WalkAndUnGZ.bat" "%USERPROFILE%\AppData\Local\Temp\OnboardLogs"\RTDC4020\2017-04-12 &amp; aws s3 cp s3://rtdc.mdm.uploadarchive.raw/RTDC4020/ "%USERPROFILE%\AppData\Local\Temp\OnboardLogs"\RTDC4020\2017-04-13 --exclude "*" --recursive --include "*20170413*" &amp; "%USERPROFILE%\Documents\GitHub\mrs-test-scripts\Headless Mode &amp; Sideloading\WalkAndUnGZ.bat" "%USERPROFILE%\AppData\Local\Temp\OnboardLogs"\RTDC4020\2017-04-13</v>
      </c>
      <c r="S12" s="92" t="str">
        <f>VLOOKUP(C12,'Train Runs'!$A$13:$AE$9938,22,0)</f>
        <v>https://d0f6bd738d7f1b3e5a7ca70fe4ff75f0.us-east-1.aws.found.io/app/kibana#/discover/Steve-Slow-Train-Analysis-(2080s-and-2083s)?_g=(refreshInterval:(display:Off,pause:!f,section:0,value:0),time:(from:'2017-04-12T16:22:46-0600',mode:absolute,to:'2017-04-12T19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2" s="94" t="str">
        <f t="shared" si="1"/>
        <v>"C:\Program Files (x86)\AstroGrep\AstroGrep.exe" /e /r /s /spath="%USERPROFILE%\AppData\Local\Temp\OnboardLogs" /stypes="*4020*201704122*" /stext=" 23:.+((SYSTEM_STATE.+slice.+state.+changed )|(ment ac)|(multiple cpu faults)|(system.+state.+changed )|(\[timeout)|(PRM\|1\|D)|(kpr)|(kdp)|(\|lc)|(penalty))"</v>
      </c>
      <c r="U12" s="9" t="str">
        <f t="shared" si="2"/>
        <v>4020</v>
      </c>
      <c r="V12" s="32">
        <f t="shared" si="3"/>
        <v>42837.987847222219</v>
      </c>
      <c r="W12" s="46" t="str">
        <f t="shared" si="4"/>
        <v>EC</v>
      </c>
      <c r="X12" s="46" t="str">
        <f t="shared" si="5"/>
        <v>KEEP</v>
      </c>
      <c r="Y12" s="104" t="str">
        <f t="shared" si="6"/>
        <v>echo {"issue":{"subject":"Early arrival","project_id":79,"tracker_id":40,"status_id":1,"priority_id":2,"assigned_to_id":23,"start_date":"2017-04-12","description":"","custom_fields":[{"id":1,"name":"Subdivision","value":"EC"},{"id":4,"name":"Milepost","value":"5.8118"},{"id":17,"name":"Train ID","value":"211-12"},{"id":16,"name":"Locomotive ID","value":"4020"},{"id":130,"name":"Impact","value":""},{"id":150,"name":"Time of Event (Mountain Time)","value":"17:42:30"},{"id":151,"name":"Denver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18"/>
      <c r="AA12" s="48"/>
      <c r="AB12" s="48"/>
      <c r="AC12" s="123" t="str">
        <f t="shared" si="7"/>
        <v>grep -hSE -A400 "Enforcement Action" "%USERPROFILE%\AppData\Local\Temp\OnboardLogs"\RTDC4020\*4020*201704122*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"%USERPROFILE%\AppData\Local\Temp\OnboardLogs"\RTDC4020\*4020*201704122* &gt;&gt; 2017-04-12-SliceDisagreementCheck.txt</v>
      </c>
      <c r="AE12" s="153" t="str">
        <f t="shared" si="9"/>
        <v>start /low /b %USERPROFILE%\Documents\GitHub\eaglep3\Utilities\DownloadLogsFromS3.py --loco 4020 --day 2017-04-12</v>
      </c>
    </row>
    <row r="13" spans="1:32" s="1" customFormat="1" x14ac:dyDescent="0.25">
      <c r="A13" s="32">
        <v>42837.650925925926</v>
      </c>
      <c r="B13" s="30" t="s">
        <v>500</v>
      </c>
      <c r="C13" s="30" t="s">
        <v>642</v>
      </c>
      <c r="D13" s="30" t="s">
        <v>49</v>
      </c>
      <c r="E13" s="30" t="s">
        <v>191</v>
      </c>
      <c r="F13" s="43">
        <v>230</v>
      </c>
      <c r="G13" s="43">
        <v>317</v>
      </c>
      <c r="H13" s="43">
        <v>59229</v>
      </c>
      <c r="I13" s="43">
        <v>58811</v>
      </c>
      <c r="J13" s="30" t="s">
        <v>192</v>
      </c>
      <c r="K13" s="43">
        <v>58301</v>
      </c>
      <c r="L13" s="139" t="s">
        <v>51</v>
      </c>
      <c r="M13" s="140">
        <f t="shared" si="0"/>
        <v>269.27999999999997</v>
      </c>
      <c r="N13" s="141" t="str">
        <f>VLOOKUP(C13,'Trips&amp;Operators'!$C$1:$G$99999,5,FALSE)</f>
        <v>STRICKLAND EVAN</v>
      </c>
      <c r="O13" s="190" t="s">
        <v>184</v>
      </c>
      <c r="P13" s="142" t="s">
        <v>431</v>
      </c>
      <c r="Q13" s="30"/>
      <c r="R13" s="89" t="str">
        <f>IF(VLOOKUP(C13,'Train Runs'!$A$13:$AE$9938,1,1)=C13,VLOOKUP(C13,'Train Runs'!$A$13:$AE$9938,31,1),NA())</f>
        <v>aws s3 cp s3://rtdc.mdm.uploadarchive.raw/RTDC4039/ "%USERPROFILE%\AppData\Local\Temp\OnboardLogs"\RTDC4039\2017-04-12 --exclude "*" --recursive --include "*20170412*" &amp; "%USERPROFILE%\Documents\GitHub\mrs-test-scripts\Headless Mode &amp; Sideloading\WalkAndUnGZ.bat" "%USERPROFILE%\AppData\Local\Temp\OnboardLogs"\RTDC4039\2017-04-12 &amp; aws s3 cp s3://rtdc.mdm.uploadarchive.raw/RTDC4039/ "%USERPROFILE%\AppData\Local\Temp\OnboardLogs"\RTDC4039\2017-04-13 --exclude "*" --recursive --include "*20170413*" &amp; "%USERPROFILE%\Documents\GitHub\mrs-test-scripts\Headless Mode &amp; Sideloading\WalkAndUnGZ.bat" "%USERPROFILE%\AppData\Local\Temp\OnboardLogs"\RTDC4039\2017-04-13</v>
      </c>
      <c r="S13" s="92" t="str">
        <f>VLOOKUP(C13,'Train Runs'!$A$13:$AE$9938,22,0)</f>
        <v>https://d0f6bd738d7f1b3e5a7ca70fe4ff75f0.us-east-1.aws.found.io/app/kibana#/discover/Steve-Slow-Train-Analysis-(2080s-and-2083s)?_g=(refreshInterval:(display:Off,pause:!f,section:0,value:0),time:(from:'2017-04-12T13:56:33-0600',mode:absolute,to:'2017-04-12T16:52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3" s="94" t="str">
        <f t="shared" si="1"/>
        <v>"C:\Program Files (x86)\AstroGrep\AstroGrep.exe" /e /r /s /spath="%USERPROFILE%\AppData\Local\Temp\OnboardLogs" /stypes="*4039*201704122*" /stext=" 21:.+((SYSTEM_STATE.+slice.+state.+changed )|(ment ac)|(multiple cpu faults)|(system.+state.+changed )|(\[timeout)|(PRM\|1\|D)|(kpr)|(kdp)|(\|lc)|(penalty))"</v>
      </c>
      <c r="U13" s="9" t="str">
        <f t="shared" si="2"/>
        <v>4039</v>
      </c>
      <c r="V13" s="32">
        <f t="shared" si="3"/>
        <v>42837.900925925926</v>
      </c>
      <c r="W13" s="46" t="str">
        <f t="shared" si="4"/>
        <v>EC</v>
      </c>
      <c r="X13" s="46" t="str">
        <f t="shared" si="5"/>
        <v>KEEP</v>
      </c>
      <c r="Y13" s="104" t="str">
        <f t="shared" si="6"/>
        <v>echo {"issue":{"subject":"Early arrival","project_id":79,"tracker_id":40,"status_id":1,"priority_id":2,"assigned_to_id":23,"start_date":"2017-04-12","description":"","custom_fields":[{"id":1,"name":"Subdivision","value":"EC"},{"id":4,"name":"Milepost","value":"5.8301"},{"id":17,"name":"Train ID","value":"186-12"},{"id":16,"name":"Locomotive ID","value":"4039"},{"id":130,"name":"Impact","value":""},{"id":150,"name":"Time of Event (Mountain Time)","value":"15:37:20"},{"id":151,"name":"Denver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18"/>
      <c r="AA13" s="48"/>
      <c r="AB13" s="48"/>
      <c r="AC13" s="123" t="str">
        <f t="shared" si="7"/>
        <v>grep -hSE -A400 "Enforcement Action" "%USERPROFILE%\AppData\Local\Temp\OnboardLogs"\RTDC4039\*4039*201704122*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"%USERPROFILE%\AppData\Local\Temp\OnboardLogs"\RTDC4039\*4039*201704122* &gt;&gt; 2017-04-12-SliceDisagreementCheck.txt</v>
      </c>
      <c r="AE13" s="153" t="str">
        <f t="shared" si="9"/>
        <v>start /low /b %USERPROFILE%\Documents\GitHub\eaglep3\Utilities\DownloadLogsFromS3.py --loco 4039 --day 2017-04-12</v>
      </c>
    </row>
    <row r="14" spans="1:32" x14ac:dyDescent="0.25">
      <c r="A14" s="32">
        <v>42837.546770833331</v>
      </c>
      <c r="B14" s="30" t="s">
        <v>555</v>
      </c>
      <c r="C14" s="30" t="s">
        <v>635</v>
      </c>
      <c r="D14" s="30" t="s">
        <v>98</v>
      </c>
      <c r="E14" s="30" t="s">
        <v>191</v>
      </c>
      <c r="F14" s="43">
        <v>290</v>
      </c>
      <c r="G14" s="43">
        <v>342</v>
      </c>
      <c r="H14" s="43">
        <v>58128</v>
      </c>
      <c r="I14" s="43">
        <v>57106</v>
      </c>
      <c r="J14" s="30" t="s">
        <v>192</v>
      </c>
      <c r="K14" s="43">
        <v>58301</v>
      </c>
      <c r="L14" s="139" t="s">
        <v>51</v>
      </c>
      <c r="M14" s="140">
        <f t="shared" si="0"/>
        <v>-630.96</v>
      </c>
      <c r="N14" s="141" t="str">
        <f>VLOOKUP(C14,'Trips&amp;Operators'!$C$1:$G$99999,5,FALSE)</f>
        <v>MENGES BRAD</v>
      </c>
      <c r="O14" s="190" t="s">
        <v>184</v>
      </c>
      <c r="P14" s="142" t="s">
        <v>431</v>
      </c>
      <c r="Q14" s="30"/>
      <c r="R14" s="89" t="str">
        <f>IF(VLOOKUP(C14,'Train Runs'!$A$13:$AE$9938,1,1)=C14,VLOOKUP(C14,'Train Runs'!$A$13:$AE$9938,31,1),NA())</f>
        <v>aws s3 cp s3://rtdc.mdm.uploadarchive.raw/RTDC4011/ "%USERPROFILE%\AppData\Local\Temp\OnboardLogs"\RTDC4011\2017-04-12 --exclude "*" --recursive --include "*20170412*" &amp; "%USERPROFILE%\Documents\GitHub\mrs-test-scripts\Headless Mode &amp; Sideloading\WalkAndUnGZ.bat" "%USERPROFILE%\AppData\Local\Temp\OnboardLogs"\RTDC4011\2017-04-12 &amp; aws s3 cp s3://rtdc.mdm.uploadarchive.raw/RTDC4011/ "%USERPROFILE%\AppData\Local\Temp\OnboardLogs"\RTDC4011\2017-04-13 --exclude "*" --recursive --include "*20170413*" &amp; "%USERPROFILE%\Documents\GitHub\mrs-test-scripts\Headless Mode &amp; Sideloading\WalkAndUnGZ.bat" "%USERPROFILE%\AppData\Local\Temp\OnboardLogs"\RTDC4011\2017-04-13</v>
      </c>
      <c r="S14" s="92" t="str">
        <f>VLOOKUP(C14,'Train Runs'!$A$13:$AE$9938,22,0)</f>
        <v>https://d0f6bd738d7f1b3e5a7ca70fe4ff75f0.us-east-1.aws.found.io/app/kibana#/discover/Steve-Slow-Train-Analysis-(2080s-and-2083s)?_g=(refreshInterval:(display:Off,pause:!f,section:0,value:0),time:(from:'2017-04-12T11:33:10-0600',mode:absolute,to:'2017-04-12T14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4" s="94" t="str">
        <f t="shared" si="1"/>
        <v>"C:\Program Files (x86)\AstroGrep\AstroGrep.exe" /e /r /s /spath="%USERPROFILE%\AppData\Local\Temp\OnboardLogs" /stypes="*4011*201704121*" /stext=" 19:.+((SYSTEM_STATE.+slice.+state.+changed )|(ment ac)|(multiple cpu faults)|(system.+state.+changed )|(\[timeout)|(PRM\|1\|D)|(kpr)|(kdp)|(\|lc)|(penalty))"</v>
      </c>
      <c r="U14" s="9" t="str">
        <f t="shared" si="2"/>
        <v>4011</v>
      </c>
      <c r="V14" s="32">
        <f t="shared" si="3"/>
        <v>42837.796770833331</v>
      </c>
      <c r="W14" s="46" t="str">
        <f t="shared" si="4"/>
        <v>EC</v>
      </c>
      <c r="X14" s="46" t="str">
        <f t="shared" si="5"/>
        <v>KEEP</v>
      </c>
      <c r="Y14" s="104" t="str">
        <f t="shared" si="6"/>
        <v>echo {"issue":{"subject":"Early arrival","project_id":79,"tracker_id":40,"status_id":1,"priority_id":2,"assigned_to_id":23,"start_date":"2017-04-12","description":"","custom_fields":[{"id":1,"name":"Subdivision","value":"EC"},{"id":4,"name":"Milepost","value":"5.8301"},{"id":17,"name":"Train ID","value":"166-12"},{"id":16,"name":"Locomotive ID","value":"4011"},{"id":130,"name":"Impact","value":""},{"id":150,"name":"Time of Event (Mountain Time)","value":"13:07:21"},{"id":151,"name":"Denver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18"/>
      <c r="AA14" s="48"/>
      <c r="AB14" s="48"/>
      <c r="AC14" s="123" t="str">
        <f t="shared" si="7"/>
        <v>grep -hSE -A400 "Enforcement Action" "%USERPROFILE%\AppData\Local\Temp\OnboardLogs"\RTDC4011\*4011*201704121*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"%USERPROFILE%\AppData\Local\Temp\OnboardLogs"\RTDC4011\*4011*201704121* &gt;&gt; 2017-04-12-SliceDisagreementCheck.txt</v>
      </c>
      <c r="AE14" s="153" t="str">
        <f t="shared" si="9"/>
        <v>start /low /b %USERPROFILE%\Documents\GitHub\eaglep3\Utilities\DownloadLogsFromS3.py --loco 4011 --day 2017-04-12</v>
      </c>
      <c r="AF14" s="1"/>
    </row>
    <row r="15" spans="1:32" x14ac:dyDescent="0.25">
      <c r="A15" s="32">
        <v>42837.41034722222</v>
      </c>
      <c r="B15" s="30" t="s">
        <v>424</v>
      </c>
      <c r="C15" s="30" t="s">
        <v>624</v>
      </c>
      <c r="D15" s="30" t="s">
        <v>49</v>
      </c>
      <c r="E15" s="30" t="s">
        <v>191</v>
      </c>
      <c r="F15" s="43">
        <v>310</v>
      </c>
      <c r="G15" s="43">
        <v>369</v>
      </c>
      <c r="H15" s="43">
        <v>59056</v>
      </c>
      <c r="I15" s="43">
        <v>58279</v>
      </c>
      <c r="J15" s="30" t="s">
        <v>192</v>
      </c>
      <c r="K15" s="43">
        <v>58301</v>
      </c>
      <c r="L15" s="139" t="s">
        <v>51</v>
      </c>
      <c r="M15" s="140">
        <f t="shared" si="0"/>
        <v>-11.616</v>
      </c>
      <c r="N15" s="141" t="str">
        <f>VLOOKUP(C15,'Trips&amp;Operators'!$C$1:$G$99999,5,FALSE)</f>
        <v>ROCHA YAOTL</v>
      </c>
      <c r="O15" s="190" t="s">
        <v>184</v>
      </c>
      <c r="P15" s="142" t="s">
        <v>431</v>
      </c>
      <c r="Q15" s="30"/>
      <c r="R15" s="89" t="str">
        <f>IF(VLOOKUP(C15,'Train Runs'!$A$13:$AE$9938,1,1)=C15,VLOOKUP(C15,'Train Runs'!$A$13:$AE$9938,31,1),NA())</f>
        <v>aws s3 cp s3://rtdc.mdm.uploadarchive.raw/RTDC4041/ "%USERPROFILE%\AppData\Local\Temp\OnboardLogs"\RTDC4041\2017-04-12 --exclude "*" --recursive --include "*20170412*" &amp; "%USERPROFILE%\Documents\GitHub\mrs-test-scripts\Headless Mode &amp; Sideloading\WalkAndUnGZ.bat" "%USERPROFILE%\AppData\Local\Temp\OnboardLogs"\RTDC4041\2017-04-12 &amp; aws s3 cp s3://rtdc.mdm.uploadarchive.raw/RTDC4041/ "%USERPROFILE%\AppData\Local\Temp\OnboardLogs"\RTDC4041\2017-04-13 --exclude "*" --recursive --include "*20170413*" &amp; "%USERPROFILE%\Documents\GitHub\mrs-test-scripts\Headless Mode &amp; Sideloading\WalkAndUnGZ.bat" "%USERPROFILE%\AppData\Local\Temp\OnboardLogs"\RTDC4041\2017-04-13</v>
      </c>
      <c r="S15" s="92" t="str">
        <f>VLOOKUP(C15,'Train Runs'!$A$13:$AE$9938,22,0)</f>
        <v>https://d0f6bd738d7f1b3e5a7ca70fe4ff75f0.us-east-1.aws.found.io/app/kibana#/discover/Steve-Slow-Train-Analysis-(2080s-and-2083s)?_g=(refreshInterval:(display:Off,pause:!f,section:0,value:0),time:(from:'2017-04-12T08:16:17-0600',mode:absolute,to:'2017-04-12T11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5" s="94" t="str">
        <f t="shared" si="1"/>
        <v>"C:\Program Files (x86)\AstroGrep\AstroGrep.exe" /e /r /s /spath="%USERPROFILE%\AppData\Local\Temp\OnboardLogs" /stypes="*4041*201704121*" /stext=" 15:.+((SYSTEM_STATE.+slice.+state.+changed )|(ment ac)|(multiple cpu faults)|(system.+state.+changed )|(\[timeout)|(PRM\|1\|D)|(kpr)|(kdp)|(\|lc)|(penalty))"</v>
      </c>
      <c r="U15" s="9" t="str">
        <f t="shared" si="2"/>
        <v>4041</v>
      </c>
      <c r="V15" s="32">
        <f t="shared" si="3"/>
        <v>42837.66034722222</v>
      </c>
      <c r="W15" s="46" t="str">
        <f t="shared" si="4"/>
        <v>EC</v>
      </c>
      <c r="X15" s="46" t="str">
        <f t="shared" si="5"/>
        <v>KEEP</v>
      </c>
      <c r="Y15" s="104" t="str">
        <f t="shared" si="6"/>
        <v>echo {"issue":{"subject":"Early arrival","project_id":79,"tracker_id":40,"status_id":1,"priority_id":2,"assigned_to_id":23,"start_date":"2017-04-12","description":"","custom_fields":[{"id":1,"name":"Subdivision","value":"EC"},{"id":4,"name":"Milepost","value":"5.8301"},{"id":17,"name":"Train ID","value":"140-12"},{"id":16,"name":"Locomotive ID","value":"4041"},{"id":130,"name":"Impact","value":""},{"id":150,"name":"Time of Event (Mountain Time)","value":"09:50:54"},{"id":151,"name":"Denver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18"/>
      <c r="AA15" s="48"/>
      <c r="AB15" s="48"/>
      <c r="AC15" s="123" t="str">
        <f t="shared" si="7"/>
        <v>grep -hSE -A400 "Enforcement Action" "%USERPROFILE%\AppData\Local\Temp\OnboardLogs"\RTDC4041\*4041*201704121*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"%USERPROFILE%\AppData\Local\Temp\OnboardLogs"\RTDC4041\*4041*201704121* &gt;&gt; 2017-04-12-SliceDisagreementCheck.txt</v>
      </c>
      <c r="AE15" s="153" t="str">
        <f t="shared" si="9"/>
        <v>start /low /b %USERPROFILE%\Documents\GitHub\eaglep3\Utilities\DownloadLogsFromS3.py --loco 4041 --day 2017-04-12</v>
      </c>
      <c r="AF15" s="1"/>
    </row>
    <row r="16" spans="1:32" x14ac:dyDescent="0.25">
      <c r="A16" s="32">
        <v>42837.629733796297</v>
      </c>
      <c r="B16" s="30" t="s">
        <v>424</v>
      </c>
      <c r="C16" s="30" t="s">
        <v>640</v>
      </c>
      <c r="D16" s="30" t="s">
        <v>98</v>
      </c>
      <c r="E16" s="30" t="s">
        <v>191</v>
      </c>
      <c r="F16" s="43">
        <v>390</v>
      </c>
      <c r="G16" s="43">
        <v>440</v>
      </c>
      <c r="H16" s="43">
        <v>58144</v>
      </c>
      <c r="I16" s="43">
        <v>56510</v>
      </c>
      <c r="J16" s="30" t="s">
        <v>192</v>
      </c>
      <c r="K16" s="43">
        <v>58301</v>
      </c>
      <c r="L16" s="139" t="s">
        <v>51</v>
      </c>
      <c r="M16" s="140">
        <f t="shared" si="0"/>
        <v>-945.64800000000002</v>
      </c>
      <c r="N16" s="141" t="str">
        <f>VLOOKUP(C16,'Trips&amp;Operators'!$C$1:$G$99999,5,FALSE)</f>
        <v>LOCKLEAR TRAVIS</v>
      </c>
      <c r="O16" s="190" t="s">
        <v>184</v>
      </c>
      <c r="P16" s="142" t="s">
        <v>431</v>
      </c>
      <c r="Q16" s="30"/>
      <c r="R16" s="89" t="str">
        <f>IF(VLOOKUP(C16,'Train Runs'!$A$13:$AE$9938,1,1)=C16,VLOOKUP(C16,'Train Runs'!$A$13:$AE$9938,31,1),NA())</f>
        <v>aws s3 cp s3://rtdc.mdm.uploadarchive.raw/RTDC4041/ "%USERPROFILE%\AppData\Local\Temp\OnboardLogs"\RTDC4041\2017-04-12 --exclude "*" --recursive --include "*20170412*" &amp; "%USERPROFILE%\Documents\GitHub\mrs-test-scripts\Headless Mode &amp; Sideloading\WalkAndUnGZ.bat" "%USERPROFILE%\AppData\Local\Temp\OnboardLogs"\RTDC4041\2017-04-12 &amp; aws s3 cp s3://rtdc.mdm.uploadarchive.raw/RTDC4041/ "%USERPROFILE%\AppData\Local\Temp\OnboardLogs"\RTDC4041\2017-04-13 --exclude "*" --recursive --include "*20170413*" &amp; "%USERPROFILE%\Documents\GitHub\mrs-test-scripts\Headless Mode &amp; Sideloading\WalkAndUnGZ.bat" "%USERPROFILE%\AppData\Local\Temp\OnboardLogs"\RTDC4041\2017-04-13</v>
      </c>
      <c r="S16" s="92" t="str">
        <f>VLOOKUP(C16,'Train Runs'!$A$13:$AE$9938,22,0)</f>
        <v>https://d0f6bd738d7f1b3e5a7ca70fe4ff75f0.us-east-1.aws.found.io/app/kibana#/discover/Steve-Slow-Train-Analysis-(2080s-and-2083s)?_g=(refreshInterval:(display:Off,pause:!f,section:0,value:0),time:(from:'2017-04-12T13:38:25-0600',mode:absolute,to:'2017-04-12T16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6" s="94" t="str">
        <f t="shared" si="1"/>
        <v>"C:\Program Files (x86)\AstroGrep\AstroGrep.exe" /e /r /s /spath="%USERPROFILE%\AppData\Local\Temp\OnboardLogs" /stypes="*4041*201704122*" /stext=" 21:.+((SYSTEM_STATE.+slice.+state.+changed )|(ment ac)|(multiple cpu faults)|(system.+state.+changed )|(\[timeout)|(PRM\|1\|D)|(kpr)|(kdp)|(\|lc)|(penalty))"</v>
      </c>
      <c r="U16" s="9" t="str">
        <f t="shared" si="2"/>
        <v>4041</v>
      </c>
      <c r="V16" s="32">
        <f t="shared" si="3"/>
        <v>42837.879733796297</v>
      </c>
      <c r="W16" s="46" t="str">
        <f t="shared" si="4"/>
        <v>EC</v>
      </c>
      <c r="X16" s="46" t="str">
        <f t="shared" si="5"/>
        <v>KEEP</v>
      </c>
      <c r="Y16" s="104" t="str">
        <f t="shared" si="6"/>
        <v>echo {"issue":{"subject":"Early arrival","project_id":79,"tracker_id":40,"status_id":1,"priority_id":2,"assigned_to_id":23,"start_date":"2017-04-12","description":"","custom_fields":[{"id":1,"name":"Subdivision","value":"EC"},{"id":4,"name":"Milepost","value":"5.8301"},{"id":17,"name":"Train ID","value":"182-12"},{"id":16,"name":"Locomotive ID","value":"4041"},{"id":130,"name":"Impact","value":""},{"id":150,"name":"Time of Event (Mountain Time)","value":"15:06:49"},{"id":151,"name":"Denver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18"/>
      <c r="AA16" s="48"/>
      <c r="AB16" s="48"/>
      <c r="AC16" s="123" t="str">
        <f t="shared" si="7"/>
        <v>grep -hSE -A400 "Enforcement Action" "%USERPROFILE%\AppData\Local\Temp\OnboardLogs"\RTDC4041\*4041*201704122*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"%USERPROFILE%\AppData\Local\Temp\OnboardLogs"\RTDC4041\*4041*201704122* &gt;&gt; 2017-04-12-SliceDisagreementCheck.txt</v>
      </c>
      <c r="AE16" s="153" t="str">
        <f t="shared" si="9"/>
        <v>start /low /b %USERPROFILE%\Documents\GitHub\eaglep3\Utilities\DownloadLogsFromS3.py --loco 4041 --day 2017-04-12</v>
      </c>
      <c r="AF16" s="1"/>
    </row>
    <row r="17" spans="1:32" x14ac:dyDescent="0.25">
      <c r="A17" s="32">
        <v>42837.769652777781</v>
      </c>
      <c r="B17" s="30" t="s">
        <v>479</v>
      </c>
      <c r="C17" s="30" t="s">
        <v>650</v>
      </c>
      <c r="D17" s="30" t="s">
        <v>49</v>
      </c>
      <c r="E17" s="30" t="s">
        <v>191</v>
      </c>
      <c r="F17" s="43">
        <v>80</v>
      </c>
      <c r="G17" s="43">
        <v>487</v>
      </c>
      <c r="H17" s="43">
        <v>60222</v>
      </c>
      <c r="I17" s="43">
        <v>62011</v>
      </c>
      <c r="J17" s="30" t="s">
        <v>192</v>
      </c>
      <c r="K17" s="43">
        <v>63069</v>
      </c>
      <c r="L17" s="139" t="s">
        <v>50</v>
      </c>
      <c r="M17" s="140">
        <f t="shared" si="0"/>
        <v>558.62400000000002</v>
      </c>
      <c r="N17" s="141" t="str">
        <f>VLOOKUP(C17,'Trips&amp;Operators'!$C$1:$G$99999,5,FALSE)</f>
        <v>LALONDE GREGORY</v>
      </c>
      <c r="O17" s="190" t="s">
        <v>184</v>
      </c>
      <c r="P17" s="142" t="s">
        <v>431</v>
      </c>
      <c r="Q17" s="30"/>
      <c r="R17" s="89" t="str">
        <f>IF(VLOOKUP(C17,'Train Runs'!$A$13:$AE$9938,1,1)=C17,VLOOKUP(C17,'Train Runs'!$A$13:$AE$9938,31,1),NA())</f>
        <v>aws s3 cp s3://rtdc.mdm.uploadarchive.raw/RTDC4054/ "%USERPROFILE%\AppData\Local\Temp\OnboardLogs"\RTDC4054\2017-04-12 --exclude "*" --recursive --include "*20170412*" &amp; "%USERPROFILE%\Documents\GitHub\mrs-test-scripts\Headless Mode &amp; Sideloading\WalkAndUnGZ.bat" "%USERPROFILE%\AppData\Local\Temp\OnboardLogs"\RTDC4054\2017-04-12 &amp; aws s3 cp s3://rtdc.mdm.uploadarchive.raw/RTDC4054/ "%USERPROFILE%\AppData\Local\Temp\OnboardLogs"\RTDC4054\2017-04-13 --exclude "*" --recursive --include "*20170413*" &amp; "%USERPROFILE%\Documents\GitHub\mrs-test-scripts\Headless Mode &amp; Sideloading\WalkAndUnGZ.bat" "%USERPROFILE%\AppData\Local\Temp\OnboardLogs"\RTDC4054\2017-04-13</v>
      </c>
      <c r="S17" s="92" t="str">
        <f>VLOOKUP(C17,'Train Runs'!$A$13:$AE$9938,22,0)</f>
        <v>https://d0f6bd738d7f1b3e5a7ca70fe4ff75f0.us-east-1.aws.found.io/app/kibana#/discover/Steve-Slow-Train-Analysis-(2080s-and-2083s)?_g=(refreshInterval:(display:Off,pause:!f,section:0,value:0),time:(from:'2017-04-12T17:12:33-0600',mode:absolute,to:'2017-04-12T19:52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7" s="94" t="str">
        <f t="shared" si="1"/>
        <v>"C:\Program Files (x86)\AstroGrep\AstroGrep.exe" /e /r /s /spath="%USERPROFILE%\AppData\Local\Temp\OnboardLogs" /stypes="*4054*201704130*" /stext=" 00:.+((SYSTEM_STATE.+slice.+state.+changed )|(ment ac)|(multiple cpu faults)|(system.+state.+changed )|(\[timeout)|(PRM\|1\|D)|(kpr)|(kdp)|(\|lc)|(penalty))"</v>
      </c>
      <c r="U17" s="9" t="str">
        <f t="shared" si="2"/>
        <v>4054</v>
      </c>
      <c r="V17" s="32">
        <f t="shared" si="3"/>
        <v>42838.019652777781</v>
      </c>
      <c r="W17" s="46" t="str">
        <f t="shared" si="4"/>
        <v>EC</v>
      </c>
      <c r="X17" s="46" t="str">
        <f t="shared" si="5"/>
        <v>KEEP</v>
      </c>
      <c r="Y17" s="104" t="str">
        <f t="shared" si="6"/>
        <v>echo {"issue":{"subject":"Early arrival","project_id":79,"tracker_id":40,"status_id":1,"priority_id":2,"assigned_to_id":23,"start_date":"2017-04-12","description":"","custom_fields":[{"id":1,"name":"Subdivision","value":"EC"},{"id":4,"name":"Milepost","value":"6.3069"},{"id":17,"name":"Train ID","value":"217-12"},{"id":16,"name":"Locomotive ID","value":"4054"},{"id":130,"name":"Impact","value":""},{"id":150,"name":"Time of Event (Mountain Time)","value":"18:28:18"},{"id":151,"name":"Denver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18"/>
      <c r="AA17" s="48"/>
      <c r="AB17" s="48"/>
      <c r="AC17" s="123" t="str">
        <f t="shared" si="7"/>
        <v>grep -hSE -A400 "Enforcement Action" "%USERPROFILE%\AppData\Local\Temp\OnboardLogs"\RTDC4054\*4054*201704130*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"%USERPROFILE%\AppData\Local\Temp\OnboardLogs"\RTDC4054\*4054*201704130* &gt;&gt; 2017-04-12-SliceDisagreementCheck.txt</v>
      </c>
      <c r="AE17" s="153" t="str">
        <f t="shared" si="9"/>
        <v>start /low /b %USERPROFILE%\Documents\GitHub\eaglep3\Utilities\DownloadLogsFromS3.py --loco 4054 --day 2017-04-13</v>
      </c>
      <c r="AF17" s="1"/>
    </row>
    <row r="18" spans="1:32" ht="15" customHeight="1" x14ac:dyDescent="0.25">
      <c r="A18" s="32">
        <v>42837.770381944443</v>
      </c>
      <c r="B18" s="30" t="s">
        <v>479</v>
      </c>
      <c r="C18" s="30" t="s">
        <v>650</v>
      </c>
      <c r="D18" s="30" t="s">
        <v>49</v>
      </c>
      <c r="E18" s="30" t="s">
        <v>191</v>
      </c>
      <c r="F18" s="43">
        <v>290</v>
      </c>
      <c r="G18" s="43">
        <v>341</v>
      </c>
      <c r="H18" s="43">
        <v>63035</v>
      </c>
      <c r="I18" s="43">
        <v>63734</v>
      </c>
      <c r="J18" s="30" t="s">
        <v>192</v>
      </c>
      <c r="K18" s="43">
        <v>63069</v>
      </c>
      <c r="L18" s="139" t="s">
        <v>50</v>
      </c>
      <c r="M18" s="140">
        <f t="shared" si="0"/>
        <v>-351.12</v>
      </c>
      <c r="N18" s="141" t="str">
        <f>VLOOKUP(C18,'Trips&amp;Operators'!$C$1:$G$99999,5,FALSE)</f>
        <v>LALONDE GREGORY</v>
      </c>
      <c r="O18" s="190" t="s">
        <v>184</v>
      </c>
      <c r="P18" s="142" t="s">
        <v>431</v>
      </c>
      <c r="Q18" s="30"/>
      <c r="R18" s="89" t="str">
        <f>IF(VLOOKUP(C18,'Train Runs'!$A$13:$AE$9938,1,1)=C18,VLOOKUP(C18,'Train Runs'!$A$13:$AE$9938,31,1),NA())</f>
        <v>aws s3 cp s3://rtdc.mdm.uploadarchive.raw/RTDC4054/ "%USERPROFILE%\AppData\Local\Temp\OnboardLogs"\RTDC4054\2017-04-12 --exclude "*" --recursive --include "*20170412*" &amp; "%USERPROFILE%\Documents\GitHub\mrs-test-scripts\Headless Mode &amp; Sideloading\WalkAndUnGZ.bat" "%USERPROFILE%\AppData\Local\Temp\OnboardLogs"\RTDC4054\2017-04-12 &amp; aws s3 cp s3://rtdc.mdm.uploadarchive.raw/RTDC4054/ "%USERPROFILE%\AppData\Local\Temp\OnboardLogs"\RTDC4054\2017-04-13 --exclude "*" --recursive --include "*20170413*" &amp; "%USERPROFILE%\Documents\GitHub\mrs-test-scripts\Headless Mode &amp; Sideloading\WalkAndUnGZ.bat" "%USERPROFILE%\AppData\Local\Temp\OnboardLogs"\RTDC4054\2017-04-13</v>
      </c>
      <c r="S18" s="92" t="str">
        <f>VLOOKUP(C18,'Train Runs'!$A$13:$AE$9938,22,0)</f>
        <v>https://d0f6bd738d7f1b3e5a7ca70fe4ff75f0.us-east-1.aws.found.io/app/kibana#/discover/Steve-Slow-Train-Analysis-(2080s-and-2083s)?_g=(refreshInterval:(display:Off,pause:!f,section:0,value:0),time:(from:'2017-04-12T17:12:33-0600',mode:absolute,to:'2017-04-12T19:52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8" s="94" t="str">
        <f t="shared" si="1"/>
        <v>"C:\Program Files (x86)\AstroGrep\AstroGrep.exe" /e /r /s /spath="%USERPROFILE%\AppData\Local\Temp\OnboardLogs" /stypes="*4054*201704130*" /stext=" 00:.+((SYSTEM_STATE.+slice.+state.+changed )|(ment ac)|(multiple cpu faults)|(system.+state.+changed )|(\[timeout)|(PRM\|1\|D)|(kpr)|(kdp)|(\|lc)|(penalty))"</v>
      </c>
      <c r="U18" s="9" t="str">
        <f t="shared" si="2"/>
        <v>4054</v>
      </c>
      <c r="V18" s="32">
        <f t="shared" si="3"/>
        <v>42838.020381944443</v>
      </c>
      <c r="W18" s="46" t="str">
        <f t="shared" si="4"/>
        <v>EC</v>
      </c>
      <c r="X18" s="46" t="str">
        <f t="shared" si="5"/>
        <v>KEEP</v>
      </c>
      <c r="Y18" s="104" t="str">
        <f t="shared" si="6"/>
        <v>echo {"issue":{"subject":"Early arrival","project_id":79,"tracker_id":40,"status_id":1,"priority_id":2,"assigned_to_id":23,"start_date":"2017-04-12","description":"","custom_fields":[{"id":1,"name":"Subdivision","value":"EC"},{"id":4,"name":"Milepost","value":"6.3069"},{"id":17,"name":"Train ID","value":"217-12"},{"id":16,"name":"Locomotive ID","value":"4054"},{"id":130,"name":"Impact","value":""},{"id":150,"name":"Time of Event (Mountain Time)","value":"18:29:21"},{"id":151,"name":"Denver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18"/>
      <c r="AA18" s="48"/>
      <c r="AB18" s="48"/>
      <c r="AC18" s="123" t="str">
        <f t="shared" si="7"/>
        <v>grep -hSE -A400 "Enforcement Action" "%USERPROFILE%\AppData\Local\Temp\OnboardLogs"\RTDC4054\*4054*201704130*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"%USERPROFILE%\AppData\Local\Temp\OnboardLogs"\RTDC4054\*4054*201704130* &gt;&gt; 2017-04-12-SliceDisagreementCheck.txt</v>
      </c>
      <c r="AE18" s="153" t="str">
        <f t="shared" si="9"/>
        <v>start /low /b %USERPROFILE%\Documents\GitHub\eaglep3\Utilities\DownloadLogsFromS3.py --loco 4054 --day 2017-04-13</v>
      </c>
      <c r="AF18" s="1"/>
    </row>
    <row r="19" spans="1:32" x14ac:dyDescent="0.25">
      <c r="A19" s="32">
        <v>42837.665196759262</v>
      </c>
      <c r="B19" s="30" t="s">
        <v>436</v>
      </c>
      <c r="C19" s="30" t="s">
        <v>643</v>
      </c>
      <c r="D19" s="30" t="s">
        <v>49</v>
      </c>
      <c r="E19" s="30" t="s">
        <v>191</v>
      </c>
      <c r="F19" s="43">
        <v>320</v>
      </c>
      <c r="G19" s="43">
        <v>504</v>
      </c>
      <c r="H19" s="43">
        <v>61675</v>
      </c>
      <c r="I19" s="43">
        <v>63110</v>
      </c>
      <c r="J19" s="30" t="s">
        <v>192</v>
      </c>
      <c r="K19" s="43">
        <v>63069</v>
      </c>
      <c r="L19" s="139" t="s">
        <v>50</v>
      </c>
      <c r="M19" s="140">
        <f t="shared" si="0"/>
        <v>-21.648000000000003</v>
      </c>
      <c r="N19" s="141" t="str">
        <f>VLOOKUP(C19,'Trips&amp;Operators'!$C$1:$G$99999,5,FALSE)</f>
        <v>LEVIN SCOTT</v>
      </c>
      <c r="O19" s="190" t="s">
        <v>184</v>
      </c>
      <c r="P19" s="142" t="s">
        <v>431</v>
      </c>
      <c r="Q19" s="30"/>
      <c r="R19" s="89" t="str">
        <f>IF(VLOOKUP(C19,'Train Runs'!$A$13:$AE$9938,1,1)=C19,VLOOKUP(C19,'Train Runs'!$A$13:$AE$9938,31,1),NA())</f>
        <v>aws s3 cp s3://rtdc.mdm.uploadarchive.raw/RTDC4020/ "%USERPROFILE%\AppData\Local\Temp\OnboardLogs"\RTDC4020\2017-04-12 --exclude "*" --recursive --include "*20170412*" &amp; "%USERPROFILE%\Documents\GitHub\mrs-test-scripts\Headless Mode &amp; Sideloading\WalkAndUnGZ.bat" "%USERPROFILE%\AppData\Local\Temp\OnboardLogs"\RTDC4020\2017-04-12 &amp; aws s3 cp s3://rtdc.mdm.uploadarchive.raw/RTDC4020/ "%USERPROFILE%\AppData\Local\Temp\OnboardLogs"\RTDC4020\2017-04-13 --exclude "*" --recursive --include "*20170413*" &amp; "%USERPROFILE%\Documents\GitHub\mrs-test-scripts\Headless Mode &amp; Sideloading\WalkAndUnGZ.bat" "%USERPROFILE%\AppData\Local\Temp\OnboardLogs"\RTDC4020\2017-04-13</v>
      </c>
      <c r="S19" s="92" t="str">
        <f>VLOOKUP(C19,'Train Runs'!$A$13:$AE$9938,22,0)</f>
        <v>https://d0f6bd738d7f1b3e5a7ca70fe4ff75f0.us-east-1.aws.found.io/app/kibana#/discover/Steve-Slow-Train-Analysis-(2080s-and-2083s)?_g=(refreshInterval:(display:Off,pause:!f,section:0,value:0),time:(from:'2017-04-12T14:39:59-0600',mode:absolute,to:'2017-04-12T17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9" s="94" t="str">
        <f t="shared" si="1"/>
        <v>"C:\Program Files (x86)\AstroGrep\AstroGrep.exe" /e /r /s /spath="%USERPROFILE%\AppData\Local\Temp\OnboardLogs" /stypes="*4020*201704122*" /stext=" 21:.+((SYSTEM_STATE.+slice.+state.+changed )|(ment ac)|(multiple cpu faults)|(system.+state.+changed )|(\[timeout)|(PRM\|1\|D)|(kpr)|(kdp)|(\|lc)|(penalty))"</v>
      </c>
      <c r="U19" s="9" t="str">
        <f t="shared" si="2"/>
        <v>4020</v>
      </c>
      <c r="V19" s="32">
        <f t="shared" si="3"/>
        <v>42837.915196759262</v>
      </c>
      <c r="W19" s="46" t="str">
        <f t="shared" si="4"/>
        <v>EC</v>
      </c>
      <c r="X19" s="46" t="str">
        <f t="shared" si="5"/>
        <v>KEEP</v>
      </c>
      <c r="Y19" s="104" t="str">
        <f t="shared" si="6"/>
        <v>echo {"issue":{"subject":"Early arrival","project_id":79,"tracker_id":40,"status_id":1,"priority_id":2,"assigned_to_id":23,"start_date":"2017-04-12","description":"","custom_fields":[{"id":1,"name":"Subdivision","value":"EC"},{"id":4,"name":"Milepost","value":"6.3069"},{"id":17,"name":"Train ID","value":"197-12"},{"id":16,"name":"Locomotive ID","value":"4020"},{"id":130,"name":"Impact","value":""},{"id":150,"name":"Time of Event (Mountain Time)","value":"15:57:53"},{"id":151,"name":"Denver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18"/>
      <c r="AA19" s="48"/>
      <c r="AB19" s="48"/>
      <c r="AC19" s="123" t="str">
        <f t="shared" si="7"/>
        <v>grep -hSE -A400 "Enforcement Action" "%USERPROFILE%\AppData\Local\Temp\OnboardLogs"\RTDC4020\*4020*201704122*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"%USERPROFILE%\AppData\Local\Temp\OnboardLogs"\RTDC4020\*4020*201704122* &gt;&gt; 2017-04-12-SliceDisagreementCheck.txt</v>
      </c>
      <c r="AE19" s="153" t="str">
        <f t="shared" si="9"/>
        <v>start /low /b %USERPROFILE%\Documents\GitHub\eaglep3\Utilities\DownloadLogsFromS3.py --loco 4020 --day 2017-04-12</v>
      </c>
      <c r="AF19" s="1"/>
    </row>
    <row r="20" spans="1:32" x14ac:dyDescent="0.25">
      <c r="A20" s="32">
        <v>42837.468657407408</v>
      </c>
      <c r="B20" s="30" t="s">
        <v>555</v>
      </c>
      <c r="C20" s="30" t="s">
        <v>629</v>
      </c>
      <c r="D20" s="30" t="s">
        <v>49</v>
      </c>
      <c r="E20" s="30" t="s">
        <v>191</v>
      </c>
      <c r="F20" s="43">
        <v>470</v>
      </c>
      <c r="G20" s="43">
        <v>522</v>
      </c>
      <c r="H20" s="43">
        <v>104300</v>
      </c>
      <c r="I20" s="43">
        <v>102419</v>
      </c>
      <c r="J20" s="30" t="s">
        <v>192</v>
      </c>
      <c r="K20" s="43">
        <v>103800</v>
      </c>
      <c r="L20" s="139" t="s">
        <v>51</v>
      </c>
      <c r="M20" s="140">
        <f t="shared" si="0"/>
        <v>-729.16800000000001</v>
      </c>
      <c r="N20" s="141" t="str">
        <f>VLOOKUP(C20,'Trips&amp;Operators'!$C$1:$G$99999,5,FALSE)</f>
        <v>SANTIZO D. EDY</v>
      </c>
      <c r="O20" s="190" t="s">
        <v>184</v>
      </c>
      <c r="P20" s="142" t="s">
        <v>431</v>
      </c>
      <c r="Q20" s="30"/>
      <c r="R20" s="89" t="str">
        <f>IF(VLOOKUP(C20,'Train Runs'!$A$13:$AE$9938,1,1)=C20,VLOOKUP(C20,'Train Runs'!$A$13:$AE$9938,31,1),NA())</f>
        <v>aws s3 cp s3://rtdc.mdm.uploadarchive.raw/RTDC4011/ "%USERPROFILE%\AppData\Local\Temp\OnboardLogs"\RTDC4011\2017-04-12 --exclude "*" --recursive --include "*20170412*" &amp; "%USERPROFILE%\Documents\GitHub\mrs-test-scripts\Headless Mode &amp; Sideloading\WalkAndUnGZ.bat" "%USERPROFILE%\AppData\Local\Temp\OnboardLogs"\RTDC4011\2017-04-12 &amp; aws s3 cp s3://rtdc.mdm.uploadarchive.raw/RTDC4011/ "%USERPROFILE%\AppData\Local\Temp\OnboardLogs"\RTDC4011\2017-04-13 --exclude "*" --recursive --include "*20170413*" &amp; "%USERPROFILE%\Documents\GitHub\mrs-test-scripts\Headless Mode &amp; Sideloading\WalkAndUnGZ.bat" "%USERPROFILE%\AppData\Local\Temp\OnboardLogs"\RTDC4011\2017-04-13</v>
      </c>
      <c r="S20" s="92" t="str">
        <f>VLOOKUP(C20,'Train Runs'!$A$13:$AE$9938,22,0)</f>
        <v>https://d0f6bd738d7f1b3e5a7ca70fe4ff75f0.us-east-1.aws.found.io/app/kibana#/discover/Steve-Slow-Train-Analysis-(2080s-and-2083s)?_g=(refreshInterval:(display:Off,pause:!f,section:0,value:0),time:(from:'2017-04-12T09:39:14-0600',mode:absolute,to:'2017-04-12T12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0" s="94" t="str">
        <f t="shared" si="1"/>
        <v>"C:\Program Files (x86)\AstroGrep\AstroGrep.exe" /e /r /s /spath="%USERPROFILE%\AppData\Local\Temp\OnboardLogs" /stypes="*4011*201704121*" /stext=" 17:.+((SYSTEM_STATE.+slice.+state.+changed )|(ment ac)|(multiple cpu faults)|(system.+state.+changed )|(\[timeout)|(PRM\|1\|D)|(kpr)|(kdp)|(\|lc)|(penalty))"</v>
      </c>
      <c r="U20" s="9" t="str">
        <f t="shared" si="2"/>
        <v>4011</v>
      </c>
      <c r="V20" s="32">
        <f t="shared" si="3"/>
        <v>42837.718657407408</v>
      </c>
      <c r="W20" s="46" t="str">
        <f t="shared" si="4"/>
        <v>EC</v>
      </c>
      <c r="X20" s="46" t="str">
        <f t="shared" si="5"/>
        <v>KEEP</v>
      </c>
      <c r="Y20" s="104" t="str">
        <f t="shared" si="6"/>
        <v>echo {"issue":{"subject":"Early arrival","project_id":79,"tracker_id":40,"status_id":1,"priority_id":2,"assigned_to_id":23,"start_date":"2017-04-12","description":"","custom_fields":[{"id":1,"name":"Subdivision","value":"EC"},{"id":4,"name":"Milepost","value":"10.38"},{"id":17,"name":"Train ID","value":"152-12"},{"id":16,"name":"Locomotive ID","value":"4011"},{"id":130,"name":"Impact","value":""},{"id":150,"name":"Time of Event (Mountain Time)","value":"11:14:52"},{"id":151,"name":"Denver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18"/>
      <c r="AA20" s="48"/>
      <c r="AB20" s="48"/>
      <c r="AC20" s="123" t="str">
        <f t="shared" si="7"/>
        <v>grep -hSE -A400 "Enforcement Action" "%USERPROFILE%\AppData\Local\Temp\OnboardLogs"\RTDC4011\*4011*201704121*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"%USERPROFILE%\AppData\Local\Temp\OnboardLogs"\RTDC4011\*4011*201704121* &gt;&gt; 2017-04-12-SliceDisagreementCheck.txt</v>
      </c>
      <c r="AE20" s="153" t="str">
        <f t="shared" si="9"/>
        <v>start /low /b %USERPROFILE%\Documents\GitHub\eaglep3\Utilities\DownloadLogsFromS3.py --loco 4011 --day 2017-04-12</v>
      </c>
      <c r="AF20" s="1"/>
    </row>
    <row r="21" spans="1:32" x14ac:dyDescent="0.25">
      <c r="A21" s="32">
        <v>42837.3440625</v>
      </c>
      <c r="B21" s="30" t="s">
        <v>433</v>
      </c>
      <c r="C21" s="30" t="s">
        <v>623</v>
      </c>
      <c r="D21" s="30" t="s">
        <v>49</v>
      </c>
      <c r="E21" s="30" t="s">
        <v>191</v>
      </c>
      <c r="F21" s="43">
        <v>0</v>
      </c>
      <c r="G21" s="43">
        <v>395</v>
      </c>
      <c r="H21" s="43">
        <v>109440</v>
      </c>
      <c r="I21" s="43">
        <v>108621</v>
      </c>
      <c r="J21" s="30" t="s">
        <v>192</v>
      </c>
      <c r="K21" s="43">
        <v>109135</v>
      </c>
      <c r="L21" s="139" t="s">
        <v>51</v>
      </c>
      <c r="M21" s="140">
        <f t="shared" si="0"/>
        <v>-271.392</v>
      </c>
      <c r="N21" s="141" t="str">
        <f>VLOOKUP(C21,'Trips&amp;Operators'!$C$1:$G$99999,5,FALSE)</f>
        <v>BADERTSCHER DIANE</v>
      </c>
      <c r="O21" s="190" t="s">
        <v>184</v>
      </c>
      <c r="P21" s="142" t="s">
        <v>431</v>
      </c>
      <c r="Q21" s="30"/>
      <c r="R21" s="89" t="str">
        <f>IF(VLOOKUP(C21,'Train Runs'!$A$13:$AE$9938,1,1)=C21,VLOOKUP(C21,'Train Runs'!$A$13:$AE$9938,31,1),NA())</f>
        <v>aws s3 cp s3://rtdc.mdm.uploadarchive.raw/RTDC4019/ "%USERPROFILE%\AppData\Local\Temp\OnboardLogs"\RTDC4019\2017-04-12 --exclude "*" --recursive --include "*20170412*" &amp; "%USERPROFILE%\Documents\GitHub\mrs-test-scripts\Headless Mode &amp; Sideloading\WalkAndUnGZ.bat" "%USERPROFILE%\AppData\Local\Temp\OnboardLogs"\RTDC4019\2017-04-12 &amp; aws s3 cp s3://rtdc.mdm.uploadarchive.raw/RTDC4019/ "%USERPROFILE%\AppData\Local\Temp\OnboardLogs"\RTDC4019\2017-04-13 --exclude "*" --recursive --include "*20170413*" &amp; "%USERPROFILE%\Documents\GitHub\mrs-test-scripts\Headless Mode &amp; Sideloading\WalkAndUnGZ.bat" "%USERPROFILE%\AppData\Local\Temp\OnboardLogs"\RTDC4019\2017-04-13</v>
      </c>
      <c r="S21" s="92" t="str">
        <f>VLOOKUP(C21,'Train Runs'!$A$13:$AE$9938,22,0)</f>
        <v>https://d0f6bd738d7f1b3e5a7ca70fe4ff75f0.us-east-1.aws.found.io/app/kibana#/discover/Steve-Slow-Train-Analysis-(2080s-and-2083s)?_g=(refreshInterval:(display:Off,pause:!f,section:0,value:0),time:(from:'2017-04-12T06:50:00-0600',mode:absolute,to:'2017-04-12T09:39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1" s="94" t="str">
        <f t="shared" si="1"/>
        <v>"C:\Program Files (x86)\AstroGrep\AstroGrep.exe" /e /r /s /spath="%USERPROFILE%\AppData\Local\Temp\OnboardLogs" /stypes="*4019*201704121*" /stext=" 14:.+((SYSTEM_STATE.+slice.+state.+changed )|(ment ac)|(multiple cpu faults)|(system.+state.+changed )|(\[timeout)|(PRM\|1\|D)|(kpr)|(kdp)|(\|lc)|(penalty))"</v>
      </c>
      <c r="U21" s="9" t="str">
        <f t="shared" si="2"/>
        <v>4019</v>
      </c>
      <c r="V21" s="32">
        <f t="shared" si="3"/>
        <v>42837.5940625</v>
      </c>
      <c r="W21" s="46" t="str">
        <f t="shared" si="4"/>
        <v>EC</v>
      </c>
      <c r="X21" s="46" t="str">
        <f t="shared" si="5"/>
        <v>KEEP</v>
      </c>
      <c r="Y21" s="104" t="str">
        <f t="shared" si="6"/>
        <v>echo {"issue":{"subject":"Early arrival","project_id":79,"tracker_id":40,"status_id":1,"priority_id":2,"assigned_to_id":23,"start_date":"2017-04-12","description":"","custom_fields":[{"id":1,"name":"Subdivision","value":"EC"},{"id":4,"name":"Milepost","value":"10.9135"},{"id":17,"name":"Train ID","value":"128-12"},{"id":16,"name":"Locomotive ID","value":"4019"},{"id":130,"name":"Impact","value":""},{"id":150,"name":"Time of Event (Mountain Time)","value":"08:15:27"},{"id":151,"name":"Denver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18"/>
      <c r="AA21" s="48"/>
      <c r="AB21" s="48"/>
      <c r="AC21" s="123" t="str">
        <f t="shared" si="7"/>
        <v>grep -hSE -A400 "Enforcement Action" "%USERPROFILE%\AppData\Local\Temp\OnboardLogs"\RTDC4019\*4019*201704121*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"%USERPROFILE%\AppData\Local\Temp\OnboardLogs"\RTDC4019\*4019*201704121* &gt;&gt; 2017-04-12-SliceDisagreementCheck.txt</v>
      </c>
      <c r="AE21" s="153" t="str">
        <f t="shared" si="9"/>
        <v>start /low /b %USERPROFILE%\Documents\GitHub\eaglep3\Utilities\DownloadLogsFromS3.py --loco 4019 --day 2017-04-12</v>
      </c>
      <c r="AF21" s="1"/>
    </row>
    <row r="22" spans="1:32" x14ac:dyDescent="0.25">
      <c r="A22" s="32">
        <v>42837.46775462963</v>
      </c>
      <c r="B22" s="30" t="s">
        <v>555</v>
      </c>
      <c r="C22" s="30" t="s">
        <v>629</v>
      </c>
      <c r="D22" s="30" t="s">
        <v>98</v>
      </c>
      <c r="E22" s="30" t="s">
        <v>191</v>
      </c>
      <c r="F22" s="43">
        <v>380</v>
      </c>
      <c r="G22" s="43">
        <v>433</v>
      </c>
      <c r="H22" s="43">
        <v>108959</v>
      </c>
      <c r="I22" s="43">
        <v>107177</v>
      </c>
      <c r="J22" s="30" t="s">
        <v>192</v>
      </c>
      <c r="K22" s="43">
        <v>109135</v>
      </c>
      <c r="L22" s="139" t="s">
        <v>51</v>
      </c>
      <c r="M22" s="140">
        <f t="shared" si="0"/>
        <v>-1033.8240000000001</v>
      </c>
      <c r="N22" s="141" t="str">
        <f>VLOOKUP(C22,'Trips&amp;Operators'!$C$1:$G$99999,5,FALSE)</f>
        <v>SANTIZO D. EDY</v>
      </c>
      <c r="O22" s="190" t="s">
        <v>184</v>
      </c>
      <c r="P22" s="142" t="s">
        <v>431</v>
      </c>
      <c r="Q22" s="30"/>
      <c r="R22" s="89" t="str">
        <f>IF(VLOOKUP(C22,'Train Runs'!$A$13:$AE$9938,1,1)=C22,VLOOKUP(C22,'Train Runs'!$A$13:$AE$9938,31,1),NA())</f>
        <v>aws s3 cp s3://rtdc.mdm.uploadarchive.raw/RTDC4011/ "%USERPROFILE%\AppData\Local\Temp\OnboardLogs"\RTDC4011\2017-04-12 --exclude "*" --recursive --include "*20170412*" &amp; "%USERPROFILE%\Documents\GitHub\mrs-test-scripts\Headless Mode &amp; Sideloading\WalkAndUnGZ.bat" "%USERPROFILE%\AppData\Local\Temp\OnboardLogs"\RTDC4011\2017-04-12 &amp; aws s3 cp s3://rtdc.mdm.uploadarchive.raw/RTDC4011/ "%USERPROFILE%\AppData\Local\Temp\OnboardLogs"\RTDC4011\2017-04-13 --exclude "*" --recursive --include "*20170413*" &amp; "%USERPROFILE%\Documents\GitHub\mrs-test-scripts\Headless Mode &amp; Sideloading\WalkAndUnGZ.bat" "%USERPROFILE%\AppData\Local\Temp\OnboardLogs"\RTDC4011\2017-04-13</v>
      </c>
      <c r="S22" s="92" t="str">
        <f>VLOOKUP(C22,'Train Runs'!$A$13:$AE$9938,22,0)</f>
        <v>https://d0f6bd738d7f1b3e5a7ca70fe4ff75f0.us-east-1.aws.found.io/app/kibana#/discover/Steve-Slow-Train-Analysis-(2080s-and-2083s)?_g=(refreshInterval:(display:Off,pause:!f,section:0,value:0),time:(from:'2017-04-12T09:39:14-0600',mode:absolute,to:'2017-04-12T12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2" s="94" t="str">
        <f t="shared" si="1"/>
        <v>"C:\Program Files (x86)\AstroGrep\AstroGrep.exe" /e /r /s /spath="%USERPROFILE%\AppData\Local\Temp\OnboardLogs" /stypes="*4011*201704121*" /stext=" 17:.+((SYSTEM_STATE.+slice.+state.+changed )|(ment ac)|(multiple cpu faults)|(system.+state.+changed )|(\[timeout)|(PRM\|1\|D)|(kpr)|(kdp)|(\|lc)|(penalty))"</v>
      </c>
      <c r="U22" s="9" t="str">
        <f t="shared" si="2"/>
        <v>4011</v>
      </c>
      <c r="V22" s="32">
        <f t="shared" si="3"/>
        <v>42837.71775462963</v>
      </c>
      <c r="W22" s="46" t="str">
        <f t="shared" si="4"/>
        <v>EC</v>
      </c>
      <c r="X22" s="46" t="str">
        <f t="shared" si="5"/>
        <v>KEEP</v>
      </c>
      <c r="Y22" s="104" t="str">
        <f t="shared" si="6"/>
        <v>echo {"issue":{"subject":"Early arrival","project_id":79,"tracker_id":40,"status_id":1,"priority_id":2,"assigned_to_id":23,"start_date":"2017-04-12","description":"","custom_fields":[{"id":1,"name":"Subdivision","value":"EC"},{"id":4,"name":"Milepost","value":"10.9135"},{"id":17,"name":"Train ID","value":"152-12"},{"id":16,"name":"Locomotive ID","value":"4011"},{"id":130,"name":"Impact","value":""},{"id":150,"name":"Time of Event (Mountain Time)","value":"11:13:34"},{"id":151,"name":"Denver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18"/>
      <c r="AA22" s="48"/>
      <c r="AB22" s="48"/>
      <c r="AC22" s="123" t="str">
        <f t="shared" si="7"/>
        <v>grep -hSE -A400 "Enforcement Action" "%USERPROFILE%\AppData\Local\Temp\OnboardLogs"\RTDC4011\*4011*201704121*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"%USERPROFILE%\AppData\Local\Temp\OnboardLogs"\RTDC4011\*4011*201704121* &gt;&gt; 2017-04-12-SliceDisagreementCheck.txt</v>
      </c>
      <c r="AE22" s="153" t="str">
        <f t="shared" si="9"/>
        <v>start /low /b %USERPROFILE%\Documents\GitHub\eaglep3\Utilities\DownloadLogsFromS3.py --loco 4011 --day 2017-04-12</v>
      </c>
      <c r="AF22" s="1"/>
    </row>
    <row r="23" spans="1:32" x14ac:dyDescent="0.25">
      <c r="A23" s="32">
        <v>42837.707118055558</v>
      </c>
      <c r="B23" s="30" t="s">
        <v>433</v>
      </c>
      <c r="C23" s="30" t="s">
        <v>646</v>
      </c>
      <c r="D23" s="30" t="s">
        <v>49</v>
      </c>
      <c r="E23" s="30" t="s">
        <v>191</v>
      </c>
      <c r="F23" s="43">
        <v>410</v>
      </c>
      <c r="G23" s="43">
        <v>462</v>
      </c>
      <c r="H23" s="43">
        <v>110233</v>
      </c>
      <c r="I23" s="43">
        <v>108709</v>
      </c>
      <c r="J23" s="30" t="s">
        <v>192</v>
      </c>
      <c r="K23" s="43">
        <v>109135</v>
      </c>
      <c r="L23" s="139" t="s">
        <v>51</v>
      </c>
      <c r="M23" s="140">
        <f t="shared" si="0"/>
        <v>-224.928</v>
      </c>
      <c r="N23" s="141" t="str">
        <f>VLOOKUP(C23,'Trips&amp;Operators'!$C$1:$G$99999,5,FALSE)</f>
        <v>LEVIN SCOTT</v>
      </c>
      <c r="O23" s="190" t="s">
        <v>184</v>
      </c>
      <c r="P23" s="142" t="s">
        <v>431</v>
      </c>
      <c r="Q23" s="30"/>
      <c r="R23" s="89" t="str">
        <f>IF(VLOOKUP(C23,'Train Runs'!$A$13:$AE$9938,1,1)=C23,VLOOKUP(C23,'Train Runs'!$A$13:$AE$9938,31,1),NA())</f>
        <v>aws s3 cp s3://rtdc.mdm.uploadarchive.raw/RTDC4019/ "%USERPROFILE%\AppData\Local\Temp\OnboardLogs"\RTDC4019\2017-04-12 --exclude "*" --recursive --include "*20170412*" &amp; "%USERPROFILE%\Documents\GitHub\mrs-test-scripts\Headless Mode &amp; Sideloading\WalkAndUnGZ.bat" "%USERPROFILE%\AppData\Local\Temp\OnboardLogs"\RTDC4019\2017-04-12 &amp; aws s3 cp s3://rtdc.mdm.uploadarchive.raw/RTDC4019/ "%USERPROFILE%\AppData\Local\Temp\OnboardLogs"\RTDC4019\2017-04-13 --exclude "*" --recursive --include "*20170413*" &amp; "%USERPROFILE%\Documents\GitHub\mrs-test-scripts\Headless Mode &amp; Sideloading\WalkAndUnGZ.bat" "%USERPROFILE%\AppData\Local\Temp\OnboardLogs"\RTDC4019\2017-04-13</v>
      </c>
      <c r="S23" s="92" t="str">
        <f>VLOOKUP(C23,'Train Runs'!$A$13:$AE$9938,22,0)</f>
        <v>https://d0f6bd738d7f1b3e5a7ca70fe4ff75f0.us-east-1.aws.found.io/app/kibana#/discover/Steve-Slow-Train-Analysis-(2080s-and-2083s)?_g=(refreshInterval:(display:Off,pause:!f,section:0,value:0),time:(from:'2017-04-12T15:36:23-0600',mode:absolute,to:'2017-04-12T18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3" s="94" t="str">
        <f t="shared" si="1"/>
        <v>"C:\Program Files (x86)\AstroGrep\AstroGrep.exe" /e /r /s /spath="%USERPROFILE%\AppData\Local\Temp\OnboardLogs" /stypes="*4019*201704122*" /stext=" 22:.+((SYSTEM_STATE.+slice.+state.+changed )|(ment ac)|(multiple cpu faults)|(system.+state.+changed )|(\[timeout)|(PRM\|1\|D)|(kpr)|(kdp)|(\|lc)|(penalty))"</v>
      </c>
      <c r="U23" s="9" t="str">
        <f t="shared" si="2"/>
        <v>4019</v>
      </c>
      <c r="V23" s="32">
        <f t="shared" si="3"/>
        <v>42837.957118055558</v>
      </c>
      <c r="W23" s="46" t="str">
        <f t="shared" si="4"/>
        <v>EC</v>
      </c>
      <c r="X23" s="46" t="str">
        <f t="shared" si="5"/>
        <v>KEEP</v>
      </c>
      <c r="Y23" s="104" t="str">
        <f t="shared" si="6"/>
        <v>echo {"issue":{"subject":"Early arrival","project_id":79,"tracker_id":40,"status_id":1,"priority_id":2,"assigned_to_id":23,"start_date":"2017-04-12","description":"","custom_fields":[{"id":1,"name":"Subdivision","value":"EC"},{"id":4,"name":"Milepost","value":"10.9135"},{"id":17,"name":"Train ID","value":"198-12"},{"id":16,"name":"Locomotive ID","value":"4019"},{"id":130,"name":"Impact","value":""},{"id":150,"name":"Time of Event (Mountain Time)","value":"16:58:15"},{"id":151,"name":"Denver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18"/>
      <c r="AA23" s="48"/>
      <c r="AB23" s="48"/>
      <c r="AC23" s="123" t="str">
        <f t="shared" si="7"/>
        <v>grep -hSE -A400 "Enforcement Action" "%USERPROFILE%\AppData\Local\Temp\OnboardLogs"\RTDC4019\*4019*201704122*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"%USERPROFILE%\AppData\Local\Temp\OnboardLogs"\RTDC4019\*4019*201704122* &gt;&gt; 2017-04-12-SliceDisagreementCheck.txt</v>
      </c>
      <c r="AE23" s="153" t="str">
        <f t="shared" si="9"/>
        <v>start /low /b %USERPROFILE%\Documents\GitHub\eaglep3\Utilities\DownloadLogsFromS3.py --loco 4019 --day 2017-04-12</v>
      </c>
      <c r="AF23" s="1"/>
    </row>
    <row r="24" spans="1:32" x14ac:dyDescent="0.25">
      <c r="A24" s="32">
        <v>42837.304305555554</v>
      </c>
      <c r="B24" s="30" t="s">
        <v>503</v>
      </c>
      <c r="C24" s="30" t="s">
        <v>620</v>
      </c>
      <c r="D24" s="30" t="s">
        <v>98</v>
      </c>
      <c r="E24" s="30" t="s">
        <v>212</v>
      </c>
      <c r="F24" s="43">
        <v>150</v>
      </c>
      <c r="G24" s="43">
        <v>203</v>
      </c>
      <c r="H24" s="43">
        <v>3173</v>
      </c>
      <c r="I24" s="43">
        <v>3650</v>
      </c>
      <c r="J24" s="30" t="s">
        <v>213</v>
      </c>
      <c r="K24" s="43">
        <v>0</v>
      </c>
      <c r="L24" s="139" t="s">
        <v>50</v>
      </c>
      <c r="M24" s="140">
        <f t="shared" si="0"/>
        <v>-1927.2</v>
      </c>
      <c r="N24" s="141" t="str">
        <f>VLOOKUP(C24,'Trips&amp;Operators'!$C$1:$G$99999,5,FALSE)</f>
        <v>STARKS ANGELINA</v>
      </c>
      <c r="O24" s="190" t="s">
        <v>184</v>
      </c>
      <c r="P24" s="142"/>
      <c r="Q24" s="30"/>
      <c r="R24" s="89" t="str">
        <f>IF(VLOOKUP(C24,'Train Runs'!$A$13:$AE$9938,1,1)=C24,VLOOKUP(C24,'Train Runs'!$A$13:$AE$9938,31,1),NA())</f>
        <v>aws s3 cp s3://rtdc.mdm.uploadarchive.raw/RTDC4040/ "%USERPROFILE%\AppData\Local\Temp\OnboardLogs"\RTDC4040\2017-04-12 --exclude "*" --recursive --include "*20170412*" &amp; "%USERPROFILE%\Documents\GitHub\mrs-test-scripts\Headless Mode &amp; Sideloading\WalkAndUnGZ.bat" "%USERPROFILE%\AppData\Local\Temp\OnboardLogs"\RTDC4040\2017-04-12 &amp; aws s3 cp s3://rtdc.mdm.uploadarchive.raw/RTDC4040/ "%USERPROFILE%\AppData\Local\Temp\OnboardLogs"\RTDC4040\2017-04-13 --exclude "*" --recursive --include "*20170413*" &amp; "%USERPROFILE%\Documents\GitHub\mrs-test-scripts\Headless Mode &amp; Sideloading\WalkAndUnGZ.bat" "%USERPROFILE%\AppData\Local\Temp\OnboardLogs"\RTDC4040\2017-04-13</v>
      </c>
      <c r="S24" s="92" t="str">
        <f>VLOOKUP(C24,'Train Runs'!$A$13:$AE$9938,22,0)</f>
        <v>https://d0f6bd738d7f1b3e5a7ca70fe4ff75f0.us-east-1.aws.found.io/app/kibana#/discover/Steve-Slow-Train-Analysis-(2080s-and-2083s)?_g=(refreshInterval:(display:Off,pause:!f,section:0,value:0),time:(from:'2017-04-12T06:14:38-0600',mode:absolute,to:'2017-04-12T08:53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4" s="94" t="str">
        <f t="shared" si="1"/>
        <v>"C:\Program Files (x86)\AstroGrep\AstroGrep.exe" /e /r /s /spath="%USERPROFILE%\AppData\Local\Temp\OnboardLogs" /stypes="*4040*201704121*" /stext=" 13:.+((SYSTEM_STATE.+slice.+state.+changed )|(ment ac)|(multiple cpu faults)|(system.+state.+changed )|(\[timeout)|(PRM\|1\|D)|(kpr)|(kdp)|(\|lc)|(penalty))"</v>
      </c>
      <c r="U24" s="9" t="str">
        <f t="shared" si="2"/>
        <v>4040</v>
      </c>
      <c r="V24" s="32">
        <f t="shared" si="3"/>
        <v>42837.554305555554</v>
      </c>
      <c r="W24" s="46" t="str">
        <f t="shared" si="4"/>
        <v>EC</v>
      </c>
      <c r="X24" s="46" t="str">
        <f t="shared" si="5"/>
        <v>KEEP</v>
      </c>
      <c r="Y24" s="104" t="str">
        <f t="shared" si="6"/>
        <v>echo {"issue":{"subject":"","project_id":79,"tracker_id":40,"status_id":1,"priority_id":2,"assigned_to_id":23,"start_date":"2017-04-12","description":"","custom_fields":[{"id":1,"name":"Subdivision","value":"EC"},{"id":4,"name":"Milepost","value":"0"},{"id":17,"name":"Train ID","value":"129-12"},{"id":16,"name":"Locomotive ID","value":"4040"},{"id":130,"name":"Impact","value":""},{"id":150,"name":"Time of Event (Mountain Time)","value":"07:18:12"},{"id":151,"name":"Denver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18"/>
      <c r="AA24" s="48"/>
      <c r="AB24" s="48"/>
      <c r="AC24" s="123" t="str">
        <f t="shared" si="7"/>
        <v>grep -hSE -A400 "Enforcement Action" "%USERPROFILE%\AppData\Local\Temp\OnboardLogs"\RTDC4040\*4040*201704121*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"%USERPROFILE%\AppData\Local\Temp\OnboardLogs"\RTDC4040\*4040*201704121* &gt;&gt; 2017-04-12-SliceDisagreementCheck.txt</v>
      </c>
      <c r="AE24" s="153" t="str">
        <f t="shared" si="9"/>
        <v>start /low /b %USERPROFILE%\Documents\GitHub\eaglep3\Utilities\DownloadLogsFromS3.py --loco 4040 --day 2017-04-12</v>
      </c>
      <c r="AF24" s="1"/>
    </row>
    <row r="25" spans="1:32" x14ac:dyDescent="0.25">
      <c r="A25" s="32">
        <v>42837.616249999999</v>
      </c>
      <c r="B25" s="30" t="s">
        <v>479</v>
      </c>
      <c r="C25" s="30" t="s">
        <v>639</v>
      </c>
      <c r="D25" s="30" t="s">
        <v>98</v>
      </c>
      <c r="E25" s="30" t="s">
        <v>212</v>
      </c>
      <c r="F25" s="43">
        <v>200</v>
      </c>
      <c r="G25" s="43">
        <v>261</v>
      </c>
      <c r="H25" s="43">
        <v>5463</v>
      </c>
      <c r="I25" s="43">
        <v>6087</v>
      </c>
      <c r="J25" s="30" t="s">
        <v>213</v>
      </c>
      <c r="K25" s="43">
        <v>4677</v>
      </c>
      <c r="L25" s="139" t="s">
        <v>50</v>
      </c>
      <c r="M25" s="140">
        <f t="shared" si="0"/>
        <v>-744.48</v>
      </c>
      <c r="N25" s="141" t="str">
        <f>VLOOKUP(C25,'Trips&amp;Operators'!$C$1:$G$99999,5,FALSE)</f>
        <v>ARVIDSON DANIEL</v>
      </c>
      <c r="O25" s="190" t="s">
        <v>184</v>
      </c>
      <c r="P25" s="142"/>
      <c r="Q25" s="30"/>
      <c r="R25" s="89" t="str">
        <f>IF(VLOOKUP(C25,'Train Runs'!$A$13:$AE$9938,1,1)=C25,VLOOKUP(C25,'Train Runs'!$A$13:$AE$9938,31,1),NA())</f>
        <v>aws s3 cp s3://rtdc.mdm.uploadarchive.raw/RTDC4054/ "%USERPROFILE%\AppData\Local\Temp\OnboardLogs"\RTDC4054\2017-04-12 --exclude "*" --recursive --include "*20170412*" &amp; "%USERPROFILE%\Documents\GitHub\mrs-test-scripts\Headless Mode &amp; Sideloading\WalkAndUnGZ.bat" "%USERPROFILE%\AppData\Local\Temp\OnboardLogs"\RTDC4054\2017-04-12 &amp; aws s3 cp s3://rtdc.mdm.uploadarchive.raw/RTDC4054/ "%USERPROFILE%\AppData\Local\Temp\OnboardLogs"\RTDC4054\2017-04-13 --exclude "*" --recursive --include "*20170413*" &amp; "%USERPROFILE%\Documents\GitHub\mrs-test-scripts\Headless Mode &amp; Sideloading\WalkAndUnGZ.bat" "%USERPROFILE%\AppData\Local\Temp\OnboardLogs"\RTDC4054\2017-04-13</v>
      </c>
      <c r="S25" s="92" t="str">
        <f>VLOOKUP(C25,'Train Runs'!$A$13:$AE$9938,22,0)</f>
        <v>https://d0f6bd738d7f1b3e5a7ca70fe4ff75f0.us-east-1.aws.found.io/app/kibana#/discover/Steve-Slow-Train-Analysis-(2080s-and-2083s)?_g=(refreshInterval:(display:Off,pause:!f,section:0,value:0),time:(from:'2017-04-12T13:41:21-0600',mode:absolute,to:'2017-04-12T16:23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5" s="94" t="str">
        <f t="shared" si="1"/>
        <v>"C:\Program Files (x86)\AstroGrep\AstroGrep.exe" /e /r /s /spath="%USERPROFILE%\AppData\Local\Temp\OnboardLogs" /stypes="*4054*201704122*" /stext=" 20:.+((SYSTEM_STATE.+slice.+state.+changed )|(ment ac)|(multiple cpu faults)|(system.+state.+changed )|(\[timeout)|(PRM\|1\|D)|(kpr)|(kdp)|(\|lc)|(penalty))"</v>
      </c>
      <c r="U25" s="9" t="str">
        <f t="shared" si="2"/>
        <v>4054</v>
      </c>
      <c r="V25" s="32">
        <f t="shared" si="3"/>
        <v>42837.866249999999</v>
      </c>
      <c r="W25" s="46" t="str">
        <f t="shared" si="4"/>
        <v>EC</v>
      </c>
      <c r="X25" s="46" t="str">
        <f t="shared" si="5"/>
        <v>KEEP</v>
      </c>
      <c r="Y25" s="104" t="str">
        <f t="shared" si="6"/>
        <v>echo {"issue":{"subject":"","project_id":79,"tracker_id":40,"status_id":1,"priority_id":2,"assigned_to_id":23,"start_date":"2017-04-12","description":"","custom_fields":[{"id":1,"name":"Subdivision","value":"EC"},{"id":4,"name":"Milepost","value":"0.4677"},{"id":17,"name":"Train ID","value":"189-12"},{"id":16,"name":"Locomotive ID","value":"4054"},{"id":130,"name":"Impact","value":""},{"id":150,"name":"Time of Event (Mountain Time)","value":"14:47:24"},{"id":151,"name":"Denver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18"/>
      <c r="AA25" s="48"/>
      <c r="AB25" s="48"/>
      <c r="AC25" s="123" t="str">
        <f t="shared" si="7"/>
        <v>grep -hSE -A400 "Enforcement Action" "%USERPROFILE%\AppData\Local\Temp\OnboardLogs"\RTDC4054\*4054*201704122*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"%USERPROFILE%\AppData\Local\Temp\OnboardLogs"\RTDC4054\*4054*201704122* &gt;&gt; 2017-04-12-SliceDisagreementCheck.txt</v>
      </c>
      <c r="AE25" s="153" t="str">
        <f t="shared" si="9"/>
        <v>start /low /b %USERPROFILE%\Documents\GitHub\eaglep3\Utilities\DownloadLogsFromS3.py --loco 4054 --day 2017-04-12</v>
      </c>
      <c r="AF25" s="1"/>
    </row>
    <row r="26" spans="1:32" x14ac:dyDescent="0.25">
      <c r="A26" s="32">
        <v>42837.488854166666</v>
      </c>
      <c r="B26" s="30" t="s">
        <v>500</v>
      </c>
      <c r="C26" s="30" t="s">
        <v>630</v>
      </c>
      <c r="D26" s="30" t="s">
        <v>98</v>
      </c>
      <c r="E26" s="30" t="s">
        <v>212</v>
      </c>
      <c r="F26" s="43">
        <v>350</v>
      </c>
      <c r="G26" s="43">
        <v>400</v>
      </c>
      <c r="H26" s="43">
        <v>225919</v>
      </c>
      <c r="I26" s="43">
        <v>224973</v>
      </c>
      <c r="J26" s="30" t="s">
        <v>213</v>
      </c>
      <c r="K26" s="43">
        <v>228668</v>
      </c>
      <c r="L26" s="139" t="s">
        <v>51</v>
      </c>
      <c r="M26" s="140">
        <f t="shared" si="0"/>
        <v>-1950.96</v>
      </c>
      <c r="N26" s="141" t="str">
        <f>VLOOKUP(C26,'Trips&amp;Operators'!$C$1:$G$99999,5,FALSE)</f>
        <v>STARKS ANGELINA</v>
      </c>
      <c r="O26" s="190" t="s">
        <v>184</v>
      </c>
      <c r="P26" s="142"/>
      <c r="Q26" s="30"/>
      <c r="R26" s="89" t="str">
        <f>IF(VLOOKUP(C26,'Train Runs'!$A$13:$AE$9938,1,1)=C26,VLOOKUP(C26,'Train Runs'!$A$13:$AE$9938,31,1),NA())</f>
        <v>aws s3 cp s3://rtdc.mdm.uploadarchive.raw/RTDC4039/ "%USERPROFILE%\AppData\Local\Temp\OnboardLogs"\RTDC4039\2017-04-12 --exclude "*" --recursive --include "*20170412*" &amp; "%USERPROFILE%\Documents\GitHub\mrs-test-scripts\Headless Mode &amp; Sideloading\WalkAndUnGZ.bat" "%USERPROFILE%\AppData\Local\Temp\OnboardLogs"\RTDC4039\2017-04-12 &amp; aws s3 cp s3://rtdc.mdm.uploadarchive.raw/RTDC4039/ "%USERPROFILE%\AppData\Local\Temp\OnboardLogs"\RTDC4039\2017-04-13 --exclude "*" --recursive --include "*20170413*" &amp; "%USERPROFILE%\Documents\GitHub\mrs-test-scripts\Headless Mode &amp; Sideloading\WalkAndUnGZ.bat" "%USERPROFILE%\AppData\Local\Temp\OnboardLogs"\RTDC4039\2017-04-13</v>
      </c>
      <c r="S26" s="92" t="str">
        <f>VLOOKUP(C26,'Train Runs'!$A$13:$AE$9938,22,0)</f>
        <v>https://d0f6bd738d7f1b3e5a7ca70fe4ff75f0.us-east-1.aws.found.io/app/kibana#/discover/Steve-Slow-Train-Analysis-(2080s-and-2083s)?_g=(refreshInterval:(display:Off,pause:!f,section:0,value:0),time:(from:'2017-04-12T10:39:11-0600',mode:absolute,to:'2017-04-12T13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6" s="94" t="str">
        <f t="shared" si="1"/>
        <v>"C:\Program Files (x86)\AstroGrep\AstroGrep.exe" /e /r /s /spath="%USERPROFILE%\AppData\Local\Temp\OnboardLogs" /stypes="*4039*201704121*" /stext=" 17:.+((SYSTEM_STATE.+slice.+state.+changed )|(ment ac)|(multiple cpu faults)|(system.+state.+changed )|(\[timeout)|(PRM\|1\|D)|(kpr)|(kdp)|(\|lc)|(penalty))"</v>
      </c>
      <c r="U26" s="9" t="str">
        <f t="shared" si="2"/>
        <v>4039</v>
      </c>
      <c r="V26" s="32">
        <f t="shared" si="3"/>
        <v>42837.738854166666</v>
      </c>
      <c r="W26" s="46" t="str">
        <f t="shared" si="4"/>
        <v>EC</v>
      </c>
      <c r="X26" s="46" t="str">
        <f t="shared" si="5"/>
        <v>KEEP</v>
      </c>
      <c r="Y26" s="104" t="str">
        <f t="shared" si="6"/>
        <v>echo {"issue":{"subject":"","project_id":79,"tracker_id":40,"status_id":1,"priority_id":2,"assigned_to_id":23,"start_date":"2017-04-12","description":"","custom_fields":[{"id":1,"name":"Subdivision","value":"EC"},{"id":4,"name":"Milepost","value":"22.8668"},{"id":17,"name":"Train ID","value":"158-12"},{"id":16,"name":"Locomotive ID","value":"4039"},{"id":130,"name":"Impact","value":""},{"id":150,"name":"Time of Event (Mountain Time)","value":"11:43:57"},{"id":151,"name":"Denver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18"/>
      <c r="AA26" s="48"/>
      <c r="AB26" s="48"/>
      <c r="AC26" s="123" t="str">
        <f t="shared" si="7"/>
        <v>grep -hSE -A400 "Enforcement Action" "%USERPROFILE%\AppData\Local\Temp\OnboardLogs"\RTDC4039\*4039*201704121*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"%USERPROFILE%\AppData\Local\Temp\OnboardLogs"\RTDC4039\*4039*201704121* &gt;&gt; 2017-04-12-SliceDisagreementCheck.txt</v>
      </c>
      <c r="AE26" s="153" t="str">
        <f t="shared" si="9"/>
        <v>start /low /b %USERPROFILE%\Documents\GitHub\eaglep3\Utilities\DownloadLogsFromS3.py --loco 4039 --day 2017-04-12</v>
      </c>
      <c r="AF26" s="1"/>
    </row>
    <row r="27" spans="1:32" x14ac:dyDescent="0.25">
      <c r="A27" s="32">
        <v>42837.243935185186</v>
      </c>
      <c r="B27" s="30" t="s">
        <v>415</v>
      </c>
      <c r="C27" s="30" t="s">
        <v>618</v>
      </c>
      <c r="D27" s="30" t="s">
        <v>49</v>
      </c>
      <c r="E27" s="30" t="s">
        <v>185</v>
      </c>
      <c r="F27" s="43">
        <v>0</v>
      </c>
      <c r="G27" s="43">
        <v>56</v>
      </c>
      <c r="H27" s="43">
        <v>181</v>
      </c>
      <c r="I27" s="43">
        <v>119</v>
      </c>
      <c r="J27" s="30" t="s">
        <v>186</v>
      </c>
      <c r="K27" s="43">
        <v>1</v>
      </c>
      <c r="L27" s="139" t="s">
        <v>51</v>
      </c>
      <c r="M27" s="140">
        <f t="shared" si="0"/>
        <v>62.304000000000002</v>
      </c>
      <c r="N27" s="141" t="str">
        <f>VLOOKUP(C27,'Trips&amp;Operators'!$C$1:$G$99999,5,FALSE)</f>
        <v>GEBRETEKLE DAGNEW</v>
      </c>
      <c r="O27" s="190" t="s">
        <v>184</v>
      </c>
      <c r="P27" s="142"/>
      <c r="Q27" s="30"/>
      <c r="R27" s="89" t="str">
        <f>IF(VLOOKUP(C27,'Train Runs'!$A$13:$AE$9938,1,1)=C27,VLOOKUP(C27,'Train Runs'!$A$13:$AE$9938,31,1),NA())</f>
        <v>aws s3 cp s3://rtdc.mdm.uploadarchive.raw/RTDC4045/ "%USERPROFILE%\AppData\Local\Temp\OnboardLogs"\RTDC4045\2017-04-12 --exclude "*" --recursive --include "*20170412*" &amp; "%USERPROFILE%\Documents\GitHub\mrs-test-scripts\Headless Mode &amp; Sideloading\WalkAndUnGZ.bat" "%USERPROFILE%\AppData\Local\Temp\OnboardLogs"\RTDC4045\2017-04-12 &amp; aws s3 cp s3://rtdc.mdm.uploadarchive.raw/RTDC4045/ "%USERPROFILE%\AppData\Local\Temp\OnboardLogs"\RTDC4045\2017-04-13 --exclude "*" --recursive --include "*20170413*" &amp; "%USERPROFILE%\Documents\GitHub\mrs-test-scripts\Headless Mode &amp; Sideloading\WalkAndUnGZ.bat" "%USERPROFILE%\AppData\Local\Temp\OnboardLogs"\RTDC4045\2017-04-13</v>
      </c>
      <c r="S27" s="92" t="str">
        <f>VLOOKUP(C27,'Train Runs'!$A$13:$AE$9938,22,0)</f>
        <v>https://d0f6bd738d7f1b3e5a7ca70fe4ff75f0.us-east-1.aws.found.io/app/kibana#/discover/Steve-Slow-Train-Analysis-(2080s-and-2083s)?_g=(refreshInterval:(display:Off,pause:!f,section:0,value:0),time:(from:'2017-04-12T04:07:30-0600',mode:absolute,to:'2017-04-12T06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7" s="94" t="str">
        <f t="shared" si="1"/>
        <v>"C:\Program Files (x86)\AstroGrep\AstroGrep.exe" /e /r /s /spath="%USERPROFILE%\AppData\Local\Temp\OnboardLogs" /stypes="*4045*201704121*" /stext=" 11:.+((SYSTEM_STATE.+slice.+state.+changed )|(ment ac)|(multiple cpu faults)|(system.+state.+changed )|(\[timeout)|(PRM\|1\|D)|(kpr)|(kdp)|(\|lc)|(penalty))"</v>
      </c>
      <c r="U27" s="9" t="str">
        <f t="shared" si="2"/>
        <v>4045</v>
      </c>
      <c r="V27" s="32">
        <f t="shared" si="3"/>
        <v>42837.493935185186</v>
      </c>
      <c r="W27" s="46" t="str">
        <f t="shared" si="4"/>
        <v>EC</v>
      </c>
      <c r="X27" s="46" t="str">
        <f t="shared" si="5"/>
        <v>KEEP</v>
      </c>
      <c r="Y27" s="104" t="str">
        <f t="shared" si="6"/>
        <v>echo {"issue":{"subject":"","project_id":79,"tracker_id":40,"status_id":1,"priority_id":2,"assigned_to_id":23,"start_date":"2017-04-12","description":"","custom_fields":[{"id":1,"name":"Subdivision","value":"EC"},{"id":4,"name":"Milepost","value":"0.0001"},{"id":17,"name":"Train ID","value":"106-12"},{"id":16,"name":"Locomotive ID","value":"4045"},{"id":130,"name":"Impact","value":""},{"id":150,"name":"Time of Event (Mountain Time)","value":"05:51:16"},{"id":151,"name":"Denver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18"/>
      <c r="AA27" s="48"/>
      <c r="AB27" s="48"/>
      <c r="AC27" s="123" t="str">
        <f t="shared" si="7"/>
        <v>grep -hSE -A400 "Enforcement Action" "%USERPROFILE%\AppData\Local\Temp\OnboardLogs"\RTDC4045\*4045*201704121*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"%USERPROFILE%\AppData\Local\Temp\OnboardLogs"\RTDC4045\*4045*201704121* &gt;&gt; 2017-04-12-SliceDisagreementCheck.txt</v>
      </c>
      <c r="AE27" s="153" t="str">
        <f t="shared" si="9"/>
        <v>start /low /b %USERPROFILE%\Documents\GitHub\eaglep3\Utilities\DownloadLogsFromS3.py --loco 4045 --day 2017-04-12</v>
      </c>
      <c r="AF27" s="1"/>
    </row>
    <row r="28" spans="1:32" x14ac:dyDescent="0.25">
      <c r="A28" s="32">
        <v>42837.36042824074</v>
      </c>
      <c r="B28" s="30" t="s">
        <v>433</v>
      </c>
      <c r="C28" s="30" t="s">
        <v>623</v>
      </c>
      <c r="D28" s="30" t="s">
        <v>49</v>
      </c>
      <c r="E28" s="30" t="s">
        <v>185</v>
      </c>
      <c r="F28" s="43">
        <v>0</v>
      </c>
      <c r="G28" s="43">
        <v>98</v>
      </c>
      <c r="H28" s="43">
        <v>355</v>
      </c>
      <c r="I28" s="43">
        <v>238</v>
      </c>
      <c r="J28" s="30" t="s">
        <v>186</v>
      </c>
      <c r="K28" s="43">
        <v>1</v>
      </c>
      <c r="L28" s="139" t="s">
        <v>51</v>
      </c>
      <c r="M28" s="140">
        <f t="shared" si="0"/>
        <v>125.136</v>
      </c>
      <c r="N28" s="141" t="str">
        <f>VLOOKUP(C28,'Trips&amp;Operators'!$C$1:$G$99999,5,FALSE)</f>
        <v>BADERTSCHER DIANE</v>
      </c>
      <c r="O28" s="190" t="s">
        <v>184</v>
      </c>
      <c r="P28" s="142"/>
      <c r="Q28" s="30"/>
      <c r="R28" s="89" t="str">
        <f>IF(VLOOKUP(C28,'Train Runs'!$A$13:$AE$9938,1,1)=C28,VLOOKUP(C28,'Train Runs'!$A$13:$AE$9938,31,1),NA())</f>
        <v>aws s3 cp s3://rtdc.mdm.uploadarchive.raw/RTDC4019/ "%USERPROFILE%\AppData\Local\Temp\OnboardLogs"\RTDC4019\2017-04-12 --exclude "*" --recursive --include "*20170412*" &amp; "%USERPROFILE%\Documents\GitHub\mrs-test-scripts\Headless Mode &amp; Sideloading\WalkAndUnGZ.bat" "%USERPROFILE%\AppData\Local\Temp\OnboardLogs"\RTDC4019\2017-04-12 &amp; aws s3 cp s3://rtdc.mdm.uploadarchive.raw/RTDC4019/ "%USERPROFILE%\AppData\Local\Temp\OnboardLogs"\RTDC4019\2017-04-13 --exclude "*" --recursive --include "*20170413*" &amp; "%USERPROFILE%\Documents\GitHub\mrs-test-scripts\Headless Mode &amp; Sideloading\WalkAndUnGZ.bat" "%USERPROFILE%\AppData\Local\Temp\OnboardLogs"\RTDC4019\2017-04-13</v>
      </c>
      <c r="S28" s="92" t="str">
        <f>VLOOKUP(C28,'Train Runs'!$A$13:$AE$9938,22,0)</f>
        <v>https://d0f6bd738d7f1b3e5a7ca70fe4ff75f0.us-east-1.aws.found.io/app/kibana#/discover/Steve-Slow-Train-Analysis-(2080s-and-2083s)?_g=(refreshInterval:(display:Off,pause:!f,section:0,value:0),time:(from:'2017-04-12T06:50:00-0600',mode:absolute,to:'2017-04-12T09:39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8" s="94" t="str">
        <f t="shared" si="1"/>
        <v>"C:\Program Files (x86)\AstroGrep\AstroGrep.exe" /e /r /s /spath="%USERPROFILE%\AppData\Local\Temp\OnboardLogs" /stypes="*4019*201704121*" /stext=" 14:.+((SYSTEM_STATE.+slice.+state.+changed )|(ment ac)|(multiple cpu faults)|(system.+state.+changed )|(\[timeout)|(PRM\|1\|D)|(kpr)|(kdp)|(\|lc)|(penalty))"</v>
      </c>
      <c r="U28" s="9" t="str">
        <f t="shared" si="2"/>
        <v>4019</v>
      </c>
      <c r="V28" s="32">
        <f t="shared" si="3"/>
        <v>42837.61042824074</v>
      </c>
      <c r="W28" s="46" t="str">
        <f t="shared" si="4"/>
        <v>EC</v>
      </c>
      <c r="X28" s="46" t="str">
        <f t="shared" si="5"/>
        <v>KEEP</v>
      </c>
      <c r="Y28" s="104" t="str">
        <f t="shared" si="6"/>
        <v>echo {"issue":{"subject":"","project_id":79,"tracker_id":40,"status_id":1,"priority_id":2,"assigned_to_id":23,"start_date":"2017-04-12","description":"","custom_fields":[{"id":1,"name":"Subdivision","value":"EC"},{"id":4,"name":"Milepost","value":"0.0001"},{"id":17,"name":"Train ID","value":"128-12"},{"id":16,"name":"Locomotive ID","value":"4019"},{"id":130,"name":"Impact","value":""},{"id":150,"name":"Time of Event (Mountain Time)","value":"08:39:01"},{"id":151,"name":"Denver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18"/>
      <c r="AA28" s="48"/>
      <c r="AB28" s="48"/>
      <c r="AC28" s="123" t="str">
        <f t="shared" si="7"/>
        <v>grep -hSE -A400 "Enforcement Action" "%USERPROFILE%\AppData\Local\Temp\OnboardLogs"\RTDC4019\*4019*201704121* | grep -SE "((Enforcement Ac)|(PRM.+XING))"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"%USERPROFILE%\AppData\Local\Temp\OnboardLogs"\RTDC4019\*4019*201704121* &gt;&gt; 2017-04-12-SliceDisagreementCheck.txt</v>
      </c>
      <c r="AE28" s="153" t="str">
        <f t="shared" si="9"/>
        <v>start /low /b %USERPROFILE%\Documents\GitHub\eaglep3\Utilities\DownloadLogsFromS3.py --loco 4019 --day 2017-04-12</v>
      </c>
      <c r="AF28" s="1"/>
    </row>
    <row r="29" spans="1:32" x14ac:dyDescent="0.25">
      <c r="A29" s="32">
        <v>42837.711828703701</v>
      </c>
      <c r="B29" s="30" t="s">
        <v>424</v>
      </c>
      <c r="C29" s="30" t="s">
        <v>648</v>
      </c>
      <c r="D29" s="30" t="s">
        <v>49</v>
      </c>
      <c r="E29" s="30" t="s">
        <v>185</v>
      </c>
      <c r="F29" s="43">
        <v>0</v>
      </c>
      <c r="G29" s="43">
        <v>83</v>
      </c>
      <c r="H29" s="43">
        <v>283</v>
      </c>
      <c r="I29" s="43">
        <v>191</v>
      </c>
      <c r="J29" s="30" t="s">
        <v>186</v>
      </c>
      <c r="K29" s="43">
        <v>1</v>
      </c>
      <c r="L29" s="139" t="s">
        <v>51</v>
      </c>
      <c r="M29" s="140">
        <f t="shared" si="0"/>
        <v>100.32</v>
      </c>
      <c r="N29" s="141" t="str">
        <f>VLOOKUP(C29,'Trips&amp;Operators'!$C$1:$G$99999,5,FALSE)</f>
        <v>LOCKLEAR TRAVIS</v>
      </c>
      <c r="O29" s="190" t="s">
        <v>184</v>
      </c>
      <c r="P29" s="142"/>
      <c r="Q29" s="30"/>
      <c r="R29" s="89" t="str">
        <f>IF(VLOOKUP(C29,'Train Runs'!$A$13:$AE$9938,1,1)=C29,VLOOKUP(C29,'Train Runs'!$A$13:$AE$9938,31,1),NA())</f>
        <v>aws s3 cp s3://rtdc.mdm.uploadarchive.raw/RTDC4041/ "%USERPROFILE%\AppData\Local\Temp\OnboardLogs"\RTDC4041\2017-04-12 --exclude "*" --recursive --include "*20170412*" &amp; "%USERPROFILE%\Documents\GitHub\mrs-test-scripts\Headless Mode &amp; Sideloading\WalkAndUnGZ.bat" "%USERPROFILE%\AppData\Local\Temp\OnboardLogs"\RTDC4041\2017-04-12 &amp; aws s3 cp s3://rtdc.mdm.uploadarchive.raw/RTDC4041/ "%USERPROFILE%\AppData\Local\Temp\OnboardLogs"\RTDC4041\2017-04-13 --exclude "*" --recursive --include "*20170413*" &amp; "%USERPROFILE%\Documents\GitHub\mrs-test-scripts\Headless Mode &amp; Sideloading\WalkAndUnGZ.bat" "%USERPROFILE%\AppData\Local\Temp\OnboardLogs"\RTDC4041\2017-04-13</v>
      </c>
      <c r="S29" s="92" t="str">
        <f>VLOOKUP(C29,'Train Runs'!$A$13:$AE$9938,22,0)</f>
        <v>https://d0f6bd738d7f1b3e5a7ca70fe4ff75f0.us-east-1.aws.found.io/app/kibana#/discover/Steve-Slow-Train-Analysis-(2080s-and-2083s)?_g=(refreshInterval:(display:Off,pause:!f,section:0,value:0),time:(from:'2017-04-12T15:22:42-0600',mode:absolute,to:'2017-04-12T18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9" s="94" t="str">
        <f t="shared" si="1"/>
        <v>"C:\Program Files (x86)\AstroGrep\AstroGrep.exe" /e /r /s /spath="%USERPROFILE%\AppData\Local\Temp\OnboardLogs" /stypes="*4041*201704122*" /stext=" 23:.+((SYSTEM_STATE.+slice.+state.+changed )|(ment ac)|(multiple cpu faults)|(system.+state.+changed )|(\[timeout)|(PRM\|1\|D)|(kpr)|(kdp)|(\|lc)|(penalty))"</v>
      </c>
      <c r="U29" s="9" t="str">
        <f t="shared" si="2"/>
        <v>4041</v>
      </c>
      <c r="V29" s="32">
        <f t="shared" si="3"/>
        <v>42837.961828703701</v>
      </c>
      <c r="W29" s="46" t="str">
        <f t="shared" si="4"/>
        <v>EC</v>
      </c>
      <c r="X29" s="46" t="str">
        <f t="shared" si="5"/>
        <v>KEEP</v>
      </c>
      <c r="Y29" s="104" t="str">
        <f t="shared" si="6"/>
        <v>echo {"issue":{"subject":"","project_id":79,"tracker_id":40,"status_id":1,"priority_id":2,"assigned_to_id":23,"start_date":"2017-04-12","description":"","custom_fields":[{"id":1,"name":"Subdivision","value":"EC"},{"id":4,"name":"Milepost","value":"0.0001"},{"id":17,"name":"Train ID","value":"196-12"},{"id":16,"name":"Locomotive ID","value":"4041"},{"id":130,"name":"Impact","value":""},{"id":150,"name":"Time of Event (Mountain Time)","value":"17:05:02"},{"id":151,"name":"Denver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18"/>
      <c r="AA29" s="48"/>
      <c r="AB29" s="48"/>
      <c r="AC29" s="123" t="str">
        <f t="shared" si="7"/>
        <v>grep -hSE -A400 "Enforcement Action" "%USERPROFILE%\AppData\Local\Temp\OnboardLogs"\RTDC4041\*4041*201704122* | grep -SE "((Enforcement Ac)|(PRM.+XING))"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"%USERPROFILE%\AppData\Local\Temp\OnboardLogs"\RTDC4041\*4041*201704122* &gt;&gt; 2017-04-12-SliceDisagreementCheck.txt</v>
      </c>
      <c r="AE29" s="153" t="str">
        <f t="shared" si="9"/>
        <v>start /low /b %USERPROFILE%\Documents\GitHub\eaglep3\Utilities\DownloadLogsFromS3.py --loco 4041 --day 2017-04-12</v>
      </c>
      <c r="AF29" s="1"/>
    </row>
    <row r="30" spans="1:32" x14ac:dyDescent="0.25">
      <c r="A30" s="32">
        <v>42837.256365740737</v>
      </c>
      <c r="B30" s="30" t="s">
        <v>503</v>
      </c>
      <c r="C30" s="30" t="s">
        <v>619</v>
      </c>
      <c r="D30" s="30" t="s">
        <v>49</v>
      </c>
      <c r="E30" s="30" t="s">
        <v>185</v>
      </c>
      <c r="F30" s="43">
        <v>0</v>
      </c>
      <c r="G30" s="43">
        <v>62</v>
      </c>
      <c r="H30" s="43">
        <v>233261</v>
      </c>
      <c r="I30" s="43">
        <v>233323</v>
      </c>
      <c r="J30" s="30" t="s">
        <v>186</v>
      </c>
      <c r="K30" s="43">
        <v>233491</v>
      </c>
      <c r="L30" s="139" t="s">
        <v>50</v>
      </c>
      <c r="M30" s="140">
        <f t="shared" si="0"/>
        <v>88.703999999999994</v>
      </c>
      <c r="N30" s="141" t="str">
        <f>VLOOKUP(C30,'Trips&amp;Operators'!$C$1:$G$99999,5,FALSE)</f>
        <v>STARKS ANGELINA</v>
      </c>
      <c r="O30" s="190" t="s">
        <v>184</v>
      </c>
      <c r="P30" s="142"/>
      <c r="Q30" s="30"/>
      <c r="R30" s="89" t="str">
        <f>IF(VLOOKUP(C30,'Train Runs'!$A$13:$AE$9938,1,1)=C30,VLOOKUP(C30,'Train Runs'!$A$13:$AE$9938,31,1),NA())</f>
        <v>aws s3 cp s3://rtdc.mdm.uploadarchive.raw/RTDC4040/ "%USERPROFILE%\AppData\Local\Temp\OnboardLogs"\RTDC4040\2017-04-12 --exclude "*" --recursive --include "*20170412*" &amp; "%USERPROFILE%\Documents\GitHub\mrs-test-scripts\Headless Mode &amp; Sideloading\WalkAndUnGZ.bat" "%USERPROFILE%\AppData\Local\Temp\OnboardLogs"\RTDC4040\2017-04-12 &amp; aws s3 cp s3://rtdc.mdm.uploadarchive.raw/RTDC4040/ "%USERPROFILE%\AppData\Local\Temp\OnboardLogs"\RTDC4040\2017-04-13 --exclude "*" --recursive --include "*20170413*" &amp; "%USERPROFILE%\Documents\GitHub\mrs-test-scripts\Headless Mode &amp; Sideloading\WalkAndUnGZ.bat" "%USERPROFILE%\AppData\Local\Temp\OnboardLogs"\RTDC4040\2017-04-13</v>
      </c>
      <c r="S30" s="92" t="str">
        <f>VLOOKUP(C30,'Train Runs'!$A$13:$AE$9938,22,0)</f>
        <v>https://d0f6bd738d7f1b3e5a7ca70fe4ff75f0.us-east-1.aws.found.io/app/kibana#/discover/Steve-Slow-Train-Analysis-(2080s-and-2083s)?_g=(refreshInterval:(display:Off,pause:!f,section:0,value:0),time:(from:'2017-04-12T04:23:55-0600',mode:absolute,to:'2017-04-12T07:09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0" s="94" t="str">
        <f t="shared" si="1"/>
        <v>"C:\Program Files (x86)\AstroGrep\AstroGrep.exe" /e /r /s /spath="%USERPROFILE%\AppData\Local\Temp\OnboardLogs" /stypes="*4040*201704121*" /stext=" 12:.+((SYSTEM_STATE.+slice.+state.+changed )|(ment ac)|(multiple cpu faults)|(system.+state.+changed )|(\[timeout)|(PRM\|1\|D)|(kpr)|(kdp)|(\|lc)|(penalty))"</v>
      </c>
      <c r="U30" s="9" t="str">
        <f t="shared" si="2"/>
        <v>4040</v>
      </c>
      <c r="V30" s="32">
        <f t="shared" si="3"/>
        <v>42837.506365740737</v>
      </c>
      <c r="W30" s="46" t="str">
        <f t="shared" si="4"/>
        <v>EC</v>
      </c>
      <c r="X30" s="46" t="str">
        <f t="shared" si="5"/>
        <v>KEEP</v>
      </c>
      <c r="Y30" s="104" t="str">
        <f t="shared" si="6"/>
        <v>echo {"issue":{"subject":"","project_id":79,"tracker_id":40,"status_id":1,"priority_id":2,"assigned_to_id":23,"start_date":"2017-04-12","description":"","custom_fields":[{"id":1,"name":"Subdivision","value":"EC"},{"id":4,"name":"Milepost","value":"23.3491"},{"id":17,"name":"Train ID","value":"115-12"},{"id":16,"name":"Locomotive ID","value":"4040"},{"id":130,"name":"Impact","value":""},{"id":150,"name":"Time of Event (Mountain Time)","value":"06:09:10"},{"id":151,"name":"Denver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218"/>
      <c r="AA30" s="48"/>
      <c r="AB30" s="48"/>
      <c r="AC30" s="123" t="str">
        <f t="shared" si="7"/>
        <v>grep -hSE -A400 "Enforcement Action" "%USERPROFILE%\AppData\Local\Temp\OnboardLogs"\RTDC4040\*4040*201704121* | grep -SE "((Enforcement Ac)|(PRM.+XING))"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"%USERPROFILE%\AppData\Local\Temp\OnboardLogs"\RTDC4040\*4040*201704121* &gt;&gt; 2017-04-12-SliceDisagreementCheck.txt</v>
      </c>
      <c r="AE30" s="153" t="str">
        <f t="shared" si="9"/>
        <v>start /low /b %USERPROFILE%\Documents\GitHub\eaglep3\Utilities\DownloadLogsFromS3.py --loco 4040 --day 2017-04-12</v>
      </c>
      <c r="AF30" s="1"/>
    </row>
    <row r="31" spans="1:32" x14ac:dyDescent="0.25">
      <c r="A31" s="32">
        <v>42837.535173611112</v>
      </c>
      <c r="B31" s="30" t="s">
        <v>436</v>
      </c>
      <c r="C31" s="30" t="s">
        <v>634</v>
      </c>
      <c r="D31" s="30" t="s">
        <v>49</v>
      </c>
      <c r="E31" s="30" t="s">
        <v>185</v>
      </c>
      <c r="F31" s="43">
        <v>0</v>
      </c>
      <c r="G31" s="43">
        <v>39</v>
      </c>
      <c r="H31" s="43">
        <v>233362</v>
      </c>
      <c r="I31" s="43">
        <v>233391</v>
      </c>
      <c r="J31" s="30" t="s">
        <v>186</v>
      </c>
      <c r="K31" s="43">
        <v>233491</v>
      </c>
      <c r="L31" s="139" t="s">
        <v>50</v>
      </c>
      <c r="M31" s="140">
        <f t="shared" si="0"/>
        <v>52.8</v>
      </c>
      <c r="N31" s="141" t="str">
        <f>VLOOKUP(C31,'Trips&amp;Operators'!$C$1:$G$99999,5,FALSE)</f>
        <v>LEVIN SCOTT</v>
      </c>
      <c r="O31" s="190" t="s">
        <v>184</v>
      </c>
      <c r="P31" s="142"/>
      <c r="Q31" s="30"/>
      <c r="R31" s="89" t="str">
        <f>IF(VLOOKUP(C31,'Train Runs'!$A$13:$AE$9938,1,1)=C31,VLOOKUP(C31,'Train Runs'!$A$13:$AE$9938,31,1),NA())</f>
        <v>aws s3 cp s3://rtdc.mdm.uploadarchive.raw/RTDC4020/ "%USERPROFILE%\AppData\Local\Temp\OnboardLogs"\RTDC4020\2017-04-12 --exclude "*" --recursive --include "*20170412*" &amp; "%USERPROFILE%\Documents\GitHub\mrs-test-scripts\Headless Mode &amp; Sideloading\WalkAndUnGZ.bat" "%USERPROFILE%\AppData\Local\Temp\OnboardLogs"\RTDC4020\2017-04-12 &amp; aws s3 cp s3://rtdc.mdm.uploadarchive.raw/RTDC4020/ "%USERPROFILE%\AppData\Local\Temp\OnboardLogs"\RTDC4020\2017-04-13 --exclude "*" --recursive --include "*20170413*" &amp; "%USERPROFILE%\Documents\GitHub\mrs-test-scripts\Headless Mode &amp; Sideloading\WalkAndUnGZ.bat" "%USERPROFILE%\AppData\Local\Temp\OnboardLogs"\RTDC4020\2017-04-13</v>
      </c>
      <c r="S31" s="92" t="str">
        <f>VLOOKUP(C31,'Train Runs'!$A$13:$AE$9938,22,0)</f>
        <v>https://d0f6bd738d7f1b3e5a7ca70fe4ff75f0.us-east-1.aws.found.io/app/kibana#/discover/Steve-Slow-Train-Analysis-(2080s-and-2083s)?_g=(refreshInterval:(display:Off,pause:!f,section:0,value:0),time:(from:'2017-04-12T11:07:59-0600',mode:absolute,to:'2017-04-12T13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1" s="94" t="str">
        <f t="shared" si="1"/>
        <v>"C:\Program Files (x86)\AstroGrep\AstroGrep.exe" /e /r /s /spath="%USERPROFILE%\AppData\Local\Temp\OnboardLogs" /stypes="*4020*201704121*" /stext=" 18:.+((SYSTEM_STATE.+slice.+state.+changed )|(ment ac)|(multiple cpu faults)|(system.+state.+changed )|(\[timeout)|(PRM\|1\|D)|(kpr)|(kdp)|(\|lc)|(penalty))"</v>
      </c>
      <c r="U31" s="9" t="str">
        <f t="shared" si="2"/>
        <v>4020</v>
      </c>
      <c r="V31" s="32">
        <f t="shared" si="3"/>
        <v>42837.785173611112</v>
      </c>
      <c r="W31" s="46" t="str">
        <f t="shared" si="4"/>
        <v>EC</v>
      </c>
      <c r="X31" s="46" t="str">
        <f t="shared" si="5"/>
        <v>KEEP</v>
      </c>
      <c r="Y31" s="104" t="str">
        <f t="shared" si="6"/>
        <v>echo {"issue":{"subject":"","project_id":79,"tracker_id":40,"status_id":1,"priority_id":2,"assigned_to_id":23,"start_date":"2017-04-12","description":"","custom_fields":[{"id":1,"name":"Subdivision","value":"EC"},{"id":4,"name":"Milepost","value":"23.3491"},{"id":17,"name":"Train ID","value":"169-12"},{"id":16,"name":"Locomotive ID","value":"4020"},{"id":130,"name":"Impact","value":""},{"id":150,"name":"Time of Event (Mountain Time)","value":"12:50:39"},{"id":151,"name":"Denver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218"/>
      <c r="AA31" s="48"/>
      <c r="AB31" s="48"/>
      <c r="AC31" s="123" t="str">
        <f t="shared" si="7"/>
        <v>grep -hSE -A400 "Enforcement Action" "%USERPROFILE%\AppData\Local\Temp\OnboardLogs"\RTDC4020\*4020*201704121* | grep -SE "((Enforcement Ac)|(PRM.+XING))"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"%USERPROFILE%\AppData\Local\Temp\OnboardLogs"\RTDC4020\*4020*201704121* &gt;&gt; 2017-04-12-SliceDisagreementCheck.txt</v>
      </c>
      <c r="AE31" s="153" t="str">
        <f t="shared" si="9"/>
        <v>start /low /b %USERPROFILE%\Documents\GitHub\eaglep3\Utilities\DownloadLogsFromS3.py --loco 4020 --day 2017-04-12</v>
      </c>
      <c r="AF31" s="1"/>
    </row>
    <row r="32" spans="1:32" x14ac:dyDescent="0.25">
      <c r="A32" s="32">
        <v>42837.547418981485</v>
      </c>
      <c r="B32" s="30" t="s">
        <v>503</v>
      </c>
      <c r="C32" s="30" t="s">
        <v>636</v>
      </c>
      <c r="D32" s="30" t="s">
        <v>49</v>
      </c>
      <c r="E32" s="30" t="s">
        <v>185</v>
      </c>
      <c r="F32" s="43">
        <v>0</v>
      </c>
      <c r="G32" s="43">
        <v>37</v>
      </c>
      <c r="H32" s="43">
        <v>233332</v>
      </c>
      <c r="I32" s="43">
        <v>233372</v>
      </c>
      <c r="J32" s="30" t="s">
        <v>186</v>
      </c>
      <c r="K32" s="43">
        <v>233491</v>
      </c>
      <c r="L32" s="139" t="s">
        <v>50</v>
      </c>
      <c r="M32" s="140">
        <f t="shared" si="0"/>
        <v>62.832000000000001</v>
      </c>
      <c r="N32" s="141" t="str">
        <f>VLOOKUP(C32,'Trips&amp;Operators'!$C$1:$G$99999,5,FALSE)</f>
        <v>STRICKLAND EVAN</v>
      </c>
      <c r="O32" s="190" t="s">
        <v>184</v>
      </c>
      <c r="P32" s="142"/>
      <c r="Q32" s="30"/>
      <c r="R32" s="89" t="str">
        <f>IF(VLOOKUP(C32,'Train Runs'!$A$13:$AE$9938,1,1)=C32,VLOOKUP(C32,'Train Runs'!$A$13:$AE$9938,31,1),NA())</f>
        <v>aws s3 cp s3://rtdc.mdm.uploadarchive.raw/RTDC4040/ "%USERPROFILE%\AppData\Local\Temp\OnboardLogs"\RTDC4040\2017-04-12 --exclude "*" --recursive --include "*20170412*" &amp; "%USERPROFILE%\Documents\GitHub\mrs-test-scripts\Headless Mode &amp; Sideloading\WalkAndUnGZ.bat" "%USERPROFILE%\AppData\Local\Temp\OnboardLogs"\RTDC4040\2017-04-12 &amp; aws s3 cp s3://rtdc.mdm.uploadarchive.raw/RTDC4040/ "%USERPROFILE%\AppData\Local\Temp\OnboardLogs"\RTDC4040\2017-04-13 --exclude "*" --recursive --include "*20170413*" &amp; "%USERPROFILE%\Documents\GitHub\mrs-test-scripts\Headless Mode &amp; Sideloading\WalkAndUnGZ.bat" "%USERPROFILE%\AppData\Local\Temp\OnboardLogs"\RTDC4040\2017-04-13</v>
      </c>
      <c r="S32" s="92" t="str">
        <f>VLOOKUP(C32,'Train Runs'!$A$13:$AE$9938,22,0)</f>
        <v>https://d0f6bd738d7f1b3e5a7ca70fe4ff75f0.us-east-1.aws.found.io/app/kibana#/discover/Steve-Slow-Train-Analysis-(2080s-and-2083s)?_g=(refreshInterval:(display:Off,pause:!f,section:0,value:0),time:(from:'2017-04-12T11:24:24-0600',mode:absolute,to:'2017-04-12T14:08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2" s="94" t="str">
        <f t="shared" si="1"/>
        <v>"C:\Program Files (x86)\AstroGrep\AstroGrep.exe" /e /r /s /spath="%USERPROFILE%\AppData\Local\Temp\OnboardLogs" /stypes="*4040*201704121*" /stext=" 19:.+((SYSTEM_STATE.+slice.+state.+changed )|(ment ac)|(multiple cpu faults)|(system.+state.+changed )|(\[timeout)|(PRM\|1\|D)|(kpr)|(kdp)|(\|lc)|(penalty))"</v>
      </c>
      <c r="U32" s="9" t="str">
        <f t="shared" si="2"/>
        <v>4040</v>
      </c>
      <c r="V32" s="32">
        <f t="shared" si="3"/>
        <v>42837.797418981485</v>
      </c>
      <c r="W32" s="46" t="str">
        <f t="shared" si="4"/>
        <v>EC</v>
      </c>
      <c r="X32" s="46" t="str">
        <f t="shared" si="5"/>
        <v>KEEP</v>
      </c>
      <c r="Y32" s="104" t="str">
        <f t="shared" si="6"/>
        <v>echo {"issue":{"subject":"","project_id":79,"tracker_id":40,"status_id":1,"priority_id":2,"assigned_to_id":23,"start_date":"2017-04-12","description":"","custom_fields":[{"id":1,"name":"Subdivision","value":"EC"},{"id":4,"name":"Milepost","value":"23.3491"},{"id":17,"name":"Train ID","value":"171-12"},{"id":16,"name":"Locomotive ID","value":"4040"},{"id":130,"name":"Impact","value":""},{"id":150,"name":"Time of Event (Mountain Time)","value":"13:08:17"},{"id":151,"name":"Denver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218"/>
      <c r="AA32" s="48"/>
      <c r="AB32" s="48"/>
      <c r="AC32" s="123" t="str">
        <f t="shared" si="7"/>
        <v>grep -hSE -A400 "Enforcement Action" "%USERPROFILE%\AppData\Local\Temp\OnboardLogs"\RTDC4040\*4040*201704121* | grep -SE "((Enforcement Ac)|(PRM.+XING))"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"%USERPROFILE%\AppData\Local\Temp\OnboardLogs"\RTDC4040\*4040*201704121* &gt;&gt; 2017-04-12-SliceDisagreementCheck.txt</v>
      </c>
      <c r="AE32" s="153" t="str">
        <f t="shared" si="9"/>
        <v>start /low /b %USERPROFILE%\Documents\GitHub\eaglep3\Utilities\DownloadLogsFromS3.py --loco 4040 --day 2017-04-12</v>
      </c>
      <c r="AF32" s="1"/>
    </row>
    <row r="33" spans="1:32" x14ac:dyDescent="0.25">
      <c r="A33" s="32">
        <v>42837.556030092594</v>
      </c>
      <c r="B33" s="30" t="s">
        <v>556</v>
      </c>
      <c r="C33" s="30" t="s">
        <v>637</v>
      </c>
      <c r="D33" s="30" t="s">
        <v>49</v>
      </c>
      <c r="E33" s="30" t="s">
        <v>185</v>
      </c>
      <c r="F33" s="43">
        <v>0</v>
      </c>
      <c r="G33" s="43">
        <v>28</v>
      </c>
      <c r="H33" s="43">
        <v>233397</v>
      </c>
      <c r="I33" s="43">
        <v>233412</v>
      </c>
      <c r="J33" s="30" t="s">
        <v>186</v>
      </c>
      <c r="K33" s="43">
        <v>233491</v>
      </c>
      <c r="L33" s="139" t="s">
        <v>50</v>
      </c>
      <c r="M33" s="140">
        <f t="shared" si="0"/>
        <v>41.712000000000003</v>
      </c>
      <c r="N33" s="141" t="str">
        <f>VLOOKUP(C33,'Trips&amp;Operators'!$C$1:$G$99999,5,FALSE)</f>
        <v>DELGADO DIANAH</v>
      </c>
      <c r="O33" s="190" t="s">
        <v>184</v>
      </c>
      <c r="P33" s="142"/>
      <c r="Q33" s="30"/>
      <c r="R33" s="89" t="str">
        <f>IF(VLOOKUP(C33,'Train Runs'!$A$13:$AE$9938,1,1)=C33,VLOOKUP(C33,'Train Runs'!$A$13:$AE$9938,31,1),NA())</f>
        <v>aws s3 cp s3://rtdc.mdm.uploadarchive.raw/RTDC4032/ "%USERPROFILE%\AppData\Local\Temp\OnboardLogs"\RTDC4032\2017-04-12 --exclude "*" --recursive --include "*20170412*" &amp; "%USERPROFILE%\Documents\GitHub\mrs-test-scripts\Headless Mode &amp; Sideloading\WalkAndUnGZ.bat" "%USERPROFILE%\AppData\Local\Temp\OnboardLogs"\RTDC4032\2017-04-12 &amp; aws s3 cp s3://rtdc.mdm.uploadarchive.raw/RTDC4032/ "%USERPROFILE%\AppData\Local\Temp\OnboardLogs"\RTDC4032\2017-04-13 --exclude "*" --recursive --include "*20170413*" &amp; "%USERPROFILE%\Documents\GitHub\mrs-test-scripts\Headless Mode &amp; Sideloading\WalkAndUnGZ.bat" "%USERPROFILE%\AppData\Local\Temp\OnboardLogs"\RTDC4032\2017-04-13</v>
      </c>
      <c r="S33" s="92" t="str">
        <f>VLOOKUP(C33,'Train Runs'!$A$13:$AE$9938,22,0)</f>
        <v>https://d0f6bd738d7f1b3e5a7ca70fe4ff75f0.us-east-1.aws.found.io/app/kibana#/discover/Steve-Slow-Train-Analysis-(2080s-and-2083s)?_g=(refreshInterval:(display:Off,pause:!f,section:0,value:0),time:(from:'2017-04-12T11:38:16-0600',mode:absolute,to:'2017-04-12T14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3" s="94" t="str">
        <f t="shared" si="1"/>
        <v>"C:\Program Files (x86)\AstroGrep\AstroGrep.exe" /e /r /s /spath="%USERPROFILE%\AppData\Local\Temp\OnboardLogs" /stypes="*4032*201704121*" /stext=" 19:.+((SYSTEM_STATE.+slice.+state.+changed )|(ment ac)|(multiple cpu faults)|(system.+state.+changed )|(\[timeout)|(PRM\|1\|D)|(kpr)|(kdp)|(\|lc)|(penalty))"</v>
      </c>
      <c r="U33" s="9" t="str">
        <f t="shared" si="2"/>
        <v>4032</v>
      </c>
      <c r="V33" s="32">
        <f t="shared" si="3"/>
        <v>42837.806030092594</v>
      </c>
      <c r="W33" s="46" t="str">
        <f t="shared" si="4"/>
        <v>EC</v>
      </c>
      <c r="X33" s="46" t="str">
        <f t="shared" si="5"/>
        <v>KEEP</v>
      </c>
      <c r="Y33" s="104" t="str">
        <f t="shared" si="6"/>
        <v>echo {"issue":{"subject":"","project_id":79,"tracker_id":40,"status_id":1,"priority_id":2,"assigned_to_id":23,"start_date":"2017-04-12","description":"","custom_fields":[{"id":1,"name":"Subdivision","value":"EC"},{"id":4,"name":"Milepost","value":"23.3491"},{"id":17,"name":"Train ID","value":"173-12"},{"id":16,"name":"Locomotive ID","value":"4032"},{"id":130,"name":"Impact","value":""},{"id":150,"name":"Time of Event (Mountain Time)","value":"13:20:41"},{"id":151,"name":"Denver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218"/>
      <c r="AA33" s="48"/>
      <c r="AB33" s="48"/>
      <c r="AC33" s="123" t="str">
        <f t="shared" si="7"/>
        <v>grep -hSE -A400 "Enforcement Action" "%USERPROFILE%\AppData\Local\Temp\OnboardLogs"\RTDC4032\*4032*201704121* | grep -SE "((Enforcement Ac)|(PRM.+XING))"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"%USERPROFILE%\AppData\Local\Temp\OnboardLogs"\RTDC4032\*4032*201704121* &gt;&gt; 2017-04-12-SliceDisagreementCheck.txt</v>
      </c>
      <c r="AE33" s="153" t="str">
        <f t="shared" si="9"/>
        <v>start /low /b %USERPROFILE%\Documents\GitHub\eaglep3\Utilities\DownloadLogsFromS3.py --loco 4032 --day 2017-04-12</v>
      </c>
      <c r="AF33" s="1"/>
    </row>
    <row r="34" spans="1:32" x14ac:dyDescent="0.25">
      <c r="A34" s="32">
        <v>42837.68178240741</v>
      </c>
      <c r="B34" s="30" t="s">
        <v>436</v>
      </c>
      <c r="C34" s="30" t="s">
        <v>643</v>
      </c>
      <c r="D34" s="30" t="s">
        <v>49</v>
      </c>
      <c r="E34" s="30" t="s">
        <v>185</v>
      </c>
      <c r="F34" s="43">
        <v>0</v>
      </c>
      <c r="G34" s="43">
        <v>21</v>
      </c>
      <c r="H34" s="43">
        <v>233428</v>
      </c>
      <c r="I34" s="43">
        <v>233428</v>
      </c>
      <c r="J34" s="30" t="s">
        <v>186</v>
      </c>
      <c r="K34" s="43">
        <v>233491</v>
      </c>
      <c r="L34" s="139" t="s">
        <v>50</v>
      </c>
      <c r="M34" s="140">
        <f t="shared" si="0"/>
        <v>33.264000000000003</v>
      </c>
      <c r="N34" s="141" t="str">
        <f>VLOOKUP(C34,'Trips&amp;Operators'!$C$1:$G$99999,5,FALSE)</f>
        <v>LEVIN SCOTT</v>
      </c>
      <c r="O34" s="190" t="s">
        <v>184</v>
      </c>
      <c r="P34" s="142"/>
      <c r="Q34" s="30"/>
      <c r="R34" s="89" t="str">
        <f>IF(VLOOKUP(C34,'Train Runs'!$A$13:$AE$9938,1,1)=C34,VLOOKUP(C34,'Train Runs'!$A$13:$AE$9938,31,1),NA())</f>
        <v>aws s3 cp s3://rtdc.mdm.uploadarchive.raw/RTDC4020/ "%USERPROFILE%\AppData\Local\Temp\OnboardLogs"\RTDC4020\2017-04-12 --exclude "*" --recursive --include "*20170412*" &amp; "%USERPROFILE%\Documents\GitHub\mrs-test-scripts\Headless Mode &amp; Sideloading\WalkAndUnGZ.bat" "%USERPROFILE%\AppData\Local\Temp\OnboardLogs"\RTDC4020\2017-04-12 &amp; aws s3 cp s3://rtdc.mdm.uploadarchive.raw/RTDC4020/ "%USERPROFILE%\AppData\Local\Temp\OnboardLogs"\RTDC4020\2017-04-13 --exclude "*" --recursive --include "*20170413*" &amp; "%USERPROFILE%\Documents\GitHub\mrs-test-scripts\Headless Mode &amp; Sideloading\WalkAndUnGZ.bat" "%USERPROFILE%\AppData\Local\Temp\OnboardLogs"\RTDC4020\2017-04-13</v>
      </c>
      <c r="S34" s="92" t="str">
        <f>VLOOKUP(C34,'Train Runs'!$A$13:$AE$9938,22,0)</f>
        <v>https://d0f6bd738d7f1b3e5a7ca70fe4ff75f0.us-east-1.aws.found.io/app/kibana#/discover/Steve-Slow-Train-Analysis-(2080s-and-2083s)?_g=(refreshInterval:(display:Off,pause:!f,section:0,value:0),time:(from:'2017-04-12T14:39:59-0600',mode:absolute,to:'2017-04-12T17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4" s="94" t="str">
        <f t="shared" si="1"/>
        <v>"C:\Program Files (x86)\AstroGrep\AstroGrep.exe" /e /r /s /spath="%USERPROFILE%\AppData\Local\Temp\OnboardLogs" /stypes="*4020*201704122*" /stext=" 22:.+((SYSTEM_STATE.+slice.+state.+changed )|(ment ac)|(multiple cpu faults)|(system.+state.+changed )|(\[timeout)|(PRM\|1\|D)|(kpr)|(kdp)|(\|lc)|(penalty))"</v>
      </c>
      <c r="U34" s="9" t="str">
        <f t="shared" si="2"/>
        <v>4020</v>
      </c>
      <c r="V34" s="32">
        <f t="shared" si="3"/>
        <v>42837.93178240741</v>
      </c>
      <c r="W34" s="46" t="str">
        <f t="shared" si="4"/>
        <v>EC</v>
      </c>
      <c r="X34" s="46" t="str">
        <f t="shared" si="5"/>
        <v>KEEP</v>
      </c>
      <c r="Y34" s="104" t="str">
        <f t="shared" si="6"/>
        <v>echo {"issue":{"subject":"","project_id":79,"tracker_id":40,"status_id":1,"priority_id":2,"assigned_to_id":23,"start_date":"2017-04-12","description":"","custom_fields":[{"id":1,"name":"Subdivision","value":"EC"},{"id":4,"name":"Milepost","value":"23.3491"},{"id":17,"name":"Train ID","value":"197-12"},{"id":16,"name":"Locomotive ID","value":"4020"},{"id":130,"name":"Impact","value":""},{"id":150,"name":"Time of Event (Mountain Time)","value":"16:21:46"},{"id":151,"name":"Denver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18"/>
      <c r="AA34" s="48"/>
      <c r="AB34" s="48"/>
      <c r="AC34" s="123" t="str">
        <f t="shared" si="7"/>
        <v>grep -hSE -A400 "Enforcement Action" "%USERPROFILE%\AppData\Local\Temp\OnboardLogs"\RTDC4020\*4020*201704122* | grep -SE "((Enforcement Ac)|(PRM.+XING))"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"%USERPROFILE%\AppData\Local\Temp\OnboardLogs"\RTDC4020\*4020*201704122* &gt;&gt; 2017-04-12-SliceDisagreementCheck.txt</v>
      </c>
      <c r="AE34" s="153" t="str">
        <f t="shared" si="9"/>
        <v>start /low /b %USERPROFILE%\Documents\GitHub\eaglep3\Utilities\DownloadLogsFromS3.py --loco 4020 --day 2017-04-12</v>
      </c>
      <c r="AF34" s="1"/>
    </row>
    <row r="35" spans="1:32" x14ac:dyDescent="0.25">
      <c r="A35" s="32">
        <v>42837.692939814813</v>
      </c>
      <c r="B35" s="30" t="s">
        <v>503</v>
      </c>
      <c r="C35" s="30" t="s">
        <v>644</v>
      </c>
      <c r="D35" s="30" t="s">
        <v>49</v>
      </c>
      <c r="E35" s="30" t="s">
        <v>185</v>
      </c>
      <c r="F35" s="43">
        <v>0</v>
      </c>
      <c r="G35" s="43">
        <v>53</v>
      </c>
      <c r="H35" s="43">
        <v>233304</v>
      </c>
      <c r="I35" s="43">
        <v>233366</v>
      </c>
      <c r="J35" s="30" t="s">
        <v>186</v>
      </c>
      <c r="K35" s="43">
        <v>233491</v>
      </c>
      <c r="L35" s="139" t="s">
        <v>50</v>
      </c>
      <c r="M35" s="140">
        <f t="shared" si="0"/>
        <v>66</v>
      </c>
      <c r="N35" s="141" t="str">
        <f>VLOOKUP(C35,'Trips&amp;Operators'!$C$1:$G$99999,5,FALSE)</f>
        <v>STRICKLAND EVAN</v>
      </c>
      <c r="O35" s="190" t="s">
        <v>184</v>
      </c>
      <c r="P35" s="142"/>
      <c r="Q35" s="30"/>
      <c r="R35" s="89" t="str">
        <f>IF(VLOOKUP(C35,'Train Runs'!$A$13:$AE$9938,1,1)=C35,VLOOKUP(C35,'Train Runs'!$A$13:$AE$9938,31,1),NA())</f>
        <v>aws s3 cp s3://rtdc.mdm.uploadarchive.raw/RTDC4040/ "%USERPROFILE%\AppData\Local\Temp\OnboardLogs"\RTDC4040\2017-04-12 --exclude "*" --recursive --include "*20170412*" &amp; "%USERPROFILE%\Documents\GitHub\mrs-test-scripts\Headless Mode &amp; Sideloading\WalkAndUnGZ.bat" "%USERPROFILE%\AppData\Local\Temp\OnboardLogs"\RTDC4040\2017-04-12 &amp; aws s3 cp s3://rtdc.mdm.uploadarchive.raw/RTDC4040/ "%USERPROFILE%\AppData\Local\Temp\OnboardLogs"\RTDC4040\2017-04-13 --exclude "*" --recursive --include "*20170413*" &amp; "%USERPROFILE%\Documents\GitHub\mrs-test-scripts\Headless Mode &amp; Sideloading\WalkAndUnGZ.bat" "%USERPROFILE%\AppData\Local\Temp\OnboardLogs"\RTDC4040\2017-04-13</v>
      </c>
      <c r="S35" s="92" t="str">
        <f>VLOOKUP(C35,'Train Runs'!$A$13:$AE$9938,22,0)</f>
        <v>https://d0f6bd738d7f1b3e5a7ca70fe4ff75f0.us-east-1.aws.found.io/app/kibana#/discover/Steve-Slow-Train-Analysis-(2080s-and-2083s)?_g=(refreshInterval:(display:Off,pause:!f,section:0,value:0),time:(from:'2017-04-12T14:54:34-0600',mode:absolute,to:'2017-04-12T17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5" s="94" t="str">
        <f t="shared" si="1"/>
        <v>"C:\Program Files (x86)\AstroGrep\AstroGrep.exe" /e /r /s /spath="%USERPROFILE%\AppData\Local\Temp\OnboardLogs" /stypes="*4040*201704122*" /stext=" 22:.+((SYSTEM_STATE.+slice.+state.+changed )|(ment ac)|(multiple cpu faults)|(system.+state.+changed )|(\[timeout)|(PRM\|1\|D)|(kpr)|(kdp)|(\|lc)|(penalty))"</v>
      </c>
      <c r="U35" s="9" t="str">
        <f t="shared" si="2"/>
        <v>4040</v>
      </c>
      <c r="V35" s="32">
        <f t="shared" si="3"/>
        <v>42837.942939814813</v>
      </c>
      <c r="W35" s="46" t="str">
        <f t="shared" si="4"/>
        <v>EC</v>
      </c>
      <c r="X35" s="46" t="str">
        <f t="shared" si="5"/>
        <v>KEEP</v>
      </c>
      <c r="Y35" s="104" t="str">
        <f t="shared" si="6"/>
        <v>echo {"issue":{"subject":"","project_id":79,"tracker_id":40,"status_id":1,"priority_id":2,"assigned_to_id":23,"start_date":"2017-04-12","description":"","custom_fields":[{"id":1,"name":"Subdivision","value":"EC"},{"id":4,"name":"Milepost","value":"23.3491"},{"id":17,"name":"Train ID","value":"199-12"},{"id":16,"name":"Locomotive ID","value":"4040"},{"id":130,"name":"Impact","value":""},{"id":150,"name":"Time of Event (Mountain Time)","value":"16:37:50"},{"id":151,"name":"Denver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18"/>
      <c r="AA35" s="48"/>
      <c r="AB35" s="48"/>
      <c r="AC35" s="123" t="str">
        <f t="shared" si="7"/>
        <v>grep -hSE -A400 "Enforcement Action" "%USERPROFILE%\AppData\Local\Temp\OnboardLogs"\RTDC4040\*4040*201704122* | grep -SE "((Enforcement Ac)|(PRM.+XING))"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"%USERPROFILE%\AppData\Local\Temp\OnboardLogs"\RTDC4040\*4040*201704122* &gt;&gt; 2017-04-12-SliceDisagreementCheck.txt</v>
      </c>
      <c r="AE35" s="153" t="str">
        <f t="shared" si="9"/>
        <v>start /low /b %USERPROFILE%\Documents\GitHub\eaglep3\Utilities\DownloadLogsFromS3.py --loco 4040 --day 2017-04-12</v>
      </c>
      <c r="AF35" s="1"/>
    </row>
    <row r="36" spans="1:32" x14ac:dyDescent="0.25">
      <c r="A36" s="32">
        <v>42837.518576388888</v>
      </c>
      <c r="B36" s="30" t="s">
        <v>625</v>
      </c>
      <c r="C36" s="30" t="s">
        <v>633</v>
      </c>
      <c r="D36" s="30" t="s">
        <v>49</v>
      </c>
      <c r="E36" s="30" t="s">
        <v>212</v>
      </c>
      <c r="F36" s="43">
        <v>300</v>
      </c>
      <c r="G36" s="43">
        <v>351</v>
      </c>
      <c r="H36" s="43">
        <v>20947</v>
      </c>
      <c r="I36" s="43">
        <v>21850</v>
      </c>
      <c r="J36" s="30" t="s">
        <v>213</v>
      </c>
      <c r="K36" s="43">
        <v>21312</v>
      </c>
      <c r="L36" s="139" t="s">
        <v>50</v>
      </c>
      <c r="M36" s="140">
        <f t="shared" si="0"/>
        <v>-284.06400000000002</v>
      </c>
      <c r="N36" s="141" t="str">
        <f>VLOOKUP(C36,'Trips&amp;Operators'!$C$1:$G$99999,5,FALSE)</f>
        <v>WILLIAMS DONTE</v>
      </c>
      <c r="O36" s="190" t="s">
        <v>184</v>
      </c>
      <c r="P36" s="142"/>
      <c r="Q36" s="30"/>
      <c r="R36" s="89" t="e">
        <f>IF(VLOOKUP(C36,'Train Runs'!$A$13:$AE$9938,1,1)=C36,VLOOKUP(C36,'Train Runs'!$A$13:$AE$9938,31,1),NA())</f>
        <v>#N/A</v>
      </c>
      <c r="S36" s="92" t="str">
        <f>VLOOKUP(C36,'Train Runs'!$A$13:$AE$9938,22,0)</f>
        <v>https://d0f6bd738d7f1b3e5a7ca70fe4ff75f0.us-east-1.aws.found.io/app/kibana#/discover/Steve-Slow-Train-Analysis-(2080s-and-2083s)?_g=(refreshInterval:(display:Off,pause:!f,section:0,value:0),time:(from:'2017-04-12T10:58:34-0600',mode:absolute,to:'2017-04-12T13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6" s="94" t="str">
        <f t="shared" si="1"/>
        <v>"C:\Program Files (x86)\AstroGrep\AstroGrep.exe" /e /r /s /spath="%USERPROFILE%\AppData\Local\Temp\OnboardLogs" /stypes="*4016*201704121*" /stext=" 18:.+((SYSTEM_STATE.+slice.+state.+changed )|(ment ac)|(multiple cpu faults)|(system.+state.+changed )|(\[timeout)|(PRM\|1\|D)|(kpr)|(kdp)|(\|lc)|(penalty))"</v>
      </c>
      <c r="U36" s="9" t="str">
        <f t="shared" si="2"/>
        <v>4016</v>
      </c>
      <c r="V36" s="32">
        <f t="shared" si="3"/>
        <v>42837.768576388888</v>
      </c>
      <c r="W36" s="46" t="str">
        <f t="shared" si="4"/>
        <v>NW</v>
      </c>
      <c r="X36" s="46" t="str">
        <f t="shared" si="5"/>
        <v>KEEP</v>
      </c>
      <c r="Y36" s="104" t="str">
        <f t="shared" si="6"/>
        <v>echo {"issue":{"subject":"","project_id":79,"tracker_id":40,"status_id":1,"priority_id":2,"assigned_to_id":23,"start_date":"2017-04-12","description":"","custom_fields":[{"id":1,"name":"Subdivision","value":"NW"},{"id":4,"name":"Milepost","value":"2.1312"},{"id":17,"name":"Train ID","value":"819-12"},{"id":16,"name":"Locomotive ID","value":"4016"},{"id":130,"name":"Impact","value":""},{"id":150,"name":"Time of Event (Mountain Time)","value":"12:26:45"},{"id":151,"name":"Denver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18"/>
      <c r="AA36" s="48"/>
      <c r="AB36" s="48"/>
      <c r="AC36" s="123" t="str">
        <f t="shared" si="7"/>
        <v>grep -hSE -A400 "Enforcement Action" "%USERPROFILE%\AppData\Local\Temp\OnboardLogs"\RTDC4016\*4016*201704121* | grep -SE "((Enforcement Ac)|(PRM.+XING))"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"%USERPROFILE%\AppData\Local\Temp\OnboardLogs"\RTDC4016\*4016*201704121* &gt;&gt; 2017-04-12-SliceDisagreementCheck.txt</v>
      </c>
      <c r="AE36" s="153" t="str">
        <f t="shared" si="9"/>
        <v>start /low /b %USERPROFILE%\Documents\GitHub\eaglep3\Utilities\DownloadLogsFromS3.py --loco 4016 --day 2017-04-12</v>
      </c>
      <c r="AF36" s="1"/>
    </row>
    <row r="37" spans="1:32" x14ac:dyDescent="0.25">
      <c r="A37" s="32">
        <v>42837.330104166664</v>
      </c>
      <c r="B37" s="30" t="s">
        <v>621</v>
      </c>
      <c r="C37" s="30" t="s">
        <v>622</v>
      </c>
      <c r="D37" s="30" t="s">
        <v>49</v>
      </c>
      <c r="E37" s="30" t="s">
        <v>185</v>
      </c>
      <c r="F37" s="43">
        <v>0</v>
      </c>
      <c r="G37" s="43">
        <v>142</v>
      </c>
      <c r="H37" s="43">
        <v>1377</v>
      </c>
      <c r="I37" s="43">
        <v>1237</v>
      </c>
      <c r="J37" s="30" t="s">
        <v>186</v>
      </c>
      <c r="K37" s="43">
        <v>575</v>
      </c>
      <c r="L37" s="139" t="s">
        <v>51</v>
      </c>
      <c r="M37" s="140">
        <f t="shared" si="0"/>
        <v>349.53599999999994</v>
      </c>
      <c r="N37" s="141" t="str">
        <f>VLOOKUP(C37,'Trips&amp;Operators'!$C$1:$G$99999,5,FALSE)</f>
        <v>LOZA FIDEL</v>
      </c>
      <c r="O37" s="190" t="s">
        <v>184</v>
      </c>
      <c r="P37" s="142"/>
      <c r="Q37" s="30"/>
      <c r="R37" s="89" t="str">
        <f>IF(VLOOKUP(C37,'Train Runs'!$A$13:$AE$9938,1,1)=C37,VLOOKUP(C37,'Train Runs'!$A$13:$AE$9938,31,1),NA())</f>
        <v>aws s3 cp s3://rtdc.mdm.uploadarchive.raw/RTDC4015/ "%USERPROFILE%\AppData\Local\Temp\OnboardLogs"\RTDC4015\2017-04-12 --exclude "*" --recursive --include "*20170412*" &amp; "%USERPROFILE%\Documents\GitHub\mrs-test-scripts\Headless Mode &amp; Sideloading\WalkAndUnGZ.bat" "%USERPROFILE%\AppData\Local\Temp\OnboardLogs"\RTDC4015\2017-04-12 &amp; aws s3 cp s3://rtdc.mdm.uploadarchive.raw/RTDC4015/ "%USERPROFILE%\AppData\Local\Temp\OnboardLogs"\RTDC4015\2017-04-13 --exclude "*" --recursive --include "*20170413*" &amp; "%USERPROFILE%\Documents\GitHub\mrs-test-scripts\Headless Mode &amp; Sideloading\WalkAndUnGZ.bat" "%USERPROFILE%\AppData\Local\Temp\OnboardLogs"\RTDC4015\2017-04-13</v>
      </c>
      <c r="S37" s="92" t="str">
        <f>VLOOKUP(C37,'Train Runs'!$A$13:$AE$9938,22,0)</f>
        <v>https://d0f6bd738d7f1b3e5a7ca70fe4ff75f0.us-east-1.aws.found.io/app/kibana#/discover/Steve-Slow-Train-Analysis-(2080s-and-2083s)?_g=(refreshInterval:(display:Off,pause:!f,section:0,value:0),time:(from:'2017-04-12T06:36:20-0600',mode:absolute,to:'2017-04-12T08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7" s="94" t="str">
        <f t="shared" si="1"/>
        <v>"C:\Program Files (x86)\AstroGrep\AstroGrep.exe" /e /r /s /spath="%USERPROFILE%\AppData\Local\Temp\OnboardLogs" /stypes="*4015*201704121*" /stext=" 13:.+((SYSTEM_STATE.+slice.+state.+changed )|(ment ac)|(multiple cpu faults)|(system.+state.+changed )|(\[timeout)|(PRM\|1\|D)|(kpr)|(kdp)|(\|lc)|(penalty))"</v>
      </c>
      <c r="U37" s="9" t="str">
        <f t="shared" si="2"/>
        <v>4015</v>
      </c>
      <c r="V37" s="32">
        <f t="shared" si="3"/>
        <v>42837.580104166664</v>
      </c>
      <c r="W37" s="46" t="str">
        <f t="shared" si="4"/>
        <v>NW</v>
      </c>
      <c r="X37" s="46" t="str">
        <f t="shared" si="5"/>
        <v>KEEP</v>
      </c>
      <c r="Y37" s="104" t="str">
        <f t="shared" si="6"/>
        <v>echo {"issue":{"subject":"","project_id":79,"tracker_id":40,"status_id":1,"priority_id":2,"assigned_to_id":23,"start_date":"2017-04-12","description":"","custom_fields":[{"id":1,"name":"Subdivision","value":"NW"},{"id":4,"name":"Milepost","value":"0.0575"},{"id":17,"name":"Train ID","value":"808-12"},{"id":16,"name":"Locomotive ID","value":"4015"},{"id":130,"name":"Impact","value":""},{"id":150,"name":"Time of Event (Mountain Time)","value":"07:55:21"},{"id":151,"name":"Denver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18"/>
      <c r="AA37" s="48"/>
      <c r="AB37" s="48"/>
      <c r="AC37" s="123" t="str">
        <f t="shared" si="7"/>
        <v>grep -hSE -A400 "Enforcement Action" "%USERPROFILE%\AppData\Local\Temp\OnboardLogs"\RTDC4015\*4015*201704121* | grep -SE "((Enforcement Ac)|(PRM.+XING))"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"%USERPROFILE%\AppData\Local\Temp\OnboardLogs"\RTDC4015\*4015*201704121* &gt;&gt; 2017-04-12-SliceDisagreementCheck.txt</v>
      </c>
      <c r="AE37" s="153" t="str">
        <f t="shared" si="9"/>
        <v>start /low /b %USERPROFILE%\Documents\GitHub\eaglep3\Utilities\DownloadLogsFromS3.py --loco 4015 --day 2017-04-12</v>
      </c>
      <c r="AF37" s="1"/>
    </row>
    <row r="38" spans="1:32" x14ac:dyDescent="0.25">
      <c r="A38" s="32">
        <v>42837.330787037034</v>
      </c>
      <c r="B38" s="30" t="s">
        <v>621</v>
      </c>
      <c r="C38" s="30" t="s">
        <v>622</v>
      </c>
      <c r="D38" s="30" t="s">
        <v>49</v>
      </c>
      <c r="E38" s="30" t="s">
        <v>185</v>
      </c>
      <c r="F38" s="43">
        <v>0</v>
      </c>
      <c r="G38" s="43">
        <v>62</v>
      </c>
      <c r="H38" s="43">
        <v>832</v>
      </c>
      <c r="I38" s="43">
        <v>778</v>
      </c>
      <c r="J38" s="30" t="s">
        <v>186</v>
      </c>
      <c r="K38" s="43">
        <v>575</v>
      </c>
      <c r="L38" s="139" t="s">
        <v>51</v>
      </c>
      <c r="M38" s="140">
        <f t="shared" si="0"/>
        <v>107.184</v>
      </c>
      <c r="N38" s="141" t="str">
        <f>VLOOKUP(C38,'Trips&amp;Operators'!$C$1:$G$99999,5,FALSE)</f>
        <v>LOZA FIDEL</v>
      </c>
      <c r="O38" s="190" t="s">
        <v>184</v>
      </c>
      <c r="P38" s="142"/>
      <c r="Q38" s="30"/>
      <c r="R38" s="89" t="str">
        <f>IF(VLOOKUP(C38,'Train Runs'!$A$13:$AE$9938,1,1)=C38,VLOOKUP(C38,'Train Runs'!$A$13:$AE$9938,31,1),NA())</f>
        <v>aws s3 cp s3://rtdc.mdm.uploadarchive.raw/RTDC4015/ "%USERPROFILE%\AppData\Local\Temp\OnboardLogs"\RTDC4015\2017-04-12 --exclude "*" --recursive --include "*20170412*" &amp; "%USERPROFILE%\Documents\GitHub\mrs-test-scripts\Headless Mode &amp; Sideloading\WalkAndUnGZ.bat" "%USERPROFILE%\AppData\Local\Temp\OnboardLogs"\RTDC4015\2017-04-12 &amp; aws s3 cp s3://rtdc.mdm.uploadarchive.raw/RTDC4015/ "%USERPROFILE%\AppData\Local\Temp\OnboardLogs"\RTDC4015\2017-04-13 --exclude "*" --recursive --include "*20170413*" &amp; "%USERPROFILE%\Documents\GitHub\mrs-test-scripts\Headless Mode &amp; Sideloading\WalkAndUnGZ.bat" "%USERPROFILE%\AppData\Local\Temp\OnboardLogs"\RTDC4015\2017-04-13</v>
      </c>
      <c r="S38" s="92" t="str">
        <f>VLOOKUP(C38,'Train Runs'!$A$13:$AE$9938,22,0)</f>
        <v>https://d0f6bd738d7f1b3e5a7ca70fe4ff75f0.us-east-1.aws.found.io/app/kibana#/discover/Steve-Slow-Train-Analysis-(2080s-and-2083s)?_g=(refreshInterval:(display:Off,pause:!f,section:0,value:0),time:(from:'2017-04-12T06:36:20-0600',mode:absolute,to:'2017-04-12T08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8" s="94" t="str">
        <f t="shared" si="1"/>
        <v>"C:\Program Files (x86)\AstroGrep\AstroGrep.exe" /e /r /s /spath="%USERPROFILE%\AppData\Local\Temp\OnboardLogs" /stypes="*4015*201704121*" /stext=" 13:.+((SYSTEM_STATE.+slice.+state.+changed )|(ment ac)|(multiple cpu faults)|(system.+state.+changed )|(\[timeout)|(PRM\|1\|D)|(kpr)|(kdp)|(\|lc)|(penalty))"</v>
      </c>
      <c r="U38" s="9" t="str">
        <f t="shared" si="2"/>
        <v>4015</v>
      </c>
      <c r="V38" s="32">
        <f t="shared" si="3"/>
        <v>42837.580787037034</v>
      </c>
      <c r="W38" s="46" t="str">
        <f t="shared" si="4"/>
        <v>NW</v>
      </c>
      <c r="X38" s="46" t="str">
        <f t="shared" si="5"/>
        <v>KEEP</v>
      </c>
      <c r="Y38" s="104" t="str">
        <f t="shared" si="6"/>
        <v>echo {"issue":{"subject":"","project_id":79,"tracker_id":40,"status_id":1,"priority_id":2,"assigned_to_id":23,"start_date":"2017-04-12","description":"","custom_fields":[{"id":1,"name":"Subdivision","value":"NW"},{"id":4,"name":"Milepost","value":"0.0575"},{"id":17,"name":"Train ID","value":"808-12"},{"id":16,"name":"Locomotive ID","value":"4015"},{"id":130,"name":"Impact","value":""},{"id":150,"name":"Time of Event (Mountain Time)","value":"07:56:20"},{"id":151,"name":"Denver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218"/>
      <c r="AA38" s="48"/>
      <c r="AB38" s="48"/>
      <c r="AC38" s="123" t="str">
        <f t="shared" si="7"/>
        <v>grep -hSE -A400 "Enforcement Action" "%USERPROFILE%\AppData\Local\Temp\OnboardLogs"\RTDC4015\*4015*201704121* | grep -SE "((Enforcement Ac)|(PRM.+XING))"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"%USERPROFILE%\AppData\Local\Temp\OnboardLogs"\RTDC4015\*4015*201704121* &gt;&gt; 2017-04-12-SliceDisagreementCheck.txt</v>
      </c>
      <c r="AE38" s="153" t="str">
        <f t="shared" si="9"/>
        <v>start /low /b %USERPROFILE%\Documents\GitHub\eaglep3\Utilities\DownloadLogsFromS3.py --loco 4015 --day 2017-04-12</v>
      </c>
      <c r="AF38" s="1"/>
    </row>
    <row r="39" spans="1:32" x14ac:dyDescent="0.25">
      <c r="A39" s="32">
        <v>42837.455057870371</v>
      </c>
      <c r="B39" s="30" t="s">
        <v>621</v>
      </c>
      <c r="C39" s="30" t="s">
        <v>628</v>
      </c>
      <c r="D39" s="30" t="s">
        <v>49</v>
      </c>
      <c r="E39" s="30" t="s">
        <v>185</v>
      </c>
      <c r="F39" s="43">
        <v>0</v>
      </c>
      <c r="G39" s="43">
        <v>43</v>
      </c>
      <c r="H39" s="43">
        <v>717</v>
      </c>
      <c r="I39" s="43">
        <v>689</v>
      </c>
      <c r="J39" s="30" t="s">
        <v>186</v>
      </c>
      <c r="K39" s="43">
        <v>575</v>
      </c>
      <c r="L39" s="139" t="s">
        <v>51</v>
      </c>
      <c r="M39" s="140">
        <f t="shared" si="0"/>
        <v>60.192</v>
      </c>
      <c r="N39" s="141" t="str">
        <f>VLOOKUP(C39,'Trips&amp;Operators'!$C$1:$G$99999,5,FALSE)</f>
        <v>WILLIAMS DONTE</v>
      </c>
      <c r="O39" s="190" t="s">
        <v>184</v>
      </c>
      <c r="P39" s="142"/>
      <c r="Q39" s="30"/>
      <c r="R39" s="89" t="e">
        <f>IF(VLOOKUP(C39,'Train Runs'!$A$13:$AE$9938,1,1)=C39,VLOOKUP(C39,'Train Runs'!$A$13:$AE$9938,31,1),NA())</f>
        <v>#N/A</v>
      </c>
      <c r="S39" s="92" t="str">
        <f>VLOOKUP(C39,'Train Runs'!$A$13:$AE$9938,22,0)</f>
        <v>https://d0f6bd738d7f1b3e5a7ca70fe4ff75f0.us-east-1.aws.found.io/app/kibana#/discover/Steve-Slow-Train-Analysis-(2080s-and-2083s)?_g=(refreshInterval:(display:Off,pause:!f,section:0,value:0),time:(from:'2017-04-12T09:37:57-0600',mode:absolute,to:'2017-04-12T11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9" s="94" t="str">
        <f t="shared" si="1"/>
        <v>"C:\Program Files (x86)\AstroGrep\AstroGrep.exe" /e /r /s /spath="%USERPROFILE%\AppData\Local\Temp\OnboardLogs" /stypes="*4015*201704121*" /stext=" 16:.+((SYSTEM_STATE.+slice.+state.+changed )|(ment ac)|(multiple cpu faults)|(system.+state.+changed )|(\[timeout)|(PRM\|1\|D)|(kpr)|(kdp)|(\|lc)|(penalty))"</v>
      </c>
      <c r="U39" s="9" t="str">
        <f t="shared" si="2"/>
        <v>4015</v>
      </c>
      <c r="V39" s="32">
        <f t="shared" si="3"/>
        <v>42837.705057870371</v>
      </c>
      <c r="W39" s="46" t="str">
        <f t="shared" si="4"/>
        <v>NW</v>
      </c>
      <c r="X39" s="46" t="str">
        <f t="shared" si="5"/>
        <v>KEEP</v>
      </c>
      <c r="Y39" s="104" t="str">
        <f t="shared" si="6"/>
        <v>echo {"issue":{"subject":"","project_id":79,"tracker_id":40,"status_id":1,"priority_id":2,"assigned_to_id":23,"start_date":"2017-04-12","description":"","custom_fields":[{"id":1,"name":"Subdivision","value":"NW"},{"id":4,"name":"Milepost","value":"0.0575"},{"id":17,"name":"Train ID","value":"816-12"},{"id":16,"name":"Locomotive ID","value":"4015"},{"id":130,"name":"Impact","value":""},{"id":150,"name":"Time of Event (Mountain Time)","value":"10:55:17"},{"id":151,"name":"Denver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218"/>
      <c r="AA39" s="48"/>
      <c r="AB39" s="48"/>
      <c r="AC39" s="123" t="str">
        <f t="shared" si="7"/>
        <v>grep -hSE -A400 "Enforcement Action" "%USERPROFILE%\AppData\Local\Temp\OnboardLogs"\RTDC4015\*4015*201704121* | grep -SE "((Enforcement Ac)|(PRM.+XING))"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"%USERPROFILE%\AppData\Local\Temp\OnboardLogs"\RTDC4015\*4015*201704121* &gt;&gt; 2017-04-12-SliceDisagreementCheck.txt</v>
      </c>
      <c r="AE39" s="153" t="str">
        <f t="shared" si="9"/>
        <v>start /low /b %USERPROFILE%\Documents\GitHub\eaglep3\Utilities\DownloadLogsFromS3.py --loco 4015 --day 2017-04-12</v>
      </c>
      <c r="AF39" s="1"/>
    </row>
    <row r="40" spans="1:32" x14ac:dyDescent="0.25">
      <c r="A40" s="32">
        <v>42837.440416666665</v>
      </c>
      <c r="B40" s="30" t="s">
        <v>625</v>
      </c>
      <c r="C40" s="30" t="s">
        <v>626</v>
      </c>
      <c r="D40" s="30" t="s">
        <v>49</v>
      </c>
      <c r="E40" s="30" t="s">
        <v>185</v>
      </c>
      <c r="F40" s="43">
        <v>0</v>
      </c>
      <c r="G40" s="43">
        <v>149</v>
      </c>
      <c r="H40" s="43">
        <v>57943</v>
      </c>
      <c r="I40" s="43">
        <v>58130</v>
      </c>
      <c r="J40" s="30" t="s">
        <v>186</v>
      </c>
      <c r="K40" s="43">
        <v>59048</v>
      </c>
      <c r="L40" s="139" t="s">
        <v>50</v>
      </c>
      <c r="M40" s="140">
        <f t="shared" si="0"/>
        <v>484.70400000000001</v>
      </c>
      <c r="N40" s="141" t="str">
        <f>VLOOKUP(C40,'Trips&amp;Operators'!$C$1:$G$99999,5,FALSE)</f>
        <v>WILLIAMS DONTE</v>
      </c>
      <c r="O40" s="190" t="s">
        <v>184</v>
      </c>
      <c r="P40" s="142"/>
      <c r="Q40" s="30"/>
      <c r="R40" s="89" t="e">
        <f>IF(VLOOKUP(C40,'Train Runs'!$A$13:$AE$9938,1,1)=C40,VLOOKUP(C40,'Train Runs'!$A$13:$AE$9938,31,1),NA())</f>
        <v>#N/A</v>
      </c>
      <c r="S40" s="92" t="str">
        <f>VLOOKUP(C40,'Train Runs'!$A$13:$AE$9938,22,0)</f>
        <v>https://d0f6bd738d7f1b3e5a7ca70fe4ff75f0.us-east-1.aws.found.io/app/kibana#/discover/Steve-Slow-Train-Analysis-(2080s-and-2083s)?_g=(refreshInterval:(display:Off,pause:!f,section:0,value:0),time:(from:'2017-04-12T09:17:27-0600',mode:absolute,to:'2017-04-12T11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40" s="94" t="str">
        <f t="shared" si="1"/>
        <v>"C:\Program Files (x86)\AstroGrep\AstroGrep.exe" /e /r /s /spath="%USERPROFILE%\AppData\Local\Temp\OnboardLogs" /stypes="*4016*201704121*" /stext=" 16:.+((SYSTEM_STATE.+slice.+state.+changed )|(ment ac)|(multiple cpu faults)|(system.+state.+changed )|(\[timeout)|(PRM\|1\|D)|(kpr)|(kdp)|(\|lc)|(penalty))"</v>
      </c>
      <c r="U40" s="9" t="str">
        <f t="shared" si="2"/>
        <v>4016</v>
      </c>
      <c r="V40" s="32">
        <f t="shared" si="3"/>
        <v>42837.690416666665</v>
      </c>
      <c r="W40" s="46" t="str">
        <f t="shared" si="4"/>
        <v>NW</v>
      </c>
      <c r="X40" s="46" t="str">
        <f t="shared" si="5"/>
        <v>KEEP</v>
      </c>
      <c r="Y40" s="104" t="str">
        <f t="shared" si="6"/>
        <v>echo {"issue":{"subject":"","project_id":79,"tracker_id":40,"status_id":1,"priority_id":2,"assigned_to_id":23,"start_date":"2017-04-12","description":"","custom_fields":[{"id":1,"name":"Subdivision","value":"NW"},{"id":4,"name":"Milepost","value":"5.9048"},{"id":17,"name":"Train ID","value":"815-12"},{"id":16,"name":"Locomotive ID","value":"4016"},{"id":130,"name":"Impact","value":""},{"id":150,"name":"Time of Event (Mountain Time)","value":"10:34:12"},{"id":151,"name":"Denver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218"/>
      <c r="AA40" s="48"/>
      <c r="AB40" s="48"/>
      <c r="AC40" s="123" t="str">
        <f t="shared" si="7"/>
        <v>grep -hSE -A400 "Enforcement Action" "%USERPROFILE%\AppData\Local\Temp\OnboardLogs"\RTDC4016\*4016*201704121* | grep -SE "((Enforcement Ac)|(PRM.+XING))"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"%USERPROFILE%\AppData\Local\Temp\OnboardLogs"\RTDC4016\*4016*201704121* &gt;&gt; 2017-04-12-SliceDisagreementCheck.txt</v>
      </c>
      <c r="AE40" s="153" t="str">
        <f t="shared" si="9"/>
        <v>start /low /b %USERPROFILE%\Documents\GitHub\eaglep3\Utilities\DownloadLogsFromS3.py --loco 4016 --day 2017-04-12</v>
      </c>
      <c r="AF40" s="1"/>
    </row>
    <row r="41" spans="1:32" x14ac:dyDescent="0.25">
      <c r="A41" s="32">
        <v>42837.566689814812</v>
      </c>
      <c r="B41" s="30" t="s">
        <v>625</v>
      </c>
      <c r="C41" s="30" t="s">
        <v>638</v>
      </c>
      <c r="D41" s="30" t="s">
        <v>49</v>
      </c>
      <c r="E41" s="30" t="s">
        <v>185</v>
      </c>
      <c r="F41" s="43">
        <v>0</v>
      </c>
      <c r="G41" s="43">
        <v>45</v>
      </c>
      <c r="H41" s="43">
        <v>58954</v>
      </c>
      <c r="I41" s="43">
        <v>58975</v>
      </c>
      <c r="J41" s="30" t="s">
        <v>186</v>
      </c>
      <c r="K41" s="43">
        <v>59048</v>
      </c>
      <c r="L41" s="139" t="s">
        <v>50</v>
      </c>
      <c r="M41" s="140">
        <f t="shared" si="0"/>
        <v>38.543999999999997</v>
      </c>
      <c r="N41" s="141" t="str">
        <f>VLOOKUP(C41,'Trips&amp;Operators'!$C$1:$G$99999,5,FALSE)</f>
        <v>SULLIVAN BRANDON</v>
      </c>
      <c r="O41" s="190" t="s">
        <v>184</v>
      </c>
      <c r="P41" s="142"/>
      <c r="Q41" s="30"/>
      <c r="R41" s="89" t="e">
        <f>IF(VLOOKUP(C41,'Train Runs'!$A$13:$AE$9938,1,1)=C41,VLOOKUP(C41,'Train Runs'!$A$13:$AE$9938,31,1),NA())</f>
        <v>#N/A</v>
      </c>
      <c r="S41" s="92" t="str">
        <f>VLOOKUP(C41,'Train Runs'!$A$13:$AE$9938,22,0)</f>
        <v>https://d0f6bd738d7f1b3e5a7ca70fe4ff75f0.us-east-1.aws.found.io/app/kibana#/discover/Steve-Slow-Train-Analysis-(2080s-and-2083s)?_g=(refreshInterval:(display:Off,pause:!f,section:0,value:0),time:(from:'2017-04-12T12:10:32-0600',mode:absolute,to:'2017-04-12T14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41" s="94" t="str">
        <f t="shared" si="1"/>
        <v>"C:\Program Files (x86)\AstroGrep\AstroGrep.exe" /e /r /s /spath="%USERPROFILE%\AppData\Local\Temp\OnboardLogs" /stypes="*4016*201704121*" /stext=" 19:.+((SYSTEM_STATE.+slice.+state.+changed )|(ment ac)|(multiple cpu faults)|(system.+state.+changed )|(\[timeout)|(PRM\|1\|D)|(kpr)|(kdp)|(\|lc)|(penalty))"</v>
      </c>
      <c r="U41" s="9" t="str">
        <f t="shared" si="2"/>
        <v>4016</v>
      </c>
      <c r="V41" s="32">
        <f t="shared" si="3"/>
        <v>42837.816689814812</v>
      </c>
      <c r="W41" s="46" t="str">
        <f t="shared" si="4"/>
        <v>NW</v>
      </c>
      <c r="X41" s="46" t="str">
        <f t="shared" si="5"/>
        <v>KEEP</v>
      </c>
      <c r="Y41" s="104" t="str">
        <f t="shared" si="6"/>
        <v>echo {"issue":{"subject":"","project_id":79,"tracker_id":40,"status_id":1,"priority_id":2,"assigned_to_id":23,"start_date":"2017-04-12","description":"","custom_fields":[{"id":1,"name":"Subdivision","value":"NW"},{"id":4,"name":"Milepost","value":"5.9048"},{"id":17,"name":"Train ID","value":"821-12"},{"id":16,"name":"Locomotive ID","value":"4016"},{"id":130,"name":"Impact","value":""},{"id":150,"name":"Time of Event (Mountain Time)","value":"13:36:02"},{"id":151,"name":"Denver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218"/>
      <c r="AA41" s="48"/>
      <c r="AB41" s="48"/>
      <c r="AC41" s="123" t="str">
        <f t="shared" si="7"/>
        <v>grep -hSE -A400 "Enforcement Action" "%USERPROFILE%\AppData\Local\Temp\OnboardLogs"\RTDC4016\*4016*201704121* | grep -SE "((Enforcement Ac)|(PRM.+XING))"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"%USERPROFILE%\AppData\Local\Temp\OnboardLogs"\RTDC4016\*4016*201704121* &gt;&gt; 2017-04-12-SliceDisagreementCheck.txt</v>
      </c>
      <c r="AE41" s="153" t="str">
        <f t="shared" si="9"/>
        <v>start /low /b %USERPROFILE%\Documents\GitHub\eaglep3\Utilities\DownloadLogsFromS3.py --loco 4016 --day 2017-04-12</v>
      </c>
      <c r="AF41" s="1"/>
    </row>
    <row r="42" spans="1:32" x14ac:dyDescent="0.25">
      <c r="A42" s="32">
        <v>42837.4997337963</v>
      </c>
      <c r="B42" s="30" t="s">
        <v>631</v>
      </c>
      <c r="C42" s="30" t="s">
        <v>632</v>
      </c>
      <c r="D42" s="30" t="s">
        <v>49</v>
      </c>
      <c r="E42" s="30" t="s">
        <v>185</v>
      </c>
      <c r="F42" s="43">
        <v>0</v>
      </c>
      <c r="G42" s="43">
        <v>54</v>
      </c>
      <c r="H42" s="43">
        <v>982</v>
      </c>
      <c r="I42" s="43">
        <v>939</v>
      </c>
      <c r="J42" s="30" t="s">
        <v>186</v>
      </c>
      <c r="K42" s="43">
        <v>826</v>
      </c>
      <c r="L42" s="139" t="s">
        <v>51</v>
      </c>
      <c r="M42" s="140">
        <f t="shared" si="0"/>
        <v>59.664000000000001</v>
      </c>
      <c r="N42" s="141" t="str">
        <f>VLOOKUP(C42,'Trips&amp;Operators'!$C$1:$G$99999,5,FALSE)</f>
        <v>STRICKLAND EVAN</v>
      </c>
      <c r="O42" s="190" t="s">
        <v>184</v>
      </c>
      <c r="P42" s="142"/>
      <c r="Q42" s="30"/>
      <c r="R42" s="89" t="e">
        <f>IF(VLOOKUP(C42,'Train Runs'!$A$13:$AE$9938,1,1)=C42,VLOOKUP(C42,'Train Runs'!$A$13:$AE$9938,31,1),NA())</f>
        <v>#N/A</v>
      </c>
      <c r="S42" s="92" t="str">
        <f>VLOOKUP(C42,'Train Runs'!$A$13:$AE$9938,22,0)</f>
        <v>https://d0f6bd738d7f1b3e5a7ca70fe4ff75f0.us-east-1.aws.found.io/app/kibana#/discover/Steve-Slow-Train-Analysis-(2080s-and-2083s)?_g=(refreshInterval:(display:Off,pause:!f,section:0,value:0),time:(from:'2017-04-12T10:38:56-0600',mode:absolute,to:'2017-04-12T12:59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2" s="94" t="str">
        <f t="shared" si="1"/>
        <v>"C:\Program Files (x86)\AstroGrep\AstroGrep.exe" /e /r /s /spath="%USERPROFILE%\AppData\Local\Temp\OnboardLogs" /stypes="*4007*201704121*" /stext=" 17:.+((SYSTEM_STATE.+slice.+state.+changed )|(ment ac)|(multiple cpu faults)|(system.+state.+changed )|(\[timeout)|(PRM\|1\|D)|(kpr)|(kdp)|(\|lc)|(penalty))"</v>
      </c>
      <c r="U42" s="9" t="str">
        <f t="shared" si="2"/>
        <v>4007</v>
      </c>
      <c r="V42" s="32">
        <f t="shared" si="3"/>
        <v>42837.7497337963</v>
      </c>
      <c r="W42" s="46" t="str">
        <f t="shared" si="4"/>
        <v>Other</v>
      </c>
      <c r="X42" s="46" t="str">
        <f t="shared" si="5"/>
        <v>KEEP</v>
      </c>
      <c r="Y42" s="104" t="str">
        <f t="shared" si="6"/>
        <v>echo {"issue":{"subject":"","project_id":79,"tracker_id":40,"status_id":1,"priority_id":2,"assigned_to_id":23,"start_date":"2017-04-12","description":"","custom_fields":[{"id":1,"name":"Subdivision","value":"Other"},{"id":4,"name":"Milepost","value":"0.0826"},{"id":17,"name":"Train ID","value":"56-12"},{"id":16,"name":"Locomotive ID","value":"4007"},{"id":130,"name":"Impact","value":""},{"id":150,"name":"Time of Event (Mountain Time)","value":"11:59:37"},{"id":151,"name":"Denver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218"/>
      <c r="AA42" s="48"/>
      <c r="AB42" s="48"/>
      <c r="AC42" s="123" t="str">
        <f t="shared" si="7"/>
        <v>grep -hSE -A400 "Enforcement Action" "%USERPROFILE%\AppData\Local\Temp\OnboardLogs"\RTDC4007\*4007*201704121* | grep -SE "((Enforcement Ac)|(PRM.+XING))"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"%USERPROFILE%\AppData\Local\Temp\OnboardLogs"\RTDC4007\*4007*201704121* &gt;&gt; 2017-04-12-SliceDisagreementCheck.txt</v>
      </c>
      <c r="AE42" s="153" t="str">
        <f t="shared" si="9"/>
        <v>start /low /b %USERPROFILE%\Documents\GitHub\eaglep3\Utilities\DownloadLogsFromS3.py --loco 4007 --day 2017-04-12</v>
      </c>
      <c r="AF42" s="1"/>
    </row>
    <row r="43" spans="1:32" x14ac:dyDescent="0.25">
      <c r="A43" s="32">
        <v>42837.500104166669</v>
      </c>
      <c r="B43" s="30" t="s">
        <v>631</v>
      </c>
      <c r="C43" s="30" t="s">
        <v>632</v>
      </c>
      <c r="D43" s="30" t="s">
        <v>49</v>
      </c>
      <c r="E43" s="30" t="s">
        <v>185</v>
      </c>
      <c r="F43" s="43">
        <v>0</v>
      </c>
      <c r="G43" s="43">
        <v>17</v>
      </c>
      <c r="H43" s="43">
        <v>856</v>
      </c>
      <c r="I43" s="43">
        <v>846</v>
      </c>
      <c r="J43" s="30" t="s">
        <v>186</v>
      </c>
      <c r="K43" s="43">
        <v>826</v>
      </c>
      <c r="L43" s="139" t="s">
        <v>51</v>
      </c>
      <c r="M43" s="140">
        <f t="shared" si="0"/>
        <v>10.56</v>
      </c>
      <c r="N43" s="141" t="str">
        <f>VLOOKUP(C43,'Trips&amp;Operators'!$C$1:$G$99999,5,FALSE)</f>
        <v>STRICKLAND EVAN</v>
      </c>
      <c r="O43" s="190" t="s">
        <v>184</v>
      </c>
      <c r="P43" s="142"/>
      <c r="Q43" s="30"/>
      <c r="R43" s="89" t="e">
        <f>IF(VLOOKUP(C43,'Train Runs'!$A$13:$AE$9938,1,1)=C43,VLOOKUP(C43,'Train Runs'!$A$13:$AE$9938,31,1),NA())</f>
        <v>#N/A</v>
      </c>
      <c r="S43" s="92" t="str">
        <f>VLOOKUP(C43,'Train Runs'!$A$13:$AE$9938,22,0)</f>
        <v>https://d0f6bd738d7f1b3e5a7ca70fe4ff75f0.us-east-1.aws.found.io/app/kibana#/discover/Steve-Slow-Train-Analysis-(2080s-and-2083s)?_g=(refreshInterval:(display:Off,pause:!f,section:0,value:0),time:(from:'2017-04-12T10:38:56-0600',mode:absolute,to:'2017-04-12T12:59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3" s="94" t="str">
        <f t="shared" si="1"/>
        <v>"C:\Program Files (x86)\AstroGrep\AstroGrep.exe" /e /r /s /spath="%USERPROFILE%\AppData\Local\Temp\OnboardLogs" /stypes="*4007*201704121*" /stext=" 18:.+((SYSTEM_STATE.+slice.+state.+changed )|(ment ac)|(multiple cpu faults)|(system.+state.+changed )|(\[timeout)|(PRM\|1\|D)|(kpr)|(kdp)|(\|lc)|(penalty))"</v>
      </c>
      <c r="U43" s="9" t="str">
        <f t="shared" si="2"/>
        <v>4007</v>
      </c>
      <c r="V43" s="32">
        <f t="shared" si="3"/>
        <v>42837.750104166669</v>
      </c>
      <c r="W43" s="46" t="str">
        <f t="shared" si="4"/>
        <v>Other</v>
      </c>
      <c r="X43" s="46" t="str">
        <f t="shared" si="5"/>
        <v>KEEP</v>
      </c>
      <c r="Y43" s="104" t="str">
        <f t="shared" si="6"/>
        <v>echo {"issue":{"subject":"","project_id":79,"tracker_id":40,"status_id":1,"priority_id":2,"assigned_to_id":23,"start_date":"2017-04-12","description":"","custom_fields":[{"id":1,"name":"Subdivision","value":"Other"},{"id":4,"name":"Milepost","value":"0.0826"},{"id":17,"name":"Train ID","value":"56-12"},{"id":16,"name":"Locomotive ID","value":"4007"},{"id":130,"name":"Impact","value":""},{"id":150,"name":"Time of Event (Mountain Time)","value":"12:00:09"},{"id":151,"name":"Denver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218"/>
      <c r="AA43" s="48"/>
      <c r="AB43" s="48"/>
      <c r="AC43" s="123" t="str">
        <f t="shared" si="7"/>
        <v>grep -hSE -A400 "Enforcement Action" "%USERPROFILE%\AppData\Local\Temp\OnboardLogs"\RTDC4007\*4007*201704121* | grep -SE "((Enforcement Ac)|(PRM.+XING))"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"%USERPROFILE%\AppData\Local\Temp\OnboardLogs"\RTDC4007\*4007*201704121* &gt;&gt; 2017-04-12-SliceDisagreementCheck.txt</v>
      </c>
      <c r="AE43" s="153" t="str">
        <f t="shared" si="9"/>
        <v>start /low /b %USERPROFILE%\Documents\GitHub\eaglep3\Utilities\DownloadLogsFromS3.py --loco 4007 --day 2017-04-12</v>
      </c>
      <c r="AF43" s="1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Z73"/>
      <c r="AC73"/>
      <c r="AE73"/>
    </row>
  </sheetData>
  <autoFilter ref="A6:AC73">
    <sortState ref="A7:AC73">
      <sortCondition ref="W7:W43"/>
      <sortCondition ref="E7:E43"/>
      <sortCondition ref="K7:K43"/>
      <sortCondition ref="F7:F43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4:O1048576 O7:O4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3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AA7:AA43</xm:sqref>
        </x14:dataValidation>
        <x14:dataValidation type="list" allowBlank="1" showInputMessage="1" showErrorMessage="1">
          <x14:formula1>
            <xm:f>'Redmine List Values'!$C$2:$C$15</xm:f>
          </x14:formula1>
          <xm:sqref>AB7:AB43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5"/>
  <sheetViews>
    <sheetView workbookViewId="0">
      <selection activeCell="A3" sqref="A3:A9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23" t="str">
        <f>"Trips that did not appear in PTC Data "&amp;TEXT(Variables!$A$2,"YYYY-mm-dd")</f>
        <v>Trips that did not appear in PTC Data 2017-04-12</v>
      </c>
      <c r="C1" s="223"/>
      <c r="D1" s="223"/>
      <c r="E1" s="223"/>
      <c r="F1" s="223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/>
      <c r="B3" s="43" t="str">
        <f>A3&amp;"-"&amp;IF(DAY(Variables!$A$2)&lt;10,0,"")&amp;DAY(Variables!$A$2)</f>
        <v>-12</v>
      </c>
      <c r="C3" s="143"/>
      <c r="D3" s="161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31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" s="30" t="e">
        <f>VLOOKUP(B3,'Train Runs'!$A$13:$A$99935,1,FALSE)</f>
        <v>#N/A</v>
      </c>
    </row>
    <row r="4" spans="1:10" x14ac:dyDescent="0.25">
      <c r="A4" s="181"/>
      <c r="B4" s="43" t="str">
        <f>A4&amp;"-"&amp;IF(DAY(Variables!$A$2)&lt;10,0,"")&amp;DAY(Variables!$A$2)</f>
        <v>-12</v>
      </c>
      <c r="C4" s="143"/>
      <c r="D4" s="161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" s="30" t="e">
        <f>VLOOKUP(B4,'Train Runs'!$A$13:$A$99935,1,FALSE)</f>
        <v>#N/A</v>
      </c>
    </row>
    <row r="5" spans="1:10" x14ac:dyDescent="0.25">
      <c r="A5" s="181"/>
      <c r="B5" s="43" t="str">
        <f>A5&amp;"-"&amp;IF(DAY(Variables!$A$2)&lt;10,0,"")&amp;DAY(Variables!$A$2)</f>
        <v>-12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" s="30" t="e">
        <f>VLOOKUP(B5,'Train Runs'!$A$13:$A$99935,1,FALSE)</f>
        <v>#N/A</v>
      </c>
    </row>
    <row r="6" spans="1:10" x14ac:dyDescent="0.25">
      <c r="A6" s="181"/>
      <c r="B6" s="43" t="str">
        <f>A6&amp;"-"&amp;IF(DAY(Variables!$A$2)&lt;10,0,"")&amp;DAY(Variables!$A$2)</f>
        <v>-12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" s="30" t="e">
        <f>VLOOKUP(B6,'Train Runs'!$A$13:$A$99935,1,FALSE)</f>
        <v>#N/A</v>
      </c>
    </row>
    <row r="7" spans="1:10" x14ac:dyDescent="0.25">
      <c r="A7" s="181"/>
      <c r="B7" s="43" t="str">
        <f>A7&amp;"-"&amp;IF(DAY(Variables!$A$2)&lt;10,0,"")&amp;DAY(Variables!$A$2)</f>
        <v>-12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" s="30" t="e">
        <f>VLOOKUP(B7,'Train Runs'!$A$13:$A$99935,1,FALSE)</f>
        <v>#N/A</v>
      </c>
    </row>
    <row r="8" spans="1:10" x14ac:dyDescent="0.25">
      <c r="A8" s="181"/>
      <c r="B8" s="43" t="str">
        <f>A8&amp;"-"&amp;IF(DAY(Variables!$A$2)&lt;10,0,"")&amp;DAY(Variables!$A$2)</f>
        <v>-12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" s="30" t="e">
        <f>VLOOKUP(B8,'Train Runs'!$A$13:$A$99935,1,FALSE)</f>
        <v>#N/A</v>
      </c>
    </row>
    <row r="9" spans="1:10" x14ac:dyDescent="0.25">
      <c r="A9" s="181"/>
      <c r="B9" s="43" t="str">
        <f>A9&amp;"-"&amp;IF(DAY(Variables!$A$2)&lt;10,0,"")&amp;DAY(Variables!$A$2)</f>
        <v>-12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9" s="30" t="e">
        <f>VLOOKUP(B9,'Train Runs'!$A$13:$A$99935,1,FALSE)</f>
        <v>#N/A</v>
      </c>
    </row>
    <row r="10" spans="1:10" x14ac:dyDescent="0.25">
      <c r="A10" s="181"/>
      <c r="B10" s="43" t="str">
        <f>A10&amp;"-"&amp;IF(DAY(Variables!$A$2)&lt;10,0,"")&amp;DAY(Variables!$A$2)</f>
        <v>-12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0" s="30" t="e">
        <f>VLOOKUP(B10,'Train Runs'!$A$13:$A$99935,1,FALSE)</f>
        <v>#N/A</v>
      </c>
    </row>
    <row r="11" spans="1:10" x14ac:dyDescent="0.25">
      <c r="A11" s="181"/>
      <c r="B11" s="43" t="str">
        <f>A11&amp;"-"&amp;IF(DAY(Variables!$A$2)&lt;10,0,"")&amp;DAY(Variables!$A$2)</f>
        <v>-12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1" s="30" t="e">
        <f>VLOOKUP(B11,'Train Runs'!$A$13:$A$99935,1,FALSE)</f>
        <v>#N/A</v>
      </c>
    </row>
    <row r="12" spans="1:10" x14ac:dyDescent="0.25">
      <c r="A12" s="181"/>
      <c r="B12" s="43" t="str">
        <f>A12&amp;"-"&amp;IF(DAY(Variables!$A$2)&lt;10,0,"")&amp;DAY(Variables!$A$2)</f>
        <v>-12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2" s="30" t="e">
        <f>VLOOKUP(B12,'Train Runs'!$A$13:$A$99935,1,FALSE)</f>
        <v>#N/A</v>
      </c>
    </row>
    <row r="13" spans="1:10" x14ac:dyDescent="0.25">
      <c r="A13" s="181"/>
      <c r="B13" s="43" t="str">
        <f>A13&amp;"-"&amp;IF(DAY(Variables!$A$2)&lt;10,0,"")&amp;DAY(Variables!$A$2)</f>
        <v>-12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3" s="30" t="e">
        <f>VLOOKUP(B13,'Train Runs'!$A$13:$A$99935,1,FALSE)</f>
        <v>#N/A</v>
      </c>
    </row>
    <row r="14" spans="1:10" x14ac:dyDescent="0.25">
      <c r="A14" s="181"/>
      <c r="B14" s="43" t="str">
        <f>A14&amp;"-"&amp;IF(DAY(Variables!$A$2)&lt;10,0,"")&amp;DAY(Variables!$A$2)</f>
        <v>-12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4" s="30" t="e">
        <f>VLOOKUP(B14,'Train Runs'!$A$13:$A$99935,1,FALSE)</f>
        <v>#N/A</v>
      </c>
    </row>
    <row r="15" spans="1:10" x14ac:dyDescent="0.25">
      <c r="A15" s="181"/>
      <c r="B15" s="43" t="str">
        <f>A15&amp;"-"&amp;IF(DAY(Variables!$A$2)&lt;10,0,"")&amp;DAY(Variables!$A$2)</f>
        <v>-12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5" s="30" t="e">
        <f>VLOOKUP(B15,'Train Runs'!$A$13:$A$99935,1,FALSE)</f>
        <v>#N/A</v>
      </c>
    </row>
    <row r="16" spans="1:10" x14ac:dyDescent="0.25">
      <c r="A16" s="181"/>
      <c r="B16" s="43" t="str">
        <f>A16&amp;"-"&amp;IF(DAY(Variables!$A$2)&lt;10,0,"")&amp;DAY(Variables!$A$2)</f>
        <v>-12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6" s="30" t="e">
        <f>VLOOKUP(B16,'Train Runs'!$A$13:$A$99935,1,FALSE)</f>
        <v>#N/A</v>
      </c>
    </row>
    <row r="17" spans="1:10" x14ac:dyDescent="0.25">
      <c r="A17" s="181"/>
      <c r="B17" s="43" t="str">
        <f>A17&amp;"-"&amp;IF(DAY(Variables!$A$2)&lt;10,0,"")&amp;DAY(Variables!$A$2)</f>
        <v>-12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7" s="30" t="e">
        <f>VLOOKUP(B17,'Train Runs'!$A$13:$A$99935,1,FALSE)</f>
        <v>#N/A</v>
      </c>
    </row>
    <row r="18" spans="1:10" x14ac:dyDescent="0.25">
      <c r="A18" s="181"/>
      <c r="B18" s="43" t="str">
        <f>A18&amp;"-"&amp;IF(DAY(Variables!$A$2)&lt;10,0,"")&amp;DAY(Variables!$A$2)</f>
        <v>-12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8" s="30" t="e">
        <f>VLOOKUP(B18,'Train Runs'!$A$13:$A$99935,1,FALSE)</f>
        <v>#N/A</v>
      </c>
    </row>
    <row r="19" spans="1:10" x14ac:dyDescent="0.25">
      <c r="A19" s="181"/>
      <c r="B19" s="43" t="str">
        <f>A19&amp;"-"&amp;IF(DAY(Variables!$A$2)&lt;10,0,"")&amp;DAY(Variables!$A$2)</f>
        <v>-12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9" s="30" t="e">
        <f>VLOOKUP(B19,'Train Runs'!$A$13:$A$99935,1,FALSE)</f>
        <v>#N/A</v>
      </c>
    </row>
    <row r="20" spans="1:10" x14ac:dyDescent="0.25">
      <c r="A20" s="181"/>
      <c r="B20" s="43" t="str">
        <f>A20&amp;"-"&amp;IF(DAY(Variables!$A$2)&lt;10,0,"")&amp;DAY(Variables!$A$2)</f>
        <v>-12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0" s="30" t="e">
        <f>VLOOKUP(B20,'Train Runs'!$A$13:$A$99935,1,FALSE)</f>
        <v>#N/A</v>
      </c>
    </row>
    <row r="21" spans="1:10" x14ac:dyDescent="0.25">
      <c r="A21" s="181"/>
      <c r="B21" s="43" t="str">
        <f>A21&amp;"-"&amp;IF(DAY(Variables!$A$2)&lt;10,0,"")&amp;DAY(Variables!$A$2)</f>
        <v>-12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1" s="30" t="e">
        <f>VLOOKUP(B21,'Train Runs'!$A$13:$A$99935,1,FALSE)</f>
        <v>#N/A</v>
      </c>
    </row>
    <row r="22" spans="1:10" x14ac:dyDescent="0.25">
      <c r="A22" s="181"/>
      <c r="B22" s="43" t="str">
        <f>A22&amp;"-"&amp;IF(DAY(Variables!$A$2)&lt;10,0,"")&amp;DAY(Variables!$A$2)</f>
        <v>-12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2" s="30" t="e">
        <f>VLOOKUP(B22,'Train Runs'!$A$13:$A$99935,1,FALSE)</f>
        <v>#N/A</v>
      </c>
    </row>
    <row r="23" spans="1:10" x14ac:dyDescent="0.25">
      <c r="A23" s="181"/>
      <c r="B23" s="43" t="str">
        <f>A23&amp;"-"&amp;IF(DAY(Variables!$A$2)&lt;10,0,"")&amp;DAY(Variables!$A$2)</f>
        <v>-12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3" s="30" t="e">
        <f>VLOOKUP(B23,'Train Runs'!$A$13:$A$99935,1,FALSE)</f>
        <v>#N/A</v>
      </c>
    </row>
    <row r="24" spans="1:10" x14ac:dyDescent="0.25">
      <c r="A24" s="181"/>
      <c r="B24" s="43" t="str">
        <f>A24&amp;"-"&amp;IF(DAY(Variables!$A$2)&lt;10,0,"")&amp;DAY(Variables!$A$2)</f>
        <v>-12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4" s="30" t="e">
        <f>VLOOKUP(B24,'Train Runs'!$A$13:$A$99935,1,FALSE)</f>
        <v>#N/A</v>
      </c>
    </row>
    <row r="25" spans="1:10" x14ac:dyDescent="0.25">
      <c r="A25" s="181"/>
      <c r="B25" s="43" t="str">
        <f>A25&amp;"-"&amp;IF(DAY(Variables!$A$2)&lt;10,0,"")&amp;DAY(Variables!$A$2)</f>
        <v>-12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5" s="30" t="e">
        <f>VLOOKUP(B25,'Train Runs'!$A$13:$A$99935,1,FALSE)</f>
        <v>#N/A</v>
      </c>
    </row>
    <row r="26" spans="1:10" x14ac:dyDescent="0.25">
      <c r="A26" s="181"/>
      <c r="B26" s="43" t="str">
        <f>A26&amp;"-"&amp;IF(DAY(Variables!$A$2)&lt;10,0,"")&amp;DAY(Variables!$A$2)</f>
        <v>-12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6" s="30" t="e">
        <f>VLOOKUP(B26,'Train Runs'!$A$13:$A$99935,1,FALSE)</f>
        <v>#N/A</v>
      </c>
    </row>
    <row r="27" spans="1:10" x14ac:dyDescent="0.25">
      <c r="A27" s="181"/>
      <c r="B27" s="43" t="str">
        <f>A27&amp;"-"&amp;IF(DAY(Variables!$A$2)&lt;10,0,"")&amp;DAY(Variables!$A$2)</f>
        <v>-12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7" s="30" t="e">
        <f>VLOOKUP(B27,'Train Runs'!$A$13:$A$99935,1,FALSE)</f>
        <v>#N/A</v>
      </c>
    </row>
    <row r="28" spans="1:10" x14ac:dyDescent="0.25">
      <c r="A28" s="181"/>
      <c r="B28" s="43" t="str">
        <f>A28&amp;"-"&amp;IF(DAY(Variables!$A$2)&lt;10,0,"")&amp;DAY(Variables!$A$2)</f>
        <v>-12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8" s="30" t="e">
        <f>VLOOKUP(B28,'Train Runs'!$A$13:$A$99935,1,FALSE)</f>
        <v>#N/A</v>
      </c>
    </row>
    <row r="29" spans="1:10" x14ac:dyDescent="0.25">
      <c r="A29" s="181"/>
      <c r="B29" s="43" t="str">
        <f>A29&amp;"-"&amp;IF(DAY(Variables!$A$2)&lt;10,0,"")&amp;DAY(Variables!$A$2)</f>
        <v>-12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9" s="30" t="e">
        <f>VLOOKUP(B29,'Train Runs'!$A$13:$A$99935,1,FALSE)</f>
        <v>#N/A</v>
      </c>
    </row>
    <row r="30" spans="1:10" x14ac:dyDescent="0.25">
      <c r="A30" s="181"/>
      <c r="B30" s="43" t="str">
        <f>A30&amp;"-"&amp;IF(DAY(Variables!$A$2)&lt;10,0,"")&amp;DAY(Variables!$A$2)</f>
        <v>-12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0" s="30" t="e">
        <f>VLOOKUP(B30,'Train Runs'!$A$13:$A$99935,1,FALSE)</f>
        <v>#N/A</v>
      </c>
    </row>
    <row r="31" spans="1:10" x14ac:dyDescent="0.25">
      <c r="A31" s="181"/>
      <c r="B31" s="43" t="str">
        <f>A31&amp;"-"&amp;IF(DAY(Variables!$A$2)&lt;10,0,"")&amp;DAY(Variables!$A$2)</f>
        <v>-12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1" s="30" t="e">
        <f>VLOOKUP(B31,'Train Runs'!$A$13:$A$99935,1,FALSE)</f>
        <v>#N/A</v>
      </c>
    </row>
    <row r="32" spans="1:10" x14ac:dyDescent="0.25">
      <c r="A32" s="181"/>
      <c r="B32" s="43" t="str">
        <f>A32&amp;"-"&amp;IF(DAY(Variables!$A$2)&lt;10,0,"")&amp;DAY(Variables!$A$2)</f>
        <v>-12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ref="I32:I6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2" s="30" t="e">
        <f>VLOOKUP(B32,'Train Runs'!$A$13:$A$99935,1,FALSE)</f>
        <v>#N/A</v>
      </c>
    </row>
    <row r="33" spans="1:10" x14ac:dyDescent="0.25">
      <c r="A33" s="181"/>
      <c r="B33" s="43" t="str">
        <f>A33&amp;"-"&amp;IF(DAY(Variables!$A$2)&lt;10,0,"")&amp;DAY(Variables!$A$2)</f>
        <v>-12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3" s="30" t="e">
        <f>VLOOKUP(B33,'Train Runs'!$A$13:$A$99935,1,FALSE)</f>
        <v>#N/A</v>
      </c>
    </row>
    <row r="34" spans="1:10" x14ac:dyDescent="0.25">
      <c r="A34" s="181"/>
      <c r="B34" s="43" t="str">
        <f>A34&amp;"-"&amp;IF(DAY(Variables!$A$2)&lt;10,0,"")&amp;DAY(Variables!$A$2)</f>
        <v>-12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4" s="30" t="e">
        <f>VLOOKUP(B34,'Train Runs'!$A$13:$A$99935,1,FALSE)</f>
        <v>#N/A</v>
      </c>
    </row>
    <row r="35" spans="1:10" x14ac:dyDescent="0.25">
      <c r="A35" s="181"/>
      <c r="B35" s="43" t="str">
        <f>A35&amp;"-"&amp;IF(DAY(Variables!$A$2)&lt;10,0,"")&amp;DAY(Variables!$A$2)</f>
        <v>-12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5" s="30" t="e">
        <f>VLOOKUP(B35,'Train Runs'!$A$13:$A$99935,1,FALSE)</f>
        <v>#N/A</v>
      </c>
    </row>
    <row r="36" spans="1:10" x14ac:dyDescent="0.25">
      <c r="A36" s="181"/>
      <c r="B36" s="43" t="str">
        <f>A36&amp;"-"&amp;IF(DAY(Variables!$A$2)&lt;10,0,"")&amp;DAY(Variables!$A$2)</f>
        <v>-12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6" s="30" t="e">
        <f>VLOOKUP(B36,'Train Runs'!$A$13:$A$99935,1,FALSE)</f>
        <v>#N/A</v>
      </c>
    </row>
    <row r="37" spans="1:10" x14ac:dyDescent="0.25">
      <c r="A37" s="181"/>
      <c r="B37" s="43" t="str">
        <f>A37&amp;"-"&amp;IF(DAY(Variables!$A$2)&lt;10,0,"")&amp;DAY(Variables!$A$2)</f>
        <v>-12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7" s="30" t="e">
        <f>VLOOKUP(B37,'Train Runs'!$A$13:$A$99935,1,FALSE)</f>
        <v>#N/A</v>
      </c>
    </row>
    <row r="38" spans="1:10" x14ac:dyDescent="0.25">
      <c r="A38" s="181"/>
      <c r="B38" s="43" t="str">
        <f>A38&amp;"-"&amp;IF(DAY(Variables!$A$2)&lt;10,0,"")&amp;DAY(Variables!$A$2)</f>
        <v>-12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8" s="30" t="e">
        <f>VLOOKUP(B38,'Train Runs'!$A$13:$A$99935,1,FALSE)</f>
        <v>#N/A</v>
      </c>
    </row>
    <row r="39" spans="1:10" x14ac:dyDescent="0.25">
      <c r="A39" s="181"/>
      <c r="B39" s="43" t="str">
        <f>A39&amp;"-"&amp;IF(DAY(Variables!$A$2)&lt;10,0,"")&amp;DAY(Variables!$A$2)</f>
        <v>-12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9" s="30" t="e">
        <f>VLOOKUP(B39,'Train Runs'!$A$13:$A$99935,1,FALSE)</f>
        <v>#N/A</v>
      </c>
    </row>
    <row r="40" spans="1:10" x14ac:dyDescent="0.25">
      <c r="A40" s="181"/>
      <c r="B40" s="43" t="str">
        <f>A40&amp;"-"&amp;IF(DAY(Variables!$A$2)&lt;10,0,"")&amp;DAY(Variables!$A$2)</f>
        <v>-12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0" s="30" t="e">
        <f>VLOOKUP(B40,'Train Runs'!$A$13:$A$99935,1,FALSE)</f>
        <v>#N/A</v>
      </c>
    </row>
    <row r="41" spans="1:10" x14ac:dyDescent="0.25">
      <c r="A41" s="181"/>
      <c r="B41" s="43" t="str">
        <f>A41&amp;"-"&amp;IF(DAY(Variables!$A$2)&lt;10,0,"")&amp;DAY(Variables!$A$2)</f>
        <v>-12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1" s="30" t="e">
        <f>VLOOKUP(B41,'Train Runs'!$A$13:$A$99935,1,FALSE)</f>
        <v>#N/A</v>
      </c>
    </row>
    <row r="42" spans="1:10" x14ac:dyDescent="0.25">
      <c r="A42" s="181"/>
      <c r="B42" s="43" t="str">
        <f>A42&amp;"-"&amp;IF(DAY(Variables!$A$2)&lt;10,0,"")&amp;DAY(Variables!$A$2)</f>
        <v>-12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2" s="30" t="e">
        <f>VLOOKUP(B42,'Train Runs'!$A$13:$A$99935,1,FALSE)</f>
        <v>#N/A</v>
      </c>
    </row>
    <row r="43" spans="1:10" x14ac:dyDescent="0.25">
      <c r="A43" s="181"/>
      <c r="B43" s="43" t="str">
        <f>A43&amp;"-"&amp;IF(DAY(Variables!$A$2)&lt;10,0,"")&amp;DAY(Variables!$A$2)</f>
        <v>-12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3" s="30" t="e">
        <f>VLOOKUP(B43,'Train Runs'!$A$13:$A$99935,1,FALSE)</f>
        <v>#N/A</v>
      </c>
    </row>
    <row r="44" spans="1:10" x14ac:dyDescent="0.25">
      <c r="A44" s="181"/>
      <c r="B44" s="43" t="str">
        <f>A44&amp;"-"&amp;IF(DAY(Variables!$A$2)&lt;10,0,"")&amp;DAY(Variables!$A$2)</f>
        <v>-12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4" s="30" t="e">
        <f>VLOOKUP(B44,'Train Runs'!$A$13:$A$99935,1,FALSE)</f>
        <v>#N/A</v>
      </c>
    </row>
    <row r="45" spans="1:10" x14ac:dyDescent="0.25">
      <c r="A45" s="181"/>
      <c r="B45" s="43" t="str">
        <f>A45&amp;"-"&amp;IF(DAY(Variables!$A$2)&lt;10,0,"")&amp;DAY(Variables!$A$2)</f>
        <v>-12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5" s="30" t="e">
        <f>VLOOKUP(B45,'Train Runs'!$A$13:$A$99935,1,FALSE)</f>
        <v>#N/A</v>
      </c>
    </row>
    <row r="46" spans="1:10" x14ac:dyDescent="0.25">
      <c r="A46" s="181"/>
      <c r="B46" s="43" t="str">
        <f>A46&amp;"-"&amp;IF(DAY(Variables!$A$2)&lt;10,0,"")&amp;DAY(Variables!$A$2)</f>
        <v>-12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6" s="30" t="e">
        <f>VLOOKUP(B46,'Train Runs'!$A$13:$A$99935,1,FALSE)</f>
        <v>#N/A</v>
      </c>
    </row>
    <row r="47" spans="1:10" x14ac:dyDescent="0.25">
      <c r="A47" s="181"/>
      <c r="B47" s="43" t="str">
        <f>A47&amp;"-"&amp;IF(DAY(Variables!$A$2)&lt;10,0,"")&amp;DAY(Variables!$A$2)</f>
        <v>-12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7" s="30" t="e">
        <f>VLOOKUP(B47,'Train Runs'!$A$13:$A$99935,1,FALSE)</f>
        <v>#N/A</v>
      </c>
    </row>
    <row r="48" spans="1:10" x14ac:dyDescent="0.25">
      <c r="A48" s="181"/>
      <c r="B48" s="43" t="str">
        <f>A48&amp;"-"&amp;IF(DAY(Variables!$A$2)&lt;10,0,"")&amp;DAY(Variables!$A$2)</f>
        <v>-12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8" s="30" t="e">
        <f>VLOOKUP(B48,'Train Runs'!$A$13:$A$99935,1,FALSE)</f>
        <v>#N/A</v>
      </c>
    </row>
    <row r="49" spans="1:10" x14ac:dyDescent="0.25">
      <c r="A49" s="181"/>
      <c r="B49" s="43" t="str">
        <f>A49&amp;"-"&amp;IF(DAY(Variables!$A$2)&lt;10,0,"")&amp;DAY(Variables!$A$2)</f>
        <v>-12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9" s="30" t="e">
        <f>VLOOKUP(B49,'Train Runs'!$A$13:$A$99935,1,FALSE)</f>
        <v>#N/A</v>
      </c>
    </row>
    <row r="50" spans="1:10" x14ac:dyDescent="0.25">
      <c r="A50" s="181"/>
      <c r="B50" s="43" t="str">
        <f>A50&amp;"-"&amp;IF(DAY(Variables!$A$2)&lt;10,0,"")&amp;DAY(Variables!$A$2)</f>
        <v>-12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0" s="30" t="e">
        <f>VLOOKUP(B50,'Train Runs'!$A$13:$A$99935,1,FALSE)</f>
        <v>#N/A</v>
      </c>
    </row>
    <row r="51" spans="1:10" x14ac:dyDescent="0.25">
      <c r="A51" s="181"/>
      <c r="B51" s="43" t="str">
        <f>A51&amp;"-"&amp;IF(DAY(Variables!$A$2)&lt;10,0,"")&amp;DAY(Variables!$A$2)</f>
        <v>-12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1" s="30" t="e">
        <f>VLOOKUP(B51,'Train Runs'!$A$13:$A$99935,1,FALSE)</f>
        <v>#N/A</v>
      </c>
    </row>
    <row r="52" spans="1:10" x14ac:dyDescent="0.25">
      <c r="A52" s="181"/>
      <c r="B52" s="43" t="str">
        <f>A52&amp;"-"&amp;IF(DAY(Variables!$A$2)&lt;10,0,"")&amp;DAY(Variables!$A$2)</f>
        <v>-12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2" s="30" t="e">
        <f>VLOOKUP(B52,'Train Runs'!$A$13:$A$99935,1,FALSE)</f>
        <v>#N/A</v>
      </c>
    </row>
    <row r="53" spans="1:10" x14ac:dyDescent="0.25">
      <c r="A53" s="181"/>
      <c r="B53" s="43" t="str">
        <f>A53&amp;"-"&amp;IF(DAY(Variables!$A$2)&lt;10,0,"")&amp;DAY(Variables!$A$2)</f>
        <v>-12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3" s="30" t="e">
        <f>VLOOKUP(B53,'Train Runs'!$A$13:$A$99935,1,FALSE)</f>
        <v>#N/A</v>
      </c>
    </row>
    <row r="54" spans="1:10" x14ac:dyDescent="0.25">
      <c r="A54" s="181"/>
      <c r="B54" s="43" t="str">
        <f>A54&amp;"-"&amp;IF(DAY(Variables!$A$2)&lt;10,0,"")&amp;DAY(Variables!$A$2)</f>
        <v>-12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4" s="30" t="e">
        <f>VLOOKUP(B54,'Train Runs'!$A$13:$A$99935,1,FALSE)</f>
        <v>#N/A</v>
      </c>
    </row>
    <row r="55" spans="1:10" x14ac:dyDescent="0.25">
      <c r="A55" s="181"/>
      <c r="B55" s="43" t="str">
        <f>A55&amp;"-"&amp;IF(DAY(Variables!$A$2)&lt;10,0,"")&amp;DAY(Variables!$A$2)</f>
        <v>-12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5" s="30" t="e">
        <f>VLOOKUP(B55,'Train Runs'!$A$13:$A$99935,1,FALSE)</f>
        <v>#N/A</v>
      </c>
    </row>
    <row r="56" spans="1:10" x14ac:dyDescent="0.25">
      <c r="A56" s="181"/>
      <c r="B56" s="43" t="str">
        <f>A56&amp;"-"&amp;IF(DAY(Variables!$A$2)&lt;10,0,"")&amp;DAY(Variables!$A$2)</f>
        <v>-12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6" s="30" t="e">
        <f>VLOOKUP(B56,'Train Runs'!$A$13:$A$99935,1,FALSE)</f>
        <v>#N/A</v>
      </c>
    </row>
    <row r="57" spans="1:10" x14ac:dyDescent="0.25">
      <c r="A57" s="181"/>
      <c r="B57" s="43" t="str">
        <f>A57&amp;"-"&amp;IF(DAY(Variables!$A$2)&lt;10,0,"")&amp;DAY(Variables!$A$2)</f>
        <v>-12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7" s="30" t="e">
        <f>VLOOKUP(B57,'Train Runs'!$A$13:$A$99935,1,FALSE)</f>
        <v>#N/A</v>
      </c>
    </row>
    <row r="58" spans="1:10" x14ac:dyDescent="0.25">
      <c r="A58" s="181"/>
      <c r="B58" s="43" t="str">
        <f>A58&amp;"-"&amp;IF(DAY(Variables!$A$2)&lt;10,0,"")&amp;DAY(Variables!$A$2)</f>
        <v>-12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8" s="30" t="e">
        <f>VLOOKUP(B58,'Train Runs'!$A$13:$A$99935,1,FALSE)</f>
        <v>#N/A</v>
      </c>
    </row>
    <row r="59" spans="1:10" x14ac:dyDescent="0.25">
      <c r="A59" s="181"/>
      <c r="B59" s="43" t="str">
        <f>A59&amp;"-"&amp;IF(DAY(Variables!$A$2)&lt;10,0,"")&amp;DAY(Variables!$A$2)</f>
        <v>-12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9" s="30" t="e">
        <f>VLOOKUP(B59,'Train Runs'!$A$13:$A$99935,1,FALSE)</f>
        <v>#N/A</v>
      </c>
    </row>
    <row r="60" spans="1:10" x14ac:dyDescent="0.25">
      <c r="A60" s="181"/>
      <c r="B60" s="43" t="str">
        <f>A60&amp;"-"&amp;IF(DAY(Variables!$A$2)&lt;10,0,"")&amp;DAY(Variables!$A$2)</f>
        <v>-12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0" s="30" t="e">
        <f>VLOOKUP(B60,'Train Runs'!$A$13:$A$99935,1,FALSE)</f>
        <v>#N/A</v>
      </c>
    </row>
    <row r="61" spans="1:10" x14ac:dyDescent="0.25">
      <c r="A61" s="181"/>
      <c r="B61" s="43" t="str">
        <f>A61&amp;"-"&amp;IF(DAY(Variables!$A$2)&lt;10,0,"")&amp;DAY(Variables!$A$2)</f>
        <v>-12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1" s="30" t="e">
        <f>VLOOKUP(B61,'Train Runs'!$A$13:$A$99935,1,FALSE)</f>
        <v>#N/A</v>
      </c>
    </row>
    <row r="62" spans="1:10" x14ac:dyDescent="0.25">
      <c r="A62" s="181"/>
      <c r="B62" s="43" t="str">
        <f>A62&amp;"-"&amp;IF(DAY(Variables!$A$2)&lt;10,0,"")&amp;DAY(Variables!$A$2)</f>
        <v>-12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2" s="30" t="e">
        <f>VLOOKUP(B62,'Train Runs'!$A$13:$A$99935,1,FALSE)</f>
        <v>#N/A</v>
      </c>
    </row>
    <row r="63" spans="1:10" x14ac:dyDescent="0.25">
      <c r="A63" s="181"/>
      <c r="B63" s="43" t="str">
        <f>A63&amp;"-"&amp;IF(DAY(Variables!$A$2)&lt;10,0,"")&amp;DAY(Variables!$A$2)</f>
        <v>-12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3" s="30" t="e">
        <f>VLOOKUP(B63,'Train Runs'!$A$13:$A$99935,1,FALSE)</f>
        <v>#N/A</v>
      </c>
    </row>
    <row r="64" spans="1:10" x14ac:dyDescent="0.25">
      <c r="A64" s="181"/>
      <c r="B64" s="43" t="str">
        <f>A64&amp;"-"&amp;IF(DAY(Variables!$A$2)&lt;10,0,"")&amp;DAY(Variables!$A$2)</f>
        <v>-12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ref="I64:I85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4" s="30" t="e">
        <f>VLOOKUP(B64,'Train Runs'!$A$13:$A$99935,1,FALSE)</f>
        <v>#N/A</v>
      </c>
    </row>
    <row r="65" spans="1:10" x14ac:dyDescent="0.25">
      <c r="A65" s="181"/>
      <c r="B65" s="43" t="str">
        <f>A65&amp;"-"&amp;IF(DAY(Variables!$A$2)&lt;10,0,"")&amp;DAY(Variables!$A$2)</f>
        <v>-12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5" s="30" t="e">
        <f>VLOOKUP(B65,'Train Runs'!$A$13:$A$99935,1,FALSE)</f>
        <v>#N/A</v>
      </c>
    </row>
    <row r="66" spans="1:10" x14ac:dyDescent="0.25">
      <c r="A66" s="181"/>
      <c r="B66" s="43" t="str">
        <f>A66&amp;"-"&amp;IF(DAY(Variables!$A$2)&lt;10,0,"")&amp;DAY(Variables!$A$2)</f>
        <v>-12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6" s="30" t="e">
        <f>VLOOKUP(B66,'Train Runs'!$A$13:$A$99935,1,FALSE)</f>
        <v>#N/A</v>
      </c>
    </row>
    <row r="67" spans="1:10" x14ac:dyDescent="0.25">
      <c r="A67" s="181"/>
      <c r="B67" s="43" t="str">
        <f>A67&amp;"-"&amp;IF(DAY(Variables!$A$2)&lt;10,0,"")&amp;DAY(Variables!$A$2)</f>
        <v>-12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7" s="30" t="e">
        <f>VLOOKUP(B67,'Train Runs'!$A$13:$A$99935,1,FALSE)</f>
        <v>#N/A</v>
      </c>
    </row>
    <row r="68" spans="1:10" x14ac:dyDescent="0.25">
      <c r="A68" s="181"/>
      <c r="B68" s="43" t="str">
        <f>A68&amp;"-"&amp;IF(DAY(Variables!$A$2)&lt;10,0,"")&amp;DAY(Variables!$A$2)</f>
        <v>-12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8" s="30" t="e">
        <f>VLOOKUP(B68,'Train Runs'!$A$13:$A$99935,1,FALSE)</f>
        <v>#N/A</v>
      </c>
    </row>
    <row r="69" spans="1:10" x14ac:dyDescent="0.25">
      <c r="A69" s="181"/>
      <c r="B69" s="43" t="str">
        <f>A69&amp;"-"&amp;IF(DAY(Variables!$A$2)&lt;10,0,"")&amp;DAY(Variables!$A$2)</f>
        <v>-12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9" s="30" t="e">
        <f>VLOOKUP(B69,'Train Runs'!$A$13:$A$99935,1,FALSE)</f>
        <v>#N/A</v>
      </c>
    </row>
    <row r="70" spans="1:10" x14ac:dyDescent="0.25">
      <c r="A70" s="181"/>
      <c r="B70" s="43" t="str">
        <f>A70&amp;"-"&amp;IF(DAY(Variables!$A$2)&lt;10,0,"")&amp;DAY(Variables!$A$2)</f>
        <v>-12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0" s="30" t="e">
        <f>VLOOKUP(B70,'Train Runs'!$A$13:$A$99935,1,FALSE)</f>
        <v>#N/A</v>
      </c>
    </row>
    <row r="71" spans="1:10" x14ac:dyDescent="0.25">
      <c r="A71" s="181"/>
      <c r="B71" s="43" t="str">
        <f>A71&amp;"-"&amp;IF(DAY(Variables!$A$2)&lt;10,0,"")&amp;DAY(Variables!$A$2)</f>
        <v>-12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1" s="30" t="e">
        <f>VLOOKUP(B71,'Train Runs'!$A$13:$A$99935,1,FALSE)</f>
        <v>#N/A</v>
      </c>
    </row>
    <row r="72" spans="1:10" x14ac:dyDescent="0.25">
      <c r="A72" s="181"/>
      <c r="B72" s="43" t="str">
        <f>A72&amp;"-"&amp;IF(DAY(Variables!$A$2)&lt;10,0,"")&amp;DAY(Variables!$A$2)</f>
        <v>-12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2" s="30" t="e">
        <f>VLOOKUP(B72,'Train Runs'!$A$13:$A$99935,1,FALSE)</f>
        <v>#N/A</v>
      </c>
    </row>
    <row r="73" spans="1:10" x14ac:dyDescent="0.25">
      <c r="A73" s="181"/>
      <c r="B73" s="43" t="str">
        <f>A73&amp;"-"&amp;IF(DAY(Variables!$A$2)&lt;10,0,"")&amp;DAY(Variables!$A$2)</f>
        <v>-12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3" s="30" t="e">
        <f>VLOOKUP(B73,'Train Runs'!$A$13:$A$99935,1,FALSE)</f>
        <v>#N/A</v>
      </c>
    </row>
    <row r="74" spans="1:10" x14ac:dyDescent="0.25">
      <c r="A74" s="181"/>
      <c r="B74" s="43" t="str">
        <f>A74&amp;"-"&amp;IF(DAY(Variables!$A$2)&lt;10,0,"")&amp;DAY(Variables!$A$2)</f>
        <v>-12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4" s="30" t="e">
        <f>VLOOKUP(B74,'Train Runs'!$A$13:$A$99935,1,FALSE)</f>
        <v>#N/A</v>
      </c>
    </row>
    <row r="75" spans="1:10" x14ac:dyDescent="0.25">
      <c r="A75" s="181"/>
      <c r="B75" s="43" t="str">
        <f>A75&amp;"-"&amp;IF(DAY(Variables!$A$2)&lt;10,0,"")&amp;DAY(Variables!$A$2)</f>
        <v>-12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5" s="30" t="e">
        <f>VLOOKUP(B75,'Train Runs'!$A$13:$A$99935,1,FALSE)</f>
        <v>#N/A</v>
      </c>
    </row>
    <row r="76" spans="1:10" x14ac:dyDescent="0.25">
      <c r="A76" s="181"/>
      <c r="B76" s="43" t="str">
        <f>A76&amp;"-"&amp;IF(DAY(Variables!$A$2)&lt;10,0,"")&amp;DAY(Variables!$A$2)</f>
        <v>-12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6" s="30" t="e">
        <f>VLOOKUP(B76,'Train Runs'!$A$13:$A$99935,1,FALSE)</f>
        <v>#N/A</v>
      </c>
    </row>
    <row r="77" spans="1:10" x14ac:dyDescent="0.25">
      <c r="A77" s="181"/>
      <c r="B77" s="43" t="str">
        <f>A77&amp;"-"&amp;IF(DAY(Variables!$A$2)&lt;10,0,"")&amp;DAY(Variables!$A$2)</f>
        <v>-12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7" s="30" t="e">
        <f>VLOOKUP(B77,'Train Runs'!$A$13:$A$99935,1,FALSE)</f>
        <v>#N/A</v>
      </c>
    </row>
    <row r="78" spans="1:10" x14ac:dyDescent="0.25">
      <c r="A78" s="181"/>
      <c r="B78" s="43" t="str">
        <f>A78&amp;"-"&amp;IF(DAY(Variables!$A$2)&lt;10,0,"")&amp;DAY(Variables!$A$2)</f>
        <v>-12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8" s="30" t="e">
        <f>VLOOKUP(B78,'Train Runs'!$A$13:$A$99935,1,FALSE)</f>
        <v>#N/A</v>
      </c>
    </row>
    <row r="79" spans="1:10" x14ac:dyDescent="0.25">
      <c r="A79" s="181"/>
      <c r="B79" s="43" t="str">
        <f>A79&amp;"-"&amp;IF(DAY(Variables!$A$2)&lt;10,0,"")&amp;DAY(Variables!$A$2)</f>
        <v>-12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9" s="30" t="e">
        <f>VLOOKUP(B79,'Train Runs'!$A$13:$A$99935,1,FALSE)</f>
        <v>#N/A</v>
      </c>
    </row>
    <row r="80" spans="1:10" x14ac:dyDescent="0.25">
      <c r="A80" s="181"/>
      <c r="B80" s="43" t="str">
        <f>A80&amp;"-"&amp;IF(DAY(Variables!$A$2)&lt;10,0,"")&amp;DAY(Variables!$A$2)</f>
        <v>-12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0" s="30" t="e">
        <f>VLOOKUP(B80,'Train Runs'!$A$13:$A$99935,1,FALSE)</f>
        <v>#N/A</v>
      </c>
    </row>
    <row r="81" spans="1:10" x14ac:dyDescent="0.25">
      <c r="A81" s="181"/>
      <c r="B81" s="43" t="str">
        <f>A81&amp;"-"&amp;IF(DAY(Variables!$A$2)&lt;10,0,"")&amp;DAY(Variables!$A$2)</f>
        <v>-12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1" s="30" t="e">
        <f>VLOOKUP(B81,'Train Runs'!$A$13:$A$99935,1,FALSE)</f>
        <v>#N/A</v>
      </c>
    </row>
    <row r="82" spans="1:10" x14ac:dyDescent="0.25">
      <c r="A82" s="181"/>
      <c r="B82" s="43" t="str">
        <f>A82&amp;"-"&amp;IF(DAY(Variables!$A$2)&lt;10,0,"")&amp;DAY(Variables!$A$2)</f>
        <v>-12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2" s="30" t="e">
        <f>VLOOKUP(B82,'Train Runs'!$A$13:$A$99935,1,FALSE)</f>
        <v>#N/A</v>
      </c>
    </row>
    <row r="83" spans="1:10" x14ac:dyDescent="0.25">
      <c r="A83" s="181"/>
      <c r="B83" s="43" t="str">
        <f>A83&amp;"-"&amp;IF(DAY(Variables!$A$2)&lt;10,0,"")&amp;DAY(Variables!$A$2)</f>
        <v>-12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3" s="30" t="e">
        <f>VLOOKUP(B83,'Train Runs'!$A$13:$A$99935,1,FALSE)</f>
        <v>#N/A</v>
      </c>
    </row>
    <row r="84" spans="1:10" x14ac:dyDescent="0.25">
      <c r="A84" s="181"/>
      <c r="B84" s="43" t="str">
        <f>A84&amp;"-"&amp;IF(DAY(Variables!$A$2)&lt;10,0,"")&amp;DAY(Variables!$A$2)</f>
        <v>-12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4" s="30" t="e">
        <f>VLOOKUP(B84,'Train Runs'!$A$13:$A$99935,1,FALSE)</f>
        <v>#N/A</v>
      </c>
    </row>
    <row r="85" spans="1:10" x14ac:dyDescent="0.25">
      <c r="A85" s="181"/>
      <c r="B85" s="43" t="str">
        <f>A85&amp;"-"&amp;IF(DAY(Variables!$A$2)&lt;10,0,"")&amp;DAY(Variables!$A$2)</f>
        <v>-12</v>
      </c>
      <c r="C85" s="143"/>
      <c r="D85" s="16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5" s="30" t="e">
        <f>VLOOKUP(B85,'Train Runs'!$A$13:$A$99935,1,FALSE)</f>
        <v>#N/A</v>
      </c>
    </row>
  </sheetData>
  <autoFilter ref="A2:J85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198" bestFit="1" customWidth="1"/>
    <col min="2" max="2" width="26.5703125" style="204" customWidth="1"/>
    <col min="3" max="3" width="8.85546875" style="194" customWidth="1"/>
    <col min="4" max="4" width="10.5703125" style="208" customWidth="1"/>
    <col min="5" max="5" width="39.5703125" bestFit="1" customWidth="1"/>
    <col min="6" max="6" width="16.5703125" style="208" customWidth="1"/>
    <col min="7" max="7" width="7" style="212" customWidth="1"/>
    <col min="8" max="8" width="6.5703125" style="214" customWidth="1"/>
    <col min="9" max="9" width="6.5703125" style="210" customWidth="1"/>
    <col min="10" max="10" width="9.42578125" style="206" bestFit="1" customWidth="1"/>
    <col min="11" max="11" width="9.42578125" style="206" customWidth="1"/>
    <col min="12" max="12" width="10.140625" style="202" customWidth="1"/>
    <col min="13" max="13" width="6.42578125" style="202" customWidth="1"/>
    <col min="14" max="15" width="6" style="202" customWidth="1"/>
    <col min="16" max="16" width="6.28515625" style="202" customWidth="1"/>
    <col min="17" max="17" width="7.28515625" style="201" customWidth="1"/>
  </cols>
  <sheetData>
    <row r="1" spans="1:17" s="191" customFormat="1" ht="35.25" customHeight="1" x14ac:dyDescent="0.25">
      <c r="A1" s="196" t="s">
        <v>347</v>
      </c>
      <c r="B1" s="203" t="s">
        <v>348</v>
      </c>
      <c r="C1" s="195" t="s">
        <v>356</v>
      </c>
      <c r="D1" s="207" t="s">
        <v>58</v>
      </c>
      <c r="E1" s="192" t="s">
        <v>24</v>
      </c>
      <c r="F1" s="207" t="s">
        <v>362</v>
      </c>
      <c r="G1" s="211" t="s">
        <v>94</v>
      </c>
      <c r="H1" s="213" t="s">
        <v>366</v>
      </c>
      <c r="I1" s="209" t="s">
        <v>365</v>
      </c>
      <c r="J1" s="205" t="s">
        <v>84</v>
      </c>
      <c r="K1" s="205" t="s">
        <v>361</v>
      </c>
      <c r="L1" s="200" t="s">
        <v>358</v>
      </c>
      <c r="M1" s="200" t="s">
        <v>349</v>
      </c>
      <c r="N1" s="200" t="s">
        <v>351</v>
      </c>
      <c r="O1" s="200" t="s">
        <v>352</v>
      </c>
      <c r="P1" s="200" t="s">
        <v>353</v>
      </c>
      <c r="Q1" s="199" t="s">
        <v>350</v>
      </c>
    </row>
    <row r="2" spans="1:17" x14ac:dyDescent="0.25">
      <c r="A2" s="197">
        <v>42800.21875</v>
      </c>
      <c r="B2" s="204" t="s">
        <v>355</v>
      </c>
      <c r="C2" s="194" t="s">
        <v>357</v>
      </c>
      <c r="D2" s="208">
        <v>104</v>
      </c>
      <c r="E2" s="30" t="s">
        <v>360</v>
      </c>
      <c r="G2" s="212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/stypes="*4053*201703061*" /stext=" 11:.+((SYSTEM_STATE.+slice.+state.+changed )|(ment ac)|(multiple cpu faults)|(system.+state.+changed )|(\[timeout)|(PRM\|1\|D)|(kpr)|(kdp)|(\|loc)|(penalty)|(\|PRM\|1\|D)|(crossing.((167)|(168)|(199)|(200))))"</v>
      </c>
      <c r="H2" s="214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"%USERPROFILE%\AppData\Local\Temp\OnboardLogs"\RTDC4053\*4053*201703061*</v>
      </c>
      <c r="I2" s="210" t="str">
        <f>IF(VLOOKUP(K2,'Train Runs'!$A$13:$V$991,1,TRUE)=K2,VLOOKUP(K2,'Train Runs'!$A$13:$V$991,22,TRUE),NA())</f>
        <v>https://d0f6bd738d7f1b3e5a7ca70fe4ff75f0.us-east-1.aws.found.io/app/kibana#/discover/Steve-Slow-Train-Analysis-(2080s-and-2083s)?_g=(refreshInterval:(display:Off,pause:!f,section:0,value:0),time:(from:'2017-04-12T03:33:47-0600',mode:absolute,to:'2017-04-12T06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2" s="206">
        <f t="shared" ref="J2:J35" si="2">A2-utc_offset/24</f>
        <v>42800.46875</v>
      </c>
      <c r="K2" s="206" t="str">
        <f>D2&amp;"-"&amp;IF(DAY(Variables!$A$2)&lt;10,0,"")&amp;DAY(Variables!$A$2)</f>
        <v>104-12</v>
      </c>
      <c r="L2" s="202">
        <f>IF(VLOOKUP(K2,'Train Runs'!$A$12:$B$991,1,TRUE)=K2,VLOOKUP(K2,'Train Runs'!$A$12:$B$991,2,TRUE),NA())</f>
        <v>4053</v>
      </c>
      <c r="M2" s="202">
        <f>VLOOKUP(B2,Variables!$T$2:$X$99,2,FALSE)</f>
        <v>167</v>
      </c>
      <c r="N2" s="202">
        <f>VLOOKUP(B2,Variables!$T$2:$X$99,3,FALSE)</f>
        <v>168</v>
      </c>
      <c r="O2" s="202">
        <f>VLOOKUP(B2,Variables!$T$2:$X$99,4,FALSE)</f>
        <v>199</v>
      </c>
      <c r="P2" s="202">
        <f>VLOOKUP(B2,Variables!$T$2:$X$99,5,FALSE)</f>
        <v>200</v>
      </c>
      <c r="Q2" s="201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197">
        <v>42800.343055555553</v>
      </c>
      <c r="B3" s="204" t="s">
        <v>355</v>
      </c>
      <c r="C3" s="194" t="s">
        <v>357</v>
      </c>
      <c r="D3" s="208">
        <v>126</v>
      </c>
      <c r="E3" s="30" t="s">
        <v>359</v>
      </c>
      <c r="F3" s="208" t="b">
        <v>1</v>
      </c>
      <c r="G3" s="212" t="str">
        <f t="shared" si="0"/>
        <v>"C:\Program Files (x86)\AstroGrep\AstroGrep.exe" /e /r /s /spath="%USERPROFILE%\AppData\Local\Temp\OnboardLogs" /stypes="*4041*201703061*" /stext=" 14:.+((SYSTEM_STATE.+slice.+state.+changed )|(ment ac)|(multiple cpu faults)|(system.+state.+changed )|(\[timeout)|(PRM\|1\|D)|(kpr)|(kdp)|(\|lc)|(penalty)|(\|PRM\|1\|D)|(crossing.((167)|(168)|(199)|(200))))"</v>
      </c>
      <c r="H3" s="214" t="str">
        <f t="shared" si="1"/>
        <v>grep -hSE " 14:.+((\|PRM\|1\|D)|(crossing.((167)|(168)|(199)|(200))))" "%USERPROFILE%\AppData\Local\Temp\OnboardLogs"\RTDC4041\*4041*201703061*</v>
      </c>
      <c r="I3" s="210" t="str">
        <f>IF(VLOOKUP(K3,'Train Runs'!$A$13:$V$991,1,TRUE)=K3,VLOOKUP(K3,'Train Runs'!$A$13:$V$991,22,TRUE),NA())</f>
        <v>https://d0f6bd738d7f1b3e5a7ca70fe4ff75f0.us-east-1.aws.found.io/app/kibana#/discover/Steve-Slow-Train-Analysis-(2080s-and-2083s)?_g=(refreshInterval:(display:Off,pause:!f,section:0,value:0),time:(from:'2017-04-12T06:38:51-0600',mode:absolute,to:'2017-04-12T09:22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3" s="206">
        <f t="shared" si="2"/>
        <v>42800.593055555553</v>
      </c>
      <c r="K3" s="206" t="str">
        <f>D3&amp;"-"&amp;IF(DAY(Variables!$A$2)&lt;10,0,"")&amp;DAY(Variables!$A$2)</f>
        <v>126-12</v>
      </c>
      <c r="L3" s="202">
        <f>IF(VLOOKUP(K3,'Train Runs'!$A$12:$B$991,1,TRUE)=K3,VLOOKUP(K3,'Train Runs'!$A$12:$B$991,2,TRUE),NA())</f>
        <v>4041</v>
      </c>
      <c r="M3" s="202">
        <f>VLOOKUP(B3,Variables!$T$2:$X$99,2,FALSE)</f>
        <v>167</v>
      </c>
      <c r="N3" s="202">
        <f>VLOOKUP(B3,Variables!$T$2:$X$99,3,FALSE)</f>
        <v>168</v>
      </c>
      <c r="O3" s="202">
        <f>VLOOKUP(B3,Variables!$T$2:$X$99,4,FALSE)</f>
        <v>199</v>
      </c>
      <c r="P3" s="202">
        <f>VLOOKUP(B3,Variables!$T$2:$X$99,5,FALSE)</f>
        <v>200</v>
      </c>
      <c r="Q3" s="201" t="str">
        <f t="shared" si="3"/>
        <v>(\|PRM\|1\|D)|(crossing.((167)|(168)|(199)|(200)))</v>
      </c>
    </row>
    <row r="4" spans="1:17" x14ac:dyDescent="0.25">
      <c r="A4" s="197">
        <v>42800.354861111111</v>
      </c>
      <c r="B4" s="204" t="s">
        <v>355</v>
      </c>
      <c r="C4" s="194" t="s">
        <v>357</v>
      </c>
      <c r="D4" s="208">
        <v>128</v>
      </c>
      <c r="E4" s="30" t="s">
        <v>359</v>
      </c>
      <c r="F4" s="208" t="b">
        <v>1</v>
      </c>
      <c r="G4" s="212" t="str">
        <f t="shared" si="0"/>
        <v>"C:\Program Files (x86)\AstroGrep\AstroGrep.exe" /e /r /s /spath="%USERPROFILE%\AppData\Local\Temp\OnboardLogs" /stypes="*4019*201703061*" /stext=" 14:.+((SYSTEM_STATE.+slice.+state.+changed )|(ment ac)|(multiple cpu faults)|(system.+state.+changed )|(\[timeout)|(PRM\|1\|D)|(kpr)|(kdp)|(\|lc)|(penalty)|(\|PRM\|1\|D)|(crossing.((167)|(168)|(199)|(200))))"</v>
      </c>
      <c r="H4" s="214" t="str">
        <f t="shared" si="1"/>
        <v>grep -hSE " 14:.+((\|PRM\|1\|D)|(crossing.((167)|(168)|(199)|(200))))" "%USERPROFILE%\AppData\Local\Temp\OnboardLogs"\RTDC4019\*4019*201703061*</v>
      </c>
      <c r="I4" s="210" t="str">
        <f>IF(VLOOKUP(K4,'Train Runs'!$A$13:$V$991,1,TRUE)=K4,VLOOKUP(K4,'Train Runs'!$A$13:$V$991,22,TRUE),NA())</f>
        <v>https://d0f6bd738d7f1b3e5a7ca70fe4ff75f0.us-east-1.aws.found.io/app/kibana#/discover/Steve-Slow-Train-Analysis-(2080s-and-2083s)?_g=(refreshInterval:(display:Off,pause:!f,section:0,value:0),time:(from:'2017-04-12T06:50:00-0600',mode:absolute,to:'2017-04-12T09:39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4" s="206">
        <f t="shared" si="2"/>
        <v>42800.604861111111</v>
      </c>
      <c r="K4" s="206" t="str">
        <f>D4&amp;"-"&amp;IF(DAY(Variables!$A$2)&lt;10,0,"")&amp;DAY(Variables!$A$2)</f>
        <v>128-12</v>
      </c>
      <c r="L4" s="202">
        <f>IF(VLOOKUP(K4,'Train Runs'!$A$12:$B$991,1,TRUE)=K4,VLOOKUP(K4,'Train Runs'!$A$12:$B$991,2,TRUE),NA())</f>
        <v>4019</v>
      </c>
      <c r="M4" s="202">
        <f>VLOOKUP(B4,Variables!$T$2:$X$99,2,FALSE)</f>
        <v>167</v>
      </c>
      <c r="N4" s="202">
        <f>VLOOKUP(B4,Variables!$T$2:$X$99,3,FALSE)</f>
        <v>168</v>
      </c>
      <c r="O4" s="202">
        <f>VLOOKUP(B4,Variables!$T$2:$X$99,4,FALSE)</f>
        <v>199</v>
      </c>
      <c r="P4" s="202">
        <f>VLOOKUP(B4,Variables!$T$2:$X$99,5,FALSE)</f>
        <v>200</v>
      </c>
      <c r="Q4" s="201" t="str">
        <f t="shared" si="3"/>
        <v>(\|PRM\|1\|D)|(crossing.((167)|(168)|(199)|(200)))</v>
      </c>
    </row>
    <row r="5" spans="1:17" x14ac:dyDescent="0.25">
      <c r="A5" s="197">
        <v>42800.364583333336</v>
      </c>
      <c r="B5" s="204" t="s">
        <v>355</v>
      </c>
      <c r="C5" s="194" t="s">
        <v>357</v>
      </c>
      <c r="D5" s="208">
        <f>D4+2</f>
        <v>130</v>
      </c>
      <c r="E5" s="30" t="s">
        <v>359</v>
      </c>
      <c r="F5" s="208" t="b">
        <v>1</v>
      </c>
      <c r="G5" s="212" t="str">
        <f t="shared" si="0"/>
        <v>"C:\Program Files (x86)\AstroGrep\AstroGrep.exe" /e /r /s /spath="%USERPROFILE%\AppData\Local\Temp\OnboardLogs" /stypes="*4039*201703061*" /stext=" 14:.+((SYSTEM_STATE.+slice.+state.+changed )|(ment ac)|(multiple cpu faults)|(system.+state.+changed )|(\[timeout)|(PRM\|1\|D)|(kpr)|(kdp)|(\|lc)|(penalty)|(\|PRM\|1\|D)|(crossing.((167)|(168)|(199)|(200))))"</v>
      </c>
      <c r="H5" s="214" t="str">
        <f t="shared" si="1"/>
        <v>grep -hSE " 14:.+((\|PRM\|1\|D)|(crossing.((167)|(168)|(199)|(200))))" "%USERPROFILE%\AppData\Local\Temp\OnboardLogs"\RTDC4039\*4039*201703061*</v>
      </c>
      <c r="I5" s="210" t="str">
        <f>IF(VLOOKUP(K5,'Train Runs'!$A$13:$V$991,1,TRUE)=K5,VLOOKUP(K5,'Train Runs'!$A$13:$V$991,22,TRUE),NA())</f>
        <v>https://d0f6bd738d7f1b3e5a7ca70fe4ff75f0.us-east-1.aws.found.io/app/kibana#/discover/Steve-Slow-Train-Analysis-(2080s-and-2083s)?_g=(refreshInterval:(display:Off,pause:!f,section:0,value:0),time:(from:'2017-04-12T07:02:06-0600',mode:absolute,to:'2017-04-12T09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5" s="206">
        <f t="shared" si="2"/>
        <v>42800.614583333336</v>
      </c>
      <c r="K5" s="206" t="str">
        <f>D5&amp;"-"&amp;IF(DAY(Variables!$A$2)&lt;10,0,"")&amp;DAY(Variables!$A$2)</f>
        <v>130-12</v>
      </c>
      <c r="L5" s="202">
        <f>IF(VLOOKUP(K5,'Train Runs'!$A$12:$B$991,1,TRUE)=K5,VLOOKUP(K5,'Train Runs'!$A$12:$B$991,2,TRUE),NA())</f>
        <v>4039</v>
      </c>
      <c r="M5" s="202">
        <f>VLOOKUP(B5,Variables!$T$2:$X$99,2,FALSE)</f>
        <v>167</v>
      </c>
      <c r="N5" s="202">
        <f>VLOOKUP(B5,Variables!$T$2:$X$99,3,FALSE)</f>
        <v>168</v>
      </c>
      <c r="O5" s="202">
        <f>VLOOKUP(B5,Variables!$T$2:$X$99,4,FALSE)</f>
        <v>199</v>
      </c>
      <c r="P5" s="202">
        <f>VLOOKUP(B5,Variables!$T$2:$X$99,5,FALSE)</f>
        <v>200</v>
      </c>
      <c r="Q5" s="201" t="str">
        <f t="shared" si="3"/>
        <v>(\|PRM\|1\|D)|(crossing.((167)|(168)|(199)|(200)))</v>
      </c>
    </row>
    <row r="6" spans="1:17" x14ac:dyDescent="0.25">
      <c r="A6" s="197">
        <v>42800.375</v>
      </c>
      <c r="B6" s="204" t="s">
        <v>355</v>
      </c>
      <c r="C6" s="194" t="s">
        <v>357</v>
      </c>
      <c r="D6" s="208">
        <f>D5+2</f>
        <v>132</v>
      </c>
      <c r="E6" s="30" t="s">
        <v>359</v>
      </c>
      <c r="F6" s="208" t="b">
        <v>1</v>
      </c>
      <c r="G6" s="212" t="str">
        <f t="shared" si="0"/>
        <v>"C:\Program Files (x86)\AstroGrep\AstroGrep.exe" /e /r /s /spath="%USERPROFILE%\AppData\Local\Temp\OnboardLogs" /stypes="*4031*201703061*" /stext=" 15:.+((SYSTEM_STATE.+slice.+state.+changed )|(ment ac)|(multiple cpu faults)|(system.+state.+changed )|(\[timeout)|(PRM\|1\|D)|(kpr)|(kdp)|(\|lc)|(penalty)|(\|PRM\|1\|D)|(crossing.((167)|(168)|(199)|(200))))"</v>
      </c>
      <c r="H6" s="214" t="str">
        <f t="shared" si="1"/>
        <v>grep -hSE " 15:.+((\|PRM\|1\|D)|(crossing.((167)|(168)|(199)|(200))))" "%USERPROFILE%\AppData\Local\Temp\OnboardLogs"\RTDC4031\*4031*201703061*</v>
      </c>
      <c r="I6" s="210" t="str">
        <f>IF(VLOOKUP(K6,'Train Runs'!$A$13:$V$991,1,TRUE)=K6,VLOOKUP(K6,'Train Runs'!$A$13:$V$991,22,TRUE),NA())</f>
        <v>https://d0f6bd738d7f1b3e5a7ca70fe4ff75f0.us-east-1.aws.found.io/app/kibana#/discover/Steve-Slow-Train-Analysis-(2080s-and-2083s)?_g=(refreshInterval:(display:Off,pause:!f,section:0,value:0),time:(from:'2017-04-12T07:20:22-0600',mode:absolute,to:'2017-04-12T10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6" s="206">
        <f t="shared" si="2"/>
        <v>42800.625</v>
      </c>
      <c r="K6" s="206" t="str">
        <f>D6&amp;"-"&amp;IF(DAY(Variables!$A$2)&lt;10,0,"")&amp;DAY(Variables!$A$2)</f>
        <v>132-12</v>
      </c>
      <c r="L6" s="202">
        <f>IF(VLOOKUP(K6,'Train Runs'!$A$12:$B$991,1,TRUE)=K6,VLOOKUP(K6,'Train Runs'!$A$12:$B$991,2,TRUE),NA())</f>
        <v>4031</v>
      </c>
      <c r="M6" s="202">
        <f>VLOOKUP(B6,Variables!$T$2:$X$99,2,FALSE)</f>
        <v>167</v>
      </c>
      <c r="N6" s="202">
        <f>VLOOKUP(B6,Variables!$T$2:$X$99,3,FALSE)</f>
        <v>168</v>
      </c>
      <c r="O6" s="202">
        <f>VLOOKUP(B6,Variables!$T$2:$X$99,4,FALSE)</f>
        <v>199</v>
      </c>
      <c r="P6" s="202">
        <f>VLOOKUP(B6,Variables!$T$2:$X$99,5,FALSE)</f>
        <v>200</v>
      </c>
      <c r="Q6" s="201" t="str">
        <f t="shared" si="3"/>
        <v>(\|PRM\|1\|D)|(crossing.((167)|(168)|(199)|(200)))</v>
      </c>
    </row>
    <row r="7" spans="1:17" x14ac:dyDescent="0.25">
      <c r="A7" s="197">
        <v>42800.383333333331</v>
      </c>
      <c r="B7" s="204" t="s">
        <v>355</v>
      </c>
      <c r="C7" s="194" t="s">
        <v>357</v>
      </c>
      <c r="D7" s="208">
        <f t="shared" ref="D7:D11" si="4">D6+2</f>
        <v>134</v>
      </c>
      <c r="E7" s="30" t="s">
        <v>359</v>
      </c>
      <c r="F7" s="208" t="b">
        <v>1</v>
      </c>
      <c r="G7" s="212" t="str">
        <f t="shared" si="0"/>
        <v>"C:\Program Files (x86)\AstroGrep\AstroGrep.exe" /e /r /s /spath="%USERPROFILE%\AppData\Local\Temp\OnboardLogs" /stypes="*4053*201703061*" /stext=" 15:.+((SYSTEM_STATE.+slice.+state.+changed )|(ment ac)|(multiple cpu faults)|(system.+state.+changed )|(\[timeout)|(PRM\|1\|D)|(kpr)|(kdp)|(\|lc)|(penalty)|(\|PRM\|1\|D)|(crossing.((167)|(168)|(199)|(200))))"</v>
      </c>
      <c r="H7" s="214" t="str">
        <f t="shared" si="1"/>
        <v>grep -hSE " 15:.+((\|PRM\|1\|D)|(crossing.((167)|(168)|(199)|(200))))" "%USERPROFILE%\AppData\Local\Temp\OnboardLogs"\RTDC4053\*4053*201703061*</v>
      </c>
      <c r="I7" s="210" t="str">
        <f>IF(VLOOKUP(K7,'Train Runs'!$A$13:$V$991,1,TRUE)=K7,VLOOKUP(K7,'Train Runs'!$A$13:$V$991,22,TRUE),NA())</f>
        <v>https://d0f6bd738d7f1b3e5a7ca70fe4ff75f0.us-east-1.aws.found.io/app/kibana#/discover/Steve-Slow-Train-Analysis-(2080s-and-2083s)?_g=(refreshInterval:(display:Off,pause:!f,section:0,value:0),time:(from:'2017-04-12T07:32:50-0600',mode:absolute,to:'2017-04-12T10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7" s="206">
        <f t="shared" si="2"/>
        <v>42800.633333333331</v>
      </c>
      <c r="K7" s="206" t="str">
        <f>D7&amp;"-"&amp;IF(DAY(Variables!$A$2)&lt;10,0,"")&amp;DAY(Variables!$A$2)</f>
        <v>134-12</v>
      </c>
      <c r="L7" s="202">
        <f>IF(VLOOKUP(K7,'Train Runs'!$A$12:$B$991,1,TRUE)=K7,VLOOKUP(K7,'Train Runs'!$A$12:$B$991,2,TRUE),NA())</f>
        <v>4053</v>
      </c>
      <c r="M7" s="202">
        <f>VLOOKUP(B7,Variables!$T$2:$X$99,2,FALSE)</f>
        <v>167</v>
      </c>
      <c r="N7" s="202">
        <f>VLOOKUP(B7,Variables!$T$2:$X$99,3,FALSE)</f>
        <v>168</v>
      </c>
      <c r="O7" s="202">
        <f>VLOOKUP(B7,Variables!$T$2:$X$99,4,FALSE)</f>
        <v>199</v>
      </c>
      <c r="P7" s="202">
        <f>VLOOKUP(B7,Variables!$T$2:$X$99,5,FALSE)</f>
        <v>200</v>
      </c>
      <c r="Q7" s="201" t="str">
        <f t="shared" si="3"/>
        <v>(\|PRM\|1\|D)|(crossing.((167)|(168)|(199)|(200)))</v>
      </c>
    </row>
    <row r="8" spans="1:17" x14ac:dyDescent="0.25">
      <c r="A8" s="197">
        <v>42800.393750000003</v>
      </c>
      <c r="B8" s="204" t="s">
        <v>355</v>
      </c>
      <c r="C8" s="194" t="s">
        <v>357</v>
      </c>
      <c r="D8" s="208">
        <f t="shared" si="4"/>
        <v>136</v>
      </c>
      <c r="E8" s="30" t="s">
        <v>359</v>
      </c>
      <c r="F8" s="208" t="b">
        <v>1</v>
      </c>
      <c r="G8" s="212" t="str">
        <f t="shared" si="0"/>
        <v>"C:\Program Files (x86)\AstroGrep\AstroGrep.exe" /e /r /s /spath="%USERPROFILE%\AppData\Local\Temp\OnboardLogs" /stypes="*4043*201703061*" /stext=" 15:.+((SYSTEM_STATE.+slice.+state.+changed )|(ment ac)|(multiple cpu faults)|(system.+state.+changed )|(\[timeout)|(PRM\|1\|D)|(kpr)|(kdp)|(\|lc)|(penalty)|(\|PRM\|1\|D)|(crossing.((167)|(168)|(199)|(200))))"</v>
      </c>
      <c r="H8" s="214" t="str">
        <f t="shared" si="1"/>
        <v>grep -hSE " 15:.+((\|PRM\|1\|D)|(crossing.((167)|(168)|(199)|(200))))" "%USERPROFILE%\AppData\Local\Temp\OnboardLogs"\RTDC4043\*4043*201703061*</v>
      </c>
      <c r="I8" s="210" t="str">
        <f>IF(VLOOKUP(K8,'Train Runs'!$A$13:$V$991,1,TRUE)=K8,VLOOKUP(K8,'Train Runs'!$A$13:$V$991,22,TRUE),NA())</f>
        <v>https://d0f6bd738d7f1b3e5a7ca70fe4ff75f0.us-east-1.aws.found.io/app/kibana#/discover/Steve-Slow-Train-Analysis-(2080s-and-2083s)?_g=(refreshInterval:(display:Off,pause:!f,section:0,value:0),time:(from:'2017-04-12T07:48:40-0600',mode:absolute,to:'2017-04-12T10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8" s="206">
        <f t="shared" si="2"/>
        <v>42800.643750000003</v>
      </c>
      <c r="K8" s="206" t="str">
        <f>D8&amp;"-"&amp;IF(DAY(Variables!$A$2)&lt;10,0,"")&amp;DAY(Variables!$A$2)</f>
        <v>136-12</v>
      </c>
      <c r="L8" s="202">
        <f>IF(VLOOKUP(K8,'Train Runs'!$A$12:$B$991,1,TRUE)=K8,VLOOKUP(K8,'Train Runs'!$A$12:$B$991,2,TRUE),NA())</f>
        <v>4043</v>
      </c>
      <c r="M8" s="202">
        <f>VLOOKUP(B8,Variables!$T$2:$X$99,2,FALSE)</f>
        <v>167</v>
      </c>
      <c r="N8" s="202">
        <f>VLOOKUP(B8,Variables!$T$2:$X$99,3,FALSE)</f>
        <v>168</v>
      </c>
      <c r="O8" s="202">
        <f>VLOOKUP(B8,Variables!$T$2:$X$99,4,FALSE)</f>
        <v>199</v>
      </c>
      <c r="P8" s="202">
        <f>VLOOKUP(B8,Variables!$T$2:$X$99,5,FALSE)</f>
        <v>200</v>
      </c>
      <c r="Q8" s="201" t="str">
        <f t="shared" si="3"/>
        <v>(\|PRM\|1\|D)|(crossing.((167)|(168)|(199)|(200)))</v>
      </c>
    </row>
    <row r="9" spans="1:17" x14ac:dyDescent="0.25">
      <c r="A9" s="197">
        <v>42800.404861111114</v>
      </c>
      <c r="B9" s="204" t="s">
        <v>355</v>
      </c>
      <c r="C9" s="194" t="s">
        <v>357</v>
      </c>
      <c r="D9" s="208">
        <f t="shared" si="4"/>
        <v>138</v>
      </c>
      <c r="E9" s="30" t="s">
        <v>359</v>
      </c>
      <c r="F9" s="208" t="b">
        <v>1</v>
      </c>
      <c r="G9" s="212" t="str">
        <f t="shared" si="0"/>
        <v>"C:\Program Files (x86)\AstroGrep\AstroGrep.exe" /e /r /s /spath="%USERPROFILE%\AppData\Local\Temp\OnboardLogs" /stypes="*4011*201703061*" /stext=" 15:.+((SYSTEM_STATE.+slice.+state.+changed )|(ment ac)|(multiple cpu faults)|(system.+state.+changed )|(\[timeout)|(PRM\|1\|D)|(kpr)|(kdp)|(\|lc)|(penalty)|(\|PRM\|1\|D)|(crossing.((167)|(168)|(199)|(200))))"</v>
      </c>
      <c r="H9" s="214" t="str">
        <f t="shared" si="1"/>
        <v>grep -hSE " 15:.+((\|PRM\|1\|D)|(crossing.((167)|(168)|(199)|(200))))" "%USERPROFILE%\AppData\Local\Temp\OnboardLogs"\RTDC4011\*4011*201703061*</v>
      </c>
      <c r="I9" s="210" t="str">
        <f>IF(VLOOKUP(K9,'Train Runs'!$A$13:$V$991,1,TRUE)=K9,VLOOKUP(K9,'Train Runs'!$A$13:$V$991,22,TRUE),NA())</f>
        <v>https://d0f6bd738d7f1b3e5a7ca70fe4ff75f0.us-east-1.aws.found.io/app/kibana#/discover/Steve-Slow-Train-Analysis-(2080s-and-2083s)?_g=(refreshInterval:(display:Off,pause:!f,section:0,value:0),time:(from:'2017-04-12T07:52:34-0600',mode:absolute,to:'2017-04-12T10:48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J9" s="206">
        <f t="shared" si="2"/>
        <v>42800.654861111114</v>
      </c>
      <c r="K9" s="206" t="str">
        <f>D9&amp;"-"&amp;IF(DAY(Variables!$A$2)&lt;10,0,"")&amp;DAY(Variables!$A$2)</f>
        <v>138-12</v>
      </c>
      <c r="L9" s="202">
        <f>IF(VLOOKUP(K9,'Train Runs'!$A$12:$B$991,1,TRUE)=K9,VLOOKUP(K9,'Train Runs'!$A$12:$B$991,2,TRUE),NA())</f>
        <v>4011</v>
      </c>
      <c r="M9" s="202">
        <f>VLOOKUP(B9,Variables!$T$2:$X$99,2,FALSE)</f>
        <v>167</v>
      </c>
      <c r="N9" s="202">
        <f>VLOOKUP(B9,Variables!$T$2:$X$99,3,FALSE)</f>
        <v>168</v>
      </c>
      <c r="O9" s="202">
        <f>VLOOKUP(B9,Variables!$T$2:$X$99,4,FALSE)</f>
        <v>199</v>
      </c>
      <c r="P9" s="202">
        <f>VLOOKUP(B9,Variables!$T$2:$X$99,5,FALSE)</f>
        <v>200</v>
      </c>
      <c r="Q9" s="201" t="str">
        <f t="shared" si="3"/>
        <v>(\|PRM\|1\|D)|(crossing.((167)|(168)|(199)|(200)))</v>
      </c>
    </row>
    <row r="10" spans="1:17" x14ac:dyDescent="0.25">
      <c r="A10" s="197">
        <v>42800.415972222225</v>
      </c>
      <c r="B10" s="204" t="s">
        <v>355</v>
      </c>
      <c r="C10" s="194" t="s">
        <v>357</v>
      </c>
      <c r="D10" s="208">
        <f t="shared" si="4"/>
        <v>140</v>
      </c>
      <c r="E10" s="30" t="s">
        <v>359</v>
      </c>
      <c r="F10" s="208" t="b">
        <v>1</v>
      </c>
      <c r="G10" s="212" t="str">
        <f t="shared" si="0"/>
        <v>"C:\Program Files (x86)\AstroGrep\AstroGrep.exe" /e /r /s /spath="%USERPROFILE%\AppData\Local\Temp\OnboardLogs" /stypes="*4041*201703061*" /stext=" 15:.+((SYSTEM_STATE.+slice.+state.+changed )|(ment ac)|(multiple cpu faults)|(system.+state.+changed )|(\[timeout)|(PRM\|1\|D)|(kpr)|(kdp)|(\|lc)|(penalty)|(\|PRM\|1\|D)|(crossing.((167)|(168)|(199)|(200))))"</v>
      </c>
      <c r="H10" s="214" t="str">
        <f t="shared" si="1"/>
        <v>grep -hSE " 15:.+((\|PRM\|1\|D)|(crossing.((167)|(168)|(199)|(200))))" "%USERPROFILE%\AppData\Local\Temp\OnboardLogs"\RTDC4041\*4041*201703061*</v>
      </c>
      <c r="I10" s="210" t="str">
        <f>IF(VLOOKUP(K10,'Train Runs'!$A$13:$V$991,1,TRUE)=K10,VLOOKUP(K10,'Train Runs'!$A$13:$V$991,22,TRUE),NA())</f>
        <v>https://d0f6bd738d7f1b3e5a7ca70fe4ff75f0.us-east-1.aws.found.io/app/kibana#/discover/Steve-Slow-Train-Analysis-(2080s-and-2083s)?_g=(refreshInterval:(display:Off,pause:!f,section:0,value:0),time:(from:'2017-04-12T08:16:17-0600',mode:absolute,to:'2017-04-12T11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10" s="206">
        <f t="shared" si="2"/>
        <v>42800.665972222225</v>
      </c>
      <c r="K10" s="206" t="str">
        <f>D10&amp;"-"&amp;IF(DAY(Variables!$A$2)&lt;10,0,"")&amp;DAY(Variables!$A$2)</f>
        <v>140-12</v>
      </c>
      <c r="L10" s="202">
        <f>IF(VLOOKUP(K10,'Train Runs'!$A$12:$B$991,1,TRUE)=K10,VLOOKUP(K10,'Train Runs'!$A$12:$B$991,2,TRUE),NA())</f>
        <v>4041</v>
      </c>
      <c r="M10" s="202">
        <f>VLOOKUP(B10,Variables!$T$2:$X$99,2,FALSE)</f>
        <v>167</v>
      </c>
      <c r="N10" s="202">
        <f>VLOOKUP(B10,Variables!$T$2:$X$99,3,FALSE)</f>
        <v>168</v>
      </c>
      <c r="O10" s="202">
        <f>VLOOKUP(B10,Variables!$T$2:$X$99,4,FALSE)</f>
        <v>199</v>
      </c>
      <c r="P10" s="202">
        <f>VLOOKUP(B10,Variables!$T$2:$X$99,5,FALSE)</f>
        <v>200</v>
      </c>
      <c r="Q10" s="201" t="str">
        <f t="shared" si="3"/>
        <v>(\|PRM\|1\|D)|(crossing.((167)|(168)|(199)|(200)))</v>
      </c>
    </row>
    <row r="11" spans="1:17" x14ac:dyDescent="0.25">
      <c r="A11" s="197">
        <v>42800.425000000003</v>
      </c>
      <c r="B11" s="204" t="s">
        <v>355</v>
      </c>
      <c r="C11" s="194" t="s">
        <v>357</v>
      </c>
      <c r="D11" s="208">
        <f t="shared" si="4"/>
        <v>142</v>
      </c>
      <c r="E11" s="30" t="s">
        <v>359</v>
      </c>
      <c r="F11" s="208" t="b">
        <v>1</v>
      </c>
      <c r="G11" s="212" t="str">
        <f t="shared" si="0"/>
        <v>"C:\Program Files (x86)\AstroGrep\AstroGrep.exe" /e /r /s /spath="%USERPROFILE%\AppData\Local\Temp\OnboardLogs" /stypes="*4019*201703061*" /stext=" 16:.+((SYSTEM_STATE.+slice.+state.+changed )|(ment ac)|(multiple cpu faults)|(system.+state.+changed )|(\[timeout)|(PRM\|1\|D)|(kpr)|(kdp)|(\|lc)|(penalty)|(\|PRM\|1\|D)|(crossing.((167)|(168)|(199)|(200))))"</v>
      </c>
      <c r="H11" s="214" t="str">
        <f t="shared" si="1"/>
        <v>grep -hSE " 16:.+((\|PRM\|1\|D)|(crossing.((167)|(168)|(199)|(200))))" "%USERPROFILE%\AppData\Local\Temp\OnboardLogs"\RTDC4019\*4019*201703061*</v>
      </c>
      <c r="I11" s="210" t="str">
        <f>IF(VLOOKUP(K11,'Train Runs'!$A$13:$V$991,1,TRUE)=K11,VLOOKUP(K11,'Train Runs'!$A$13:$V$991,22,TRUE),NA())</f>
        <v>https://d0f6bd738d7f1b3e5a7ca70fe4ff75f0.us-east-1.aws.found.io/app/kibana#/discover/Steve-Slow-Train-Analysis-(2080s-and-2083s)?_g=(refreshInterval:(display:Off,pause:!f,section:0,value:0),time:(from:'2017-04-12T08:27:31-0600',mode:absolute,to:'2017-04-12T11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1" s="206">
        <f t="shared" si="2"/>
        <v>42800.675000000003</v>
      </c>
      <c r="K11" s="206" t="str">
        <f>D11&amp;"-"&amp;IF(DAY(Variables!$A$2)&lt;10,0,"")&amp;DAY(Variables!$A$2)</f>
        <v>142-12</v>
      </c>
      <c r="L11" s="202">
        <f>IF(VLOOKUP(K11,'Train Runs'!$A$12:$B$991,1,TRUE)=K11,VLOOKUP(K11,'Train Runs'!$A$12:$B$991,2,TRUE),NA())</f>
        <v>4019</v>
      </c>
      <c r="M11" s="202">
        <f>VLOOKUP(B11,Variables!$T$2:$X$99,2,FALSE)</f>
        <v>167</v>
      </c>
      <c r="N11" s="202">
        <f>VLOOKUP(B11,Variables!$T$2:$X$99,3,FALSE)</f>
        <v>168</v>
      </c>
      <c r="O11" s="202">
        <f>VLOOKUP(B11,Variables!$T$2:$X$99,4,FALSE)</f>
        <v>199</v>
      </c>
      <c r="P11" s="202">
        <f>VLOOKUP(B11,Variables!$T$2:$X$99,5,FALSE)</f>
        <v>200</v>
      </c>
      <c r="Q11" s="201" t="str">
        <f t="shared" si="3"/>
        <v>(\|PRM\|1\|D)|(crossing.((167)|(168)|(199)|(200)))</v>
      </c>
    </row>
    <row r="12" spans="1:17" x14ac:dyDescent="0.25">
      <c r="A12" s="197">
        <v>42800.435416666667</v>
      </c>
      <c r="B12" s="204" t="s">
        <v>355</v>
      </c>
      <c r="C12" s="194" t="s">
        <v>357</v>
      </c>
      <c r="D12" s="208">
        <v>144</v>
      </c>
      <c r="E12" s="30" t="s">
        <v>359</v>
      </c>
      <c r="F12" s="208" t="b">
        <v>1</v>
      </c>
      <c r="G12" s="212" t="str">
        <f t="shared" si="0"/>
        <v>"C:\Program Files (x86)\AstroGrep\AstroGrep.exe" /e /r /s /spath="%USERPROFILE%\AppData\Local\Temp\OnboardLogs" /stypes="*4039*201703061*" /stext=" 16:.+((SYSTEM_STATE.+slice.+state.+changed )|(ment ac)|(multiple cpu faults)|(system.+state.+changed )|(\[timeout)|(PRM\|1\|D)|(kpr)|(kdp)|(\|lc)|(penalty)|(\|PRM\|1\|D)|(crossing.((167)|(168)|(199)|(200))))"</v>
      </c>
      <c r="H12" s="214" t="str">
        <f t="shared" si="1"/>
        <v>grep -hSE " 16:.+((\|PRM\|1\|D)|(crossing.((167)|(168)|(199)|(200))))" "%USERPROFILE%\AppData\Local\Temp\OnboardLogs"\RTDC4039\*4039*201703061*</v>
      </c>
      <c r="I12" s="210" t="str">
        <f>IF(VLOOKUP(K12,'Train Runs'!$A$13:$V$991,1,TRUE)=K12,VLOOKUP(K12,'Train Runs'!$A$13:$V$991,22,TRUE),NA())</f>
        <v>https://d0f6bd738d7f1b3e5a7ca70fe4ff75f0.us-east-1.aws.found.io/app/kibana#/discover/Steve-Slow-Train-Analysis-(2080s-and-2083s)?_g=(refreshInterval:(display:Off,pause:!f,section:0,value:0),time:(from:'2017-04-12T08:54:07-0600',mode:absolute,to:'2017-04-12T11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12" s="206">
        <f t="shared" si="2"/>
        <v>42800.685416666667</v>
      </c>
      <c r="K12" s="206" t="str">
        <f>D12&amp;"-"&amp;IF(DAY(Variables!$A$2)&lt;10,0,"")&amp;DAY(Variables!$A$2)</f>
        <v>144-12</v>
      </c>
      <c r="L12" s="202">
        <f>IF(VLOOKUP(K12,'Train Runs'!$A$12:$B$991,1,TRUE)=K12,VLOOKUP(K12,'Train Runs'!$A$12:$B$991,2,TRUE),NA())</f>
        <v>4039</v>
      </c>
      <c r="M12" s="202">
        <f>VLOOKUP(B12,Variables!$T$2:$X$99,2,FALSE)</f>
        <v>167</v>
      </c>
      <c r="N12" s="202">
        <f>VLOOKUP(B12,Variables!$T$2:$X$99,3,FALSE)</f>
        <v>168</v>
      </c>
      <c r="O12" s="202">
        <f>VLOOKUP(B12,Variables!$T$2:$X$99,4,FALSE)</f>
        <v>199</v>
      </c>
      <c r="P12" s="202">
        <f>VLOOKUP(B12,Variables!$T$2:$X$99,5,FALSE)</f>
        <v>200</v>
      </c>
      <c r="Q12" s="201" t="str">
        <f t="shared" si="3"/>
        <v>(\|PRM\|1\|D)|(crossing.((167)|(168)|(199)|(200)))</v>
      </c>
    </row>
    <row r="13" spans="1:17" x14ac:dyDescent="0.25">
      <c r="A13" s="197">
        <v>42800.445833333331</v>
      </c>
      <c r="B13" s="204" t="s">
        <v>355</v>
      </c>
      <c r="C13" s="194" t="s">
        <v>357</v>
      </c>
      <c r="D13" s="208">
        <v>146</v>
      </c>
      <c r="E13" s="30" t="s">
        <v>359</v>
      </c>
      <c r="F13" s="208" t="b">
        <v>1</v>
      </c>
      <c r="G13" s="212" t="str">
        <f t="shared" si="0"/>
        <v>"C:\Program Files (x86)\AstroGrep\AstroGrep.exe" /e /r /s /spath="%USERPROFILE%\AppData\Local\Temp\OnboardLogs" /stypes="*4031*201703061*" /stext=" 16:.+((SYSTEM_STATE.+slice.+state.+changed )|(ment ac)|(multiple cpu faults)|(system.+state.+changed )|(\[timeout)|(PRM\|1\|D)|(kpr)|(kdp)|(\|lc)|(penalty)|(\|PRM\|1\|D)|(crossing.((167)|(168)|(199)|(200))))"</v>
      </c>
      <c r="H13" s="214" t="str">
        <f t="shared" si="1"/>
        <v>grep -hSE " 16:.+((\|PRM\|1\|D)|(crossing.((167)|(168)|(199)|(200))))" "%USERPROFILE%\AppData\Local\Temp\OnboardLogs"\RTDC4031\*4031*201703061*</v>
      </c>
      <c r="I13" s="210" t="str">
        <f>IF(VLOOKUP(K13,'Train Runs'!$A$13:$V$991,1,TRUE)=K13,VLOOKUP(K13,'Train Runs'!$A$13:$V$991,22,TRUE),NA())</f>
        <v>https://d0f6bd738d7f1b3e5a7ca70fe4ff75f0.us-east-1.aws.found.io/app/kibana#/discover/Steve-Slow-Train-Analysis-(2080s-and-2083s)?_g=(refreshInterval:(display:Off,pause:!f,section:0,value:0),time:(from:'2017-04-12T08:57:17-0600',mode:absolute,to:'2017-04-12T11:50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13" s="206">
        <f t="shared" si="2"/>
        <v>42800.695833333331</v>
      </c>
      <c r="K13" s="206" t="str">
        <f>D13&amp;"-"&amp;IF(DAY(Variables!$A$2)&lt;10,0,"")&amp;DAY(Variables!$A$2)</f>
        <v>146-12</v>
      </c>
      <c r="L13" s="202">
        <f>IF(VLOOKUP(K13,'Train Runs'!$A$12:$B$991,1,TRUE)=K13,VLOOKUP(K13,'Train Runs'!$A$12:$B$991,2,TRUE),NA())</f>
        <v>4031</v>
      </c>
      <c r="M13" s="202">
        <f>VLOOKUP(B13,Variables!$T$2:$X$99,2,FALSE)</f>
        <v>167</v>
      </c>
      <c r="N13" s="202">
        <f>VLOOKUP(B13,Variables!$T$2:$X$99,3,FALSE)</f>
        <v>168</v>
      </c>
      <c r="O13" s="202">
        <f>VLOOKUP(B13,Variables!$T$2:$X$99,4,FALSE)</f>
        <v>199</v>
      </c>
      <c r="P13" s="202">
        <f>VLOOKUP(B13,Variables!$T$2:$X$99,5,FALSE)</f>
        <v>200</v>
      </c>
      <c r="Q13" s="201" t="str">
        <f t="shared" si="3"/>
        <v>(\|PRM\|1\|D)|(crossing.((167)|(168)|(199)|(200)))</v>
      </c>
    </row>
    <row r="14" spans="1:17" x14ac:dyDescent="0.25">
      <c r="A14" s="197">
        <v>42800.456944444442</v>
      </c>
      <c r="B14" s="204" t="s">
        <v>355</v>
      </c>
      <c r="C14" s="194" t="s">
        <v>357</v>
      </c>
      <c r="D14" s="208">
        <v>148</v>
      </c>
      <c r="E14" s="30" t="s">
        <v>363</v>
      </c>
      <c r="F14" s="208" t="b">
        <v>1</v>
      </c>
      <c r="G14" s="212" t="str">
        <f t="shared" si="0"/>
        <v>"C:\Program Files (x86)\AstroGrep\AstroGrep.exe" /e /r /s /spath="%USERPROFILE%\AppData\Local\Temp\OnboardLogs" /stypes="*4053*201703061*" /stext=" 16:.+((SYSTEM_STATE.+slice.+state.+changed )|(ment ac)|(multiple cpu faults)|(system.+state.+changed )|(\[timeout)|(PRM\|1\|D)|(kpr)|(kdp)|(\|lc)|(penalty)|(\|PRM\|1\|D)|(crossing.((167)|(168)|(199)|(200))))"</v>
      </c>
      <c r="H14" s="214" t="str">
        <f t="shared" si="1"/>
        <v>grep -hSE " 16:.+((\|PRM\|1\|D)|(crossing.((167)|(168)|(199)|(200))))" "%USERPROFILE%\AppData\Local\Temp\OnboardLogs"\RTDC4053\*4053*201703061*</v>
      </c>
      <c r="I14" s="210" t="str">
        <f>IF(VLOOKUP(K14,'Train Runs'!$A$13:$V$991,1,TRUE)=K14,VLOOKUP(K14,'Train Runs'!$A$13:$V$991,22,TRUE),NA())</f>
        <v>https://d0f6bd738d7f1b3e5a7ca70fe4ff75f0.us-east-1.aws.found.io/app/kibana#/discover/Steve-Slow-Train-Analysis-(2080s-and-2083s)?_g=(refreshInterval:(display:Off,pause:!f,section:0,value:0),time:(from:'2017-04-12T09:14:02-0600',mode:absolute,to:'2017-04-12T12:03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14" s="206">
        <f t="shared" si="2"/>
        <v>42800.706944444442</v>
      </c>
      <c r="K14" s="206" t="str">
        <f>D14&amp;"-"&amp;IF(DAY(Variables!$A$2)&lt;10,0,"")&amp;DAY(Variables!$A$2)</f>
        <v>148-12</v>
      </c>
      <c r="L14" s="202">
        <f>IF(VLOOKUP(K14,'Train Runs'!$A$12:$B$991,1,TRUE)=K14,VLOOKUP(K14,'Train Runs'!$A$12:$B$991,2,TRUE),NA())</f>
        <v>4053</v>
      </c>
      <c r="M14" s="202">
        <f>VLOOKUP(B14,Variables!$T$2:$X$99,2,FALSE)</f>
        <v>167</v>
      </c>
      <c r="N14" s="202">
        <f>VLOOKUP(B14,Variables!$T$2:$X$99,3,FALSE)</f>
        <v>168</v>
      </c>
      <c r="O14" s="202">
        <f>VLOOKUP(B14,Variables!$T$2:$X$99,4,FALSE)</f>
        <v>199</v>
      </c>
      <c r="P14" s="202">
        <f>VLOOKUP(B14,Variables!$T$2:$X$99,5,FALSE)</f>
        <v>200</v>
      </c>
      <c r="Q14" s="201" t="str">
        <f t="shared" si="3"/>
        <v>(\|PRM\|1\|D)|(crossing.((167)|(168)|(199)|(200)))</v>
      </c>
    </row>
    <row r="15" spans="1:17" x14ac:dyDescent="0.25">
      <c r="A15" s="197">
        <v>42800.614583333336</v>
      </c>
      <c r="B15" s="204" t="s">
        <v>355</v>
      </c>
      <c r="C15" s="194" t="s">
        <v>357</v>
      </c>
      <c r="D15" s="208">
        <v>178</v>
      </c>
      <c r="E15" s="30" t="s">
        <v>364</v>
      </c>
      <c r="F15" s="208" t="b">
        <v>1</v>
      </c>
      <c r="G15" s="212" t="str">
        <f t="shared" si="0"/>
        <v>"C:\Program Files (x86)\AstroGrep\AstroGrep.exe" /e /r /s /spath="%USERPROFILE%\AppData\Local\Temp\OnboardLogs" /stypes="*4043*201703062*" /stext=" 20:.+((SYSTEM_STATE.+slice.+state.+changed )|(ment ac)|(multiple cpu faults)|(system.+state.+changed )|(\[timeout)|(PRM\|1\|D)|(kpr)|(kdp)|(\|lc)|(penalty)|(\|PRM\|1\|D)|(crossing.((167)|(168)|(199)|(200))))"</v>
      </c>
      <c r="H15" s="214" t="str">
        <f t="shared" si="1"/>
        <v>grep -hSE " 20:.+((\|PRM\|1\|D)|(crossing.((167)|(168)|(199)|(200))))" "%USERPROFILE%\AppData\Local\Temp\OnboardLogs"\RTDC4043\*4043*201703062*</v>
      </c>
      <c r="I15" s="210" t="str">
        <f>IF(VLOOKUP(K15,'Train Runs'!$A$13:$V$991,1,TRUE)=K15,VLOOKUP(K15,'Train Runs'!$A$13:$V$991,22,TRUE),NA())</f>
        <v>https://d0f6bd738d7f1b3e5a7ca70fe4ff75f0.us-east-1.aws.found.io/app/kibana#/discover/Steve-Slow-Train-Analysis-(2080s-and-2083s)?_g=(refreshInterval:(display:Off,pause:!f,section:0,value:0),time:(from:'2017-04-12T13:03:13-0600',mode:absolute,to:'2017-04-12T15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5" s="206">
        <f t="shared" si="2"/>
        <v>42800.864583333336</v>
      </c>
      <c r="K15" s="206" t="str">
        <f>D15&amp;"-"&amp;IF(DAY(Variables!$A$2)&lt;10,0,"")&amp;DAY(Variables!$A$2)</f>
        <v>178-12</v>
      </c>
      <c r="L15" s="202">
        <f>IF(VLOOKUP(K15,'Train Runs'!$A$12:$B$991,1,TRUE)=K15,VLOOKUP(K15,'Train Runs'!$A$12:$B$991,2,TRUE),NA())</f>
        <v>4043</v>
      </c>
      <c r="M15" s="202">
        <f>VLOOKUP(B15,Variables!$T$2:$X$99,2,FALSE)</f>
        <v>167</v>
      </c>
      <c r="N15" s="202">
        <f>VLOOKUP(B15,Variables!$T$2:$X$99,3,FALSE)</f>
        <v>168</v>
      </c>
      <c r="O15" s="202">
        <f>VLOOKUP(B15,Variables!$T$2:$X$99,4,FALSE)</f>
        <v>199</v>
      </c>
      <c r="P15" s="202">
        <f>VLOOKUP(B15,Variables!$T$2:$X$99,5,FALSE)</f>
        <v>200</v>
      </c>
      <c r="Q15" s="201" t="str">
        <f t="shared" si="3"/>
        <v>(\|PRM\|1\|D)|(crossing.((167)|(168)|(199)|(200)))</v>
      </c>
    </row>
    <row r="16" spans="1:17" x14ac:dyDescent="0.25">
      <c r="A16" s="197">
        <v>42800.699305555558</v>
      </c>
      <c r="B16" s="204" t="s">
        <v>355</v>
      </c>
      <c r="C16" s="194" t="s">
        <v>357</v>
      </c>
      <c r="D16" s="208">
        <v>194</v>
      </c>
      <c r="E16" s="30" t="s">
        <v>364</v>
      </c>
      <c r="F16" s="208" t="b">
        <v>1</v>
      </c>
      <c r="G16" s="212" t="str">
        <f t="shared" si="0"/>
        <v>"C:\Program Files (x86)\AstroGrep\AstroGrep.exe" /e /r /s /spath="%USERPROFILE%\AppData\Local\Temp\OnboardLogs" /stypes="*4011*201703062*" /stext=" 22:.+((SYSTEM_STATE.+slice.+state.+changed )|(ment ac)|(multiple cpu faults)|(system.+state.+changed )|(\[timeout)|(PRM\|1\|D)|(kpr)|(kdp)|(\|lc)|(penalty)|(\|PRM\|1\|D)|(crossing.((167)|(168)|(199)|(200))))"</v>
      </c>
      <c r="H16" s="214" t="str">
        <f t="shared" si="1"/>
        <v>grep -hSE " 22:.+((\|PRM\|1\|D)|(crossing.((167)|(168)|(199)|(200))))" "%USERPROFILE%\AppData\Local\Temp\OnboardLogs"\RTDC4011\*4011*201703062*</v>
      </c>
      <c r="I16" s="210" t="str">
        <f>IF(VLOOKUP(K16,'Train Runs'!$A$13:$V$991,1,TRUE)=K16,VLOOKUP(K16,'Train Runs'!$A$13:$V$991,22,TRUE),NA())</f>
        <v>https://d0f6bd738d7f1b3e5a7ca70fe4ff75f0.us-east-1.aws.found.io/app/kibana#/discover/Steve-Slow-Train-Analysis-(2080s-and-2083s)?_g=(refreshInterval:(display:Off,pause:!f,section:0,value:0),time:(from:'2017-04-12T15:05:54-0600',mode:absolute,to:'2017-04-12T17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J16" s="206">
        <f t="shared" si="2"/>
        <v>42800.949305555558</v>
      </c>
      <c r="K16" s="206" t="str">
        <f>D16&amp;"-"&amp;IF(DAY(Variables!$A$2)&lt;10,0,"")&amp;DAY(Variables!$A$2)</f>
        <v>194-12</v>
      </c>
      <c r="L16" s="202">
        <f>IF(VLOOKUP(K16,'Train Runs'!$A$12:$B$991,1,TRUE)=K16,VLOOKUP(K16,'Train Runs'!$A$12:$B$991,2,TRUE),NA())</f>
        <v>4011</v>
      </c>
      <c r="M16" s="202">
        <f>VLOOKUP(B16,Variables!$T$2:$X$99,2,FALSE)</f>
        <v>167</v>
      </c>
      <c r="N16" s="202">
        <f>VLOOKUP(B16,Variables!$T$2:$X$99,3,FALSE)</f>
        <v>168</v>
      </c>
      <c r="O16" s="202">
        <f>VLOOKUP(B16,Variables!$T$2:$X$99,4,FALSE)</f>
        <v>199</v>
      </c>
      <c r="P16" s="202">
        <f>VLOOKUP(B16,Variables!$T$2:$X$99,5,FALSE)</f>
        <v>200</v>
      </c>
      <c r="Q16" s="201" t="str">
        <f t="shared" si="3"/>
        <v>(\|PRM\|1\|D)|(crossing.((167)|(168)|(199)|(200)))</v>
      </c>
    </row>
    <row r="17" spans="1:17" x14ac:dyDescent="0.25">
      <c r="A17" s="197">
        <v>42800.771527777775</v>
      </c>
      <c r="B17" s="204" t="s">
        <v>355</v>
      </c>
      <c r="C17" s="194" t="s">
        <v>357</v>
      </c>
      <c r="D17" s="208">
        <v>206</v>
      </c>
      <c r="E17" s="30" t="s">
        <v>359</v>
      </c>
      <c r="F17" s="208" t="b">
        <v>1</v>
      </c>
      <c r="G17" s="212" t="str">
        <f t="shared" si="0"/>
        <v>"C:\Program Files (x86)\AstroGrep\AstroGrep.exe" /e /r /s /spath="%USERPROFILE%\AppData\Local\Temp\OnboardLogs" /stypes="*4043*201703070*" /stext=" 00:.+((SYSTEM_STATE.+slice.+state.+changed )|(ment ac)|(multiple cpu faults)|(system.+state.+changed )|(\[timeout)|(PRM\|1\|D)|(kpr)|(kdp)|(\|lc)|(penalty)|(\|PRM\|1\|D)|(crossing.((167)|(168)|(199)|(200))))"</v>
      </c>
      <c r="H17" s="214" t="str">
        <f t="shared" si="1"/>
        <v>grep -hSE " 00:.+((\|PRM\|1\|D)|(crossing.((167)|(168)|(199)|(200))))" "%USERPROFILE%\AppData\Local\Temp\OnboardLogs"\RTDC4043\*4043*201703070*</v>
      </c>
      <c r="I17" s="210" t="str">
        <f>IF(VLOOKUP(K17,'Train Runs'!$A$13:$V$991,1,TRUE)=K17,VLOOKUP(K17,'Train Runs'!$A$13:$V$991,22,TRUE),NA())</f>
        <v>https://d0f6bd738d7f1b3e5a7ca70fe4ff75f0.us-east-1.aws.found.io/app/kibana#/discover/Steve-Slow-Train-Analysis-(2080s-and-2083s)?_g=(refreshInterval:(display:Off,pause:!f,section:0,value:0),time:(from:'2017-04-12T16:27:56-0600',mode:absolute,to:'2017-04-12T19:22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7" s="206">
        <f t="shared" si="2"/>
        <v>42801.021527777775</v>
      </c>
      <c r="K17" s="206" t="str">
        <f>D17&amp;"-"&amp;IF(DAY(Variables!$A$2)&lt;10,0,"")&amp;DAY(Variables!$A$2)</f>
        <v>206-12</v>
      </c>
      <c r="L17" s="202">
        <f>IF(VLOOKUP(K17,'Train Runs'!$A$12:$B$991,1,TRUE)=K17,VLOOKUP(K17,'Train Runs'!$A$12:$B$991,2,TRUE),NA())</f>
        <v>4043</v>
      </c>
      <c r="M17" s="202">
        <f>VLOOKUP(B17,Variables!$T$2:$X$99,2,FALSE)</f>
        <v>167</v>
      </c>
      <c r="N17" s="202">
        <f>VLOOKUP(B17,Variables!$T$2:$X$99,3,FALSE)</f>
        <v>168</v>
      </c>
      <c r="O17" s="202">
        <f>VLOOKUP(B17,Variables!$T$2:$X$99,4,FALSE)</f>
        <v>199</v>
      </c>
      <c r="P17" s="202">
        <f>VLOOKUP(B17,Variables!$T$2:$X$99,5,FALSE)</f>
        <v>200</v>
      </c>
      <c r="Q17" s="201" t="str">
        <f t="shared" si="3"/>
        <v>(\|PRM\|1\|D)|(crossing.((167)|(168)|(199)|(200)))</v>
      </c>
    </row>
    <row r="18" spans="1:17" x14ac:dyDescent="0.25">
      <c r="A18" s="197">
        <v>42800.784722222219</v>
      </c>
      <c r="B18" s="204" t="s">
        <v>355</v>
      </c>
      <c r="C18" s="194" t="s">
        <v>357</v>
      </c>
      <c r="D18" s="208">
        <v>210</v>
      </c>
      <c r="E18" s="30" t="s">
        <v>359</v>
      </c>
      <c r="F18" s="208" t="b">
        <v>1</v>
      </c>
      <c r="G18" s="212" t="str">
        <f t="shared" si="0"/>
        <v>"C:\Program Files (x86)\AstroGrep\AstroGrep.exe" /e /r /s /spath="%USERPROFILE%\AppData\Local\Temp\OnboardLogs" /stypes="*4041*201703070*" /stext=" 00:.+((SYSTEM_STATE.+slice.+state.+changed )|(ment ac)|(multiple cpu faults)|(system.+state.+changed )|(\[timeout)|(PRM\|1\|D)|(kpr)|(kdp)|(\|lc)|(penalty)|(\|PRM\|1\|D)|(crossing.((167)|(168)|(199)|(200))))"</v>
      </c>
      <c r="H18" s="214" t="str">
        <f t="shared" si="1"/>
        <v>grep -hSE " 00:.+((\|PRM\|1\|D)|(crossing.((167)|(168)|(199)|(200))))" "%USERPROFILE%\AppData\Local\Temp\OnboardLogs"\RTDC4041\*4041*201703070*</v>
      </c>
      <c r="I18" s="210" t="str">
        <f>IF(VLOOKUP(K18,'Train Runs'!$A$13:$V$991,1,TRUE)=K18,VLOOKUP(K18,'Train Runs'!$A$13:$V$991,22,TRUE),NA())</f>
        <v>https://d0f6bd738d7f1b3e5a7ca70fe4ff75f0.us-east-1.aws.found.io/app/kibana#/discover/Steve-Slow-Train-Analysis-(2080s-and-2083s)?_g=(refreshInterval:(display:Off,pause:!f,section:0,value:0),time:(from:'2017-04-12T16:57:07-0600',mode:absolute,to:'2017-04-12T19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18" s="206">
        <f t="shared" si="2"/>
        <v>42801.034722222219</v>
      </c>
      <c r="K18" s="206" t="str">
        <f>D18&amp;"-"&amp;IF(DAY(Variables!$A$2)&lt;10,0,"")&amp;DAY(Variables!$A$2)</f>
        <v>210-12</v>
      </c>
      <c r="L18" s="202">
        <f>IF(VLOOKUP(K18,'Train Runs'!$A$12:$B$991,1,TRUE)=K18,VLOOKUP(K18,'Train Runs'!$A$12:$B$991,2,TRUE),NA())</f>
        <v>4041</v>
      </c>
      <c r="M18" s="202">
        <f>VLOOKUP(B18,Variables!$T$2:$X$99,2,FALSE)</f>
        <v>167</v>
      </c>
      <c r="N18" s="202">
        <f>VLOOKUP(B18,Variables!$T$2:$X$99,3,FALSE)</f>
        <v>168</v>
      </c>
      <c r="O18" s="202">
        <f>VLOOKUP(B18,Variables!$T$2:$X$99,4,FALSE)</f>
        <v>199</v>
      </c>
      <c r="P18" s="202">
        <f>VLOOKUP(B18,Variables!$T$2:$X$99,5,FALSE)</f>
        <v>200</v>
      </c>
      <c r="Q18" s="201" t="str">
        <f t="shared" si="3"/>
        <v>(\|PRM\|1\|D)|(crossing.((167)|(168)|(199)|(200)))</v>
      </c>
    </row>
    <row r="19" spans="1:17" x14ac:dyDescent="0.25">
      <c r="A19" s="197">
        <v>42800.790277777778</v>
      </c>
      <c r="B19" s="204" t="s">
        <v>355</v>
      </c>
      <c r="C19" s="194" t="s">
        <v>357</v>
      </c>
      <c r="D19" s="208">
        <f>D18+2</f>
        <v>212</v>
      </c>
      <c r="E19" s="30" t="s">
        <v>359</v>
      </c>
      <c r="F19" s="208" t="b">
        <v>1</v>
      </c>
      <c r="G19" s="212" t="str">
        <f t="shared" si="0"/>
        <v>"C:\Program Files (x86)\AstroGrep\AstroGrep.exe" /e /r /s /spath="%USERPROFILE%\AppData\Local\Temp\OnboardLogs" /stypes="*4019*201703070*" /stext=" 00:.+((SYSTEM_STATE.+slice.+state.+changed )|(ment ac)|(multiple cpu faults)|(system.+state.+changed )|(\[timeout)|(PRM\|1\|D)|(kpr)|(kdp)|(\|lc)|(penalty)|(\|PRM\|1\|D)|(crossing.((167)|(168)|(199)|(200))))"</v>
      </c>
      <c r="H19" s="214" t="str">
        <f t="shared" si="1"/>
        <v>grep -hSE " 00:.+((\|PRM\|1\|D)|(crossing.((167)|(168)|(199)|(200))))" "%USERPROFILE%\AppData\Local\Temp\OnboardLogs"\RTDC4019\*4019*201703070*</v>
      </c>
      <c r="I19" s="210" t="str">
        <f>IF(VLOOKUP(K19,'Train Runs'!$A$13:$V$991,1,TRUE)=K19,VLOOKUP(K19,'Train Runs'!$A$13:$V$991,22,TRUE),NA())</f>
        <v>https://d0f6bd738d7f1b3e5a7ca70fe4ff75f0.us-east-1.aws.found.io/app/kibana#/discover/Steve-Slow-Train-Analysis-(2080s-and-2083s)?_g=(refreshInterval:(display:Off,pause:!f,section:0,value:0),time:(from:'2017-04-12T17:22:57-0600',mode:absolute,to:'2017-04-12T20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9" s="206">
        <f t="shared" si="2"/>
        <v>42801.040277777778</v>
      </c>
      <c r="K19" s="206" t="str">
        <f>D19&amp;"-"&amp;IF(DAY(Variables!$A$2)&lt;10,0,"")&amp;DAY(Variables!$A$2)</f>
        <v>212-12</v>
      </c>
      <c r="L19" s="202">
        <f>IF(VLOOKUP(K19,'Train Runs'!$A$12:$B$991,1,TRUE)=K19,VLOOKUP(K19,'Train Runs'!$A$12:$B$991,2,TRUE),NA())</f>
        <v>4019</v>
      </c>
      <c r="M19" s="202">
        <f>VLOOKUP(B19,Variables!$T$2:$X$99,2,FALSE)</f>
        <v>167</v>
      </c>
      <c r="N19" s="202">
        <f>VLOOKUP(B19,Variables!$T$2:$X$99,3,FALSE)</f>
        <v>168</v>
      </c>
      <c r="O19" s="202">
        <f>VLOOKUP(B19,Variables!$T$2:$X$99,4,FALSE)</f>
        <v>199</v>
      </c>
      <c r="P19" s="202">
        <f>VLOOKUP(B19,Variables!$T$2:$X$99,5,FALSE)</f>
        <v>200</v>
      </c>
      <c r="Q19" s="201" t="str">
        <f t="shared" si="3"/>
        <v>(\|PRM\|1\|D)|(crossing.((167)|(168)|(199)|(200)))</v>
      </c>
    </row>
    <row r="20" spans="1:17" x14ac:dyDescent="0.25">
      <c r="A20" s="197">
        <v>42800.803472222222</v>
      </c>
      <c r="B20" s="204" t="s">
        <v>355</v>
      </c>
      <c r="C20" s="194" t="s">
        <v>357</v>
      </c>
      <c r="D20" s="208">
        <v>214</v>
      </c>
      <c r="E20" s="30" t="s">
        <v>359</v>
      </c>
      <c r="F20" s="208" t="b">
        <v>1</v>
      </c>
      <c r="G20" s="212" t="str">
        <f t="shared" si="0"/>
        <v>"C:\Program Files (x86)\AstroGrep\AstroGrep.exe" /e /r /s /spath="%USERPROFILE%\AppData\Local\Temp\OnboardLogs" /stypes="*4039*201703070*" /stext=" 01:.+((SYSTEM_STATE.+slice.+state.+changed )|(ment ac)|(multiple cpu faults)|(system.+state.+changed )|(\[timeout)|(PRM\|1\|D)|(kpr)|(kdp)|(\|lc)|(penalty)|(\|PRM\|1\|D)|(crossing.((167)|(168)|(199)|(200))))"</v>
      </c>
      <c r="H20" s="214" t="str">
        <f t="shared" si="1"/>
        <v>grep -hSE " 01:.+((\|PRM\|1\|D)|(crossing.((167)|(168)|(199)|(200))))" "%USERPROFILE%\AppData\Local\Temp\OnboardLogs"\RTDC4039\*4039*201703070*</v>
      </c>
      <c r="I20" s="210" t="str">
        <f>IF(VLOOKUP(K20,'Train Runs'!$A$13:$V$991,1,TRUE)=K20,VLOOKUP(K20,'Train Runs'!$A$13:$V$991,22,TRUE),NA())</f>
        <v>https://d0f6bd738d7f1b3e5a7ca70fe4ff75f0.us-east-1.aws.found.io/app/kibana#/discover/Steve-Slow-Train-Analysis-(2080s-and-2083s)?_g=(refreshInterval:(display:Off,pause:!f,section:0,value:0),time:(from:'2017-04-12T17:27:48-0600',mode:absolute,to:'2017-04-12T20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20" s="206">
        <f t="shared" si="2"/>
        <v>42801.053472222222</v>
      </c>
      <c r="K20" s="206" t="str">
        <f>D20&amp;"-"&amp;IF(DAY(Variables!$A$2)&lt;10,0,"")&amp;DAY(Variables!$A$2)</f>
        <v>214-12</v>
      </c>
      <c r="L20" s="202">
        <f>IF(VLOOKUP(K20,'Train Runs'!$A$12:$B$991,1,TRUE)=K20,VLOOKUP(K20,'Train Runs'!$A$12:$B$991,2,TRUE),NA())</f>
        <v>4039</v>
      </c>
      <c r="M20" s="202">
        <f>VLOOKUP(B20,Variables!$T$2:$X$99,2,FALSE)</f>
        <v>167</v>
      </c>
      <c r="N20" s="202">
        <f>VLOOKUP(B20,Variables!$T$2:$X$99,3,FALSE)</f>
        <v>168</v>
      </c>
      <c r="O20" s="202">
        <f>VLOOKUP(B20,Variables!$T$2:$X$99,4,FALSE)</f>
        <v>199</v>
      </c>
      <c r="P20" s="202">
        <f>VLOOKUP(B20,Variables!$T$2:$X$99,5,FALSE)</f>
        <v>200</v>
      </c>
      <c r="Q20" s="201" t="str">
        <f t="shared" si="3"/>
        <v>(\|PRM\|1\|D)|(crossing.((167)|(168)|(199)|(200)))</v>
      </c>
    </row>
    <row r="21" spans="1:17" x14ac:dyDescent="0.25">
      <c r="A21" s="197">
        <v>42800.819444444445</v>
      </c>
      <c r="B21" s="204" t="s">
        <v>355</v>
      </c>
      <c r="C21" s="194" t="s">
        <v>357</v>
      </c>
      <c r="D21" s="208">
        <v>216</v>
      </c>
      <c r="E21" s="30" t="s">
        <v>359</v>
      </c>
      <c r="F21" s="208" t="b">
        <v>1</v>
      </c>
      <c r="G21" s="212" t="str">
        <f t="shared" si="0"/>
        <v>"C:\Program Files (x86)\AstroGrep\AstroGrep.exe" /e /r /s /spath="%USERPROFILE%\AppData\Local\Temp\OnboardLogs" /stypes="*4031*201703070*" /stext=" 01:.+((SYSTEM_STATE.+slice.+state.+changed )|(ment ac)|(multiple cpu faults)|(system.+state.+changed )|(\[timeout)|(PRM\|1\|D)|(kpr)|(kdp)|(\|lc)|(penalty)|(\|PRM\|1\|D)|(crossing.((167)|(168)|(199)|(200))))"</v>
      </c>
      <c r="H21" s="214" t="str">
        <f t="shared" si="1"/>
        <v>grep -hSE " 01:.+((\|PRM\|1\|D)|(crossing.((167)|(168)|(199)|(200))))" "%USERPROFILE%\AppData\Local\Temp\OnboardLogs"\RTDC4031\*4031*201703070*</v>
      </c>
      <c r="I21" s="210" t="str">
        <f>IF(VLOOKUP(K21,'Train Runs'!$A$13:$V$991,1,TRUE)=K21,VLOOKUP(K21,'Train Runs'!$A$13:$V$991,22,TRUE),NA())</f>
        <v>https://d0f6bd738d7f1b3e5a7ca70fe4ff75f0.us-east-1.aws.found.io/app/kibana#/discover/Steve-Slow-Train-Analysis-(2080s-and-2083s)?_g=(refreshInterval:(display:Off,pause:!f,section:0,value:0),time:(from:'2017-04-12T17:42:33-0600',mode:absolute,to:'2017-04-12T20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21" s="206">
        <f t="shared" si="2"/>
        <v>42801.069444444445</v>
      </c>
      <c r="K21" s="206" t="str">
        <f>D21&amp;"-"&amp;IF(DAY(Variables!$A$2)&lt;10,0,"")&amp;DAY(Variables!$A$2)</f>
        <v>216-12</v>
      </c>
      <c r="L21" s="202">
        <f>IF(VLOOKUP(K21,'Train Runs'!$A$12:$B$991,1,TRUE)=K21,VLOOKUP(K21,'Train Runs'!$A$12:$B$991,2,TRUE),NA())</f>
        <v>4031</v>
      </c>
      <c r="M21" s="202">
        <f>VLOOKUP(B21,Variables!$T$2:$X$99,2,FALSE)</f>
        <v>167</v>
      </c>
      <c r="N21" s="202">
        <f>VLOOKUP(B21,Variables!$T$2:$X$99,3,FALSE)</f>
        <v>168</v>
      </c>
      <c r="O21" s="202">
        <f>VLOOKUP(B21,Variables!$T$2:$X$99,4,FALSE)</f>
        <v>199</v>
      </c>
      <c r="P21" s="202">
        <f>VLOOKUP(B21,Variables!$T$2:$X$99,5,FALSE)</f>
        <v>200</v>
      </c>
      <c r="Q21" s="201" t="str">
        <f t="shared" si="3"/>
        <v>(\|PRM\|1\|D)|(crossing.((167)|(168)|(199)|(200)))</v>
      </c>
    </row>
    <row r="22" spans="1:17" x14ac:dyDescent="0.25">
      <c r="A22" s="197">
        <v>42800.828472222223</v>
      </c>
      <c r="B22" s="204" t="s">
        <v>355</v>
      </c>
      <c r="C22" s="194" t="s">
        <v>357</v>
      </c>
      <c r="D22" s="208">
        <f>D21+2</f>
        <v>218</v>
      </c>
      <c r="E22" s="30" t="s">
        <v>359</v>
      </c>
      <c r="F22" s="208" t="b">
        <v>1</v>
      </c>
      <c r="G22" s="212" t="str">
        <f t="shared" si="0"/>
        <v>"C:\Program Files (x86)\AstroGrep\AstroGrep.exe" /e /r /s /spath="%USERPROFILE%\AppData\Local\Temp\OnboardLogs" /stypes="*4053*201703070*" /stext=" 01:.+((SYSTEM_STATE.+slice.+state.+changed )|(ment ac)|(multiple cpu faults)|(system.+state.+changed )|(\[timeout)|(PRM\|1\|D)|(kpr)|(kdp)|(\|lc)|(penalty)|(\|PRM\|1\|D)|(crossing.((167)|(168)|(199)|(200))))"</v>
      </c>
      <c r="H22" s="214" t="str">
        <f t="shared" si="1"/>
        <v>grep -hSE " 01:.+((\|PRM\|1\|D)|(crossing.((167)|(168)|(199)|(200))))" "%USERPROFILE%\AppData\Local\Temp\OnboardLogs"\RTDC4053\*4053*201703070*</v>
      </c>
      <c r="I22" s="210" t="str">
        <f>IF(VLOOKUP(K22,'Train Runs'!$A$13:$V$991,1,TRUE)=K22,VLOOKUP(K22,'Train Runs'!$A$13:$V$991,22,TRUE),NA())</f>
        <v>https://d0f6bd738d7f1b3e5a7ca70fe4ff75f0.us-east-1.aws.found.io/app/kibana#/discover/Steve-Slow-Train-Analysis-(2080s-and-2083s)?_g=(refreshInterval:(display:Off,pause:!f,section:0,value:0),time:(from:'2017-04-12T17:57:07-0600',mode:absolute,to:'2017-04-12T20:48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22" s="206">
        <f t="shared" si="2"/>
        <v>42801.078472222223</v>
      </c>
      <c r="K22" s="206" t="str">
        <f>D22&amp;"-"&amp;IF(DAY(Variables!$A$2)&lt;10,0,"")&amp;DAY(Variables!$A$2)</f>
        <v>218-12</v>
      </c>
      <c r="L22" s="202">
        <f>IF(VLOOKUP(K22,'Train Runs'!$A$12:$B$991,1,TRUE)=K22,VLOOKUP(K22,'Train Runs'!$A$12:$B$991,2,TRUE),NA())</f>
        <v>4053</v>
      </c>
      <c r="M22" s="202">
        <f>VLOOKUP(B22,Variables!$T$2:$X$99,2,FALSE)</f>
        <v>167</v>
      </c>
      <c r="N22" s="202">
        <f>VLOOKUP(B22,Variables!$T$2:$X$99,3,FALSE)</f>
        <v>168</v>
      </c>
      <c r="O22" s="202">
        <f>VLOOKUP(B22,Variables!$T$2:$X$99,4,FALSE)</f>
        <v>199</v>
      </c>
      <c r="P22" s="202">
        <f>VLOOKUP(B22,Variables!$T$2:$X$99,5,FALSE)</f>
        <v>200</v>
      </c>
      <c r="Q22" s="201" t="str">
        <f t="shared" si="3"/>
        <v>(\|PRM\|1\|D)|(crossing.((167)|(168)|(199)|(200)))</v>
      </c>
    </row>
    <row r="23" spans="1:17" x14ac:dyDescent="0.25">
      <c r="A23" s="197">
        <v>42800.835416666669</v>
      </c>
      <c r="B23" s="204" t="s">
        <v>355</v>
      </c>
      <c r="C23" s="194" t="s">
        <v>357</v>
      </c>
      <c r="D23" s="208">
        <f>D22+2</f>
        <v>220</v>
      </c>
      <c r="E23" s="30" t="s">
        <v>359</v>
      </c>
      <c r="F23" s="208" t="b">
        <v>1</v>
      </c>
      <c r="G23" s="212" t="str">
        <f t="shared" si="0"/>
        <v>"C:\Program Files (x86)\AstroGrep\AstroGrep.exe" /e /r /s /spath="%USERPROFILE%\AppData\Local\Temp\OnboardLogs" /stypes="*4043*201703070*" /stext=" 02:.+((SYSTEM_STATE.+slice.+state.+changed )|(ment ac)|(multiple cpu faults)|(system.+state.+changed )|(\[timeout)|(PRM\|1\|D)|(kpr)|(kdp)|(\|lc)|(penalty)|(\|PRM\|1\|D)|(crossing.((167)|(168)|(199)|(200))))"</v>
      </c>
      <c r="H23" s="214" t="str">
        <f t="shared" si="1"/>
        <v>grep -hSE " 02:.+((\|PRM\|1\|D)|(crossing.((167)|(168)|(199)|(200))))" "%USERPROFILE%\AppData\Local\Temp\OnboardLogs"\RTDC4043\*4043*201703070*</v>
      </c>
      <c r="I23" s="210" t="str">
        <f>IF(VLOOKUP(K23,'Train Runs'!$A$13:$V$991,1,TRUE)=K23,VLOOKUP(K23,'Train Runs'!$A$13:$V$991,22,TRUE),NA())</f>
        <v>https://d0f6bd738d7f1b3e5a7ca70fe4ff75f0.us-east-1.aws.found.io/app/kibana#/discover/Steve-Slow-Train-Analysis-(2080s-and-2083s)?_g=(refreshInterval:(display:Off,pause:!f,section:0,value:0),time:(from:'2017-04-12T18:22:09-0600',mode:absolute,to:'2017-04-12T21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23" s="206">
        <f t="shared" si="2"/>
        <v>42801.085416666669</v>
      </c>
      <c r="K23" s="206" t="str">
        <f>D23&amp;"-"&amp;IF(DAY(Variables!$A$2)&lt;10,0,"")&amp;DAY(Variables!$A$2)</f>
        <v>220-12</v>
      </c>
      <c r="L23" s="202">
        <f>IF(VLOOKUP(K23,'Train Runs'!$A$12:$B$991,1,TRUE)=K23,VLOOKUP(K23,'Train Runs'!$A$12:$B$991,2,TRUE),NA())</f>
        <v>4043</v>
      </c>
      <c r="M23" s="202">
        <f>VLOOKUP(B23,Variables!$T$2:$X$99,2,FALSE)</f>
        <v>167</v>
      </c>
      <c r="N23" s="202">
        <f>VLOOKUP(B23,Variables!$T$2:$X$99,3,FALSE)</f>
        <v>168</v>
      </c>
      <c r="O23" s="202">
        <f>VLOOKUP(B23,Variables!$T$2:$X$99,4,FALSE)</f>
        <v>199</v>
      </c>
      <c r="P23" s="202">
        <f>VLOOKUP(B23,Variables!$T$2:$X$99,5,FALSE)</f>
        <v>200</v>
      </c>
      <c r="Q23" s="201" t="str">
        <f t="shared" si="3"/>
        <v>(\|PRM\|1\|D)|(crossing.((167)|(168)|(199)|(200)))</v>
      </c>
    </row>
    <row r="24" spans="1:17" x14ac:dyDescent="0.25">
      <c r="A24" s="197">
        <v>42800.854166666664</v>
      </c>
      <c r="B24" s="204" t="s">
        <v>355</v>
      </c>
      <c r="C24" s="194" t="s">
        <v>357</v>
      </c>
      <c r="D24" s="208">
        <f>D23+2</f>
        <v>222</v>
      </c>
      <c r="E24" s="30" t="s">
        <v>359</v>
      </c>
      <c r="F24" s="208" t="b">
        <v>1</v>
      </c>
      <c r="G24" s="212" t="str">
        <f t="shared" si="0"/>
        <v>"C:\Program Files (x86)\AstroGrep\AstroGrep.exe" /e /r /s /spath="%USERPROFILE%\AppData\Local\Temp\OnboardLogs" /stypes="*4041*201703070*" /stext=" 02:.+((SYSTEM_STATE.+slice.+state.+changed )|(ment ac)|(multiple cpu faults)|(system.+state.+changed )|(\[timeout)|(PRM\|1\|D)|(kpr)|(kdp)|(\|lc)|(penalty)|(\|PRM\|1\|D)|(crossing.((167)|(168)|(199)|(200))))"</v>
      </c>
      <c r="H24" s="214" t="str">
        <f t="shared" si="1"/>
        <v>grep -hSE " 02:.+((\|PRM\|1\|D)|(crossing.((167)|(168)|(199)|(200))))" "%USERPROFILE%\AppData\Local\Temp\OnboardLogs"\RTDC4041\*4041*201703070*</v>
      </c>
      <c r="I24" s="210" t="str">
        <f>IF(VLOOKUP(K24,'Train Runs'!$A$13:$V$991,1,TRUE)=K24,VLOOKUP(K24,'Train Runs'!$A$13:$V$991,22,TRUE),NA())</f>
        <v>https://d0f6bd738d7f1b3e5a7ca70fe4ff75f0.us-east-1.aws.found.io/app/kibana#/discover/Steve-Slow-Train-Analysis-(2080s-and-2083s)?_g=(refreshInterval:(display:Off,pause:!f,section:0,value:0),time:(from:'2017-04-12T18:40:01-0600',mode:absolute,to:'2017-04-12T21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24" s="206">
        <f t="shared" si="2"/>
        <v>42801.104166666664</v>
      </c>
      <c r="K24" s="206" t="str">
        <f>D24&amp;"-"&amp;IF(DAY(Variables!$A$2)&lt;10,0,"")&amp;DAY(Variables!$A$2)</f>
        <v>222-12</v>
      </c>
      <c r="L24" s="202">
        <f>IF(VLOOKUP(K24,'Train Runs'!$A$12:$B$991,1,TRUE)=K24,VLOOKUP(K24,'Train Runs'!$A$12:$B$991,2,TRUE),NA())</f>
        <v>4041</v>
      </c>
      <c r="M24" s="202">
        <f>VLOOKUP(B24,Variables!$T$2:$X$99,2,FALSE)</f>
        <v>167</v>
      </c>
      <c r="N24" s="202">
        <f>VLOOKUP(B24,Variables!$T$2:$X$99,3,FALSE)</f>
        <v>168</v>
      </c>
      <c r="O24" s="202">
        <f>VLOOKUP(B24,Variables!$T$2:$X$99,4,FALSE)</f>
        <v>199</v>
      </c>
      <c r="P24" s="202">
        <f>VLOOKUP(B24,Variables!$T$2:$X$99,5,FALSE)</f>
        <v>200</v>
      </c>
      <c r="Q24" s="201" t="str">
        <f t="shared" si="3"/>
        <v>(\|PRM\|1\|D)|(crossing.((167)|(168)|(199)|(200)))</v>
      </c>
    </row>
    <row r="25" spans="1:17" x14ac:dyDescent="0.25">
      <c r="A25" s="197">
        <v>42800.872916666667</v>
      </c>
      <c r="B25" s="204" t="s">
        <v>355</v>
      </c>
      <c r="C25" s="194" t="s">
        <v>357</v>
      </c>
      <c r="D25" s="208">
        <f>D24+2</f>
        <v>224</v>
      </c>
      <c r="E25" s="30" t="s">
        <v>359</v>
      </c>
      <c r="F25" s="208" t="b">
        <v>1</v>
      </c>
      <c r="G25" s="212" t="str">
        <f t="shared" si="0"/>
        <v>"C:\Program Files (x86)\AstroGrep\AstroGrep.exe" /e /r /s /spath="%USERPROFILE%\AppData\Local\Temp\OnboardLogs" /stypes="*4039*201703070*" /stext=" 02:.+((SYSTEM_STATE.+slice.+state.+changed )|(ment ac)|(multiple cpu faults)|(system.+state.+changed )|(\[timeout)|(PRM\|1\|D)|(kpr)|(kdp)|(\|lc)|(penalty)|(\|PRM\|1\|D)|(crossing.((167)|(168)|(199)|(200))))"</v>
      </c>
      <c r="H25" s="214" t="str">
        <f t="shared" si="1"/>
        <v>grep -hSE " 02:.+((\|PRM\|1\|D)|(crossing.((167)|(168)|(199)|(200))))" "%USERPROFILE%\AppData\Local\Temp\OnboardLogs"\RTDC4039\*4039*201703070*</v>
      </c>
      <c r="I25" s="210" t="str">
        <f>IF(VLOOKUP(K25,'Train Runs'!$A$13:$V$991,1,TRUE)=K25,VLOOKUP(K25,'Train Runs'!$A$13:$V$991,22,TRUE),NA())</f>
        <v>https://d0f6bd738d7f1b3e5a7ca70fe4ff75f0.us-east-1.aws.found.io/app/kibana#/discover/Steve-Slow-Train-Analysis-(2080s-and-2083s)?_g=(refreshInterval:(display:Off,pause:!f,section:0,value:0),time:(from:'2017-04-12T19:11:29-0600',mode:absolute,to:'2017-04-12T22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25" s="206">
        <f t="shared" si="2"/>
        <v>42801.122916666667</v>
      </c>
      <c r="K25" s="206" t="str">
        <f>D25&amp;"-"&amp;IF(DAY(Variables!$A$2)&lt;10,0,"")&amp;DAY(Variables!$A$2)</f>
        <v>224-12</v>
      </c>
      <c r="L25" s="202">
        <f>IF(VLOOKUP(K25,'Train Runs'!$A$12:$B$991,1,TRUE)=K25,VLOOKUP(K25,'Train Runs'!$A$12:$B$991,2,TRUE),NA())</f>
        <v>4039</v>
      </c>
      <c r="M25" s="202">
        <f>VLOOKUP(B25,Variables!$T$2:$X$99,2,FALSE)</f>
        <v>167</v>
      </c>
      <c r="N25" s="202">
        <f>VLOOKUP(B25,Variables!$T$2:$X$99,3,FALSE)</f>
        <v>168</v>
      </c>
      <c r="O25" s="202">
        <f>VLOOKUP(B25,Variables!$T$2:$X$99,4,FALSE)</f>
        <v>199</v>
      </c>
      <c r="P25" s="202">
        <f>VLOOKUP(B25,Variables!$T$2:$X$99,5,FALSE)</f>
        <v>200</v>
      </c>
      <c r="Q25" s="201" t="str">
        <f t="shared" si="3"/>
        <v>(\|PRM\|1\|D)|(crossing.((167)|(168)|(199)|(200)))</v>
      </c>
    </row>
    <row r="26" spans="1:17" x14ac:dyDescent="0.25">
      <c r="A26" s="197">
        <v>42800.895138888889</v>
      </c>
      <c r="B26" s="204" t="s">
        <v>355</v>
      </c>
      <c r="C26" s="194" t="s">
        <v>357</v>
      </c>
      <c r="D26" s="208">
        <f>D25+2</f>
        <v>226</v>
      </c>
      <c r="E26" s="30" t="s">
        <v>359</v>
      </c>
      <c r="F26" s="208" t="b">
        <v>1</v>
      </c>
      <c r="G26" s="212" t="str">
        <f t="shared" si="0"/>
        <v>"C:\Program Files (x86)\AstroGrep\AstroGrep.exe" /e /r /s /spath="%USERPROFILE%\AppData\Local\Temp\OnboardLogs" /stypes="*4053*201703070*" /stext=" 03:.+((SYSTEM_STATE.+slice.+state.+changed )|(ment ac)|(multiple cpu faults)|(system.+state.+changed )|(\[timeout)|(PRM\|1\|D)|(kpr)|(kdp)|(\|lc)|(penalty)|(\|PRM\|1\|D)|(crossing.((167)|(168)|(199)|(200))))"</v>
      </c>
      <c r="H26" s="214" t="str">
        <f t="shared" si="1"/>
        <v>grep -hSE " 03:.+((\|PRM\|1\|D)|(crossing.((167)|(168)|(199)|(200))))" "%USERPROFILE%\AppData\Local\Temp\OnboardLogs"\RTDC4053\*4053*201703070*</v>
      </c>
      <c r="I26" s="210" t="str">
        <f>IF(VLOOKUP(K26,'Train Runs'!$A$13:$V$991,1,TRUE)=K26,VLOOKUP(K26,'Train Runs'!$A$13:$V$991,22,TRUE),NA())</f>
        <v>https://d0f6bd738d7f1b3e5a7ca70fe4ff75f0.us-east-1.aws.found.io/app/kibana#/discover/Steve-Slow-Train-Analysis-(2080s-and-2083s)?_g=(refreshInterval:(display:Off,pause:!f,section:0,value:0),time:(from:'2017-04-12T19:49:29-0600',mode:absolute,to:'2017-04-12T22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26" s="206">
        <f t="shared" si="2"/>
        <v>42801.145138888889</v>
      </c>
      <c r="K26" s="206" t="str">
        <f>D26&amp;"-"&amp;IF(DAY(Variables!$A$2)&lt;10,0,"")&amp;DAY(Variables!$A$2)</f>
        <v>226-12</v>
      </c>
      <c r="L26" s="202">
        <f>IF(VLOOKUP(K26,'Train Runs'!$A$12:$B$991,1,TRUE)=K26,VLOOKUP(K26,'Train Runs'!$A$12:$B$991,2,TRUE),NA())</f>
        <v>4053</v>
      </c>
      <c r="M26" s="202">
        <f>VLOOKUP(B26,Variables!$T$2:$X$99,2,FALSE)</f>
        <v>167</v>
      </c>
      <c r="N26" s="202">
        <f>VLOOKUP(B26,Variables!$T$2:$X$99,3,FALSE)</f>
        <v>168</v>
      </c>
      <c r="O26" s="202">
        <f>VLOOKUP(B26,Variables!$T$2:$X$99,4,FALSE)</f>
        <v>199</v>
      </c>
      <c r="P26" s="202">
        <f>VLOOKUP(B26,Variables!$T$2:$X$99,5,FALSE)</f>
        <v>200</v>
      </c>
      <c r="Q26" s="201" t="str">
        <f t="shared" si="3"/>
        <v>(\|PRM\|1\|D)|(crossing.((167)|(168)|(199)|(200)))</v>
      </c>
    </row>
    <row r="27" spans="1:17" x14ac:dyDescent="0.25">
      <c r="A27" s="197">
        <v>42800.916666666664</v>
      </c>
      <c r="B27" s="204" t="s">
        <v>355</v>
      </c>
      <c r="C27" s="194" t="s">
        <v>357</v>
      </c>
      <c r="D27" s="208">
        <f t="shared" ref="D27:D33" si="5">D26+2</f>
        <v>228</v>
      </c>
      <c r="E27" s="30" t="s">
        <v>359</v>
      </c>
      <c r="F27" s="208" t="b">
        <v>1</v>
      </c>
      <c r="G27" s="212" t="str">
        <f t="shared" si="0"/>
        <v>"C:\Program Files (x86)\AstroGrep\AstroGrep.exe" /e /r /s /spath="%USERPROFILE%\AppData\Local\Temp\OnboardLogs" /stypes="*4043*201703070*" /stext=" 04:.+((SYSTEM_STATE.+slice.+state.+changed )|(ment ac)|(multiple cpu faults)|(system.+state.+changed )|(\[timeout)|(PRM\|1\|D)|(kpr)|(kdp)|(\|lc)|(penalty)|(\|PRM\|1\|D)|(crossing.((167)|(168)|(199)|(200))))"</v>
      </c>
      <c r="H27" s="214" t="str">
        <f t="shared" si="1"/>
        <v>grep -hSE " 04:.+((\|PRM\|1\|D)|(crossing.((167)|(168)|(199)|(200))))" "%USERPROFILE%\AppData\Local\Temp\OnboardLogs"\RTDC4043\*4043*201703070*</v>
      </c>
      <c r="I27" s="210" t="str">
        <f>IF(VLOOKUP(K27,'Train Runs'!$A$13:$V$991,1,TRUE)=K27,VLOOKUP(K27,'Train Runs'!$A$13:$V$991,22,TRUE),NA())</f>
        <v>https://d0f6bd738d7f1b3e5a7ca70fe4ff75f0.us-east-1.aws.found.io/app/kibana#/discover/Steve-Slow-Train-Analysis-(2080s-and-2083s)?_g=(refreshInterval:(display:Off,pause:!f,section:0,value:0),time:(from:'2017-04-12T20:22:11-0600',mode:absolute,to:'2017-04-12T23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27" s="206">
        <f t="shared" si="2"/>
        <v>42801.166666666664</v>
      </c>
      <c r="K27" s="206" t="str">
        <f>D27&amp;"-"&amp;IF(DAY(Variables!$A$2)&lt;10,0,"")&amp;DAY(Variables!$A$2)</f>
        <v>228-12</v>
      </c>
      <c r="L27" s="202">
        <f>IF(VLOOKUP(K27,'Train Runs'!$A$12:$B$991,1,TRUE)=K27,VLOOKUP(K27,'Train Runs'!$A$12:$B$991,2,TRUE),NA())</f>
        <v>4043</v>
      </c>
      <c r="M27" s="202">
        <f>VLOOKUP(B27,Variables!$T$2:$X$99,2,FALSE)</f>
        <v>167</v>
      </c>
      <c r="N27" s="202">
        <f>VLOOKUP(B27,Variables!$T$2:$X$99,3,FALSE)</f>
        <v>168</v>
      </c>
      <c r="O27" s="202">
        <f>VLOOKUP(B27,Variables!$T$2:$X$99,4,FALSE)</f>
        <v>199</v>
      </c>
      <c r="P27" s="202">
        <f>VLOOKUP(B27,Variables!$T$2:$X$99,5,FALSE)</f>
        <v>200</v>
      </c>
      <c r="Q27" s="201" t="str">
        <f t="shared" si="3"/>
        <v>(\|PRM\|1\|D)|(crossing.((167)|(168)|(199)|(200)))</v>
      </c>
    </row>
    <row r="28" spans="1:17" x14ac:dyDescent="0.25">
      <c r="A28" s="197">
        <v>42800.939583333333</v>
      </c>
      <c r="B28" s="204" t="s">
        <v>355</v>
      </c>
      <c r="C28" s="194" t="s">
        <v>357</v>
      </c>
      <c r="D28" s="208">
        <f t="shared" si="5"/>
        <v>230</v>
      </c>
      <c r="E28" s="30" t="s">
        <v>359</v>
      </c>
      <c r="F28" s="208" t="b">
        <v>1</v>
      </c>
      <c r="G28" s="212" t="str">
        <f t="shared" si="0"/>
        <v>"C:\Program Files (x86)\AstroGrep\AstroGrep.exe" /e /r /s /spath="%USERPROFILE%\AppData\Local\Temp\OnboardLogs" /stypes="*4041*201703070*" /stext=" 04:.+((SYSTEM_STATE.+slice.+state.+changed )|(ment ac)|(multiple cpu faults)|(system.+state.+changed )|(\[timeout)|(PRM\|1\|D)|(kpr)|(kdp)|(\|lc)|(penalty)|(\|PRM\|1\|D)|(crossing.((167)|(168)|(199)|(200))))"</v>
      </c>
      <c r="H28" s="214" t="str">
        <f t="shared" si="1"/>
        <v>grep -hSE " 04:.+((\|PRM\|1\|D)|(crossing.((167)|(168)|(199)|(200))))" "%USERPROFILE%\AppData\Local\Temp\OnboardLogs"\RTDC4041\*4041*201703070*</v>
      </c>
      <c r="I28" s="210" t="str">
        <f>IF(VLOOKUP(K28,'Train Runs'!$A$13:$V$991,1,TRUE)=K28,VLOOKUP(K28,'Train Runs'!$A$13:$V$991,22,TRUE),NA())</f>
        <v>https://d0f6bd738d7f1b3e5a7ca70fe4ff75f0.us-east-1.aws.found.io/app/kibana#/discover/Steve-Slow-Train-Analysis-(2080s-and-2083s)?_g=(refreshInterval:(display:Off,pause:!f,section:0,value:0),time:(from:'2017-04-12T20:44:42-0600',mode:absolute,to:'2017-04-12T23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28" s="206">
        <f t="shared" si="2"/>
        <v>42801.189583333333</v>
      </c>
      <c r="K28" s="206" t="str">
        <f>D28&amp;"-"&amp;IF(DAY(Variables!$A$2)&lt;10,0,"")&amp;DAY(Variables!$A$2)</f>
        <v>230-12</v>
      </c>
      <c r="L28" s="202">
        <f>IF(VLOOKUP(K28,'Train Runs'!$A$12:$B$991,1,TRUE)=K28,VLOOKUP(K28,'Train Runs'!$A$12:$B$991,2,TRUE),NA())</f>
        <v>4041</v>
      </c>
      <c r="M28" s="202">
        <f>VLOOKUP(B28,Variables!$T$2:$X$99,2,FALSE)</f>
        <v>167</v>
      </c>
      <c r="N28" s="202">
        <f>VLOOKUP(B28,Variables!$T$2:$X$99,3,FALSE)</f>
        <v>168</v>
      </c>
      <c r="O28" s="202">
        <f>VLOOKUP(B28,Variables!$T$2:$X$99,4,FALSE)</f>
        <v>199</v>
      </c>
      <c r="P28" s="202">
        <f>VLOOKUP(B28,Variables!$T$2:$X$99,5,FALSE)</f>
        <v>200</v>
      </c>
      <c r="Q28" s="201" t="str">
        <f t="shared" si="3"/>
        <v>(\|PRM\|1\|D)|(crossing.((167)|(168)|(199)|(200)))</v>
      </c>
    </row>
    <row r="29" spans="1:17" x14ac:dyDescent="0.25">
      <c r="A29" s="197">
        <v>42800.957638888889</v>
      </c>
      <c r="B29" s="204" t="s">
        <v>355</v>
      </c>
      <c r="C29" s="194" t="s">
        <v>357</v>
      </c>
      <c r="D29" s="208">
        <f t="shared" si="5"/>
        <v>232</v>
      </c>
      <c r="E29" s="30" t="s">
        <v>359</v>
      </c>
      <c r="F29" s="208" t="b">
        <v>1</v>
      </c>
      <c r="G29" s="212" t="str">
        <f t="shared" si="0"/>
        <v>"C:\Program Files (x86)\AstroGrep\AstroGrep.exe" /e /r /s /spath="%USERPROFILE%\AppData\Local\Temp\OnboardLogs" /stypes="*4039*201703070*" /stext=" 04:.+((SYSTEM_STATE.+slice.+state.+changed )|(ment ac)|(multiple cpu faults)|(system.+state.+changed )|(\[timeout)|(PRM\|1\|D)|(kpr)|(kdp)|(\|lc)|(penalty)|(\|PRM\|1\|D)|(crossing.((167)|(168)|(199)|(200))))"</v>
      </c>
      <c r="H29" s="214" t="str">
        <f t="shared" si="1"/>
        <v>grep -hSE " 04:.+((\|PRM\|1\|D)|(crossing.((167)|(168)|(199)|(200))))" "%USERPROFILE%\AppData\Local\Temp\OnboardLogs"\RTDC4039\*4039*201703070*</v>
      </c>
      <c r="I29" s="210" t="str">
        <f>IF(VLOOKUP(K29,'Train Runs'!$A$13:$V$991,1,TRUE)=K29,VLOOKUP(K29,'Train Runs'!$A$13:$V$991,22,TRUE),NA())</f>
        <v>https://d0f6bd738d7f1b3e5a7ca70fe4ff75f0.us-east-1.aws.found.io/app/kibana#/discover/Steve-Slow-Train-Analysis-(2080s-and-2083s)?_g=(refreshInterval:(display:Off,pause:!f,section:0,value:0),time:(from:'2017-04-12T21:09:27-0600',mode:absolute,to:'2017-04-13T00:11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29" s="206">
        <f t="shared" si="2"/>
        <v>42801.207638888889</v>
      </c>
      <c r="K29" s="206" t="str">
        <f>D29&amp;"-"&amp;IF(DAY(Variables!$A$2)&lt;10,0,"")&amp;DAY(Variables!$A$2)</f>
        <v>232-12</v>
      </c>
      <c r="L29" s="202">
        <f>IF(VLOOKUP(K29,'Train Runs'!$A$12:$B$991,1,TRUE)=K29,VLOOKUP(K29,'Train Runs'!$A$12:$B$991,2,TRUE),NA())</f>
        <v>4039</v>
      </c>
      <c r="M29" s="202">
        <f>VLOOKUP(B29,Variables!$T$2:$X$99,2,FALSE)</f>
        <v>167</v>
      </c>
      <c r="N29" s="202">
        <f>VLOOKUP(B29,Variables!$T$2:$X$99,3,FALSE)</f>
        <v>168</v>
      </c>
      <c r="O29" s="202">
        <f>VLOOKUP(B29,Variables!$T$2:$X$99,4,FALSE)</f>
        <v>199</v>
      </c>
      <c r="P29" s="202">
        <f>VLOOKUP(B29,Variables!$T$2:$X$99,5,FALSE)</f>
        <v>200</v>
      </c>
      <c r="Q29" s="201" t="str">
        <f t="shared" si="3"/>
        <v>(\|PRM\|1\|D)|(crossing.((167)|(168)|(199)|(200)))</v>
      </c>
    </row>
    <row r="30" spans="1:17" x14ac:dyDescent="0.25">
      <c r="A30" s="197">
        <v>42800.96875</v>
      </c>
      <c r="B30" s="204" t="s">
        <v>355</v>
      </c>
      <c r="C30" s="194" t="s">
        <v>357</v>
      </c>
      <c r="D30" s="208">
        <f t="shared" si="5"/>
        <v>234</v>
      </c>
      <c r="E30" s="30" t="s">
        <v>359</v>
      </c>
      <c r="F30" s="208" t="b">
        <v>1</v>
      </c>
      <c r="G30" s="212" t="str">
        <f t="shared" si="0"/>
        <v>"C:\Program Files (x86)\AstroGrep\AstroGrep.exe" /e /r /s /spath="%USERPROFILE%\AppData\Local\Temp\OnboardLogs" /stypes="*4053*201703070*" /stext=" 05:.+((SYSTEM_STATE.+slice.+state.+changed )|(ment ac)|(multiple cpu faults)|(system.+state.+changed )|(\[timeout)|(PRM\|1\|D)|(kpr)|(kdp)|(\|lc)|(penalty)|(\|PRM\|1\|D)|(crossing.((167)|(168)|(199)|(200))))"</v>
      </c>
      <c r="H30" s="214" t="str">
        <f t="shared" si="1"/>
        <v>grep -hSE " 05:.+((\|PRM\|1\|D)|(crossing.((167)|(168)|(199)|(200))))" "%USERPROFILE%\AppData\Local\Temp\OnboardLogs"\RTDC4053\*4053*201703070*</v>
      </c>
      <c r="I30" s="210" t="str">
        <f>IF(VLOOKUP(K30,'Train Runs'!$A$13:$V$991,1,TRUE)=K30,VLOOKUP(K30,'Train Runs'!$A$13:$V$991,22,TRUE),NA())</f>
        <v>https://d0f6bd738d7f1b3e5a7ca70fe4ff75f0.us-east-1.aws.found.io/app/kibana#/discover/Steve-Slow-Train-Analysis-(2080s-and-2083s)?_g=(refreshInterval:(display:Off,pause:!f,section:0,value:0),time:(from:'2017-04-12T21:47:57-0600',mode:absolute,to:'2017-04-13T00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30" s="206">
        <f t="shared" si="2"/>
        <v>42801.21875</v>
      </c>
      <c r="K30" s="206" t="str">
        <f>D30&amp;"-"&amp;IF(DAY(Variables!$A$2)&lt;10,0,"")&amp;DAY(Variables!$A$2)</f>
        <v>234-12</v>
      </c>
      <c r="L30" s="202">
        <f>IF(VLOOKUP(K30,'Train Runs'!$A$12:$B$991,1,TRUE)=K30,VLOOKUP(K30,'Train Runs'!$A$12:$B$991,2,TRUE),NA())</f>
        <v>4053</v>
      </c>
      <c r="M30" s="202">
        <f>VLOOKUP(B30,Variables!$T$2:$X$99,2,FALSE)</f>
        <v>167</v>
      </c>
      <c r="N30" s="202">
        <f>VLOOKUP(B30,Variables!$T$2:$X$99,3,FALSE)</f>
        <v>168</v>
      </c>
      <c r="O30" s="202">
        <f>VLOOKUP(B30,Variables!$T$2:$X$99,4,FALSE)</f>
        <v>199</v>
      </c>
      <c r="P30" s="202">
        <f>VLOOKUP(B30,Variables!$T$2:$X$99,5,FALSE)</f>
        <v>200</v>
      </c>
      <c r="Q30" s="201" t="str">
        <f t="shared" si="3"/>
        <v>(\|PRM\|1\|D)|(crossing.((167)|(168)|(199)|(200)))</v>
      </c>
    </row>
    <row r="31" spans="1:17" x14ac:dyDescent="0.25">
      <c r="A31" s="197">
        <v>42800.979861111111</v>
      </c>
      <c r="B31" s="204" t="s">
        <v>355</v>
      </c>
      <c r="C31" s="194" t="s">
        <v>357</v>
      </c>
      <c r="D31" s="208">
        <f t="shared" si="5"/>
        <v>236</v>
      </c>
      <c r="E31" s="30" t="s">
        <v>359</v>
      </c>
      <c r="F31" s="208" t="b">
        <v>1</v>
      </c>
      <c r="G31" s="212" t="str">
        <f t="shared" si="0"/>
        <v>"C:\Program Files (x86)\AstroGrep\AstroGrep.exe" /e /r /s /spath="%USERPROFILE%\AppData\Local\Temp\OnboardLogs" /stypes="*4043*201703070*" /stext=" 05:.+((SYSTEM_STATE.+slice.+state.+changed )|(ment ac)|(multiple cpu faults)|(system.+state.+changed )|(\[timeout)|(PRM\|1\|D)|(kpr)|(kdp)|(\|lc)|(penalty)|(\|PRM\|1\|D)|(crossing.((167)|(168)|(199)|(200))))"</v>
      </c>
      <c r="H31" s="214" t="str">
        <f t="shared" si="1"/>
        <v>grep -hSE " 05:.+((\|PRM\|1\|D)|(crossing.((167)|(168)|(199)|(200))))" "%USERPROFILE%\AppData\Local\Temp\OnboardLogs"\RTDC4043\*4043*201703070*</v>
      </c>
      <c r="I31" s="210" t="str">
        <f>IF(VLOOKUP(K31,'Train Runs'!$A$13:$V$991,1,TRUE)=K31,VLOOKUP(K31,'Train Runs'!$A$13:$V$991,22,TRUE),NA())</f>
        <v>https://d0f6bd738d7f1b3e5a7ca70fe4ff75f0.us-east-1.aws.found.io/app/kibana#/discover/Steve-Slow-Train-Analysis-(2080s-and-2083s)?_g=(refreshInterval:(display:Off,pause:!f,section:0,value:0),time:(from:'2017-04-12T22:22:52-0600',mode:absolute,to:'2017-04-13T01:10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31" s="206">
        <f t="shared" si="2"/>
        <v>42801.229861111111</v>
      </c>
      <c r="K31" s="206" t="str">
        <f>D31&amp;"-"&amp;IF(DAY(Variables!$A$2)&lt;10,0,"")&amp;DAY(Variables!$A$2)</f>
        <v>236-12</v>
      </c>
      <c r="L31" s="202">
        <f>IF(VLOOKUP(K31,'Train Runs'!$A$12:$B$991,1,TRUE)=K31,VLOOKUP(K31,'Train Runs'!$A$12:$B$991,2,TRUE),NA())</f>
        <v>4043</v>
      </c>
      <c r="M31" s="202">
        <f>VLOOKUP(B31,Variables!$T$2:$X$99,2,FALSE)</f>
        <v>167</v>
      </c>
      <c r="N31" s="202">
        <f>VLOOKUP(B31,Variables!$T$2:$X$99,3,FALSE)</f>
        <v>168</v>
      </c>
      <c r="O31" s="202">
        <f>VLOOKUP(B31,Variables!$T$2:$X$99,4,FALSE)</f>
        <v>199</v>
      </c>
      <c r="P31" s="202">
        <f>VLOOKUP(B31,Variables!$T$2:$X$99,5,FALSE)</f>
        <v>200</v>
      </c>
      <c r="Q31" s="201" t="str">
        <f t="shared" si="3"/>
        <v>(\|PRM\|1\|D)|(crossing.((167)|(168)|(199)|(200)))</v>
      </c>
    </row>
    <row r="32" spans="1:17" x14ac:dyDescent="0.25">
      <c r="A32" s="197">
        <v>42800.999305555553</v>
      </c>
      <c r="B32" s="204" t="s">
        <v>355</v>
      </c>
      <c r="C32" s="194" t="s">
        <v>357</v>
      </c>
      <c r="D32" s="208">
        <f t="shared" si="5"/>
        <v>238</v>
      </c>
      <c r="E32" s="30" t="s">
        <v>359</v>
      </c>
      <c r="F32" s="208" t="b">
        <v>1</v>
      </c>
      <c r="G32" s="212" t="str">
        <f t="shared" si="0"/>
        <v>"C:\Program Files (x86)\AstroGrep\AstroGrep.exe" /e /r /s /spath="%USERPROFILE%\AppData\Local\Temp\OnboardLogs" /stypes="*4041*201703070*" /stext=" 05:.+((SYSTEM_STATE.+slice.+state.+changed )|(ment ac)|(multiple cpu faults)|(system.+state.+changed )|(\[timeout)|(PRM\|1\|D)|(kpr)|(kdp)|(\|lc)|(penalty)|(\|PRM\|1\|D)|(crossing.((167)|(168)|(199)|(200))))"</v>
      </c>
      <c r="H32" s="214" t="str">
        <f t="shared" si="1"/>
        <v>grep -hSE " 05:.+((\|PRM\|1\|D)|(crossing.((167)|(168)|(199)|(200))))" "%USERPROFILE%\AppData\Local\Temp\OnboardLogs"\RTDC4041\*4041*201703070*</v>
      </c>
      <c r="I32" s="210" t="str">
        <f>IF(VLOOKUP(K32,'Train Runs'!$A$13:$V$991,1,TRUE)=K32,VLOOKUP(K32,'Train Runs'!$A$13:$V$991,22,TRUE),NA())</f>
        <v>https://d0f6bd738d7f1b3e5a7ca70fe4ff75f0.us-east-1.aws.found.io/app/kibana#/discover/Steve-Slow-Train-Analysis-(2080s-and-2083s)?_g=(refreshInterval:(display:Off,pause:!f,section:0,value:0),time:(from:'2017-04-12T22:51:31-0600',mode:absolute,to:'2017-04-13T01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32" s="206">
        <f t="shared" si="2"/>
        <v>42801.249305555553</v>
      </c>
      <c r="K32" s="206" t="str">
        <f>D32&amp;"-"&amp;IF(DAY(Variables!$A$2)&lt;10,0,"")&amp;DAY(Variables!$A$2)</f>
        <v>238-12</v>
      </c>
      <c r="L32" s="202">
        <f>IF(VLOOKUP(K32,'Train Runs'!$A$12:$B$991,1,TRUE)=K32,VLOOKUP(K32,'Train Runs'!$A$12:$B$991,2,TRUE),NA())</f>
        <v>4041</v>
      </c>
      <c r="M32" s="202">
        <f>VLOOKUP(B32,Variables!$T$2:$X$99,2,FALSE)</f>
        <v>167</v>
      </c>
      <c r="N32" s="202">
        <f>VLOOKUP(B32,Variables!$T$2:$X$99,3,FALSE)</f>
        <v>168</v>
      </c>
      <c r="O32" s="202">
        <f>VLOOKUP(B32,Variables!$T$2:$X$99,4,FALSE)</f>
        <v>199</v>
      </c>
      <c r="P32" s="202">
        <f>VLOOKUP(B32,Variables!$T$2:$X$99,5,FALSE)</f>
        <v>200</v>
      </c>
      <c r="Q32" s="201" t="str">
        <f t="shared" si="3"/>
        <v>(\|PRM\|1\|D)|(crossing.((167)|(168)|(199)|(200)))</v>
      </c>
    </row>
    <row r="33" spans="1:17" x14ac:dyDescent="0.25">
      <c r="A33" s="198">
        <v>42801.022222222222</v>
      </c>
      <c r="B33" s="204" t="s">
        <v>355</v>
      </c>
      <c r="C33" s="194" t="s">
        <v>357</v>
      </c>
      <c r="D33" s="208">
        <f t="shared" si="5"/>
        <v>240</v>
      </c>
      <c r="E33" s="30" t="s">
        <v>359</v>
      </c>
      <c r="F33" s="208" t="b">
        <v>1</v>
      </c>
      <c r="G33" s="212" t="str">
        <f t="shared" si="0"/>
        <v>"C:\Program Files (x86)\AstroGrep\AstroGrep.exe" /e /r /s /spath="%USERPROFILE%\AppData\Local\Temp\OnboardLogs" /stypes="*4039*201703070*" /stext=" 06:.+((SYSTEM_STATE.+slice.+state.+changed )|(ment ac)|(multiple cpu faults)|(system.+state.+changed )|(\[timeout)|(PRM\|1\|D)|(kpr)|(kdp)|(\|lc)|(penalty)|(\|PRM\|1\|D)|(crossing.((167)|(168)|(199)|(200))))"</v>
      </c>
      <c r="H33" s="214" t="str">
        <f t="shared" si="1"/>
        <v>grep -hSE " 06:.+((\|PRM\|1\|D)|(crossing.((167)|(168)|(199)|(200))))" "%USERPROFILE%\AppData\Local\Temp\OnboardLogs"\RTDC4039\*4039*201703070*</v>
      </c>
      <c r="I33" s="210" t="str">
        <f>IF(VLOOKUP(K33,'Train Runs'!$A$13:$V$991,1,TRUE)=K33,VLOOKUP(K33,'Train Runs'!$A$13:$V$991,22,TRUE),NA())</f>
        <v>https://d0f6bd738d7f1b3e5a7ca70fe4ff75f0.us-east-1.aws.found.io/app/kibana#/discover/Steve-Slow-Train-Analysis-(2080s-and-2083s)?_g=(refreshInterval:(display:Off,pause:!f,section:0,value:0),time:(from:'2017-04-12T23:13:34-0600',mode:absolute,to:'2017-04-13T02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33" s="206">
        <f t="shared" si="2"/>
        <v>42801.272222222222</v>
      </c>
      <c r="K33" s="206" t="str">
        <f>D33&amp;"-"&amp;IF(DAY(Variables!$A$2)&lt;10,0,"")&amp;DAY(Variables!$A$2)</f>
        <v>240-12</v>
      </c>
      <c r="L33" s="202">
        <f>IF(VLOOKUP(K33,'Train Runs'!$A$12:$B$991,1,TRUE)=K33,VLOOKUP(K33,'Train Runs'!$A$12:$B$991,2,TRUE),NA())</f>
        <v>4039</v>
      </c>
      <c r="M33" s="202">
        <f>VLOOKUP(B33,Variables!$T$2:$X$99,2,FALSE)</f>
        <v>167</v>
      </c>
      <c r="N33" s="202">
        <f>VLOOKUP(B33,Variables!$T$2:$X$99,3,FALSE)</f>
        <v>168</v>
      </c>
      <c r="O33" s="202">
        <f>VLOOKUP(B33,Variables!$T$2:$X$99,4,FALSE)</f>
        <v>199</v>
      </c>
      <c r="P33" s="202">
        <f>VLOOKUP(B33,Variables!$T$2:$X$99,5,FALSE)</f>
        <v>200</v>
      </c>
      <c r="Q33" s="201" t="str">
        <f t="shared" si="3"/>
        <v>(\|PRM\|1\|D)|(crossing.((167)|(168)|(199)|(200)))</v>
      </c>
    </row>
    <row r="34" spans="1:17" x14ac:dyDescent="0.25">
      <c r="A34" s="198">
        <v>42801.040277777778</v>
      </c>
      <c r="B34" s="204" t="s">
        <v>355</v>
      </c>
      <c r="C34" s="194" t="s">
        <v>357</v>
      </c>
      <c r="D34" s="208">
        <v>240</v>
      </c>
      <c r="E34" s="30" t="s">
        <v>359</v>
      </c>
      <c r="F34" s="208" t="b">
        <v>1</v>
      </c>
      <c r="G34" s="212" t="str">
        <f t="shared" si="0"/>
        <v>"C:\Program Files (x86)\AstroGrep\AstroGrep.exe" /e /r /s /spath="%USERPROFILE%\AppData\Local\Temp\OnboardLogs" /stypes="*4039*201703070*" /stext=" 06:.+((SYSTEM_STATE.+slice.+state.+changed )|(ment ac)|(multiple cpu faults)|(system.+state.+changed )|(\[timeout)|(PRM\|1\|D)|(kpr)|(kdp)|(\|lc)|(penalty)|(\|PRM\|1\|D)|(crossing.((167)|(168)|(199)|(200))))"</v>
      </c>
      <c r="H34" s="214" t="str">
        <f t="shared" si="1"/>
        <v>grep -hSE " 06:.+((\|PRM\|1\|D)|(crossing.((167)|(168)|(199)|(200))))" "%USERPROFILE%\AppData\Local\Temp\OnboardLogs"\RTDC4039\*4039*201703070*</v>
      </c>
      <c r="I34" s="210" t="str">
        <f>IF(VLOOKUP(K34,'Train Runs'!$A$13:$V$991,1,TRUE)=K34,VLOOKUP(K34,'Train Runs'!$A$13:$V$991,22,TRUE),NA())</f>
        <v>https://d0f6bd738d7f1b3e5a7ca70fe4ff75f0.us-east-1.aws.found.io/app/kibana#/discover/Steve-Slow-Train-Analysis-(2080s-and-2083s)?_g=(refreshInterval:(display:Off,pause:!f,section:0,value:0),time:(from:'2017-04-12T23:13:34-0600',mode:absolute,to:'2017-04-13T02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34" s="206">
        <f t="shared" si="2"/>
        <v>42801.290277777778</v>
      </c>
      <c r="K34" s="206" t="str">
        <f>D34&amp;"-"&amp;IF(DAY(Variables!$A$2)&lt;10,0,"")&amp;DAY(Variables!$A$2)</f>
        <v>240-12</v>
      </c>
      <c r="L34" s="202">
        <f>IF(VLOOKUP(K34,'Train Runs'!$A$12:$B$991,1,TRUE)=K34,VLOOKUP(K34,'Train Runs'!$A$12:$B$991,2,TRUE),NA())</f>
        <v>4039</v>
      </c>
      <c r="M34" s="202">
        <f>VLOOKUP(B34,Variables!$T$2:$X$99,2,FALSE)</f>
        <v>167</v>
      </c>
      <c r="N34" s="202">
        <f>VLOOKUP(B34,Variables!$T$2:$X$99,3,FALSE)</f>
        <v>168</v>
      </c>
      <c r="O34" s="202">
        <f>VLOOKUP(B34,Variables!$T$2:$X$99,4,FALSE)</f>
        <v>199</v>
      </c>
      <c r="P34" s="202">
        <f>VLOOKUP(B34,Variables!$T$2:$X$99,5,FALSE)</f>
        <v>200</v>
      </c>
      <c r="Q34" s="201" t="str">
        <f t="shared" si="3"/>
        <v>(\|PRM\|1\|D)|(crossing.((167)|(168)|(199)|(200)))</v>
      </c>
    </row>
    <row r="35" spans="1:17" x14ac:dyDescent="0.25">
      <c r="A35" s="198">
        <v>42801.061805555553</v>
      </c>
      <c r="B35" s="204" t="s">
        <v>355</v>
      </c>
      <c r="C35" s="194" t="s">
        <v>357</v>
      </c>
      <c r="D35" s="208">
        <v>242</v>
      </c>
      <c r="E35" s="30" t="s">
        <v>359</v>
      </c>
      <c r="F35" s="208" t="b">
        <v>1</v>
      </c>
      <c r="G35" s="212" t="str">
        <f t="shared" si="0"/>
        <v>"C:\Program Files (x86)\AstroGrep\AstroGrep.exe" /e /r /s /spath="%USERPROFILE%\AppData\Local\Temp\OnboardLogs" /stypes="*4053*201703070*" /stext=" 07:.+((SYSTEM_STATE.+slice.+state.+changed )|(ment ac)|(multiple cpu faults)|(system.+state.+changed )|(\[timeout)|(PRM\|1\|D)|(kpr)|(kdp)|(\|lc)|(penalty)|(\|PRM\|1\|D)|(crossing.((167)|(168)|(199)|(200))))"</v>
      </c>
      <c r="H35" s="214" t="str">
        <f t="shared" si="1"/>
        <v>grep -hSE " 07:.+((\|PRM\|1\|D)|(crossing.((167)|(168)|(199)|(200))))" "%USERPROFILE%\AppData\Local\Temp\OnboardLogs"\RTDC4053\*4053*201703070*</v>
      </c>
      <c r="I35" s="210" t="str">
        <f>IF(VLOOKUP(K35,'Train Runs'!$A$13:$V$991,1,TRUE)=K35,VLOOKUP(K35,'Train Runs'!$A$13:$V$991,22,TRUE),NA())</f>
        <v>https://d0f6bd738d7f1b3e5a7ca70fe4ff75f0.us-east-1.aws.found.io/app/kibana#/discover/Steve-Slow-Train-Analysis-(2080s-and-2083s)?_g=(refreshInterval:(display:Off,pause:!f,section:0,value:0),time:(from:'2017-04-12T23:53:28-0600',mode:absolute,to:'2017-04-13T02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35" s="206">
        <f t="shared" si="2"/>
        <v>42801.311805555553</v>
      </c>
      <c r="K35" s="206" t="str">
        <f>D35&amp;"-"&amp;IF(DAY(Variables!$A$2)&lt;10,0,"")&amp;DAY(Variables!$A$2)</f>
        <v>242-12</v>
      </c>
      <c r="L35" s="202">
        <f>IF(VLOOKUP(K35,'Train Runs'!$A$12:$B$991,1,TRUE)=K35,VLOOKUP(K35,'Train Runs'!$A$12:$B$991,2,TRUE),NA())</f>
        <v>4053</v>
      </c>
      <c r="M35" s="202">
        <f>VLOOKUP(B35,Variables!$T$2:$X$99,2,FALSE)</f>
        <v>167</v>
      </c>
      <c r="N35" s="202">
        <f>VLOOKUP(B35,Variables!$T$2:$X$99,3,FALSE)</f>
        <v>168</v>
      </c>
      <c r="O35" s="202">
        <f>VLOOKUP(B35,Variables!$T$2:$X$99,4,FALSE)</f>
        <v>199</v>
      </c>
      <c r="P35" s="202">
        <f>VLOOKUP(B35,Variables!$T$2:$X$99,5,FALSE)</f>
        <v>200</v>
      </c>
      <c r="Q35" s="201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42837.047939814816</v>
      </c>
      <c r="B2" s="20" t="s">
        <v>199</v>
      </c>
      <c r="C2" s="20" t="s">
        <v>566</v>
      </c>
      <c r="D2" s="146">
        <v>2630000</v>
      </c>
      <c r="E2" s="20" t="s">
        <v>501</v>
      </c>
      <c r="F2" s="20" t="s">
        <v>502</v>
      </c>
      <c r="G2" s="8" t="str">
        <f>E2&amp;" "&amp;F2</f>
        <v>SAFIEF AEIMEN</v>
      </c>
    </row>
    <row r="3" spans="1:7" x14ac:dyDescent="0.25">
      <c r="A3" s="8">
        <v>42837.057453703703</v>
      </c>
      <c r="B3" s="20" t="s">
        <v>399</v>
      </c>
      <c r="C3" s="20" t="s">
        <v>567</v>
      </c>
      <c r="D3" s="146">
        <v>3010000</v>
      </c>
      <c r="E3" s="20" t="s">
        <v>461</v>
      </c>
      <c r="F3" s="20" t="s">
        <v>462</v>
      </c>
      <c r="G3" s="8" t="str">
        <f t="shared" ref="G3:G66" si="0">E3&amp;" "&amp;F3</f>
        <v>SULLIVAN BRANDON</v>
      </c>
    </row>
    <row r="4" spans="1:7" x14ac:dyDescent="0.25">
      <c r="A4" s="8">
        <v>42837.06925925926</v>
      </c>
      <c r="B4" s="20" t="s">
        <v>425</v>
      </c>
      <c r="C4" s="20" t="s">
        <v>568</v>
      </c>
      <c r="D4" s="146">
        <v>3000000</v>
      </c>
      <c r="E4" s="20" t="s">
        <v>529</v>
      </c>
      <c r="F4" s="20" t="s">
        <v>530</v>
      </c>
      <c r="G4" s="8" t="str">
        <f t="shared" si="0"/>
        <v>FORTUNATO FRANK</v>
      </c>
    </row>
    <row r="5" spans="1:7" x14ac:dyDescent="0.25">
      <c r="A5" s="8">
        <v>42837.120324074072</v>
      </c>
      <c r="B5" s="20" t="s">
        <v>427</v>
      </c>
      <c r="C5" s="20" t="s">
        <v>651</v>
      </c>
      <c r="D5" s="146">
        <v>1230000</v>
      </c>
      <c r="E5" s="20" t="s">
        <v>458</v>
      </c>
      <c r="F5" s="20" t="s">
        <v>459</v>
      </c>
      <c r="G5" s="8" t="str">
        <f t="shared" si="0"/>
        <v>YANAI IAN</v>
      </c>
    </row>
    <row r="6" spans="1:7" x14ac:dyDescent="0.25">
      <c r="A6" s="8">
        <v>42837.122407407405</v>
      </c>
      <c r="B6" s="20" t="s">
        <v>500</v>
      </c>
      <c r="C6" s="20" t="s">
        <v>652</v>
      </c>
      <c r="D6" s="146">
        <v>2550000</v>
      </c>
      <c r="E6" s="20" t="s">
        <v>653</v>
      </c>
      <c r="F6" s="20" t="s">
        <v>654</v>
      </c>
      <c r="G6" s="8" t="str">
        <f t="shared" si="0"/>
        <v>BADERTSCHER DIANE</v>
      </c>
    </row>
    <row r="7" spans="1:7" x14ac:dyDescent="0.25">
      <c r="A7" s="8">
        <v>42837.129849537036</v>
      </c>
      <c r="B7" s="20" t="s">
        <v>398</v>
      </c>
      <c r="C7" s="20" t="s">
        <v>655</v>
      </c>
      <c r="D7" s="146">
        <v>1140000</v>
      </c>
      <c r="E7" s="20" t="s">
        <v>656</v>
      </c>
      <c r="F7" s="20" t="s">
        <v>657</v>
      </c>
      <c r="G7" s="8" t="str">
        <f t="shared" si="0"/>
        <v>YOUNG ELIZABETH</v>
      </c>
    </row>
    <row r="8" spans="1:7" x14ac:dyDescent="0.25">
      <c r="A8" s="8">
        <v>42837.134733796294</v>
      </c>
      <c r="B8" s="20" t="s">
        <v>436</v>
      </c>
      <c r="C8" s="20" t="s">
        <v>658</v>
      </c>
      <c r="D8" s="146">
        <v>2550000</v>
      </c>
      <c r="E8" s="20" t="s">
        <v>653</v>
      </c>
      <c r="F8" s="20" t="s">
        <v>654</v>
      </c>
      <c r="G8" s="8" t="str">
        <f t="shared" si="0"/>
        <v>BADERTSCHER DIANE</v>
      </c>
    </row>
    <row r="9" spans="1:7" ht="15.75" thickBot="1" x14ac:dyDescent="0.3">
      <c r="A9" s="24">
        <v>42837.141724537039</v>
      </c>
      <c r="B9" s="20" t="s">
        <v>424</v>
      </c>
      <c r="C9" s="20" t="s">
        <v>659</v>
      </c>
      <c r="D9" s="146">
        <v>1230000</v>
      </c>
      <c r="E9" s="20" t="s">
        <v>458</v>
      </c>
      <c r="F9" s="20" t="s">
        <v>459</v>
      </c>
      <c r="G9" s="8" t="str">
        <f t="shared" si="0"/>
        <v>YANAI IAN</v>
      </c>
    </row>
    <row r="10" spans="1:7" x14ac:dyDescent="0.25">
      <c r="A10" s="8">
        <v>42837.142187500001</v>
      </c>
      <c r="B10" s="20" t="s">
        <v>432</v>
      </c>
      <c r="C10" s="20" t="s">
        <v>660</v>
      </c>
      <c r="D10" s="146">
        <v>2010000</v>
      </c>
      <c r="E10" s="20" t="s">
        <v>557</v>
      </c>
      <c r="F10" s="20" t="s">
        <v>558</v>
      </c>
      <c r="G10" s="8" t="str">
        <f t="shared" si="0"/>
        <v>MAELZER KURT</v>
      </c>
    </row>
    <row r="11" spans="1:7" x14ac:dyDescent="0.25">
      <c r="A11" s="8">
        <v>42837.142268518517</v>
      </c>
      <c r="B11" s="20" t="s">
        <v>424</v>
      </c>
      <c r="C11" s="20" t="s">
        <v>659</v>
      </c>
      <c r="D11" s="146">
        <v>1230000</v>
      </c>
      <c r="E11" s="20" t="s">
        <v>458</v>
      </c>
      <c r="F11" s="20" t="s">
        <v>459</v>
      </c>
      <c r="G11" s="8" t="str">
        <f t="shared" si="0"/>
        <v>YANAI IAN</v>
      </c>
    </row>
    <row r="12" spans="1:7" x14ac:dyDescent="0.25">
      <c r="A12" s="8">
        <v>42837.153090277781</v>
      </c>
      <c r="B12" s="20" t="s">
        <v>556</v>
      </c>
      <c r="C12" s="20" t="s">
        <v>661</v>
      </c>
      <c r="D12" s="146">
        <v>2010000</v>
      </c>
      <c r="E12" s="20" t="s">
        <v>557</v>
      </c>
      <c r="F12" s="20" t="s">
        <v>558</v>
      </c>
      <c r="G12" s="8" t="str">
        <f t="shared" si="0"/>
        <v>MAELZER KURT</v>
      </c>
    </row>
    <row r="13" spans="1:7" x14ac:dyDescent="0.25">
      <c r="A13" s="8">
        <v>42837.154120370367</v>
      </c>
      <c r="B13" s="20" t="s">
        <v>556</v>
      </c>
      <c r="C13" s="20" t="s">
        <v>661</v>
      </c>
      <c r="D13" s="146">
        <v>2010000</v>
      </c>
      <c r="E13" s="20" t="s">
        <v>557</v>
      </c>
      <c r="F13" s="20" t="s">
        <v>558</v>
      </c>
      <c r="G13" s="8" t="str">
        <f t="shared" si="0"/>
        <v>MAELZER KURT</v>
      </c>
    </row>
    <row r="14" spans="1:7" x14ac:dyDescent="0.25">
      <c r="A14" s="8">
        <v>42837.160208333335</v>
      </c>
      <c r="B14" s="20" t="s">
        <v>415</v>
      </c>
      <c r="C14" s="20" t="s">
        <v>662</v>
      </c>
      <c r="D14" s="146">
        <v>1100000</v>
      </c>
      <c r="E14" s="20" t="s">
        <v>663</v>
      </c>
      <c r="F14" s="20" t="s">
        <v>664</v>
      </c>
      <c r="G14" s="8" t="str">
        <f t="shared" si="0"/>
        <v>GEBRETEKLE DAGNEW</v>
      </c>
    </row>
    <row r="15" spans="1:7" x14ac:dyDescent="0.25">
      <c r="A15" s="8">
        <v>42837.168726851851</v>
      </c>
      <c r="B15" s="20" t="s">
        <v>500</v>
      </c>
      <c r="C15" s="20" t="s">
        <v>665</v>
      </c>
      <c r="D15" s="146">
        <v>2550000</v>
      </c>
      <c r="E15" s="20" t="s">
        <v>653</v>
      </c>
      <c r="F15" s="20" t="s">
        <v>654</v>
      </c>
      <c r="G15" s="8" t="str">
        <f t="shared" si="0"/>
        <v>BADERTSCHER DIANE</v>
      </c>
    </row>
    <row r="16" spans="1:7" x14ac:dyDescent="0.25">
      <c r="A16" s="8">
        <v>42837.171053240738</v>
      </c>
      <c r="B16" s="20" t="s">
        <v>381</v>
      </c>
      <c r="C16" s="20" t="s">
        <v>666</v>
      </c>
      <c r="D16" s="146">
        <v>940000</v>
      </c>
      <c r="E16" s="20" t="s">
        <v>667</v>
      </c>
      <c r="F16" s="20" t="s">
        <v>668</v>
      </c>
      <c r="G16" s="8" t="str">
        <f t="shared" si="0"/>
        <v>BONDS REYNALDO</v>
      </c>
    </row>
    <row r="17" spans="1:7" x14ac:dyDescent="0.25">
      <c r="A17" s="8">
        <v>42837.171863425923</v>
      </c>
      <c r="B17" s="20" t="s">
        <v>562</v>
      </c>
      <c r="C17" s="20" t="s">
        <v>669</v>
      </c>
      <c r="D17" s="146">
        <v>1100000</v>
      </c>
      <c r="E17" s="20" t="s">
        <v>663</v>
      </c>
      <c r="F17" s="20" t="s">
        <v>664</v>
      </c>
      <c r="G17" s="8" t="str">
        <f t="shared" si="0"/>
        <v>GEBRETEKLE DAGNEW</v>
      </c>
    </row>
    <row r="18" spans="1:7" x14ac:dyDescent="0.25">
      <c r="A18" s="8">
        <v>42837.178888888891</v>
      </c>
      <c r="B18" s="20" t="s">
        <v>555</v>
      </c>
      <c r="C18" s="20" t="s">
        <v>670</v>
      </c>
      <c r="D18" s="146">
        <v>1360000</v>
      </c>
      <c r="E18" s="20" t="s">
        <v>494</v>
      </c>
      <c r="F18" s="20" t="s">
        <v>495</v>
      </c>
      <c r="G18" s="8" t="str">
        <f t="shared" si="0"/>
        <v>SANTIZO D. EDY</v>
      </c>
    </row>
    <row r="19" spans="1:7" x14ac:dyDescent="0.25">
      <c r="A19" s="8">
        <v>42837.182916666665</v>
      </c>
      <c r="B19" s="20" t="s">
        <v>380</v>
      </c>
      <c r="C19" s="20" t="s">
        <v>671</v>
      </c>
      <c r="D19" s="146">
        <v>940000</v>
      </c>
      <c r="E19" s="20" t="s">
        <v>667</v>
      </c>
      <c r="F19" s="20" t="s">
        <v>668</v>
      </c>
      <c r="G19" s="8" t="str">
        <f t="shared" si="0"/>
        <v>BONDS REYNALDO</v>
      </c>
    </row>
    <row r="20" spans="1:7" x14ac:dyDescent="0.25">
      <c r="A20" s="8">
        <v>42837.190439814818</v>
      </c>
      <c r="B20" s="20" t="s">
        <v>432</v>
      </c>
      <c r="C20" s="20" t="s">
        <v>672</v>
      </c>
      <c r="D20" s="146">
        <v>2010000</v>
      </c>
      <c r="E20" s="20" t="s">
        <v>557</v>
      </c>
      <c r="F20" s="20" t="s">
        <v>558</v>
      </c>
      <c r="G20" s="8" t="str">
        <f t="shared" si="0"/>
        <v>MAELZER KURT</v>
      </c>
    </row>
    <row r="21" spans="1:7" x14ac:dyDescent="0.25">
      <c r="A21" s="8">
        <v>42837.190798611111</v>
      </c>
      <c r="B21" s="20" t="s">
        <v>382</v>
      </c>
      <c r="C21" s="20" t="s">
        <v>673</v>
      </c>
      <c r="D21" s="146">
        <v>1360000</v>
      </c>
      <c r="E21" s="20" t="s">
        <v>494</v>
      </c>
      <c r="F21" s="20" t="s">
        <v>495</v>
      </c>
      <c r="G21" s="8" t="str">
        <f t="shared" si="0"/>
        <v>SANTIZO D. EDY</v>
      </c>
    </row>
    <row r="22" spans="1:7" x14ac:dyDescent="0.25">
      <c r="A22" s="26">
        <v>42837.199837962966</v>
      </c>
      <c r="B22" s="20" t="s">
        <v>378</v>
      </c>
      <c r="C22" s="20" t="s">
        <v>674</v>
      </c>
      <c r="D22" s="146">
        <v>1830000</v>
      </c>
      <c r="E22" s="20" t="s">
        <v>411</v>
      </c>
      <c r="F22" s="20" t="s">
        <v>412</v>
      </c>
      <c r="G22" s="8" t="str">
        <f t="shared" si="0"/>
        <v>YORK EDGAR</v>
      </c>
    </row>
    <row r="23" spans="1:7" x14ac:dyDescent="0.25">
      <c r="A23" s="8">
        <v>42837.209745370368</v>
      </c>
      <c r="B23" s="20" t="s">
        <v>377</v>
      </c>
      <c r="C23" s="20" t="s">
        <v>675</v>
      </c>
      <c r="D23" s="146">
        <v>1830000</v>
      </c>
      <c r="E23" s="20" t="s">
        <v>411</v>
      </c>
      <c r="F23" s="20" t="s">
        <v>412</v>
      </c>
      <c r="G23" s="8" t="str">
        <f t="shared" si="0"/>
        <v>YORK EDGAR</v>
      </c>
    </row>
    <row r="24" spans="1:7" x14ac:dyDescent="0.25">
      <c r="A24" s="8">
        <v>42837.211134259262</v>
      </c>
      <c r="B24" s="20" t="s">
        <v>427</v>
      </c>
      <c r="C24" s="20" t="s">
        <v>676</v>
      </c>
      <c r="D24" s="146">
        <v>1140000</v>
      </c>
      <c r="E24" s="20" t="s">
        <v>656</v>
      </c>
      <c r="F24" s="20" t="s">
        <v>657</v>
      </c>
      <c r="G24" s="8" t="str">
        <f t="shared" si="0"/>
        <v>YOUNG ELIZABETH</v>
      </c>
    </row>
    <row r="25" spans="1:7" x14ac:dyDescent="0.25">
      <c r="A25" s="8">
        <v>42837.21266203704</v>
      </c>
      <c r="B25" s="20" t="s">
        <v>415</v>
      </c>
      <c r="C25" s="20" t="s">
        <v>618</v>
      </c>
      <c r="D25" s="146">
        <v>1100000</v>
      </c>
      <c r="E25" s="20" t="s">
        <v>663</v>
      </c>
      <c r="F25" s="20" t="s">
        <v>664</v>
      </c>
      <c r="G25" s="8" t="str">
        <f t="shared" si="0"/>
        <v>GEBRETEKLE DAGNEW</v>
      </c>
    </row>
    <row r="26" spans="1:7" x14ac:dyDescent="0.25">
      <c r="A26" s="8">
        <v>42837.213877314818</v>
      </c>
      <c r="B26" s="20" t="s">
        <v>415</v>
      </c>
      <c r="C26" s="20" t="s">
        <v>618</v>
      </c>
      <c r="D26" s="146">
        <v>1100000</v>
      </c>
      <c r="E26" s="20" t="s">
        <v>663</v>
      </c>
      <c r="F26" s="20" t="s">
        <v>664</v>
      </c>
      <c r="G26" s="8" t="str">
        <f t="shared" si="0"/>
        <v>GEBRETEKLE DAGNEW</v>
      </c>
    </row>
    <row r="27" spans="1:7" x14ac:dyDescent="0.25">
      <c r="A27" s="8">
        <v>42837.213958333334</v>
      </c>
      <c r="B27" s="20" t="s">
        <v>503</v>
      </c>
      <c r="C27" s="20" t="s">
        <v>617</v>
      </c>
      <c r="D27" s="146">
        <v>2550000</v>
      </c>
      <c r="E27" s="20" t="s">
        <v>653</v>
      </c>
      <c r="F27" s="20" t="s">
        <v>654</v>
      </c>
      <c r="G27" s="8" t="str">
        <f t="shared" si="0"/>
        <v>BADERTSCHER DIANE</v>
      </c>
    </row>
    <row r="28" spans="1:7" x14ac:dyDescent="0.25">
      <c r="A28" s="8">
        <v>42837.214097222219</v>
      </c>
      <c r="B28" s="20" t="s">
        <v>436</v>
      </c>
      <c r="C28" s="20" t="s">
        <v>677</v>
      </c>
      <c r="D28" s="146">
        <v>900000</v>
      </c>
      <c r="E28" s="20" t="s">
        <v>678</v>
      </c>
      <c r="F28" s="20" t="s">
        <v>679</v>
      </c>
      <c r="G28" s="8" t="str">
        <f t="shared" si="0"/>
        <v>ROCHA YAOTL</v>
      </c>
    </row>
    <row r="29" spans="1:7" x14ac:dyDescent="0.25">
      <c r="A29" s="8">
        <v>42837.217604166668</v>
      </c>
      <c r="B29" s="20" t="s">
        <v>436</v>
      </c>
      <c r="C29" s="20" t="s">
        <v>617</v>
      </c>
      <c r="D29" s="146">
        <v>2550000</v>
      </c>
      <c r="E29" s="20" t="s">
        <v>653</v>
      </c>
      <c r="F29" s="20" t="s">
        <v>654</v>
      </c>
      <c r="G29" s="8" t="str">
        <f t="shared" si="0"/>
        <v>BADERTSCHER DIANE</v>
      </c>
    </row>
    <row r="30" spans="1:7" x14ac:dyDescent="0.25">
      <c r="A30" s="8">
        <v>42837.220335648148</v>
      </c>
      <c r="B30" s="20" t="s">
        <v>436</v>
      </c>
      <c r="C30" s="20" t="s">
        <v>617</v>
      </c>
      <c r="D30" s="146">
        <v>2550000</v>
      </c>
      <c r="E30" s="20" t="s">
        <v>653</v>
      </c>
      <c r="F30" s="20" t="s">
        <v>654</v>
      </c>
      <c r="G30" s="8" t="str">
        <f t="shared" si="0"/>
        <v>BADERTSCHER DIANE</v>
      </c>
    </row>
    <row r="31" spans="1:7" x14ac:dyDescent="0.25">
      <c r="A31" s="8">
        <v>42837.22210648148</v>
      </c>
      <c r="B31" s="20" t="s">
        <v>381</v>
      </c>
      <c r="C31" s="20" t="s">
        <v>680</v>
      </c>
      <c r="D31" s="146">
        <v>940000</v>
      </c>
      <c r="E31" s="20" t="s">
        <v>667</v>
      </c>
      <c r="F31" s="20" t="s">
        <v>668</v>
      </c>
      <c r="G31" s="8" t="str">
        <f t="shared" si="0"/>
        <v>BONDS REYNALDO</v>
      </c>
    </row>
    <row r="32" spans="1:7" x14ac:dyDescent="0.25">
      <c r="A32" s="8">
        <v>42837.226064814815</v>
      </c>
      <c r="B32" s="20" t="s">
        <v>503</v>
      </c>
      <c r="C32" s="20" t="s">
        <v>619</v>
      </c>
      <c r="D32" s="146">
        <v>1110000</v>
      </c>
      <c r="E32" s="20" t="s">
        <v>521</v>
      </c>
      <c r="F32" s="20" t="s">
        <v>522</v>
      </c>
      <c r="G32" s="8" t="str">
        <f t="shared" si="0"/>
        <v>STARKS ANGELINA</v>
      </c>
    </row>
    <row r="33" spans="1:7" x14ac:dyDescent="0.25">
      <c r="A33" s="8">
        <v>42837.226469907408</v>
      </c>
      <c r="B33" s="20" t="s">
        <v>555</v>
      </c>
      <c r="C33" s="20" t="s">
        <v>681</v>
      </c>
      <c r="D33" s="146">
        <v>1360000</v>
      </c>
      <c r="E33" s="20" t="s">
        <v>494</v>
      </c>
      <c r="F33" s="20" t="s">
        <v>495</v>
      </c>
      <c r="G33" s="8" t="str">
        <f t="shared" si="0"/>
        <v>SANTIZO D. EDY</v>
      </c>
    </row>
    <row r="34" spans="1:7" x14ac:dyDescent="0.25">
      <c r="A34" s="8">
        <v>42837.228182870371</v>
      </c>
      <c r="B34" s="20" t="s">
        <v>378</v>
      </c>
      <c r="C34" s="20" t="s">
        <v>682</v>
      </c>
      <c r="D34" s="146">
        <v>1830000</v>
      </c>
      <c r="E34" s="20" t="s">
        <v>411</v>
      </c>
      <c r="F34" s="20" t="s">
        <v>412</v>
      </c>
      <c r="G34" s="8" t="str">
        <f t="shared" si="0"/>
        <v>YORK EDGAR</v>
      </c>
    </row>
    <row r="35" spans="1:7" x14ac:dyDescent="0.25">
      <c r="A35" s="8">
        <v>42837.231203703705</v>
      </c>
      <c r="B35" s="20" t="s">
        <v>556</v>
      </c>
      <c r="C35" s="20" t="s">
        <v>683</v>
      </c>
      <c r="D35" s="146">
        <v>2010000</v>
      </c>
      <c r="E35" s="20" t="s">
        <v>557</v>
      </c>
      <c r="F35" s="20" t="s">
        <v>558</v>
      </c>
      <c r="G35" s="8" t="str">
        <f t="shared" si="0"/>
        <v>MAELZER KURT</v>
      </c>
    </row>
    <row r="36" spans="1:7" x14ac:dyDescent="0.25">
      <c r="A36" s="8">
        <v>42837.245798611111</v>
      </c>
      <c r="B36" s="20" t="s">
        <v>479</v>
      </c>
      <c r="C36" s="20" t="s">
        <v>684</v>
      </c>
      <c r="D36" s="146">
        <v>1100000</v>
      </c>
      <c r="E36" s="20" t="s">
        <v>663</v>
      </c>
      <c r="F36" s="20" t="s">
        <v>664</v>
      </c>
      <c r="G36" s="8" t="str">
        <f t="shared" si="0"/>
        <v>GEBRETEKLE DAGNEW</v>
      </c>
    </row>
    <row r="37" spans="1:7" x14ac:dyDescent="0.25">
      <c r="A37" s="8">
        <v>42837.245856481481</v>
      </c>
      <c r="B37" s="20" t="s">
        <v>424</v>
      </c>
      <c r="C37" s="20" t="s">
        <v>685</v>
      </c>
      <c r="D37" s="146">
        <v>1140000</v>
      </c>
      <c r="E37" s="20" t="s">
        <v>656</v>
      </c>
      <c r="F37" s="20" t="s">
        <v>657</v>
      </c>
      <c r="G37" s="8" t="str">
        <f t="shared" si="0"/>
        <v>YOUNG ELIZABETH</v>
      </c>
    </row>
    <row r="38" spans="1:7" x14ac:dyDescent="0.25">
      <c r="A38" s="8">
        <v>42837.246851851851</v>
      </c>
      <c r="B38" s="20" t="s">
        <v>424</v>
      </c>
      <c r="C38" s="20" t="s">
        <v>685</v>
      </c>
      <c r="D38" s="146">
        <v>1140000</v>
      </c>
      <c r="E38" s="20" t="s">
        <v>656</v>
      </c>
      <c r="F38" s="20" t="s">
        <v>657</v>
      </c>
      <c r="G38" s="8" t="str">
        <f t="shared" si="0"/>
        <v>YOUNG ELIZABETH</v>
      </c>
    </row>
    <row r="39" spans="1:7" x14ac:dyDescent="0.25">
      <c r="A39" s="8">
        <v>42837.251736111109</v>
      </c>
      <c r="B39" s="20" t="s">
        <v>621</v>
      </c>
      <c r="C39" s="20" t="s">
        <v>686</v>
      </c>
      <c r="D39" s="146">
        <v>890000</v>
      </c>
      <c r="E39" s="20" t="s">
        <v>687</v>
      </c>
      <c r="F39" s="20" t="s">
        <v>688</v>
      </c>
      <c r="G39" s="8" t="str">
        <f t="shared" si="0"/>
        <v>LOZA FIDEL</v>
      </c>
    </row>
    <row r="40" spans="1:7" x14ac:dyDescent="0.25">
      <c r="A40" s="8">
        <v>42837.253287037034</v>
      </c>
      <c r="B40" s="25" t="s">
        <v>433</v>
      </c>
      <c r="C40" s="20" t="s">
        <v>689</v>
      </c>
      <c r="D40" s="146">
        <v>2550000</v>
      </c>
      <c r="E40" s="20" t="s">
        <v>653</v>
      </c>
      <c r="F40" s="20" t="s">
        <v>654</v>
      </c>
      <c r="G40" s="8" t="str">
        <f t="shared" si="0"/>
        <v>BADERTSCHER DIANE</v>
      </c>
    </row>
    <row r="41" spans="1:7" x14ac:dyDescent="0.25">
      <c r="A41" s="8">
        <v>42837.254189814812</v>
      </c>
      <c r="B41" s="20" t="s">
        <v>377</v>
      </c>
      <c r="C41" s="20" t="s">
        <v>690</v>
      </c>
      <c r="D41" s="146">
        <v>1830000</v>
      </c>
      <c r="E41" s="20" t="s">
        <v>411</v>
      </c>
      <c r="F41" s="20" t="s">
        <v>412</v>
      </c>
      <c r="G41" s="8" t="str">
        <f t="shared" si="0"/>
        <v>YORK EDGAR</v>
      </c>
    </row>
    <row r="42" spans="1:7" x14ac:dyDescent="0.25">
      <c r="A42" s="8">
        <v>42837.258784722224</v>
      </c>
      <c r="B42" s="20" t="s">
        <v>380</v>
      </c>
      <c r="C42" s="20" t="s">
        <v>691</v>
      </c>
      <c r="D42" s="146">
        <v>940000</v>
      </c>
      <c r="E42" s="20" t="s">
        <v>667</v>
      </c>
      <c r="F42" s="20" t="s">
        <v>668</v>
      </c>
      <c r="G42" s="8" t="str">
        <f t="shared" si="0"/>
        <v>BONDS REYNALDO</v>
      </c>
    </row>
    <row r="43" spans="1:7" x14ac:dyDescent="0.25">
      <c r="A43" s="8">
        <v>42837.263703703706</v>
      </c>
      <c r="B43" s="20" t="s">
        <v>625</v>
      </c>
      <c r="C43" s="20" t="s">
        <v>692</v>
      </c>
      <c r="D43" s="146">
        <v>3040000</v>
      </c>
      <c r="E43" s="20" t="s">
        <v>523</v>
      </c>
      <c r="F43" s="20" t="s">
        <v>524</v>
      </c>
      <c r="G43" s="8" t="str">
        <f t="shared" si="0"/>
        <v>WILLIAMS DONTE</v>
      </c>
    </row>
    <row r="44" spans="1:7" x14ac:dyDescent="0.25">
      <c r="A44" s="8">
        <v>42837.266944444447</v>
      </c>
      <c r="B44" s="20" t="s">
        <v>500</v>
      </c>
      <c r="C44" s="20" t="s">
        <v>693</v>
      </c>
      <c r="D44" s="146">
        <v>1110000</v>
      </c>
      <c r="E44" s="20" t="s">
        <v>521</v>
      </c>
      <c r="F44" s="20" t="s">
        <v>522</v>
      </c>
      <c r="G44" s="8" t="str">
        <f t="shared" si="0"/>
        <v>STARKS ANGELINA</v>
      </c>
    </row>
    <row r="45" spans="1:7" x14ac:dyDescent="0.25">
      <c r="A45" s="8">
        <v>42837.267997685187</v>
      </c>
      <c r="B45" s="20" t="s">
        <v>382</v>
      </c>
      <c r="C45" s="20" t="s">
        <v>694</v>
      </c>
      <c r="D45" s="146">
        <v>1360000</v>
      </c>
      <c r="E45" s="20" t="s">
        <v>494</v>
      </c>
      <c r="F45" s="20" t="s">
        <v>495</v>
      </c>
      <c r="G45" s="8" t="str">
        <f t="shared" si="0"/>
        <v>SANTIZO D. EDY</v>
      </c>
    </row>
    <row r="46" spans="1:7" x14ac:dyDescent="0.25">
      <c r="A46" s="8">
        <v>42837.268958333334</v>
      </c>
      <c r="B46" s="20" t="s">
        <v>378</v>
      </c>
      <c r="C46" s="20" t="s">
        <v>695</v>
      </c>
      <c r="D46" s="146">
        <v>1830000</v>
      </c>
      <c r="E46" s="20" t="s">
        <v>411</v>
      </c>
      <c r="F46" s="20" t="s">
        <v>412</v>
      </c>
      <c r="G46" s="8" t="str">
        <f t="shared" si="0"/>
        <v>YORK EDGAR</v>
      </c>
    </row>
    <row r="47" spans="1:7" x14ac:dyDescent="0.25">
      <c r="A47" s="8">
        <v>42837.273842592593</v>
      </c>
      <c r="B47" s="20" t="s">
        <v>375</v>
      </c>
      <c r="C47" s="20" t="s">
        <v>696</v>
      </c>
      <c r="D47" s="146">
        <v>2010000</v>
      </c>
      <c r="E47" s="20" t="s">
        <v>557</v>
      </c>
      <c r="F47" s="20" t="s">
        <v>558</v>
      </c>
      <c r="G47" s="8" t="str">
        <f t="shared" si="0"/>
        <v>MAELZER KURT</v>
      </c>
    </row>
    <row r="48" spans="1:7" x14ac:dyDescent="0.25">
      <c r="A48" s="8">
        <v>42837.276770833334</v>
      </c>
      <c r="B48" s="20" t="s">
        <v>621</v>
      </c>
      <c r="C48" s="20" t="s">
        <v>697</v>
      </c>
      <c r="D48" s="146">
        <v>3040000</v>
      </c>
      <c r="E48" s="20" t="s">
        <v>523</v>
      </c>
      <c r="F48" s="20" t="s">
        <v>524</v>
      </c>
      <c r="G48" s="8" t="str">
        <f t="shared" si="0"/>
        <v>WILLIAMS DONTE</v>
      </c>
    </row>
    <row r="49" spans="1:7" x14ac:dyDescent="0.25">
      <c r="A49" s="8">
        <v>42837.280833333331</v>
      </c>
      <c r="B49" s="20" t="s">
        <v>427</v>
      </c>
      <c r="C49" s="20" t="s">
        <v>698</v>
      </c>
      <c r="D49" s="146">
        <v>900000</v>
      </c>
      <c r="E49" s="20" t="s">
        <v>678</v>
      </c>
      <c r="F49" s="20" t="s">
        <v>679</v>
      </c>
      <c r="G49" s="8" t="str">
        <f t="shared" si="0"/>
        <v>ROCHA YAOTL</v>
      </c>
    </row>
    <row r="50" spans="1:7" x14ac:dyDescent="0.25">
      <c r="A50" s="8">
        <v>42837.284884259258</v>
      </c>
      <c r="B50" s="20" t="s">
        <v>432</v>
      </c>
      <c r="C50" s="20" t="s">
        <v>699</v>
      </c>
      <c r="D50" s="146">
        <v>1100000</v>
      </c>
      <c r="E50" s="20" t="s">
        <v>663</v>
      </c>
      <c r="F50" s="20" t="s">
        <v>664</v>
      </c>
      <c r="G50" s="8" t="str">
        <f t="shared" si="0"/>
        <v>GEBRETEKLE DAGNEW</v>
      </c>
    </row>
    <row r="51" spans="1:7" x14ac:dyDescent="0.25">
      <c r="A51" s="8">
        <v>42837.289259259262</v>
      </c>
      <c r="B51" s="20" t="s">
        <v>436</v>
      </c>
      <c r="C51" s="20" t="s">
        <v>700</v>
      </c>
      <c r="D51" s="146">
        <v>2550000</v>
      </c>
      <c r="E51" s="20" t="s">
        <v>653</v>
      </c>
      <c r="F51" s="20" t="s">
        <v>654</v>
      </c>
      <c r="G51" s="8" t="str">
        <f t="shared" si="0"/>
        <v>BADERTSCHER DIANE</v>
      </c>
    </row>
    <row r="52" spans="1:7" x14ac:dyDescent="0.25">
      <c r="A52" s="8">
        <v>42837.295266203706</v>
      </c>
      <c r="B52" s="20" t="s">
        <v>381</v>
      </c>
      <c r="C52" s="20" t="s">
        <v>701</v>
      </c>
      <c r="D52" s="146">
        <v>940000</v>
      </c>
      <c r="E52" s="20" t="s">
        <v>667</v>
      </c>
      <c r="F52" s="20" t="s">
        <v>668</v>
      </c>
      <c r="G52" s="8" t="str">
        <f t="shared" si="0"/>
        <v>BONDS REYNALDO</v>
      </c>
    </row>
    <row r="53" spans="1:7" x14ac:dyDescent="0.25">
      <c r="A53" s="8">
        <v>42837.296388888892</v>
      </c>
      <c r="B53" s="20" t="s">
        <v>377</v>
      </c>
      <c r="C53" s="20" t="s">
        <v>702</v>
      </c>
      <c r="D53" s="146">
        <v>1830000</v>
      </c>
      <c r="E53" s="20" t="s">
        <v>411</v>
      </c>
      <c r="F53" s="20" t="s">
        <v>412</v>
      </c>
      <c r="G53" s="8" t="str">
        <f t="shared" si="0"/>
        <v>YORK EDGAR</v>
      </c>
    </row>
    <row r="54" spans="1:7" x14ac:dyDescent="0.25">
      <c r="A54" s="8">
        <v>42837.298703703702</v>
      </c>
      <c r="B54" s="20" t="s">
        <v>555</v>
      </c>
      <c r="C54" s="20" t="s">
        <v>703</v>
      </c>
      <c r="D54" s="146">
        <v>1360000</v>
      </c>
      <c r="E54" s="20" t="s">
        <v>494</v>
      </c>
      <c r="F54" s="20" t="s">
        <v>495</v>
      </c>
      <c r="G54" s="8" t="str">
        <f t="shared" si="0"/>
        <v>SANTIZO D. EDY</v>
      </c>
    </row>
    <row r="55" spans="1:7" x14ac:dyDescent="0.25">
      <c r="A55" s="8">
        <v>42837.301168981481</v>
      </c>
      <c r="B55" s="20" t="s">
        <v>500</v>
      </c>
      <c r="C55" s="20" t="s">
        <v>693</v>
      </c>
      <c r="D55" s="146">
        <v>1110000</v>
      </c>
      <c r="E55" s="20" t="s">
        <v>521</v>
      </c>
      <c r="F55" s="20" t="s">
        <v>522</v>
      </c>
      <c r="G55" s="8" t="str">
        <f t="shared" si="0"/>
        <v>STARKS ANGELINA</v>
      </c>
    </row>
    <row r="56" spans="1:7" x14ac:dyDescent="0.25">
      <c r="A56" s="8">
        <v>42837.302129629628</v>
      </c>
      <c r="B56" s="20" t="s">
        <v>503</v>
      </c>
      <c r="C56" s="20" t="s">
        <v>620</v>
      </c>
      <c r="D56" s="146">
        <v>1110000</v>
      </c>
      <c r="E56" s="20" t="s">
        <v>521</v>
      </c>
      <c r="F56" s="20" t="s">
        <v>522</v>
      </c>
      <c r="G56" s="8" t="str">
        <f t="shared" si="0"/>
        <v>STARKS ANGELINA</v>
      </c>
    </row>
    <row r="57" spans="1:7" x14ac:dyDescent="0.25">
      <c r="A57" s="8">
        <v>42837.302951388891</v>
      </c>
      <c r="B57" s="20" t="s">
        <v>625</v>
      </c>
      <c r="C57" s="20" t="s">
        <v>704</v>
      </c>
      <c r="D57" s="146">
        <v>890000</v>
      </c>
      <c r="E57" s="20" t="s">
        <v>687</v>
      </c>
      <c r="F57" s="20" t="s">
        <v>688</v>
      </c>
      <c r="G57" s="8" t="str">
        <f t="shared" si="0"/>
        <v>LOZA FIDEL</v>
      </c>
    </row>
    <row r="58" spans="1:7" x14ac:dyDescent="0.25">
      <c r="A58" s="8">
        <v>42837.310694444444</v>
      </c>
      <c r="B58" s="20" t="s">
        <v>556</v>
      </c>
      <c r="C58" s="20" t="s">
        <v>705</v>
      </c>
      <c r="D58" s="146">
        <v>2010000</v>
      </c>
      <c r="E58" s="20" t="s">
        <v>557</v>
      </c>
      <c r="F58" s="20" t="s">
        <v>558</v>
      </c>
      <c r="G58" s="8" t="str">
        <f t="shared" si="0"/>
        <v>MAELZER KURT</v>
      </c>
    </row>
    <row r="59" spans="1:7" x14ac:dyDescent="0.25">
      <c r="A59" s="8">
        <v>42837.317650462966</v>
      </c>
      <c r="B59" s="20" t="s">
        <v>621</v>
      </c>
      <c r="C59" s="20" t="s">
        <v>622</v>
      </c>
      <c r="D59" s="146">
        <v>890000</v>
      </c>
      <c r="E59" s="20" t="s">
        <v>687</v>
      </c>
      <c r="F59" s="20" t="s">
        <v>688</v>
      </c>
      <c r="G59" s="8" t="str">
        <f t="shared" si="0"/>
        <v>LOZA FIDEL</v>
      </c>
    </row>
    <row r="60" spans="1:7" x14ac:dyDescent="0.25">
      <c r="A60" s="8">
        <v>42837.318310185183</v>
      </c>
      <c r="B60" s="20" t="s">
        <v>479</v>
      </c>
      <c r="C60" s="20" t="s">
        <v>706</v>
      </c>
      <c r="D60" s="146">
        <v>1100000</v>
      </c>
      <c r="E60" s="20" t="s">
        <v>663</v>
      </c>
      <c r="F60" s="20" t="s">
        <v>664</v>
      </c>
      <c r="G60" s="8" t="str">
        <f t="shared" si="0"/>
        <v>GEBRETEKLE DAGNEW</v>
      </c>
    </row>
    <row r="61" spans="1:7" x14ac:dyDescent="0.25">
      <c r="A61" s="8">
        <v>42837.319224537037</v>
      </c>
      <c r="B61" s="20" t="s">
        <v>424</v>
      </c>
      <c r="C61" s="20" t="s">
        <v>707</v>
      </c>
      <c r="D61" s="146">
        <v>900000</v>
      </c>
      <c r="E61" s="20" t="s">
        <v>678</v>
      </c>
      <c r="F61" s="20" t="s">
        <v>679</v>
      </c>
      <c r="G61" s="8" t="str">
        <f t="shared" si="0"/>
        <v>ROCHA YAOTL</v>
      </c>
    </row>
    <row r="62" spans="1:7" x14ac:dyDescent="0.25">
      <c r="A62" s="8">
        <v>42837.326909722222</v>
      </c>
      <c r="B62" s="20" t="s">
        <v>378</v>
      </c>
      <c r="C62" s="20" t="s">
        <v>708</v>
      </c>
      <c r="D62" s="146">
        <v>1830000</v>
      </c>
      <c r="E62" s="20" t="s">
        <v>411</v>
      </c>
      <c r="F62" s="20" t="s">
        <v>412</v>
      </c>
      <c r="G62" s="8" t="str">
        <f t="shared" si="0"/>
        <v>YORK EDGAR</v>
      </c>
    </row>
    <row r="63" spans="1:7" x14ac:dyDescent="0.25">
      <c r="A63" s="8">
        <v>42837.327013888891</v>
      </c>
      <c r="B63" s="20" t="s">
        <v>479</v>
      </c>
      <c r="C63" s="20" t="s">
        <v>706</v>
      </c>
      <c r="D63" s="146">
        <v>1100000</v>
      </c>
      <c r="E63" s="20" t="s">
        <v>663</v>
      </c>
      <c r="F63" s="20" t="s">
        <v>664</v>
      </c>
      <c r="G63" s="8" t="str">
        <f t="shared" si="0"/>
        <v>GEBRETEKLE DAGNEW</v>
      </c>
    </row>
    <row r="64" spans="1:7" x14ac:dyDescent="0.25">
      <c r="A64" s="26">
        <v>42837.3284375</v>
      </c>
      <c r="B64" s="20" t="s">
        <v>433</v>
      </c>
      <c r="C64" s="20" t="s">
        <v>623</v>
      </c>
      <c r="D64" s="146">
        <v>2550000</v>
      </c>
      <c r="E64" s="20" t="s">
        <v>653</v>
      </c>
      <c r="F64" s="20" t="s">
        <v>654</v>
      </c>
      <c r="G64" s="8" t="str">
        <f t="shared" si="0"/>
        <v>BADERTSCHER DIANE</v>
      </c>
    </row>
    <row r="65" spans="1:7" x14ac:dyDescent="0.25">
      <c r="A65" s="8">
        <v>42837.331006944441</v>
      </c>
      <c r="B65" s="20" t="s">
        <v>380</v>
      </c>
      <c r="C65" s="20" t="s">
        <v>709</v>
      </c>
      <c r="D65" s="146">
        <v>940000</v>
      </c>
      <c r="E65" s="20" t="s">
        <v>667</v>
      </c>
      <c r="F65" s="20" t="s">
        <v>668</v>
      </c>
      <c r="G65" s="8" t="str">
        <f t="shared" si="0"/>
        <v>BONDS REYNALDO</v>
      </c>
    </row>
    <row r="66" spans="1:7" x14ac:dyDescent="0.25">
      <c r="A66" s="8">
        <v>42837.335902777777</v>
      </c>
      <c r="B66" s="20" t="s">
        <v>500</v>
      </c>
      <c r="C66" s="20" t="s">
        <v>710</v>
      </c>
      <c r="D66" s="146">
        <v>1110000</v>
      </c>
      <c r="E66" s="20" t="s">
        <v>521</v>
      </c>
      <c r="F66" s="20" t="s">
        <v>522</v>
      </c>
      <c r="G66" s="8" t="str">
        <f t="shared" si="0"/>
        <v>STARKS ANGELINA</v>
      </c>
    </row>
    <row r="67" spans="1:7" x14ac:dyDescent="0.25">
      <c r="A67" s="8">
        <v>42837.33730324074</v>
      </c>
      <c r="B67" s="20" t="s">
        <v>377</v>
      </c>
      <c r="C67" s="20" t="s">
        <v>711</v>
      </c>
      <c r="D67" s="146">
        <v>1830000</v>
      </c>
      <c r="E67" s="20" t="s">
        <v>411</v>
      </c>
      <c r="F67" s="20" t="s">
        <v>412</v>
      </c>
      <c r="G67" s="8" t="str">
        <f t="shared" ref="G67:G130" si="1">E67&amp;" "&amp;F67</f>
        <v>YORK EDGAR</v>
      </c>
    </row>
    <row r="68" spans="1:7" x14ac:dyDescent="0.25">
      <c r="A68" s="8">
        <v>42837.339722222219</v>
      </c>
      <c r="B68" s="20" t="s">
        <v>382</v>
      </c>
      <c r="C68" s="20" t="s">
        <v>712</v>
      </c>
      <c r="D68" s="146">
        <v>1360000</v>
      </c>
      <c r="E68" s="20" t="s">
        <v>494</v>
      </c>
      <c r="F68" s="20" t="s">
        <v>495</v>
      </c>
      <c r="G68" s="8" t="str">
        <f t="shared" si="1"/>
        <v>SANTIZO D. EDY</v>
      </c>
    </row>
    <row r="69" spans="1:7" x14ac:dyDescent="0.25">
      <c r="A69" s="8">
        <v>42837.346087962964</v>
      </c>
      <c r="B69" s="20" t="s">
        <v>625</v>
      </c>
      <c r="C69" s="20" t="s">
        <v>713</v>
      </c>
      <c r="D69" s="146">
        <v>3040000</v>
      </c>
      <c r="E69" s="20" t="s">
        <v>523</v>
      </c>
      <c r="F69" s="20" t="s">
        <v>524</v>
      </c>
      <c r="G69" s="8" t="str">
        <f t="shared" si="1"/>
        <v>WILLIAMS DONTE</v>
      </c>
    </row>
    <row r="70" spans="1:7" x14ac:dyDescent="0.25">
      <c r="A70" s="8">
        <v>42837.347766203704</v>
      </c>
      <c r="B70" s="20" t="s">
        <v>375</v>
      </c>
      <c r="C70" s="20" t="s">
        <v>714</v>
      </c>
      <c r="D70" s="146">
        <v>2010000</v>
      </c>
      <c r="E70" s="20" t="s">
        <v>557</v>
      </c>
      <c r="F70" s="20" t="s">
        <v>558</v>
      </c>
      <c r="G70" s="8" t="str">
        <f t="shared" si="1"/>
        <v>MAELZER KURT</v>
      </c>
    </row>
    <row r="71" spans="1:7" x14ac:dyDescent="0.25">
      <c r="A71" s="8">
        <v>42837.351168981484</v>
      </c>
      <c r="B71" s="20" t="s">
        <v>427</v>
      </c>
      <c r="C71" s="20" t="s">
        <v>715</v>
      </c>
      <c r="D71" s="146">
        <v>900000</v>
      </c>
      <c r="E71" s="20" t="s">
        <v>678</v>
      </c>
      <c r="F71" s="20" t="s">
        <v>679</v>
      </c>
      <c r="G71" s="8" t="str">
        <f t="shared" si="1"/>
        <v>ROCHA YAOTL</v>
      </c>
    </row>
    <row r="72" spans="1:7" x14ac:dyDescent="0.25">
      <c r="A72" s="8">
        <v>42837.352442129632</v>
      </c>
      <c r="B72" s="20" t="s">
        <v>378</v>
      </c>
      <c r="C72" s="20" t="s">
        <v>716</v>
      </c>
      <c r="D72" s="146">
        <v>1830000</v>
      </c>
      <c r="E72" s="20" t="s">
        <v>411</v>
      </c>
      <c r="F72" s="20" t="s">
        <v>412</v>
      </c>
      <c r="G72" s="8" t="str">
        <f t="shared" si="1"/>
        <v>YORK EDGAR</v>
      </c>
    </row>
    <row r="73" spans="1:7" x14ac:dyDescent="0.25">
      <c r="A73" s="8">
        <v>42837.356469907405</v>
      </c>
      <c r="B73" s="20" t="s">
        <v>432</v>
      </c>
      <c r="C73" s="20" t="s">
        <v>717</v>
      </c>
      <c r="D73" s="146">
        <v>1100000</v>
      </c>
      <c r="E73" s="20" t="s">
        <v>663</v>
      </c>
      <c r="F73" s="20" t="s">
        <v>664</v>
      </c>
      <c r="G73" s="8" t="str">
        <f t="shared" si="1"/>
        <v>GEBRETEKLE DAGNEW</v>
      </c>
    </row>
    <row r="74" spans="1:7" x14ac:dyDescent="0.25">
      <c r="A74" s="8">
        <v>42837.359525462962</v>
      </c>
      <c r="B74" s="20" t="s">
        <v>621</v>
      </c>
      <c r="C74" s="20" t="s">
        <v>718</v>
      </c>
      <c r="D74" s="146">
        <v>3040000</v>
      </c>
      <c r="E74" s="20" t="s">
        <v>523</v>
      </c>
      <c r="F74" s="20" t="s">
        <v>524</v>
      </c>
      <c r="G74" s="8" t="str">
        <f t="shared" si="1"/>
        <v>WILLIAMS DONTE</v>
      </c>
    </row>
    <row r="75" spans="1:7" x14ac:dyDescent="0.25">
      <c r="A75" s="8">
        <v>42837.362951388888</v>
      </c>
      <c r="B75" s="20" t="s">
        <v>436</v>
      </c>
      <c r="C75" s="20" t="s">
        <v>719</v>
      </c>
      <c r="D75" s="146">
        <v>2550000</v>
      </c>
      <c r="E75" s="20" t="s">
        <v>653</v>
      </c>
      <c r="F75" s="20" t="s">
        <v>654</v>
      </c>
      <c r="G75" s="8" t="str">
        <f t="shared" si="1"/>
        <v>BADERTSCHER DIANE</v>
      </c>
    </row>
    <row r="76" spans="1:7" x14ac:dyDescent="0.25">
      <c r="A76" s="8">
        <v>42837.367523148147</v>
      </c>
      <c r="B76" s="20" t="s">
        <v>381</v>
      </c>
      <c r="C76" s="20" t="s">
        <v>720</v>
      </c>
      <c r="D76" s="146">
        <v>940000</v>
      </c>
      <c r="E76" s="20" t="s">
        <v>667</v>
      </c>
      <c r="F76" s="20" t="s">
        <v>668</v>
      </c>
      <c r="G76" s="8" t="str">
        <f t="shared" si="1"/>
        <v>BONDS REYNALDO</v>
      </c>
    </row>
    <row r="77" spans="1:7" x14ac:dyDescent="0.25">
      <c r="A77" s="8">
        <v>42837.370243055557</v>
      </c>
      <c r="B77" s="20" t="s">
        <v>555</v>
      </c>
      <c r="C77" s="20" t="s">
        <v>721</v>
      </c>
      <c r="D77" s="146">
        <v>1360000</v>
      </c>
      <c r="E77" s="20" t="s">
        <v>494</v>
      </c>
      <c r="F77" s="20" t="s">
        <v>495</v>
      </c>
      <c r="G77" s="8" t="str">
        <f t="shared" si="1"/>
        <v>SANTIZO D. EDY</v>
      </c>
    </row>
    <row r="78" spans="1:7" x14ac:dyDescent="0.25">
      <c r="A78" s="8">
        <v>42837.373854166668</v>
      </c>
      <c r="B78" s="20" t="s">
        <v>503</v>
      </c>
      <c r="C78" s="20" t="s">
        <v>722</v>
      </c>
      <c r="D78" s="146">
        <v>1110000</v>
      </c>
      <c r="E78" s="20" t="s">
        <v>521</v>
      </c>
      <c r="F78" s="20" t="s">
        <v>522</v>
      </c>
      <c r="G78" s="8" t="str">
        <f t="shared" si="1"/>
        <v>STARKS ANGELINA</v>
      </c>
    </row>
    <row r="79" spans="1:7" x14ac:dyDescent="0.25">
      <c r="A79" s="8">
        <v>42837.381377314814</v>
      </c>
      <c r="B79" s="20" t="s">
        <v>556</v>
      </c>
      <c r="C79" s="20" t="s">
        <v>723</v>
      </c>
      <c r="D79" s="146">
        <v>2010000</v>
      </c>
      <c r="E79" s="20" t="s">
        <v>557</v>
      </c>
      <c r="F79" s="20" t="s">
        <v>558</v>
      </c>
      <c r="G79" s="8" t="str">
        <f t="shared" si="1"/>
        <v>MAELZER KURT</v>
      </c>
    </row>
    <row r="80" spans="1:7" x14ac:dyDescent="0.25">
      <c r="A80" s="8">
        <v>42837.386828703704</v>
      </c>
      <c r="B80" s="20" t="s">
        <v>424</v>
      </c>
      <c r="C80" s="20" t="s">
        <v>624</v>
      </c>
      <c r="D80" s="146">
        <v>900000</v>
      </c>
      <c r="E80" s="20" t="s">
        <v>678</v>
      </c>
      <c r="F80" s="20" t="s">
        <v>679</v>
      </c>
      <c r="G80" s="8" t="str">
        <f t="shared" si="1"/>
        <v>ROCHA YAOTL</v>
      </c>
    </row>
    <row r="81" spans="1:7" x14ac:dyDescent="0.25">
      <c r="A81" s="8">
        <v>42837.387511574074</v>
      </c>
      <c r="B81" s="20" t="s">
        <v>625</v>
      </c>
      <c r="C81" s="20" t="s">
        <v>724</v>
      </c>
      <c r="D81" s="146">
        <v>890000</v>
      </c>
      <c r="E81" s="20" t="s">
        <v>687</v>
      </c>
      <c r="F81" s="20" t="s">
        <v>688</v>
      </c>
      <c r="G81" s="8" t="str">
        <f t="shared" si="1"/>
        <v>LOZA FIDEL</v>
      </c>
    </row>
    <row r="82" spans="1:7" x14ac:dyDescent="0.25">
      <c r="A82" s="8">
        <v>42837.391273148147</v>
      </c>
      <c r="B82" s="20" t="s">
        <v>479</v>
      </c>
      <c r="C82" s="20" t="s">
        <v>725</v>
      </c>
      <c r="D82" s="146">
        <v>1100000</v>
      </c>
      <c r="E82" s="20" t="s">
        <v>663</v>
      </c>
      <c r="F82" s="20" t="s">
        <v>664</v>
      </c>
      <c r="G82" s="8" t="str">
        <f t="shared" si="1"/>
        <v>GEBRETEKLE DAGNEW</v>
      </c>
    </row>
    <row r="83" spans="1:7" x14ac:dyDescent="0.25">
      <c r="A83" s="8">
        <v>42837.394606481481</v>
      </c>
      <c r="B83" s="20" t="s">
        <v>433</v>
      </c>
      <c r="C83" s="20" t="s">
        <v>726</v>
      </c>
      <c r="D83" s="146">
        <v>2550000</v>
      </c>
      <c r="E83" s="20" t="s">
        <v>653</v>
      </c>
      <c r="F83" s="20" t="s">
        <v>654</v>
      </c>
      <c r="G83" s="8" t="str">
        <f t="shared" si="1"/>
        <v>BADERTSCHER DIANE</v>
      </c>
    </row>
    <row r="84" spans="1:7" x14ac:dyDescent="0.25">
      <c r="A84" s="8">
        <v>42837.400405092594</v>
      </c>
      <c r="B84" s="20" t="s">
        <v>621</v>
      </c>
      <c r="C84" s="20" t="s">
        <v>727</v>
      </c>
      <c r="D84" s="146">
        <v>890000</v>
      </c>
      <c r="E84" s="20" t="s">
        <v>687</v>
      </c>
      <c r="F84" s="20" t="s">
        <v>688</v>
      </c>
      <c r="G84" s="8" t="str">
        <f t="shared" si="1"/>
        <v>LOZA FIDEL</v>
      </c>
    </row>
    <row r="85" spans="1:7" x14ac:dyDescent="0.25">
      <c r="A85" s="8">
        <v>42837.402465277781</v>
      </c>
      <c r="B85" s="20" t="s">
        <v>380</v>
      </c>
      <c r="C85" s="20" t="s">
        <v>728</v>
      </c>
      <c r="D85" s="146">
        <v>940000</v>
      </c>
      <c r="E85" s="20" t="s">
        <v>667</v>
      </c>
      <c r="F85" s="20" t="s">
        <v>668</v>
      </c>
      <c r="G85" s="8" t="str">
        <f t="shared" si="1"/>
        <v>BONDS REYNALDO</v>
      </c>
    </row>
    <row r="86" spans="1:7" x14ac:dyDescent="0.25">
      <c r="A86" s="8">
        <v>42837.410856481481</v>
      </c>
      <c r="B86" s="20" t="s">
        <v>382</v>
      </c>
      <c r="C86" s="20" t="s">
        <v>729</v>
      </c>
      <c r="D86" s="146">
        <v>1360000</v>
      </c>
      <c r="E86" s="20" t="s">
        <v>494</v>
      </c>
      <c r="F86" s="20" t="s">
        <v>495</v>
      </c>
      <c r="G86" s="8" t="str">
        <f t="shared" si="1"/>
        <v>SANTIZO D. EDY</v>
      </c>
    </row>
    <row r="87" spans="1:7" x14ac:dyDescent="0.25">
      <c r="A87" s="8">
        <v>42837.412928240738</v>
      </c>
      <c r="B87" s="20" t="s">
        <v>500</v>
      </c>
      <c r="C87" s="20" t="s">
        <v>730</v>
      </c>
      <c r="D87" s="146">
        <v>1110000</v>
      </c>
      <c r="E87" s="20" t="s">
        <v>521</v>
      </c>
      <c r="F87" s="20" t="s">
        <v>522</v>
      </c>
      <c r="G87" s="8" t="str">
        <f t="shared" si="1"/>
        <v>STARKS ANGELINA</v>
      </c>
    </row>
    <row r="88" spans="1:7" x14ac:dyDescent="0.25">
      <c r="A88" s="8">
        <v>42837.415034722224</v>
      </c>
      <c r="B88" s="20" t="s">
        <v>375</v>
      </c>
      <c r="C88" s="20" t="s">
        <v>731</v>
      </c>
      <c r="D88" s="146">
        <v>2010000</v>
      </c>
      <c r="E88" s="20" t="s">
        <v>557</v>
      </c>
      <c r="F88" s="20" t="s">
        <v>558</v>
      </c>
      <c r="G88" s="8" t="str">
        <f t="shared" si="1"/>
        <v>MAELZER KURT</v>
      </c>
    </row>
    <row r="89" spans="1:7" x14ac:dyDescent="0.25">
      <c r="A89" s="8">
        <v>42837.42255787037</v>
      </c>
      <c r="B89" s="20" t="s">
        <v>427</v>
      </c>
      <c r="C89" s="20" t="s">
        <v>732</v>
      </c>
      <c r="D89" s="146">
        <v>900000</v>
      </c>
      <c r="E89" s="20" t="s">
        <v>678</v>
      </c>
      <c r="F89" s="20" t="s">
        <v>679</v>
      </c>
      <c r="G89" s="8" t="str">
        <f t="shared" si="1"/>
        <v>ROCHA YAOTL</v>
      </c>
    </row>
    <row r="90" spans="1:7" x14ac:dyDescent="0.25">
      <c r="A90" s="8">
        <v>42837.426701388889</v>
      </c>
      <c r="B90" s="20" t="s">
        <v>432</v>
      </c>
      <c r="C90" s="20" t="s">
        <v>733</v>
      </c>
      <c r="D90" s="146">
        <v>1100000</v>
      </c>
      <c r="E90" s="20" t="s">
        <v>663</v>
      </c>
      <c r="F90" s="20" t="s">
        <v>664</v>
      </c>
      <c r="G90" s="8" t="str">
        <f t="shared" si="1"/>
        <v>GEBRETEKLE DAGNEW</v>
      </c>
    </row>
    <row r="91" spans="1:7" x14ac:dyDescent="0.25">
      <c r="A91" s="8">
        <v>42837.429432870369</v>
      </c>
      <c r="B91" s="20" t="s">
        <v>625</v>
      </c>
      <c r="C91" s="20" t="s">
        <v>626</v>
      </c>
      <c r="D91" s="146">
        <v>3040000</v>
      </c>
      <c r="E91" s="20" t="s">
        <v>523</v>
      </c>
      <c r="F91" s="20" t="s">
        <v>524</v>
      </c>
      <c r="G91" s="8" t="str">
        <f t="shared" si="1"/>
        <v>WILLIAMS DONTE</v>
      </c>
    </row>
    <row r="92" spans="1:7" x14ac:dyDescent="0.25">
      <c r="A92" s="8">
        <v>42837.430590277778</v>
      </c>
      <c r="B92" s="20" t="s">
        <v>631</v>
      </c>
      <c r="C92" s="20" t="s">
        <v>734</v>
      </c>
      <c r="D92" s="146">
        <v>1780000</v>
      </c>
      <c r="E92" s="20" t="s">
        <v>735</v>
      </c>
      <c r="F92" s="20" t="s">
        <v>736</v>
      </c>
      <c r="G92" s="8" t="str">
        <f t="shared" si="1"/>
        <v>DE LA ROSA ALEX</v>
      </c>
    </row>
    <row r="93" spans="1:7" x14ac:dyDescent="0.25">
      <c r="A93" s="8">
        <v>42837.433749999997</v>
      </c>
      <c r="B93" s="20" t="s">
        <v>436</v>
      </c>
      <c r="C93" s="20" t="s">
        <v>627</v>
      </c>
      <c r="D93" s="146">
        <v>1830000</v>
      </c>
      <c r="E93" s="20" t="s">
        <v>411</v>
      </c>
      <c r="F93" s="20" t="s">
        <v>412</v>
      </c>
      <c r="G93" s="8" t="str">
        <f t="shared" si="1"/>
        <v>YORK EDGAR</v>
      </c>
    </row>
    <row r="94" spans="1:7" x14ac:dyDescent="0.25">
      <c r="A94" s="8">
        <v>42837.442303240743</v>
      </c>
      <c r="B94" s="20" t="s">
        <v>381</v>
      </c>
      <c r="C94" s="20" t="s">
        <v>737</v>
      </c>
      <c r="D94" s="146">
        <v>940000</v>
      </c>
      <c r="E94" s="20" t="s">
        <v>667</v>
      </c>
      <c r="F94" s="20" t="s">
        <v>668</v>
      </c>
      <c r="G94" s="8" t="str">
        <f t="shared" si="1"/>
        <v>BONDS REYNALDO</v>
      </c>
    </row>
    <row r="95" spans="1:7" x14ac:dyDescent="0.25">
      <c r="A95" s="8">
        <v>42837.443518518521</v>
      </c>
      <c r="B95" s="20" t="s">
        <v>621</v>
      </c>
      <c r="C95" s="20" t="s">
        <v>628</v>
      </c>
      <c r="D95" s="146">
        <v>3040000</v>
      </c>
      <c r="E95" s="20" t="s">
        <v>523</v>
      </c>
      <c r="F95" s="20" t="s">
        <v>524</v>
      </c>
      <c r="G95" s="8" t="str">
        <f t="shared" si="1"/>
        <v>WILLIAMS DONTE</v>
      </c>
    </row>
    <row r="96" spans="1:7" x14ac:dyDescent="0.25">
      <c r="A96" s="8">
        <v>42837.44425925926</v>
      </c>
      <c r="B96" s="20" t="s">
        <v>555</v>
      </c>
      <c r="C96" s="20" t="s">
        <v>629</v>
      </c>
      <c r="D96" s="146">
        <v>1360000</v>
      </c>
      <c r="E96" s="20" t="s">
        <v>494</v>
      </c>
      <c r="F96" s="20" t="s">
        <v>495</v>
      </c>
      <c r="G96" s="8" t="str">
        <f t="shared" si="1"/>
        <v>SANTIZO D. EDY</v>
      </c>
    </row>
    <row r="97" spans="1:7" x14ac:dyDescent="0.25">
      <c r="A97" s="8">
        <v>42837.444386574076</v>
      </c>
      <c r="B97" s="20" t="s">
        <v>503</v>
      </c>
      <c r="C97" s="20" t="s">
        <v>738</v>
      </c>
      <c r="D97" s="146">
        <v>1110000</v>
      </c>
      <c r="E97" s="20" t="s">
        <v>521</v>
      </c>
      <c r="F97" s="20" t="s">
        <v>522</v>
      </c>
      <c r="G97" s="8" t="str">
        <f t="shared" si="1"/>
        <v>STARKS ANGELINA</v>
      </c>
    </row>
    <row r="98" spans="1:7" x14ac:dyDescent="0.25">
      <c r="A98" s="8">
        <v>42837.454664351855</v>
      </c>
      <c r="B98" s="20" t="s">
        <v>556</v>
      </c>
      <c r="C98" s="20" t="s">
        <v>739</v>
      </c>
      <c r="D98" s="146">
        <v>2370000</v>
      </c>
      <c r="E98" s="20" t="s">
        <v>740</v>
      </c>
      <c r="F98" s="20" t="s">
        <v>741</v>
      </c>
      <c r="G98" s="8" t="str">
        <f t="shared" si="1"/>
        <v>DELGADO DIANAH</v>
      </c>
    </row>
    <row r="99" spans="1:7" x14ac:dyDescent="0.25">
      <c r="A99" s="8">
        <v>42837.456238425926</v>
      </c>
      <c r="B99" s="20" t="s">
        <v>424</v>
      </c>
      <c r="C99" s="20" t="s">
        <v>742</v>
      </c>
      <c r="D99" s="146">
        <v>900000</v>
      </c>
      <c r="E99" s="20" t="s">
        <v>678</v>
      </c>
      <c r="F99" s="20" t="s">
        <v>679</v>
      </c>
      <c r="G99" s="8" t="str">
        <f t="shared" si="1"/>
        <v>ROCHA YAOTL</v>
      </c>
    </row>
    <row r="100" spans="1:7" x14ac:dyDescent="0.25">
      <c r="A100" s="8">
        <v>42837.458680555559</v>
      </c>
      <c r="B100" s="20" t="s">
        <v>625</v>
      </c>
      <c r="C100" s="20" t="s">
        <v>743</v>
      </c>
      <c r="D100" s="146">
        <v>3040000</v>
      </c>
      <c r="E100" s="20" t="s">
        <v>523</v>
      </c>
      <c r="F100" s="20" t="s">
        <v>524</v>
      </c>
      <c r="G100" s="8" t="str">
        <f t="shared" si="1"/>
        <v>WILLIAMS DONTE</v>
      </c>
    </row>
    <row r="101" spans="1:7" x14ac:dyDescent="0.25">
      <c r="A101" s="8">
        <v>42837.458854166667</v>
      </c>
      <c r="B101" s="20" t="s">
        <v>744</v>
      </c>
      <c r="C101" s="20" t="s">
        <v>745</v>
      </c>
      <c r="D101" s="146">
        <v>1290000</v>
      </c>
      <c r="E101" s="20" t="s">
        <v>559</v>
      </c>
      <c r="F101" s="20" t="s">
        <v>460</v>
      </c>
      <c r="G101" s="8" t="str">
        <f t="shared" si="1"/>
        <v>COOLAHAN JOHN</v>
      </c>
    </row>
    <row r="102" spans="1:7" x14ac:dyDescent="0.25">
      <c r="A102" s="8">
        <v>42837.463321759256</v>
      </c>
      <c r="B102" s="20" t="s">
        <v>433</v>
      </c>
      <c r="C102" s="20" t="s">
        <v>746</v>
      </c>
      <c r="D102" s="146">
        <v>1830000</v>
      </c>
      <c r="E102" s="20" t="s">
        <v>411</v>
      </c>
      <c r="F102" s="20" t="s">
        <v>412</v>
      </c>
      <c r="G102" s="8" t="str">
        <f t="shared" si="1"/>
        <v>YORK EDGAR</v>
      </c>
    </row>
    <row r="103" spans="1:7" x14ac:dyDescent="0.25">
      <c r="A103" s="8">
        <v>42837.464953703704</v>
      </c>
      <c r="B103" s="20" t="s">
        <v>479</v>
      </c>
      <c r="C103" s="20" t="s">
        <v>747</v>
      </c>
      <c r="D103" s="146">
        <v>2260000</v>
      </c>
      <c r="E103" s="20" t="s">
        <v>748</v>
      </c>
      <c r="F103" s="20" t="s">
        <v>749</v>
      </c>
      <c r="G103" s="8" t="str">
        <f t="shared" si="1"/>
        <v>ARVIDSON DANIEL</v>
      </c>
    </row>
    <row r="104" spans="1:7" x14ac:dyDescent="0.25">
      <c r="A104" s="8">
        <v>42837.476747685185</v>
      </c>
      <c r="B104" s="20" t="s">
        <v>380</v>
      </c>
      <c r="C104" s="20" t="s">
        <v>750</v>
      </c>
      <c r="D104" s="146">
        <v>2970000</v>
      </c>
      <c r="E104" s="20" t="s">
        <v>428</v>
      </c>
      <c r="F104" s="20" t="s">
        <v>429</v>
      </c>
      <c r="G104" s="8" t="str">
        <f t="shared" si="1"/>
        <v>GUZMAN DANNY</v>
      </c>
    </row>
    <row r="105" spans="1:7" x14ac:dyDescent="0.25">
      <c r="A105" s="8">
        <v>42837.484444444446</v>
      </c>
      <c r="B105" s="20" t="s">
        <v>621</v>
      </c>
      <c r="C105" s="20" t="s">
        <v>751</v>
      </c>
      <c r="D105" s="146">
        <v>890000</v>
      </c>
      <c r="E105" s="20" t="s">
        <v>687</v>
      </c>
      <c r="F105" s="20" t="s">
        <v>688</v>
      </c>
      <c r="G105" s="8" t="str">
        <f t="shared" si="1"/>
        <v>LOZA FIDEL</v>
      </c>
    </row>
    <row r="106" spans="1:7" x14ac:dyDescent="0.25">
      <c r="A106" s="8">
        <v>42837.486157407409</v>
      </c>
      <c r="B106" s="20" t="s">
        <v>500</v>
      </c>
      <c r="C106" s="20" t="s">
        <v>630</v>
      </c>
      <c r="D106" s="146">
        <v>1110000</v>
      </c>
      <c r="E106" s="20" t="s">
        <v>521</v>
      </c>
      <c r="F106" s="20" t="s">
        <v>522</v>
      </c>
      <c r="G106" s="8" t="str">
        <f t="shared" si="1"/>
        <v>STARKS ANGELINA</v>
      </c>
    </row>
    <row r="107" spans="1:7" x14ac:dyDescent="0.25">
      <c r="A107" s="8">
        <v>42837.486932870372</v>
      </c>
      <c r="B107" s="20" t="s">
        <v>631</v>
      </c>
      <c r="C107" s="20" t="s">
        <v>632</v>
      </c>
      <c r="D107" s="146">
        <v>1760000</v>
      </c>
      <c r="E107" s="20" t="s">
        <v>560</v>
      </c>
      <c r="F107" s="20" t="s">
        <v>561</v>
      </c>
      <c r="G107" s="8" t="str">
        <f t="shared" si="1"/>
        <v>STRICKLAND EVAN</v>
      </c>
    </row>
    <row r="108" spans="1:7" x14ac:dyDescent="0.25">
      <c r="A108" s="8">
        <v>42837.488252314812</v>
      </c>
      <c r="B108" s="20" t="s">
        <v>382</v>
      </c>
      <c r="C108" s="20" t="s">
        <v>752</v>
      </c>
      <c r="D108" s="146">
        <v>3020000</v>
      </c>
      <c r="E108" s="20" t="s">
        <v>527</v>
      </c>
      <c r="F108" s="20" t="s">
        <v>528</v>
      </c>
      <c r="G108" s="8" t="str">
        <f t="shared" si="1"/>
        <v>MENGES BRAD</v>
      </c>
    </row>
    <row r="109" spans="1:7" x14ac:dyDescent="0.25">
      <c r="A109" s="8">
        <v>42837.490057870367</v>
      </c>
      <c r="B109" s="20" t="s">
        <v>375</v>
      </c>
      <c r="C109" s="20" t="s">
        <v>753</v>
      </c>
      <c r="D109" s="146">
        <v>2370000</v>
      </c>
      <c r="E109" s="20" t="s">
        <v>740</v>
      </c>
      <c r="F109" s="20" t="s">
        <v>741</v>
      </c>
      <c r="G109" s="8" t="str">
        <f t="shared" si="1"/>
        <v>DELGADO DIANAH</v>
      </c>
    </row>
    <row r="110" spans="1:7" x14ac:dyDescent="0.25">
      <c r="A110" s="8">
        <v>42837.495949074073</v>
      </c>
      <c r="B110" s="20" t="s">
        <v>427</v>
      </c>
      <c r="C110" s="20" t="s">
        <v>754</v>
      </c>
      <c r="D110" s="146">
        <v>1120000</v>
      </c>
      <c r="E110" s="20" t="s">
        <v>525</v>
      </c>
      <c r="F110" s="20" t="s">
        <v>526</v>
      </c>
      <c r="G110" s="8" t="str">
        <f t="shared" si="1"/>
        <v>LOCKLEAR TRAVIS</v>
      </c>
    </row>
    <row r="111" spans="1:7" x14ac:dyDescent="0.25">
      <c r="A111" s="8">
        <v>42837.4996875</v>
      </c>
      <c r="B111" s="20" t="s">
        <v>625</v>
      </c>
      <c r="C111" s="20" t="s">
        <v>633</v>
      </c>
      <c r="D111" s="146">
        <v>3040000</v>
      </c>
      <c r="E111" s="20" t="s">
        <v>523</v>
      </c>
      <c r="F111" s="20" t="s">
        <v>524</v>
      </c>
      <c r="G111" s="8" t="str">
        <f t="shared" si="1"/>
        <v>WILLIAMS DONTE</v>
      </c>
    </row>
    <row r="112" spans="1:7" x14ac:dyDescent="0.25">
      <c r="A112" s="8">
        <v>42837.503842592596</v>
      </c>
      <c r="B112" s="20" t="s">
        <v>432</v>
      </c>
      <c r="C112" s="20" t="s">
        <v>755</v>
      </c>
      <c r="D112" s="146">
        <v>2260000</v>
      </c>
      <c r="E112" s="20" t="s">
        <v>748</v>
      </c>
      <c r="F112" s="20" t="s">
        <v>749</v>
      </c>
      <c r="G112" s="8" t="str">
        <f t="shared" si="1"/>
        <v>ARVIDSON DANIEL</v>
      </c>
    </row>
    <row r="113" spans="1:7" x14ac:dyDescent="0.25">
      <c r="A113" s="8">
        <v>42837.506620370368</v>
      </c>
      <c r="B113" s="20" t="s">
        <v>436</v>
      </c>
      <c r="C113" s="20" t="s">
        <v>634</v>
      </c>
      <c r="D113" s="146">
        <v>1300000</v>
      </c>
      <c r="E113" s="20" t="s">
        <v>496</v>
      </c>
      <c r="F113" s="20" t="s">
        <v>497</v>
      </c>
      <c r="G113" s="8" t="str">
        <f t="shared" si="1"/>
        <v>LEVIN SCOTT</v>
      </c>
    </row>
    <row r="114" spans="1:7" x14ac:dyDescent="0.25">
      <c r="A114" s="8">
        <v>42837.509826388887</v>
      </c>
      <c r="B114" s="20" t="s">
        <v>381</v>
      </c>
      <c r="C114" s="20" t="s">
        <v>756</v>
      </c>
      <c r="D114" s="146">
        <v>2970000</v>
      </c>
      <c r="E114" s="20" t="s">
        <v>428</v>
      </c>
      <c r="F114" s="20" t="s">
        <v>429</v>
      </c>
      <c r="G114" s="8" t="str">
        <f t="shared" si="1"/>
        <v>GUZMAN DANNY</v>
      </c>
    </row>
    <row r="115" spans="1:7" x14ac:dyDescent="0.25">
      <c r="A115" s="8">
        <v>42837.517858796295</v>
      </c>
      <c r="B115" s="20" t="s">
        <v>503</v>
      </c>
      <c r="C115" s="20" t="s">
        <v>636</v>
      </c>
      <c r="D115" s="146">
        <v>1760000</v>
      </c>
      <c r="E115" s="20" t="s">
        <v>560</v>
      </c>
      <c r="F115" s="20" t="s">
        <v>561</v>
      </c>
      <c r="G115" s="8" t="str">
        <f t="shared" si="1"/>
        <v>STRICKLAND EVAN</v>
      </c>
    </row>
    <row r="116" spans="1:7" x14ac:dyDescent="0.25">
      <c r="A116" s="8">
        <v>42837.521736111114</v>
      </c>
      <c r="B116" s="20" t="s">
        <v>744</v>
      </c>
      <c r="C116" s="20" t="s">
        <v>757</v>
      </c>
      <c r="D116" s="146">
        <v>1110000</v>
      </c>
      <c r="E116" s="20" t="s">
        <v>521</v>
      </c>
      <c r="F116" s="20" t="s">
        <v>522</v>
      </c>
      <c r="G116" s="8" t="str">
        <f t="shared" si="1"/>
        <v>STARKS ANGELINA</v>
      </c>
    </row>
    <row r="117" spans="1:7" x14ac:dyDescent="0.25">
      <c r="A117" s="8">
        <v>42837.523969907408</v>
      </c>
      <c r="B117" s="20" t="s">
        <v>555</v>
      </c>
      <c r="C117" s="20" t="s">
        <v>635</v>
      </c>
      <c r="D117" s="146">
        <v>3020000</v>
      </c>
      <c r="E117" s="20" t="s">
        <v>527</v>
      </c>
      <c r="F117" s="20" t="s">
        <v>528</v>
      </c>
      <c r="G117" s="8" t="str">
        <f t="shared" si="1"/>
        <v>MENGES BRAD</v>
      </c>
    </row>
    <row r="118" spans="1:7" x14ac:dyDescent="0.25">
      <c r="A118" s="8">
        <v>42837.527025462965</v>
      </c>
      <c r="B118" s="20" t="s">
        <v>556</v>
      </c>
      <c r="C118" s="20" t="s">
        <v>637</v>
      </c>
      <c r="D118" s="146">
        <v>2370000</v>
      </c>
      <c r="E118" s="20" t="s">
        <v>740</v>
      </c>
      <c r="F118" s="20" t="s">
        <v>741</v>
      </c>
      <c r="G118" s="8" t="str">
        <f t="shared" si="1"/>
        <v>DELGADO DIANAH</v>
      </c>
    </row>
    <row r="119" spans="1:7" x14ac:dyDescent="0.25">
      <c r="A119" s="8">
        <v>42837.527650462966</v>
      </c>
      <c r="B119" s="20" t="s">
        <v>621</v>
      </c>
      <c r="C119" s="20" t="s">
        <v>758</v>
      </c>
      <c r="D119" s="146">
        <v>3040000</v>
      </c>
      <c r="E119" s="20" t="s">
        <v>523</v>
      </c>
      <c r="F119" s="20" t="s">
        <v>524</v>
      </c>
      <c r="G119" s="8" t="str">
        <f t="shared" si="1"/>
        <v>WILLIAMS DONTE</v>
      </c>
    </row>
    <row r="120" spans="1:7" x14ac:dyDescent="0.25">
      <c r="A120" s="8">
        <v>42837.538148148145</v>
      </c>
      <c r="B120" s="20" t="s">
        <v>424</v>
      </c>
      <c r="C120" s="20" t="s">
        <v>759</v>
      </c>
      <c r="D120" s="146">
        <v>1120000</v>
      </c>
      <c r="E120" s="20" t="s">
        <v>525</v>
      </c>
      <c r="F120" s="20" t="s">
        <v>526</v>
      </c>
      <c r="G120" s="8" t="str">
        <f t="shared" si="1"/>
        <v>LOCKLEAR TRAVIS</v>
      </c>
    </row>
    <row r="121" spans="1:7" x14ac:dyDescent="0.25">
      <c r="A121" s="8">
        <v>42837.540219907409</v>
      </c>
      <c r="B121" s="20" t="s">
        <v>479</v>
      </c>
      <c r="C121" s="20" t="s">
        <v>760</v>
      </c>
      <c r="D121" s="146">
        <v>2260000</v>
      </c>
      <c r="E121" s="20" t="s">
        <v>748</v>
      </c>
      <c r="F121" s="20" t="s">
        <v>749</v>
      </c>
      <c r="G121" s="8" t="str">
        <f t="shared" si="1"/>
        <v>ARVIDSON DANIEL</v>
      </c>
    </row>
    <row r="122" spans="1:7" x14ac:dyDescent="0.25">
      <c r="A122" s="8">
        <v>42837.545567129629</v>
      </c>
      <c r="B122" s="25" t="s">
        <v>433</v>
      </c>
      <c r="C122" s="20" t="s">
        <v>761</v>
      </c>
      <c r="D122" s="146">
        <v>1300000</v>
      </c>
      <c r="E122" s="20" t="s">
        <v>496</v>
      </c>
      <c r="F122" s="20" t="s">
        <v>497</v>
      </c>
      <c r="G122" s="8" t="str">
        <f t="shared" si="1"/>
        <v>LEVIN SCOTT</v>
      </c>
    </row>
    <row r="123" spans="1:7" x14ac:dyDescent="0.25">
      <c r="A123" s="8">
        <v>42837.547754629632</v>
      </c>
      <c r="B123" s="20" t="s">
        <v>380</v>
      </c>
      <c r="C123" s="20" t="s">
        <v>762</v>
      </c>
      <c r="D123" s="146">
        <v>2970000</v>
      </c>
      <c r="E123" s="20" t="s">
        <v>428</v>
      </c>
      <c r="F123" s="20" t="s">
        <v>429</v>
      </c>
      <c r="G123" s="8" t="str">
        <f t="shared" si="1"/>
        <v>GUZMAN DANNY</v>
      </c>
    </row>
    <row r="124" spans="1:7" x14ac:dyDescent="0.25">
      <c r="A124" s="8">
        <v>42837.549837962964</v>
      </c>
      <c r="B124" s="20" t="s">
        <v>500</v>
      </c>
      <c r="C124" s="20" t="s">
        <v>763</v>
      </c>
      <c r="D124" s="146">
        <v>1760000</v>
      </c>
      <c r="E124" s="20" t="s">
        <v>560</v>
      </c>
      <c r="F124" s="20" t="s">
        <v>561</v>
      </c>
      <c r="G124" s="8" t="str">
        <f t="shared" si="1"/>
        <v>STRICKLAND EVAN</v>
      </c>
    </row>
    <row r="125" spans="1:7" x14ac:dyDescent="0.25">
      <c r="A125" s="8">
        <v>42837.550173611111</v>
      </c>
      <c r="B125" s="20" t="s">
        <v>625</v>
      </c>
      <c r="C125" s="20" t="s">
        <v>638</v>
      </c>
      <c r="D125" s="146">
        <v>3010000</v>
      </c>
      <c r="E125" s="20" t="s">
        <v>461</v>
      </c>
      <c r="F125" s="20" t="s">
        <v>462</v>
      </c>
      <c r="G125" s="8" t="str">
        <f t="shared" si="1"/>
        <v>SULLIVAN BRANDON</v>
      </c>
    </row>
    <row r="126" spans="1:7" x14ac:dyDescent="0.25">
      <c r="A126" s="8">
        <v>42837.558611111112</v>
      </c>
      <c r="B126" s="20" t="s">
        <v>382</v>
      </c>
      <c r="C126" s="20" t="s">
        <v>764</v>
      </c>
      <c r="D126" s="146">
        <v>3020000</v>
      </c>
      <c r="E126" s="20" t="s">
        <v>527</v>
      </c>
      <c r="F126" s="20" t="s">
        <v>528</v>
      </c>
      <c r="G126" s="8" t="str">
        <f t="shared" si="1"/>
        <v>MENGES BRAD</v>
      </c>
    </row>
    <row r="127" spans="1:7" x14ac:dyDescent="0.25">
      <c r="A127" s="8">
        <v>42837.560289351852</v>
      </c>
      <c r="B127" s="20" t="s">
        <v>375</v>
      </c>
      <c r="C127" s="20" t="s">
        <v>765</v>
      </c>
      <c r="D127" s="146">
        <v>2370000</v>
      </c>
      <c r="E127" s="20" t="s">
        <v>740</v>
      </c>
      <c r="F127" s="20" t="s">
        <v>741</v>
      </c>
      <c r="G127" s="8" t="str">
        <f t="shared" si="1"/>
        <v>DELGADO DIANAH</v>
      </c>
    </row>
    <row r="128" spans="1:7" x14ac:dyDescent="0.25">
      <c r="A128" s="8">
        <v>42837.56894675926</v>
      </c>
      <c r="B128" s="20" t="s">
        <v>621</v>
      </c>
      <c r="C128" s="20" t="s">
        <v>766</v>
      </c>
      <c r="D128" s="146">
        <v>3010000</v>
      </c>
      <c r="E128" s="20" t="s">
        <v>461</v>
      </c>
      <c r="F128" s="20" t="s">
        <v>462</v>
      </c>
      <c r="G128" s="8" t="str">
        <f t="shared" si="1"/>
        <v>SULLIVAN BRANDON</v>
      </c>
    </row>
    <row r="129" spans="1:7" x14ac:dyDescent="0.25">
      <c r="A129" s="8">
        <v>42837.570092592592</v>
      </c>
      <c r="B129" s="20" t="s">
        <v>427</v>
      </c>
      <c r="C129" s="20" t="s">
        <v>767</v>
      </c>
      <c r="D129" s="146">
        <v>1120000</v>
      </c>
      <c r="E129" s="20" t="s">
        <v>525</v>
      </c>
      <c r="F129" s="20" t="s">
        <v>526</v>
      </c>
      <c r="G129" s="8" t="str">
        <f t="shared" si="1"/>
        <v>LOCKLEAR TRAVIS</v>
      </c>
    </row>
    <row r="130" spans="1:7" x14ac:dyDescent="0.25">
      <c r="A130" s="8">
        <v>42837.576828703706</v>
      </c>
      <c r="B130" s="20" t="s">
        <v>432</v>
      </c>
      <c r="C130" s="20" t="s">
        <v>768</v>
      </c>
      <c r="D130" s="146">
        <v>2260000</v>
      </c>
      <c r="E130" s="20" t="s">
        <v>748</v>
      </c>
      <c r="F130" s="20" t="s">
        <v>749</v>
      </c>
      <c r="G130" s="8" t="str">
        <f t="shared" si="1"/>
        <v>ARVIDSON DANIEL</v>
      </c>
    </row>
    <row r="131" spans="1:7" x14ac:dyDescent="0.25">
      <c r="A131" s="8">
        <v>42837.580381944441</v>
      </c>
      <c r="B131" s="20" t="s">
        <v>436</v>
      </c>
      <c r="C131" s="20" t="s">
        <v>769</v>
      </c>
      <c r="D131" s="146">
        <v>1300000</v>
      </c>
      <c r="E131" s="20" t="s">
        <v>496</v>
      </c>
      <c r="F131" s="20" t="s">
        <v>497</v>
      </c>
      <c r="G131" s="8" t="str">
        <f t="shared" ref="G131:G194" si="2">E131&amp;" "&amp;F131</f>
        <v>LEVIN SCOTT</v>
      </c>
    </row>
    <row r="132" spans="1:7" x14ac:dyDescent="0.25">
      <c r="A132" s="8">
        <v>42837.586076388892</v>
      </c>
      <c r="B132" s="20" t="s">
        <v>381</v>
      </c>
      <c r="C132" s="20" t="s">
        <v>770</v>
      </c>
      <c r="D132" s="146">
        <v>2970000</v>
      </c>
      <c r="E132" s="20" t="s">
        <v>428</v>
      </c>
      <c r="F132" s="20" t="s">
        <v>429</v>
      </c>
      <c r="G132" s="8" t="str">
        <f t="shared" si="2"/>
        <v>GUZMAN DANNY</v>
      </c>
    </row>
    <row r="133" spans="1:7" x14ac:dyDescent="0.25">
      <c r="A133" s="8">
        <v>42837.589872685188</v>
      </c>
      <c r="B133" s="20" t="s">
        <v>503</v>
      </c>
      <c r="C133" s="20" t="s">
        <v>771</v>
      </c>
      <c r="D133" s="146">
        <v>1760000</v>
      </c>
      <c r="E133" s="20" t="s">
        <v>560</v>
      </c>
      <c r="F133" s="20" t="s">
        <v>561</v>
      </c>
      <c r="G133" s="8" t="str">
        <f t="shared" si="2"/>
        <v>STRICKLAND EVAN</v>
      </c>
    </row>
    <row r="134" spans="1:7" x14ac:dyDescent="0.25">
      <c r="A134" s="8">
        <v>42837.593101851853</v>
      </c>
      <c r="B134" s="20" t="s">
        <v>625</v>
      </c>
      <c r="C134" s="20" t="s">
        <v>772</v>
      </c>
      <c r="D134" s="146">
        <v>3010000</v>
      </c>
      <c r="E134" s="20" t="s">
        <v>461</v>
      </c>
      <c r="F134" s="20" t="s">
        <v>462</v>
      </c>
      <c r="G134" s="8" t="str">
        <f t="shared" si="2"/>
        <v>SULLIVAN BRANDON</v>
      </c>
    </row>
    <row r="135" spans="1:7" x14ac:dyDescent="0.25">
      <c r="A135" s="8">
        <v>42837.599374999998</v>
      </c>
      <c r="B135" s="20" t="s">
        <v>555</v>
      </c>
      <c r="C135" s="20" t="s">
        <v>773</v>
      </c>
      <c r="D135" s="146">
        <v>3020000</v>
      </c>
      <c r="E135" s="20" t="s">
        <v>527</v>
      </c>
      <c r="F135" s="20" t="s">
        <v>528</v>
      </c>
      <c r="G135" s="8" t="str">
        <f t="shared" si="2"/>
        <v>MENGES BRAD</v>
      </c>
    </row>
    <row r="136" spans="1:7" x14ac:dyDescent="0.25">
      <c r="A136" s="8">
        <v>42837.600104166668</v>
      </c>
      <c r="B136" s="20" t="s">
        <v>556</v>
      </c>
      <c r="C136" s="20" t="s">
        <v>774</v>
      </c>
      <c r="D136" s="146">
        <v>2370000</v>
      </c>
      <c r="E136" s="20" t="s">
        <v>740</v>
      </c>
      <c r="F136" s="20" t="s">
        <v>741</v>
      </c>
      <c r="G136" s="8" t="str">
        <f t="shared" si="2"/>
        <v>DELGADO DIANAH</v>
      </c>
    </row>
    <row r="137" spans="1:7" x14ac:dyDescent="0.25">
      <c r="A137" s="8">
        <v>42837.609282407408</v>
      </c>
      <c r="B137" s="20" t="s">
        <v>621</v>
      </c>
      <c r="C137" s="20" t="s">
        <v>775</v>
      </c>
      <c r="D137" s="146">
        <v>3010000</v>
      </c>
      <c r="E137" s="20" t="s">
        <v>461</v>
      </c>
      <c r="F137" s="20" t="s">
        <v>462</v>
      </c>
      <c r="G137" s="8" t="str">
        <f t="shared" si="2"/>
        <v>SULLIVAN BRANDON</v>
      </c>
    </row>
    <row r="138" spans="1:7" x14ac:dyDescent="0.25">
      <c r="A138" s="8">
        <v>42837.610439814816</v>
      </c>
      <c r="B138" s="20" t="s">
        <v>424</v>
      </c>
      <c r="C138" s="20" t="s">
        <v>640</v>
      </c>
      <c r="D138" s="146">
        <v>1120000</v>
      </c>
      <c r="E138" s="20" t="s">
        <v>525</v>
      </c>
      <c r="F138" s="20" t="s">
        <v>526</v>
      </c>
      <c r="G138" s="8" t="str">
        <f t="shared" si="2"/>
        <v>LOCKLEAR TRAVIS</v>
      </c>
    </row>
    <row r="139" spans="1:7" x14ac:dyDescent="0.25">
      <c r="A139" s="8">
        <v>42837.612523148149</v>
      </c>
      <c r="B139" s="20" t="s">
        <v>479</v>
      </c>
      <c r="C139" s="20" t="s">
        <v>639</v>
      </c>
      <c r="D139" s="146">
        <v>2260000</v>
      </c>
      <c r="E139" s="20" t="s">
        <v>748</v>
      </c>
      <c r="F139" s="20" t="s">
        <v>749</v>
      </c>
      <c r="G139" s="8" t="str">
        <f t="shared" si="2"/>
        <v>ARVIDSON DANIEL</v>
      </c>
    </row>
    <row r="140" spans="1:7" x14ac:dyDescent="0.25">
      <c r="A140" s="8">
        <v>42837.615590277775</v>
      </c>
      <c r="B140" s="20" t="s">
        <v>433</v>
      </c>
      <c r="C140" s="20" t="s">
        <v>641</v>
      </c>
      <c r="D140" s="146">
        <v>1300000</v>
      </c>
      <c r="E140" s="20" t="s">
        <v>496</v>
      </c>
      <c r="F140" s="20" t="s">
        <v>497</v>
      </c>
      <c r="G140" s="8" t="str">
        <f t="shared" si="2"/>
        <v>LEVIN SCOTT</v>
      </c>
    </row>
    <row r="141" spans="1:7" x14ac:dyDescent="0.25">
      <c r="A141" s="8">
        <v>42837.620451388888</v>
      </c>
      <c r="B141" s="20" t="s">
        <v>380</v>
      </c>
      <c r="C141" s="20" t="s">
        <v>776</v>
      </c>
      <c r="D141" s="146">
        <v>2970000</v>
      </c>
      <c r="E141" s="20" t="s">
        <v>428</v>
      </c>
      <c r="F141" s="20" t="s">
        <v>429</v>
      </c>
      <c r="G141" s="8" t="str">
        <f t="shared" si="2"/>
        <v>GUZMAN DANNY</v>
      </c>
    </row>
    <row r="142" spans="1:7" x14ac:dyDescent="0.25">
      <c r="A142" s="8">
        <v>42837.623298611114</v>
      </c>
      <c r="B142" s="20" t="s">
        <v>500</v>
      </c>
      <c r="C142" s="20" t="s">
        <v>642</v>
      </c>
      <c r="D142" s="146">
        <v>1760000</v>
      </c>
      <c r="E142" s="20" t="s">
        <v>560</v>
      </c>
      <c r="F142" s="20" t="s">
        <v>561</v>
      </c>
      <c r="G142" s="8" t="str">
        <f t="shared" si="2"/>
        <v>STRICKLAND EVAN</v>
      </c>
    </row>
    <row r="143" spans="1:7" x14ac:dyDescent="0.25">
      <c r="A143" s="8">
        <v>42837.630613425928</v>
      </c>
      <c r="B143" s="20" t="s">
        <v>382</v>
      </c>
      <c r="C143" s="20" t="s">
        <v>777</v>
      </c>
      <c r="D143" s="146">
        <v>3020000</v>
      </c>
      <c r="E143" s="20" t="s">
        <v>527</v>
      </c>
      <c r="F143" s="20" t="s">
        <v>528</v>
      </c>
      <c r="G143" s="8" t="str">
        <f t="shared" si="2"/>
        <v>MENGES BRAD</v>
      </c>
    </row>
    <row r="144" spans="1:7" x14ac:dyDescent="0.25">
      <c r="A144" s="8">
        <v>42837.635046296295</v>
      </c>
      <c r="B144" s="20" t="s">
        <v>625</v>
      </c>
      <c r="C144" s="20" t="s">
        <v>778</v>
      </c>
      <c r="D144" s="146">
        <v>3010000</v>
      </c>
      <c r="E144" s="20" t="s">
        <v>461</v>
      </c>
      <c r="F144" s="20" t="s">
        <v>462</v>
      </c>
      <c r="G144" s="8" t="str">
        <f t="shared" si="2"/>
        <v>SULLIVAN BRANDON</v>
      </c>
    </row>
    <row r="145" spans="1:7" x14ac:dyDescent="0.25">
      <c r="A145" s="8">
        <v>42837.635057870371</v>
      </c>
      <c r="B145" s="20" t="s">
        <v>375</v>
      </c>
      <c r="C145" s="20" t="s">
        <v>779</v>
      </c>
      <c r="D145" s="146">
        <v>2370000</v>
      </c>
      <c r="E145" s="20" t="s">
        <v>740</v>
      </c>
      <c r="F145" s="20" t="s">
        <v>741</v>
      </c>
      <c r="G145" s="8" t="str">
        <f t="shared" si="2"/>
        <v>DELGADO DIANAH</v>
      </c>
    </row>
    <row r="146" spans="1:7" x14ac:dyDescent="0.25">
      <c r="A146" s="8">
        <v>42837.643807870372</v>
      </c>
      <c r="B146" s="20" t="s">
        <v>427</v>
      </c>
      <c r="C146" s="20" t="s">
        <v>780</v>
      </c>
      <c r="D146" s="146">
        <v>1120000</v>
      </c>
      <c r="E146" s="20" t="s">
        <v>525</v>
      </c>
      <c r="F146" s="20" t="s">
        <v>526</v>
      </c>
      <c r="G146" s="8" t="str">
        <f t="shared" si="2"/>
        <v>LOCKLEAR TRAVIS</v>
      </c>
    </row>
    <row r="147" spans="1:7" x14ac:dyDescent="0.25">
      <c r="A147" s="8">
        <v>42837.644143518519</v>
      </c>
      <c r="B147" s="20" t="s">
        <v>377</v>
      </c>
      <c r="C147" s="20" t="s">
        <v>781</v>
      </c>
      <c r="D147" s="146">
        <v>1800000</v>
      </c>
      <c r="E147" s="20" t="s">
        <v>392</v>
      </c>
      <c r="F147" s="20" t="s">
        <v>393</v>
      </c>
      <c r="G147" s="8" t="str">
        <f t="shared" si="2"/>
        <v>CHANDLER KELVIN</v>
      </c>
    </row>
    <row r="148" spans="1:7" x14ac:dyDescent="0.25">
      <c r="A148" s="8">
        <v>42837.650127314817</v>
      </c>
      <c r="B148" s="20" t="s">
        <v>432</v>
      </c>
      <c r="C148" s="20" t="s">
        <v>782</v>
      </c>
      <c r="D148" s="146">
        <v>2260000</v>
      </c>
      <c r="E148" s="20" t="s">
        <v>748</v>
      </c>
      <c r="F148" s="20" t="s">
        <v>749</v>
      </c>
      <c r="G148" s="8" t="str">
        <f t="shared" si="2"/>
        <v>ARVIDSON DANIEL</v>
      </c>
    </row>
    <row r="149" spans="1:7" x14ac:dyDescent="0.25">
      <c r="A149" s="8">
        <v>42837.650937500002</v>
      </c>
      <c r="B149" s="20" t="s">
        <v>621</v>
      </c>
      <c r="C149" s="20" t="s">
        <v>783</v>
      </c>
      <c r="D149" s="146">
        <v>3010000</v>
      </c>
      <c r="E149" s="20" t="s">
        <v>461</v>
      </c>
      <c r="F149" s="20" t="s">
        <v>462</v>
      </c>
      <c r="G149" s="8" t="str">
        <f t="shared" si="2"/>
        <v>SULLIVAN BRANDON</v>
      </c>
    </row>
    <row r="150" spans="1:7" x14ac:dyDescent="0.25">
      <c r="A150" s="8">
        <v>42837.653368055559</v>
      </c>
      <c r="B150" s="20" t="s">
        <v>436</v>
      </c>
      <c r="C150" s="20" t="s">
        <v>643</v>
      </c>
      <c r="D150" s="146">
        <v>1300000</v>
      </c>
      <c r="E150" s="20" t="s">
        <v>496</v>
      </c>
      <c r="F150" s="20" t="s">
        <v>497</v>
      </c>
      <c r="G150" s="8" t="str">
        <f t="shared" si="2"/>
        <v>LEVIN SCOTT</v>
      </c>
    </row>
    <row r="151" spans="1:7" x14ac:dyDescent="0.25">
      <c r="A151" s="8">
        <v>42837.658310185187</v>
      </c>
      <c r="B151" s="20" t="s">
        <v>381</v>
      </c>
      <c r="C151" s="20" t="s">
        <v>784</v>
      </c>
      <c r="D151" s="146">
        <v>2970000</v>
      </c>
      <c r="E151" s="20" t="s">
        <v>428</v>
      </c>
      <c r="F151" s="20" t="s">
        <v>429</v>
      </c>
      <c r="G151" s="8" t="str">
        <f t="shared" si="2"/>
        <v>GUZMAN DANNY</v>
      </c>
    </row>
    <row r="152" spans="1:7" x14ac:dyDescent="0.25">
      <c r="A152" s="8">
        <v>42837.660034722219</v>
      </c>
      <c r="B152" s="20" t="s">
        <v>378</v>
      </c>
      <c r="C152" s="20" t="s">
        <v>785</v>
      </c>
      <c r="D152" s="146">
        <v>1800000</v>
      </c>
      <c r="E152" s="20" t="s">
        <v>392</v>
      </c>
      <c r="F152" s="20" t="s">
        <v>393</v>
      </c>
      <c r="G152" s="8" t="str">
        <f t="shared" si="2"/>
        <v>CHANDLER KELVIN</v>
      </c>
    </row>
    <row r="153" spans="1:7" x14ac:dyDescent="0.25">
      <c r="A153" s="8">
        <v>42837.663414351853</v>
      </c>
      <c r="B153" s="20" t="s">
        <v>503</v>
      </c>
      <c r="C153" s="20" t="s">
        <v>644</v>
      </c>
      <c r="D153" s="146">
        <v>1760000</v>
      </c>
      <c r="E153" s="20" t="s">
        <v>560</v>
      </c>
      <c r="F153" s="20" t="s">
        <v>561</v>
      </c>
      <c r="G153" s="8" t="str">
        <f t="shared" si="2"/>
        <v>STRICKLAND EVAN</v>
      </c>
    </row>
    <row r="154" spans="1:7" x14ac:dyDescent="0.25">
      <c r="A154" s="8">
        <v>42837.671712962961</v>
      </c>
      <c r="B154" s="20" t="s">
        <v>555</v>
      </c>
      <c r="C154" s="20" t="s">
        <v>645</v>
      </c>
      <c r="D154" s="146">
        <v>3020000</v>
      </c>
      <c r="E154" s="20" t="s">
        <v>527</v>
      </c>
      <c r="F154" s="20" t="s">
        <v>528</v>
      </c>
      <c r="G154" s="8" t="str">
        <f t="shared" si="2"/>
        <v>MENGES BRAD</v>
      </c>
    </row>
    <row r="155" spans="1:7" x14ac:dyDescent="0.25">
      <c r="A155" s="8">
        <v>42837.672824074078</v>
      </c>
      <c r="B155" s="20" t="s">
        <v>377</v>
      </c>
      <c r="C155" s="20" t="s">
        <v>786</v>
      </c>
      <c r="D155" s="146">
        <v>1800000</v>
      </c>
      <c r="E155" s="20" t="s">
        <v>392</v>
      </c>
      <c r="F155" s="20" t="s">
        <v>393</v>
      </c>
      <c r="G155" s="8" t="str">
        <f t="shared" si="2"/>
        <v>CHANDLER KELVIN</v>
      </c>
    </row>
    <row r="156" spans="1:7" x14ac:dyDescent="0.25">
      <c r="A156" s="8">
        <v>42837.673125000001</v>
      </c>
      <c r="B156" s="20" t="s">
        <v>556</v>
      </c>
      <c r="C156" s="20" t="s">
        <v>787</v>
      </c>
      <c r="D156" s="146">
        <v>2370000</v>
      </c>
      <c r="E156" s="20" t="s">
        <v>740</v>
      </c>
      <c r="F156" s="20" t="s">
        <v>741</v>
      </c>
      <c r="G156" s="8" t="str">
        <f t="shared" si="2"/>
        <v>DELGADO DIANAH</v>
      </c>
    </row>
    <row r="157" spans="1:7" x14ac:dyDescent="0.25">
      <c r="A157" s="8">
        <v>42837.675752314812</v>
      </c>
      <c r="B157" s="20" t="s">
        <v>625</v>
      </c>
      <c r="C157" s="20" t="s">
        <v>788</v>
      </c>
      <c r="D157" s="146">
        <v>3010000</v>
      </c>
      <c r="E157" s="20" t="s">
        <v>461</v>
      </c>
      <c r="F157" s="20" t="s">
        <v>462</v>
      </c>
      <c r="G157" s="8" t="str">
        <f t="shared" si="2"/>
        <v>SULLIVAN BRANDON</v>
      </c>
    </row>
    <row r="158" spans="1:7" x14ac:dyDescent="0.25">
      <c r="A158" s="8">
        <v>42837.682696759257</v>
      </c>
      <c r="B158" s="20" t="s">
        <v>424</v>
      </c>
      <c r="C158" s="20" t="s">
        <v>648</v>
      </c>
      <c r="D158" s="146">
        <v>1120000</v>
      </c>
      <c r="E158" s="20" t="s">
        <v>525</v>
      </c>
      <c r="F158" s="20" t="s">
        <v>526</v>
      </c>
      <c r="G158" s="8" t="str">
        <f t="shared" si="2"/>
        <v>LOCKLEAR TRAVIS</v>
      </c>
    </row>
    <row r="159" spans="1:7" x14ac:dyDescent="0.25">
      <c r="A159" s="8">
        <v>42837.685486111113</v>
      </c>
      <c r="B159" s="20" t="s">
        <v>479</v>
      </c>
      <c r="C159" s="20" t="s">
        <v>789</v>
      </c>
      <c r="D159" s="146">
        <v>2260000</v>
      </c>
      <c r="E159" s="20" t="s">
        <v>748</v>
      </c>
      <c r="F159" s="20" t="s">
        <v>749</v>
      </c>
      <c r="G159" s="8" t="str">
        <f t="shared" si="2"/>
        <v>ARVIDSON DANIEL</v>
      </c>
    </row>
    <row r="160" spans="1:7" x14ac:dyDescent="0.25">
      <c r="A160" s="8">
        <v>42837.692314814813</v>
      </c>
      <c r="B160" s="20" t="s">
        <v>433</v>
      </c>
      <c r="C160" s="20" t="s">
        <v>646</v>
      </c>
      <c r="D160" s="146">
        <v>1300000</v>
      </c>
      <c r="E160" s="20" t="s">
        <v>496</v>
      </c>
      <c r="F160" s="20" t="s">
        <v>497</v>
      </c>
      <c r="G160" s="8" t="str">
        <f t="shared" si="2"/>
        <v>LEVIN SCOTT</v>
      </c>
    </row>
    <row r="161" spans="1:7" x14ac:dyDescent="0.25">
      <c r="A161" s="8">
        <v>42837.692719907405</v>
      </c>
      <c r="B161" s="20" t="s">
        <v>621</v>
      </c>
      <c r="C161" s="20" t="s">
        <v>790</v>
      </c>
      <c r="D161" s="146">
        <v>3010000</v>
      </c>
      <c r="E161" s="20" t="s">
        <v>461</v>
      </c>
      <c r="F161" s="20" t="s">
        <v>462</v>
      </c>
      <c r="G161" s="8" t="str">
        <f t="shared" si="2"/>
        <v>SULLIVAN BRANDON</v>
      </c>
    </row>
    <row r="162" spans="1:7" x14ac:dyDescent="0.25">
      <c r="A162" s="8">
        <v>42837.693842592591</v>
      </c>
      <c r="B162" s="20" t="s">
        <v>380</v>
      </c>
      <c r="C162" s="20" t="s">
        <v>647</v>
      </c>
      <c r="D162" s="146">
        <v>2970000</v>
      </c>
      <c r="E162" s="20" t="s">
        <v>428</v>
      </c>
      <c r="F162" s="20" t="s">
        <v>429</v>
      </c>
      <c r="G162" s="8" t="str">
        <f t="shared" si="2"/>
        <v>GUZMAN DANNY</v>
      </c>
    </row>
    <row r="163" spans="1:7" x14ac:dyDescent="0.25">
      <c r="A163" s="8">
        <v>42837.696342592593</v>
      </c>
      <c r="B163" s="20" t="s">
        <v>500</v>
      </c>
      <c r="C163" s="20" t="s">
        <v>791</v>
      </c>
      <c r="D163" s="146">
        <v>1760000</v>
      </c>
      <c r="E163" s="20" t="s">
        <v>560</v>
      </c>
      <c r="F163" s="20" t="s">
        <v>561</v>
      </c>
      <c r="G163" s="8" t="str">
        <f t="shared" si="2"/>
        <v>STRICKLAND EVAN</v>
      </c>
    </row>
    <row r="164" spans="1:7" x14ac:dyDescent="0.25">
      <c r="A164" s="8">
        <v>42837.699861111112</v>
      </c>
      <c r="B164" s="20" t="s">
        <v>378</v>
      </c>
      <c r="C164" s="20" t="s">
        <v>792</v>
      </c>
      <c r="D164" s="146">
        <v>1800000</v>
      </c>
      <c r="E164" s="20" t="s">
        <v>392</v>
      </c>
      <c r="F164" s="20" t="s">
        <v>393</v>
      </c>
      <c r="G164" s="8" t="str">
        <f t="shared" si="2"/>
        <v>CHANDLER KELVIN</v>
      </c>
    </row>
    <row r="165" spans="1:7" x14ac:dyDescent="0.25">
      <c r="A165" s="8">
        <v>42837.704652777778</v>
      </c>
      <c r="B165" s="20" t="s">
        <v>382</v>
      </c>
      <c r="C165" s="20" t="s">
        <v>793</v>
      </c>
      <c r="D165" s="146">
        <v>3020000</v>
      </c>
      <c r="E165" s="20" t="s">
        <v>527</v>
      </c>
      <c r="F165" s="20" t="s">
        <v>528</v>
      </c>
      <c r="G165" s="8" t="str">
        <f t="shared" si="2"/>
        <v>MENGES BRAD</v>
      </c>
    </row>
    <row r="166" spans="1:7" x14ac:dyDescent="0.25">
      <c r="A166" s="8">
        <v>42837.7109837963</v>
      </c>
      <c r="B166" s="20" t="s">
        <v>375</v>
      </c>
      <c r="C166" s="20" t="s">
        <v>794</v>
      </c>
      <c r="D166" s="146">
        <v>2370000</v>
      </c>
      <c r="E166" s="20" t="s">
        <v>740</v>
      </c>
      <c r="F166" s="20" t="s">
        <v>741</v>
      </c>
      <c r="G166" s="8" t="str">
        <f t="shared" si="2"/>
        <v>DELGADO DIANAH</v>
      </c>
    </row>
    <row r="167" spans="1:7" x14ac:dyDescent="0.25">
      <c r="A167" s="8">
        <v>42837.714953703704</v>
      </c>
      <c r="B167" s="20" t="s">
        <v>427</v>
      </c>
      <c r="C167" s="20" t="s">
        <v>795</v>
      </c>
      <c r="D167" s="146">
        <v>2150000</v>
      </c>
      <c r="E167" s="20" t="s">
        <v>370</v>
      </c>
      <c r="F167" s="20" t="s">
        <v>371</v>
      </c>
      <c r="G167" s="8" t="str">
        <f t="shared" si="2"/>
        <v>SWANSON BRYCE</v>
      </c>
    </row>
    <row r="168" spans="1:7" x14ac:dyDescent="0.25">
      <c r="A168" s="8">
        <v>42837.715254629627</v>
      </c>
      <c r="B168" s="20" t="s">
        <v>377</v>
      </c>
      <c r="C168" s="20" t="s">
        <v>796</v>
      </c>
      <c r="D168" s="146">
        <v>1800000</v>
      </c>
      <c r="E168" s="20" t="s">
        <v>392</v>
      </c>
      <c r="F168" s="20" t="s">
        <v>393</v>
      </c>
      <c r="G168" s="8" t="str">
        <f t="shared" si="2"/>
        <v>CHANDLER KELVIN</v>
      </c>
    </row>
    <row r="169" spans="1:7" x14ac:dyDescent="0.25">
      <c r="A169" s="8">
        <v>42837.718645833331</v>
      </c>
      <c r="B169" s="20" t="s">
        <v>625</v>
      </c>
      <c r="C169" s="20" t="s">
        <v>797</v>
      </c>
      <c r="D169" s="146">
        <v>3010000</v>
      </c>
      <c r="E169" s="20" t="s">
        <v>461</v>
      </c>
      <c r="F169" s="20" t="s">
        <v>462</v>
      </c>
      <c r="G169" s="8" t="str">
        <f t="shared" si="2"/>
        <v>SULLIVAN BRANDON</v>
      </c>
    </row>
    <row r="170" spans="1:7" x14ac:dyDescent="0.25">
      <c r="A170" s="8">
        <v>42837.72378472222</v>
      </c>
      <c r="B170" s="20" t="s">
        <v>562</v>
      </c>
      <c r="C170" s="20" t="s">
        <v>798</v>
      </c>
      <c r="D170" s="146">
        <v>2440000</v>
      </c>
      <c r="E170" s="20" t="s">
        <v>799</v>
      </c>
      <c r="F170" s="20" t="s">
        <v>800</v>
      </c>
      <c r="G170" s="8" t="str">
        <f t="shared" si="2"/>
        <v>LOPES KIMBERLY</v>
      </c>
    </row>
    <row r="171" spans="1:7" x14ac:dyDescent="0.25">
      <c r="A171" s="8">
        <v>42837.723912037036</v>
      </c>
      <c r="B171" s="20" t="s">
        <v>432</v>
      </c>
      <c r="C171" s="20" t="s">
        <v>801</v>
      </c>
      <c r="D171" s="146">
        <v>2260000</v>
      </c>
      <c r="E171" s="20" t="s">
        <v>748</v>
      </c>
      <c r="F171" s="20" t="s">
        <v>749</v>
      </c>
      <c r="G171" s="8" t="str">
        <f t="shared" si="2"/>
        <v>ARVIDSON DANIEL</v>
      </c>
    </row>
    <row r="172" spans="1:7" x14ac:dyDescent="0.25">
      <c r="A172" s="8">
        <v>42837.72457175926</v>
      </c>
      <c r="B172" s="20" t="s">
        <v>436</v>
      </c>
      <c r="C172" s="20" t="s">
        <v>649</v>
      </c>
      <c r="D172" s="146">
        <v>1120000</v>
      </c>
      <c r="E172" s="20" t="s">
        <v>525</v>
      </c>
      <c r="F172" s="20" t="s">
        <v>526</v>
      </c>
      <c r="G172" s="8" t="str">
        <f t="shared" si="2"/>
        <v>LOCKLEAR TRAVIS</v>
      </c>
    </row>
    <row r="173" spans="1:7" x14ac:dyDescent="0.25">
      <c r="A173" s="8">
        <v>42837.728078703702</v>
      </c>
      <c r="B173" s="20" t="s">
        <v>381</v>
      </c>
      <c r="C173" s="20" t="s">
        <v>802</v>
      </c>
      <c r="D173" s="146">
        <v>2970000</v>
      </c>
      <c r="E173" s="20" t="s">
        <v>428</v>
      </c>
      <c r="F173" s="20" t="s">
        <v>429</v>
      </c>
      <c r="G173" s="8" t="str">
        <f t="shared" si="2"/>
        <v>GUZMAN DANNY</v>
      </c>
    </row>
    <row r="174" spans="1:7" x14ac:dyDescent="0.25">
      <c r="A174" s="8">
        <v>42837.734884259262</v>
      </c>
      <c r="B174" s="20" t="s">
        <v>621</v>
      </c>
      <c r="C174" s="20" t="s">
        <v>803</v>
      </c>
      <c r="D174" s="146">
        <v>3010000</v>
      </c>
      <c r="E174" s="20" t="s">
        <v>461</v>
      </c>
      <c r="F174" s="20" t="s">
        <v>462</v>
      </c>
      <c r="G174" s="8" t="str">
        <f t="shared" si="2"/>
        <v>SULLIVAN BRANDON</v>
      </c>
    </row>
    <row r="175" spans="1:7" x14ac:dyDescent="0.25">
      <c r="A175" s="8">
        <v>42837.737685185188</v>
      </c>
      <c r="B175" s="20" t="s">
        <v>503</v>
      </c>
      <c r="C175" s="20" t="s">
        <v>804</v>
      </c>
      <c r="D175" s="146">
        <v>1740000</v>
      </c>
      <c r="E175" s="20" t="s">
        <v>395</v>
      </c>
      <c r="F175" s="20" t="s">
        <v>396</v>
      </c>
      <c r="G175" s="8" t="str">
        <f t="shared" si="2"/>
        <v>STORY SAMANTHA</v>
      </c>
    </row>
    <row r="176" spans="1:7" x14ac:dyDescent="0.25">
      <c r="A176" s="8">
        <v>42837.74013888889</v>
      </c>
      <c r="B176" s="20" t="s">
        <v>631</v>
      </c>
      <c r="C176" s="20" t="s">
        <v>805</v>
      </c>
      <c r="D176" s="146">
        <v>2530000</v>
      </c>
      <c r="E176" s="20" t="s">
        <v>498</v>
      </c>
      <c r="F176" s="20" t="s">
        <v>499</v>
      </c>
      <c r="G176" s="8" t="str">
        <f t="shared" si="2"/>
        <v>LALONDE GREGORY</v>
      </c>
    </row>
    <row r="177" spans="1:7" x14ac:dyDescent="0.25">
      <c r="A177" s="8">
        <v>42837.742002314815</v>
      </c>
      <c r="B177" s="20" t="s">
        <v>426</v>
      </c>
      <c r="C177" s="20" t="s">
        <v>806</v>
      </c>
      <c r="D177" s="146">
        <v>2540000</v>
      </c>
      <c r="E177" s="20" t="s">
        <v>807</v>
      </c>
      <c r="F177" s="20" t="s">
        <v>808</v>
      </c>
      <c r="G177" s="8" t="str">
        <f t="shared" si="2"/>
        <v>MCREYNOLDS KYLE</v>
      </c>
    </row>
    <row r="178" spans="1:7" x14ac:dyDescent="0.25">
      <c r="A178" s="8">
        <v>42837.742662037039</v>
      </c>
      <c r="B178" s="20" t="s">
        <v>378</v>
      </c>
      <c r="C178" s="20" t="s">
        <v>809</v>
      </c>
      <c r="D178" s="146">
        <v>970000</v>
      </c>
      <c r="E178" s="20" t="s">
        <v>810</v>
      </c>
      <c r="F178" s="20" t="s">
        <v>811</v>
      </c>
      <c r="G178" s="8" t="str">
        <f t="shared" si="2"/>
        <v>JACKSON WILLIAM</v>
      </c>
    </row>
    <row r="179" spans="1:7" x14ac:dyDescent="0.25">
      <c r="A179" s="8">
        <v>42837.744745370372</v>
      </c>
      <c r="B179" s="20" t="s">
        <v>555</v>
      </c>
      <c r="C179" s="20" t="s">
        <v>812</v>
      </c>
      <c r="D179" s="146">
        <v>3020000</v>
      </c>
      <c r="E179" s="20" t="s">
        <v>527</v>
      </c>
      <c r="F179" s="20" t="s">
        <v>528</v>
      </c>
      <c r="G179" s="8" t="str">
        <f t="shared" si="2"/>
        <v>MENGES BRAD</v>
      </c>
    </row>
    <row r="180" spans="1:7" x14ac:dyDescent="0.25">
      <c r="A180" s="8">
        <v>42837.74863425926</v>
      </c>
      <c r="B180" s="20" t="s">
        <v>556</v>
      </c>
      <c r="C180" s="20" t="s">
        <v>813</v>
      </c>
      <c r="D180" s="146">
        <v>1760000</v>
      </c>
      <c r="E180" s="20" t="s">
        <v>560</v>
      </c>
      <c r="F180" s="20" t="s">
        <v>561</v>
      </c>
      <c r="G180" s="8" t="str">
        <f t="shared" si="2"/>
        <v>STRICKLAND EVAN</v>
      </c>
    </row>
    <row r="181" spans="1:7" x14ac:dyDescent="0.25">
      <c r="A181" s="8">
        <v>42837.748657407406</v>
      </c>
      <c r="B181" s="20" t="s">
        <v>424</v>
      </c>
      <c r="C181" s="20" t="s">
        <v>814</v>
      </c>
      <c r="D181" s="146">
        <v>2150000</v>
      </c>
      <c r="E181" s="20" t="s">
        <v>370</v>
      </c>
      <c r="F181" s="20" t="s">
        <v>371</v>
      </c>
      <c r="G181" s="8" t="str">
        <f t="shared" si="2"/>
        <v>SWANSON BRYCE</v>
      </c>
    </row>
    <row r="182" spans="1:7" x14ac:dyDescent="0.25">
      <c r="A182" s="8">
        <v>42837.75640046296</v>
      </c>
      <c r="B182" s="20" t="s">
        <v>377</v>
      </c>
      <c r="C182" s="20" t="s">
        <v>815</v>
      </c>
      <c r="D182" s="146">
        <v>970000</v>
      </c>
      <c r="E182" s="20" t="s">
        <v>810</v>
      </c>
      <c r="F182" s="20" t="s">
        <v>811</v>
      </c>
      <c r="G182" s="8" t="str">
        <f t="shared" si="2"/>
        <v>JACKSON WILLIAM</v>
      </c>
    </row>
    <row r="183" spans="1:7" x14ac:dyDescent="0.25">
      <c r="A183" s="8">
        <v>42837.759120370371</v>
      </c>
      <c r="B183" s="20" t="s">
        <v>479</v>
      </c>
      <c r="C183" s="20" t="s">
        <v>650</v>
      </c>
      <c r="D183" s="146">
        <v>2530000</v>
      </c>
      <c r="E183" s="20" t="s">
        <v>498</v>
      </c>
      <c r="F183" s="20" t="s">
        <v>499</v>
      </c>
      <c r="G183" s="8" t="str">
        <f t="shared" si="2"/>
        <v>LALONDE GREGORY</v>
      </c>
    </row>
    <row r="184" spans="1:7" x14ac:dyDescent="0.25">
      <c r="A184" s="8">
        <v>42837.761944444443</v>
      </c>
      <c r="B184" s="20" t="s">
        <v>625</v>
      </c>
      <c r="C184" s="20" t="s">
        <v>816</v>
      </c>
      <c r="D184" s="146">
        <v>3010000</v>
      </c>
      <c r="E184" s="20" t="s">
        <v>461</v>
      </c>
      <c r="F184" s="20" t="s">
        <v>462</v>
      </c>
      <c r="G184" s="8" t="str">
        <f t="shared" si="2"/>
        <v>SULLIVAN BRANDON</v>
      </c>
    </row>
    <row r="185" spans="1:7" x14ac:dyDescent="0.25">
      <c r="A185" s="8">
        <v>42837.766053240739</v>
      </c>
      <c r="B185" s="20" t="s">
        <v>744</v>
      </c>
      <c r="C185" s="20" t="s">
        <v>817</v>
      </c>
      <c r="D185" s="146">
        <v>2260000</v>
      </c>
      <c r="E185" s="20" t="s">
        <v>748</v>
      </c>
      <c r="F185" s="20" t="s">
        <v>749</v>
      </c>
      <c r="G185" s="8" t="str">
        <f t="shared" si="2"/>
        <v>ARVIDSON DANIEL</v>
      </c>
    </row>
    <row r="186" spans="1:7" x14ac:dyDescent="0.25">
      <c r="A186" s="8">
        <v>42837.766493055555</v>
      </c>
      <c r="B186" s="20" t="s">
        <v>433</v>
      </c>
      <c r="C186" s="20" t="s">
        <v>818</v>
      </c>
      <c r="D186" s="146">
        <v>1120000</v>
      </c>
      <c r="E186" s="20" t="s">
        <v>525</v>
      </c>
      <c r="F186" s="20" t="s">
        <v>526</v>
      </c>
      <c r="G186" s="8" t="str">
        <f t="shared" si="2"/>
        <v>LOCKLEAR TRAVIS</v>
      </c>
    </row>
    <row r="187" spans="1:7" x14ac:dyDescent="0.25">
      <c r="A187" s="8">
        <v>42837.768240740741</v>
      </c>
      <c r="B187" s="20" t="s">
        <v>380</v>
      </c>
      <c r="C187" s="20" t="s">
        <v>819</v>
      </c>
      <c r="D187" s="146">
        <v>2450000</v>
      </c>
      <c r="E187" s="20" t="s">
        <v>820</v>
      </c>
      <c r="F187" s="20" t="s">
        <v>821</v>
      </c>
      <c r="G187" s="8" t="str">
        <f t="shared" si="2"/>
        <v>NELSON ARIANE</v>
      </c>
    </row>
    <row r="188" spans="1:7" x14ac:dyDescent="0.25">
      <c r="A188" s="8">
        <v>42837.769930555558</v>
      </c>
      <c r="B188" s="20" t="s">
        <v>500</v>
      </c>
      <c r="C188" s="20" t="s">
        <v>822</v>
      </c>
      <c r="D188" s="146">
        <v>3000000</v>
      </c>
      <c r="E188" s="20" t="s">
        <v>529</v>
      </c>
      <c r="F188" s="20" t="s">
        <v>530</v>
      </c>
      <c r="G188" s="8" t="str">
        <f t="shared" si="2"/>
        <v>FORTUNATO FRANK</v>
      </c>
    </row>
    <row r="189" spans="1:7" x14ac:dyDescent="0.25">
      <c r="A189" s="8">
        <v>42837.776006944441</v>
      </c>
      <c r="B189" s="20" t="s">
        <v>621</v>
      </c>
      <c r="C189" s="20" t="s">
        <v>823</v>
      </c>
      <c r="D189" s="146">
        <v>3010000</v>
      </c>
      <c r="E189" s="20" t="s">
        <v>461</v>
      </c>
      <c r="F189" s="20" t="s">
        <v>462</v>
      </c>
      <c r="G189" s="8" t="str">
        <f t="shared" si="2"/>
        <v>SULLIVAN BRANDON</v>
      </c>
    </row>
    <row r="190" spans="1:7" x14ac:dyDescent="0.25">
      <c r="A190" s="8">
        <v>42837.776412037034</v>
      </c>
      <c r="B190" s="20" t="s">
        <v>382</v>
      </c>
      <c r="C190" s="20" t="s">
        <v>824</v>
      </c>
      <c r="D190" s="146">
        <v>3020000</v>
      </c>
      <c r="E190" s="20" t="s">
        <v>527</v>
      </c>
      <c r="F190" s="20" t="s">
        <v>528</v>
      </c>
      <c r="G190" s="8" t="str">
        <f t="shared" si="2"/>
        <v>MENGES BRAD</v>
      </c>
    </row>
    <row r="191" spans="1:7" x14ac:dyDescent="0.25">
      <c r="A191" s="8">
        <v>42837.780150462961</v>
      </c>
      <c r="B191" s="20" t="s">
        <v>375</v>
      </c>
      <c r="C191" s="20" t="s">
        <v>825</v>
      </c>
      <c r="D191" s="146">
        <v>1760000</v>
      </c>
      <c r="E191" s="20" t="s">
        <v>560</v>
      </c>
      <c r="F191" s="20" t="s">
        <v>561</v>
      </c>
      <c r="G191" s="8" t="str">
        <f t="shared" si="2"/>
        <v>STRICKLAND EVAN</v>
      </c>
    </row>
    <row r="192" spans="1:7" x14ac:dyDescent="0.25">
      <c r="A192" s="8">
        <v>42837.785208333335</v>
      </c>
      <c r="B192" s="20" t="s">
        <v>378</v>
      </c>
      <c r="C192" s="20" t="s">
        <v>826</v>
      </c>
      <c r="D192" s="146">
        <v>1800000</v>
      </c>
      <c r="E192" s="20" t="s">
        <v>392</v>
      </c>
      <c r="F192" s="20" t="s">
        <v>393</v>
      </c>
      <c r="G192" s="8" t="str">
        <f t="shared" si="2"/>
        <v>CHANDLER KELVIN</v>
      </c>
    </row>
    <row r="193" spans="1:7" x14ac:dyDescent="0.25">
      <c r="A193" s="8">
        <v>42837.787002314813</v>
      </c>
      <c r="B193" s="20" t="s">
        <v>427</v>
      </c>
      <c r="C193" s="20" t="s">
        <v>827</v>
      </c>
      <c r="D193" s="146">
        <v>2150000</v>
      </c>
      <c r="E193" s="20" t="s">
        <v>370</v>
      </c>
      <c r="F193" s="20" t="s">
        <v>371</v>
      </c>
      <c r="G193" s="8" t="str">
        <f t="shared" si="2"/>
        <v>SWANSON BRYCE</v>
      </c>
    </row>
    <row r="194" spans="1:7" x14ac:dyDescent="0.25">
      <c r="A194" s="8">
        <v>42837.79005787037</v>
      </c>
      <c r="B194" s="20" t="s">
        <v>432</v>
      </c>
      <c r="C194" s="20" t="s">
        <v>828</v>
      </c>
      <c r="D194" s="146">
        <v>2530000</v>
      </c>
      <c r="E194" s="20" t="s">
        <v>498</v>
      </c>
      <c r="F194" s="20" t="s">
        <v>499</v>
      </c>
      <c r="G194" s="8" t="str">
        <f t="shared" si="2"/>
        <v>LALONDE GREGORY</v>
      </c>
    </row>
    <row r="195" spans="1:7" x14ac:dyDescent="0.25">
      <c r="A195" s="8">
        <v>42837.793796296297</v>
      </c>
      <c r="B195" s="20" t="s">
        <v>625</v>
      </c>
      <c r="C195" s="20" t="s">
        <v>829</v>
      </c>
      <c r="D195" s="146">
        <v>3010000</v>
      </c>
      <c r="E195" s="20" t="s">
        <v>461</v>
      </c>
      <c r="F195" s="20" t="s">
        <v>462</v>
      </c>
      <c r="G195" s="8" t="str">
        <f t="shared" ref="G195:G258" si="3">E195&amp;" "&amp;F195</f>
        <v>SULLIVAN BRANDON</v>
      </c>
    </row>
    <row r="196" spans="1:7" x14ac:dyDescent="0.25">
      <c r="A196" s="8">
        <v>42837.797905092593</v>
      </c>
      <c r="B196" s="20" t="s">
        <v>436</v>
      </c>
      <c r="C196" s="20" t="s">
        <v>830</v>
      </c>
      <c r="D196" s="146">
        <v>1120000</v>
      </c>
      <c r="E196" s="20" t="s">
        <v>525</v>
      </c>
      <c r="F196" s="20" t="s">
        <v>526</v>
      </c>
      <c r="G196" s="8" t="str">
        <f t="shared" si="3"/>
        <v>LOCKLEAR TRAVIS</v>
      </c>
    </row>
    <row r="197" spans="1:7" x14ac:dyDescent="0.25">
      <c r="A197" s="8">
        <v>42837.798657407409</v>
      </c>
      <c r="B197" s="20" t="s">
        <v>377</v>
      </c>
      <c r="C197" s="20" t="s">
        <v>831</v>
      </c>
      <c r="D197" s="146">
        <v>1800000</v>
      </c>
      <c r="E197" s="20" t="s">
        <v>392</v>
      </c>
      <c r="F197" s="20" t="s">
        <v>393</v>
      </c>
      <c r="G197" s="8" t="str">
        <f t="shared" si="3"/>
        <v>CHANDLER KELVIN</v>
      </c>
    </row>
    <row r="198" spans="1:7" x14ac:dyDescent="0.25">
      <c r="A198" s="8">
        <v>42837.807453703703</v>
      </c>
      <c r="B198" s="20" t="s">
        <v>381</v>
      </c>
      <c r="C198" s="20" t="s">
        <v>832</v>
      </c>
      <c r="D198" s="146">
        <v>2450000</v>
      </c>
      <c r="E198" s="20" t="s">
        <v>820</v>
      </c>
      <c r="F198" s="20" t="s">
        <v>821</v>
      </c>
      <c r="G198" s="8" t="str">
        <f t="shared" si="3"/>
        <v>NELSON ARIANE</v>
      </c>
    </row>
    <row r="199" spans="1:7" x14ac:dyDescent="0.25">
      <c r="A199" s="8">
        <v>42837.808692129627</v>
      </c>
      <c r="B199" s="20" t="s">
        <v>503</v>
      </c>
      <c r="C199" s="20" t="s">
        <v>833</v>
      </c>
      <c r="D199" s="146">
        <v>3000000</v>
      </c>
      <c r="E199" s="20" t="s">
        <v>529</v>
      </c>
      <c r="F199" s="20" t="s">
        <v>530</v>
      </c>
      <c r="G199" s="8" t="str">
        <f t="shared" si="3"/>
        <v>FORTUNATO FRANK</v>
      </c>
    </row>
    <row r="200" spans="1:7" x14ac:dyDescent="0.25">
      <c r="A200" s="8">
        <v>42837.817789351851</v>
      </c>
      <c r="B200" s="20" t="s">
        <v>621</v>
      </c>
      <c r="C200" s="20" t="s">
        <v>834</v>
      </c>
      <c r="D200" s="146">
        <v>3010000</v>
      </c>
      <c r="E200" s="20" t="s">
        <v>461</v>
      </c>
      <c r="F200" s="20" t="s">
        <v>462</v>
      </c>
      <c r="G200" s="8" t="str">
        <f t="shared" si="3"/>
        <v>SULLIVAN BRANDON</v>
      </c>
    </row>
    <row r="201" spans="1:7" x14ac:dyDescent="0.25">
      <c r="A201" s="8">
        <v>42837.819664351853</v>
      </c>
      <c r="B201" s="20" t="s">
        <v>556</v>
      </c>
      <c r="C201" s="20" t="s">
        <v>835</v>
      </c>
      <c r="D201" s="146">
        <v>1760000</v>
      </c>
      <c r="E201" s="20" t="s">
        <v>560</v>
      </c>
      <c r="F201" s="20" t="s">
        <v>561</v>
      </c>
      <c r="G201" s="8" t="str">
        <f t="shared" si="3"/>
        <v>STRICKLAND EVAN</v>
      </c>
    </row>
    <row r="202" spans="1:7" x14ac:dyDescent="0.25">
      <c r="A202" s="26">
        <v>42837.819803240738</v>
      </c>
      <c r="B202" s="20" t="s">
        <v>424</v>
      </c>
      <c r="C202" s="20" t="s">
        <v>836</v>
      </c>
      <c r="D202" s="146">
        <v>2150000</v>
      </c>
      <c r="E202" s="20" t="s">
        <v>370</v>
      </c>
      <c r="F202" s="20" t="s">
        <v>371</v>
      </c>
      <c r="G202" s="8" t="str">
        <f t="shared" si="3"/>
        <v>SWANSON BRYCE</v>
      </c>
    </row>
    <row r="203" spans="1:7" x14ac:dyDescent="0.25">
      <c r="A203" s="8">
        <v>42837.829259259262</v>
      </c>
      <c r="B203" s="20" t="s">
        <v>479</v>
      </c>
      <c r="C203" s="20" t="s">
        <v>837</v>
      </c>
      <c r="D203" s="146">
        <v>2270000</v>
      </c>
      <c r="E203" s="20" t="s">
        <v>207</v>
      </c>
      <c r="F203" s="20" t="s">
        <v>208</v>
      </c>
      <c r="G203" s="8" t="str">
        <f t="shared" si="3"/>
        <v>BROWN JACOB</v>
      </c>
    </row>
    <row r="204" spans="1:7" x14ac:dyDescent="0.25">
      <c r="A204" s="8">
        <v>42837.841793981483</v>
      </c>
      <c r="B204" s="20" t="s">
        <v>500</v>
      </c>
      <c r="C204" s="20" t="s">
        <v>838</v>
      </c>
      <c r="D204" s="146">
        <v>3000000</v>
      </c>
      <c r="E204" s="20" t="s">
        <v>529</v>
      </c>
      <c r="F204" s="20" t="s">
        <v>530</v>
      </c>
      <c r="G204" s="8" t="str">
        <f t="shared" si="3"/>
        <v>FORTUNATO FRANK</v>
      </c>
    </row>
    <row r="205" spans="1:7" x14ac:dyDescent="0.25">
      <c r="A205" s="8">
        <v>42837.842627314814</v>
      </c>
      <c r="B205" s="20" t="s">
        <v>625</v>
      </c>
      <c r="C205" s="20" t="s">
        <v>839</v>
      </c>
      <c r="D205" s="146">
        <v>3010000</v>
      </c>
      <c r="E205" s="20" t="s">
        <v>461</v>
      </c>
      <c r="F205" s="20" t="s">
        <v>462</v>
      </c>
      <c r="G205" s="8" t="str">
        <f t="shared" si="3"/>
        <v>SULLIVAN BRANDON</v>
      </c>
    </row>
    <row r="206" spans="1:7" x14ac:dyDescent="0.25">
      <c r="A206" s="8">
        <v>42837.851377314815</v>
      </c>
      <c r="B206" s="20" t="s">
        <v>380</v>
      </c>
      <c r="C206" s="20" t="s">
        <v>840</v>
      </c>
      <c r="D206" s="146">
        <v>2450000</v>
      </c>
      <c r="E206" s="20" t="s">
        <v>820</v>
      </c>
      <c r="F206" s="20" t="s">
        <v>821</v>
      </c>
      <c r="G206" s="8" t="str">
        <f t="shared" si="3"/>
        <v>NELSON ARIANE</v>
      </c>
    </row>
    <row r="207" spans="1:7" x14ac:dyDescent="0.25">
      <c r="A207" s="8">
        <v>42837.859768518516</v>
      </c>
      <c r="B207" s="20" t="s">
        <v>621</v>
      </c>
      <c r="C207" s="20" t="s">
        <v>841</v>
      </c>
      <c r="D207" s="146">
        <v>3010000</v>
      </c>
      <c r="E207" s="20" t="s">
        <v>461</v>
      </c>
      <c r="F207" s="20" t="s">
        <v>462</v>
      </c>
      <c r="G207" s="8" t="str">
        <f t="shared" si="3"/>
        <v>SULLIVAN BRANDON</v>
      </c>
    </row>
    <row r="208" spans="1:7" x14ac:dyDescent="0.25">
      <c r="A208" s="8">
        <v>42837.861527777779</v>
      </c>
      <c r="B208" s="20" t="s">
        <v>427</v>
      </c>
      <c r="C208" s="20" t="s">
        <v>842</v>
      </c>
      <c r="D208" s="146">
        <v>2150000</v>
      </c>
      <c r="E208" s="20" t="s">
        <v>370</v>
      </c>
      <c r="F208" s="20" t="s">
        <v>371</v>
      </c>
      <c r="G208" s="8" t="str">
        <f t="shared" si="3"/>
        <v>SWANSON BRYCE</v>
      </c>
    </row>
    <row r="209" spans="1:7" x14ac:dyDescent="0.25">
      <c r="A209" s="8">
        <v>42837.868206018517</v>
      </c>
      <c r="B209" s="20" t="s">
        <v>432</v>
      </c>
      <c r="C209" s="20" t="s">
        <v>843</v>
      </c>
      <c r="D209" s="146">
        <v>2270000</v>
      </c>
      <c r="E209" s="20" t="s">
        <v>207</v>
      </c>
      <c r="F209" s="20" t="s">
        <v>208</v>
      </c>
      <c r="G209" s="8" t="str">
        <f t="shared" si="3"/>
        <v>BROWN JACOB</v>
      </c>
    </row>
    <row r="210" spans="1:7" x14ac:dyDescent="0.25">
      <c r="A210" s="8">
        <v>42837.881354166668</v>
      </c>
      <c r="B210" s="20" t="s">
        <v>503</v>
      </c>
      <c r="C210" s="20" t="s">
        <v>844</v>
      </c>
      <c r="D210" s="146">
        <v>3000000</v>
      </c>
      <c r="E210" s="20" t="s">
        <v>529</v>
      </c>
      <c r="F210" s="20" t="s">
        <v>530</v>
      </c>
      <c r="G210" s="8" t="str">
        <f t="shared" si="3"/>
        <v>FORTUNATO FRANK</v>
      </c>
    </row>
    <row r="211" spans="1:7" x14ac:dyDescent="0.25">
      <c r="A211" s="8">
        <v>42837.888773148145</v>
      </c>
      <c r="B211" s="20" t="s">
        <v>625</v>
      </c>
      <c r="C211" s="20" t="s">
        <v>845</v>
      </c>
      <c r="D211" s="146">
        <v>1800000</v>
      </c>
      <c r="E211" s="20" t="s">
        <v>392</v>
      </c>
      <c r="F211" s="20" t="s">
        <v>393</v>
      </c>
      <c r="G211" s="8" t="str">
        <f t="shared" si="3"/>
        <v>CHANDLER KELVIN</v>
      </c>
    </row>
    <row r="212" spans="1:7" x14ac:dyDescent="0.25">
      <c r="A212" s="8">
        <v>42837.890798611108</v>
      </c>
      <c r="B212" s="20" t="s">
        <v>381</v>
      </c>
      <c r="C212" s="20" t="s">
        <v>846</v>
      </c>
      <c r="D212" s="146">
        <v>2450000</v>
      </c>
      <c r="E212" s="20" t="s">
        <v>820</v>
      </c>
      <c r="F212" s="20" t="s">
        <v>821</v>
      </c>
      <c r="G212" s="8" t="str">
        <f t="shared" si="3"/>
        <v>NELSON ARIANE</v>
      </c>
    </row>
    <row r="213" spans="1:7" x14ac:dyDescent="0.25">
      <c r="A213" s="8">
        <v>42837.902719907404</v>
      </c>
      <c r="B213" s="20" t="s">
        <v>621</v>
      </c>
      <c r="C213" s="20" t="s">
        <v>847</v>
      </c>
      <c r="D213" s="146">
        <v>1800000</v>
      </c>
      <c r="E213" s="20" t="s">
        <v>392</v>
      </c>
      <c r="F213" s="20" t="s">
        <v>393</v>
      </c>
      <c r="G213" s="8" t="str">
        <f t="shared" si="3"/>
        <v>CHANDLER KELVIN</v>
      </c>
    </row>
    <row r="214" spans="1:7" x14ac:dyDescent="0.25">
      <c r="A214" s="8">
        <v>42837.906388888892</v>
      </c>
      <c r="B214" s="20" t="s">
        <v>424</v>
      </c>
      <c r="C214" s="20" t="s">
        <v>848</v>
      </c>
      <c r="D214" s="146">
        <v>2150000</v>
      </c>
      <c r="E214" s="20" t="s">
        <v>370</v>
      </c>
      <c r="F214" s="20" t="s">
        <v>371</v>
      </c>
      <c r="G214" s="8" t="str">
        <f t="shared" si="3"/>
        <v>SWANSON BRYCE</v>
      </c>
    </row>
    <row r="215" spans="1:7" x14ac:dyDescent="0.25">
      <c r="A215" s="8">
        <v>42837.913657407407</v>
      </c>
      <c r="B215" s="20" t="s">
        <v>479</v>
      </c>
      <c r="C215" s="20" t="s">
        <v>849</v>
      </c>
      <c r="D215" s="146">
        <v>2270000</v>
      </c>
      <c r="E215" s="20" t="s">
        <v>207</v>
      </c>
      <c r="F215" s="20" t="s">
        <v>208</v>
      </c>
      <c r="G215" s="8" t="str">
        <f t="shared" si="3"/>
        <v>BROWN JACOB</v>
      </c>
    </row>
    <row r="216" spans="1:7" x14ac:dyDescent="0.25">
      <c r="A216" s="8">
        <v>42837.92359953704</v>
      </c>
      <c r="B216" s="20" t="s">
        <v>500</v>
      </c>
      <c r="C216" s="20" t="s">
        <v>850</v>
      </c>
      <c r="D216" s="146">
        <v>3000000</v>
      </c>
      <c r="E216" s="20" t="s">
        <v>529</v>
      </c>
      <c r="F216" s="20" t="s">
        <v>530</v>
      </c>
      <c r="G216" s="8" t="str">
        <f t="shared" si="3"/>
        <v>FORTUNATO FRANK</v>
      </c>
    </row>
    <row r="217" spans="1:7" x14ac:dyDescent="0.25">
      <c r="A217" s="8">
        <v>42837.928831018522</v>
      </c>
      <c r="B217" s="20" t="s">
        <v>625</v>
      </c>
      <c r="C217" s="20" t="s">
        <v>851</v>
      </c>
      <c r="D217" s="146">
        <v>1800000</v>
      </c>
      <c r="E217" s="20" t="s">
        <v>392</v>
      </c>
      <c r="F217" s="20" t="s">
        <v>393</v>
      </c>
      <c r="G217" s="8" t="str">
        <f t="shared" si="3"/>
        <v>CHANDLER KELVIN</v>
      </c>
    </row>
    <row r="218" spans="1:7" x14ac:dyDescent="0.25">
      <c r="A218" s="8">
        <v>42837.934374999997</v>
      </c>
      <c r="B218" s="20" t="s">
        <v>380</v>
      </c>
      <c r="C218" s="20" t="s">
        <v>852</v>
      </c>
      <c r="D218" s="146">
        <v>2450000</v>
      </c>
      <c r="E218" s="20" t="s">
        <v>820</v>
      </c>
      <c r="F218" s="20" t="s">
        <v>821</v>
      </c>
      <c r="G218" s="8" t="str">
        <f t="shared" si="3"/>
        <v>NELSON ARIANE</v>
      </c>
    </row>
    <row r="219" spans="1:7" x14ac:dyDescent="0.25">
      <c r="A219" s="8">
        <v>42837.944456018522</v>
      </c>
      <c r="B219" s="20" t="s">
        <v>621</v>
      </c>
      <c r="C219" s="20" t="s">
        <v>853</v>
      </c>
      <c r="D219" s="146">
        <v>1800000</v>
      </c>
      <c r="E219" s="20" t="s">
        <v>392</v>
      </c>
      <c r="F219" s="20" t="s">
        <v>393</v>
      </c>
      <c r="G219" s="8" t="str">
        <f t="shared" si="3"/>
        <v>CHANDLER KELVIN</v>
      </c>
    </row>
    <row r="220" spans="1:7" x14ac:dyDescent="0.25">
      <c r="A220" s="8">
        <v>42837.952384259261</v>
      </c>
      <c r="B220" s="20" t="s">
        <v>432</v>
      </c>
      <c r="C220" s="20" t="s">
        <v>854</v>
      </c>
      <c r="D220" s="146">
        <v>2270000</v>
      </c>
      <c r="E220" s="20" t="s">
        <v>207</v>
      </c>
      <c r="F220" s="20" t="s">
        <v>208</v>
      </c>
      <c r="G220" s="8" t="str">
        <f t="shared" si="3"/>
        <v>BROWN JACOB</v>
      </c>
    </row>
    <row r="221" spans="1:7" x14ac:dyDescent="0.25">
      <c r="A221" s="8">
        <v>42837.956944444442</v>
      </c>
      <c r="B221" s="20" t="s">
        <v>427</v>
      </c>
      <c r="C221" s="20" t="s">
        <v>855</v>
      </c>
      <c r="D221" s="146">
        <v>2150000</v>
      </c>
      <c r="E221" s="20" t="s">
        <v>370</v>
      </c>
      <c r="F221" s="20" t="s">
        <v>371</v>
      </c>
      <c r="G221" s="8" t="str">
        <f t="shared" si="3"/>
        <v>SWANSON BRYCE</v>
      </c>
    </row>
    <row r="222" spans="1:7" x14ac:dyDescent="0.25">
      <c r="A222" s="8">
        <v>42837.96837962963</v>
      </c>
      <c r="B222" s="20" t="s">
        <v>503</v>
      </c>
      <c r="C222" s="20" t="s">
        <v>856</v>
      </c>
      <c r="D222" s="146">
        <v>3000000</v>
      </c>
      <c r="E222" s="20" t="s">
        <v>529</v>
      </c>
      <c r="F222" s="20" t="s">
        <v>530</v>
      </c>
      <c r="G222" s="8" t="str">
        <f t="shared" si="3"/>
        <v>FORTUNATO FRANK</v>
      </c>
    </row>
    <row r="223" spans="1:7" x14ac:dyDescent="0.25">
      <c r="A223" s="8">
        <v>42837.974664351852</v>
      </c>
      <c r="B223" s="20" t="s">
        <v>381</v>
      </c>
      <c r="C223" s="20" t="s">
        <v>857</v>
      </c>
      <c r="D223" s="146">
        <v>2450000</v>
      </c>
      <c r="E223" s="20" t="s">
        <v>820</v>
      </c>
      <c r="F223" s="20" t="s">
        <v>821</v>
      </c>
      <c r="G223" s="8" t="str">
        <f t="shared" si="3"/>
        <v>NELSON ARIANE</v>
      </c>
    </row>
    <row r="224" spans="1:7" x14ac:dyDescent="0.25">
      <c r="A224" s="8">
        <v>42837.994479166664</v>
      </c>
      <c r="B224" t="s">
        <v>424</v>
      </c>
      <c r="C224" t="s">
        <v>858</v>
      </c>
      <c r="D224" s="146">
        <v>2150000</v>
      </c>
      <c r="E224" t="s">
        <v>370</v>
      </c>
      <c r="F224" s="20" t="s">
        <v>371</v>
      </c>
      <c r="G224" s="8" t="str">
        <f t="shared" si="3"/>
        <v>SWANSON BRYCE</v>
      </c>
    </row>
    <row r="225" spans="1:7" x14ac:dyDescent="0.25">
      <c r="A225" s="8">
        <v>42837.99790509259</v>
      </c>
      <c r="B225" t="s">
        <v>479</v>
      </c>
      <c r="C225" t="s">
        <v>859</v>
      </c>
      <c r="D225" s="146">
        <v>2270000</v>
      </c>
      <c r="E225" t="s">
        <v>207</v>
      </c>
      <c r="F225" s="20" t="s">
        <v>208</v>
      </c>
      <c r="G225" s="8" t="str">
        <f t="shared" si="3"/>
        <v>BROWN JACOB</v>
      </c>
    </row>
    <row r="226" spans="1:7" x14ac:dyDescent="0.25">
      <c r="A226" s="8">
        <v>42838.009780092594</v>
      </c>
      <c r="B226" t="s">
        <v>500</v>
      </c>
      <c r="C226" t="s">
        <v>860</v>
      </c>
      <c r="D226" s="146">
        <v>3000000</v>
      </c>
      <c r="E226" t="s">
        <v>529</v>
      </c>
      <c r="F226" s="20" t="s">
        <v>530</v>
      </c>
      <c r="G226" s="8" t="str">
        <f t="shared" si="3"/>
        <v>FORTUNATO FRANK</v>
      </c>
    </row>
    <row r="227" spans="1:7" x14ac:dyDescent="0.25">
      <c r="A227" s="8">
        <v>42838.01630787037</v>
      </c>
      <c r="B227" t="s">
        <v>380</v>
      </c>
      <c r="C227" t="s">
        <v>861</v>
      </c>
      <c r="D227" s="146">
        <v>2450000</v>
      </c>
      <c r="E227" t="s">
        <v>820</v>
      </c>
      <c r="F227" s="20" t="s">
        <v>821</v>
      </c>
      <c r="G227" s="8" t="str">
        <f t="shared" si="3"/>
        <v>NELSON ARIANE</v>
      </c>
    </row>
    <row r="228" spans="1:7" x14ac:dyDescent="0.25">
      <c r="A228" s="8">
        <v>42838.031770833331</v>
      </c>
      <c r="B228" t="s">
        <v>427</v>
      </c>
      <c r="C228" t="s">
        <v>862</v>
      </c>
      <c r="D228" s="146">
        <v>2150000</v>
      </c>
      <c r="E228" t="s">
        <v>370</v>
      </c>
      <c r="F228" s="20" t="s">
        <v>371</v>
      </c>
      <c r="G228" s="8" t="str">
        <f t="shared" si="3"/>
        <v>SWANSON BRYCE</v>
      </c>
    </row>
    <row r="229" spans="1:7" x14ac:dyDescent="0.25">
      <c r="A229" s="8">
        <v>42838.037465277775</v>
      </c>
      <c r="B229" t="s">
        <v>432</v>
      </c>
      <c r="C229" t="s">
        <v>863</v>
      </c>
      <c r="D229" s="146">
        <v>2270000</v>
      </c>
      <c r="E229" t="s">
        <v>207</v>
      </c>
      <c r="F229" s="20" t="s">
        <v>208</v>
      </c>
      <c r="G229" s="8" t="str">
        <f t="shared" si="3"/>
        <v>BROWN JACOB</v>
      </c>
    </row>
    <row r="230" spans="1:7" x14ac:dyDescent="0.25">
      <c r="A230" s="8">
        <v>42838.047129629631</v>
      </c>
      <c r="B230" t="s">
        <v>503</v>
      </c>
      <c r="C230" t="s">
        <v>864</v>
      </c>
      <c r="D230" s="146">
        <v>3000000</v>
      </c>
      <c r="E230" t="s">
        <v>529</v>
      </c>
      <c r="F230" s="20" t="s">
        <v>530</v>
      </c>
      <c r="G230" s="8" t="str">
        <f t="shared" si="3"/>
        <v>FORTUNATO FRANK</v>
      </c>
    </row>
    <row r="231" spans="1:7" x14ac:dyDescent="0.25">
      <c r="A231" s="8">
        <v>42838.057268518518</v>
      </c>
      <c r="B231" t="s">
        <v>381</v>
      </c>
      <c r="C231" t="s">
        <v>865</v>
      </c>
      <c r="D231" s="146">
        <v>2450000</v>
      </c>
      <c r="E231" t="s">
        <v>820</v>
      </c>
      <c r="F231" s="20" t="s">
        <v>821</v>
      </c>
      <c r="G231" s="8" t="str">
        <f t="shared" si="3"/>
        <v>NELSON ARIANE</v>
      </c>
    </row>
    <row r="232" spans="1:7" x14ac:dyDescent="0.25">
      <c r="A232" s="8">
        <v>42837.018090277779</v>
      </c>
      <c r="B232" t="s">
        <v>398</v>
      </c>
      <c r="C232" t="s">
        <v>563</v>
      </c>
      <c r="D232" s="146">
        <v>3010000</v>
      </c>
      <c r="E232" t="s">
        <v>461</v>
      </c>
      <c r="F232" s="20" t="s">
        <v>462</v>
      </c>
      <c r="G232" s="8" t="str">
        <f t="shared" si="3"/>
        <v>SULLIVAN BRANDON</v>
      </c>
    </row>
    <row r="233" spans="1:7" x14ac:dyDescent="0.25">
      <c r="A233" s="8">
        <v>42837.029317129629</v>
      </c>
      <c r="B233" t="s">
        <v>426</v>
      </c>
      <c r="C233" t="s">
        <v>564</v>
      </c>
      <c r="D233" s="146">
        <v>3000000</v>
      </c>
      <c r="E233" t="s">
        <v>529</v>
      </c>
      <c r="F233" s="20" t="s">
        <v>530</v>
      </c>
      <c r="G233" s="8" t="str">
        <f t="shared" si="3"/>
        <v>FORTUNATO FRANK</v>
      </c>
    </row>
    <row r="234" spans="1:7" x14ac:dyDescent="0.25">
      <c r="A234" s="8">
        <v>42837.029675925929</v>
      </c>
      <c r="B234" t="s">
        <v>520</v>
      </c>
      <c r="C234" t="s">
        <v>565</v>
      </c>
      <c r="D234" s="146">
        <v>1800000</v>
      </c>
      <c r="E234" t="s">
        <v>392</v>
      </c>
      <c r="F234" s="20" t="s">
        <v>393</v>
      </c>
      <c r="G234" s="8" t="str">
        <f t="shared" si="3"/>
        <v>CHANDLER KELVIN</v>
      </c>
    </row>
    <row r="235" spans="1:7" x14ac:dyDescent="0.25">
      <c r="A235" s="8">
        <v>42837.047939814816</v>
      </c>
      <c r="B235" t="s">
        <v>199</v>
      </c>
      <c r="C235" t="s">
        <v>566</v>
      </c>
      <c r="D235" s="146">
        <v>2630000</v>
      </c>
      <c r="E235" t="s">
        <v>501</v>
      </c>
      <c r="F235" s="20" t="s">
        <v>502</v>
      </c>
      <c r="G235" s="8" t="str">
        <f t="shared" si="3"/>
        <v>SAFIEF AEIMEN</v>
      </c>
    </row>
    <row r="236" spans="1:7" x14ac:dyDescent="0.25">
      <c r="A236" s="8">
        <v>42837.057453703703</v>
      </c>
      <c r="B236" t="s">
        <v>399</v>
      </c>
      <c r="C236" t="s">
        <v>567</v>
      </c>
      <c r="D236" s="146">
        <v>3010000</v>
      </c>
      <c r="E236" t="s">
        <v>461</v>
      </c>
      <c r="F236" s="20" t="s">
        <v>462</v>
      </c>
      <c r="G236" s="8" t="str">
        <f t="shared" si="3"/>
        <v>SULLIVAN BRANDON</v>
      </c>
    </row>
    <row r="237" spans="1:7" x14ac:dyDescent="0.25">
      <c r="A237" s="8">
        <v>42837.06925925926</v>
      </c>
      <c r="B237" t="s">
        <v>425</v>
      </c>
      <c r="C237" t="s">
        <v>568</v>
      </c>
      <c r="D237" s="146">
        <v>3000000</v>
      </c>
      <c r="E237" t="s">
        <v>529</v>
      </c>
      <c r="F237" s="20" t="s">
        <v>530</v>
      </c>
      <c r="G237" s="8" t="str">
        <f t="shared" si="3"/>
        <v>FORTUNATO FRANK</v>
      </c>
    </row>
    <row r="238" spans="1:7" x14ac:dyDescent="0.25">
      <c r="A238" s="8">
        <v>42836.050081018519</v>
      </c>
      <c r="B238" t="s">
        <v>433</v>
      </c>
      <c r="C238" t="s">
        <v>531</v>
      </c>
      <c r="D238" s="146">
        <v>3000000</v>
      </c>
      <c r="E238" t="s">
        <v>529</v>
      </c>
      <c r="F238" s="20" t="s">
        <v>530</v>
      </c>
      <c r="G238" s="8" t="str">
        <f t="shared" si="3"/>
        <v>FORTUNATO FRANK</v>
      </c>
    </row>
    <row r="239" spans="1:7" x14ac:dyDescent="0.25">
      <c r="A239" s="8">
        <v>42836.069733796299</v>
      </c>
      <c r="B239" t="s">
        <v>519</v>
      </c>
      <c r="C239" t="s">
        <v>532</v>
      </c>
      <c r="D239" s="146">
        <v>3010000</v>
      </c>
      <c r="E239" t="s">
        <v>461</v>
      </c>
      <c r="F239" s="20" t="s">
        <v>462</v>
      </c>
      <c r="G239" s="8" t="str">
        <f t="shared" si="3"/>
        <v>SULLIVAN BRANDON</v>
      </c>
    </row>
    <row r="240" spans="1:7" x14ac:dyDescent="0.25">
      <c r="A240" s="8">
        <v>42836.088888888888</v>
      </c>
      <c r="B240" t="s">
        <v>436</v>
      </c>
      <c r="C240" t="s">
        <v>533</v>
      </c>
      <c r="D240" s="146">
        <v>3000000</v>
      </c>
      <c r="E240" t="s">
        <v>529</v>
      </c>
      <c r="F240" s="20" t="s">
        <v>530</v>
      </c>
      <c r="G240" s="8" t="str">
        <f t="shared" si="3"/>
        <v>FORTUNATO FRANK</v>
      </c>
    </row>
    <row r="241" spans="1:7" x14ac:dyDescent="0.25">
      <c r="A241" s="8">
        <v>42831.976076388892</v>
      </c>
      <c r="B241" t="s">
        <v>380</v>
      </c>
      <c r="C241" t="s">
        <v>480</v>
      </c>
      <c r="D241" s="146">
        <v>1810000</v>
      </c>
      <c r="E241" t="s">
        <v>394</v>
      </c>
      <c r="F241" s="20" t="s">
        <v>193</v>
      </c>
      <c r="G241" s="8" t="str">
        <f t="shared" si="3"/>
        <v>NEWELL JAMES</v>
      </c>
    </row>
    <row r="242" spans="1:7" x14ac:dyDescent="0.25">
      <c r="A242" s="8">
        <v>42831.993622685186</v>
      </c>
      <c r="B242" t="s">
        <v>479</v>
      </c>
      <c r="C242" t="s">
        <v>481</v>
      </c>
      <c r="D242" s="146">
        <v>2480000</v>
      </c>
      <c r="E242" t="s">
        <v>463</v>
      </c>
      <c r="F242" s="20" t="s">
        <v>464</v>
      </c>
      <c r="G242" s="8" t="str">
        <f t="shared" si="3"/>
        <v>WHITED DUSTIN</v>
      </c>
    </row>
    <row r="243" spans="1:7" x14ac:dyDescent="0.25">
      <c r="A243" s="8">
        <v>42831.993622685186</v>
      </c>
      <c r="B243" t="s">
        <v>426</v>
      </c>
      <c r="C243" t="s">
        <v>482</v>
      </c>
      <c r="D243" s="146">
        <v>1800000</v>
      </c>
      <c r="E243" t="s">
        <v>392</v>
      </c>
      <c r="F243" s="20" t="s">
        <v>393</v>
      </c>
      <c r="G243" s="8" t="str">
        <f t="shared" si="3"/>
        <v>CHANDLER KELVIN</v>
      </c>
    </row>
    <row r="244" spans="1:7" x14ac:dyDescent="0.25">
      <c r="A244" s="8">
        <v>42832.00917824074</v>
      </c>
      <c r="B244" t="s">
        <v>427</v>
      </c>
      <c r="C244" t="s">
        <v>483</v>
      </c>
      <c r="D244" s="146">
        <v>2150000</v>
      </c>
      <c r="E244" t="s">
        <v>370</v>
      </c>
      <c r="F244" s="20" t="s">
        <v>371</v>
      </c>
      <c r="G244" s="8" t="str">
        <f t="shared" si="3"/>
        <v>SWANSON BRYCE</v>
      </c>
    </row>
    <row r="245" spans="1:7" x14ac:dyDescent="0.25">
      <c r="A245" s="8">
        <v>42832.015138888892</v>
      </c>
      <c r="B245" t="s">
        <v>381</v>
      </c>
      <c r="C245" t="s">
        <v>484</v>
      </c>
      <c r="D245" s="146">
        <v>1810000</v>
      </c>
      <c r="E245" t="s">
        <v>394</v>
      </c>
      <c r="F245" s="20" t="s">
        <v>193</v>
      </c>
      <c r="G245" s="8" t="str">
        <f t="shared" si="3"/>
        <v>NEWELL JAMES</v>
      </c>
    </row>
    <row r="246" spans="1:7" x14ac:dyDescent="0.25">
      <c r="A246" s="8">
        <v>42832.028819444444</v>
      </c>
      <c r="B246" t="s">
        <v>425</v>
      </c>
      <c r="C246" t="s">
        <v>485</v>
      </c>
      <c r="D246" s="146">
        <v>1800000</v>
      </c>
      <c r="E246" t="s">
        <v>392</v>
      </c>
      <c r="F246" s="20" t="s">
        <v>393</v>
      </c>
      <c r="G246" s="8" t="str">
        <f t="shared" si="3"/>
        <v>CHANDLER KELVIN</v>
      </c>
    </row>
    <row r="247" spans="1:7" x14ac:dyDescent="0.25">
      <c r="A247" s="8">
        <v>42832.036076388889</v>
      </c>
      <c r="B247" t="s">
        <v>432</v>
      </c>
      <c r="C247" t="s">
        <v>486</v>
      </c>
      <c r="D247" s="146">
        <v>2480000</v>
      </c>
      <c r="E247" t="s">
        <v>463</v>
      </c>
      <c r="F247" s="20" t="s">
        <v>464</v>
      </c>
      <c r="G247" s="8" t="str">
        <f t="shared" si="3"/>
        <v>WHITED DUSTIN</v>
      </c>
    </row>
    <row r="248" spans="1:7" x14ac:dyDescent="0.25">
      <c r="A248" s="8">
        <v>42832.047430555554</v>
      </c>
      <c r="B248" t="s">
        <v>380</v>
      </c>
      <c r="C248" t="s">
        <v>487</v>
      </c>
      <c r="D248" s="146">
        <v>1810000</v>
      </c>
      <c r="E248" t="s">
        <v>394</v>
      </c>
      <c r="F248" s="20" t="s">
        <v>193</v>
      </c>
      <c r="G248" s="8" t="str">
        <f t="shared" si="3"/>
        <v>NEWELL JAMES</v>
      </c>
    </row>
    <row r="249" spans="1:7" x14ac:dyDescent="0.25">
      <c r="A249" s="8">
        <v>42832.057939814818</v>
      </c>
      <c r="B249" t="s">
        <v>424</v>
      </c>
      <c r="C249" t="s">
        <v>488</v>
      </c>
      <c r="D249" s="146">
        <v>2150000</v>
      </c>
      <c r="E249" t="s">
        <v>370</v>
      </c>
      <c r="F249" s="20" t="s">
        <v>371</v>
      </c>
      <c r="G249" s="8" t="str">
        <f t="shared" si="3"/>
        <v>SWANSON BRYCE</v>
      </c>
    </row>
    <row r="250" spans="1:7" x14ac:dyDescent="0.25">
      <c r="A250" s="8">
        <v>42832.068240740744</v>
      </c>
      <c r="B250" t="s">
        <v>479</v>
      </c>
      <c r="C250" t="s">
        <v>489</v>
      </c>
      <c r="D250" s="146">
        <v>2480000</v>
      </c>
      <c r="E250" t="s">
        <v>463</v>
      </c>
      <c r="F250" s="20" t="s">
        <v>464</v>
      </c>
      <c r="G250" s="8" t="str">
        <f t="shared" si="3"/>
        <v>WHITED DUSTIN</v>
      </c>
    </row>
    <row r="251" spans="1:7" x14ac:dyDescent="0.25">
      <c r="A251" s="8">
        <v>42832.090752314813</v>
      </c>
      <c r="B251" t="s">
        <v>427</v>
      </c>
      <c r="C251" t="s">
        <v>490</v>
      </c>
      <c r="D251" s="146">
        <v>2150000</v>
      </c>
      <c r="E251" t="s">
        <v>370</v>
      </c>
      <c r="F251" s="20" t="s">
        <v>371</v>
      </c>
      <c r="G251" s="8" t="str">
        <f t="shared" si="3"/>
        <v>SWANSON BRYCE</v>
      </c>
    </row>
    <row r="252" spans="1:7" x14ac:dyDescent="0.25">
      <c r="A252" s="8">
        <v>42829.913263888891</v>
      </c>
      <c r="B252" t="s">
        <v>406</v>
      </c>
      <c r="C252" t="s">
        <v>438</v>
      </c>
      <c r="D252" s="146">
        <v>1740000</v>
      </c>
      <c r="E252" t="s">
        <v>395</v>
      </c>
      <c r="F252" s="20" t="s">
        <v>396</v>
      </c>
      <c r="G252" s="8" t="str">
        <f t="shared" si="3"/>
        <v>STORY SAMANTHA</v>
      </c>
    </row>
    <row r="253" spans="1:7" x14ac:dyDescent="0.25">
      <c r="A253" s="8">
        <v>42829.916273148148</v>
      </c>
      <c r="B253" t="s">
        <v>427</v>
      </c>
      <c r="C253" t="s">
        <v>439</v>
      </c>
      <c r="D253" s="146">
        <v>2150000</v>
      </c>
      <c r="E253" t="s">
        <v>370</v>
      </c>
      <c r="F253" s="20" t="s">
        <v>371</v>
      </c>
      <c r="G253" s="8" t="str">
        <f t="shared" si="3"/>
        <v>SWANSON BRYCE</v>
      </c>
    </row>
    <row r="254" spans="1:7" x14ac:dyDescent="0.25">
      <c r="A254" s="8">
        <v>42829.916666666664</v>
      </c>
      <c r="B254" t="s">
        <v>377</v>
      </c>
      <c r="C254" t="s">
        <v>437</v>
      </c>
      <c r="D254" s="146">
        <v>2680000</v>
      </c>
      <c r="E254" t="s">
        <v>420</v>
      </c>
      <c r="F254" s="20" t="s">
        <v>421</v>
      </c>
      <c r="G254" s="8" t="str">
        <f t="shared" si="3"/>
        <v>DUNCAN SHEILA</v>
      </c>
    </row>
    <row r="255" spans="1:7" x14ac:dyDescent="0.25">
      <c r="A255" s="8">
        <v>42829.924108796295</v>
      </c>
      <c r="B255" t="s">
        <v>376</v>
      </c>
      <c r="C255" t="s">
        <v>440</v>
      </c>
      <c r="D255" s="146">
        <v>2970000</v>
      </c>
      <c r="E255" t="s">
        <v>428</v>
      </c>
      <c r="F255" s="20" t="s">
        <v>429</v>
      </c>
      <c r="G255" s="8" t="str">
        <f t="shared" si="3"/>
        <v>GUZMAN DANNY</v>
      </c>
    </row>
    <row r="256" spans="1:7" x14ac:dyDescent="0.25">
      <c r="A256" s="8">
        <v>42829.927233796298</v>
      </c>
      <c r="B256" t="s">
        <v>378</v>
      </c>
      <c r="C256" t="s">
        <v>435</v>
      </c>
      <c r="D256" s="146">
        <v>2680000</v>
      </c>
      <c r="E256" t="s">
        <v>420</v>
      </c>
      <c r="F256" s="20" t="s">
        <v>421</v>
      </c>
      <c r="G256" s="8" t="str">
        <f t="shared" si="3"/>
        <v>DUNCAN SHEILA</v>
      </c>
    </row>
    <row r="257" spans="1:7" x14ac:dyDescent="0.25">
      <c r="A257" s="8">
        <v>42829.932175925926</v>
      </c>
      <c r="B257" t="s">
        <v>426</v>
      </c>
      <c r="C257" t="s">
        <v>441</v>
      </c>
      <c r="D257" s="146">
        <v>1810000</v>
      </c>
      <c r="E257" t="s">
        <v>394</v>
      </c>
      <c r="F257" s="20" t="s">
        <v>193</v>
      </c>
      <c r="G257" s="8" t="str">
        <f t="shared" si="3"/>
        <v>NEWELL JAMES</v>
      </c>
    </row>
    <row r="258" spans="1:7" x14ac:dyDescent="0.25">
      <c r="A258" s="8">
        <v>42829.94327546296</v>
      </c>
      <c r="B258" t="s">
        <v>424</v>
      </c>
      <c r="C258" t="s">
        <v>442</v>
      </c>
      <c r="D258" s="146">
        <v>2150000</v>
      </c>
      <c r="E258" t="s">
        <v>370</v>
      </c>
      <c r="F258" s="20" t="s">
        <v>371</v>
      </c>
      <c r="G258" s="8" t="str">
        <f t="shared" si="3"/>
        <v>SWANSON BRYCE</v>
      </c>
    </row>
    <row r="259" spans="1:7" x14ac:dyDescent="0.25">
      <c r="A259" s="8">
        <v>42829.952060185184</v>
      </c>
      <c r="B259" t="s">
        <v>377</v>
      </c>
      <c r="C259" t="s">
        <v>437</v>
      </c>
      <c r="D259" s="146">
        <v>2680000</v>
      </c>
      <c r="E259" t="s">
        <v>420</v>
      </c>
      <c r="F259" s="20" t="s">
        <v>421</v>
      </c>
      <c r="G259" s="8" t="str">
        <f t="shared" ref="G259:G322" si="4">E259&amp;" "&amp;F259</f>
        <v>DUNCAN SHEILA</v>
      </c>
    </row>
    <row r="260" spans="1:7" x14ac:dyDescent="0.25">
      <c r="A260" s="8">
        <v>42829.953784722224</v>
      </c>
      <c r="B260" t="s">
        <v>414</v>
      </c>
      <c r="C260" t="s">
        <v>443</v>
      </c>
      <c r="D260" s="146">
        <v>1740000</v>
      </c>
      <c r="E260" t="s">
        <v>395</v>
      </c>
      <c r="F260" s="20" t="s">
        <v>396</v>
      </c>
      <c r="G260" s="8" t="str">
        <f t="shared" si="4"/>
        <v>STORY SAMANTHA</v>
      </c>
    </row>
    <row r="261" spans="1:7" x14ac:dyDescent="0.25">
      <c r="A261" s="8">
        <v>42829.958067129628</v>
      </c>
      <c r="B261" t="s">
        <v>398</v>
      </c>
      <c r="C261" t="s">
        <v>444</v>
      </c>
      <c r="D261" s="146">
        <v>1800000</v>
      </c>
      <c r="E261" t="s">
        <v>392</v>
      </c>
      <c r="F261" s="20" t="s">
        <v>393</v>
      </c>
      <c r="G261" s="8" t="str">
        <f t="shared" si="4"/>
        <v>CHANDLER KELVIN</v>
      </c>
    </row>
    <row r="262" spans="1:7" x14ac:dyDescent="0.25">
      <c r="A262" s="8">
        <v>42829.965127314812</v>
      </c>
      <c r="B262" t="s">
        <v>378</v>
      </c>
      <c r="C262" t="s">
        <v>435</v>
      </c>
      <c r="D262" s="146">
        <v>2680000</v>
      </c>
      <c r="E262" t="s">
        <v>420</v>
      </c>
      <c r="F262" s="20" t="s">
        <v>421</v>
      </c>
      <c r="G262" s="8" t="str">
        <f t="shared" si="4"/>
        <v>DUNCAN SHEILA</v>
      </c>
    </row>
    <row r="263" spans="1:7" x14ac:dyDescent="0.25">
      <c r="A263" s="8">
        <v>42829.965925925928</v>
      </c>
      <c r="B263" t="s">
        <v>415</v>
      </c>
      <c r="C263" t="s">
        <v>445</v>
      </c>
      <c r="D263" s="146">
        <v>2970000</v>
      </c>
      <c r="E263" t="s">
        <v>428</v>
      </c>
      <c r="F263" s="20" t="s">
        <v>429</v>
      </c>
      <c r="G263" s="8" t="str">
        <f t="shared" si="4"/>
        <v>GUZMAN DANNY</v>
      </c>
    </row>
    <row r="264" spans="1:7" x14ac:dyDescent="0.25">
      <c r="A264" s="8">
        <v>42829.967789351853</v>
      </c>
      <c r="B264" t="s">
        <v>378</v>
      </c>
      <c r="C264" t="s">
        <v>435</v>
      </c>
      <c r="D264" s="146">
        <v>2680000</v>
      </c>
      <c r="E264" t="s">
        <v>420</v>
      </c>
      <c r="F264" s="20" t="s">
        <v>421</v>
      </c>
      <c r="G264" s="8" t="str">
        <f t="shared" si="4"/>
        <v>DUNCAN SHEILA</v>
      </c>
    </row>
    <row r="265" spans="1:7" x14ac:dyDescent="0.25">
      <c r="A265" s="8">
        <v>42829.976087962961</v>
      </c>
      <c r="B265" t="s">
        <v>425</v>
      </c>
      <c r="C265" t="s">
        <v>434</v>
      </c>
      <c r="D265" s="146">
        <v>1810000</v>
      </c>
      <c r="E265" t="s">
        <v>394</v>
      </c>
      <c r="F265" s="20" t="s">
        <v>193</v>
      </c>
      <c r="G265" s="8" t="str">
        <f t="shared" si="4"/>
        <v>NEWELL JAMES</v>
      </c>
    </row>
    <row r="266" spans="1:7" x14ac:dyDescent="0.25">
      <c r="A266" s="8">
        <v>42829.978796296295</v>
      </c>
      <c r="B266" t="s">
        <v>377</v>
      </c>
      <c r="C266" t="s">
        <v>437</v>
      </c>
      <c r="D266" s="146">
        <v>2680000</v>
      </c>
      <c r="E266" t="s">
        <v>420</v>
      </c>
      <c r="F266" s="20" t="s">
        <v>421</v>
      </c>
      <c r="G266" s="8" t="str">
        <f t="shared" si="4"/>
        <v>DUNCAN SHEILA</v>
      </c>
    </row>
    <row r="267" spans="1:7" x14ac:dyDescent="0.25">
      <c r="A267" s="8">
        <v>42829.986134259256</v>
      </c>
      <c r="B267" t="s">
        <v>378</v>
      </c>
      <c r="C267" t="s">
        <v>435</v>
      </c>
      <c r="D267" s="146">
        <v>2680000</v>
      </c>
      <c r="E267" t="s">
        <v>420</v>
      </c>
      <c r="F267" s="20" t="s">
        <v>421</v>
      </c>
      <c r="G267" s="8" t="str">
        <f t="shared" si="4"/>
        <v>DUNCAN SHEILA</v>
      </c>
    </row>
    <row r="268" spans="1:7" x14ac:dyDescent="0.25">
      <c r="A268" s="8">
        <v>42829.993414351855</v>
      </c>
      <c r="B268" t="s">
        <v>406</v>
      </c>
      <c r="C268" t="s">
        <v>446</v>
      </c>
      <c r="D268" s="146">
        <v>1740000</v>
      </c>
      <c r="E268" t="s">
        <v>395</v>
      </c>
      <c r="F268" s="20" t="s">
        <v>396</v>
      </c>
      <c r="G268" s="8" t="str">
        <f t="shared" si="4"/>
        <v>STORY SAMANTHA</v>
      </c>
    </row>
    <row r="269" spans="1:7" x14ac:dyDescent="0.25">
      <c r="A269" s="8">
        <v>42829.995555555557</v>
      </c>
      <c r="B269" t="s">
        <v>399</v>
      </c>
      <c r="C269" t="s">
        <v>447</v>
      </c>
      <c r="D269" s="146">
        <v>1800000</v>
      </c>
      <c r="E269" t="s">
        <v>392</v>
      </c>
      <c r="F269" s="20" t="s">
        <v>393</v>
      </c>
      <c r="G269" s="8" t="str">
        <f t="shared" si="4"/>
        <v>CHANDLER KELVIN</v>
      </c>
    </row>
    <row r="270" spans="1:7" x14ac:dyDescent="0.25">
      <c r="A270" s="8">
        <v>42829.99732638889</v>
      </c>
      <c r="B270" t="s">
        <v>377</v>
      </c>
      <c r="C270" t="s">
        <v>437</v>
      </c>
      <c r="D270" s="146">
        <v>2680000</v>
      </c>
      <c r="E270" t="s">
        <v>420</v>
      </c>
      <c r="F270" s="20" t="s">
        <v>421</v>
      </c>
      <c r="G270" s="8" t="str">
        <f t="shared" si="4"/>
        <v>DUNCAN SHEILA</v>
      </c>
    </row>
    <row r="271" spans="1:7" x14ac:dyDescent="0.25">
      <c r="A271" s="8">
        <v>42830.005949074075</v>
      </c>
      <c r="B271" t="s">
        <v>378</v>
      </c>
      <c r="C271" t="s">
        <v>435</v>
      </c>
      <c r="D271" s="146">
        <v>2680000</v>
      </c>
      <c r="E271" t="s">
        <v>420</v>
      </c>
      <c r="F271" s="20" t="s">
        <v>421</v>
      </c>
      <c r="G271" s="8" t="str">
        <f t="shared" si="4"/>
        <v>DUNCAN SHEILA</v>
      </c>
    </row>
    <row r="272" spans="1:7" x14ac:dyDescent="0.25">
      <c r="A272" s="8">
        <v>42830.007650462961</v>
      </c>
      <c r="B272" t="s">
        <v>376</v>
      </c>
      <c r="C272" t="s">
        <v>448</v>
      </c>
      <c r="D272" s="146">
        <v>2970000</v>
      </c>
      <c r="E272" t="s">
        <v>428</v>
      </c>
      <c r="F272" s="20" t="s">
        <v>429</v>
      </c>
      <c r="G272" s="8" t="str">
        <f t="shared" si="4"/>
        <v>GUZMAN DANNY</v>
      </c>
    </row>
    <row r="273" spans="1:7" x14ac:dyDescent="0.25">
      <c r="A273" s="8">
        <v>42830.01048611111</v>
      </c>
      <c r="B273" t="s">
        <v>377</v>
      </c>
      <c r="C273" t="s">
        <v>437</v>
      </c>
      <c r="D273" s="146">
        <v>2680000</v>
      </c>
      <c r="E273" t="s">
        <v>420</v>
      </c>
      <c r="F273" s="20" t="s">
        <v>421</v>
      </c>
      <c r="G273" s="8" t="str">
        <f t="shared" si="4"/>
        <v>DUNCAN SHEILA</v>
      </c>
    </row>
    <row r="274" spans="1:7" x14ac:dyDescent="0.25">
      <c r="A274" s="8">
        <v>42830.014768518522</v>
      </c>
      <c r="B274" t="s">
        <v>378</v>
      </c>
      <c r="C274" t="s">
        <v>435</v>
      </c>
      <c r="D274" s="146">
        <v>2680000</v>
      </c>
      <c r="E274" t="s">
        <v>420</v>
      </c>
      <c r="F274" s="20" t="s">
        <v>421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426</v>
      </c>
      <c r="C275" t="s">
        <v>449</v>
      </c>
      <c r="D275" s="146">
        <v>1810000</v>
      </c>
      <c r="E275" t="s">
        <v>394</v>
      </c>
      <c r="F275" s="20" t="s">
        <v>193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377</v>
      </c>
      <c r="C276" t="s">
        <v>437</v>
      </c>
      <c r="D276" s="146">
        <v>2680000</v>
      </c>
      <c r="E276" t="s">
        <v>420</v>
      </c>
      <c r="F276" s="20" t="s">
        <v>421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378</v>
      </c>
      <c r="C277" t="s">
        <v>435</v>
      </c>
      <c r="D277" s="146">
        <v>2680000</v>
      </c>
      <c r="E277" t="s">
        <v>420</v>
      </c>
      <c r="F277" s="20" t="s">
        <v>421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377</v>
      </c>
      <c r="C278" t="s">
        <v>437</v>
      </c>
      <c r="D278" s="146">
        <v>2680000</v>
      </c>
      <c r="E278" t="s">
        <v>420</v>
      </c>
      <c r="F278" s="20" t="s">
        <v>421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398</v>
      </c>
      <c r="C279" t="s">
        <v>450</v>
      </c>
      <c r="D279" s="146">
        <v>1800000</v>
      </c>
      <c r="E279" t="s">
        <v>392</v>
      </c>
      <c r="F279" s="20" t="s">
        <v>393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414</v>
      </c>
      <c r="C280" t="s">
        <v>451</v>
      </c>
      <c r="D280" s="146">
        <v>1740000</v>
      </c>
      <c r="E280" t="s">
        <v>395</v>
      </c>
      <c r="F280" s="20" t="s">
        <v>396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415</v>
      </c>
      <c r="C281" t="s">
        <v>452</v>
      </c>
      <c r="D281" s="146">
        <v>2970000</v>
      </c>
      <c r="E281" t="s">
        <v>428</v>
      </c>
      <c r="F281" s="20" t="s">
        <v>429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425</v>
      </c>
      <c r="C282" t="s">
        <v>453</v>
      </c>
      <c r="D282" s="146">
        <v>1810000</v>
      </c>
      <c r="E282" t="s">
        <v>394</v>
      </c>
      <c r="F282" s="20" t="s">
        <v>193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406</v>
      </c>
      <c r="C283" t="s">
        <v>454</v>
      </c>
      <c r="D283" s="146">
        <v>1740000</v>
      </c>
      <c r="E283" t="s">
        <v>395</v>
      </c>
      <c r="F283" s="20" t="s">
        <v>396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378</v>
      </c>
      <c r="C284" t="s">
        <v>435</v>
      </c>
      <c r="D284" s="146">
        <v>2680000</v>
      </c>
      <c r="E284" t="s">
        <v>420</v>
      </c>
      <c r="F284" s="20" t="s">
        <v>421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378</v>
      </c>
      <c r="C285" t="s">
        <v>435</v>
      </c>
      <c r="D285" s="146">
        <v>2680000</v>
      </c>
      <c r="E285" t="s">
        <v>420</v>
      </c>
      <c r="F285" s="20" t="s">
        <v>421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376</v>
      </c>
      <c r="C286" t="s">
        <v>455</v>
      </c>
      <c r="D286" s="146">
        <v>2970000</v>
      </c>
      <c r="E286" t="s">
        <v>428</v>
      </c>
      <c r="F286" s="20" t="s">
        <v>429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199</v>
      </c>
      <c r="C287" t="s">
        <v>384</v>
      </c>
      <c r="D287" s="146">
        <v>2230000</v>
      </c>
      <c r="E287" t="s">
        <v>379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375</v>
      </c>
      <c r="C288" t="s">
        <v>385</v>
      </c>
      <c r="D288" s="146">
        <v>2000000</v>
      </c>
      <c r="E288" t="s">
        <v>374</v>
      </c>
      <c r="F288" s="20" t="s">
        <v>193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382</v>
      </c>
      <c r="C289" t="s">
        <v>386</v>
      </c>
      <c r="D289" s="146">
        <v>2150000</v>
      </c>
      <c r="E289" t="s">
        <v>370</v>
      </c>
      <c r="F289" s="20" t="s">
        <v>371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382</v>
      </c>
      <c r="C290" t="s">
        <v>386</v>
      </c>
      <c r="D290" s="146">
        <v>2150000</v>
      </c>
      <c r="E290" t="s">
        <v>370</v>
      </c>
      <c r="F290" s="20" t="s">
        <v>371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382</v>
      </c>
      <c r="C291" t="s">
        <v>386</v>
      </c>
      <c r="D291" s="146">
        <v>2150000</v>
      </c>
      <c r="E291" t="s">
        <v>370</v>
      </c>
      <c r="F291" s="20" t="s">
        <v>371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383</v>
      </c>
      <c r="C292" t="s">
        <v>387</v>
      </c>
      <c r="D292" s="146">
        <v>2230000</v>
      </c>
      <c r="E292" t="s">
        <v>379</v>
      </c>
      <c r="F292" s="20" t="s">
        <v>196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372</v>
      </c>
      <c r="C293" t="s">
        <v>388</v>
      </c>
      <c r="D293" s="146">
        <v>2270000</v>
      </c>
      <c r="E293" t="s">
        <v>207</v>
      </c>
      <c r="F293" s="20" t="s">
        <v>208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372</v>
      </c>
      <c r="C294" t="s">
        <v>388</v>
      </c>
      <c r="D294" s="146">
        <v>2270000</v>
      </c>
      <c r="E294" t="s">
        <v>207</v>
      </c>
      <c r="F294" s="20" t="s">
        <v>208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372</v>
      </c>
      <c r="C295" t="s">
        <v>388</v>
      </c>
      <c r="D295" s="146">
        <v>2270000</v>
      </c>
      <c r="E295" t="s">
        <v>207</v>
      </c>
      <c r="F295" s="20" t="s">
        <v>208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378</v>
      </c>
      <c r="C296" t="s">
        <v>389</v>
      </c>
      <c r="D296" s="146">
        <v>2150000</v>
      </c>
      <c r="E296" t="s">
        <v>370</v>
      </c>
      <c r="F296" s="20" t="s">
        <v>371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373</v>
      </c>
      <c r="C297" t="s">
        <v>390</v>
      </c>
      <c r="D297" s="146">
        <v>2270000</v>
      </c>
      <c r="E297" t="s">
        <v>207</v>
      </c>
      <c r="F297" s="20" t="s">
        <v>208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168</v>
      </c>
      <c r="I1" s="186" t="s">
        <v>169</v>
      </c>
      <c r="J1" s="186" t="s">
        <v>163</v>
      </c>
      <c r="K1" s="186" t="s">
        <v>161</v>
      </c>
      <c r="L1" s="186" t="s">
        <v>156</v>
      </c>
      <c r="M1" s="186" t="s">
        <v>166</v>
      </c>
      <c r="N1" s="186" t="s">
        <v>160</v>
      </c>
      <c r="O1" s="186" t="s">
        <v>167</v>
      </c>
      <c r="P1" s="186" t="s">
        <v>164</v>
      </c>
      <c r="Q1"/>
      <c r="R1"/>
    </row>
    <row r="2" spans="1:18" x14ac:dyDescent="0.25">
      <c r="A2" s="164">
        <v>49.56</v>
      </c>
      <c r="B2" s="164">
        <v>0.25</v>
      </c>
      <c r="C2" s="164">
        <v>21.35</v>
      </c>
      <c r="D2" s="8">
        <v>42837</v>
      </c>
      <c r="E2" s="164">
        <v>0.33</v>
      </c>
      <c r="F2" s="164" t="s">
        <v>534</v>
      </c>
      <c r="G2" s="164">
        <v>324.93</v>
      </c>
      <c r="H2" s="164">
        <v>0</v>
      </c>
      <c r="I2" s="164">
        <v>0</v>
      </c>
      <c r="J2" s="164">
        <v>1013.64</v>
      </c>
      <c r="K2" s="164" t="s">
        <v>345</v>
      </c>
      <c r="L2" s="164">
        <v>49.56</v>
      </c>
      <c r="M2" s="164">
        <v>1491976800</v>
      </c>
      <c r="N2" s="164">
        <v>5.0599999999999996</v>
      </c>
      <c r="O2" s="164">
        <v>197</v>
      </c>
      <c r="P2" s="164">
        <v>1.68</v>
      </c>
      <c r="Q2"/>
      <c r="R2"/>
    </row>
    <row r="3" spans="1:18" x14ac:dyDescent="0.25">
      <c r="A3" s="164">
        <v>47.24</v>
      </c>
      <c r="B3" s="164">
        <v>0.19</v>
      </c>
      <c r="C3" s="164">
        <v>21.02</v>
      </c>
      <c r="D3" s="8">
        <v>42837.041666666664</v>
      </c>
      <c r="E3" s="164">
        <v>0.35</v>
      </c>
      <c r="F3" s="164" t="s">
        <v>467</v>
      </c>
      <c r="G3" s="164">
        <v>325.73</v>
      </c>
      <c r="H3" s="164">
        <v>0</v>
      </c>
      <c r="I3" s="164">
        <v>0</v>
      </c>
      <c r="J3" s="164">
        <v>1013.75</v>
      </c>
      <c r="K3" s="164" t="s">
        <v>466</v>
      </c>
      <c r="L3" s="164">
        <v>47.24</v>
      </c>
      <c r="M3" s="164">
        <v>1491980400</v>
      </c>
      <c r="N3" s="164">
        <v>5.35</v>
      </c>
      <c r="O3" s="164">
        <v>202</v>
      </c>
      <c r="P3" s="164">
        <v>1.97</v>
      </c>
      <c r="Q3"/>
      <c r="R3"/>
    </row>
    <row r="4" spans="1:18" x14ac:dyDescent="0.25">
      <c r="A4" s="164">
        <v>45.42</v>
      </c>
      <c r="B4" s="164">
        <v>0.16</v>
      </c>
      <c r="C4" s="164">
        <v>20.93</v>
      </c>
      <c r="D4" s="8">
        <v>42837.083333333336</v>
      </c>
      <c r="E4" s="164">
        <v>0.37</v>
      </c>
      <c r="F4" s="164" t="s">
        <v>467</v>
      </c>
      <c r="G4" s="164">
        <v>326.52</v>
      </c>
      <c r="H4" s="164">
        <v>0</v>
      </c>
      <c r="I4" s="164">
        <v>0</v>
      </c>
      <c r="J4" s="164">
        <v>1013.85</v>
      </c>
      <c r="K4" s="164" t="s">
        <v>466</v>
      </c>
      <c r="L4" s="164">
        <v>45.42</v>
      </c>
      <c r="M4" s="164">
        <v>1491984000</v>
      </c>
      <c r="N4" s="164">
        <v>5.47</v>
      </c>
      <c r="O4" s="164">
        <v>224</v>
      </c>
      <c r="P4" s="164">
        <v>2.2999999999999998</v>
      </c>
      <c r="Q4"/>
      <c r="R4"/>
    </row>
    <row r="5" spans="1:18" x14ac:dyDescent="0.25">
      <c r="A5" s="164">
        <v>43.53</v>
      </c>
      <c r="B5" s="164">
        <v>0.13</v>
      </c>
      <c r="C5" s="164">
        <v>21.16</v>
      </c>
      <c r="D5" s="8">
        <v>42837.125</v>
      </c>
      <c r="E5" s="164">
        <v>0.41</v>
      </c>
      <c r="F5" s="164" t="s">
        <v>467</v>
      </c>
      <c r="G5" s="164">
        <v>327.32</v>
      </c>
      <c r="H5" s="164">
        <v>0</v>
      </c>
      <c r="I5" s="164">
        <v>0</v>
      </c>
      <c r="J5" s="164">
        <v>1013.93</v>
      </c>
      <c r="K5" s="164" t="s">
        <v>466</v>
      </c>
      <c r="L5" s="164">
        <v>43.53</v>
      </c>
      <c r="M5" s="164">
        <v>1491987600</v>
      </c>
      <c r="N5" s="164">
        <v>4.8899999999999997</v>
      </c>
      <c r="O5" s="164">
        <v>218</v>
      </c>
      <c r="P5" s="164">
        <v>2.71</v>
      </c>
      <c r="Q5"/>
      <c r="R5"/>
    </row>
    <row r="6" spans="1:18" x14ac:dyDescent="0.25">
      <c r="A6" s="164">
        <v>41.62</v>
      </c>
      <c r="B6" s="164">
        <v>0.12</v>
      </c>
      <c r="C6" s="164">
        <v>22.16</v>
      </c>
      <c r="D6" s="8">
        <v>42837.166666666664</v>
      </c>
      <c r="E6" s="164">
        <v>0.46</v>
      </c>
      <c r="F6" s="164" t="s">
        <v>467</v>
      </c>
      <c r="G6" s="164">
        <v>327.94</v>
      </c>
      <c r="H6" s="164">
        <v>0</v>
      </c>
      <c r="I6" s="164">
        <v>0</v>
      </c>
      <c r="J6" s="164">
        <v>1014.4</v>
      </c>
      <c r="K6" s="164" t="s">
        <v>466</v>
      </c>
      <c r="L6" s="164">
        <v>41.62</v>
      </c>
      <c r="M6" s="164">
        <v>1491991200</v>
      </c>
      <c r="N6" s="164">
        <v>5.13</v>
      </c>
      <c r="O6" s="164">
        <v>236</v>
      </c>
      <c r="P6" s="164">
        <v>2.02</v>
      </c>
      <c r="Q6"/>
      <c r="R6"/>
    </row>
    <row r="7" spans="1:18" x14ac:dyDescent="0.25">
      <c r="A7" s="164">
        <v>39.94</v>
      </c>
      <c r="B7" s="164">
        <v>0.13</v>
      </c>
      <c r="C7" s="164">
        <v>21.56</v>
      </c>
      <c r="D7" s="8">
        <v>42837.208333333336</v>
      </c>
      <c r="E7" s="164">
        <v>0.47</v>
      </c>
      <c r="F7" s="164" t="s">
        <v>467</v>
      </c>
      <c r="G7" s="164">
        <v>328.59</v>
      </c>
      <c r="H7" s="164">
        <v>0</v>
      </c>
      <c r="I7" s="164">
        <v>0</v>
      </c>
      <c r="J7" s="164">
        <v>1014.96</v>
      </c>
      <c r="K7" s="164" t="s">
        <v>466</v>
      </c>
      <c r="L7" s="164">
        <v>39.94</v>
      </c>
      <c r="M7" s="164">
        <v>1491994800</v>
      </c>
      <c r="N7" s="164">
        <v>6.18</v>
      </c>
      <c r="O7" s="164">
        <v>244</v>
      </c>
      <c r="P7" s="164">
        <v>1.78</v>
      </c>
      <c r="Q7"/>
      <c r="R7"/>
    </row>
    <row r="8" spans="1:18" x14ac:dyDescent="0.25">
      <c r="A8" s="164">
        <v>39.090000000000003</v>
      </c>
      <c r="B8" s="164">
        <v>0.23</v>
      </c>
      <c r="C8" s="164">
        <v>22.22</v>
      </c>
      <c r="D8" s="8">
        <v>42837.25</v>
      </c>
      <c r="E8" s="164">
        <v>0.5</v>
      </c>
      <c r="F8" s="164" t="s">
        <v>467</v>
      </c>
      <c r="G8" s="164">
        <v>329.99</v>
      </c>
      <c r="H8" s="164">
        <v>0</v>
      </c>
      <c r="I8" s="164">
        <v>0</v>
      </c>
      <c r="J8" s="164">
        <v>1015.28</v>
      </c>
      <c r="K8" s="164" t="s">
        <v>466</v>
      </c>
      <c r="L8" s="164">
        <v>39.090000000000003</v>
      </c>
      <c r="M8" s="164">
        <v>1491998400</v>
      </c>
      <c r="N8" s="164">
        <v>6.57</v>
      </c>
      <c r="O8" s="164">
        <v>232</v>
      </c>
      <c r="P8" s="164">
        <v>2.17</v>
      </c>
      <c r="Q8"/>
      <c r="R8"/>
    </row>
    <row r="9" spans="1:18" x14ac:dyDescent="0.25">
      <c r="A9" s="164">
        <v>40.46</v>
      </c>
      <c r="B9" s="164">
        <v>0.16</v>
      </c>
      <c r="C9" s="164">
        <v>23.33</v>
      </c>
      <c r="D9" s="8">
        <v>42837.291666666664</v>
      </c>
      <c r="E9" s="164">
        <v>0.5</v>
      </c>
      <c r="F9" s="164" t="s">
        <v>465</v>
      </c>
      <c r="G9" s="164">
        <v>333.01</v>
      </c>
      <c r="H9" s="164">
        <v>0</v>
      </c>
      <c r="I9" s="164">
        <v>0</v>
      </c>
      <c r="J9" s="164">
        <v>1015.19</v>
      </c>
      <c r="K9" s="164" t="s">
        <v>466</v>
      </c>
      <c r="L9" s="164">
        <v>40.46</v>
      </c>
      <c r="M9" s="164">
        <v>1492002000</v>
      </c>
      <c r="N9" s="164">
        <v>5.44</v>
      </c>
      <c r="O9" s="164">
        <v>233</v>
      </c>
      <c r="P9" s="164">
        <v>2.2000000000000002</v>
      </c>
      <c r="Q9"/>
      <c r="R9"/>
    </row>
    <row r="10" spans="1:18" x14ac:dyDescent="0.25">
      <c r="A10" s="164">
        <v>47.07</v>
      </c>
      <c r="B10" s="164">
        <v>0.1</v>
      </c>
      <c r="C10" s="164">
        <v>25.88</v>
      </c>
      <c r="D10" s="8">
        <v>42837.333333333336</v>
      </c>
      <c r="E10" s="164">
        <v>0.43</v>
      </c>
      <c r="F10" s="164" t="s">
        <v>465</v>
      </c>
      <c r="G10" s="164">
        <v>336.79</v>
      </c>
      <c r="H10" s="164">
        <v>0</v>
      </c>
      <c r="I10" s="164">
        <v>0</v>
      </c>
      <c r="J10" s="164">
        <v>1014.74</v>
      </c>
      <c r="K10" s="164" t="s">
        <v>466</v>
      </c>
      <c r="L10" s="164">
        <v>47.07</v>
      </c>
      <c r="M10" s="164">
        <v>1492005600</v>
      </c>
      <c r="N10" s="164">
        <v>4.93</v>
      </c>
      <c r="O10" s="164">
        <v>233</v>
      </c>
      <c r="P10" s="164">
        <v>1.56</v>
      </c>
      <c r="Q10"/>
      <c r="R10"/>
    </row>
    <row r="11" spans="1:18" x14ac:dyDescent="0.25">
      <c r="A11" s="164">
        <v>54.36</v>
      </c>
      <c r="B11" s="164">
        <v>7.0000000000000007E-2</v>
      </c>
      <c r="C11" s="164">
        <v>26.83</v>
      </c>
      <c r="D11" s="8">
        <v>42837.375</v>
      </c>
      <c r="E11" s="164">
        <v>0.34</v>
      </c>
      <c r="F11" s="164" t="s">
        <v>465</v>
      </c>
      <c r="G11" s="164">
        <v>339.45</v>
      </c>
      <c r="H11" s="164">
        <v>0</v>
      </c>
      <c r="I11" s="164">
        <v>0</v>
      </c>
      <c r="J11" s="164">
        <v>1014.39</v>
      </c>
      <c r="K11" s="164" t="s">
        <v>466</v>
      </c>
      <c r="L11" s="164">
        <v>54.36</v>
      </c>
      <c r="M11" s="164">
        <v>1492009200</v>
      </c>
      <c r="N11" s="164">
        <v>4.76</v>
      </c>
      <c r="O11" s="164">
        <v>300</v>
      </c>
      <c r="P11" s="164">
        <v>0.93</v>
      </c>
      <c r="Q11"/>
      <c r="R11"/>
    </row>
    <row r="12" spans="1:18" x14ac:dyDescent="0.25">
      <c r="A12" s="164">
        <v>59.91</v>
      </c>
      <c r="B12" s="164">
        <v>0.11</v>
      </c>
      <c r="C12" s="164">
        <v>27.36</v>
      </c>
      <c r="D12" s="8">
        <v>42837.416666666664</v>
      </c>
      <c r="E12" s="164">
        <v>0.28999999999999998</v>
      </c>
      <c r="F12" s="164" t="s">
        <v>465</v>
      </c>
      <c r="G12" s="164">
        <v>340.08</v>
      </c>
      <c r="H12" s="164">
        <v>0</v>
      </c>
      <c r="I12" s="164">
        <v>0</v>
      </c>
      <c r="J12" s="164">
        <v>1014.42</v>
      </c>
      <c r="K12" s="164" t="s">
        <v>466</v>
      </c>
      <c r="L12" s="164">
        <v>59.91</v>
      </c>
      <c r="M12" s="164">
        <v>1492012800</v>
      </c>
      <c r="N12" s="164">
        <v>4.78</v>
      </c>
      <c r="O12" s="164">
        <v>1</v>
      </c>
      <c r="P12" s="164">
        <v>2.17</v>
      </c>
      <c r="Q12"/>
      <c r="R12"/>
    </row>
    <row r="13" spans="1:18" x14ac:dyDescent="0.25">
      <c r="A13" s="164">
        <v>64.430000000000007</v>
      </c>
      <c r="B13" s="164">
        <v>0.11</v>
      </c>
      <c r="C13" s="164">
        <v>24.66</v>
      </c>
      <c r="D13" s="8">
        <v>42837.458333333336</v>
      </c>
      <c r="E13" s="164">
        <v>0.22</v>
      </c>
      <c r="F13" s="164" t="s">
        <v>465</v>
      </c>
      <c r="G13" s="164">
        <v>339.59</v>
      </c>
      <c r="H13" s="164">
        <v>0</v>
      </c>
      <c r="I13" s="164">
        <v>0</v>
      </c>
      <c r="J13" s="164">
        <v>1014.49</v>
      </c>
      <c r="K13" s="164" t="s">
        <v>466</v>
      </c>
      <c r="L13" s="164">
        <v>64.430000000000007</v>
      </c>
      <c r="M13" s="164">
        <v>1492016400</v>
      </c>
      <c r="N13" s="164">
        <v>3.93</v>
      </c>
      <c r="O13" s="164">
        <v>41</v>
      </c>
      <c r="P13" s="164">
        <v>3.24</v>
      </c>
      <c r="Q13"/>
      <c r="R13"/>
    </row>
    <row r="14" spans="1:18" x14ac:dyDescent="0.25">
      <c r="A14" s="164">
        <v>68.64</v>
      </c>
      <c r="B14" s="164">
        <v>0.13</v>
      </c>
      <c r="C14" s="164">
        <v>24.44</v>
      </c>
      <c r="D14" s="8">
        <v>42837.5</v>
      </c>
      <c r="E14" s="164">
        <v>0.19</v>
      </c>
      <c r="F14" s="164" t="s">
        <v>465</v>
      </c>
      <c r="G14" s="164">
        <v>338.87</v>
      </c>
      <c r="H14" s="164">
        <v>0</v>
      </c>
      <c r="I14" s="164">
        <v>0</v>
      </c>
      <c r="J14" s="164">
        <v>1014.39</v>
      </c>
      <c r="K14" s="164" t="s">
        <v>466</v>
      </c>
      <c r="L14" s="164">
        <v>68.64</v>
      </c>
      <c r="M14" s="164">
        <v>1492020000</v>
      </c>
      <c r="N14" s="164">
        <v>3.99</v>
      </c>
      <c r="O14" s="164">
        <v>58</v>
      </c>
      <c r="P14" s="164">
        <v>4.41</v>
      </c>
      <c r="Q14"/>
      <c r="R14"/>
    </row>
    <row r="15" spans="1:18" x14ac:dyDescent="0.25">
      <c r="A15" s="164">
        <v>71.760000000000005</v>
      </c>
      <c r="B15" s="164">
        <v>0.14000000000000001</v>
      </c>
      <c r="C15" s="164">
        <v>24.64</v>
      </c>
      <c r="D15" s="8">
        <v>42837.541666666664</v>
      </c>
      <c r="E15" s="164">
        <v>0.17</v>
      </c>
      <c r="F15" s="164" t="s">
        <v>465</v>
      </c>
      <c r="G15" s="164">
        <v>338.33</v>
      </c>
      <c r="H15" s="164">
        <v>0</v>
      </c>
      <c r="I15" s="164">
        <v>0</v>
      </c>
      <c r="J15" s="164">
        <v>1013.94</v>
      </c>
      <c r="K15" s="164" t="s">
        <v>466</v>
      </c>
      <c r="L15" s="164">
        <v>71.760000000000005</v>
      </c>
      <c r="M15" s="164">
        <v>1492023600</v>
      </c>
      <c r="N15" s="164">
        <v>4.0199999999999996</v>
      </c>
      <c r="O15" s="164">
        <v>74</v>
      </c>
      <c r="P15" s="164">
        <v>4.2</v>
      </c>
      <c r="Q15"/>
      <c r="R15"/>
    </row>
    <row r="16" spans="1:18" x14ac:dyDescent="0.25">
      <c r="A16" s="164">
        <v>73.040000000000006</v>
      </c>
      <c r="B16" s="164">
        <v>0.15</v>
      </c>
      <c r="C16" s="164">
        <v>24.12</v>
      </c>
      <c r="D16" s="8">
        <v>42837.583333333336</v>
      </c>
      <c r="E16" s="164">
        <v>0.16</v>
      </c>
      <c r="F16" s="164" t="s">
        <v>465</v>
      </c>
      <c r="G16" s="164">
        <v>337.56</v>
      </c>
      <c r="H16" s="164">
        <v>0</v>
      </c>
      <c r="I16" s="164">
        <v>0</v>
      </c>
      <c r="J16" s="164">
        <v>1013.32</v>
      </c>
      <c r="K16" s="164" t="s">
        <v>466</v>
      </c>
      <c r="L16" s="164">
        <v>73.040000000000006</v>
      </c>
      <c r="M16" s="164">
        <v>1492027200</v>
      </c>
      <c r="N16" s="164">
        <v>4</v>
      </c>
      <c r="O16" s="164">
        <v>89</v>
      </c>
      <c r="P16" s="164">
        <v>4.26</v>
      </c>
      <c r="Q16"/>
      <c r="R16"/>
    </row>
    <row r="17" spans="1:18" x14ac:dyDescent="0.25">
      <c r="A17" s="164">
        <v>74.7</v>
      </c>
      <c r="B17" s="164">
        <v>0.14000000000000001</v>
      </c>
      <c r="C17" s="164">
        <v>22.9</v>
      </c>
      <c r="D17" s="8">
        <v>42837.625</v>
      </c>
      <c r="E17" s="164">
        <v>0.14000000000000001</v>
      </c>
      <c r="F17" s="164" t="s">
        <v>465</v>
      </c>
      <c r="G17" s="164">
        <v>336.24</v>
      </c>
      <c r="H17" s="164">
        <v>0</v>
      </c>
      <c r="I17" s="164">
        <v>0</v>
      </c>
      <c r="J17" s="164">
        <v>1012.82</v>
      </c>
      <c r="K17" s="164" t="s">
        <v>466</v>
      </c>
      <c r="L17" s="164">
        <v>74.7</v>
      </c>
      <c r="M17" s="164">
        <v>1492030800</v>
      </c>
      <c r="N17" s="164">
        <v>5.22</v>
      </c>
      <c r="O17" s="164">
        <v>104</v>
      </c>
      <c r="P17" s="164">
        <v>3.9</v>
      </c>
      <c r="Q17"/>
      <c r="R17"/>
    </row>
    <row r="18" spans="1:18" x14ac:dyDescent="0.25">
      <c r="A18" s="164">
        <v>75.739999999999995</v>
      </c>
      <c r="B18" s="164">
        <v>0.15</v>
      </c>
      <c r="C18" s="164">
        <v>24.84</v>
      </c>
      <c r="D18" s="8">
        <v>42837.666666666664</v>
      </c>
      <c r="E18" s="164">
        <v>0.15</v>
      </c>
      <c r="F18" s="164" t="s">
        <v>465</v>
      </c>
      <c r="G18" s="164">
        <v>333.92</v>
      </c>
      <c r="H18" s="164">
        <v>0</v>
      </c>
      <c r="I18" s="164">
        <v>0</v>
      </c>
      <c r="J18" s="164">
        <v>1012.49</v>
      </c>
      <c r="K18" s="164" t="s">
        <v>466</v>
      </c>
      <c r="L18" s="164">
        <v>75.739999999999995</v>
      </c>
      <c r="M18" s="164">
        <v>1492034400</v>
      </c>
      <c r="N18" s="164">
        <v>5.2</v>
      </c>
      <c r="O18" s="164">
        <v>99</v>
      </c>
      <c r="P18" s="164">
        <v>4.79</v>
      </c>
      <c r="Q18"/>
      <c r="R18"/>
    </row>
    <row r="19" spans="1:18" x14ac:dyDescent="0.25">
      <c r="A19" s="164">
        <v>75.069999999999993</v>
      </c>
      <c r="B19" s="164">
        <v>0.17</v>
      </c>
      <c r="C19" s="164">
        <v>23.95</v>
      </c>
      <c r="D19" s="8">
        <v>42837.708333333336</v>
      </c>
      <c r="E19" s="164">
        <v>0.15</v>
      </c>
      <c r="F19" s="164" t="s">
        <v>465</v>
      </c>
      <c r="G19" s="164">
        <v>331.05</v>
      </c>
      <c r="H19" s="164">
        <v>0</v>
      </c>
      <c r="I19" s="164">
        <v>0</v>
      </c>
      <c r="J19" s="164">
        <v>1012.34</v>
      </c>
      <c r="K19" s="164" t="s">
        <v>466</v>
      </c>
      <c r="L19" s="164">
        <v>75.069999999999993</v>
      </c>
      <c r="M19" s="164">
        <v>1492038000</v>
      </c>
      <c r="N19" s="164">
        <v>5.28</v>
      </c>
      <c r="O19" s="164">
        <v>102</v>
      </c>
      <c r="P19" s="164">
        <v>6.25</v>
      </c>
      <c r="Q19"/>
      <c r="R19"/>
    </row>
    <row r="20" spans="1:18" x14ac:dyDescent="0.25">
      <c r="A20" s="164">
        <v>73</v>
      </c>
      <c r="B20" s="164">
        <v>0.15</v>
      </c>
      <c r="C20" s="164">
        <v>23.79</v>
      </c>
      <c r="D20" s="8">
        <v>42837.75</v>
      </c>
      <c r="E20" s="164">
        <v>0.16</v>
      </c>
      <c r="F20" s="164" t="s">
        <v>465</v>
      </c>
      <c r="G20" s="164">
        <v>328.68</v>
      </c>
      <c r="H20" s="164">
        <v>0</v>
      </c>
      <c r="I20" s="164">
        <v>0</v>
      </c>
      <c r="J20" s="164">
        <v>1012.54</v>
      </c>
      <c r="K20" s="164" t="s">
        <v>466</v>
      </c>
      <c r="L20" s="164">
        <v>73</v>
      </c>
      <c r="M20" s="164">
        <v>1492041600</v>
      </c>
      <c r="N20" s="164">
        <v>5.52</v>
      </c>
      <c r="O20" s="164">
        <v>105</v>
      </c>
      <c r="P20" s="164">
        <v>6.29</v>
      </c>
      <c r="Q20"/>
      <c r="R20"/>
    </row>
    <row r="21" spans="1:18" x14ac:dyDescent="0.25">
      <c r="A21" s="164">
        <v>68.599999999999994</v>
      </c>
      <c r="B21" s="164">
        <v>0.12</v>
      </c>
      <c r="C21" s="164">
        <v>22.72</v>
      </c>
      <c r="D21" s="8">
        <v>42837.791666666664</v>
      </c>
      <c r="E21" s="164">
        <v>0.17</v>
      </c>
      <c r="F21" s="164" t="s">
        <v>465</v>
      </c>
      <c r="G21" s="164">
        <v>327.3</v>
      </c>
      <c r="H21" s="164">
        <v>0</v>
      </c>
      <c r="I21" s="164">
        <v>0</v>
      </c>
      <c r="J21" s="164">
        <v>1013.12</v>
      </c>
      <c r="K21" s="164" t="s">
        <v>466</v>
      </c>
      <c r="L21" s="164">
        <v>68.599999999999994</v>
      </c>
      <c r="M21" s="164">
        <v>1492045200</v>
      </c>
      <c r="N21" s="164">
        <v>5.99</v>
      </c>
      <c r="O21" s="164">
        <v>98</v>
      </c>
      <c r="P21" s="164">
        <v>6.41</v>
      </c>
      <c r="Q21"/>
      <c r="R21"/>
    </row>
    <row r="22" spans="1:18" x14ac:dyDescent="0.25">
      <c r="A22" s="164">
        <v>64.489999999999995</v>
      </c>
      <c r="B22" s="164">
        <v>0.1</v>
      </c>
      <c r="C22" s="164">
        <v>24.12</v>
      </c>
      <c r="D22" s="8">
        <v>42837.833333333336</v>
      </c>
      <c r="E22" s="164">
        <v>0.21</v>
      </c>
      <c r="F22" s="164" t="s">
        <v>467</v>
      </c>
      <c r="G22" s="164">
        <v>326.42</v>
      </c>
      <c r="H22" s="164">
        <v>0</v>
      </c>
      <c r="I22" s="164">
        <v>0</v>
      </c>
      <c r="J22" s="164">
        <v>1014.16</v>
      </c>
      <c r="K22" s="164" t="s">
        <v>466</v>
      </c>
      <c r="L22" s="164">
        <v>64.489999999999995</v>
      </c>
      <c r="M22" s="164">
        <v>1492048800</v>
      </c>
      <c r="N22" s="164">
        <v>6.79</v>
      </c>
      <c r="O22" s="164">
        <v>103</v>
      </c>
      <c r="P22" s="164">
        <v>4.0199999999999996</v>
      </c>
      <c r="Q22"/>
      <c r="R22"/>
    </row>
    <row r="23" spans="1:18" x14ac:dyDescent="0.25">
      <c r="A23" s="164">
        <v>60.16</v>
      </c>
      <c r="B23" s="164">
        <v>0.09</v>
      </c>
      <c r="C23" s="164">
        <v>24.39</v>
      </c>
      <c r="D23" s="8">
        <v>42837.875</v>
      </c>
      <c r="E23" s="164">
        <v>0.25</v>
      </c>
      <c r="F23" s="164" t="s">
        <v>467</v>
      </c>
      <c r="G23" s="164">
        <v>325.58</v>
      </c>
      <c r="H23" s="164">
        <v>0</v>
      </c>
      <c r="I23" s="164">
        <v>0</v>
      </c>
      <c r="J23" s="164">
        <v>1015.29</v>
      </c>
      <c r="K23" s="164" t="s">
        <v>466</v>
      </c>
      <c r="L23" s="164">
        <v>60.16</v>
      </c>
      <c r="M23" s="164">
        <v>1492052400</v>
      </c>
      <c r="N23" s="164">
        <v>7.58</v>
      </c>
      <c r="O23" s="164">
        <v>113</v>
      </c>
      <c r="P23" s="164">
        <v>3.11</v>
      </c>
      <c r="Q23"/>
      <c r="R23"/>
    </row>
    <row r="24" spans="1:18" x14ac:dyDescent="0.25">
      <c r="A24" s="164">
        <v>58.52</v>
      </c>
      <c r="B24" s="164">
        <v>0.09</v>
      </c>
      <c r="C24" s="164">
        <v>25.43</v>
      </c>
      <c r="D24" s="8">
        <v>42837.916666666664</v>
      </c>
      <c r="E24" s="164">
        <v>0.28000000000000003</v>
      </c>
      <c r="F24" s="164" t="s">
        <v>467</v>
      </c>
      <c r="G24" s="164">
        <v>324.66000000000003</v>
      </c>
      <c r="H24" s="164">
        <v>0</v>
      </c>
      <c r="I24" s="164">
        <v>0</v>
      </c>
      <c r="J24" s="164">
        <v>1016.48</v>
      </c>
      <c r="K24" s="164" t="s">
        <v>466</v>
      </c>
      <c r="L24" s="164">
        <v>58.52</v>
      </c>
      <c r="M24" s="164">
        <v>1492056000</v>
      </c>
      <c r="N24" s="164">
        <v>6.31</v>
      </c>
      <c r="O24" s="164">
        <v>140</v>
      </c>
      <c r="P24" s="164">
        <v>3.08</v>
      </c>
      <c r="Q24"/>
      <c r="R24"/>
    </row>
    <row r="25" spans="1:18" x14ac:dyDescent="0.25">
      <c r="A25" s="164">
        <v>55.33</v>
      </c>
      <c r="B25" s="164">
        <v>0.03</v>
      </c>
      <c r="C25" s="164">
        <v>25.32</v>
      </c>
      <c r="D25" s="8">
        <v>42837.958333333336</v>
      </c>
      <c r="E25" s="164">
        <v>0.31</v>
      </c>
      <c r="F25" s="164" t="s">
        <v>467</v>
      </c>
      <c r="G25" s="164">
        <v>323.77</v>
      </c>
      <c r="H25" s="164">
        <v>0</v>
      </c>
      <c r="I25" s="164">
        <v>0</v>
      </c>
      <c r="J25" s="164">
        <v>1017.68</v>
      </c>
      <c r="K25" s="164" t="s">
        <v>466</v>
      </c>
      <c r="L25" s="164">
        <v>55.33</v>
      </c>
      <c r="M25" s="164">
        <v>1492059600</v>
      </c>
      <c r="N25" s="164">
        <v>5.92</v>
      </c>
      <c r="O25" s="164">
        <v>146</v>
      </c>
      <c r="P25" s="164">
        <v>2.96</v>
      </c>
      <c r="Q25"/>
      <c r="R25"/>
    </row>
    <row r="26" spans="1:18" x14ac:dyDescent="0.25">
      <c r="A26" s="164">
        <v>53.09</v>
      </c>
      <c r="B26" s="164">
        <v>0.08</v>
      </c>
      <c r="C26" s="164">
        <v>25.44</v>
      </c>
      <c r="D26" s="8">
        <v>42838</v>
      </c>
      <c r="E26" s="164">
        <v>0.34</v>
      </c>
      <c r="F26" s="164" t="s">
        <v>467</v>
      </c>
      <c r="G26" s="164">
        <v>322.89999999999998</v>
      </c>
      <c r="H26" s="164">
        <v>0</v>
      </c>
      <c r="I26" s="164">
        <v>0</v>
      </c>
      <c r="J26" s="164">
        <v>1018.54</v>
      </c>
      <c r="K26" s="164" t="s">
        <v>466</v>
      </c>
      <c r="L26" s="164">
        <v>53.09</v>
      </c>
      <c r="M26" s="164">
        <v>1492063200</v>
      </c>
      <c r="N26" s="164">
        <v>5.78</v>
      </c>
      <c r="O26" s="164">
        <v>161</v>
      </c>
      <c r="P26" s="164">
        <v>2.37</v>
      </c>
      <c r="Q26"/>
      <c r="R26"/>
    </row>
    <row r="27" spans="1:18" x14ac:dyDescent="0.25">
      <c r="A27" s="164">
        <v>50.89</v>
      </c>
      <c r="B27" s="164">
        <v>0.03</v>
      </c>
      <c r="C27" s="164">
        <v>26.31</v>
      </c>
      <c r="D27" s="8">
        <v>42838.041666666664</v>
      </c>
      <c r="E27" s="164">
        <v>0.38</v>
      </c>
      <c r="F27" s="164" t="s">
        <v>467</v>
      </c>
      <c r="G27" s="164">
        <v>322.04000000000002</v>
      </c>
      <c r="H27" s="164">
        <v>0</v>
      </c>
      <c r="I27" s="164">
        <v>0</v>
      </c>
      <c r="J27" s="164">
        <v>1018.62</v>
      </c>
      <c r="K27" s="164" t="s">
        <v>466</v>
      </c>
      <c r="L27" s="164">
        <v>50.89</v>
      </c>
      <c r="M27" s="164">
        <v>1492066800</v>
      </c>
      <c r="N27" s="164">
        <v>6</v>
      </c>
      <c r="O27" s="164">
        <v>211</v>
      </c>
      <c r="P27" s="164">
        <v>0.33</v>
      </c>
      <c r="Q27"/>
      <c r="R27"/>
    </row>
    <row r="28" spans="1:18" x14ac:dyDescent="0.25">
      <c r="A28" s="164">
        <v>48.67</v>
      </c>
      <c r="B28" s="164">
        <v>0.05</v>
      </c>
      <c r="C28" s="164">
        <v>27.32</v>
      </c>
      <c r="D28" s="8">
        <v>42838.083333333336</v>
      </c>
      <c r="E28" s="164">
        <v>0.43</v>
      </c>
      <c r="F28" s="164" t="s">
        <v>467</v>
      </c>
      <c r="G28" s="164">
        <v>321.18</v>
      </c>
      <c r="H28" s="164">
        <v>0</v>
      </c>
      <c r="I28" s="164">
        <v>0</v>
      </c>
      <c r="J28" s="164">
        <v>1018.7</v>
      </c>
      <c r="K28" s="164" t="s">
        <v>466</v>
      </c>
      <c r="L28" s="164">
        <v>48.67</v>
      </c>
      <c r="M28" s="164">
        <v>1492070400</v>
      </c>
      <c r="N28" s="164">
        <v>5.5</v>
      </c>
      <c r="O28" s="164">
        <v>301</v>
      </c>
      <c r="P28" s="164">
        <v>1.69</v>
      </c>
      <c r="Q28"/>
      <c r="R28"/>
    </row>
    <row r="29" spans="1:18" x14ac:dyDescent="0.25">
      <c r="A29" s="164">
        <v>47.4</v>
      </c>
      <c r="B29" s="164">
        <v>0.05</v>
      </c>
      <c r="C29" s="164">
        <v>27.9</v>
      </c>
      <c r="D29" s="8">
        <v>42838.125</v>
      </c>
      <c r="E29" s="164">
        <v>0.46</v>
      </c>
      <c r="F29" s="164" t="s">
        <v>467</v>
      </c>
      <c r="G29" s="164">
        <v>320.31</v>
      </c>
      <c r="H29" s="164">
        <v>0</v>
      </c>
      <c r="I29" s="164">
        <v>0</v>
      </c>
      <c r="J29" s="164">
        <v>1018.78</v>
      </c>
      <c r="K29" s="164" t="s">
        <v>466</v>
      </c>
      <c r="L29" s="164">
        <v>47.4</v>
      </c>
      <c r="M29" s="164">
        <v>1492074000</v>
      </c>
      <c r="N29" s="164">
        <v>4.05</v>
      </c>
      <c r="O29" s="164">
        <v>271</v>
      </c>
      <c r="P29" s="164">
        <v>1.57</v>
      </c>
      <c r="Q29"/>
      <c r="R29"/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187</v>
      </c>
    </row>
    <row r="33" spans="1:1" x14ac:dyDescent="0.25">
      <c r="A33" s="149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1"/>
  <sheetViews>
    <sheetView workbookViewId="0">
      <selection activeCell="J18" sqref="J18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215" t="s">
        <v>354</v>
      </c>
      <c r="U1" s="215"/>
      <c r="V1" s="215"/>
      <c r="W1" s="215"/>
      <c r="X1" s="215"/>
    </row>
    <row r="2" spans="1:24" ht="15.75" thickBot="1" x14ac:dyDescent="0.3">
      <c r="A2" s="12">
        <v>42837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3" t="s">
        <v>355</v>
      </c>
      <c r="U2" s="193">
        <v>167</v>
      </c>
      <c r="V2" s="193">
        <v>168</v>
      </c>
      <c r="W2" s="193">
        <v>199</v>
      </c>
      <c r="X2" s="193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3" t="s">
        <v>367</v>
      </c>
      <c r="U3" s="193">
        <v>174</v>
      </c>
      <c r="V3" s="193">
        <v>176</v>
      </c>
      <c r="W3" s="193">
        <v>207</v>
      </c>
      <c r="X3" s="193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3" t="s">
        <v>368</v>
      </c>
      <c r="U4" s="193">
        <v>173</v>
      </c>
      <c r="V4" s="193">
        <v>175</v>
      </c>
      <c r="W4" s="193">
        <v>208</v>
      </c>
      <c r="X4" s="193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3" t="s">
        <v>369</v>
      </c>
      <c r="U5" s="193">
        <v>187</v>
      </c>
      <c r="V5" s="193">
        <v>188</v>
      </c>
      <c r="W5" s="193">
        <v>223</v>
      </c>
      <c r="X5" s="193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3"/>
      <c r="U6" s="193"/>
      <c r="V6" s="193"/>
      <c r="W6" s="193"/>
      <c r="X6" s="193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3"/>
      <c r="U7" s="193"/>
      <c r="V7" s="193"/>
      <c r="W7" s="193"/>
      <c r="X7" s="193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3"/>
      <c r="U8" s="193"/>
      <c r="V8" s="193"/>
      <c r="W8" s="193"/>
      <c r="X8" s="193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3"/>
      <c r="U9" s="193"/>
      <c r="V9" s="193"/>
      <c r="W9" s="193"/>
      <c r="X9" s="193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3"/>
      <c r="U10" s="193"/>
      <c r="V10" s="193"/>
      <c r="W10" s="193"/>
      <c r="X10" s="193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3"/>
      <c r="U11" s="193"/>
      <c r="V11" s="193"/>
      <c r="W11" s="193"/>
      <c r="X11" s="193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3"/>
      <c r="U12" s="193"/>
      <c r="V12" s="193"/>
      <c r="W12" s="193"/>
      <c r="X12" s="193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3"/>
      <c r="U13" s="193"/>
      <c r="V13" s="193"/>
      <c r="W13" s="193"/>
      <c r="X13" s="193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3"/>
      <c r="U14" s="193"/>
      <c r="V14" s="193"/>
      <c r="W14" s="193"/>
      <c r="X14" s="193"/>
    </row>
    <row r="15" spans="1:24" x14ac:dyDescent="0.25">
      <c r="C15" s="64"/>
      <c r="J15" s="156"/>
      <c r="K15" s="157"/>
      <c r="L15" s="157"/>
      <c r="T15" s="193"/>
      <c r="U15" s="193"/>
      <c r="V15" s="193"/>
      <c r="W15" s="193"/>
      <c r="X15" s="193"/>
    </row>
    <row r="16" spans="1:24" x14ac:dyDescent="0.25">
      <c r="C16" s="64"/>
      <c r="J16" s="156"/>
      <c r="K16" s="157"/>
      <c r="L16" s="157"/>
      <c r="T16" s="193"/>
      <c r="U16" s="193"/>
      <c r="V16" s="193"/>
      <c r="W16" s="193"/>
      <c r="X16" s="193"/>
    </row>
    <row r="17" spans="3:24" x14ac:dyDescent="0.25">
      <c r="C17" s="145" t="s">
        <v>188</v>
      </c>
      <c r="J17" s="156"/>
      <c r="K17" s="157"/>
      <c r="L17" s="157"/>
      <c r="T17" s="193"/>
      <c r="U17" s="193"/>
      <c r="V17" s="193"/>
      <c r="W17" s="193"/>
      <c r="X17" s="193"/>
    </row>
    <row r="18" spans="3:24" x14ac:dyDescent="0.25">
      <c r="C18" t="s">
        <v>1025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3"/>
      <c r="U18" s="193"/>
      <c r="V18" s="193"/>
      <c r="W18" s="193"/>
      <c r="X18" s="193"/>
    </row>
    <row r="19" spans="3:24" x14ac:dyDescent="0.25">
      <c r="C19" t="s">
        <v>1026</v>
      </c>
      <c r="J19" s="156" t="s">
        <v>86</v>
      </c>
      <c r="K19" s="157"/>
      <c r="L19" s="157"/>
      <c r="M19" s="164" t="s">
        <v>112</v>
      </c>
      <c r="T19" s="193"/>
      <c r="U19" s="193"/>
      <c r="V19" s="193"/>
      <c r="W19" s="193"/>
      <c r="X19" s="193"/>
    </row>
    <row r="20" spans="3:24" x14ac:dyDescent="0.25">
      <c r="C20" t="s">
        <v>1027</v>
      </c>
      <c r="J20" s="148" t="s">
        <v>87</v>
      </c>
      <c r="M20" s="164" t="s">
        <v>346</v>
      </c>
      <c r="N20" s="164" t="s">
        <v>346</v>
      </c>
      <c r="T20" s="193"/>
      <c r="U20" s="193"/>
      <c r="V20" s="193"/>
      <c r="W20" s="193"/>
      <c r="X20" s="193"/>
    </row>
    <row r="21" spans="3:24" x14ac:dyDescent="0.25">
      <c r="C21" t="s">
        <v>616</v>
      </c>
      <c r="J21" s="148" t="s">
        <v>90</v>
      </c>
      <c r="K21" s="148" t="s">
        <v>91</v>
      </c>
      <c r="M21" s="164" t="s">
        <v>178</v>
      </c>
      <c r="T21" s="193"/>
      <c r="U21" s="193"/>
      <c r="V21" s="193"/>
      <c r="W21" s="193"/>
      <c r="X21" s="193"/>
    </row>
    <row r="22" spans="3:24" x14ac:dyDescent="0.25">
      <c r="C22" t="s">
        <v>1028</v>
      </c>
      <c r="J22" s="148" t="s">
        <v>92</v>
      </c>
      <c r="K22" s="148" t="s">
        <v>93</v>
      </c>
      <c r="M22" s="164" t="s">
        <v>111</v>
      </c>
      <c r="T22" s="193"/>
      <c r="U22" s="193"/>
      <c r="V22" s="193"/>
      <c r="W22" s="193"/>
      <c r="X22" s="193"/>
    </row>
    <row r="23" spans="3:24" x14ac:dyDescent="0.25">
      <c r="C23" t="s">
        <v>1029</v>
      </c>
      <c r="J23" s="158" t="s">
        <v>95</v>
      </c>
      <c r="M23" s="164" t="str">
        <f>"-06"</f>
        <v>-06</v>
      </c>
      <c r="T23" s="193"/>
      <c r="U23" s="193"/>
      <c r="V23" s="193"/>
      <c r="W23" s="193"/>
      <c r="X23" s="193"/>
    </row>
    <row r="24" spans="3:24" x14ac:dyDescent="0.25">
      <c r="C24" t="s">
        <v>1030</v>
      </c>
      <c r="J24" s="148" t="s">
        <v>108</v>
      </c>
      <c r="M24" s="164" t="s">
        <v>110</v>
      </c>
      <c r="T24" s="193"/>
      <c r="U24" s="193"/>
      <c r="V24" s="193"/>
      <c r="W24" s="193"/>
      <c r="X24" s="193"/>
    </row>
    <row r="25" spans="3:24" x14ac:dyDescent="0.25">
      <c r="C25" t="s">
        <v>1031</v>
      </c>
      <c r="J25" s="148" t="s">
        <v>150</v>
      </c>
      <c r="M25" s="164" t="b">
        <v>1</v>
      </c>
    </row>
    <row r="26" spans="3:24" x14ac:dyDescent="0.25">
      <c r="C26" t="s">
        <v>1032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C:\Users\stu\Documents\GitHub\eaglep3-reporting\EC\2017-04-12-refined-times.txt</v>
      </c>
    </row>
    <row r="27" spans="3:24" x14ac:dyDescent="0.25">
      <c r="C27" t="s">
        <v>1033</v>
      </c>
      <c r="J27" s="148" t="s">
        <v>180</v>
      </c>
      <c r="M27" s="164" t="str">
        <f>"C:\Users\stu\Documents\GitHub\eaglep3-reporting\EC\"&amp;TEXT(A2,"YYYY-MM-DD")&amp;"-Enforcements.txt"</f>
        <v>C:\Users\stu\Documents\GitHub\eaglep3-reporting\EC\2017-04-12-Enforcements.txt</v>
      </c>
    </row>
    <row r="28" spans="3:24" x14ac:dyDescent="0.25">
      <c r="C28" t="s">
        <v>1034</v>
      </c>
      <c r="J28" s="148" t="s">
        <v>181</v>
      </c>
      <c r="M28" s="164" t="str">
        <f>"C:\Users\stu\Documents\GitHub\eaglep3-reporting\EC\"&amp;TEXT(A2,"YYYY-MM-DD")&amp;"-Runs-refined.txt"</f>
        <v>C:\Users\stu\Documents\GitHub\eaglep3-reporting\EC\2017-04-12-Runs-refined.txt</v>
      </c>
    </row>
    <row r="29" spans="3:24" x14ac:dyDescent="0.25">
      <c r="C29" t="s">
        <v>1035</v>
      </c>
      <c r="J29" s="148" t="s">
        <v>182</v>
      </c>
      <c r="M29" s="164" t="str">
        <f>"C:\Users\stu\Documents\GitHub\eaglep3-reporting\EC\"&amp;TEXT(A2,"YYYY-MM-DD")&amp;"-Trips.txt"</f>
        <v>C:\Users\stu\Documents\GitHub\eaglep3-reporting\EC\2017-04-12-Trips.txt</v>
      </c>
    </row>
    <row r="30" spans="3:24" x14ac:dyDescent="0.25">
      <c r="C30" t="s">
        <v>1036</v>
      </c>
      <c r="J30" s="148" t="s">
        <v>183</v>
      </c>
      <c r="M30" s="164" t="str">
        <f>"C:\Users\stu\Documents\GitHub\eaglep3-reporting\EC\"&amp;TEXT(A2,"YYYY-MM-DD")&amp;"-Weather.txt"</f>
        <v>C:\Users\stu\Documents\GitHub\eaglep3-reporting\EC\2017-04-12-Weather.txt</v>
      </c>
    </row>
    <row r="31" spans="3:24" x14ac:dyDescent="0.25">
      <c r="J31" s="148" t="s">
        <v>201</v>
      </c>
      <c r="M31" s="164" t="s">
        <v>202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221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219" t="s">
        <v>119</v>
      </c>
      <c r="J1" s="164" t="s">
        <v>404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405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220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189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2017-04-13T15:34:00Z</dcterms:modified>
</cp:coreProperties>
</file>