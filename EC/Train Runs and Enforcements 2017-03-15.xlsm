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Trips'!$A$2:$J$95</definedName>
    <definedName name="_xlnm._FilterDatabase" localSheetId="0" hidden="1">'Train Runs'!$A$12:$AG$273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1" i="1" l="1"/>
  <c r="X42" i="1"/>
  <c r="X43" i="1"/>
  <c r="X44" i="1"/>
  <c r="X45" i="1"/>
  <c r="X46" i="1"/>
  <c r="K41" i="1"/>
  <c r="L41" i="1"/>
  <c r="M41" i="1"/>
  <c r="P41" i="1"/>
  <c r="V41" i="1"/>
  <c r="Y41" i="1"/>
  <c r="Z41" i="1"/>
  <c r="AA41" i="1"/>
  <c r="AB41" i="1"/>
  <c r="AC41" i="1"/>
  <c r="AD41" i="1"/>
  <c r="AG41" i="1" s="1"/>
  <c r="AE41" i="1"/>
  <c r="AF41" i="1"/>
  <c r="AH41" i="1"/>
  <c r="AM41" i="1"/>
  <c r="AN41" i="1"/>
  <c r="W41" i="1" l="1"/>
  <c r="T41" i="1"/>
  <c r="U41" i="1" s="1"/>
  <c r="S41" i="1" s="1"/>
  <c r="AI41" i="1"/>
  <c r="S9" i="3"/>
  <c r="S10" i="3"/>
  <c r="S13" i="3"/>
  <c r="S14" i="3"/>
  <c r="S15" i="3"/>
  <c r="S16" i="3"/>
  <c r="S18" i="3"/>
  <c r="S19" i="3"/>
  <c r="S22" i="3"/>
  <c r="S23" i="3"/>
  <c r="S25" i="3"/>
  <c r="S30" i="3"/>
  <c r="S31" i="3"/>
  <c r="S32" i="3"/>
  <c r="S33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K111" i="1"/>
  <c r="L111" i="1"/>
  <c r="M111" i="1"/>
  <c r="P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74" i="1"/>
  <c r="L74" i="1"/>
  <c r="M74" i="1"/>
  <c r="N74" i="1" s="1"/>
  <c r="V74" i="1"/>
  <c r="AA74" i="1"/>
  <c r="AB74" i="1"/>
  <c r="AC74" i="1"/>
  <c r="AD74" i="1"/>
  <c r="T74" i="1" s="1"/>
  <c r="AE74" i="1"/>
  <c r="AF74" i="1"/>
  <c r="AH74" i="1"/>
  <c r="AM74" i="1"/>
  <c r="AN74" i="1"/>
  <c r="K73" i="1"/>
  <c r="L73" i="1"/>
  <c r="M73" i="1"/>
  <c r="N73" i="1"/>
  <c r="V73" i="1"/>
  <c r="Y73" i="1"/>
  <c r="Z73" i="1"/>
  <c r="AA73" i="1" s="1"/>
  <c r="W73" i="1" s="1"/>
  <c r="AB73" i="1"/>
  <c r="AC73" i="1"/>
  <c r="AD73" i="1"/>
  <c r="AG73" i="1" s="1"/>
  <c r="AE73" i="1"/>
  <c r="AF73" i="1"/>
  <c r="AH73" i="1"/>
  <c r="AM73" i="1"/>
  <c r="AN73" i="1"/>
  <c r="T73" i="1" l="1"/>
  <c r="AG111" i="1"/>
  <c r="AG74" i="1"/>
  <c r="X74" i="1"/>
  <c r="U73" i="1"/>
  <c r="S73" i="1" s="1"/>
  <c r="AI73" i="1"/>
  <c r="K40" i="1"/>
  <c r="L40" i="1"/>
  <c r="M40" i="1"/>
  <c r="P40" i="1" s="1"/>
  <c r="V40" i="1"/>
  <c r="S24" i="3" s="1"/>
  <c r="Y40" i="1"/>
  <c r="Z40" i="1"/>
  <c r="AB40" i="1"/>
  <c r="AC40" i="1"/>
  <c r="AD40" i="1"/>
  <c r="AE40" i="1"/>
  <c r="AF40" i="1"/>
  <c r="AH40" i="1"/>
  <c r="AM40" i="1"/>
  <c r="AN4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S34" i="3" s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T28" i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R26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7" i="3" s="1"/>
  <c r="Y38" i="1"/>
  <c r="Z38" i="1"/>
  <c r="AB38" i="1"/>
  <c r="AC38" i="1"/>
  <c r="AD38" i="1"/>
  <c r="AG38" i="1" s="1"/>
  <c r="AE38" i="1"/>
  <c r="R7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35" i="3" s="1"/>
  <c r="Y43" i="1"/>
  <c r="Z43" i="1"/>
  <c r="AB43" i="1"/>
  <c r="AC43" i="1"/>
  <c r="AD43" i="1"/>
  <c r="AG43" i="1" s="1"/>
  <c r="AE43" i="1"/>
  <c r="R35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I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S36" i="3" s="1"/>
  <c r="Y49" i="1"/>
  <c r="Z49" i="1"/>
  <c r="AB49" i="1"/>
  <c r="AC49" i="1"/>
  <c r="AD49" i="1"/>
  <c r="AG49" i="1" s="1"/>
  <c r="AE49" i="1"/>
  <c r="R36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AA51" i="1" s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20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8" i="3" s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P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E67" i="1"/>
  <c r="R21" i="3" s="1"/>
  <c r="AF67" i="1"/>
  <c r="AH67" i="1"/>
  <c r="AM67" i="1"/>
  <c r="AN67" i="1"/>
  <c r="K68" i="1"/>
  <c r="L68" i="1"/>
  <c r="M68" i="1"/>
  <c r="N68" i="1" s="1"/>
  <c r="V68" i="1"/>
  <c r="S12" i="3" s="1"/>
  <c r="Y68" i="1"/>
  <c r="Z68" i="1"/>
  <c r="AB68" i="1"/>
  <c r="AC68" i="1"/>
  <c r="AD68" i="1"/>
  <c r="T68" i="1" s="1"/>
  <c r="AE68" i="1"/>
  <c r="R12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3" i="1" s="1"/>
  <c r="AE72" i="1"/>
  <c r="AF72" i="1"/>
  <c r="AH72" i="1"/>
  <c r="AM72" i="1"/>
  <c r="AN72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R29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R10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R14" i="3" s="1"/>
  <c r="AF81" i="1"/>
  <c r="AH81" i="1"/>
  <c r="AM81" i="1"/>
  <c r="AN81" i="1"/>
  <c r="K82" i="1"/>
  <c r="L82" i="1"/>
  <c r="M82" i="1"/>
  <c r="N82" i="1" s="1"/>
  <c r="V82" i="1"/>
  <c r="Y82" i="1"/>
  <c r="Z82" i="1"/>
  <c r="AI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R15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P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R37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R22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R30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I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31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R25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R38" i="3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I109" i="1" s="1"/>
  <c r="AE109" i="1"/>
  <c r="R32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1" i="1" s="1"/>
  <c r="AE110" i="1"/>
  <c r="R39" i="3" s="1"/>
  <c r="AF110" i="1"/>
  <c r="AH110" i="1"/>
  <c r="AM110" i="1"/>
  <c r="AN110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9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40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R19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R16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I145" i="1"/>
  <c r="AM145" i="1"/>
  <c r="AN145" i="1"/>
  <c r="K146" i="1"/>
  <c r="L146" i="1"/>
  <c r="M146" i="1"/>
  <c r="N146" i="1" s="1"/>
  <c r="V146" i="1"/>
  <c r="Y146" i="1"/>
  <c r="Z146" i="1"/>
  <c r="AI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R1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G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AM183" i="1"/>
  <c r="AN18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R43" i="3" s="1"/>
  <c r="AF158" i="1"/>
  <c r="AH184" i="1"/>
  <c r="AM184" i="1"/>
  <c r="AN18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6" i="1"/>
  <c r="AM186" i="1"/>
  <c r="AN186" i="1"/>
  <c r="K161" i="1"/>
  <c r="L161" i="1"/>
  <c r="M161" i="1"/>
  <c r="N161" i="1" s="1"/>
  <c r="V161" i="1"/>
  <c r="Y161" i="1"/>
  <c r="Z161" i="1"/>
  <c r="AB161" i="1"/>
  <c r="AC161" i="1"/>
  <c r="AD161" i="1"/>
  <c r="AE161" i="1"/>
  <c r="R41" i="3" s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R51" i="3" s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R44" i="3" s="1"/>
  <c r="AF164" i="1"/>
  <c r="AH190" i="1"/>
  <c r="AM190" i="1"/>
  <c r="AN190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R45" i="3" s="1"/>
  <c r="AF170" i="1"/>
  <c r="AH196" i="1"/>
  <c r="AM196" i="1"/>
  <c r="AN196" i="1"/>
  <c r="K171" i="1"/>
  <c r="L171" i="1"/>
  <c r="M171" i="1"/>
  <c r="P171" i="1" s="1"/>
  <c r="V171" i="1"/>
  <c r="Y171" i="1"/>
  <c r="Z171" i="1"/>
  <c r="AB171" i="1"/>
  <c r="AC171" i="1"/>
  <c r="AD171" i="1"/>
  <c r="AG171" i="1" s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R46" i="3" s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6" i="1"/>
  <c r="AM206" i="1"/>
  <c r="AN20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53" i="3" s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4" i="1"/>
  <c r="AM214" i="1"/>
  <c r="AN21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R49" i="3" s="1"/>
  <c r="AF194" i="1"/>
  <c r="AH220" i="1"/>
  <c r="AM220" i="1"/>
  <c r="AN22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R42" i="3" s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R50" i="3" s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3" i="1"/>
  <c r="AM233" i="1"/>
  <c r="AN23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R56" i="3" s="1"/>
  <c r="AF222" i="1"/>
  <c r="AH234" i="1"/>
  <c r="AM234" i="1"/>
  <c r="AN23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5" i="1"/>
  <c r="AM235" i="1"/>
  <c r="AN23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6" i="1"/>
  <c r="AM236" i="1"/>
  <c r="AN236" i="1"/>
  <c r="M43" i="3"/>
  <c r="U43" i="3"/>
  <c r="T43" i="3" s="1"/>
  <c r="V43" i="3"/>
  <c r="W43" i="3"/>
  <c r="Y43" i="3" s="1"/>
  <c r="X43" i="3"/>
  <c r="AC43" i="3"/>
  <c r="M41" i="3"/>
  <c r="U41" i="3"/>
  <c r="V41" i="3"/>
  <c r="W41" i="3"/>
  <c r="X41" i="3"/>
  <c r="M7" i="3"/>
  <c r="U7" i="3"/>
  <c r="AC7" i="3" s="1"/>
  <c r="V7" i="3"/>
  <c r="W7" i="3"/>
  <c r="X7" i="3"/>
  <c r="M24" i="3"/>
  <c r="R24" i="3"/>
  <c r="U24" i="3"/>
  <c r="V24" i="3"/>
  <c r="W24" i="3"/>
  <c r="X24" i="3"/>
  <c r="AC24" i="3"/>
  <c r="M51" i="3"/>
  <c r="U51" i="3"/>
  <c r="T51" i="3" s="1"/>
  <c r="V51" i="3"/>
  <c r="AE51" i="3" s="1"/>
  <c r="W51" i="3"/>
  <c r="Y51" i="3" s="1"/>
  <c r="X51" i="3"/>
  <c r="AC51" i="3"/>
  <c r="M44" i="3"/>
  <c r="U44" i="3"/>
  <c r="AD13" i="3" s="1"/>
  <c r="V44" i="3"/>
  <c r="W44" i="3"/>
  <c r="X44" i="3"/>
  <c r="Y44" i="3"/>
  <c r="M11" i="3"/>
  <c r="U11" i="3"/>
  <c r="AC11" i="3" s="1"/>
  <c r="V11" i="3"/>
  <c r="W11" i="3"/>
  <c r="X11" i="3"/>
  <c r="M26" i="3"/>
  <c r="U26" i="3"/>
  <c r="V26" i="3"/>
  <c r="W26" i="3"/>
  <c r="X26" i="3"/>
  <c r="AC26" i="3"/>
  <c r="M35" i="3"/>
  <c r="U35" i="3"/>
  <c r="T35" i="3" s="1"/>
  <c r="V35" i="3"/>
  <c r="W35" i="3"/>
  <c r="X35" i="3"/>
  <c r="M52" i="3"/>
  <c r="R52" i="3"/>
  <c r="U52" i="3"/>
  <c r="AD17" i="3" s="1"/>
  <c r="V52" i="3"/>
  <c r="W52" i="3"/>
  <c r="X52" i="3"/>
  <c r="M45" i="3"/>
  <c r="U45" i="3"/>
  <c r="AC45" i="3" s="1"/>
  <c r="V45" i="3"/>
  <c r="W45" i="3"/>
  <c r="X45" i="3"/>
  <c r="M36" i="3"/>
  <c r="U36" i="3"/>
  <c r="T36" i="3" s="1"/>
  <c r="V36" i="3"/>
  <c r="W36" i="3"/>
  <c r="Y36" i="3" s="1"/>
  <c r="X36" i="3"/>
  <c r="AC36" i="3"/>
  <c r="M8" i="3"/>
  <c r="R8" i="3"/>
  <c r="U8" i="3"/>
  <c r="T8" i="3" s="1"/>
  <c r="V8" i="3"/>
  <c r="W8" i="3"/>
  <c r="Y8" i="3" s="1"/>
  <c r="X8" i="3"/>
  <c r="M17" i="3"/>
  <c r="U17" i="3"/>
  <c r="V17" i="3"/>
  <c r="W17" i="3"/>
  <c r="Y17" i="3" s="1"/>
  <c r="X17" i="3"/>
  <c r="M12" i="3"/>
  <c r="U12" i="3"/>
  <c r="AC12" i="3" s="1"/>
  <c r="V12" i="3"/>
  <c r="W12" i="3"/>
  <c r="X12" i="3"/>
  <c r="M57" i="3"/>
  <c r="R57" i="3"/>
  <c r="U57" i="3"/>
  <c r="T57" i="3" s="1"/>
  <c r="V57" i="3"/>
  <c r="W57" i="3"/>
  <c r="X57" i="3"/>
  <c r="AC57" i="3"/>
  <c r="AD23" i="3"/>
  <c r="M20" i="3"/>
  <c r="U20" i="3"/>
  <c r="T20" i="3" s="1"/>
  <c r="V20" i="3"/>
  <c r="W20" i="3"/>
  <c r="X20" i="3"/>
  <c r="AC20" i="3"/>
  <c r="M59" i="3"/>
  <c r="R59" i="3"/>
  <c r="U59" i="3"/>
  <c r="AD59" i="3" s="1"/>
  <c r="V59" i="3"/>
  <c r="W59" i="3"/>
  <c r="X59" i="3"/>
  <c r="M55" i="3"/>
  <c r="R55" i="3"/>
  <c r="U55" i="3"/>
  <c r="AC55" i="3" s="1"/>
  <c r="V55" i="3"/>
  <c r="W55" i="3"/>
  <c r="X55" i="3"/>
  <c r="AD26" i="3"/>
  <c r="M21" i="3"/>
  <c r="U21" i="3"/>
  <c r="V21" i="3"/>
  <c r="W21" i="3"/>
  <c r="X21" i="3"/>
  <c r="AC21" i="3"/>
  <c r="M27" i="3"/>
  <c r="R27" i="3"/>
  <c r="U27" i="3"/>
  <c r="T27" i="3" s="1"/>
  <c r="V27" i="3"/>
  <c r="W27" i="3"/>
  <c r="X27" i="3"/>
  <c r="AC27" i="3"/>
  <c r="M10" i="3"/>
  <c r="U10" i="3"/>
  <c r="AD29" i="3" s="1"/>
  <c r="V10" i="3"/>
  <c r="W10" i="3"/>
  <c r="X10" i="3"/>
  <c r="Y10" i="3"/>
  <c r="M46" i="3"/>
  <c r="U46" i="3"/>
  <c r="AC46" i="3" s="1"/>
  <c r="V46" i="3"/>
  <c r="W46" i="3"/>
  <c r="X46" i="3"/>
  <c r="M47" i="3"/>
  <c r="U47" i="3"/>
  <c r="AD47" i="3" s="1"/>
  <c r="V47" i="3"/>
  <c r="W47" i="3"/>
  <c r="X47" i="3"/>
  <c r="AC47" i="3"/>
  <c r="M28" i="3"/>
  <c r="U28" i="3"/>
  <c r="T28" i="3" s="1"/>
  <c r="V28" i="3"/>
  <c r="W28" i="3"/>
  <c r="Y28" i="3" s="1"/>
  <c r="X28" i="3"/>
  <c r="M29" i="3"/>
  <c r="U29" i="3"/>
  <c r="V29" i="3"/>
  <c r="W29" i="3"/>
  <c r="Y29" i="3" s="1"/>
  <c r="X29" i="3"/>
  <c r="M14" i="3"/>
  <c r="U14" i="3"/>
  <c r="AC14" i="3" s="1"/>
  <c r="V14" i="3"/>
  <c r="W14" i="3"/>
  <c r="X14" i="3"/>
  <c r="M23" i="3"/>
  <c r="R23" i="3"/>
  <c r="U23" i="3"/>
  <c r="T23" i="3" s="1"/>
  <c r="V23" i="3"/>
  <c r="AE35" i="3" s="1"/>
  <c r="W23" i="3"/>
  <c r="X23" i="3"/>
  <c r="AC23" i="3"/>
  <c r="AD35" i="3"/>
  <c r="M37" i="3"/>
  <c r="U37" i="3"/>
  <c r="T37" i="3" s="1"/>
  <c r="V37" i="3"/>
  <c r="W37" i="3"/>
  <c r="X37" i="3"/>
  <c r="M15" i="3"/>
  <c r="U15" i="3"/>
  <c r="V15" i="3"/>
  <c r="W15" i="3"/>
  <c r="X15" i="3"/>
  <c r="M22" i="3"/>
  <c r="U22" i="3"/>
  <c r="AC22" i="3" s="1"/>
  <c r="V22" i="3"/>
  <c r="W22" i="3"/>
  <c r="X22" i="3"/>
  <c r="M56" i="3"/>
  <c r="U56" i="3"/>
  <c r="T56" i="3" s="1"/>
  <c r="V56" i="3"/>
  <c r="W56" i="3"/>
  <c r="X56" i="3"/>
  <c r="AC56" i="3"/>
  <c r="M30" i="3"/>
  <c r="U30" i="3"/>
  <c r="T30" i="3" s="1"/>
  <c r="V30" i="3"/>
  <c r="W30" i="3"/>
  <c r="X30" i="3"/>
  <c r="AC30" i="3"/>
  <c r="M38" i="3"/>
  <c r="U38" i="3"/>
  <c r="AD41" i="3" s="1"/>
  <c r="V38" i="3"/>
  <c r="W38" i="3"/>
  <c r="X38" i="3"/>
  <c r="Y38" i="3"/>
  <c r="M25" i="3"/>
  <c r="T25" i="3"/>
  <c r="U25" i="3"/>
  <c r="AC25" i="3" s="1"/>
  <c r="V25" i="3"/>
  <c r="W25" i="3"/>
  <c r="Y25" i="3" s="1"/>
  <c r="X25" i="3"/>
  <c r="M53" i="3"/>
  <c r="U53" i="3"/>
  <c r="AD43" i="3" s="1"/>
  <c r="V53" i="3"/>
  <c r="W53" i="3"/>
  <c r="X53" i="3"/>
  <c r="AC53" i="3"/>
  <c r="M39" i="3"/>
  <c r="U39" i="3"/>
  <c r="T39" i="3" s="1"/>
  <c r="V39" i="3"/>
  <c r="W39" i="3"/>
  <c r="X39" i="3"/>
  <c r="Y39" i="3"/>
  <c r="M31" i="3"/>
  <c r="U31" i="3"/>
  <c r="AD45" i="3" s="1"/>
  <c r="V31" i="3"/>
  <c r="W31" i="3"/>
  <c r="X31" i="3"/>
  <c r="M18" i="3"/>
  <c r="R18" i="3"/>
  <c r="U18" i="3"/>
  <c r="AC18" i="3" s="1"/>
  <c r="V18" i="3"/>
  <c r="W18" i="3"/>
  <c r="X18" i="3"/>
  <c r="M9" i="3"/>
  <c r="U9" i="3"/>
  <c r="V9" i="3"/>
  <c r="W9" i="3"/>
  <c r="X9" i="3"/>
  <c r="AC9" i="3"/>
  <c r="M32" i="3"/>
  <c r="U32" i="3"/>
  <c r="T32" i="3" s="1"/>
  <c r="V32" i="3"/>
  <c r="W32" i="3"/>
  <c r="X32" i="3"/>
  <c r="AD48" i="3"/>
  <c r="M48" i="3"/>
  <c r="R48" i="3"/>
  <c r="U48" i="3"/>
  <c r="V48" i="3"/>
  <c r="W48" i="3"/>
  <c r="Y48" i="3" s="1"/>
  <c r="X48" i="3"/>
  <c r="M58" i="3"/>
  <c r="R58" i="3"/>
  <c r="U58" i="3"/>
  <c r="AC58" i="3" s="1"/>
  <c r="V58" i="3"/>
  <c r="AE58" i="3" s="1"/>
  <c r="W58" i="3"/>
  <c r="Y58" i="3" s="1"/>
  <c r="X58" i="3"/>
  <c r="M49" i="3"/>
  <c r="U49" i="3"/>
  <c r="T49" i="3" s="1"/>
  <c r="V49" i="3"/>
  <c r="W49" i="3"/>
  <c r="X49" i="3"/>
  <c r="AC49" i="3"/>
  <c r="AD51" i="3"/>
  <c r="M40" i="3"/>
  <c r="U40" i="3"/>
  <c r="T40" i="3" s="1"/>
  <c r="V40" i="3"/>
  <c r="W40" i="3"/>
  <c r="X40" i="3"/>
  <c r="AC40" i="3"/>
  <c r="M19" i="3"/>
  <c r="U19" i="3"/>
  <c r="V19" i="3"/>
  <c r="W19" i="3"/>
  <c r="X19" i="3"/>
  <c r="M42" i="3"/>
  <c r="U42" i="3"/>
  <c r="AC42" i="3" s="1"/>
  <c r="V42" i="3"/>
  <c r="W42" i="3"/>
  <c r="X42" i="3"/>
  <c r="Y42" i="3"/>
  <c r="M16" i="3"/>
  <c r="U16" i="3"/>
  <c r="V16" i="3"/>
  <c r="W16" i="3"/>
  <c r="X16" i="3"/>
  <c r="AC16" i="3"/>
  <c r="M50" i="3"/>
  <c r="U50" i="3"/>
  <c r="T50" i="3" s="1"/>
  <c r="V50" i="3"/>
  <c r="W50" i="3"/>
  <c r="X50" i="3"/>
  <c r="AC50" i="3"/>
  <c r="AD56" i="3"/>
  <c r="M33" i="3"/>
  <c r="R33" i="3"/>
  <c r="U33" i="3"/>
  <c r="AD57" i="3" s="1"/>
  <c r="V33" i="3"/>
  <c r="W33" i="3"/>
  <c r="X33" i="3"/>
  <c r="M13" i="3"/>
  <c r="U13" i="3"/>
  <c r="AC13" i="3" s="1"/>
  <c r="V13" i="3"/>
  <c r="W13" i="3"/>
  <c r="X13" i="3"/>
  <c r="M54" i="3"/>
  <c r="R54" i="3"/>
  <c r="U54" i="3"/>
  <c r="T54" i="3" s="1"/>
  <c r="V54" i="3"/>
  <c r="W54" i="3"/>
  <c r="X54" i="3"/>
  <c r="AC54" i="3"/>
  <c r="AE59" i="3"/>
  <c r="M28" i="5"/>
  <c r="S11" i="3" l="1"/>
  <c r="S26" i="3"/>
  <c r="S28" i="3"/>
  <c r="S29" i="3"/>
  <c r="AG40" i="1"/>
  <c r="X40" i="1"/>
  <c r="S27" i="3"/>
  <c r="S21" i="3"/>
  <c r="S20" i="3"/>
  <c r="S17" i="3"/>
  <c r="AA179" i="1"/>
  <c r="W179" i="1" s="1"/>
  <c r="AG217" i="1"/>
  <c r="AA214" i="1"/>
  <c r="AA109" i="1"/>
  <c r="AA102" i="1"/>
  <c r="AI86" i="1"/>
  <c r="AA44" i="1"/>
  <c r="W44" i="1" s="1"/>
  <c r="T213" i="1"/>
  <c r="U213" i="1" s="1"/>
  <c r="S213" i="1" s="1"/>
  <c r="X88" i="1"/>
  <c r="X217" i="1"/>
  <c r="T160" i="1"/>
  <c r="AG209" i="1"/>
  <c r="AI209" i="1" s="1"/>
  <c r="AI106" i="1"/>
  <c r="AA87" i="1"/>
  <c r="AG58" i="1"/>
  <c r="X58" i="1"/>
  <c r="AG53" i="1"/>
  <c r="AI43" i="1"/>
  <c r="T203" i="1"/>
  <c r="U203" i="1" s="1"/>
  <c r="S203" i="1" s="1"/>
  <c r="T187" i="1"/>
  <c r="R28" i="3"/>
  <c r="AI202" i="1"/>
  <c r="AG168" i="1"/>
  <c r="X168" i="1"/>
  <c r="AG162" i="1"/>
  <c r="AA158" i="1"/>
  <c r="AI213" i="1"/>
  <c r="AA206" i="1"/>
  <c r="AI131" i="1"/>
  <c r="AA119" i="1"/>
  <c r="AA83" i="1"/>
  <c r="X70" i="1"/>
  <c r="X57" i="1"/>
  <c r="AA52" i="1"/>
  <c r="W52" i="1" s="1"/>
  <c r="AA38" i="1"/>
  <c r="W38" i="1" s="1"/>
  <c r="X197" i="1"/>
  <c r="AG196" i="1"/>
  <c r="X196" i="1"/>
  <c r="AG184" i="1"/>
  <c r="AI184" i="1" s="1"/>
  <c r="AA167" i="1"/>
  <c r="W167" i="1" s="1"/>
  <c r="AG233" i="1"/>
  <c r="AI233" i="1" s="1"/>
  <c r="AA229" i="1"/>
  <c r="W229" i="1" s="1"/>
  <c r="AA156" i="1"/>
  <c r="AA154" i="1"/>
  <c r="W154" i="1" s="1"/>
  <c r="AI126" i="1"/>
  <c r="AA60" i="1"/>
  <c r="AA56" i="1"/>
  <c r="X188" i="1"/>
  <c r="AI229" i="1"/>
  <c r="AI217" i="1"/>
  <c r="T66" i="1"/>
  <c r="AA146" i="1"/>
  <c r="AI137" i="1"/>
  <c r="AA137" i="1"/>
  <c r="W137" i="1" s="1"/>
  <c r="AG136" i="1"/>
  <c r="X136" i="1"/>
  <c r="AG135" i="1"/>
  <c r="U135" i="1" s="1"/>
  <c r="S135" i="1" s="1"/>
  <c r="X135" i="1"/>
  <c r="AG113" i="1"/>
  <c r="X113" i="1"/>
  <c r="AA86" i="1"/>
  <c r="W86" i="1" s="1"/>
  <c r="AA64" i="1"/>
  <c r="AA47" i="1"/>
  <c r="AI38" i="1"/>
  <c r="AA31" i="1"/>
  <c r="AA225" i="1"/>
  <c r="AA171" i="1"/>
  <c r="W171" i="1" s="1"/>
  <c r="AI160" i="1"/>
  <c r="AG235" i="1"/>
  <c r="X227" i="1"/>
  <c r="AA215" i="1"/>
  <c r="AG211" i="1"/>
  <c r="AI211" i="1" s="1"/>
  <c r="AA210" i="1"/>
  <c r="AG156" i="1"/>
  <c r="AI156" i="1" s="1"/>
  <c r="AI154" i="1"/>
  <c r="AG143" i="1"/>
  <c r="AI143" i="1" s="1"/>
  <c r="X140" i="1"/>
  <c r="AA138" i="1"/>
  <c r="AI134" i="1"/>
  <c r="AA129" i="1"/>
  <c r="X119" i="1"/>
  <c r="AA115" i="1"/>
  <c r="AI93" i="1"/>
  <c r="AA79" i="1"/>
  <c r="AA77" i="1"/>
  <c r="AA75" i="1"/>
  <c r="AG70" i="1"/>
  <c r="AA68" i="1"/>
  <c r="T35" i="1"/>
  <c r="AA27" i="1"/>
  <c r="W27" i="1" s="1"/>
  <c r="AA19" i="1"/>
  <c r="AA15" i="1"/>
  <c r="W15" i="1" s="1"/>
  <c r="T112" i="1"/>
  <c r="X112" i="1"/>
  <c r="AA194" i="1"/>
  <c r="W194" i="1" s="1"/>
  <c r="AG193" i="1"/>
  <c r="X193" i="1"/>
  <c r="AA188" i="1"/>
  <c r="AG158" i="1"/>
  <c r="AG227" i="1"/>
  <c r="AA195" i="1"/>
  <c r="W195" i="1" s="1"/>
  <c r="AG222" i="1"/>
  <c r="U222" i="1" s="1"/>
  <c r="S222" i="1" s="1"/>
  <c r="X204" i="1"/>
  <c r="AA204" i="1"/>
  <c r="AA199" i="1"/>
  <c r="W199" i="1" s="1"/>
  <c r="AA193" i="1"/>
  <c r="W193" i="1" s="1"/>
  <c r="AA192" i="1"/>
  <c r="W192" i="1" s="1"/>
  <c r="AA187" i="1"/>
  <c r="W187" i="1" s="1"/>
  <c r="X173" i="1"/>
  <c r="U168" i="1"/>
  <c r="S168" i="1" s="1"/>
  <c r="AA161" i="1"/>
  <c r="AA232" i="1"/>
  <c r="AA207" i="1"/>
  <c r="AA145" i="1"/>
  <c r="W145" i="1" s="1"/>
  <c r="AA142" i="1"/>
  <c r="T123" i="1"/>
  <c r="U123" i="1" s="1"/>
  <c r="S123" i="1" s="1"/>
  <c r="AA92" i="1"/>
  <c r="AA72" i="1"/>
  <c r="AA63" i="1"/>
  <c r="AA61" i="1"/>
  <c r="AA40" i="1"/>
  <c r="W40" i="1" s="1"/>
  <c r="AG139" i="1"/>
  <c r="X139" i="1"/>
  <c r="W109" i="1"/>
  <c r="AG107" i="1"/>
  <c r="AI107" i="1" s="1"/>
  <c r="AG103" i="1"/>
  <c r="AI103" i="1" s="1"/>
  <c r="X103" i="1"/>
  <c r="X100" i="1"/>
  <c r="AG99" i="1"/>
  <c r="AI99" i="1" s="1"/>
  <c r="AG92" i="1"/>
  <c r="AG39" i="1"/>
  <c r="AI39" i="1" s="1"/>
  <c r="X16" i="1"/>
  <c r="W102" i="1"/>
  <c r="T102" i="1"/>
  <c r="X87" i="1"/>
  <c r="T83" i="1"/>
  <c r="U83" i="1" s="1"/>
  <c r="S83" i="1" s="1"/>
  <c r="AG66" i="1"/>
  <c r="AI66" i="1" s="1"/>
  <c r="X65" i="1"/>
  <c r="X62" i="1"/>
  <c r="X28" i="1"/>
  <c r="AG20" i="1"/>
  <c r="AI111" i="1"/>
  <c r="U111" i="1"/>
  <c r="S111" i="1" s="1"/>
  <c r="AI90" i="1"/>
  <c r="T49" i="1"/>
  <c r="T16" i="1"/>
  <c r="W111" i="1"/>
  <c r="AI74" i="1"/>
  <c r="U74" i="1"/>
  <c r="S74" i="1" s="1"/>
  <c r="W74" i="1"/>
  <c r="U35" i="1"/>
  <c r="S35" i="1" s="1"/>
  <c r="T40" i="1"/>
  <c r="U40" i="1" s="1"/>
  <c r="S40" i="1" s="1"/>
  <c r="AI40" i="1"/>
  <c r="AD37" i="3"/>
  <c r="T47" i="3"/>
  <c r="AD27" i="3"/>
  <c r="R17" i="3"/>
  <c r="Y33" i="3"/>
  <c r="Y31" i="3"/>
  <c r="Y30" i="3"/>
  <c r="Y37" i="3"/>
  <c r="Y47" i="3"/>
  <c r="Y59" i="3"/>
  <c r="R11" i="3"/>
  <c r="T7" i="3"/>
  <c r="Y13" i="3"/>
  <c r="AD53" i="3"/>
  <c r="Y18" i="3"/>
  <c r="AE30" i="3"/>
  <c r="AD31" i="3"/>
  <c r="AE31" i="3"/>
  <c r="Y27" i="3"/>
  <c r="T45" i="3"/>
  <c r="Y35" i="3"/>
  <c r="Y41" i="3"/>
  <c r="AE23" i="3"/>
  <c r="AE26" i="3"/>
  <c r="X38" i="1"/>
  <c r="AA222" i="1"/>
  <c r="AI221" i="1"/>
  <c r="AG200" i="1"/>
  <c r="T192" i="1"/>
  <c r="U192" i="1" s="1"/>
  <c r="S192" i="1" s="1"/>
  <c r="AA183" i="1"/>
  <c r="W183" i="1" s="1"/>
  <c r="X180" i="1"/>
  <c r="AA180" i="1"/>
  <c r="AA175" i="1"/>
  <c r="W175" i="1" s="1"/>
  <c r="AA174" i="1"/>
  <c r="AA172" i="1"/>
  <c r="AA164" i="1"/>
  <c r="AA236" i="1"/>
  <c r="AG231" i="1"/>
  <c r="U231" i="1" s="1"/>
  <c r="S231" i="1" s="1"/>
  <c r="AA228" i="1"/>
  <c r="AG225" i="1"/>
  <c r="AI225" i="1" s="1"/>
  <c r="AA218" i="1"/>
  <c r="AG215" i="1"/>
  <c r="W215" i="1" s="1"/>
  <c r="X213" i="1"/>
  <c r="AA211" i="1"/>
  <c r="AG205" i="1"/>
  <c r="AI205" i="1" s="1"/>
  <c r="AA144" i="1"/>
  <c r="AA131" i="1"/>
  <c r="W131" i="1" s="1"/>
  <c r="AA126" i="1"/>
  <c r="W126" i="1" s="1"/>
  <c r="AA121" i="1"/>
  <c r="W121" i="1" s="1"/>
  <c r="AG120" i="1"/>
  <c r="U120" i="1" s="1"/>
  <c r="S120" i="1" s="1"/>
  <c r="X120" i="1"/>
  <c r="AA105" i="1"/>
  <c r="AA93" i="1"/>
  <c r="W93" i="1" s="1"/>
  <c r="AA89" i="1"/>
  <c r="AG87" i="1"/>
  <c r="AI87" i="1" s="1"/>
  <c r="AA71" i="1"/>
  <c r="AA69" i="1"/>
  <c r="T62" i="1"/>
  <c r="AA59" i="1"/>
  <c r="AA57" i="1"/>
  <c r="W57" i="1" s="1"/>
  <c r="AG45" i="1"/>
  <c r="AI45" i="1" s="1"/>
  <c r="AG31" i="1"/>
  <c r="AI31" i="1" s="1"/>
  <c r="AA29" i="1"/>
  <c r="AA25" i="1"/>
  <c r="AI15" i="1"/>
  <c r="W156" i="1"/>
  <c r="W146" i="1"/>
  <c r="AI121" i="1"/>
  <c r="AA114" i="1"/>
  <c r="AA112" i="1"/>
  <c r="W112" i="1" s="1"/>
  <c r="AA95" i="1"/>
  <c r="X92" i="1"/>
  <c r="X79" i="1"/>
  <c r="T78" i="1"/>
  <c r="U78" i="1" s="1"/>
  <c r="S78" i="1" s="1"/>
  <c r="X76" i="1"/>
  <c r="AI193" i="1"/>
  <c r="AA224" i="1"/>
  <c r="W224" i="1" s="1"/>
  <c r="AA203" i="1"/>
  <c r="W203" i="1" s="1"/>
  <c r="AA196" i="1"/>
  <c r="W196" i="1" s="1"/>
  <c r="T179" i="1"/>
  <c r="AA178" i="1"/>
  <c r="W178" i="1" s="1"/>
  <c r="AA176" i="1"/>
  <c r="X175" i="1"/>
  <c r="X172" i="1"/>
  <c r="AA166" i="1"/>
  <c r="AA162" i="1"/>
  <c r="W162" i="1" s="1"/>
  <c r="X160" i="1"/>
  <c r="X235" i="1"/>
  <c r="AA233" i="1"/>
  <c r="W233" i="1" s="1"/>
  <c r="X231" i="1"/>
  <c r="AG207" i="1"/>
  <c r="T151" i="1"/>
  <c r="X147" i="1"/>
  <c r="X146" i="1"/>
  <c r="AG144" i="1"/>
  <c r="AI144" i="1" s="1"/>
  <c r="X144" i="1"/>
  <c r="AA143" i="1"/>
  <c r="W143" i="1" s="1"/>
  <c r="AA135" i="1"/>
  <c r="AA130" i="1"/>
  <c r="AA127" i="1"/>
  <c r="AG119" i="1"/>
  <c r="AI119" i="1" s="1"/>
  <c r="X116" i="1"/>
  <c r="AA107" i="1"/>
  <c r="AA103" i="1"/>
  <c r="AA91" i="1"/>
  <c r="AG84" i="1"/>
  <c r="AI84" i="1" s="1"/>
  <c r="X84" i="1"/>
  <c r="AA78" i="1"/>
  <c r="W78" i="1" s="1"/>
  <c r="AA67" i="1"/>
  <c r="AA65" i="1"/>
  <c r="W65" i="1" s="1"/>
  <c r="AG62" i="1"/>
  <c r="AA54" i="1"/>
  <c r="AA53" i="1"/>
  <c r="W53" i="1" s="1"/>
  <c r="AI52" i="1"/>
  <c r="AA45" i="1"/>
  <c r="AA43" i="1"/>
  <c r="AA39" i="1"/>
  <c r="W39" i="1" s="1"/>
  <c r="AG33" i="1"/>
  <c r="U33" i="1" s="1"/>
  <c r="S33" i="1" s="1"/>
  <c r="AG21" i="1"/>
  <c r="U21" i="1" s="1"/>
  <c r="S21" i="1" s="1"/>
  <c r="AA223" i="1"/>
  <c r="X221" i="1"/>
  <c r="T204" i="1"/>
  <c r="AA202" i="1"/>
  <c r="W202" i="1" s="1"/>
  <c r="AG201" i="1"/>
  <c r="X201" i="1"/>
  <c r="AA200" i="1"/>
  <c r="T195" i="1"/>
  <c r="U193" i="1"/>
  <c r="S193" i="1" s="1"/>
  <c r="X191" i="1"/>
  <c r="T188" i="1"/>
  <c r="AA186" i="1"/>
  <c r="W186" i="1" s="1"/>
  <c r="AG185" i="1"/>
  <c r="U185" i="1" s="1"/>
  <c r="S185" i="1" s="1"/>
  <c r="X185" i="1"/>
  <c r="AA184" i="1"/>
  <c r="W184" i="1" s="1"/>
  <c r="T180" i="1"/>
  <c r="AA177" i="1"/>
  <c r="AG176" i="1"/>
  <c r="AG172" i="1"/>
  <c r="AA170" i="1"/>
  <c r="W170" i="1" s="1"/>
  <c r="AG169" i="1"/>
  <c r="U169" i="1" s="1"/>
  <c r="S169" i="1" s="1"/>
  <c r="X169" i="1"/>
  <c r="AA168" i="1"/>
  <c r="W168" i="1" s="1"/>
  <c r="T167" i="1"/>
  <c r="AA165" i="1"/>
  <c r="T164" i="1"/>
  <c r="AA163" i="1"/>
  <c r="W163" i="1" s="1"/>
  <c r="T163" i="1"/>
  <c r="AA160" i="1"/>
  <c r="X159" i="1"/>
  <c r="AA234" i="1"/>
  <c r="T234" i="1"/>
  <c r="AA231" i="1"/>
  <c r="X230" i="1"/>
  <c r="AA226" i="1"/>
  <c r="T226" i="1"/>
  <c r="AA217" i="1"/>
  <c r="X216" i="1"/>
  <c r="AA212" i="1"/>
  <c r="T212" i="1"/>
  <c r="AA209" i="1"/>
  <c r="X208" i="1"/>
  <c r="AA157" i="1"/>
  <c r="AA152" i="1"/>
  <c r="AA150" i="1"/>
  <c r="AA139" i="1"/>
  <c r="AA134" i="1"/>
  <c r="W134" i="1" s="1"/>
  <c r="W23" i="1"/>
  <c r="U200" i="1"/>
  <c r="S200" i="1" s="1"/>
  <c r="T171" i="1"/>
  <c r="AI168" i="1"/>
  <c r="X205" i="1"/>
  <c r="T147" i="1"/>
  <c r="T131" i="1"/>
  <c r="U131" i="1" s="1"/>
  <c r="S131" i="1" s="1"/>
  <c r="AI23" i="1"/>
  <c r="AA221" i="1"/>
  <c r="W221" i="1" s="1"/>
  <c r="AA220" i="1"/>
  <c r="AG204" i="1"/>
  <c r="AA201" i="1"/>
  <c r="AA198" i="1"/>
  <c r="X195" i="1"/>
  <c r="AA191" i="1"/>
  <c r="W191" i="1" s="1"/>
  <c r="AA190" i="1"/>
  <c r="X189" i="1"/>
  <c r="AG188" i="1"/>
  <c r="AA185" i="1"/>
  <c r="AA182" i="1"/>
  <c r="X181" i="1"/>
  <c r="AG180" i="1"/>
  <c r="AI180" i="1" s="1"/>
  <c r="AG177" i="1"/>
  <c r="U177" i="1" s="1"/>
  <c r="S177" i="1" s="1"/>
  <c r="X177" i="1"/>
  <c r="AA169" i="1"/>
  <c r="AG164" i="1"/>
  <c r="AI164" i="1" s="1"/>
  <c r="X163" i="1"/>
  <c r="AA159" i="1"/>
  <c r="T159" i="1"/>
  <c r="AA235" i="1"/>
  <c r="W235" i="1" s="1"/>
  <c r="X234" i="1"/>
  <c r="AA230" i="1"/>
  <c r="T230" i="1"/>
  <c r="AA227" i="1"/>
  <c r="W227" i="1" s="1"/>
  <c r="X226" i="1"/>
  <c r="AA216" i="1"/>
  <c r="T216" i="1"/>
  <c r="AA213" i="1"/>
  <c r="X212" i="1"/>
  <c r="AA208" i="1"/>
  <c r="AA205" i="1"/>
  <c r="X157" i="1"/>
  <c r="AA153" i="1"/>
  <c r="W153" i="1" s="1"/>
  <c r="AG152" i="1"/>
  <c r="X152" i="1"/>
  <c r="AA151" i="1"/>
  <c r="W151" i="1" s="1"/>
  <c r="AG147" i="1"/>
  <c r="AI147" i="1" s="1"/>
  <c r="AA136" i="1"/>
  <c r="W136" i="1" s="1"/>
  <c r="AG127" i="1"/>
  <c r="U127" i="1" s="1"/>
  <c r="S127" i="1" s="1"/>
  <c r="U196" i="1"/>
  <c r="S196" i="1" s="1"/>
  <c r="X171" i="1"/>
  <c r="X209" i="1"/>
  <c r="AA155" i="1"/>
  <c r="T154" i="1"/>
  <c r="U154" i="1" s="1"/>
  <c r="S154" i="1" s="1"/>
  <c r="AA148" i="1"/>
  <c r="T146" i="1"/>
  <c r="U146" i="1" s="1"/>
  <c r="S146" i="1" s="1"/>
  <c r="AA141" i="1"/>
  <c r="T134" i="1"/>
  <c r="U134" i="1" s="1"/>
  <c r="S134" i="1" s="1"/>
  <c r="X131" i="1"/>
  <c r="AG130" i="1"/>
  <c r="AI130" i="1" s="1"/>
  <c r="X130" i="1"/>
  <c r="T124" i="1"/>
  <c r="X124" i="1"/>
  <c r="AG124" i="1"/>
  <c r="AI124" i="1" s="1"/>
  <c r="AI27" i="1"/>
  <c r="AA125" i="1"/>
  <c r="AA122" i="1"/>
  <c r="T119" i="1"/>
  <c r="U119" i="1" s="1"/>
  <c r="S119" i="1" s="1"/>
  <c r="AA118" i="1"/>
  <c r="AA117" i="1"/>
  <c r="W117" i="1" s="1"/>
  <c r="T116" i="1"/>
  <c r="AG115" i="1"/>
  <c r="AG112" i="1"/>
  <c r="AA108" i="1"/>
  <c r="X107" i="1"/>
  <c r="AA106" i="1"/>
  <c r="W106" i="1" s="1"/>
  <c r="T106" i="1"/>
  <c r="AA104" i="1"/>
  <c r="AA99" i="1"/>
  <c r="AG96" i="1"/>
  <c r="AI96" i="1" s="1"/>
  <c r="X96" i="1"/>
  <c r="AG95" i="1"/>
  <c r="U95" i="1" s="1"/>
  <c r="AG91" i="1"/>
  <c r="AI91" i="1" s="1"/>
  <c r="AA90" i="1"/>
  <c r="W90" i="1" s="1"/>
  <c r="T90" i="1"/>
  <c r="T87" i="1"/>
  <c r="U87" i="1" s="1"/>
  <c r="S87" i="1" s="1"/>
  <c r="X86" i="1"/>
  <c r="AA85" i="1"/>
  <c r="W85" i="1" s="1"/>
  <c r="AA82" i="1"/>
  <c r="W82" i="1" s="1"/>
  <c r="AA81" i="1"/>
  <c r="W81" i="1" s="1"/>
  <c r="AA80" i="1"/>
  <c r="T79" i="1"/>
  <c r="AA76" i="1"/>
  <c r="AA70" i="1"/>
  <c r="W70" i="1" s="1"/>
  <c r="T69" i="1"/>
  <c r="AA62" i="1"/>
  <c r="T61" i="1"/>
  <c r="W51" i="1"/>
  <c r="AG29" i="1"/>
  <c r="U29" i="1" s="1"/>
  <c r="S29" i="1" s="1"/>
  <c r="T27" i="1"/>
  <c r="U27" i="1" s="1"/>
  <c r="S27" i="1" s="1"/>
  <c r="AA26" i="1"/>
  <c r="X24" i="1"/>
  <c r="AA20" i="1"/>
  <c r="AG19" i="1"/>
  <c r="X115" i="1"/>
  <c r="T100" i="1"/>
  <c r="X91" i="1"/>
  <c r="W83" i="1"/>
  <c r="T75" i="1"/>
  <c r="U70" i="1"/>
  <c r="AG54" i="1"/>
  <c r="AI54" i="1" s="1"/>
  <c r="X54" i="1"/>
  <c r="AG50" i="1"/>
  <c r="U50" i="1" s="1"/>
  <c r="S50" i="1" s="1"/>
  <c r="X50" i="1"/>
  <c r="AA49" i="1"/>
  <c r="W49" i="1" s="1"/>
  <c r="T44" i="1"/>
  <c r="X32" i="1"/>
  <c r="T23" i="1"/>
  <c r="U23" i="1" s="1"/>
  <c r="S23" i="1" s="1"/>
  <c r="AG17" i="1"/>
  <c r="AI17" i="1" s="1"/>
  <c r="AG16" i="1"/>
  <c r="AI16" i="1" s="1"/>
  <c r="T15" i="1"/>
  <c r="U15" i="1" s="1"/>
  <c r="S15" i="1" s="1"/>
  <c r="AA14" i="1"/>
  <c r="AA133" i="1"/>
  <c r="AA123" i="1"/>
  <c r="W123" i="1" s="1"/>
  <c r="AG116" i="1"/>
  <c r="AA110" i="1"/>
  <c r="AG108" i="1"/>
  <c r="U108" i="1" s="1"/>
  <c r="S108" i="1" s="1"/>
  <c r="X108" i="1"/>
  <c r="X106" i="1"/>
  <c r="AA98" i="1"/>
  <c r="AA97" i="1"/>
  <c r="W97" i="1" s="1"/>
  <c r="AA94" i="1"/>
  <c r="X90" i="1"/>
  <c r="T86" i="1"/>
  <c r="U86" i="1" s="1"/>
  <c r="S86" i="1" s="1"/>
  <c r="AG80" i="1"/>
  <c r="W80" i="1" s="1"/>
  <c r="X80" i="1"/>
  <c r="AG79" i="1"/>
  <c r="AI78" i="1"/>
  <c r="AG75" i="1"/>
  <c r="X69" i="1"/>
  <c r="AA66" i="1"/>
  <c r="W66" i="1" s="1"/>
  <c r="T65" i="1"/>
  <c r="X61" i="1"/>
  <c r="AA58" i="1"/>
  <c r="W58" i="1" s="1"/>
  <c r="T57" i="1"/>
  <c r="AA46" i="1"/>
  <c r="AA42" i="1"/>
  <c r="AA37" i="1"/>
  <c r="AA35" i="1"/>
  <c r="W35" i="1" s="1"/>
  <c r="AA33" i="1"/>
  <c r="AA30" i="1"/>
  <c r="W30" i="1" s="1"/>
  <c r="AG25" i="1"/>
  <c r="AA24" i="1"/>
  <c r="T24" i="1"/>
  <c r="U24" i="1" s="1"/>
  <c r="S24" i="1" s="1"/>
  <c r="AA21" i="1"/>
  <c r="U20" i="1"/>
  <c r="S20" i="1" s="1"/>
  <c r="X20" i="1"/>
  <c r="U103" i="1"/>
  <c r="S103" i="1" s="1"/>
  <c r="AA55" i="1"/>
  <c r="U53" i="1"/>
  <c r="S53" i="1" s="1"/>
  <c r="AA50" i="1"/>
  <c r="AA48" i="1"/>
  <c r="T34" i="1"/>
  <c r="U34" i="1" s="1"/>
  <c r="S34" i="1" s="1"/>
  <c r="AA32" i="1"/>
  <c r="W32" i="1" s="1"/>
  <c r="T32" i="1"/>
  <c r="T220" i="1"/>
  <c r="X220" i="1"/>
  <c r="T189" i="1"/>
  <c r="T173" i="1"/>
  <c r="AI195" i="1"/>
  <c r="AG223" i="1"/>
  <c r="X223" i="1"/>
  <c r="T197" i="1"/>
  <c r="W185" i="1"/>
  <c r="T182" i="1"/>
  <c r="X182" i="1"/>
  <c r="AI203" i="1"/>
  <c r="AI196" i="1"/>
  <c r="AI194" i="1"/>
  <c r="T166" i="1"/>
  <c r="X166" i="1"/>
  <c r="AG166" i="1"/>
  <c r="AI186" i="1"/>
  <c r="AI178" i="1"/>
  <c r="AI170" i="1"/>
  <c r="AI166" i="1"/>
  <c r="AI162" i="1"/>
  <c r="AI158" i="1"/>
  <c r="U151" i="1"/>
  <c r="S151" i="1" s="1"/>
  <c r="U143" i="1"/>
  <c r="S143" i="1" s="1"/>
  <c r="X132" i="1"/>
  <c r="AG132" i="1"/>
  <c r="T132" i="1"/>
  <c r="T219" i="1"/>
  <c r="U184" i="1"/>
  <c r="S184" i="1" s="1"/>
  <c r="AG165" i="1"/>
  <c r="T165" i="1"/>
  <c r="X165" i="1"/>
  <c r="AI153" i="1"/>
  <c r="AI152" i="1"/>
  <c r="U152" i="1"/>
  <c r="S152" i="1" s="1"/>
  <c r="AI141" i="1"/>
  <c r="W141" i="1"/>
  <c r="T133" i="1"/>
  <c r="X133" i="1"/>
  <c r="AG133" i="1"/>
  <c r="W133" i="1" s="1"/>
  <c r="X134" i="1"/>
  <c r="AI116" i="1"/>
  <c r="U116" i="1"/>
  <c r="S116" i="1" s="1"/>
  <c r="R47" i="3"/>
  <c r="T224" i="1"/>
  <c r="U224" i="1" s="1"/>
  <c r="S224" i="1" s="1"/>
  <c r="X224" i="1"/>
  <c r="X199" i="1"/>
  <c r="T198" i="1"/>
  <c r="X198" i="1"/>
  <c r="X183" i="1"/>
  <c r="T181" i="1"/>
  <c r="X222" i="1"/>
  <c r="T221" i="1"/>
  <c r="U221" i="1" s="1"/>
  <c r="S221" i="1" s="1"/>
  <c r="AA219" i="1"/>
  <c r="X203" i="1"/>
  <c r="T202" i="1"/>
  <c r="U202" i="1" s="1"/>
  <c r="S202" i="1" s="1"/>
  <c r="X202" i="1"/>
  <c r="AG198" i="1"/>
  <c r="AG197" i="1"/>
  <c r="AI197" i="1" s="1"/>
  <c r="U195" i="1"/>
  <c r="S195" i="1" s="1"/>
  <c r="X192" i="1"/>
  <c r="T191" i="1"/>
  <c r="U191" i="1" s="1"/>
  <c r="S191" i="1" s="1"/>
  <c r="AA189" i="1"/>
  <c r="X187" i="1"/>
  <c r="T186" i="1"/>
  <c r="U186" i="1" s="1"/>
  <c r="S186" i="1" s="1"/>
  <c r="X186" i="1"/>
  <c r="AG182" i="1"/>
  <c r="W182" i="1" s="1"/>
  <c r="AG181" i="1"/>
  <c r="U179" i="1"/>
  <c r="S179" i="1" s="1"/>
  <c r="X176" i="1"/>
  <c r="T175" i="1"/>
  <c r="U175" i="1" s="1"/>
  <c r="S175" i="1" s="1"/>
  <c r="AA173" i="1"/>
  <c r="T170" i="1"/>
  <c r="U170" i="1" s="1"/>
  <c r="S170" i="1" s="1"/>
  <c r="X170" i="1"/>
  <c r="X167" i="1"/>
  <c r="U160" i="1"/>
  <c r="S160" i="1" s="1"/>
  <c r="U235" i="1"/>
  <c r="S235" i="1" s="1"/>
  <c r="U227" i="1"/>
  <c r="S227" i="1" s="1"/>
  <c r="U217" i="1"/>
  <c r="S217" i="1" s="1"/>
  <c r="U209" i="1"/>
  <c r="S209" i="1" s="1"/>
  <c r="U147" i="1"/>
  <c r="S147" i="1" s="1"/>
  <c r="U136" i="1"/>
  <c r="S136" i="1" s="1"/>
  <c r="AI125" i="1"/>
  <c r="AI227" i="1"/>
  <c r="T190" i="1"/>
  <c r="X190" i="1"/>
  <c r="T174" i="1"/>
  <c r="X174" i="1"/>
  <c r="AG220" i="1"/>
  <c r="AI220" i="1" s="1"/>
  <c r="AG219" i="1"/>
  <c r="AI219" i="1" s="1"/>
  <c r="X200" i="1"/>
  <c r="T199" i="1"/>
  <c r="U199" i="1" s="1"/>
  <c r="S199" i="1" s="1"/>
  <c r="AA197" i="1"/>
  <c r="T194" i="1"/>
  <c r="U194" i="1" s="1"/>
  <c r="S194" i="1" s="1"/>
  <c r="X194" i="1"/>
  <c r="AG190" i="1"/>
  <c r="AI190" i="1" s="1"/>
  <c r="AG189" i="1"/>
  <c r="AI189" i="1" s="1"/>
  <c r="U187" i="1"/>
  <c r="S187" i="1" s="1"/>
  <c r="X184" i="1"/>
  <c r="T183" i="1"/>
  <c r="U183" i="1" s="1"/>
  <c r="S183" i="1" s="1"/>
  <c r="AA181" i="1"/>
  <c r="X179" i="1"/>
  <c r="T178" i="1"/>
  <c r="U178" i="1" s="1"/>
  <c r="S178" i="1" s="1"/>
  <c r="X178" i="1"/>
  <c r="AG174" i="1"/>
  <c r="AI174" i="1" s="1"/>
  <c r="AG173" i="1"/>
  <c r="U171" i="1"/>
  <c r="S171" i="1" s="1"/>
  <c r="U167" i="1"/>
  <c r="S167" i="1" s="1"/>
  <c r="U163" i="1"/>
  <c r="S163" i="1" s="1"/>
  <c r="U162" i="1"/>
  <c r="S162" i="1" s="1"/>
  <c r="AG161" i="1"/>
  <c r="T161" i="1"/>
  <c r="X161" i="1"/>
  <c r="W160" i="1"/>
  <c r="AG236" i="1"/>
  <c r="AI236" i="1" s="1"/>
  <c r="T236" i="1"/>
  <c r="X236" i="1"/>
  <c r="U233" i="1"/>
  <c r="S233" i="1" s="1"/>
  <c r="AG232" i="1"/>
  <c r="W232" i="1" s="1"/>
  <c r="T232" i="1"/>
  <c r="X232" i="1"/>
  <c r="W231" i="1"/>
  <c r="U229" i="1"/>
  <c r="S229" i="1" s="1"/>
  <c r="AG228" i="1"/>
  <c r="W228" i="1" s="1"/>
  <c r="T228" i="1"/>
  <c r="X228" i="1"/>
  <c r="U225" i="1"/>
  <c r="S225" i="1" s="1"/>
  <c r="AG218" i="1"/>
  <c r="AI218" i="1" s="1"/>
  <c r="T218" i="1"/>
  <c r="X218" i="1"/>
  <c r="W217" i="1"/>
  <c r="AG214" i="1"/>
  <c r="AI214" i="1" s="1"/>
  <c r="T214" i="1"/>
  <c r="X214" i="1"/>
  <c r="W213" i="1"/>
  <c r="U211" i="1"/>
  <c r="S211" i="1" s="1"/>
  <c r="AG210" i="1"/>
  <c r="AI210" i="1" s="1"/>
  <c r="T210" i="1"/>
  <c r="X210" i="1"/>
  <c r="AG206" i="1"/>
  <c r="W206" i="1" s="1"/>
  <c r="T206" i="1"/>
  <c r="X206" i="1"/>
  <c r="AG155" i="1"/>
  <c r="W155" i="1" s="1"/>
  <c r="T155" i="1"/>
  <c r="X155" i="1"/>
  <c r="AI151" i="1"/>
  <c r="AG150" i="1"/>
  <c r="X150" i="1"/>
  <c r="X151" i="1"/>
  <c r="T150" i="1"/>
  <c r="U144" i="1"/>
  <c r="S144" i="1" s="1"/>
  <c r="U139" i="1"/>
  <c r="S139" i="1" s="1"/>
  <c r="X128" i="1"/>
  <c r="AG128" i="1"/>
  <c r="T128" i="1"/>
  <c r="W152" i="1"/>
  <c r="AG138" i="1"/>
  <c r="X138" i="1"/>
  <c r="T138" i="1"/>
  <c r="AI136" i="1"/>
  <c r="W125" i="1"/>
  <c r="AI123" i="1"/>
  <c r="AG122" i="1"/>
  <c r="W122" i="1" s="1"/>
  <c r="X122" i="1"/>
  <c r="T122" i="1"/>
  <c r="X123" i="1"/>
  <c r="T101" i="1"/>
  <c r="X101" i="1"/>
  <c r="AG101" i="1"/>
  <c r="X102" i="1"/>
  <c r="X162" i="1"/>
  <c r="AG159" i="1"/>
  <c r="X158" i="1"/>
  <c r="AG234" i="1"/>
  <c r="AI234" i="1" s="1"/>
  <c r="X233" i="1"/>
  <c r="AG230" i="1"/>
  <c r="AI230" i="1" s="1"/>
  <c r="X229" i="1"/>
  <c r="AG226" i="1"/>
  <c r="AI226" i="1" s="1"/>
  <c r="X225" i="1"/>
  <c r="AG216" i="1"/>
  <c r="X215" i="1"/>
  <c r="AG212" i="1"/>
  <c r="AI212" i="1" s="1"/>
  <c r="X211" i="1"/>
  <c r="AG208" i="1"/>
  <c r="X207" i="1"/>
  <c r="AG157" i="1"/>
  <c r="X156" i="1"/>
  <c r="X154" i="1"/>
  <c r="T153" i="1"/>
  <c r="U153" i="1" s="1"/>
  <c r="S153" i="1" s="1"/>
  <c r="X153" i="1"/>
  <c r="W150" i="1"/>
  <c r="T149" i="1"/>
  <c r="X149" i="1"/>
  <c r="AG149" i="1"/>
  <c r="AG142" i="1"/>
  <c r="T142" i="1"/>
  <c r="X143" i="1"/>
  <c r="T141" i="1"/>
  <c r="U141" i="1" s="1"/>
  <c r="S141" i="1" s="1"/>
  <c r="X141" i="1"/>
  <c r="AG140" i="1"/>
  <c r="AI135" i="1"/>
  <c r="AA132" i="1"/>
  <c r="AG110" i="1"/>
  <c r="X110" i="1"/>
  <c r="T110" i="1"/>
  <c r="X148" i="1"/>
  <c r="AG148" i="1"/>
  <c r="W148" i="1" s="1"/>
  <c r="T145" i="1"/>
  <c r="U145" i="1" s="1"/>
  <c r="S145" i="1" s="1"/>
  <c r="X145" i="1"/>
  <c r="AI139" i="1"/>
  <c r="T129" i="1"/>
  <c r="X129" i="1"/>
  <c r="AG129" i="1"/>
  <c r="AG98" i="1"/>
  <c r="X98" i="1"/>
  <c r="T98" i="1"/>
  <c r="X99" i="1"/>
  <c r="AA128" i="1"/>
  <c r="W128" i="1" s="1"/>
  <c r="X126" i="1"/>
  <c r="T125" i="1"/>
  <c r="U125" i="1" s="1"/>
  <c r="S125" i="1" s="1"/>
  <c r="X125" i="1"/>
  <c r="AA120" i="1"/>
  <c r="T118" i="1"/>
  <c r="X118" i="1"/>
  <c r="AG118" i="1"/>
  <c r="W118" i="1" s="1"/>
  <c r="AI117" i="1"/>
  <c r="AI112" i="1"/>
  <c r="AA101" i="1"/>
  <c r="AI97" i="1"/>
  <c r="AG94" i="1"/>
  <c r="X94" i="1"/>
  <c r="AI120" i="1"/>
  <c r="T105" i="1"/>
  <c r="X105" i="1"/>
  <c r="AG105" i="1"/>
  <c r="X104" i="1"/>
  <c r="AG104" i="1"/>
  <c r="AA140" i="1"/>
  <c r="T137" i="1"/>
  <c r="U137" i="1" s="1"/>
  <c r="S137" i="1" s="1"/>
  <c r="X137" i="1"/>
  <c r="X127" i="1"/>
  <c r="T126" i="1"/>
  <c r="U126" i="1" s="1"/>
  <c r="S126" i="1" s="1"/>
  <c r="AA124" i="1"/>
  <c r="T121" i="1"/>
  <c r="U121" i="1" s="1"/>
  <c r="S121" i="1" s="1"/>
  <c r="X121" i="1"/>
  <c r="T117" i="1"/>
  <c r="U117" i="1" s="1"/>
  <c r="S117" i="1" s="1"/>
  <c r="X117" i="1"/>
  <c r="AA116" i="1"/>
  <c r="W116" i="1" s="1"/>
  <c r="T114" i="1"/>
  <c r="X114" i="1"/>
  <c r="AG114" i="1"/>
  <c r="AI113" i="1"/>
  <c r="U113" i="1"/>
  <c r="S113" i="1" s="1"/>
  <c r="AG100" i="1"/>
  <c r="S95" i="1"/>
  <c r="X95" i="1"/>
  <c r="U91" i="1"/>
  <c r="S91" i="1" s="1"/>
  <c r="T89" i="1"/>
  <c r="X89" i="1"/>
  <c r="T88" i="1"/>
  <c r="T72" i="1"/>
  <c r="X72" i="1"/>
  <c r="AG72" i="1"/>
  <c r="AG67" i="1"/>
  <c r="W67" i="1" s="1"/>
  <c r="T67" i="1"/>
  <c r="X67" i="1"/>
  <c r="AG59" i="1"/>
  <c r="W59" i="1" s="1"/>
  <c r="T59" i="1"/>
  <c r="X59" i="1"/>
  <c r="AI50" i="1"/>
  <c r="T37" i="1"/>
  <c r="X37" i="1"/>
  <c r="AG37" i="1"/>
  <c r="X36" i="1"/>
  <c r="AG36" i="1"/>
  <c r="X19" i="1"/>
  <c r="T18" i="1"/>
  <c r="X18" i="1"/>
  <c r="AG18" i="1"/>
  <c r="W18" i="1" s="1"/>
  <c r="AA113" i="1"/>
  <c r="W113" i="1" s="1"/>
  <c r="T109" i="1"/>
  <c r="U109" i="1" s="1"/>
  <c r="S109" i="1" s="1"/>
  <c r="X109" i="1"/>
  <c r="U102" i="1"/>
  <c r="S102" i="1" s="1"/>
  <c r="AA96" i="1"/>
  <c r="T93" i="1"/>
  <c r="U93" i="1" s="1"/>
  <c r="S93" i="1" s="1"/>
  <c r="X93" i="1"/>
  <c r="AG89" i="1"/>
  <c r="AG88" i="1"/>
  <c r="X83" i="1"/>
  <c r="T82" i="1"/>
  <c r="U82" i="1" s="1"/>
  <c r="S82" i="1" s="1"/>
  <c r="AI81" i="1"/>
  <c r="AI79" i="1"/>
  <c r="X78" i="1"/>
  <c r="T77" i="1"/>
  <c r="X77" i="1"/>
  <c r="T76" i="1"/>
  <c r="AI65" i="1"/>
  <c r="U65" i="1"/>
  <c r="S65" i="1" s="1"/>
  <c r="AI58" i="1"/>
  <c r="AI57" i="1"/>
  <c r="U57" i="1"/>
  <c r="S57" i="1" s="1"/>
  <c r="AI49" i="1"/>
  <c r="AG48" i="1"/>
  <c r="T48" i="1"/>
  <c r="X49" i="1"/>
  <c r="X48" i="1"/>
  <c r="W43" i="1"/>
  <c r="AI108" i="1"/>
  <c r="U106" i="1"/>
  <c r="S106" i="1" s="1"/>
  <c r="AA100" i="1"/>
  <c r="T97" i="1"/>
  <c r="U97" i="1" s="1"/>
  <c r="S97" i="1" s="1"/>
  <c r="X97" i="1"/>
  <c r="U90" i="1"/>
  <c r="S90" i="1" s="1"/>
  <c r="AI85" i="1"/>
  <c r="AA84" i="1"/>
  <c r="AI83" i="1"/>
  <c r="X82" i="1"/>
  <c r="T81" i="1"/>
  <c r="U81" i="1" s="1"/>
  <c r="S81" i="1" s="1"/>
  <c r="X81" i="1"/>
  <c r="AG77" i="1"/>
  <c r="W77" i="1" s="1"/>
  <c r="AG76" i="1"/>
  <c r="AG71" i="1"/>
  <c r="W71" i="1" s="1"/>
  <c r="T71" i="1"/>
  <c r="X71" i="1"/>
  <c r="W69" i="1"/>
  <c r="AG63" i="1"/>
  <c r="W63" i="1" s="1"/>
  <c r="T63" i="1"/>
  <c r="X63" i="1"/>
  <c r="W61" i="1"/>
  <c r="AG55" i="1"/>
  <c r="W55" i="1" s="1"/>
  <c r="T55" i="1"/>
  <c r="X55" i="1"/>
  <c r="U49" i="1"/>
  <c r="S49" i="1" s="1"/>
  <c r="T36" i="1"/>
  <c r="X23" i="1"/>
  <c r="T22" i="1"/>
  <c r="X22" i="1"/>
  <c r="AG22" i="1"/>
  <c r="W22" i="1" s="1"/>
  <c r="X15" i="1"/>
  <c r="T14" i="1"/>
  <c r="AG14" i="1"/>
  <c r="AA88" i="1"/>
  <c r="T85" i="1"/>
  <c r="U85" i="1" s="1"/>
  <c r="S85" i="1" s="1"/>
  <c r="X85" i="1"/>
  <c r="AI80" i="1"/>
  <c r="S70" i="1"/>
  <c r="AI70" i="1"/>
  <c r="AI69" i="1"/>
  <c r="U69" i="1"/>
  <c r="S69" i="1" s="1"/>
  <c r="U66" i="1"/>
  <c r="S66" i="1" s="1"/>
  <c r="AI62" i="1"/>
  <c r="AI61" i="1"/>
  <c r="U61" i="1"/>
  <c r="S61" i="1" s="1"/>
  <c r="U58" i="1"/>
  <c r="S58" i="1" s="1"/>
  <c r="U54" i="1"/>
  <c r="S54" i="1" s="1"/>
  <c r="AI51" i="1"/>
  <c r="AA34" i="1"/>
  <c r="W34" i="1" s="1"/>
  <c r="AI34" i="1"/>
  <c r="AI24" i="1"/>
  <c r="AG68" i="1"/>
  <c r="AG64" i="1"/>
  <c r="AG60" i="1"/>
  <c r="AG56" i="1"/>
  <c r="W56" i="1" s="1"/>
  <c r="X53" i="1"/>
  <c r="T52" i="1"/>
  <c r="U52" i="1" s="1"/>
  <c r="S52" i="1" s="1"/>
  <c r="T47" i="1"/>
  <c r="X47" i="1"/>
  <c r="T46" i="1"/>
  <c r="AG42" i="1"/>
  <c r="X35" i="1"/>
  <c r="X34" i="1"/>
  <c r="U32" i="1"/>
  <c r="S32" i="1" s="1"/>
  <c r="AI32" i="1"/>
  <c r="X31" i="1"/>
  <c r="T30" i="1"/>
  <c r="X30" i="1"/>
  <c r="AG30" i="1"/>
  <c r="AI25" i="1"/>
  <c r="X68" i="1"/>
  <c r="X64" i="1"/>
  <c r="X60" i="1"/>
  <c r="X56" i="1"/>
  <c r="AI53" i="1"/>
  <c r="X52" i="1"/>
  <c r="T51" i="1"/>
  <c r="U51" i="1" s="1"/>
  <c r="S51" i="1" s="1"/>
  <c r="X51" i="1"/>
  <c r="AG47" i="1"/>
  <c r="AG46" i="1"/>
  <c r="U44" i="1"/>
  <c r="S44" i="1" s="1"/>
  <c r="X39" i="1"/>
  <c r="T38" i="1"/>
  <c r="U38" i="1" s="1"/>
  <c r="S38" i="1" s="1"/>
  <c r="AA36" i="1"/>
  <c r="AI35" i="1"/>
  <c r="U25" i="1"/>
  <c r="S25" i="1" s="1"/>
  <c r="W24" i="1"/>
  <c r="AA17" i="1"/>
  <c r="T43" i="1"/>
  <c r="U43" i="1" s="1"/>
  <c r="S43" i="1" s="1"/>
  <c r="U28" i="1"/>
  <c r="S28" i="1" s="1"/>
  <c r="AI28" i="1"/>
  <c r="X27" i="1"/>
  <c r="T26" i="1"/>
  <c r="X26" i="1"/>
  <c r="AG26" i="1"/>
  <c r="W26" i="1" s="1"/>
  <c r="AI21" i="1"/>
  <c r="X33" i="1"/>
  <c r="X29" i="1"/>
  <c r="X25" i="1"/>
  <c r="X21" i="1"/>
  <c r="AI20" i="1"/>
  <c r="X17" i="1"/>
  <c r="AD38" i="3"/>
  <c r="AD19" i="3"/>
  <c r="AE19" i="3"/>
  <c r="Y54" i="3"/>
  <c r="AD55" i="3"/>
  <c r="Y19" i="3"/>
  <c r="Y49" i="3"/>
  <c r="AE50" i="3"/>
  <c r="Y32" i="3"/>
  <c r="AE47" i="3"/>
  <c r="AE42" i="3"/>
  <c r="Y23" i="3"/>
  <c r="AD33" i="3"/>
  <c r="Y46" i="3"/>
  <c r="T55" i="3"/>
  <c r="Y20" i="3"/>
  <c r="AC35" i="3"/>
  <c r="T26" i="3"/>
  <c r="Y11" i="3"/>
  <c r="Y7" i="3"/>
  <c r="AD9" i="3"/>
  <c r="Y50" i="3"/>
  <c r="AE55" i="3"/>
  <c r="AD49" i="3"/>
  <c r="AD42" i="3"/>
  <c r="AD39" i="3"/>
  <c r="AE39" i="3"/>
  <c r="Y15" i="3"/>
  <c r="AC28" i="3"/>
  <c r="Y55" i="3"/>
  <c r="AD25" i="3"/>
  <c r="AD22" i="3"/>
  <c r="AD21" i="3"/>
  <c r="AE18" i="3"/>
  <c r="Y52" i="3"/>
  <c r="Y26" i="3"/>
  <c r="AE14" i="3"/>
  <c r="AD11" i="3"/>
  <c r="AC39" i="3"/>
  <c r="AD18" i="3"/>
  <c r="AD15" i="3"/>
  <c r="AE15" i="3"/>
  <c r="AD14" i="3"/>
  <c r="AD10" i="3"/>
  <c r="T42" i="3"/>
  <c r="T21" i="3"/>
  <c r="T12" i="3"/>
  <c r="T24" i="3"/>
  <c r="Y40" i="3"/>
  <c r="T9" i="3"/>
  <c r="Y53" i="3"/>
  <c r="AD30" i="3"/>
  <c r="Y21" i="3"/>
  <c r="Y12" i="3"/>
  <c r="Y24" i="3"/>
  <c r="AE10" i="3"/>
  <c r="T18" i="3"/>
  <c r="T53" i="3"/>
  <c r="T22" i="3"/>
  <c r="T16" i="3"/>
  <c r="AC32" i="3"/>
  <c r="AE43" i="3"/>
  <c r="Y22" i="3"/>
  <c r="T14" i="3"/>
  <c r="T13" i="3"/>
  <c r="Y16" i="3"/>
  <c r="AE54" i="3"/>
  <c r="AD52" i="3"/>
  <c r="T58" i="3"/>
  <c r="Y9" i="3"/>
  <c r="AE46" i="3"/>
  <c r="AD44" i="3"/>
  <c r="Y56" i="3"/>
  <c r="AE38" i="3"/>
  <c r="AC37" i="3"/>
  <c r="Y14" i="3"/>
  <c r="T46" i="3"/>
  <c r="AE27" i="3"/>
  <c r="Y57" i="3"/>
  <c r="AE22" i="3"/>
  <c r="AC8" i="3"/>
  <c r="Y45" i="3"/>
  <c r="T11" i="3"/>
  <c r="AE11" i="3"/>
  <c r="AC33" i="3"/>
  <c r="AC19" i="3"/>
  <c r="AC48" i="3"/>
  <c r="AC31" i="3"/>
  <c r="AC38" i="3"/>
  <c r="AD40" i="3"/>
  <c r="AC15" i="3"/>
  <c r="AD36" i="3"/>
  <c r="AC29" i="3"/>
  <c r="AD32" i="3"/>
  <c r="AC10" i="3"/>
  <c r="AD28" i="3"/>
  <c r="AC59" i="3"/>
  <c r="AD24" i="3"/>
  <c r="AC17" i="3"/>
  <c r="AD20" i="3"/>
  <c r="AC52" i="3"/>
  <c r="AD16" i="3"/>
  <c r="AC44" i="3"/>
  <c r="AD12" i="3"/>
  <c r="AC41" i="3"/>
  <c r="AD8" i="3"/>
  <c r="T33" i="3"/>
  <c r="AD54" i="3"/>
  <c r="AE37" i="3"/>
  <c r="T15" i="3"/>
  <c r="AE33" i="3"/>
  <c r="T29" i="3"/>
  <c r="AE29" i="3"/>
  <c r="T10" i="3"/>
  <c r="AE21" i="3"/>
  <c r="T17" i="3"/>
  <c r="AE17" i="3"/>
  <c r="T52" i="3"/>
  <c r="AE13" i="3"/>
  <c r="T44" i="3"/>
  <c r="AE9" i="3"/>
  <c r="T41" i="3"/>
  <c r="AD58" i="3"/>
  <c r="AE57" i="3"/>
  <c r="AE53" i="3"/>
  <c r="T19" i="3"/>
  <c r="AD50" i="3"/>
  <c r="AE49" i="3"/>
  <c r="T48" i="3"/>
  <c r="AD46" i="3"/>
  <c r="AE45" i="3"/>
  <c r="T31" i="3"/>
  <c r="AE41" i="3"/>
  <c r="T38" i="3"/>
  <c r="AE25" i="3"/>
  <c r="T59" i="3"/>
  <c r="AE56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M23" i="5"/>
  <c r="R34" i="3"/>
  <c r="M34" i="3"/>
  <c r="U34" i="3"/>
  <c r="V34" i="3"/>
  <c r="W34" i="3"/>
  <c r="X34" i="3"/>
  <c r="U31" i="1" l="1"/>
  <c r="S31" i="1" s="1"/>
  <c r="W33" i="1"/>
  <c r="U39" i="1"/>
  <c r="S39" i="1" s="1"/>
  <c r="W14" i="1"/>
  <c r="AI33" i="1"/>
  <c r="U84" i="1"/>
  <c r="S84" i="1" s="1"/>
  <c r="W110" i="1"/>
  <c r="U164" i="1"/>
  <c r="S164" i="1" s="1"/>
  <c r="U180" i="1"/>
  <c r="S180" i="1" s="1"/>
  <c r="AI222" i="1"/>
  <c r="W92" i="1"/>
  <c r="W36" i="1"/>
  <c r="W46" i="1"/>
  <c r="W84" i="1"/>
  <c r="W48" i="1"/>
  <c r="U156" i="1"/>
  <c r="S156" i="1" s="1"/>
  <c r="W209" i="1"/>
  <c r="U205" i="1"/>
  <c r="S205" i="1" s="1"/>
  <c r="W207" i="1"/>
  <c r="W222" i="1"/>
  <c r="W158" i="1"/>
  <c r="W101" i="1"/>
  <c r="W205" i="1"/>
  <c r="W176" i="1"/>
  <c r="W200" i="1"/>
  <c r="W169" i="1"/>
  <c r="W94" i="1"/>
  <c r="W165" i="1"/>
  <c r="W201" i="1"/>
  <c r="W223" i="1"/>
  <c r="U62" i="1"/>
  <c r="S62" i="1" s="1"/>
  <c r="W144" i="1"/>
  <c r="U80" i="1"/>
  <c r="S80" i="1" s="1"/>
  <c r="W166" i="1"/>
  <c r="W25" i="1"/>
  <c r="W62" i="1"/>
  <c r="W211" i="1"/>
  <c r="W88" i="1"/>
  <c r="W72" i="1"/>
  <c r="W124" i="1"/>
  <c r="AI127" i="1"/>
  <c r="U215" i="1"/>
  <c r="S215" i="1" s="1"/>
  <c r="U158" i="1"/>
  <c r="S158" i="1" s="1"/>
  <c r="W161" i="1"/>
  <c r="AI206" i="1"/>
  <c r="W16" i="1"/>
  <c r="U92" i="1"/>
  <c r="S92" i="1" s="1"/>
  <c r="U112" i="1"/>
  <c r="S112" i="1" s="1"/>
  <c r="W139" i="1"/>
  <c r="W135" i="1"/>
  <c r="U16" i="1"/>
  <c r="S16" i="1" s="1"/>
  <c r="AI92" i="1"/>
  <c r="W37" i="1"/>
  <c r="AI95" i="1"/>
  <c r="W105" i="1"/>
  <c r="W98" i="1"/>
  <c r="U207" i="1"/>
  <c r="S207" i="1" s="1"/>
  <c r="W20" i="1"/>
  <c r="W50" i="1"/>
  <c r="W96" i="1"/>
  <c r="U96" i="1"/>
  <c r="S96" i="1" s="1"/>
  <c r="W99" i="1"/>
  <c r="W120" i="1"/>
  <c r="U124" i="1"/>
  <c r="S124" i="1" s="1"/>
  <c r="W132" i="1"/>
  <c r="W95" i="1"/>
  <c r="W103" i="1"/>
  <c r="W100" i="1"/>
  <c r="U99" i="1"/>
  <c r="S99" i="1" s="1"/>
  <c r="W107" i="1"/>
  <c r="W17" i="1"/>
  <c r="U130" i="1"/>
  <c r="S130" i="1" s="1"/>
  <c r="U107" i="1"/>
  <c r="S107" i="1" s="1"/>
  <c r="AI29" i="1"/>
  <c r="U45" i="1"/>
  <c r="S45" i="1" s="1"/>
  <c r="W29" i="1"/>
  <c r="U17" i="1"/>
  <c r="S17" i="1" s="1"/>
  <c r="W54" i="1"/>
  <c r="W45" i="1"/>
  <c r="W21" i="1"/>
  <c r="W140" i="1"/>
  <c r="W31" i="1"/>
  <c r="W87" i="1"/>
  <c r="W119" i="1"/>
  <c r="W225" i="1"/>
  <c r="W219" i="1"/>
  <c r="W210" i="1"/>
  <c r="AI182" i="1"/>
  <c r="U19" i="1"/>
  <c r="S19" i="1" s="1"/>
  <c r="AI19" i="1"/>
  <c r="W19" i="1"/>
  <c r="U204" i="1"/>
  <c r="S204" i="1" s="1"/>
  <c r="AI204" i="1"/>
  <c r="W204" i="1"/>
  <c r="U172" i="1"/>
  <c r="S172" i="1" s="1"/>
  <c r="AI172" i="1"/>
  <c r="W189" i="1"/>
  <c r="W218" i="1"/>
  <c r="U75" i="1"/>
  <c r="S75" i="1" s="1"/>
  <c r="AI75" i="1"/>
  <c r="U115" i="1"/>
  <c r="S115" i="1" s="1"/>
  <c r="AI115" i="1"/>
  <c r="U188" i="1"/>
  <c r="S188" i="1" s="1"/>
  <c r="AI188" i="1"/>
  <c r="W180" i="1"/>
  <c r="U176" i="1"/>
  <c r="S176" i="1" s="1"/>
  <c r="AI176" i="1"/>
  <c r="W198" i="1"/>
  <c r="AI198" i="1"/>
  <c r="AI228" i="1"/>
  <c r="W75" i="1"/>
  <c r="W91" i="1"/>
  <c r="W127" i="1"/>
  <c r="W164" i="1"/>
  <c r="W188" i="1"/>
  <c r="W115" i="1"/>
  <c r="W177" i="1"/>
  <c r="U201" i="1"/>
  <c r="S201" i="1" s="1"/>
  <c r="AI201" i="1"/>
  <c r="W147" i="1"/>
  <c r="U79" i="1"/>
  <c r="S79" i="1" s="1"/>
  <c r="W79" i="1"/>
  <c r="W108" i="1"/>
  <c r="W130" i="1"/>
  <c r="W172" i="1"/>
  <c r="AI76" i="1"/>
  <c r="U76" i="1"/>
  <c r="S76" i="1" s="1"/>
  <c r="AI199" i="1"/>
  <c r="U173" i="1"/>
  <c r="S173" i="1" s="1"/>
  <c r="AI207" i="1"/>
  <c r="U181" i="1"/>
  <c r="S181" i="1" s="1"/>
  <c r="AI223" i="1"/>
  <c r="U197" i="1"/>
  <c r="S197" i="1" s="1"/>
  <c r="AI42" i="1"/>
  <c r="U42" i="1"/>
  <c r="S42" i="1" s="1"/>
  <c r="U60" i="1"/>
  <c r="S60" i="1" s="1"/>
  <c r="AI60" i="1"/>
  <c r="W60" i="1"/>
  <c r="AI22" i="1"/>
  <c r="U22" i="1"/>
  <c r="S22" i="1" s="1"/>
  <c r="U94" i="1"/>
  <c r="S94" i="1" s="1"/>
  <c r="AI94" i="1"/>
  <c r="AI129" i="1"/>
  <c r="U129" i="1"/>
  <c r="S129" i="1" s="1"/>
  <c r="U214" i="1"/>
  <c r="S214" i="1" s="1"/>
  <c r="AI167" i="1"/>
  <c r="U236" i="1"/>
  <c r="S236" i="1" s="1"/>
  <c r="AI183" i="1"/>
  <c r="W214" i="1"/>
  <c r="W236" i="1"/>
  <c r="AI235" i="1"/>
  <c r="U223" i="1"/>
  <c r="S223" i="1" s="1"/>
  <c r="U68" i="1"/>
  <c r="S68" i="1" s="1"/>
  <c r="AI68" i="1"/>
  <c r="W68" i="1"/>
  <c r="AI100" i="1"/>
  <c r="U100" i="1"/>
  <c r="S100" i="1" s="1"/>
  <c r="U142" i="1"/>
  <c r="S142" i="1" s="1"/>
  <c r="AI142" i="1"/>
  <c r="U206" i="1"/>
  <c r="S206" i="1" s="1"/>
  <c r="AI159" i="1"/>
  <c r="U228" i="1"/>
  <c r="S228" i="1" s="1"/>
  <c r="AI175" i="1"/>
  <c r="AI47" i="1"/>
  <c r="U47" i="1"/>
  <c r="S47" i="1" s="1"/>
  <c r="W47" i="1"/>
  <c r="AI14" i="1"/>
  <c r="U14" i="1"/>
  <c r="S14" i="1" s="1"/>
  <c r="U71" i="1"/>
  <c r="S71" i="1" s="1"/>
  <c r="AI71" i="1"/>
  <c r="U89" i="1"/>
  <c r="S89" i="1" s="1"/>
  <c r="AI89" i="1"/>
  <c r="W42" i="1"/>
  <c r="U59" i="1"/>
  <c r="S59" i="1" s="1"/>
  <c r="AI59" i="1"/>
  <c r="U72" i="1"/>
  <c r="S72" i="1" s="1"/>
  <c r="AI72" i="1"/>
  <c r="AI26" i="1"/>
  <c r="U26" i="1"/>
  <c r="S26" i="1" s="1"/>
  <c r="AI30" i="1"/>
  <c r="U30" i="1"/>
  <c r="U64" i="1"/>
  <c r="S64" i="1" s="1"/>
  <c r="AI64" i="1"/>
  <c r="AI37" i="1"/>
  <c r="U37" i="1"/>
  <c r="S37" i="1" s="1"/>
  <c r="W64" i="1"/>
  <c r="AI105" i="1"/>
  <c r="U105" i="1"/>
  <c r="S105" i="1" s="1"/>
  <c r="AI140" i="1"/>
  <c r="U140" i="1"/>
  <c r="S140" i="1" s="1"/>
  <c r="AI161" i="1"/>
  <c r="U208" i="1"/>
  <c r="S208" i="1" s="1"/>
  <c r="AI169" i="1"/>
  <c r="U216" i="1"/>
  <c r="S216" i="1" s="1"/>
  <c r="AI177" i="1"/>
  <c r="U230" i="1"/>
  <c r="S230" i="1" s="1"/>
  <c r="AI185" i="1"/>
  <c r="U159" i="1"/>
  <c r="S159" i="1" s="1"/>
  <c r="U122" i="1"/>
  <c r="S122" i="1" s="1"/>
  <c r="AI122" i="1"/>
  <c r="U138" i="1"/>
  <c r="S138" i="1" s="1"/>
  <c r="AI138" i="1"/>
  <c r="W138" i="1"/>
  <c r="AI128" i="1"/>
  <c r="U128" i="1"/>
  <c r="S128" i="1" s="1"/>
  <c r="U155" i="1"/>
  <c r="S155" i="1" s="1"/>
  <c r="AI155" i="1"/>
  <c r="U218" i="1"/>
  <c r="S218" i="1" s="1"/>
  <c r="AI171" i="1"/>
  <c r="U161" i="1"/>
  <c r="S161" i="1" s="1"/>
  <c r="AI187" i="1"/>
  <c r="W181" i="1"/>
  <c r="AI215" i="1"/>
  <c r="U189" i="1"/>
  <c r="S189" i="1" s="1"/>
  <c r="W197" i="1"/>
  <c r="AI231" i="1"/>
  <c r="U219" i="1"/>
  <c r="S219" i="1" s="1"/>
  <c r="W173" i="1"/>
  <c r="W208" i="1"/>
  <c r="W216" i="1"/>
  <c r="W230" i="1"/>
  <c r="W159" i="1"/>
  <c r="U165" i="1"/>
  <c r="S165" i="1" s="1"/>
  <c r="AI191" i="1"/>
  <c r="W129" i="1"/>
  <c r="U166" i="1"/>
  <c r="S166" i="1" s="1"/>
  <c r="AI192" i="1"/>
  <c r="U55" i="1"/>
  <c r="S55" i="1" s="1"/>
  <c r="AI55" i="1"/>
  <c r="AI18" i="1"/>
  <c r="U18" i="1"/>
  <c r="S18" i="1" s="1"/>
  <c r="U98" i="1"/>
  <c r="S98" i="1" s="1"/>
  <c r="AI98" i="1"/>
  <c r="U190" i="1"/>
  <c r="S190" i="1" s="1"/>
  <c r="AI216" i="1"/>
  <c r="AI232" i="1"/>
  <c r="U220" i="1"/>
  <c r="S220" i="1" s="1"/>
  <c r="W190" i="1"/>
  <c r="AI46" i="1"/>
  <c r="U46" i="1"/>
  <c r="S46" i="1" s="1"/>
  <c r="U56" i="1"/>
  <c r="S56" i="1" s="1"/>
  <c r="AI56" i="1"/>
  <c r="U63" i="1"/>
  <c r="S63" i="1" s="1"/>
  <c r="AI63" i="1"/>
  <c r="U77" i="1"/>
  <c r="S77" i="1" s="1"/>
  <c r="AI77" i="1"/>
  <c r="U48" i="1"/>
  <c r="S48" i="1" s="1"/>
  <c r="AI48" i="1"/>
  <c r="AI88" i="1"/>
  <c r="U88" i="1"/>
  <c r="S88" i="1" s="1"/>
  <c r="AI36" i="1"/>
  <c r="U36" i="1"/>
  <c r="S36" i="1" s="1"/>
  <c r="U67" i="1"/>
  <c r="AI67" i="1"/>
  <c r="W76" i="1"/>
  <c r="U114" i="1"/>
  <c r="S114" i="1" s="1"/>
  <c r="AI114" i="1"/>
  <c r="W114" i="1"/>
  <c r="AI104" i="1"/>
  <c r="U104" i="1"/>
  <c r="S104" i="1" s="1"/>
  <c r="U118" i="1"/>
  <c r="S118" i="1" s="1"/>
  <c r="AI118" i="1"/>
  <c r="W104" i="1"/>
  <c r="AI148" i="1"/>
  <c r="U148" i="1"/>
  <c r="S148" i="1" s="1"/>
  <c r="W89" i="1"/>
  <c r="U110" i="1"/>
  <c r="S110" i="1" s="1"/>
  <c r="AI110" i="1"/>
  <c r="U149" i="1"/>
  <c r="S149" i="1" s="1"/>
  <c r="AI149" i="1"/>
  <c r="AI157" i="1"/>
  <c r="U157" i="1"/>
  <c r="S157" i="1" s="1"/>
  <c r="AI165" i="1"/>
  <c r="U212" i="1"/>
  <c r="S212" i="1" s="1"/>
  <c r="AI173" i="1"/>
  <c r="U226" i="1"/>
  <c r="S226" i="1" s="1"/>
  <c r="AI181" i="1"/>
  <c r="U234" i="1"/>
  <c r="S234" i="1" s="1"/>
  <c r="AI101" i="1"/>
  <c r="U101" i="1"/>
  <c r="S101" i="1" s="1"/>
  <c r="U150" i="1"/>
  <c r="S150" i="1" s="1"/>
  <c r="AI150" i="1"/>
  <c r="U210" i="1"/>
  <c r="S210" i="1" s="1"/>
  <c r="AI163" i="1"/>
  <c r="U232" i="1"/>
  <c r="S232" i="1" s="1"/>
  <c r="AI179" i="1"/>
  <c r="U174" i="1"/>
  <c r="S174" i="1" s="1"/>
  <c r="AI200" i="1"/>
  <c r="W142" i="1"/>
  <c r="AI208" i="1"/>
  <c r="U182" i="1"/>
  <c r="S182" i="1" s="1"/>
  <c r="AI224" i="1"/>
  <c r="U198" i="1"/>
  <c r="S198" i="1" s="1"/>
  <c r="U133" i="1"/>
  <c r="S133" i="1" s="1"/>
  <c r="AI133" i="1"/>
  <c r="W149" i="1"/>
  <c r="W157" i="1"/>
  <c r="W212" i="1"/>
  <c r="W226" i="1"/>
  <c r="W234" i="1"/>
  <c r="AI132" i="1"/>
  <c r="U132" i="1"/>
  <c r="S132" i="1" s="1"/>
  <c r="W174" i="1"/>
  <c r="W220" i="1"/>
  <c r="T34" i="3"/>
  <c r="AD34" i="3"/>
  <c r="AE34" i="3"/>
  <c r="AC34" i="3"/>
  <c r="Y34" i="3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43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41" i="3" s="1"/>
  <c r="G43" i="4"/>
  <c r="G44" i="4"/>
  <c r="G45" i="4"/>
  <c r="G46" i="4"/>
  <c r="G47" i="4"/>
  <c r="N7" i="3" s="1"/>
  <c r="G48" i="4"/>
  <c r="N51" i="3" s="1"/>
  <c r="G49" i="4"/>
  <c r="G50" i="4"/>
  <c r="G51" i="4"/>
  <c r="N24" i="3" s="1"/>
  <c r="G52" i="4"/>
  <c r="G53" i="4"/>
  <c r="N44" i="3" s="1"/>
  <c r="G54" i="4"/>
  <c r="G55" i="4"/>
  <c r="G56" i="4"/>
  <c r="G57" i="4"/>
  <c r="N35" i="3" s="1"/>
  <c r="G58" i="4"/>
  <c r="G59" i="4"/>
  <c r="G60" i="4"/>
  <c r="G61" i="4"/>
  <c r="G62" i="4"/>
  <c r="G63" i="4"/>
  <c r="G64" i="4"/>
  <c r="N36" i="3" s="1"/>
  <c r="G65" i="4"/>
  <c r="G66" i="4"/>
  <c r="G67" i="4"/>
  <c r="G68" i="4"/>
  <c r="N52" i="3" s="1"/>
  <c r="G69" i="4"/>
  <c r="G70" i="4"/>
  <c r="G71" i="4"/>
  <c r="G72" i="4"/>
  <c r="G73" i="4"/>
  <c r="N45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8" i="3" s="1"/>
  <c r="G90" i="4"/>
  <c r="G91" i="4"/>
  <c r="N57" i="3" s="1"/>
  <c r="G92" i="4"/>
  <c r="G93" i="4"/>
  <c r="G94" i="4"/>
  <c r="G95" i="4"/>
  <c r="G96" i="4"/>
  <c r="N12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0" i="3" s="1"/>
  <c r="G122" i="4"/>
  <c r="G123" i="4"/>
  <c r="G124" i="4"/>
  <c r="G125" i="4"/>
  <c r="N14" i="3" s="1"/>
  <c r="G126" i="4"/>
  <c r="G127" i="4"/>
  <c r="G128" i="4"/>
  <c r="G129" i="4"/>
  <c r="G130" i="4"/>
  <c r="G131" i="4"/>
  <c r="G132" i="4"/>
  <c r="N23" i="3" s="1"/>
  <c r="G133" i="4"/>
  <c r="G134" i="4"/>
  <c r="G135" i="4"/>
  <c r="N37" i="3" s="1"/>
  <c r="G136" i="4"/>
  <c r="G137" i="4"/>
  <c r="G138" i="4"/>
  <c r="N15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N22" i="3" s="1"/>
  <c r="G158" i="4"/>
  <c r="N30" i="3" s="1"/>
  <c r="G159" i="4"/>
  <c r="G160" i="4"/>
  <c r="N38" i="3" s="1"/>
  <c r="G161" i="4"/>
  <c r="G162" i="4"/>
  <c r="G163" i="4"/>
  <c r="N56" i="3" s="1"/>
  <c r="G164" i="4"/>
  <c r="N31" i="3" s="1"/>
  <c r="G165" i="4"/>
  <c r="G166" i="4"/>
  <c r="G167" i="4"/>
  <c r="N39" i="3" s="1"/>
  <c r="G168" i="4"/>
  <c r="N53" i="3" s="1"/>
  <c r="G169" i="4"/>
  <c r="G170" i="4"/>
  <c r="N25" i="3" s="1"/>
  <c r="G171" i="4"/>
  <c r="G172" i="4"/>
  <c r="G173" i="4"/>
  <c r="G174" i="4"/>
  <c r="G175" i="4"/>
  <c r="G176" i="4"/>
  <c r="N32" i="3" s="1"/>
  <c r="G177" i="4"/>
  <c r="G178" i="4"/>
  <c r="G179" i="4"/>
  <c r="G180" i="4"/>
  <c r="G181" i="4"/>
  <c r="G182" i="4"/>
  <c r="G183" i="4"/>
  <c r="G184" i="4"/>
  <c r="G185" i="4"/>
  <c r="N48" i="3" s="1"/>
  <c r="G186" i="4"/>
  <c r="G187" i="4"/>
  <c r="G188" i="4"/>
  <c r="G189" i="4"/>
  <c r="G190" i="4"/>
  <c r="G191" i="4"/>
  <c r="G192" i="4"/>
  <c r="G193" i="4"/>
  <c r="N58" i="3" s="1"/>
  <c r="G194" i="4"/>
  <c r="G195" i="4"/>
  <c r="G196" i="4"/>
  <c r="G197" i="4"/>
  <c r="G198" i="4"/>
  <c r="G199" i="4"/>
  <c r="G200" i="4"/>
  <c r="N49" i="3" s="1"/>
  <c r="G201" i="4"/>
  <c r="N40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9" i="3" s="1"/>
  <c r="G215" i="4"/>
  <c r="G216" i="4"/>
  <c r="G217" i="4"/>
  <c r="G218" i="4"/>
  <c r="G219" i="4"/>
  <c r="G220" i="4"/>
  <c r="G221" i="4"/>
  <c r="G222" i="4"/>
  <c r="G223" i="4"/>
  <c r="G224" i="4"/>
  <c r="G225" i="4"/>
  <c r="N42" i="3" s="1"/>
  <c r="G226" i="4"/>
  <c r="G227" i="4"/>
  <c r="G228" i="4"/>
  <c r="G229" i="4"/>
  <c r="G230" i="4"/>
  <c r="N16" i="3" s="1"/>
  <c r="G231" i="4"/>
  <c r="G232" i="4"/>
  <c r="G233" i="4"/>
  <c r="G234" i="4"/>
  <c r="N50" i="3" s="1"/>
  <c r="G235" i="4"/>
  <c r="G236" i="4"/>
  <c r="G237" i="4"/>
  <c r="G238" i="4"/>
  <c r="G239" i="4"/>
  <c r="G240" i="4"/>
  <c r="G241" i="4"/>
  <c r="G242" i="4"/>
  <c r="N33" i="3" s="1"/>
  <c r="G243" i="4"/>
  <c r="G244" i="4"/>
  <c r="G245" i="4"/>
  <c r="G246" i="4"/>
  <c r="G247" i="4"/>
  <c r="N13" i="3" s="1"/>
  <c r="G248" i="4"/>
  <c r="G249" i="4"/>
  <c r="G250" i="4"/>
  <c r="G251" i="4"/>
  <c r="N54" i="3" s="1"/>
  <c r="G252" i="4"/>
  <c r="G253" i="4"/>
  <c r="G254" i="4"/>
  <c r="G255" i="4"/>
  <c r="G256" i="4"/>
  <c r="G257" i="4"/>
  <c r="G258" i="4"/>
  <c r="G2" i="4"/>
  <c r="N18" i="3" l="1"/>
  <c r="N9" i="3"/>
  <c r="N28" i="3"/>
  <c r="N29" i="3"/>
  <c r="N59" i="3"/>
  <c r="N55" i="3"/>
  <c r="N27" i="3"/>
  <c r="N21" i="3"/>
  <c r="N26" i="3"/>
  <c r="N11" i="3"/>
  <c r="N46" i="3"/>
  <c r="N47" i="3"/>
  <c r="N20" i="3"/>
  <c r="N17" i="3"/>
  <c r="N3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J4" i="6"/>
  <c r="H4" i="6"/>
  <c r="B5" i="6"/>
  <c r="I5" i="6" l="1"/>
  <c r="F5" i="6"/>
  <c r="J5" i="6"/>
  <c r="H5" i="6"/>
  <c r="G5" i="6"/>
  <c r="B6" i="6"/>
  <c r="I6" i="6" l="1"/>
  <c r="F6" i="6"/>
  <c r="H6" i="6"/>
  <c r="G6" i="6"/>
  <c r="J6" i="6"/>
  <c r="B7" i="6"/>
  <c r="I7" i="6" l="1"/>
  <c r="F7" i="6"/>
  <c r="B8" i="6"/>
  <c r="G7" i="6"/>
  <c r="H7" i="6"/>
  <c r="J7" i="6"/>
  <c r="I8" i="6" l="1"/>
  <c r="F8" i="6"/>
  <c r="J8" i="6"/>
  <c r="H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/>
  <c r="I11" i="6" l="1"/>
  <c r="F11" i="6"/>
  <c r="H11" i="6"/>
  <c r="J11" i="6"/>
  <c r="G11" i="6"/>
  <c r="B12" i="6"/>
  <c r="I12" i="6" l="1"/>
  <c r="F12" i="6"/>
  <c r="G12" i="6"/>
  <c r="H12" i="6"/>
  <c r="J12" i="6"/>
  <c r="B13" i="6"/>
  <c r="I13" i="6" l="1"/>
  <c r="F13" i="6"/>
  <c r="B14" i="6"/>
  <c r="J13" i="6"/>
  <c r="G13" i="6"/>
  <c r="H13" i="6"/>
  <c r="I14" i="6" l="1"/>
  <c r="F14" i="6"/>
  <c r="B15" i="6"/>
  <c r="J14" i="6"/>
  <c r="G14" i="6"/>
  <c r="H14" i="6"/>
  <c r="I15" i="6" l="1"/>
  <c r="F15" i="6"/>
  <c r="H15" i="6"/>
  <c r="J15" i="6"/>
  <c r="G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/>
  <c r="I18" i="6" l="1"/>
  <c r="F18" i="6"/>
  <c r="J18" i="6"/>
  <c r="G18" i="6"/>
  <c r="H18" i="6"/>
  <c r="B19" i="6"/>
  <c r="I19" i="6" l="1"/>
  <c r="F19" i="6"/>
  <c r="G19" i="6"/>
  <c r="H19" i="6"/>
  <c r="J19" i="6"/>
  <c r="B20" i="6"/>
  <c r="I20" i="6" l="1"/>
  <c r="F20" i="6"/>
  <c r="B21" i="6"/>
  <c r="J20" i="6"/>
  <c r="H20" i="6"/>
  <c r="G20" i="6"/>
  <c r="I21" i="6" l="1"/>
  <c r="F21" i="6"/>
  <c r="J21" i="6"/>
  <c r="G21" i="6"/>
  <c r="H21" i="6"/>
  <c r="B22" i="6"/>
  <c r="I22" i="6" l="1"/>
  <c r="F22" i="6"/>
  <c r="B23" i="6"/>
  <c r="G22" i="6"/>
  <c r="J22" i="6"/>
  <c r="H22" i="6"/>
  <c r="I23" i="6" l="1"/>
  <c r="F23" i="6"/>
  <c r="G23" i="6"/>
  <c r="J23" i="6"/>
  <c r="H23" i="6"/>
  <c r="B24" i="6"/>
  <c r="I24" i="6" l="1"/>
  <c r="F24" i="6"/>
  <c r="B25" i="6"/>
  <c r="G24" i="6"/>
  <c r="J24" i="6"/>
  <c r="H24" i="6"/>
  <c r="I25" i="6" l="1"/>
  <c r="F25" i="6"/>
  <c r="G25" i="6"/>
  <c r="H25" i="6"/>
  <c r="J25" i="6"/>
  <c r="B26" i="6"/>
  <c r="I26" i="6" l="1"/>
  <c r="F26" i="6"/>
  <c r="B27" i="6"/>
  <c r="G26" i="6"/>
  <c r="H26" i="6"/>
  <c r="J26" i="6"/>
  <c r="I27" i="6" l="1"/>
  <c r="F27" i="6"/>
  <c r="G27" i="6"/>
  <c r="H27" i="6"/>
  <c r="J27" i="6"/>
  <c r="B28" i="6"/>
  <c r="I28" i="6" l="1"/>
  <c r="F28" i="6"/>
  <c r="G28" i="6"/>
  <c r="H28" i="6"/>
  <c r="J28" i="6"/>
  <c r="B29" i="6"/>
  <c r="I29" i="6" l="1"/>
  <c r="F29" i="6"/>
  <c r="B30" i="6"/>
  <c r="J29" i="6"/>
  <c r="G29" i="6"/>
  <c r="H29" i="6"/>
  <c r="I30" i="6" l="1"/>
  <c r="F30" i="6"/>
  <c r="B31" i="6"/>
  <c r="J30" i="6"/>
  <c r="G30" i="6"/>
  <c r="H30" i="6"/>
  <c r="I31" i="6" l="1"/>
  <c r="F31" i="6"/>
  <c r="H31" i="6"/>
  <c r="G31" i="6"/>
  <c r="J31" i="6"/>
  <c r="B32" i="6"/>
  <c r="I32" i="6" l="1"/>
  <c r="F32" i="6"/>
  <c r="B33" i="6"/>
  <c r="G32" i="6"/>
  <c r="J32" i="6"/>
  <c r="H32" i="6"/>
  <c r="I33" i="6" l="1"/>
  <c r="F33" i="6"/>
  <c r="B34" i="6"/>
  <c r="J33" i="6"/>
  <c r="G33" i="6"/>
  <c r="H33" i="6"/>
  <c r="I34" i="6" l="1"/>
  <c r="F34" i="6"/>
  <c r="J34" i="6"/>
  <c r="G34" i="6"/>
  <c r="H34" i="6"/>
  <c r="B35" i="6"/>
  <c r="I35" i="6" l="1"/>
  <c r="F35" i="6"/>
  <c r="H35" i="6"/>
  <c r="J35" i="6"/>
  <c r="G35" i="6"/>
  <c r="B36" i="6"/>
  <c r="I36" i="6" l="1"/>
  <c r="F36" i="6"/>
  <c r="B37" i="6"/>
  <c r="J36" i="6"/>
  <c r="H36" i="6"/>
  <c r="G36" i="6"/>
  <c r="I37" i="6" l="1"/>
  <c r="F37" i="6"/>
  <c r="J37" i="6"/>
  <c r="G37" i="6"/>
  <c r="H37" i="6"/>
  <c r="B38" i="6"/>
  <c r="I38" i="6" l="1"/>
  <c r="F38" i="6"/>
  <c r="G38" i="6"/>
  <c r="H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H42" i="6"/>
  <c r="G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B47" i="6"/>
  <c r="J46" i="6"/>
  <c r="G46" i="6"/>
  <c r="H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J49" i="6"/>
  <c r="G49" i="6"/>
  <c r="H49" i="6"/>
  <c r="B50" i="6"/>
  <c r="I50" i="6" l="1"/>
  <c r="F50" i="6"/>
  <c r="B51" i="6"/>
  <c r="G50" i="6"/>
  <c r="H50" i="6"/>
  <c r="J50" i="6"/>
  <c r="I51" i="6" l="1"/>
  <c r="F51" i="6"/>
  <c r="G51" i="6"/>
  <c r="H51" i="6"/>
  <c r="J51" i="6"/>
  <c r="B52" i="6"/>
  <c r="I52" i="6" l="1"/>
  <c r="F52" i="6"/>
  <c r="B53" i="6"/>
  <c r="J52" i="6"/>
  <c r="G52" i="6"/>
  <c r="H52" i="6"/>
  <c r="I53" i="6" l="1"/>
  <c r="F53" i="6"/>
  <c r="H53" i="6"/>
  <c r="G53" i="6"/>
  <c r="J53" i="6"/>
  <c r="B54" i="6"/>
  <c r="I54" i="6" l="1"/>
  <c r="F54" i="6"/>
  <c r="B55" i="6"/>
  <c r="H54" i="6"/>
  <c r="G54" i="6"/>
  <c r="J54" i="6"/>
  <c r="I55" i="6" l="1"/>
  <c r="F55" i="6"/>
  <c r="B56" i="6"/>
  <c r="J55" i="6"/>
  <c r="H55" i="6"/>
  <c r="G55" i="6"/>
  <c r="I56" i="6" l="1"/>
  <c r="F56" i="6"/>
  <c r="J56" i="6"/>
  <c r="H56" i="6"/>
  <c r="G56" i="6"/>
  <c r="B57" i="6"/>
  <c r="I57" i="6" l="1"/>
  <c r="F57" i="6"/>
  <c r="J57" i="6"/>
  <c r="H57" i="6"/>
  <c r="G57" i="6"/>
  <c r="B58" i="6"/>
  <c r="I58" i="6" l="1"/>
  <c r="F58" i="6"/>
  <c r="B59" i="6"/>
  <c r="J58" i="6"/>
  <c r="G58" i="6"/>
  <c r="H58" i="6"/>
  <c r="I59" i="6" l="1"/>
  <c r="F59" i="6"/>
  <c r="B60" i="6"/>
  <c r="G59" i="6"/>
  <c r="H59" i="6"/>
  <c r="J59" i="6"/>
  <c r="I60" i="6" l="1"/>
  <c r="F60" i="6"/>
  <c r="B61" i="6"/>
  <c r="J60" i="6"/>
  <c r="H60" i="6"/>
  <c r="G60" i="6"/>
  <c r="I61" i="6" l="1"/>
  <c r="F61" i="6"/>
  <c r="B62" i="6"/>
  <c r="H61" i="6"/>
  <c r="J61" i="6"/>
  <c r="G61" i="6"/>
  <c r="I62" i="6" l="1"/>
  <c r="F62" i="6"/>
  <c r="G62" i="6"/>
  <c r="H62" i="6"/>
  <c r="J62" i="6"/>
  <c r="B63" i="6"/>
  <c r="I63" i="6" l="1"/>
  <c r="F63" i="6"/>
  <c r="B64" i="6"/>
  <c r="G63" i="6"/>
  <c r="J63" i="6"/>
  <c r="H63" i="6"/>
  <c r="I64" i="6" l="1"/>
  <c r="F64" i="6"/>
  <c r="H64" i="6"/>
  <c r="J64" i="6"/>
  <c r="G64" i="6"/>
  <c r="B65" i="6"/>
  <c r="I65" i="6" l="1"/>
  <c r="F65" i="6"/>
  <c r="H65" i="6"/>
  <c r="G65" i="6"/>
  <c r="J65" i="6"/>
  <c r="B66" i="6"/>
  <c r="I66" i="6" l="1"/>
  <c r="F66" i="6"/>
  <c r="H66" i="6"/>
  <c r="G66" i="6"/>
  <c r="J66" i="6"/>
  <c r="B67" i="6"/>
  <c r="I67" i="6" l="1"/>
  <c r="F67" i="6"/>
  <c r="H67" i="6"/>
  <c r="J67" i="6"/>
  <c r="G67" i="6"/>
  <c r="B68" i="6"/>
  <c r="I68" i="6" l="1"/>
  <c r="F68" i="6"/>
  <c r="J68" i="6"/>
  <c r="G68" i="6"/>
  <c r="H68" i="6"/>
  <c r="B69" i="6"/>
  <c r="I69" i="6" l="1"/>
  <c r="F69" i="6"/>
  <c r="J69" i="6"/>
  <c r="H69" i="6"/>
  <c r="G69" i="6"/>
  <c r="B70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J72" i="6"/>
  <c r="H72" i="6"/>
  <c r="G72" i="6"/>
  <c r="B73" i="6"/>
  <c r="I73" i="6" l="1"/>
  <c r="F73" i="6"/>
  <c r="B74" i="6"/>
  <c r="J73" i="6"/>
  <c r="G73" i="6"/>
  <c r="H73" i="6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B77" i="6"/>
  <c r="J76" i="6"/>
  <c r="H76" i="6"/>
  <c r="G76" i="6"/>
  <c r="I77" i="6" l="1"/>
  <c r="F77" i="6"/>
  <c r="G77" i="6"/>
  <c r="H77" i="6"/>
  <c r="J77" i="6"/>
  <c r="B78" i="6"/>
  <c r="I78" i="6" l="1"/>
  <c r="F78" i="6"/>
  <c r="B79" i="6"/>
  <c r="J78" i="6"/>
  <c r="G78" i="6"/>
  <c r="H78" i="6"/>
  <c r="I79" i="6" l="1"/>
  <c r="F79" i="6"/>
  <c r="G79" i="6"/>
  <c r="H79" i="6"/>
  <c r="J79" i="6"/>
  <c r="B80" i="6"/>
  <c r="I80" i="6" l="1"/>
  <c r="F80" i="6"/>
  <c r="H80" i="6"/>
  <c r="G80" i="6"/>
  <c r="J80" i="6"/>
  <c r="B81" i="6"/>
  <c r="I81" i="6" l="1"/>
  <c r="F81" i="6"/>
  <c r="J81" i="6"/>
  <c r="H81" i="6"/>
  <c r="G81" i="6"/>
  <c r="B82" i="6"/>
  <c r="I82" i="6" l="1"/>
  <c r="F82" i="6"/>
  <c r="H82" i="6"/>
  <c r="G82" i="6"/>
  <c r="J82" i="6"/>
  <c r="B83" i="6"/>
  <c r="I83" i="6" l="1"/>
  <c r="F83" i="6"/>
  <c r="H83" i="6"/>
  <c r="G83" i="6"/>
  <c r="J83" i="6"/>
  <c r="B84" i="6"/>
  <c r="I84" i="6" l="1"/>
  <c r="F84" i="6"/>
  <c r="J84" i="6"/>
  <c r="G84" i="6"/>
  <c r="H84" i="6"/>
  <c r="B85" i="6"/>
  <c r="I85" i="6" l="1"/>
  <c r="F85" i="6"/>
  <c r="G85" i="6"/>
  <c r="H85" i="6"/>
  <c r="J85" i="6"/>
  <c r="B86" i="6"/>
  <c r="I86" i="6" l="1"/>
  <c r="F86" i="6"/>
  <c r="B87" i="6"/>
  <c r="H86" i="6"/>
  <c r="G86" i="6"/>
  <c r="J86" i="6"/>
  <c r="I87" i="6" l="1"/>
  <c r="F87" i="6"/>
  <c r="B88" i="6"/>
  <c r="J87" i="6"/>
  <c r="G87" i="6"/>
  <c r="H87" i="6"/>
  <c r="I88" i="6" l="1"/>
  <c r="F88" i="6"/>
  <c r="H88" i="6"/>
  <c r="G88" i="6"/>
  <c r="J88" i="6"/>
  <c r="B89" i="6"/>
  <c r="I89" i="6" l="1"/>
  <c r="F89" i="6"/>
  <c r="H89" i="6"/>
  <c r="J89" i="6"/>
  <c r="G89" i="6"/>
  <c r="B90" i="6"/>
  <c r="I90" i="6" l="1"/>
  <c r="F90" i="6"/>
  <c r="G90" i="6"/>
  <c r="J90" i="6"/>
  <c r="H90" i="6"/>
  <c r="B91" i="6"/>
  <c r="I91" i="6" l="1"/>
  <c r="F91" i="6"/>
  <c r="B92" i="6"/>
  <c r="H91" i="6"/>
  <c r="J91" i="6"/>
  <c r="G91" i="6"/>
  <c r="I92" i="6" l="1"/>
  <c r="F92" i="6"/>
  <c r="B93" i="6"/>
  <c r="J92" i="6"/>
  <c r="H92" i="6"/>
  <c r="G92" i="6"/>
  <c r="I93" i="6" l="1"/>
  <c r="F93" i="6"/>
  <c r="B95" i="6"/>
  <c r="B94" i="6"/>
  <c r="G93" i="6"/>
  <c r="H93" i="6"/>
  <c r="J93" i="6"/>
  <c r="I94" i="6" l="1"/>
  <c r="F94" i="6"/>
  <c r="I95" i="6"/>
  <c r="F95" i="6"/>
  <c r="G94" i="6"/>
  <c r="H94" i="6"/>
  <c r="J94" i="6"/>
  <c r="J95" i="6"/>
  <c r="G95" i="6"/>
  <c r="H9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<sst xmlns="http://schemas.openxmlformats.org/spreadsheetml/2006/main" count="2968" uniqueCount="1035">
  <si>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</si>
  <si>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</si>
  <si>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</si>
  <si>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</si>
  <si>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</si>
  <si>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</si>
  <si>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</si>
  <si>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</si>
  <si>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</si>
  <si>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</si>
  <si>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</si>
  <si>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</si>
  <si>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</si>
  <si>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</si>
  <si>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</si>
  <si>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</si>
  <si>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</si>
  <si>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</si>
  <si>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</si>
  <si>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</si>
  <si>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</si>
  <si>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</si>
  <si>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</si>
  <si>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</si>
  <si>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</si>
  <si>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</si>
  <si>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</si>
  <si>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</si>
  <si>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</si>
  <si>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</si>
  <si>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</si>
  <si>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</si>
  <si>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</si>
  <si>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</si>
  <si>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</si>
  <si>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</si>
  <si>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</si>
  <si>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</si>
  <si>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</si>
  <si>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</si>
  <si>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</si>
  <si>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</si>
  <si>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</si>
  <si>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</si>
  <si>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</si>
  <si>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</si>
  <si>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</si>
  <si>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</si>
  <si>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</si>
  <si>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</si>
  <si>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</si>
  <si>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</si>
  <si>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</si>
  <si>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</si>
  <si>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</si>
  <si>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</si>
  <si>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</si>
  <si>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</si>
  <si>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</si>
  <si>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</si>
  <si>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</si>
  <si>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</si>
  <si>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</si>
  <si>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</si>
  <si>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</si>
  <si>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</si>
  <si>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</si>
  <si>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</si>
  <si>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</si>
  <si>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</si>
  <si>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</si>
  <si>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</si>
  <si>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</si>
  <si>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</si>
  <si>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</si>
  <si>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</si>
  <si>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</si>
  <si>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</si>
  <si>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</si>
  <si>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</si>
  <si>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</si>
  <si>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</si>
  <si>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</si>
  <si>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</si>
  <si>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</si>
  <si>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</si>
  <si>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</si>
  <si>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</si>
  <si>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</si>
  <si>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</si>
  <si>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</si>
  <si>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</si>
  <si>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</si>
  <si>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</si>
  <si>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</si>
  <si>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</si>
  <si>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</si>
  <si>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</si>
  <si>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</si>
  <si>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</si>
  <si>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</si>
  <si>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</si>
  <si>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</si>
  <si>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</si>
  <si>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</si>
  <si>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</si>
  <si>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</si>
  <si>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</si>
  <si>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</si>
  <si>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</si>
  <si>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</si>
  <si>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</si>
  <si>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</si>
  <si>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</si>
  <si>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</si>
  <si>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</si>
  <si>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</si>
  <si>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</si>
  <si>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</si>
  <si>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</si>
  <si>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</si>
  <si>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</si>
  <si>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</si>
  <si>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</si>
  <si>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</si>
  <si>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</si>
  <si>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</si>
  <si>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</si>
  <si>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</si>
  <si>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</si>
  <si>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</si>
  <si>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</si>
  <si>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</si>
  <si>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</si>
  <si>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</si>
  <si>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</si>
  <si>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</si>
  <si>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</si>
  <si>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</si>
  <si>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</si>
  <si>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</si>
  <si>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</si>
  <si>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</si>
  <si>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</si>
  <si>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</si>
  <si>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</si>
  <si>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</si>
  <si>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</si>
  <si>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</si>
  <si>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</si>
  <si>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</si>
  <si>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</si>
  <si>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</si>
  <si>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</si>
  <si>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</si>
  <si>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</si>
  <si>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</si>
  <si>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</si>
  <si>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</si>
  <si>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</si>
  <si>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</si>
  <si>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</si>
  <si>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</si>
  <si>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</si>
  <si>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</si>
  <si>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</si>
  <si>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</si>
  <si>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</si>
  <si>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</si>
  <si>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</si>
  <si>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</si>
  <si>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</si>
  <si>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</si>
  <si>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</si>
  <si>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</si>
  <si>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</si>
  <si>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</si>
  <si>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</si>
  <si>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</si>
  <si>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</si>
  <si>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</si>
  <si>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</si>
  <si>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</si>
  <si>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</si>
  <si>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</si>
  <si>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</si>
  <si>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</si>
  <si>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</si>
  <si>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</si>
  <si>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</si>
  <si>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</si>
  <si>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</si>
  <si>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</si>
  <si>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</si>
  <si>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</si>
  <si>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</si>
  <si>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</si>
  <si>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</si>
  <si>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</si>
  <si>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</si>
  <si>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</si>
  <si>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</si>
  <si>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</si>
  <si>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</si>
  <si>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</si>
  <si>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</si>
  <si>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</si>
  <si>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</si>
  <si>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</si>
  <si>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</si>
  <si>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</si>
  <si>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</si>
  <si>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</si>
  <si>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</si>
  <si>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</si>
  <si>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</si>
  <si>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</si>
  <si>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204:455</t>
  </si>
  <si>
    <t>204:139</t>
  </si>
  <si>
    <t>204:141</t>
  </si>
  <si>
    <t>204:440</t>
  </si>
  <si>
    <t>rtdc.l.rtdc.4012:itc</t>
  </si>
  <si>
    <t>204:156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</si>
  <si>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</si>
  <si>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</si>
  <si>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</si>
  <si>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</si>
  <si>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</si>
  <si>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</si>
  <si>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</si>
  <si>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</si>
  <si>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</si>
  <si>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204:233314</t>
  </si>
  <si>
    <t>204:233297</t>
  </si>
  <si>
    <t>204:233289</t>
  </si>
  <si>
    <t>204:233299</t>
  </si>
  <si>
    <t>204:233312</t>
  </si>
  <si>
    <t>204:467</t>
  </si>
  <si>
    <t>204:233000</t>
  </si>
  <si>
    <t>204:442</t>
  </si>
  <si>
    <t>204:161</t>
  </si>
  <si>
    <t>204:233295</t>
  </si>
  <si>
    <t>204:232971</t>
  </si>
  <si>
    <t>rtdc.l.rtdc.4020:itc</t>
  </si>
  <si>
    <t>MOSES</t>
  </si>
  <si>
    <t>BRADLEY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</si>
  <si>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</si>
  <si>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</si>
  <si>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</si>
  <si>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</si>
  <si>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</si>
  <si>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</si>
  <si>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</si>
  <si>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</si>
  <si>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</si>
  <si>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</si>
  <si>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</si>
  <si>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</si>
  <si>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</si>
  <si>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</si>
  <si>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</si>
  <si>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</si>
  <si>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</si>
  <si>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</si>
  <si>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</si>
  <si>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</si>
  <si>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</si>
  <si>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</si>
  <si>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</si>
  <si>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</si>
  <si>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</si>
  <si>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</si>
  <si>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</si>
  <si>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</si>
  <si>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</si>
  <si>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</si>
  <si>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</si>
  <si>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</si>
  <si>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</si>
  <si>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</si>
  <si>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</si>
  <si>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</si>
  <si>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</si>
  <si>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</si>
  <si>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</si>
  <si>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</si>
  <si>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</si>
  <si>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</si>
  <si>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</si>
  <si>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</si>
  <si>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</si>
  <si>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</si>
  <si>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</si>
  <si>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</si>
  <si>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</si>
  <si>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</si>
  <si>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</si>
  <si>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</si>
  <si>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</si>
  <si>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</si>
  <si>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</si>
  <si>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</si>
  <si>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</si>
  <si>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</si>
  <si>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</si>
  <si>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</si>
  <si>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</si>
  <si>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</si>
  <si>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</si>
  <si>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</si>
  <si>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</si>
  <si>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</si>
  <si>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</si>
  <si>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</si>
  <si>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</si>
  <si>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</si>
  <si>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</si>
  <si>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</si>
  <si>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</si>
  <si>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</si>
  <si>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</si>
  <si>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</si>
  <si>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</si>
  <si>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</si>
  <si>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</si>
  <si>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</si>
  <si>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</si>
  <si>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</si>
  <si>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</si>
  <si>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</si>
  <si>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</si>
  <si>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</si>
  <si>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</si>
  <si>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</si>
  <si>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</si>
  <si>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</si>
  <si>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</si>
  <si>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</si>
  <si>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</si>
  <si>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</si>
  <si>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</si>
  <si>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</si>
  <si>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</si>
  <si>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</si>
  <si>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</si>
  <si>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</si>
  <si>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</si>
  <si>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</si>
  <si>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</si>
  <si>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</si>
  <si>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</si>
  <si>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</si>
  <si>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</si>
  <si>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</si>
  <si>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</si>
  <si>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</si>
  <si>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</si>
  <si>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</si>
  <si>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</si>
  <si>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</si>
  <si>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</si>
  <si>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</si>
  <si>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</si>
  <si>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</si>
  <si>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</si>
  <si>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</si>
  <si>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</si>
  <si>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</si>
  <si>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</si>
  <si>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</si>
  <si>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</si>
  <si>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</si>
  <si>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</si>
  <si>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</si>
  <si>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</si>
  <si>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</si>
  <si>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</si>
  <si>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</si>
  <si>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</si>
  <si>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</si>
  <si>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</si>
  <si>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rtdc.l.rtdc.4029:itc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</si>
  <si>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</si>
  <si>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</si>
  <si>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</si>
  <si>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</si>
  <si>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</si>
  <si>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</si>
  <si>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204:232989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</si>
  <si>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</si>
  <si>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</si>
  <si>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</si>
  <si>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</si>
  <si>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</si>
  <si>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</si>
  <si>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</si>
  <si>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</si>
  <si>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</si>
  <si>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</si>
  <si>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</si>
  <si>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</si>
  <si>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</si>
  <si>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</si>
  <si>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</si>
  <si>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</si>
  <si>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</si>
  <si>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</si>
  <si>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</si>
  <si>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</si>
  <si>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</si>
  <si>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</si>
  <si>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</si>
  <si>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</si>
  <si>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</si>
  <si>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</si>
  <si>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</si>
  <si>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</si>
  <si>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</si>
  <si>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</si>
  <si>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</si>
  <si>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</si>
  <si>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</si>
  <si>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</si>
  <si>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</si>
  <si>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</si>
  <si>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</si>
  <si>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</si>
  <si>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</si>
  <si>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</si>
  <si>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</si>
  <si>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</si>
  <si>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204:232996</t>
  </si>
  <si>
    <t>204:232984</t>
  </si>
  <si>
    <t>204:233293</t>
  </si>
  <si>
    <t>204:165</t>
  </si>
  <si>
    <t>204:438</t>
  </si>
  <si>
    <t>204:232985</t>
  </si>
  <si>
    <t>204:233323</t>
  </si>
  <si>
    <t>204:480</t>
  </si>
  <si>
    <t>204:232983</t>
  </si>
  <si>
    <t>204:233278</t>
  </si>
  <si>
    <t>204:462</t>
  </si>
  <si>
    <t>300:23346</t>
  </si>
  <si>
    <t>300:58929</t>
  </si>
  <si>
    <t>204:138</t>
  </si>
  <si>
    <t>rtdc.l.rtdc.4053:itc</t>
  </si>
  <si>
    <t>rtdc.l.rtdc.4054:itc</t>
  </si>
  <si>
    <t>rtdc.l.rtdc.4028:itc</t>
  </si>
  <si>
    <t>rtdc.l.rtdc.4025:itc</t>
  </si>
  <si>
    <t>SWITCH UNKNOWN</t>
  </si>
  <si>
    <t>Track device (7)</t>
  </si>
  <si>
    <t>SANTIZO</t>
  </si>
  <si>
    <t>D. EDY</t>
  </si>
  <si>
    <t>rtdc.l.rtdc.4027:itc</t>
  </si>
  <si>
    <t>DAVIS</t>
  </si>
  <si>
    <t>MAELZER</t>
  </si>
  <si>
    <t>KURT</t>
  </si>
  <si>
    <t>LEVIN</t>
  </si>
  <si>
    <t>SCOTT</t>
  </si>
  <si>
    <t>STAMBAUGH</t>
  </si>
  <si>
    <t>204:232998</t>
  </si>
  <si>
    <t>204:232975</t>
  </si>
  <si>
    <t>204:232977</t>
  </si>
  <si>
    <t>204:132</t>
  </si>
  <si>
    <t>204:992</t>
  </si>
  <si>
    <t>300:58939</t>
  </si>
  <si>
    <t>300:58623</t>
  </si>
  <si>
    <t>204:232987</t>
  </si>
  <si>
    <t>Onboard in-route failure</t>
  </si>
  <si>
    <t>rtdc.l.rtdc.4010:itc</t>
  </si>
  <si>
    <t>BONDS</t>
  </si>
  <si>
    <t>REYNALDO</t>
  </si>
  <si>
    <t>ROCHA</t>
  </si>
  <si>
    <t>YAOTL</t>
  </si>
  <si>
    <t>YANAI</t>
  </si>
  <si>
    <t>IAN</t>
  </si>
  <si>
    <t>CLARK</t>
  </si>
  <si>
    <t>KATHLEEN</t>
  </si>
  <si>
    <t>LEVERE</t>
  </si>
  <si>
    <t>CRAIG</t>
  </si>
  <si>
    <t>204:232965</t>
  </si>
  <si>
    <t>204:233291</t>
  </si>
  <si>
    <t>204:471</t>
  </si>
  <si>
    <t>204:233288</t>
  </si>
  <si>
    <t>204:233319</t>
  </si>
  <si>
    <t>204:482</t>
  </si>
  <si>
    <t>204:433</t>
  </si>
  <si>
    <t>204:233300</t>
  </si>
  <si>
    <t>204:232968</t>
  </si>
  <si>
    <t>204:232955</t>
  </si>
  <si>
    <t>300:23304</t>
  </si>
  <si>
    <t>204:687</t>
  </si>
  <si>
    <t>204:964</t>
  </si>
  <si>
    <t>300:58933</t>
  </si>
  <si>
    <t>204:958</t>
  </si>
  <si>
    <t>rtdc.l.rtdc.4032:itc</t>
  </si>
  <si>
    <t>rtdc.l.rtdc.4031:itc</t>
  </si>
  <si>
    <t>236-14</t>
  </si>
  <si>
    <t>244-14</t>
  </si>
  <si>
    <t>rtdc.l.rtdc.4026:itc</t>
  </si>
  <si>
    <t>STARKS</t>
  </si>
  <si>
    <t>ANGELINA</t>
  </si>
  <si>
    <t>LOZA</t>
  </si>
  <si>
    <t>FIDEL</t>
  </si>
  <si>
    <t>rtdc.l.rtdc.4052:itc</t>
  </si>
  <si>
    <t>BEAM</t>
  </si>
  <si>
    <t>ROSS</t>
  </si>
  <si>
    <t>STRICKLAND</t>
  </si>
  <si>
    <t>EVAN</t>
  </si>
  <si>
    <t>LALONDE</t>
  </si>
  <si>
    <t>GREGORY</t>
  </si>
  <si>
    <t>MAYBERRY</t>
  </si>
  <si>
    <t>BILL</t>
  </si>
  <si>
    <t>81-14</t>
  </si>
  <si>
    <t>82-14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</si>
  <si>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</si>
  <si>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</si>
  <si>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</si>
  <si>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</si>
  <si>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</si>
  <si>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</si>
  <si>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</si>
  <si>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</si>
  <si>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</si>
  <si>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</si>
  <si>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</si>
  <si>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</si>
  <si>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</si>
  <si>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</si>
  <si>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</si>
  <si>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clear-day</t>
  </si>
  <si>
    <t>Clear</t>
  </si>
  <si>
    <t>clear-night</t>
  </si>
  <si>
    <t>204:233276</t>
  </si>
  <si>
    <t>204:232957</t>
  </si>
  <si>
    <t>204:233030</t>
  </si>
  <si>
    <t>204:233255</t>
  </si>
  <si>
    <t>204:145</t>
  </si>
  <si>
    <t>204:427</t>
  </si>
  <si>
    <t>204:233339</t>
  </si>
  <si>
    <t>204:233305</t>
  </si>
  <si>
    <t>204:233259</t>
  </si>
  <si>
    <t>204:163</t>
  </si>
  <si>
    <t>204:233055</t>
  </si>
  <si>
    <t>204:424</t>
  </si>
  <si>
    <t>204:232967</t>
  </si>
  <si>
    <t>204:233011</t>
  </si>
  <si>
    <t>204:232942</t>
  </si>
  <si>
    <t>204:233321</t>
  </si>
  <si>
    <t>204:167</t>
  </si>
  <si>
    <t>300:23101</t>
  </si>
  <si>
    <t>204:515</t>
  </si>
  <si>
    <t>300:23308</t>
  </si>
  <si>
    <t>204:1286</t>
  </si>
  <si>
    <t>204:1486</t>
  </si>
  <si>
    <t>300:58621</t>
  </si>
  <si>
    <t>300:58632</t>
  </si>
  <si>
    <t>204:759</t>
  </si>
  <si>
    <t>300:58950</t>
  </si>
  <si>
    <t>300:58636</t>
  </si>
  <si>
    <t>204:734</t>
  </si>
  <si>
    <t>300:58941</t>
  </si>
  <si>
    <t>300:23310</t>
  </si>
  <si>
    <t>300:58645</t>
  </si>
  <si>
    <t>300:58954</t>
  </si>
  <si>
    <t>300:58640</t>
  </si>
  <si>
    <t>300:58604</t>
  </si>
  <si>
    <t>204:986</t>
  </si>
  <si>
    <t>204:670</t>
  </si>
  <si>
    <t>204:965</t>
  </si>
  <si>
    <t>300:58617</t>
  </si>
  <si>
    <t>204:705</t>
  </si>
  <si>
    <t>204:979</t>
  </si>
  <si>
    <t>105-15</t>
  </si>
  <si>
    <t>rtdc.l.rtdc.4045:itc</t>
  </si>
  <si>
    <t>800-15</t>
  </si>
  <si>
    <t>rtdc.l.rtdc.4016:itc</t>
  </si>
  <si>
    <t>803-15</t>
  </si>
  <si>
    <t>125-15</t>
  </si>
  <si>
    <t>127-15</t>
  </si>
  <si>
    <t>rtdc.l.rtdc.4046:itc</t>
  </si>
  <si>
    <t>805-15</t>
  </si>
  <si>
    <t>806-15</t>
  </si>
  <si>
    <t>122-15</t>
  </si>
  <si>
    <t>rtdc.l.rtdc.4042:itc</t>
  </si>
  <si>
    <t>131-15</t>
  </si>
  <si>
    <t>811-15</t>
  </si>
  <si>
    <t>rtdc.l.rtdc.4015:itc</t>
  </si>
  <si>
    <t>812-15</t>
  </si>
  <si>
    <t>137-15</t>
  </si>
  <si>
    <t>153-15</t>
  </si>
  <si>
    <t>rtdc.l.rtdc.4041:itc</t>
  </si>
  <si>
    <t>146-15</t>
  </si>
  <si>
    <t>155-15</t>
  </si>
  <si>
    <t>52-15</t>
  </si>
  <si>
    <t>55-15</t>
  </si>
  <si>
    <t>154-15</t>
  </si>
  <si>
    <t>164-15</t>
  </si>
  <si>
    <t>820-15</t>
  </si>
  <si>
    <t>162-15</t>
  </si>
  <si>
    <t>168-15</t>
  </si>
  <si>
    <t>172-15</t>
  </si>
  <si>
    <t>179-15</t>
  </si>
  <si>
    <t>174-15</t>
  </si>
  <si>
    <t>184-15</t>
  </si>
  <si>
    <t>904-15</t>
  </si>
  <si>
    <t>186-15</t>
  </si>
  <si>
    <t>193-15</t>
  </si>
  <si>
    <t>192-15</t>
  </si>
  <si>
    <t>827-15</t>
  </si>
  <si>
    <t>197-15</t>
  </si>
  <si>
    <t>190-15</t>
  </si>
  <si>
    <t>203-15</t>
  </si>
  <si>
    <t>196-15</t>
  </si>
  <si>
    <t>832-15</t>
  </si>
  <si>
    <t>72-15</t>
  </si>
  <si>
    <t>836-15</t>
  </si>
  <si>
    <t>217-15</t>
  </si>
  <si>
    <t>221-15</t>
  </si>
  <si>
    <t>843-15</t>
  </si>
  <si>
    <t>226-15</t>
  </si>
  <si>
    <t>844-15</t>
  </si>
  <si>
    <t>234-15</t>
  </si>
  <si>
    <t>240-15</t>
  </si>
  <si>
    <t>309-15</t>
  </si>
  <si>
    <t>51-15</t>
  </si>
  <si>
    <t>YOUNG</t>
  </si>
  <si>
    <t>ELIZABETH</t>
  </si>
  <si>
    <t>101-15</t>
  </si>
  <si>
    <t>304-15</t>
  </si>
  <si>
    <t>50-15</t>
  </si>
  <si>
    <t>103-15</t>
  </si>
  <si>
    <t>rtdc.l.rtdc.4001:itc</t>
  </si>
  <si>
    <t>306-15</t>
  </si>
  <si>
    <t>GEBRETEKLE</t>
  </si>
  <si>
    <t>DAGNEW</t>
  </si>
  <si>
    <t>102-15</t>
  </si>
  <si>
    <t>308-15</t>
  </si>
  <si>
    <t>GUZMAN</t>
  </si>
  <si>
    <t>DANNY</t>
  </si>
  <si>
    <t>310-15</t>
  </si>
  <si>
    <t>107-15</t>
  </si>
  <si>
    <t>104-15</t>
  </si>
  <si>
    <t>109-15</t>
  </si>
  <si>
    <t>901-15</t>
  </si>
  <si>
    <t>COOLAHAN</t>
  </si>
  <si>
    <t>JOHN</t>
  </si>
  <si>
    <t>111-15</t>
  </si>
  <si>
    <t>113-15</t>
  </si>
  <si>
    <t>106-15</t>
  </si>
  <si>
    <t>108-15</t>
  </si>
  <si>
    <t>110-15</t>
  </si>
  <si>
    <t>115-15</t>
  </si>
  <si>
    <t>117-15</t>
  </si>
  <si>
    <t>801-15</t>
  </si>
  <si>
    <t>112-15</t>
  </si>
  <si>
    <t>119-15</t>
  </si>
  <si>
    <t>114-15</t>
  </si>
  <si>
    <t>802-15</t>
  </si>
  <si>
    <t>902-15</t>
  </si>
  <si>
    <t>121-15</t>
  </si>
  <si>
    <t>123-15</t>
  </si>
  <si>
    <t>116-15</t>
  </si>
  <si>
    <t>118-15</t>
  </si>
  <si>
    <t>804-15</t>
  </si>
  <si>
    <t>120-15</t>
  </si>
  <si>
    <t>124-15</t>
  </si>
  <si>
    <t>807-15</t>
  </si>
  <si>
    <t>rtdc.l.rtdc.4002:itc</t>
  </si>
  <si>
    <t>53-15</t>
  </si>
  <si>
    <t>133-15</t>
  </si>
  <si>
    <t>808-15</t>
  </si>
  <si>
    <t>126-15</t>
  </si>
  <si>
    <t>809-15</t>
  </si>
  <si>
    <t>135-15</t>
  </si>
  <si>
    <t>810-15</t>
  </si>
  <si>
    <t>130-15</t>
  </si>
  <si>
    <t>139-15</t>
  </si>
  <si>
    <t>WILLIAMS</t>
  </si>
  <si>
    <t>DONTE</t>
  </si>
  <si>
    <t>132-15</t>
  </si>
  <si>
    <t>903-15</t>
  </si>
  <si>
    <t>134-15</t>
  </si>
  <si>
    <t>136-15</t>
  </si>
  <si>
    <t>141-15</t>
  </si>
  <si>
    <t>143-15</t>
  </si>
  <si>
    <t>138-15</t>
  </si>
  <si>
    <t>813-15</t>
  </si>
  <si>
    <t>140-15</t>
  </si>
  <si>
    <t>145-15</t>
  </si>
  <si>
    <t>147-15</t>
  </si>
  <si>
    <t>149-15</t>
  </si>
  <si>
    <t>142-15</t>
  </si>
  <si>
    <t>814-15</t>
  </si>
  <si>
    <t>144-15</t>
  </si>
  <si>
    <t>151-15</t>
  </si>
  <si>
    <t>148-15</t>
  </si>
  <si>
    <t>815-15</t>
  </si>
  <si>
    <t>150-15</t>
  </si>
  <si>
    <t>816-15</t>
  </si>
  <si>
    <t>157-15</t>
  </si>
  <si>
    <t>152-15</t>
  </si>
  <si>
    <t>159-15</t>
  </si>
  <si>
    <t>161-15</t>
  </si>
  <si>
    <t>817-15</t>
  </si>
  <si>
    <t>156-15</t>
  </si>
  <si>
    <t>163-15</t>
  </si>
  <si>
    <t>158-15</t>
  </si>
  <si>
    <t>818-15</t>
  </si>
  <si>
    <t>165-15</t>
  </si>
  <si>
    <t>HELVIE</t>
  </si>
  <si>
    <t>ADAM</t>
  </si>
  <si>
    <t>160-15</t>
  </si>
  <si>
    <t>167-15</t>
  </si>
  <si>
    <t>169-15</t>
  </si>
  <si>
    <t>819-15</t>
  </si>
  <si>
    <t>171-15</t>
  </si>
  <si>
    <t>DELGADO</t>
  </si>
  <si>
    <t>DIANAH</t>
  </si>
  <si>
    <t>173-15</t>
  </si>
  <si>
    <t>166-15</t>
  </si>
  <si>
    <t>175-15</t>
  </si>
  <si>
    <t>170-15</t>
  </si>
  <si>
    <t>821-15</t>
  </si>
  <si>
    <t>BRUDER</t>
  </si>
  <si>
    <t>RICHARD</t>
  </si>
  <si>
    <t>177-15</t>
  </si>
  <si>
    <t>181-15</t>
  </si>
  <si>
    <t>822-15</t>
  </si>
  <si>
    <t>176-15</t>
  </si>
  <si>
    <t>183-15</t>
  </si>
  <si>
    <t>178-15</t>
  </si>
  <si>
    <t>185-15</t>
  </si>
  <si>
    <t>823-15</t>
  </si>
  <si>
    <t>187-15</t>
  </si>
  <si>
    <t>DE LA ROSA</t>
  </si>
  <si>
    <t>ALEX</t>
  </si>
  <si>
    <t>180-15</t>
  </si>
  <si>
    <t>189-15</t>
  </si>
  <si>
    <t>824-15</t>
  </si>
  <si>
    <t>182-15</t>
  </si>
  <si>
    <t>191-15</t>
  </si>
  <si>
    <t>825-15</t>
  </si>
  <si>
    <t>188-15</t>
  </si>
  <si>
    <t>195-15</t>
  </si>
  <si>
    <t>826-15</t>
  </si>
  <si>
    <t>199-15</t>
  </si>
  <si>
    <t>194-15</t>
  </si>
  <si>
    <t>828-15</t>
  </si>
  <si>
    <t>201-15</t>
  </si>
  <si>
    <t>829-15</t>
  </si>
  <si>
    <t>198-15</t>
  </si>
  <si>
    <t>830-15</t>
  </si>
  <si>
    <t>205-15</t>
  </si>
  <si>
    <t>831-15</t>
  </si>
  <si>
    <t>200-15</t>
  </si>
  <si>
    <t>207-15</t>
  </si>
  <si>
    <t>202-15</t>
  </si>
  <si>
    <t>209-15</t>
  </si>
  <si>
    <t>JACKSON</t>
  </si>
  <si>
    <t>WILLIAM</t>
  </si>
  <si>
    <t>833-15</t>
  </si>
  <si>
    <t>204-15</t>
  </si>
  <si>
    <t>211-15</t>
  </si>
  <si>
    <t>70-15</t>
  </si>
  <si>
    <t>206-15</t>
  </si>
  <si>
    <t>834-15</t>
  </si>
  <si>
    <t>NELSON</t>
  </si>
  <si>
    <t>ARIANE</t>
  </si>
  <si>
    <t>835-15</t>
  </si>
  <si>
    <t>213-15</t>
  </si>
  <si>
    <t>MENGES</t>
  </si>
  <si>
    <t>BRAD</t>
  </si>
  <si>
    <t>208-15</t>
  </si>
  <si>
    <t>210-15</t>
  </si>
  <si>
    <t>215-15</t>
  </si>
  <si>
    <t>71-15</t>
  </si>
  <si>
    <t>837-15</t>
  </si>
  <si>
    <t>75-15</t>
  </si>
  <si>
    <t>212-15</t>
  </si>
  <si>
    <t>77-15</t>
  </si>
  <si>
    <t>219-15</t>
  </si>
  <si>
    <t>214-15</t>
  </si>
  <si>
    <t>838-15</t>
  </si>
  <si>
    <t>303-15</t>
  </si>
  <si>
    <t>216-15</t>
  </si>
  <si>
    <t>839-15</t>
  </si>
  <si>
    <t>218-15</t>
  </si>
  <si>
    <t>906-15</t>
  </si>
  <si>
    <t>305-15</t>
  </si>
  <si>
    <t>220-15</t>
  </si>
  <si>
    <t>841-15</t>
  </si>
  <si>
    <t>223-15</t>
  </si>
  <si>
    <t>840-15</t>
  </si>
  <si>
    <t>307-15</t>
  </si>
  <si>
    <t>222-15</t>
  </si>
  <si>
    <t>225-15</t>
  </si>
  <si>
    <t>224-15</t>
  </si>
  <si>
    <t>227-15</t>
  </si>
  <si>
    <t>842-15</t>
  </si>
  <si>
    <t>229-15</t>
  </si>
  <si>
    <t>845-15</t>
  </si>
  <si>
    <t>228-15</t>
  </si>
  <si>
    <t>231-15</t>
  </si>
  <si>
    <t>230-15</t>
  </si>
  <si>
    <t>233-15</t>
  </si>
  <si>
    <t>847-15</t>
  </si>
  <si>
    <t>232-15</t>
  </si>
  <si>
    <t>235-15</t>
  </si>
  <si>
    <t>WHITED</t>
  </si>
  <si>
    <t>DUSTIN</t>
  </si>
  <si>
    <t>908-15</t>
  </si>
  <si>
    <t>237-15</t>
  </si>
  <si>
    <t>236-15</t>
  </si>
  <si>
    <t>239-15</t>
  </si>
  <si>
    <t>238-15</t>
  </si>
  <si>
    <t>241-15</t>
  </si>
  <si>
    <t>243-15</t>
  </si>
  <si>
    <t>315-15</t>
  </si>
  <si>
    <t>242-15</t>
  </si>
  <si>
    <t>244-15</t>
  </si>
  <si>
    <t>311-15</t>
  </si>
  <si>
    <t>313-15</t>
  </si>
  <si>
    <t>302-16</t>
  </si>
  <si>
    <t>Mostly Cloudy</t>
  </si>
  <si>
    <t>204:748</t>
  </si>
  <si>
    <t>204:233298</t>
  </si>
  <si>
    <t>204:232683</t>
  </si>
  <si>
    <t>204:114</t>
  </si>
  <si>
    <t>204:774</t>
  </si>
  <si>
    <t>204:233318</t>
  </si>
  <si>
    <t>204:232671</t>
  </si>
  <si>
    <t>204:130</t>
  </si>
  <si>
    <t>204:732</t>
  </si>
  <si>
    <t>204:232673</t>
  </si>
  <si>
    <t>204:233284</t>
  </si>
  <si>
    <t>204:488</t>
  </si>
  <si>
    <t>204:233285</t>
  </si>
  <si>
    <t>204:232962</t>
  </si>
  <si>
    <t>204:785</t>
  </si>
  <si>
    <t>204:232986</t>
  </si>
  <si>
    <t>204:143</t>
  </si>
  <si>
    <t>204:232966</t>
  </si>
  <si>
    <t>204:788</t>
  </si>
  <si>
    <t>204:233324</t>
  </si>
  <si>
    <t>204:19134</t>
  </si>
  <si>
    <t>204:429</t>
  </si>
  <si>
    <t>204:1005</t>
  </si>
  <si>
    <t>204:205</t>
  </si>
  <si>
    <t>204:233316</t>
  </si>
  <si>
    <t>204:134</t>
  </si>
  <si>
    <t>204:478</t>
  </si>
  <si>
    <t>204:233320</t>
  </si>
  <si>
    <t>204:233362</t>
  </si>
  <si>
    <t>204:232978</t>
  </si>
  <si>
    <t>204:520</t>
  </si>
  <si>
    <t>204:232976</t>
  </si>
  <si>
    <t>204:500</t>
  </si>
  <si>
    <t>204:233230</t>
  </si>
  <si>
    <t>204:232900</t>
  </si>
  <si>
    <t>204:233304</t>
  </si>
  <si>
    <t>204:232959</t>
  </si>
  <si>
    <t>204:333</t>
  </si>
  <si>
    <t>204:153990</t>
  </si>
  <si>
    <t>204:252</t>
  </si>
  <si>
    <t>204:192782</t>
  </si>
  <si>
    <t>204:233286</t>
  </si>
  <si>
    <t>204:1266</t>
  </si>
  <si>
    <t>204:621</t>
  </si>
  <si>
    <t>204:76</t>
  </si>
  <si>
    <t>204:344</t>
  </si>
  <si>
    <t>204:437</t>
  </si>
  <si>
    <t>204:233311</t>
  </si>
  <si>
    <t>204:233317</t>
  </si>
  <si>
    <t>204:232991</t>
  </si>
  <si>
    <t>204:1175</t>
  </si>
  <si>
    <t>204:233420</t>
  </si>
  <si>
    <t>204:549</t>
  </si>
  <si>
    <t>204:233355</t>
  </si>
  <si>
    <t>204:9656</t>
  </si>
  <si>
    <t>204:648</t>
  </si>
  <si>
    <t>204:233221</t>
  </si>
  <si>
    <t>204:491</t>
  </si>
  <si>
    <t>204:232952</t>
  </si>
  <si>
    <t>204:233340</t>
  </si>
  <si>
    <t>204:233087</t>
  </si>
  <si>
    <t>204:129</t>
  </si>
  <si>
    <t>204:233401</t>
  </si>
  <si>
    <t>204:233088</t>
  </si>
  <si>
    <t>204:233331</t>
  </si>
  <si>
    <t>204:233013</t>
  </si>
  <si>
    <t>204:233280</t>
  </si>
  <si>
    <t>204:201</t>
  </si>
  <si>
    <t>204:233328</t>
  </si>
  <si>
    <t>204:233021</t>
  </si>
  <si>
    <t>204:493</t>
  </si>
  <si>
    <t>204:233274</t>
  </si>
  <si>
    <t>204:232972</t>
  </si>
  <si>
    <t>204:170</t>
  </si>
  <si>
    <t>204:233332</t>
  </si>
  <si>
    <t>204:233017</t>
  </si>
  <si>
    <t>204:232943</t>
  </si>
  <si>
    <t>204:233283</t>
  </si>
  <si>
    <t>204:187</t>
  </si>
  <si>
    <t>204:233363</t>
  </si>
  <si>
    <t>204:233057</t>
  </si>
  <si>
    <t>204:498</t>
  </si>
  <si>
    <t>204:233308</t>
  </si>
  <si>
    <t>204:233345</t>
  </si>
  <si>
    <t>204:233026</t>
  </si>
  <si>
    <t>204:191</t>
  </si>
  <si>
    <t>204:233007</t>
  </si>
  <si>
    <t>204:232940</t>
  </si>
  <si>
    <t>204:233245</t>
  </si>
  <si>
    <t>204:192</t>
  </si>
  <si>
    <t>300:22153</t>
  </si>
  <si>
    <t>300:21825</t>
  </si>
  <si>
    <t>300:23201</t>
  </si>
  <si>
    <t>204:489</t>
  </si>
  <si>
    <t>300:23531</t>
  </si>
  <si>
    <t>300:23627</t>
  </si>
  <si>
    <t>204:495</t>
  </si>
  <si>
    <t>300:23314</t>
  </si>
  <si>
    <t>300:19314</t>
  </si>
  <si>
    <t>204:106617</t>
  </si>
  <si>
    <t>204:1169</t>
  </si>
  <si>
    <t>204:106946</t>
  </si>
  <si>
    <t>204:174</t>
  </si>
  <si>
    <t>204:1475</t>
  </si>
  <si>
    <t>204:324</t>
  </si>
  <si>
    <t>204:336</t>
  </si>
  <si>
    <t>204:303</t>
  </si>
  <si>
    <t>300:23333</t>
  </si>
  <si>
    <t>204:144</t>
  </si>
  <si>
    <t>300:22824</t>
  </si>
  <si>
    <t>300:23219</t>
  </si>
  <si>
    <t>204:881</t>
  </si>
  <si>
    <t>204:1521</t>
  </si>
  <si>
    <t>204:1194</t>
  </si>
  <si>
    <t>300:58662</t>
  </si>
  <si>
    <t>204:689</t>
  </si>
  <si>
    <t>300:58969</t>
  </si>
  <si>
    <t>300:58656</t>
  </si>
  <si>
    <t>204:671</t>
  </si>
  <si>
    <t>204:972</t>
  </si>
  <si>
    <t>300:58965</t>
  </si>
  <si>
    <t>300:58647</t>
  </si>
  <si>
    <t>204:680</t>
  </si>
  <si>
    <t>204:948</t>
  </si>
  <si>
    <t>300:58967</t>
  </si>
  <si>
    <t>204:713</t>
  </si>
  <si>
    <t>204:983</t>
  </si>
  <si>
    <t>300:58651</t>
  </si>
  <si>
    <t>204:692</t>
  </si>
  <si>
    <t>204:1004</t>
  </si>
  <si>
    <t>300:58624</t>
  </si>
  <si>
    <t>204:698</t>
  </si>
  <si>
    <t>204:981</t>
  </si>
  <si>
    <t>204:3447</t>
  </si>
  <si>
    <t>204:685</t>
  </si>
  <si>
    <t>300:58958</t>
  </si>
  <si>
    <t>204:696</t>
  </si>
  <si>
    <t>300:58948</t>
  </si>
  <si>
    <t>204:988</t>
  </si>
  <si>
    <t>300:58943</t>
  </si>
  <si>
    <t>300:58630</t>
  </si>
  <si>
    <t>204:678</t>
  </si>
  <si>
    <t>300:58905</t>
  </si>
  <si>
    <t>300:58583</t>
  </si>
  <si>
    <t>204:664</t>
  </si>
  <si>
    <t>204:978</t>
  </si>
  <si>
    <t>300:58946</t>
  </si>
  <si>
    <t>300:58589</t>
  </si>
  <si>
    <t>204:694</t>
  </si>
  <si>
    <t>300:58899</t>
  </si>
  <si>
    <t>300:58576</t>
  </si>
  <si>
    <t>204:976</t>
  </si>
  <si>
    <t>204:1027</t>
  </si>
  <si>
    <t>300:58922</t>
  </si>
  <si>
    <t>300:58628</t>
  </si>
  <si>
    <t>300:58882</t>
  </si>
  <si>
    <t>300:29915</t>
  </si>
  <si>
    <t>300:58982</t>
  </si>
  <si>
    <t>300:23296</t>
  </si>
  <si>
    <t>204:1084</t>
  </si>
  <si>
    <t>300:24191</t>
  </si>
  <si>
    <t>300:25131</t>
  </si>
  <si>
    <t>204:652</t>
  </si>
  <si>
    <t>300:28795</t>
  </si>
  <si>
    <t>300:58566</t>
  </si>
  <si>
    <t>300:21401</t>
  </si>
  <si>
    <t>start /low /b %USERPROFILE%\Documents\GitHub\eaglep3\Utilities\DownloadLogsFromS3.py --loco 4053 --day 2017-03-15</t>
  </si>
  <si>
    <t>start /low /b %USERPROFILE%\Documents\GitHub\eaglep3\Utilities\DownloadLogsFromS3.py --loco 4052 --day 2017-03-15</t>
  </si>
  <si>
    <t>start /low /b %USERPROFILE%\Documents\GitHub\eaglep3\Utilities\DownloadLogsFromS3.py --loco 4041 --day 2017-03-15</t>
  </si>
  <si>
    <t>start /low /b %USERPROFILE%\Documents\GitHub\eaglep3\Utilities\DownloadLogsFromS3.py --loco 4016 --day 2017-03-15</t>
  </si>
  <si>
    <t>start /low /b %USERPROFILE%\Documents\GitHub\eaglep3\Utilities\DownloadLogsFromS3.py --loco 4020 --day 2017-03-15</t>
  </si>
  <si>
    <t>start /low /b %USERPROFILE%\Documents\GitHub\eaglep3\Utilities\DownloadLogsFromS3.py --loco 4051 --day 2017-03-15</t>
  </si>
  <si>
    <t>start /low /b %USERPROFILE%\Documents\GitHub\eaglep3\Utilities\DownloadLogsFromS3.py --loco 4026 --day 2017-03-15</t>
  </si>
  <si>
    <t>start /low /b %USERPROFILE%\Documents\GitHub\eaglep3\Utilities\DownloadLogsFromS3.py --loco 4012 --day 2017-03-15</t>
  </si>
  <si>
    <t>start /low /b %USERPROFILE%\Documents\GitHub\eaglep3\Utilities\DownloadLogsFromS3.py --loco 4052 --day 2017-03-16</t>
  </si>
  <si>
    <t>start /low /b %USERPROFILE%\Documents\GitHub\eaglep3\Utilities\DownloadLogsFromS3.py --loco 4039 --day 2017-03-15</t>
  </si>
  <si>
    <t>start /low /b %USERPROFILE%\Documents\GitHub\eaglep3\Utilities\DownloadLogsFromS3.py --loco 4019 --day 2017-03-15</t>
  </si>
  <si>
    <t>start /low /b %USERPROFILE%\Documents\GitHub\eaglep3\Utilities\DownloadLogsFromS3.py --loco 4019 --day 2017-03-16</t>
  </si>
  <si>
    <t>start /low /b %USERPROFILE%\Documents\GitHub\eaglep3\Utilities\DownloadLogsFromS3.py --loco 4011 --day 2017-03-16</t>
  </si>
  <si>
    <t>start /low /b %USERPROFILE%\Documents\GitHub\eaglep3\Utilities\DownloadLogsFromS3.py --loco 4030 --day 2017-03-15</t>
  </si>
  <si>
    <t>start /low /b %USERPROFILE%\Documents\GitHub\eaglep3\Utilities\DownloadLogsFromS3.py --loco 4040 --day 2017-03-15</t>
  </si>
  <si>
    <t>start /low /b %USERPROFILE%\Documents\GitHub\eaglep3\Utilities\DownloadLogsFromS3.py --loco 4054 --day 2017-03-15</t>
  </si>
  <si>
    <t>start /low /b %USERPROFILE%\Documents\GitHub\eaglep3\Utilities\DownloadLogsFromS3.py --loco 4025 --day 2017-03-15</t>
  </si>
  <si>
    <t>start /low /b %USERPROFILE%\Documents\GitHub\eaglep3\Utilities\DownloadLogsFromS3.py --loco 4042 --day 2017-03-15</t>
  </si>
  <si>
    <t>start /low /b %USERPROFILE%\Documents\GitHub\eaglep3\Utilities\DownloadLogsFromS3.py --loco 4011 --day 2017-03-15</t>
  </si>
  <si>
    <t>start /low /b %USERPROFILE%\Documents\GitHub\eaglep3\Utilities\DownloadLogsFromS3.py --loco 4029 --day 2017-03-15</t>
  </si>
  <si>
    <t>start /low /b %USERPROFILE%\Documents\GitHub\eaglep3\Utilities\DownloadLogsFromS3.py --loco 4020 --day 2017-03-16</t>
  </si>
  <si>
    <t>start /low /b %USERPROFILE%\Documents\GitHub\eaglep3\Utilities\DownloadLogsFromS3.py --loco 4016 --day 2017-03-16</t>
  </si>
  <si>
    <t>start /low /b %USERPROFILE%\Documents\GitHub\eaglep3\Utilities\DownloadLogsFromS3.py --loco 4045 --day 2017-03-15</t>
  </si>
  <si>
    <t>start /low /b %USERPROFILE%\Documents\GitHub\eaglep3\Utilities\DownloadLogsFromS3.py --loco 4015 --day 2017-03-15</t>
  </si>
  <si>
    <t>start /low /b %USERPROFILE%\Documents\GitHub\eaglep3\Utilities\DownloadLogsFromS3.py --loco 4045 --day 2017-03-16</t>
  </si>
  <si>
    <t>start /low /b %USERPROFILE%\Documents\GitHub\eaglep3\Utilities\DownloadLogsFromS3.py --loco 4015 --day 2017-03-16</t>
  </si>
  <si>
    <t>start /low /b %USERPROFILE%\Documents\GitHub\eaglep3\Utilities\DownloadLogsFromS3.py --loco 4046 --day 2017-03-15</t>
  </si>
  <si>
    <t>Selected wrong track (train was on Main 1)</t>
  </si>
  <si>
    <t>DUS 32N stuck at STOP, then failed PSS (wrong SiteName)</t>
  </si>
  <si>
    <t>At 09:22, a train was trying to leave DUS Track 8, but the dispatcher couldn't clear 32N. Was there some other occupation that prevented the signal from clearing?</t>
  </si>
  <si>
    <t>Signals maintenance at CP 78th</t>
  </si>
  <si>
    <t>Cancelled - cascade with Trip 127-15</t>
  </si>
  <si>
    <t>Finished at Main 3, unnecessary cut out (training issue against Restricting aspects?)</t>
  </si>
  <si>
    <t>Delayed due to Trip 127-15</t>
  </si>
  <si>
    <t>Onboard in-route failure while on DUS XO</t>
  </si>
  <si>
    <t>Early arrival</t>
  </si>
  <si>
    <t>Wi-MAX data drop</t>
  </si>
  <si>
    <t>DIA 4S dropped to STOP</t>
  </si>
  <si>
    <t>At approx 16:01, DIA 4S dropped from PROCEED CAB to STOP, anything in logs that say why?</t>
  </si>
  <si>
    <t>Init delayed by CCROC/crew/equipment mismatch</t>
  </si>
  <si>
    <t>Initialized too close to Westminster 2S</t>
  </si>
  <si>
    <t>Minor onboard in-route failure (CPU switch right after init)</t>
  </si>
  <si>
    <t>128-15</t>
  </si>
  <si>
    <t>Ran ATC-only due to failure on 127-15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</si>
</sst>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opLeftCell="A19" workbookViewId="0">
      <selection activeCell="X40" sqref="X40:X4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41.855468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143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COUNTIFS($N$13:$N$9338,"&gt;0",$AG$13:$AG$9338,I1)</f>
        <v>137</v>
      </c>
      <c r="K5" s="40"/>
      <c r="L5" s="40"/>
      <c r="M5" s="41">
        <f>AVERAGEIFS($N$13:$N$9338,$AG$13:$AG$9338,I1)</f>
        <v>40.841119221554401</v>
      </c>
      <c r="N5" s="39">
        <f t="array" ref="N5">MIN(IF($AG$13:$AG$9338=I1,IF(ISNUMBER($N$13:$N$9338),IF($N$13:$N$9338&gt;0,$N$13:$N$9338))))</f>
        <v>35.166666662553325</v>
      </c>
      <c r="O5" s="3">
        <f t="array" ref="O5">MAX(IF($AG$13:$AG$9338=I1,IF(ISNUMBER($N$13:$N$9338),IF($N$13:$N$9338&gt;0,$N$13:$N$9338))))</f>
        <v>118.466666667955</v>
      </c>
      <c r="P5" s="2"/>
      <c r="R5" s="74" t="s">
        <v>17</v>
      </c>
      <c r="S5" s="50">
        <f>COUNTIFS($N$13:$N$9338,"&gt;0",$AG$13:$AG$9338,R1)</f>
        <v>46</v>
      </c>
      <c r="T5" s="40"/>
      <c r="U5" s="177"/>
      <c r="V5" s="174">
        <f>AVERAGEIFS($N$13:$N$9338,$AG$13:$AG$9338,R1)</f>
        <v>14.93695652241434</v>
      </c>
      <c r="W5" s="175">
        <f t="array" ref="W5">MIN(IF($AG$13:$AG$9338=R1,IF(ISNUMBER($N$13:$N$9338),IF($N$13:$N$9338&gt;0,$N$13:$N$9338))))</f>
        <v>12.550000000046566</v>
      </c>
      <c r="X5" s="176">
        <f t="array" ref="X5">MAX(IF($AG$13:$AG$9338=R1,IF(ISNUMBER($N$13:$N$9338),IF($N$13:$N$9338&gt;0,$N$13:$N$9338))))</f>
        <v>20.133333335397765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COUNT($O$13:$O$119)</f>
        <v>0</v>
      </c>
      <c r="K6" s="40"/>
      <c r="L6" s="40"/>
      <c r="M6" s="41">
        <f>IFERROR(AVERAGE($O$13:$O$119),0)</f>
        <v>0</v>
      </c>
      <c r="N6" s="39">
        <f>MIN($O$13:$O$119)</f>
        <v>0</v>
      </c>
      <c r="O6" s="3">
        <f>MAX($O$13:$O$119)</f>
        <v>0</v>
      </c>
      <c r="P6" s="2"/>
      <c r="R6" s="75" t="s">
        <v>43</v>
      </c>
      <c r="S6" s="50">
        <f>COUNT($O$13:$O$119)</f>
        <v>0</v>
      </c>
      <c r="T6" s="40"/>
      <c r="U6" s="177"/>
      <c r="V6" s="174">
        <f>IFERROR(AVERAGE($O$13:$O$119),0)</f>
        <v>0</v>
      </c>
      <c r="W6" s="175">
        <f>MIN($O$13:$O$119)</f>
        <v>0</v>
      </c>
      <c r="X6" s="176">
        <f>MAX($O$13:$O$119)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COUNTIFS($P$13:$P$9338,"&gt;0",$AG$13:$AG$9338,I1)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COUNTIFS($P$13:$P$9338,"&gt;0",$AG$13:$AG$9338,R1)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137</v>
      </c>
      <c r="K8" s="40"/>
      <c r="L8" s="40"/>
      <c r="M8" s="41">
        <f>M5</f>
        <v>40.841119221554401</v>
      </c>
      <c r="N8" s="39">
        <f>N5</f>
        <v>35.166666662553325</v>
      </c>
      <c r="O8" s="3">
        <f>O5</f>
        <v>118.466666667955</v>
      </c>
      <c r="P8" s="2"/>
      <c r="R8" s="74" t="s">
        <v>16</v>
      </c>
      <c r="S8" s="50">
        <f>S5</f>
        <v>46</v>
      </c>
      <c r="T8" s="40"/>
      <c r="U8" s="177"/>
      <c r="V8" s="174">
        <f>V5</f>
        <v>14.93695652241434</v>
      </c>
      <c r="W8" s="175">
        <f>W5</f>
        <v>12.550000000046566</v>
      </c>
      <c r="X8" s="176">
        <f>X5</f>
        <v>20.133333335397765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0.95804195804195802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- 2017-03-15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0.98630136986301364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208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628</v>
      </c>
      <c r="B13" s="7">
        <v>4020</v>
      </c>
      <c r="C13" s="21" t="s">
        <v>230</v>
      </c>
      <c r="D13" s="21" t="s">
        <v>825</v>
      </c>
      <c r="E13" s="13">
        <v>42809.127627314818</v>
      </c>
      <c r="F13" s="13">
        <v>42809.135729166665</v>
      </c>
      <c r="G13" s="7">
        <v>1</v>
      </c>
      <c r="H13" s="21" t="s">
        <v>826</v>
      </c>
      <c r="I13" s="13">
        <v>42809.16238425926</v>
      </c>
      <c r="J13" s="7">
        <v>0</v>
      </c>
      <c r="K13" s="98" t="str">
        <f t="shared" ref="K13:K40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40" si="1">I13-F13</f>
        <v>2.6655092595319729E-2</v>
      </c>
      <c r="N13" s="7">
        <f t="shared" ref="N13:N28" si="2">24*60*SUM($M13:$M13)</f>
        <v>38.38333333726041</v>
      </c>
      <c r="O13" s="7"/>
      <c r="P13" s="7"/>
      <c r="Q13" s="22"/>
      <c r="R13" s="22"/>
      <c r="S13" s="31">
        <f t="shared" ref="S13:S29" si="3">SUM(U13:U13)/IF(AG13="EC",12,1)</f>
        <v>1</v>
      </c>
      <c r="T13" s="46" t="str">
        <f t="shared" ref="T13:T40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-15T02:03:47-0600',mode:absolute,to:'2017-03-15T04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40" si="6">IF(AA13&lt;IF(AG13="EC",23,5.65),"Y","N")</f>
        <v>N</v>
      </c>
      <c r="X13" s="187" t="e">
        <f t="shared" ref="X13:X46" si="7">VALUE(LEFT(AD13,4))-VALUE(LEFT(AD12,4))</f>
        <v>#VALUE!</v>
      </c>
      <c r="Y13" s="62">
        <f t="shared" ref="Y13:Y40" si="8">RIGHT(D13,LEN(D13)-4)/10000</f>
        <v>7.4800000000000005E-2</v>
      </c>
      <c r="Z13" s="62">
        <f t="shared" ref="Z13:Z40" si="9">RIGHT(H13,LEN(H13)-4)/10000</f>
        <v>23.329799999999999</v>
      </c>
      <c r="AA13" s="62">
        <f t="shared" ref="AA13:AA40" si="10">ABS(Z13-Y13)</f>
        <v>23.254999999999999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0" si="11">IF(LEN(A13)=6,"0"&amp;A13,A13)</f>
        <v>0101-15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/stypes="app*4020*20170315*" /stext=" 09:.+((SYSTEM_STATE.+slice.+state.+changed )|(ment ac)|(multiple cpu faults)|(system.+state.+changed )|(\[timeout)|(PRM\|1\|D)|(kpr)|(kdp)|(\|lc)|(penalty))"</v>
      </c>
      <c r="AG13" s="1" t="str">
        <f t="shared" ref="AG13:AG40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4020 --swversion DE.1.0.9.0 --startMP 204:748 --initTime 2017-03-15T03:03:47 --startdatetime 2017-03-15T03:15:27 --delay 1 --endMP 204:233298 --enddatetime 2017-03-15T03:53:50 --enforcementcount 0 &gt;&gt;C:\Users\stu\Documents\GitHub\eaglep3-reporting\EC\2017-03-15-refined-times.txt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ID","value":"101-15"},{"id":16,"name":"Locomotive ID","value":"4020"},{"id":130,"name":"Impact","value":""},{"id":150,"name":"Time of Event (Mountain Time)","value":"03:53:50"},{"id":151,"name":"Denver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2017-03-15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636</v>
      </c>
      <c r="B14" s="7">
        <v>4039</v>
      </c>
      <c r="C14" s="21" t="s">
        <v>230</v>
      </c>
      <c r="D14" s="21" t="s">
        <v>827</v>
      </c>
      <c r="E14" s="13">
        <v>42809.169594907406</v>
      </c>
      <c r="F14" s="13">
        <v>42809.174513888887</v>
      </c>
      <c r="G14" s="7">
        <v>1</v>
      </c>
      <c r="H14" s="21" t="s">
        <v>828</v>
      </c>
      <c r="I14" s="13">
        <v>42809.202916666669</v>
      </c>
      <c r="J14" s="7">
        <v>0</v>
      </c>
      <c r="K14" s="98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2.8402777781593613E-2</v>
      </c>
      <c r="N14" s="7">
        <f t="shared" si="2"/>
        <v>40.900000005494803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-15T03:04:13-0600',mode:absolute,to:'2017-03-15T05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23.2683</v>
      </c>
      <c r="Z14" s="62">
        <f t="shared" si="9"/>
        <v>1.14E-2</v>
      </c>
      <c r="AA14" s="62">
        <f t="shared" si="10"/>
        <v>23.256900000000002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0102-15</v>
      </c>
      <c r="AE14" s="85" t="str">
        <f t="shared" si="1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4" s="82" t="str">
        <f t="shared" si="13"/>
        <v>"C:\Program Files (x86)\AstroGrep\AstroGrep.exe" /e /r /s /spath="%USERPROFILE%\AppData\Local\Temp\OnboardLogs" /stypes="app*4039*20170315*"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4039 --swversion DE.1.0.9.0 --startMP 204:232683 --initTime 2017-03-15T04:04:13 --startdatetime 2017-03-15T04:11:18 --delay 1 --endMP 204:114 --enddatetime 2017-03-15T04:52:12 --enforcementcount 0 &gt;&gt;C:\Users\stu\Documents\GitHub\eaglep3-reporting\EC\2017-03-15-refined-times.txt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{"issue":{"subject":"","project_id":79,"tracker_id":40,"status_id":1,"priority_id":2,"assigned_to_id":23,"start_date":"2017-03-15","description":"","custom_fields":[{"id":1,"name":"Subdivision","value":"EC"},{"id":4,"name":"Milepost","value":"0.0114"},{"id":17,"name":"Train ID","value":"102-15"},{"id":16,"name":"Locomotive ID","value":"4039"},{"id":130,"name":"Impact","value":""},{"id":150,"name":"Time of Event (Mountain Time)","value":"04:52:12"},{"id":151,"name":"Denver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4039 --day 2017-03-15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631</v>
      </c>
      <c r="B15" s="7">
        <v>4042</v>
      </c>
      <c r="C15" s="21" t="s">
        <v>230</v>
      </c>
      <c r="D15" s="21" t="s">
        <v>829</v>
      </c>
      <c r="E15" s="13">
        <v>42809.15247685185</v>
      </c>
      <c r="F15" s="13">
        <v>42809.1565162037</v>
      </c>
      <c r="G15" s="7">
        <v>1</v>
      </c>
      <c r="H15" s="21" t="s">
        <v>830</v>
      </c>
      <c r="I15" s="13">
        <v>42809.181747685187</v>
      </c>
      <c r="J15" s="7">
        <v>0</v>
      </c>
      <c r="K15" s="98" t="str">
        <f t="shared" si="0"/>
        <v>4041/4042</v>
      </c>
      <c r="L15" s="21" t="str">
        <f>VLOOKUP(A15,'Trips&amp;Operators'!$C$1:$G$99999,5,FALSE)</f>
        <v>MAELZER KURT</v>
      </c>
      <c r="M15" s="6">
        <f t="shared" si="1"/>
        <v>2.5231481486116536E-2</v>
      </c>
      <c r="N15" s="7">
        <f t="shared" si="2"/>
        <v>36.333333340007812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-15T02:39:34-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7.7399999999999997E-2</v>
      </c>
      <c r="Z15" s="62">
        <f t="shared" si="9"/>
        <v>23.331800000000001</v>
      </c>
      <c r="AA15" s="62">
        <f t="shared" si="10"/>
        <v>23.2544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0103-15</v>
      </c>
      <c r="AE15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15" s="82" t="str">
        <f t="shared" si="13"/>
        <v>"C:\Program Files (x86)\AstroGrep\AstroGrep.exe" /e /r /s /spath="%USERPROFILE%\AppData\Local\Temp\OnboardLogs" /stypes="app*4042*20170315*"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103-15 --locoid 4042 --swversion DE.1.0.9.0 --startMP 204:774 --initTime 2017-03-15T03:39:34 --startdatetime 2017-03-15T03:45:23 --delay 1 --endMP 204:233318 --enddatetime 2017-03-15T04:21:43 --enforcementcount 0 &gt;&gt;C:\Users\stu\Documents\GitHub\eaglep3-reporting\EC\2017-03-15-refined-times.txt</v>
      </c>
      <c r="AI1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{"issue":{"subject":"","project_id":79,"tracker_id":40,"status_id":1,"priority_id":2,"assigned_to_id":23,"start_date":"2017-03-15","description":"","custom_fields":[{"id":1,"name":"Subdivision","value":"EC"},{"id":4,"name":"Milepost","value":"23.3318"},{"id":17,"name":"Train ID","value":"103-15"},{"id":16,"name":"Locomotive ID","value":"4042"},{"id":130,"name":"Impact","value":""},{"id":150,"name":"Time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4042 --day 2017-03-15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642</v>
      </c>
      <c r="B16" s="7">
        <v>4054</v>
      </c>
      <c r="C16" s="21" t="s">
        <v>230</v>
      </c>
      <c r="D16" s="21" t="s">
        <v>831</v>
      </c>
      <c r="E16" s="13">
        <v>42809.187465277777</v>
      </c>
      <c r="F16" s="13">
        <v>42809.195405092592</v>
      </c>
      <c r="G16" s="7">
        <v>1</v>
      </c>
      <c r="H16" s="21" t="s">
        <v>832</v>
      </c>
      <c r="I16" s="13">
        <v>42809.222673611112</v>
      </c>
      <c r="J16" s="7">
        <v>0</v>
      </c>
      <c r="K16" s="98" t="str">
        <f t="shared" si="0"/>
        <v>4053/4054</v>
      </c>
      <c r="L16" s="21" t="str">
        <f>VLOOKUP(A16,'Trips&amp;Operators'!$C$1:$G$99999,5,FALSE)</f>
        <v>MAELZER KURT</v>
      </c>
      <c r="M16" s="6">
        <f t="shared" si="1"/>
        <v>2.7268518519122154E-2</v>
      </c>
      <c r="N16" s="7">
        <f t="shared" si="2"/>
        <v>39.266666667535901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-15T03:29:57-0600',mode:absolute,to:'2017-03-15T06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23.267099999999999</v>
      </c>
      <c r="Z16" s="62">
        <f t="shared" si="9"/>
        <v>1.2999999999999999E-2</v>
      </c>
      <c r="AA16" s="62">
        <f t="shared" si="10"/>
        <v>23.254099999999998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0104-15</v>
      </c>
      <c r="AE16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6" s="82" t="str">
        <f t="shared" si="13"/>
        <v>"C:\Program Files (x86)\AstroGrep\AstroGrep.exe" /e /r /s /spath="%USERPROFILE%\AppData\Local\Temp\OnboardLogs" /stypes="app*4054*20170315*"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104-15 --locoid 4054 --swversion DE.1.0.9.0 --startMP 204:232671 --initTime 2017-03-15T04:29:57 --startdatetime 2017-03-15T04:41:23 --delay 1 --endMP 204:130 --enddatetime 2017-03-15T05:20:39 --enforcementcount 0 &gt;&gt;C:\Users\stu\Documents\GitHub\eaglep3-reporting\EC\2017-03-15-refined-times.txt</v>
      </c>
      <c r="AI1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{"issue":{"subject":"","project_id":79,"tracker_id":40,"status_id":1,"priority_id":2,"assigned_to_id":23,"start_date":"2017-03-15","description":"","custom_fields":[{"id":1,"name":"Subdivision","value":"EC"},{"id":4,"name":"Milepost","value":"0.013"},{"id":17,"name":"Train ID","value":"104-15"},{"id":16,"name":"Locomotive ID","value":"4054"},{"id":130,"name":"Impact","value":""},{"id":150,"name":"Time of Event (Mountain Time)","value":"05:20:39"},{"id":151,"name":"Denver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4054 --day 2017-03-15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573</v>
      </c>
      <c r="B17" s="7">
        <v>4025</v>
      </c>
      <c r="C17" s="21" t="s">
        <v>230</v>
      </c>
      <c r="D17" s="21" t="s">
        <v>833</v>
      </c>
      <c r="E17" s="13">
        <v>42809.175081018519</v>
      </c>
      <c r="F17" s="13">
        <v>42809.177337962959</v>
      </c>
      <c r="G17" s="7">
        <v>1</v>
      </c>
      <c r="H17" s="21" t="s">
        <v>487</v>
      </c>
      <c r="I17" s="13">
        <v>42809.202743055554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GEBRETEKLE DAGNEW</v>
      </c>
      <c r="M17" s="6">
        <f t="shared" si="1"/>
        <v>2.5405092594155576E-2</v>
      </c>
      <c r="N17" s="7">
        <f t="shared" si="2"/>
        <v>36.58333333558403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-15T03:12:07-0600',mode:absolute,to:'2017-03-15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7.3200000000000001E-2</v>
      </c>
      <c r="Z17" s="62">
        <f t="shared" si="9"/>
        <v>23.33</v>
      </c>
      <c r="AA17" s="62">
        <f t="shared" si="10"/>
        <v>23.256799999999998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0105-15</v>
      </c>
      <c r="AE17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7" s="82" t="str">
        <f t="shared" si="13"/>
        <v>"C:\Program Files (x86)\AstroGrep\AstroGrep.exe" /e /r /s /spath="%USERPROFILE%\AppData\Local\Temp\OnboardLogs" /stypes="app*4025*20170315*"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105-15 --locoid 4025 --swversion DE.1.0.9.0 --startMP 204:732 --initTime 2017-03-15T04:12:07 --startdatetime 2017-03-15T04:15:22 --delay 1 --endMP 204:233300 --enddatetime 2017-03-15T04:51:57 --enforcementcount 0 &gt;&gt;C:\Users\stu\Documents\GitHub\eaglep3-reporting\EC\2017-03-15-refined-times.txt</v>
      </c>
      <c r="AI1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{"issue":{"subject":"","project_id":79,"tracker_id":40,"status_id":1,"priority_id":2,"assigned_to_id":23,"start_date":"2017-03-15","description":"","custom_fields":[{"id":1,"name":"Subdivision","value":"EC"},{"id":4,"name":"Milepost","value":"23.33"},{"id":17,"name":"Train ID","value":"105-15"},{"id":16,"name":"Locomotive ID","value":"4025"},{"id":130,"name":"Impact","value":""},{"id":150,"name":"Time of Event (Mountain Time)","value":"04:51:57"},{"id":151,"name":"Denver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2017-03-15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649</v>
      </c>
      <c r="B18" s="7">
        <v>4001</v>
      </c>
      <c r="C18" s="21" t="s">
        <v>230</v>
      </c>
      <c r="D18" s="21" t="s">
        <v>834</v>
      </c>
      <c r="E18" s="13">
        <v>42809.214606481481</v>
      </c>
      <c r="F18" s="13">
        <v>42809.216296296298</v>
      </c>
      <c r="G18" s="7">
        <v>0</v>
      </c>
      <c r="H18" s="21" t="s">
        <v>207</v>
      </c>
      <c r="I18" s="13">
        <v>42809.242997685185</v>
      </c>
      <c r="J18" s="7">
        <v>0</v>
      </c>
      <c r="K18" s="98" t="str">
        <f t="shared" si="0"/>
        <v>4001/4002</v>
      </c>
      <c r="L18" s="21" t="str">
        <f>VLOOKUP(A18,'Trips&amp;Operators'!$C$1:$G$99999,5,FALSE)</f>
        <v>GEBRETEKLE DAGNEW</v>
      </c>
      <c r="M18" s="6">
        <f t="shared" si="1"/>
        <v>2.6701388887886424E-2</v>
      </c>
      <c r="N18" s="7">
        <f t="shared" si="2"/>
        <v>38.44999999855645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-15T04:09:02-0600',mode:absolute,to:'2017-03-15T06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23.267299999999999</v>
      </c>
      <c r="Z18" s="62">
        <f t="shared" si="9"/>
        <v>1.54E-2</v>
      </c>
      <c r="AA18" s="62">
        <f t="shared" si="10"/>
        <v>23.251899999999999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0106-15</v>
      </c>
      <c r="AE18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18" s="82" t="str">
        <f t="shared" si="13"/>
        <v>"C:\Program Files (x86)\AstroGrep\AstroGrep.exe" /e /r /s /spath="%USERPROFILE%\AppData\Local\Temp\OnboardLogs" /stypes="app*4001*20170315*"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106-15 --locoid 4001 --swversion DE.1.0.9.0 --startMP 204:232673 --initTime 2017-03-15T05:09:02 --startdatetime 2017-03-15T05:11:28 --delay 0 --endMP 204:154 --enddatetime 2017-03-15T05:49:55 --enforcementcount 0 &gt;&gt;C:\Users\stu\Documents\GitHub\eaglep3-reporting\EC\2017-03-15-refined-times.txt</v>
      </c>
      <c r="AI1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ID","value":"106-15"},{"id":16,"name":"Locomotive ID","value":"4001"},{"id":130,"name":"Impact","value":""},{"id":150,"name":"Time of Event (Mountain Time)","value":"05:49:55"},{"id":151,"name":"Denver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4001 --day 2017-03-15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641</v>
      </c>
      <c r="B19" s="7">
        <v>4011</v>
      </c>
      <c r="C19" s="21" t="s">
        <v>230</v>
      </c>
      <c r="D19" s="21" t="s">
        <v>429</v>
      </c>
      <c r="E19" s="13">
        <v>42809.186076388891</v>
      </c>
      <c r="F19" s="13">
        <v>42809.188078703701</v>
      </c>
      <c r="G19" s="7">
        <v>1</v>
      </c>
      <c r="H19" s="21" t="s">
        <v>835</v>
      </c>
      <c r="I19" s="13">
        <v>42809.214039351849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BONDS REYNALDO</v>
      </c>
      <c r="M19" s="6">
        <f t="shared" si="1"/>
        <v>2.5960648148611654E-2</v>
      </c>
      <c r="N19" s="7">
        <f t="shared" si="2"/>
        <v>37.383333334000781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-15T03:27:57-0600',mode:absolute,to:'2017-03-15T06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4.6399999999999997E-2</v>
      </c>
      <c r="Z19" s="62">
        <f t="shared" si="9"/>
        <v>23.328399999999998</v>
      </c>
      <c r="AA19" s="62">
        <f t="shared" si="10"/>
        <v>23.282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0107-15</v>
      </c>
      <c r="AE19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9" s="82" t="str">
        <f t="shared" si="13"/>
        <v>"C:\Program Files (x86)\AstroGrep\AstroGrep.exe" /e /r /s /spath="%USERPROFILE%\AppData\Local\Temp\OnboardLogs" /stypes="app*4011*20170315*"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107-15 --locoid 4011 --swversion DE.1.0.9.0 --startMP 204:464 --initTime 2017-03-15T04:27:57 --startdatetime 2017-03-15T04:30:50 --delay 1 --endMP 204:233284 --enddatetime 2017-03-15T05:08:13 --enforcementcount 0 &gt;&gt;C:\Users\stu\Documents\GitHub\eaglep3-reporting\EC\2017-03-15-refined-times.txt</v>
      </c>
      <c r="AI1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{"issue":{"subject":"","project_id":79,"tracker_id":40,"status_id":1,"priority_id":2,"assigned_to_id":23,"start_date":"2017-03-15","description":"","custom_fields":[{"id":1,"name":"Subdivision","value":"EC"},{"id":4,"name":"Milepost","value":"23.3284"},{"id":17,"name":"Train ID","value":"107-15"},{"id":16,"name":"Locomotive ID","value":"4011"},{"id":130,"name":"Impact","value":""},{"id":150,"name":"Time of Event (Mountain Time)","value":"05:08:13"},{"id":151,"name":"Denver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2017-03-15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650</v>
      </c>
      <c r="B20" s="7">
        <v>4012</v>
      </c>
      <c r="C20" s="21" t="s">
        <v>230</v>
      </c>
      <c r="D20" s="21" t="s">
        <v>461</v>
      </c>
      <c r="E20" s="13">
        <v>42809.222025462965</v>
      </c>
      <c r="F20" s="13">
        <v>42809.226550925923</v>
      </c>
      <c r="G20" s="7">
        <v>1</v>
      </c>
      <c r="H20" s="21" t="s">
        <v>201</v>
      </c>
      <c r="I20" s="13">
        <v>42809.25508101852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GUZMAN DANNY</v>
      </c>
      <c r="M20" s="6">
        <f t="shared" si="1"/>
        <v>2.8530092597065959E-2</v>
      </c>
      <c r="N20" s="7">
        <f t="shared" si="2"/>
        <v>41.083333339774981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-15T04:19:43-0600',mode:absolute,to:'2017-03-15T07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23.297499999999999</v>
      </c>
      <c r="Z20" s="62">
        <f t="shared" si="9"/>
        <v>1.52E-2</v>
      </c>
      <c r="AA20" s="62">
        <f t="shared" si="10"/>
        <v>23.282299999999999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0108-15</v>
      </c>
      <c r="AE20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20" s="82" t="str">
        <f t="shared" si="13"/>
        <v>"C:\Program Files (x86)\AstroGrep\AstroGrep.exe" /e /r /s /spath="%USERPROFILE%\AppData\Local\Temp\OnboardLogs" /stypes="app*4012*20170315*"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108-15 --locoid 4012 --swversion DE.1.0.9.0 --startMP 204:232975 --initTime 2017-03-15T05:19:43 --startdatetime 2017-03-15T05:26:14 --delay 1 --endMP 204:152 --enddatetime 2017-03-15T06:07:19 --enforcementcount 0 &gt;&gt;C:\Users\stu\Documents\GitHub\eaglep3-reporting\EC\2017-03-15-refined-times.txt</v>
      </c>
      <c r="AI2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ID","value":"108-15"},{"id":16,"name":"Locomotive ID","value":"4012"},{"id":130,"name":"Impact","value":""},{"id":150,"name":"Time of Event (Mountain Time)","value":"06:07:19"},{"id":151,"name":"Denver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2017-03-15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643</v>
      </c>
      <c r="B21" s="7">
        <v>4051</v>
      </c>
      <c r="C21" s="21" t="s">
        <v>230</v>
      </c>
      <c r="D21" s="21" t="s">
        <v>836</v>
      </c>
      <c r="E21" s="13">
        <v>42809.19462962963</v>
      </c>
      <c r="F21" s="13">
        <v>42809.198217592595</v>
      </c>
      <c r="G21" s="7">
        <v>1</v>
      </c>
      <c r="H21" s="21" t="s">
        <v>837</v>
      </c>
      <c r="I21" s="13">
        <v>42809.224374999998</v>
      </c>
      <c r="J21" s="7">
        <v>0</v>
      </c>
      <c r="K21" s="98" t="str">
        <f t="shared" si="0"/>
        <v>4051/4052</v>
      </c>
      <c r="L21" s="21" t="str">
        <f>VLOOKUP(A21,'Trips&amp;Operators'!$C$1:$G$99999,5,FALSE)</f>
        <v>SANTIZO D. EDY</v>
      </c>
      <c r="M21" s="6">
        <f t="shared" si="1"/>
        <v>2.6157407402934041E-2</v>
      </c>
      <c r="N21" s="7">
        <f t="shared" si="2"/>
        <v>37.666666660225019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-15T03:40:16-0600',mode:absolute,to:'2017-03-15T06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4.8800000000000003E-2</v>
      </c>
      <c r="Z21" s="62">
        <f t="shared" si="9"/>
        <v>23.328499999999998</v>
      </c>
      <c r="AA21" s="62">
        <f t="shared" si="10"/>
        <v>23.279699999999998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0109-15</v>
      </c>
      <c r="AE21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21" s="82" t="str">
        <f t="shared" si="13"/>
        <v>"C:\Program Files (x86)\AstroGrep\AstroGrep.exe" /e /r /s /spath="%USERPROFILE%\AppData\Local\Temp\OnboardLogs" /stypes="app*4051*20170315*"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109-15 --locoid 4051 --swversion DE.1.0.9.0 --startMP 204:488 --initTime 2017-03-15T04:40:16 --startdatetime 2017-03-15T04:45:26 --delay 1 --endMP 204:233285 --enddatetime 2017-03-15T05:23:06 --enforcementcount 0 &gt;&gt;C:\Users\stu\Documents\GitHub\eaglep3-reporting\EC\2017-03-15-refined-times.txt</v>
      </c>
      <c r="AI2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{"issue":{"subject":"","project_id":79,"tracker_id":40,"status_id":1,"priority_id":2,"assigned_to_id":23,"start_date":"2017-03-15","description":"","custom_fields":[{"id":1,"name":"Subdivision","value":"EC"},{"id":4,"name":"Milepost","value":"23.3285"},{"id":17,"name":"Train ID","value":"109-15"},{"id":16,"name":"Locomotive ID","value":"4051"},{"id":130,"name":"Impact","value":""},{"id":150,"name":"Time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4051 --day 2017-03-15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651</v>
      </c>
      <c r="B22" s="7">
        <v>4052</v>
      </c>
      <c r="C22" s="21" t="s">
        <v>230</v>
      </c>
      <c r="D22" s="21" t="s">
        <v>838</v>
      </c>
      <c r="E22" s="13">
        <v>42809.22583333333</v>
      </c>
      <c r="F22" s="13">
        <v>42809.237314814818</v>
      </c>
      <c r="G22" s="7">
        <v>1</v>
      </c>
      <c r="H22" s="21" t="s">
        <v>386</v>
      </c>
      <c r="I22" s="13">
        <v>42809.264664351853</v>
      </c>
      <c r="J22" s="7">
        <v>0</v>
      </c>
      <c r="K22" s="98" t="str">
        <f t="shared" si="0"/>
        <v>4051/4052</v>
      </c>
      <c r="L22" s="21" t="str">
        <f>VLOOKUP(A22,'Trips&amp;Operators'!$C$1:$G$99999,5,FALSE)</f>
        <v>SANTIZO D. EDY</v>
      </c>
      <c r="M22" s="6">
        <f t="shared" si="1"/>
        <v>2.7349537034751847E-2</v>
      </c>
      <c r="N22" s="7">
        <f t="shared" si="2"/>
        <v>39.38333333004266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-15T04:25:12-0600',mode:absolute,to:'2017-03-15T07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23.296199999999999</v>
      </c>
      <c r="Z22" s="62">
        <f t="shared" si="9"/>
        <v>1.6E-2</v>
      </c>
      <c r="AA22" s="62">
        <f t="shared" si="10"/>
        <v>23.280200000000001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0110-15</v>
      </c>
      <c r="AE22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22" s="82" t="str">
        <f t="shared" si="13"/>
        <v>"C:\Program Files (x86)\AstroGrep\AstroGrep.exe" /e /r /s /spath="%USERPROFILE%\AppData\Local\Temp\OnboardLogs" /stypes="app*4052*20170315*"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110-15 --locoid 4052 --swversion DE.1.0.9.0 --startMP 204:232962 --initTime 2017-03-15T05:25:12 --startdatetime 2017-03-15T05:41:44 --delay 1 --endMP 204:160 --enddatetime 2017-03-15T06:21:07 --enforcementcount 0 &gt;&gt;C:\Users\stu\Documents\GitHub\eaglep3-reporting\EC\2017-03-15-refined-times.txt</v>
      </c>
      <c r="AI2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{"issue":{"subject":"","project_id":79,"tracker_id":40,"status_id":1,"priority_id":2,"assigned_to_id":23,"start_date":"2017-03-15","description":"","custom_fields":[{"id":1,"name":"Subdivision","value":"EC"},{"id":4,"name":"Milepost","value":"0.016"},{"id":17,"name":"Train ID","value":"110-15"},{"id":16,"name":"Locomotive ID","value":"4052"},{"id":130,"name":"Impact","value":""},{"id":150,"name":"Time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4052 --day 2017-03-15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647</v>
      </c>
      <c r="B23" s="7">
        <v>4020</v>
      </c>
      <c r="C23" s="21" t="s">
        <v>230</v>
      </c>
      <c r="D23" s="21" t="s">
        <v>839</v>
      </c>
      <c r="E23" s="13">
        <v>42809.20616898148</v>
      </c>
      <c r="F23" s="13">
        <v>42809.208657407406</v>
      </c>
      <c r="G23" s="7">
        <v>1</v>
      </c>
      <c r="H23" s="21" t="s">
        <v>247</v>
      </c>
      <c r="I23" s="13">
        <v>42809.233171296299</v>
      </c>
      <c r="J23" s="7">
        <v>0</v>
      </c>
      <c r="K23" s="98" t="str">
        <f t="shared" si="0"/>
        <v>4019/4020</v>
      </c>
      <c r="L23" s="21" t="str">
        <f>VLOOKUP(A23,'Trips&amp;Operators'!$C$1:$G$99999,5,FALSE)</f>
        <v>ROCHA YAOTL</v>
      </c>
      <c r="M23" s="6">
        <f t="shared" si="1"/>
        <v>2.4513888893125113E-2</v>
      </c>
      <c r="N23" s="7">
        <f t="shared" si="2"/>
        <v>35.300000006100163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-15T03:56:53-0600',mode:absolute,to:'2017-03-15T06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7.85E-2</v>
      </c>
      <c r="Z23" s="62">
        <f t="shared" si="9"/>
        <v>23.330300000000001</v>
      </c>
      <c r="AA23" s="62">
        <f t="shared" si="10"/>
        <v>23.251800000000003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0111-15</v>
      </c>
      <c r="AE23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23" s="82" t="str">
        <f t="shared" si="13"/>
        <v>"C:\Program Files (x86)\AstroGrep\AstroGrep.exe" /e /r /s /spath="%USERPROFILE%\AppData\Local\Temp\OnboardLogs" /stypes="app*4020*20170315*"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111-15 --locoid 4020 --swversion DE.1.0.9.0 --startMP 204:785 --initTime 2017-03-15T04:56:53 --startdatetime 2017-03-15T05:00:28 --delay 1 --endMP 204:233303 --enddatetime 2017-03-15T05:35:46 --enforcementcount 0 &gt;&gt;C:\Users\stu\Documents\GitHub\eaglep3-reporting\EC\2017-03-15-refined-times.txt</v>
      </c>
      <c r="AI2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{"issue":{"subject":"","project_id":79,"tracker_id":40,"status_id":1,"priority_id":2,"assigned_to_id":23,"start_date":"2017-03-15","description":"","custom_fields":[{"id":1,"name":"Subdivision","value":"EC"},{"id":4,"name":"Milepost","value":"23.3303"},{"id":17,"name":"Train ID","value":"111-15"},{"id":16,"name":"Locomotive ID","value":"4020"},{"id":130,"name":"Impact","value":""},{"id":150,"name":"Time of Event (Mountain Time)","value":"05:35:46"},{"id":151,"name":"Denver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2017-03-15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655</v>
      </c>
      <c r="B24" s="7">
        <v>4019</v>
      </c>
      <c r="C24" s="21" t="s">
        <v>230</v>
      </c>
      <c r="D24" s="21" t="s">
        <v>840</v>
      </c>
      <c r="E24" s="13">
        <v>42809.246030092596</v>
      </c>
      <c r="F24" s="13">
        <v>42809.247442129628</v>
      </c>
      <c r="G24" s="7">
        <v>1</v>
      </c>
      <c r="H24" s="21" t="s">
        <v>841</v>
      </c>
      <c r="I24" s="13">
        <v>42809.275682870371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ROCHA YAOTL</v>
      </c>
      <c r="M24" s="6">
        <f t="shared" si="1"/>
        <v>2.8240740743058268E-2</v>
      </c>
      <c r="N24" s="7">
        <f t="shared" si="2"/>
        <v>40.666666670003906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-15T04:54:17-0600',mode:absolute,to:'2017-03-15T07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23.2986</v>
      </c>
      <c r="Z24" s="62">
        <f t="shared" si="9"/>
        <v>1.43E-2</v>
      </c>
      <c r="AA24" s="62">
        <f t="shared" si="10"/>
        <v>23.284300000000002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0112-15</v>
      </c>
      <c r="AE24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24" s="82" t="str">
        <f t="shared" si="13"/>
        <v>"C:\Program Files (x86)\AstroGrep\AstroGrep.exe" /e /r /s /spath="%USERPROFILE%\AppData\Local\Temp\OnboardLogs" /stypes="app*4019*20170315*"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112-15 --locoid 4019 --swversion DE.1.0.9.0 --startMP 204:232986 --initTime 2017-03-15T05:54:17 --startdatetime 2017-03-15T05:56:19 --delay 1 --endMP 204:143 --enddatetime 2017-03-15T06:36:59 --enforcementcount 0 &gt;&gt;C:\Users\stu\Documents\GitHub\eaglep3-reporting\EC\2017-03-15-refined-times.txt</v>
      </c>
      <c r="AI2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ID","value":"112-15"},{"id":16,"name":"Locomotive ID","value":"4019"},{"id":130,"name":"Impact","value":""},{"id":150,"name":"Time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2017-03-15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648</v>
      </c>
      <c r="B25" s="7">
        <v>4040</v>
      </c>
      <c r="C25" s="21" t="s">
        <v>230</v>
      </c>
      <c r="D25" s="21" t="s">
        <v>486</v>
      </c>
      <c r="E25" s="13">
        <v>42809.210335648146</v>
      </c>
      <c r="F25" s="13">
        <v>42809.218946759262</v>
      </c>
      <c r="G25" s="7">
        <v>1</v>
      </c>
      <c r="H25" s="21" t="s">
        <v>440</v>
      </c>
      <c r="I25" s="13">
        <v>42809.246655092589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2.770833332760958E-2</v>
      </c>
      <c r="N25" s="7">
        <f t="shared" si="2"/>
        <v>39.899999991757795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-15T04:02:53-0600',mode:absolute,to:'2017-03-15T06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4.3299999999999998E-2</v>
      </c>
      <c r="Z25" s="62">
        <f t="shared" si="9"/>
        <v>23.3278</v>
      </c>
      <c r="AA25" s="62">
        <f t="shared" si="10"/>
        <v>23.284500000000001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0113-15</v>
      </c>
      <c r="AE25" s="85" t="str">
        <f t="shared" si="1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25" s="82" t="str">
        <f t="shared" si="13"/>
        <v>"C:\Program Files (x86)\AstroGrep\AstroGrep.exe" /e /r /s /spath="%USERPROFILE%\AppData\Local\Temp\OnboardLogs" /stypes="app*4040*20170315*"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113-15 --locoid 4040 --swversion DE.1.0.9.0 --startMP 204:433 --initTime 2017-03-15T05:02:53 --startdatetime 2017-03-15T05:15:17 --delay 1 --endMP 204:233278 --enddatetime 2017-03-15T05:55:11 --enforcementcount 0 &gt;&gt;C:\Users\stu\Documents\GitHub\eaglep3-reporting\EC\2017-03-15-refined-times.txt</v>
      </c>
      <c r="AI2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{"issue":{"subject":"","project_id":79,"tracker_id":40,"status_id":1,"priority_id":2,"assigned_to_id":23,"start_date":"2017-03-15","description":"","custom_fields":[{"id":1,"name":"Subdivision","value":"EC"},{"id":4,"name":"Milepost","value":"23.3278"},{"id":17,"name":"Train ID","value":"113-15"},{"id":16,"name":"Locomotive ID","value":"4040"},{"id":130,"name":"Impact","value":""},{"id":150,"name":"Time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2017-03-15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657</v>
      </c>
      <c r="B26" s="7">
        <v>4039</v>
      </c>
      <c r="C26" s="21" t="s">
        <v>230</v>
      </c>
      <c r="D26" s="21" t="s">
        <v>842</v>
      </c>
      <c r="E26" s="13">
        <v>42809.24927083333</v>
      </c>
      <c r="F26" s="13">
        <v>42809.257800925923</v>
      </c>
      <c r="G26" s="7">
        <v>1</v>
      </c>
      <c r="H26" s="21" t="s">
        <v>444</v>
      </c>
      <c r="I26" s="13">
        <v>42809.287604166668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2.980324074451346E-2</v>
      </c>
      <c r="N26" s="7">
        <f t="shared" si="2"/>
        <v>42.916666672099382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-15T04:58:57-0600',mode:absolute,to:'2017-03-15T07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23.296600000000002</v>
      </c>
      <c r="Z26" s="62">
        <f t="shared" si="9"/>
        <v>1.38E-2</v>
      </c>
      <c r="AA26" s="62">
        <f t="shared" si="10"/>
        <v>23.282800000000002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0114-15</v>
      </c>
      <c r="AE26" s="85" t="str">
        <f t="shared" si="1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6" s="82" t="str">
        <f t="shared" si="13"/>
        <v>"C:\Program Files (x86)\AstroGrep\AstroGrep.exe" /e /r /s /spath="%USERPROFILE%\AppData\Local\Temp\OnboardLogs" /stypes="app*4039*20170315*"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114-15 --locoid 4039 --swversion DE.1.0.9.0 --startMP 204:232966 --initTime 2017-03-15T05:58:57 --startdatetime 2017-03-15T06:11:14 --delay 1 --endMP 204:138 --enddatetime 2017-03-15T06:54:09 --enforcementcount 0 &gt;&gt;C:\Users\stu\Documents\GitHub\eaglep3-reporting\EC\2017-03-15-refined-times.txt</v>
      </c>
      <c r="AI2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{"issue":{"subject":"","project_id":79,"tracker_id":40,"status_id":1,"priority_id":2,"assigned_to_id":23,"start_date":"2017-03-15","description":"","custom_fields":[{"id":1,"name":"Subdivision","value":"EC"},{"id":4,"name":"Milepost","value":"0.0138"},{"id":17,"name":"Train ID","value":"114-15"},{"id":16,"name":"Locomotive ID","value":"4039"},{"id":130,"name":"Impact","value":""},{"id":150,"name":"Time of Event (Mountain Time)","value":"06:54:09"},{"id":151,"name":"Denver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2017-03-15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652</v>
      </c>
      <c r="B27" s="7">
        <v>4042</v>
      </c>
      <c r="C27" s="21" t="s">
        <v>230</v>
      </c>
      <c r="D27" s="21" t="s">
        <v>843</v>
      </c>
      <c r="E27" s="13">
        <v>42809.225532407407</v>
      </c>
      <c r="F27" s="13">
        <v>42809.229456018518</v>
      </c>
      <c r="G27" s="7">
        <v>2</v>
      </c>
      <c r="H27" s="21" t="s">
        <v>844</v>
      </c>
      <c r="I27" s="13">
        <v>42809.255023148151</v>
      </c>
      <c r="J27" s="7">
        <v>0</v>
      </c>
      <c r="K27" s="98" t="str">
        <f t="shared" si="0"/>
        <v>4041/4042</v>
      </c>
      <c r="L27" s="21" t="str">
        <f>VLOOKUP(A27,'Trips&amp;Operators'!$C$1:$G$99999,5,FALSE)</f>
        <v>STARKS ANGELINA</v>
      </c>
      <c r="M27" s="6">
        <f t="shared" si="1"/>
        <v>2.5567129632690921E-2</v>
      </c>
      <c r="N27" s="7">
        <f t="shared" si="2"/>
        <v>36.816666671074927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-15T04:24:46-0600',mode:absolute,to:'2017-03-15T07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7.8799999999999995E-2</v>
      </c>
      <c r="Z27" s="62">
        <f t="shared" si="9"/>
        <v>23.3324</v>
      </c>
      <c r="AA27" s="62">
        <f t="shared" si="10"/>
        <v>23.253599999999999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0115-15</v>
      </c>
      <c r="AE27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27" s="82" t="str">
        <f t="shared" si="13"/>
        <v>"C:\Program Files (x86)\AstroGrep\AstroGrep.exe" /e /r /s /spath="%USERPROFILE%\AppData\Local\Temp\OnboardLogs" /stypes="app*4042*20170315*"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115-15 --locoid 4042 --swversion DE.1.0.9.0 --startMP 204:788 --initTime 2017-03-15T05:24:46 --startdatetime 2017-03-15T05:30:25 --delay 2 --endMP 204:233324 --enddatetime 2017-03-15T06:07:14 --enforcementcount 0 &gt;&gt;C:\Users\stu\Documents\GitHub\eaglep3-reporting\EC\2017-03-15-refined-times.txt</v>
      </c>
      <c r="AI2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{"issue":{"subject":"","project_id":79,"tracker_id":40,"status_id":1,"priority_id":2,"assigned_to_id":23,"start_date":"2017-03-15","description":"","custom_fields":[{"id":1,"name":"Subdivision","value":"EC"},{"id":4,"name":"Milepost","value":"23.3324"},{"id":17,"name":"Train ID","value":"115-15"},{"id":16,"name":"Locomotive ID","value":"4042"},{"id":130,"name":"Impact","value":""},{"id":150,"name":"Time of Event (Mountain Time)","value":"06:07:14"},{"id":151,"name":"Denver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4042 --day 2017-03-15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662</v>
      </c>
      <c r="B28" s="7">
        <v>4041</v>
      </c>
      <c r="C28" s="21" t="s">
        <v>230</v>
      </c>
      <c r="D28" s="21" t="s">
        <v>431</v>
      </c>
      <c r="E28" s="13">
        <v>42809.266643518517</v>
      </c>
      <c r="F28" s="13">
        <v>42809.268483796295</v>
      </c>
      <c r="G28" s="7">
        <v>1</v>
      </c>
      <c r="H28" s="21" t="s">
        <v>207</v>
      </c>
      <c r="I28" s="13">
        <v>42809.350752314815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STARKS ANGELINA</v>
      </c>
      <c r="M28" s="6">
        <f t="shared" si="1"/>
        <v>8.2268518519413192E-2</v>
      </c>
      <c r="N28" s="7">
        <f t="shared" si="2"/>
        <v>118.466666667955</v>
      </c>
      <c r="O28" s="7"/>
      <c r="P28" s="7"/>
      <c r="Q28" s="22"/>
      <c r="R28" s="22" t="s">
        <v>1024</v>
      </c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-15T05:23:58-0600',mode:absolute,to:'2017-03-15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23.299600000000002</v>
      </c>
      <c r="Z28" s="62">
        <f t="shared" si="9"/>
        <v>1.54E-2</v>
      </c>
      <c r="AA28" s="62">
        <f t="shared" si="10"/>
        <v>23.284200000000002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0116-15</v>
      </c>
      <c r="AE28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28" s="82" t="str">
        <f t="shared" si="13"/>
        <v>"C:\Program Files (x86)\AstroGrep\AstroGrep.exe" /e /r /s /spath="%USERPROFILE%\AppData\Local\Temp\OnboardLogs" /stypes="app*4041*20170315*" /stext=" 14:.+((SYSTEM_STATE.+slice.+state.+changed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116-15 --locoid 4041 --swversion DE.1.0.9.0 --startMP 204:232996 --initTime 2017-03-15T06:23:58 --startdatetime 2017-03-15T06:26:37 --delay 1 --endMP 204:154 --enddatetime 2017-03-15T08:25:05 --enforcementcount 0 &gt;&gt;C:\Users\stu\Documents\GitHub\eaglep3-reporting\EC\2017-03-15-refined-times.txt</v>
      </c>
      <c r="AI28" s="108" t="str">
        <f t="shared" si="19"/>
        <v>echo {"issue":{"subject":"Delayed due to Trip 127-15","project_id":79,"tracker_id":40,"status_id":1,"priority_id":2,"assigned_to_id":23,"start_date":"2017-03-15","description":"","custom_fields":[{"id":1,"name":"Subdivision","value":"EC"},{"id":4,"name":"Milepost","value":"0.0154"},{"id":17,"name":"Train ID","value":"116-15"},{"id":16,"name":"Locomotive ID","value":"4041"},{"id":130,"name":"Impact","value":""},{"id":150,"name":"Time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4041 --day 2017-03-15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653</v>
      </c>
      <c r="B29" s="7">
        <v>4053</v>
      </c>
      <c r="C29" s="21" t="s">
        <v>230</v>
      </c>
      <c r="D29" s="21" t="s">
        <v>845</v>
      </c>
      <c r="E29" s="13">
        <v>42809.243368055555</v>
      </c>
      <c r="F29" s="13">
        <v>42809.24428240741</v>
      </c>
      <c r="G29" s="7">
        <v>1</v>
      </c>
      <c r="H29" s="21" t="s">
        <v>548</v>
      </c>
      <c r="I29" s="13">
        <v>42809.26630787037</v>
      </c>
      <c r="J29" s="7">
        <v>0</v>
      </c>
      <c r="K29" s="98" t="str">
        <f t="shared" si="0"/>
        <v>4053/4054</v>
      </c>
      <c r="L29" s="21" t="str">
        <f>VLOOKUP(A29,'Trips&amp;Operators'!$C$1:$G$99999,5,FALSE)</f>
        <v>MAELZER KURT</v>
      </c>
      <c r="M29" s="6">
        <f t="shared" si="1"/>
        <v>2.2025462960300501E-2</v>
      </c>
      <c r="N29" s="7"/>
      <c r="O29" s="7"/>
      <c r="P29" s="7">
        <f>24*60*SUM($M29:$M29)</f>
        <v>31.716666662832722</v>
      </c>
      <c r="Q29" s="22"/>
      <c r="R29" s="22" t="s">
        <v>1018</v>
      </c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-15T04:50:27-0600',mode:absolute,to:'2017-03-15T07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9" s="187" t="str">
        <f t="shared" si="6"/>
        <v>Y</v>
      </c>
      <c r="X29" s="187">
        <f t="shared" si="7"/>
        <v>1</v>
      </c>
      <c r="Y29" s="62">
        <f t="shared" si="8"/>
        <v>1.9134</v>
      </c>
      <c r="Z29" s="62">
        <f t="shared" si="9"/>
        <v>23.332100000000001</v>
      </c>
      <c r="AA29" s="62">
        <f t="shared" si="10"/>
        <v>21.418700000000001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0117-15</v>
      </c>
      <c r="AE29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29" s="82" t="str">
        <f t="shared" si="13"/>
        <v>"C:\Program Files (x86)\AstroGrep\AstroGrep.exe" /e /r /s /spath="%USERPROFILE%\AppData\Local\Temp\OnboardLogs" /stypes="app*4053*20170315*"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117-15 --locoid 4053 --swversion DE.1.0.9.0 --startMP 204:19134 --initTime 2017-03-15T05:50:27 --startdatetime 2017-03-15T05:51:46 --delay 1 --endMP 204:233321 --enddatetime 2017-03-15T06:23:29 --enforcementcount 0 &gt;&gt;C:\Users\stu\Documents\GitHub\eaglep3-reporting\EC\2017-03-15-refined-times.txt</v>
      </c>
      <c r="AI29" s="108" t="str">
        <f t="shared" si="19"/>
        <v>echo {"issue":{"subject":"Selected wrong track (train was on Main 1)","project_id":79,"tracker_id":40,"status_id":1,"priority_id":2,"assigned_to_id":23,"start_date":"2017-03-15","description":"","custom_fields":[{"id":1,"name":"Subdivision","value":"EC"},{"id":4,"name":"Milepost","value":"23.3321"},{"id":17,"name":"Train ID","value":"117-15"},{"id":16,"name":"Locomotive ID","value":"4053"},{"id":130,"name":"Impact","value":""},{"id":150,"name":"Time of Event (Mountain Time)","value":"06:23:29"},{"id":151,"name":"Denver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4053 --day 2017-03-15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653</v>
      </c>
      <c r="B30" s="7">
        <v>4053</v>
      </c>
      <c r="C30" s="21" t="s">
        <v>230</v>
      </c>
      <c r="D30" s="21" t="s">
        <v>846</v>
      </c>
      <c r="E30" s="13">
        <v>42809.226736111108</v>
      </c>
      <c r="F30" s="13">
        <v>42809.24428240741</v>
      </c>
      <c r="G30" s="7">
        <v>1</v>
      </c>
      <c r="H30" s="21" t="s">
        <v>847</v>
      </c>
      <c r="I30" s="13">
        <v>42809.26630787037</v>
      </c>
      <c r="J30" s="7">
        <v>0</v>
      </c>
      <c r="K30" s="98" t="str">
        <f t="shared" si="0"/>
        <v>4053/4054</v>
      </c>
      <c r="L30" s="21" t="str">
        <f>VLOOKUP(A30,'Trips&amp;Operators'!$C$1:$G$99999,5,FALSE)</f>
        <v>MAELZER KURT</v>
      </c>
      <c r="M30" s="6">
        <f t="shared" si="1"/>
        <v>2.2025462960300501E-2</v>
      </c>
      <c r="N30" s="7"/>
      <c r="O30" s="7"/>
      <c r="P30" s="7"/>
      <c r="Q30" s="22"/>
      <c r="R30" s="22"/>
      <c r="S30" s="31"/>
      <c r="T30" s="46" t="str">
        <f t="shared" si="4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-15T04:26:30-0600',mode:absolute,to:'2017-03-15T07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87" t="str">
        <f t="shared" si="6"/>
        <v>Y</v>
      </c>
      <c r="X30" s="187">
        <f t="shared" si="7"/>
        <v>0</v>
      </c>
      <c r="Y30" s="62">
        <f t="shared" si="8"/>
        <v>4.2900000000000001E-2</v>
      </c>
      <c r="Z30" s="62">
        <f t="shared" si="9"/>
        <v>0.10050000000000001</v>
      </c>
      <c r="AA30" s="62">
        <f t="shared" si="10"/>
        <v>5.7600000000000005E-2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0117-15</v>
      </c>
      <c r="AE30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30" s="82" t="str">
        <f t="shared" si="13"/>
        <v>"C:\Program Files (x86)\AstroGrep\AstroGrep.exe" /e /r /s /spath="%USERPROFILE%\AppData\Local\Temp\OnboardLogs" /stypes="app*4053*20170315*" /stext=" 12:.+((SYSTEM_STATE.+slice.+state.+changed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117-15 --locoid 4053 --swversion DE.1.0.9.0 --startMP 204:429 --initTime 2017-03-15T05:26:30 --startdatetime 2017-03-15T05:51:46 --delay 1 --endMP 204:1005 --enddatetime 2017-03-15T06:23:29 --enforcementcount 0 &gt;&gt;C:\Users\stu\Documents\GitHub\eaglep3-reporting\EC\2017-03-15-refined-times.txt</v>
      </c>
      <c r="AI3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{"issue":{"subject":"","project_id":79,"tracker_id":40,"status_id":1,"priority_id":2,"assigned_to_id":23,"start_date":"2017-03-15","description":"","custom_fields":[{"id":1,"name":"Subdivision","value":"EC"},{"id":4,"name":"Milepost","value":"0.1005"},{"id":17,"name":"Train ID","value":"117-15"},{"id":16,"name":"Locomotive ID","value":"4053"},{"id":130,"name":"Impact","value":""},{"id":150,"name":"Time of Event (Mountain Time)","value":"06:23:29"},{"id":151,"name":"Denver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4053 --day 2017-03-15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663</v>
      </c>
      <c r="B31" s="7">
        <v>4054</v>
      </c>
      <c r="C31" s="21" t="s">
        <v>230</v>
      </c>
      <c r="D31" s="21" t="s">
        <v>248</v>
      </c>
      <c r="E31" s="13">
        <v>42809.274236111109</v>
      </c>
      <c r="F31" s="13">
        <v>42809.278738425928</v>
      </c>
      <c r="G31" s="7">
        <v>0</v>
      </c>
      <c r="H31" s="21" t="s">
        <v>219</v>
      </c>
      <c r="I31" s="13">
        <v>42809.314340277779</v>
      </c>
      <c r="J31" s="7">
        <v>0</v>
      </c>
      <c r="K31" s="98" t="str">
        <f t="shared" si="0"/>
        <v>4053/4054</v>
      </c>
      <c r="L31" s="21" t="str">
        <f>VLOOKUP(A31,'Trips&amp;Operators'!$C$1:$G$99999,5,FALSE)</f>
        <v>MAELZER KURT</v>
      </c>
      <c r="M31" s="6">
        <f t="shared" si="1"/>
        <v>3.5601851850515231E-2</v>
      </c>
      <c r="N31" s="7">
        <f t="shared" ref="N31:N39" si="21">24*60*SUM($M31:$M31)</f>
        <v>51.266666664741933</v>
      </c>
      <c r="O31" s="7"/>
      <c r="P31" s="7"/>
      <c r="Q31" s="22"/>
      <c r="R31" s="22" t="s">
        <v>1024</v>
      </c>
      <c r="S31" s="31">
        <f t="shared" ref="S31:S40" si="22">SUM(U31:U31)/IF(AG31="EC",12,1)</f>
        <v>1</v>
      </c>
      <c r="T31" s="46" t="str">
        <f t="shared" si="4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-15T05:34:54-0600',mode:absolute,to:'2017-03-15T08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23.300599999999999</v>
      </c>
      <c r="Z31" s="62">
        <f t="shared" si="9"/>
        <v>1.41E-2</v>
      </c>
      <c r="AA31" s="62">
        <f t="shared" si="10"/>
        <v>23.2865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0118-15</v>
      </c>
      <c r="AE31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31" s="82" t="str">
        <f t="shared" si="13"/>
        <v>"C:\Program Files (x86)\AstroGrep\AstroGrep.exe" /e /r /s /spath="%USERPROFILE%\AppData\Local\Temp\OnboardLogs" /stypes="app*4054*20170315*"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118-15 --locoid 4054 --swversion DE.1.0.9.0 --startMP 204:233006 --initTime 2017-03-15T06:34:54 --startdatetime 2017-03-15T06:41:23 --delay 0 --endMP 204:141 --enddatetime 2017-03-15T07:32:39 --enforcementcount 0 &gt;&gt;C:\Users\stu\Documents\GitHub\eaglep3-reporting\EC\2017-03-15-refined-times.txt</v>
      </c>
      <c r="AI31" s="108" t="str">
        <f t="shared" si="19"/>
        <v>echo {"issue":{"subject":"Delayed due to Trip 127-15","project_id":79,"tracker_id":40,"status_id":1,"priority_id":2,"assigned_to_id":23,"start_date":"2017-03-15","description":"","custom_fields":[{"id":1,"name":"Subdivision","value":"EC"},{"id":4,"name":"Milepost","value":"0.0141"},{"id":17,"name":"Train ID","value":"118-15"},{"id":16,"name":"Locomotive ID","value":"4054"},{"id":130,"name":"Impact","value":""},{"id":150,"name":"Time of Event (Mountain Time)","value":"07:32:39"},{"id":151,"name":"Denver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4054 --day 2017-03-15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656</v>
      </c>
      <c r="B32" s="7">
        <v>4025</v>
      </c>
      <c r="C32" s="21" t="s">
        <v>230</v>
      </c>
      <c r="D32" s="21" t="s">
        <v>843</v>
      </c>
      <c r="E32" s="13">
        <v>42809.246319444443</v>
      </c>
      <c r="F32" s="13">
        <v>42809.250185185185</v>
      </c>
      <c r="G32" s="7">
        <v>1</v>
      </c>
      <c r="H32" s="21" t="s">
        <v>541</v>
      </c>
      <c r="I32" s="13">
        <v>42809.276782407411</v>
      </c>
      <c r="J32" s="7">
        <v>0</v>
      </c>
      <c r="K32" s="98" t="str">
        <f t="shared" si="0"/>
        <v>4025/4026</v>
      </c>
      <c r="L32" s="21" t="str">
        <f>VLOOKUP(A32,'Trips&amp;Operators'!$C$1:$G$99999,5,FALSE)</f>
        <v>GEBRETEKLE DAGNEW</v>
      </c>
      <c r="M32" s="6">
        <f t="shared" si="1"/>
        <v>2.6597222225973383E-2</v>
      </c>
      <c r="N32" s="7">
        <f t="shared" si="21"/>
        <v>38.300000005401671</v>
      </c>
      <c r="O32" s="7"/>
      <c r="P32" s="7"/>
      <c r="Q32" s="22"/>
      <c r="R32" s="22"/>
      <c r="S32" s="31">
        <f t="shared" si="22"/>
        <v>1</v>
      </c>
      <c r="T32" s="46" t="str">
        <f t="shared" si="4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-15T04:54:42-0600',mode:absolute,to:'2017-03-15T07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7.8799999999999995E-2</v>
      </c>
      <c r="Z32" s="62">
        <f t="shared" si="9"/>
        <v>23.325900000000001</v>
      </c>
      <c r="AA32" s="62">
        <f t="shared" si="10"/>
        <v>23.2471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0119-15</v>
      </c>
      <c r="AE32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32" s="82" t="str">
        <f t="shared" si="13"/>
        <v>"C:\Program Files (x86)\AstroGrep\AstroGrep.exe" /e /r /s /spath="%USERPROFILE%\AppData\Local\Temp\OnboardLogs" /stypes="app*4025*20170315*" /stext=" 12:.+((SYSTEM_STATE.+slice.+state.+changed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119-15 --locoid 4025 --swversion DE.1.0.9.0 --startMP 204:788 --initTime 2017-03-15T05:54:42 --startdatetime 2017-03-15T06:00:16 --delay 1 --endMP 204:233259 --enddatetime 2017-03-15T06:38:34 --enforcementcount 0 &gt;&gt;C:\Users\stu\Documents\GitHub\eaglep3-reporting\EC\2017-03-15-refined-times.txt</v>
      </c>
      <c r="AI3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ID","value":"119-15"},{"id":16,"name":"Locomotive ID","value":"4025"},{"id":130,"name":"Impact","value":""},{"id":150,"name":"Time of Event (Mountain Time)","value":"06:38:34"},{"id":151,"name":"Denver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4025 --day 2017-03-15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665</v>
      </c>
      <c r="B33" s="7">
        <v>4026</v>
      </c>
      <c r="C33" s="21" t="s">
        <v>230</v>
      </c>
      <c r="D33" s="21" t="s">
        <v>547</v>
      </c>
      <c r="E33" s="13">
        <v>42809.287395833337</v>
      </c>
      <c r="F33" s="13">
        <v>42809.289710648147</v>
      </c>
      <c r="G33" s="7">
        <v>3</v>
      </c>
      <c r="H33" s="21" t="s">
        <v>832</v>
      </c>
      <c r="I33" s="13">
        <v>42809.321168981478</v>
      </c>
      <c r="J33" s="7">
        <v>0</v>
      </c>
      <c r="K33" s="98" t="str">
        <f t="shared" si="0"/>
        <v>4025/4026</v>
      </c>
      <c r="L33" s="21" t="str">
        <f>VLOOKUP(A33,'Trips&amp;Operators'!$C$1:$G$99999,5,FALSE)</f>
        <v>GEBRETEKLE DAGNEW</v>
      </c>
      <c r="M33" s="6">
        <f t="shared" si="1"/>
        <v>3.145833333110204E-2</v>
      </c>
      <c r="N33" s="7">
        <f t="shared" si="21"/>
        <v>45.299999996786937</v>
      </c>
      <c r="O33" s="7"/>
      <c r="P33" s="7"/>
      <c r="Q33" s="22"/>
      <c r="R33" s="22"/>
      <c r="S33" s="31">
        <f t="shared" si="22"/>
        <v>1</v>
      </c>
      <c r="T33" s="46" t="str">
        <f t="shared" si="4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-15T05:53:51-0600',mode:absolute,to:'2017-03-15T08:42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23.2942</v>
      </c>
      <c r="Z33" s="62">
        <f t="shared" si="9"/>
        <v>1.2999999999999999E-2</v>
      </c>
      <c r="AA33" s="62">
        <f t="shared" si="10"/>
        <v>23.281199999999998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0120-15</v>
      </c>
      <c r="AE33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33" s="82" t="str">
        <f t="shared" si="13"/>
        <v>"C:\Program Files (x86)\AstroGrep\AstroGrep.exe" /e /r /s /spath="%USERPROFILE%\AppData\Local\Temp\OnboardLogs" /stypes="app*4026*20170315*"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120-15 --locoid 4026 --swversion DE.1.0.9.0 --startMP 204:232942 --initTime 2017-03-15T06:53:51 --startdatetime 2017-03-15T06:57:11 --delay 3 --endMP 204:130 --enddatetime 2017-03-15T07:42:29 --enforcementcount 0 &gt;&gt;C:\Users\stu\Documents\GitHub\eaglep3-reporting\EC\2017-03-15-refined-times.txt</v>
      </c>
      <c r="AI3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{"issue":{"subject":"","project_id":79,"tracker_id":40,"status_id":1,"priority_id":2,"assigned_to_id":23,"start_date":"2017-03-15","description":"","custom_fields":[{"id":1,"name":"Subdivision","value":"EC"},{"id":4,"name":"Milepost","value":"0.013"},{"id":17,"name":"Train ID","value":"120-15"},{"id":16,"name":"Locomotive ID","value":"4026"},{"id":130,"name":"Impact","value":""},{"id":150,"name":"Time of Event (Mountain Time)","value":"07:42:29"},{"id":151,"name":"Denver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4026 --day 2017-03-15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660</v>
      </c>
      <c r="B34" s="7">
        <v>4011</v>
      </c>
      <c r="C34" s="21" t="s">
        <v>230</v>
      </c>
      <c r="D34" s="21" t="s">
        <v>239</v>
      </c>
      <c r="E34" s="13">
        <v>42809.257627314815</v>
      </c>
      <c r="F34" s="13">
        <v>42809.260601851849</v>
      </c>
      <c r="G34" s="7">
        <v>2</v>
      </c>
      <c r="H34" s="21" t="s">
        <v>234</v>
      </c>
      <c r="I34" s="13">
        <v>42809.287800925929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GUZMAN DANNY</v>
      </c>
      <c r="M34" s="6">
        <f t="shared" si="1"/>
        <v>2.7199074080272112E-2</v>
      </c>
      <c r="N34" s="7">
        <f t="shared" si="21"/>
        <v>39.166666675591841</v>
      </c>
      <c r="O34" s="7"/>
      <c r="P34" s="7"/>
      <c r="Q34" s="22"/>
      <c r="R34" s="22"/>
      <c r="S34" s="31">
        <f t="shared" si="22"/>
        <v>1</v>
      </c>
      <c r="T34" s="46" t="str">
        <f t="shared" si="4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-15T05:10:59-0600',mode:absolute,to:'2017-03-15T07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4.4200000000000003E-2</v>
      </c>
      <c r="Z34" s="62">
        <f t="shared" si="9"/>
        <v>23.328900000000001</v>
      </c>
      <c r="AA34" s="62">
        <f t="shared" si="10"/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0121-15</v>
      </c>
      <c r="AE34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34" s="82" t="str">
        <f t="shared" si="13"/>
        <v>"C:\Program Files (x86)\AstroGrep\AstroGrep.exe" /e /r /s /spath="%USERPROFILE%\AppData\Local\Temp\OnboardLogs" /stypes="app*4011*20170315*" /stext=" 12:.+((SYSTEM_STATE.+slice.+state.+changed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121-15 --locoid 4011 --swversion DE.1.0.9.0 --startMP 204:442 --initTime 2017-03-15T06:10:59 --startdatetime 2017-03-15T06:15:16 --delay 2 --endMP 204:233289 --enddatetime 2017-03-15T06:54:26 --enforcementcount 0 &gt;&gt;C:\Users\stu\Documents\GitHub\eaglep3-reporting\EC\2017-03-15-refined-times.txt</v>
      </c>
      <c r="AI3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{"issue":{"subject":"","project_id":79,"tracker_id":40,"status_id":1,"priority_id":2,"assigned_to_id":23,"start_date":"2017-03-15","description":"","custom_fields":[{"id":1,"name":"Subdivision","value":"EC"},{"id":4,"name":"Milepost","value":"23.3289"},{"id":17,"name":"Train ID","value":"121-15"},{"id":16,"name":"Locomotive ID","value":"4011"},{"id":130,"name":"Impact","value":""},{"id":150,"name":"Time of Event (Mountain Time)","value":"06:54:26"},{"id":151,"name":"Denver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4011 --day 2017-03-15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583</v>
      </c>
      <c r="B35" s="7">
        <v>4012</v>
      </c>
      <c r="C35" s="21" t="s">
        <v>230</v>
      </c>
      <c r="D35" s="21" t="s">
        <v>436</v>
      </c>
      <c r="E35" s="13">
        <v>42809.297164351854</v>
      </c>
      <c r="F35" s="13">
        <v>42809.300023148149</v>
      </c>
      <c r="G35" s="7">
        <v>1</v>
      </c>
      <c r="H35" s="21" t="s">
        <v>848</v>
      </c>
      <c r="I35" s="13">
        <v>42809.328425925924</v>
      </c>
      <c r="J35" s="7">
        <v>0</v>
      </c>
      <c r="K35" s="98" t="str">
        <f t="shared" si="0"/>
        <v>4011/4012</v>
      </c>
      <c r="L35" s="21" t="str">
        <f>VLOOKUP(A35,'Trips&amp;Operators'!$C$1:$G$99999,5,FALSE)</f>
        <v>GUZMAN DANNY</v>
      </c>
      <c r="M35" s="6">
        <f t="shared" si="1"/>
        <v>2.8402777774317656E-2</v>
      </c>
      <c r="N35" s="7">
        <f t="shared" si="21"/>
        <v>40.899999995017424</v>
      </c>
      <c r="O35" s="7"/>
      <c r="P35" s="7"/>
      <c r="Q35" s="22"/>
      <c r="R35" s="22"/>
      <c r="S35" s="31">
        <f t="shared" si="22"/>
        <v>1</v>
      </c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23.298500000000001</v>
      </c>
      <c r="Z35" s="62">
        <f t="shared" si="9"/>
        <v>2.0500000000000001E-2</v>
      </c>
      <c r="AA35" s="62">
        <f t="shared" si="10"/>
        <v>23.278000000000002</v>
      </c>
      <c r="AB35" s="59" t="str">
        <f>VLOOKUP(A35,Enforcements!$C$7:$K$13,8,0)</f>
        <v>Bulletin (2)</v>
      </c>
      <c r="AC35" s="55" t="str">
        <f>VLOOKUP(A35,Enforcements!$C$7:$E$13,3,0)</f>
        <v>GRADE CROSSING</v>
      </c>
      <c r="AD35" s="56" t="str">
        <f t="shared" si="11"/>
        <v>0122-15</v>
      </c>
      <c r="AE35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35" s="82" t="str">
        <f t="shared" si="13"/>
        <v>"C:\Program Files (x86)\AstroGrep\AstroGrep.exe" /e /r /s /spath="%USERPROFILE%\AppData\Local\Temp\OnboardLogs" /stypes="app*4012*20170315*"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122-15 --locoid 4012 --swversion DE.1.0.9.0 --startMP 204:232985 --initTime 2017-03-15T07:07:55 --startdatetime 2017-03-15T07:12:02 --delay 1 --endMP 204:205 --enddatetime 2017-03-15T07:52:56 --enforcementcount 0 &gt;&gt;C:\Users\stu\Documents\GitHub\eaglep3-reporting\EC\2017-03-15-refined-times.txt</v>
      </c>
      <c r="AI3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{"issue":{"subject":"","project_id":79,"tracker_id":40,"status_id":1,"priority_id":2,"assigned_to_id":23,"start_date":"2017-03-15","description":"","custom_fields":[{"id":1,"name":"Subdivision","value":"EC"},{"id":4,"name":"Milepost","value":"0.0205"},{"id":17,"name":"Train ID","value":"122-15"},{"id":16,"name":"Locomotive ID","value":"4012"},{"id":130,"name":"Impact","value":""},{"id":150,"name":"Time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4012 --day 2017-03-15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661</v>
      </c>
      <c r="B36" s="7">
        <v>4051</v>
      </c>
      <c r="C36" s="21" t="s">
        <v>230</v>
      </c>
      <c r="D36" s="21" t="s">
        <v>217</v>
      </c>
      <c r="E36" s="13">
        <v>42809.266261574077</v>
      </c>
      <c r="F36" s="13">
        <v>42809.271099537036</v>
      </c>
      <c r="G36" s="7">
        <v>1</v>
      </c>
      <c r="H36" s="21" t="s">
        <v>849</v>
      </c>
      <c r="I36" s="13">
        <v>42809.299375000002</v>
      </c>
      <c r="J36" s="7">
        <v>0</v>
      </c>
      <c r="K36" s="98" t="str">
        <f t="shared" si="0"/>
        <v>4051/4052</v>
      </c>
      <c r="L36" s="21" t="str">
        <f>VLOOKUP(A36,'Trips&amp;Operators'!$C$1:$G$99999,5,FALSE)</f>
        <v>SANTIZO D. EDY</v>
      </c>
      <c r="M36" s="6">
        <f t="shared" si="1"/>
        <v>2.8275462966121268E-2</v>
      </c>
      <c r="N36" s="7">
        <f t="shared" si="21"/>
        <v>40.716666671214625</v>
      </c>
      <c r="O36" s="7"/>
      <c r="P36" s="7"/>
      <c r="Q36" s="22"/>
      <c r="R36" s="22"/>
      <c r="S36" s="31">
        <f t="shared" si="22"/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-15T05:23:25-0600',mode:absolute,to:'2017-03-15T08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4.5499999999999999E-2</v>
      </c>
      <c r="Z36" s="62">
        <f t="shared" si="9"/>
        <v>23.331600000000002</v>
      </c>
      <c r="AA36" s="62">
        <f t="shared" si="10"/>
        <v>23.286100000000001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0123-15</v>
      </c>
      <c r="AE36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36" s="82" t="str">
        <f t="shared" si="13"/>
        <v>"C:\Program Files (x86)\AstroGrep\AstroGrep.exe" /e /r /s /spath="%USERPROFILE%\AppData\Local\Temp\OnboardLogs" /stypes="app*4051*20170315*"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123-15 --locoid 4051 --swversion DE.1.0.9.0 --startMP 204:455 --initTime 2017-03-15T06:23:25 --startdatetime 2017-03-15T06:30:23 --delay 1 --endMP 204:233316 --enddatetime 2017-03-15T07:11:06 --enforcementcount 0 &gt;&gt;C:\Users\stu\Documents\GitHub\eaglep3-reporting\EC\2017-03-15-refined-times.txt</v>
      </c>
      <c r="AI3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{"issue":{"subject":"","project_id":79,"tracker_id":40,"status_id":1,"priority_id":2,"assigned_to_id":23,"start_date":"2017-03-15","description":"","custom_fields":[{"id":1,"name":"Subdivision","value":"EC"},{"id":4,"name":"Milepost","value":"23.3316"},{"id":17,"name":"Train ID","value":"123-15"},{"id":16,"name":"Locomotive ID","value":"4051"},{"id":130,"name":"Impact","value":""},{"id":150,"name":"Time of Event (Mountain Time)","value":"07:11:06"},{"id":151,"name":"Denver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4051 --day 2017-03-15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666</v>
      </c>
      <c r="B37" s="7">
        <v>4052</v>
      </c>
      <c r="C37" s="21" t="s">
        <v>230</v>
      </c>
      <c r="D37" s="21" t="s">
        <v>432</v>
      </c>
      <c r="E37" s="13">
        <v>42809.301631944443</v>
      </c>
      <c r="F37" s="13">
        <v>42809.310347222221</v>
      </c>
      <c r="G37" s="7">
        <v>1</v>
      </c>
      <c r="H37" s="21" t="s">
        <v>542</v>
      </c>
      <c r="I37" s="13">
        <v>42809.338379629633</v>
      </c>
      <c r="J37" s="7">
        <v>0</v>
      </c>
      <c r="K37" s="98" t="str">
        <f t="shared" si="0"/>
        <v>4051/4052</v>
      </c>
      <c r="L37" s="21" t="str">
        <f>VLOOKUP(A37,'Trips&amp;Operators'!$C$1:$G$99999,5,FALSE)</f>
        <v>SANTIZO D. EDY</v>
      </c>
      <c r="M37" s="6">
        <f t="shared" si="1"/>
        <v>2.8032407411956228E-2</v>
      </c>
      <c r="N37" s="7">
        <f t="shared" si="21"/>
        <v>40.366666673216969</v>
      </c>
      <c r="O37" s="7"/>
      <c r="P37" s="7"/>
      <c r="Q37" s="22"/>
      <c r="R37" s="22"/>
      <c r="S37" s="31">
        <f t="shared" si="22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-15T06:14:21-0600',mode:absolute,to:'2017-03-15T09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23.298400000000001</v>
      </c>
      <c r="Z37" s="62">
        <f t="shared" si="9"/>
        <v>1.6299999999999999E-2</v>
      </c>
      <c r="AA37" s="62">
        <f t="shared" si="10"/>
        <v>23.2821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0124-15</v>
      </c>
      <c r="AE37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37" s="82" t="str">
        <f t="shared" si="13"/>
        <v>"C:\Program Files (x86)\AstroGrep\AstroGrep.exe" /e /r /s /spath="%USERPROFILE%\AppData\Local\Temp\OnboardLogs" /stypes="app*4052*20170315*"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124-15 --locoid 4052 --swversion DE.1.0.9.0 --startMP 204:232984 --initTime 2017-03-15T07:14:21 --startdatetime 2017-03-15T07:26:54 --delay 1 --endMP 204:163 --enddatetime 2017-03-15T08:07:16 --enforcementcount 0 &gt;&gt;C:\Users\stu\Documents\GitHub\eaglep3-reporting\EC\2017-03-15-refined-times.txt</v>
      </c>
      <c r="AI3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ID","value":"124-15"},{"id":16,"name":"Locomotive ID","value":"4052"},{"id":130,"name":"Impact","value":""},{"id":150,"name":"Time of Event (Mountain Time)","value":"08:07:16"},{"id":151,"name":"Denver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4052 --day 2017-03-15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578</v>
      </c>
      <c r="B38" s="7">
        <v>4020</v>
      </c>
      <c r="C38" s="21" t="s">
        <v>230</v>
      </c>
      <c r="D38" s="21" t="s">
        <v>209</v>
      </c>
      <c r="E38" s="13">
        <v>42809.277916666666</v>
      </c>
      <c r="F38" s="13">
        <v>42809.281493055554</v>
      </c>
      <c r="G38" s="7">
        <v>2</v>
      </c>
      <c r="H38" s="21" t="s">
        <v>484</v>
      </c>
      <c r="I38" s="13">
        <v>42809.306932870371</v>
      </c>
      <c r="J38" s="7">
        <v>0</v>
      </c>
      <c r="K38" s="98" t="str">
        <f t="shared" si="0"/>
        <v>4019/4020</v>
      </c>
      <c r="L38" s="21" t="str">
        <f>VLOOKUP(A38,'Trips&amp;Operators'!$C$1:$G$99999,5,FALSE)</f>
        <v>ROCHA YAOTL</v>
      </c>
      <c r="M38" s="6">
        <f t="shared" si="1"/>
        <v>2.5439814817218576E-2</v>
      </c>
      <c r="N38" s="7">
        <f t="shared" si="21"/>
        <v>36.633333336794749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-15T05:40:12-0600',mode:absolute,to:'2017-03-15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4.5100000000000001E-2</v>
      </c>
      <c r="Z38" s="62">
        <f t="shared" si="9"/>
        <v>23.331900000000001</v>
      </c>
      <c r="AA38" s="62">
        <f t="shared" si="10"/>
        <v>23.286799999999999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11"/>
        <v>0125-15</v>
      </c>
      <c r="AE38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38" s="82" t="str">
        <f t="shared" si="13"/>
        <v>"C:\Program Files (x86)\AstroGrep\AstroGrep.exe" /e /r /s /spath="%USERPROFILE%\AppData\Local\Temp\OnboardLogs" /stypes="app*4020*20170315*"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125-15 --locoid 4020 --swversion DE.1.0.9.0 --startMP 204:451 --initTime 2017-03-15T06:40:12 --startdatetime 2017-03-15T06:45:21 --delay 2 --endMP 204:233319 --enddatetime 2017-03-15T07:21:59 --enforcementcount 0 &gt;&gt;C:\Users\stu\Documents\GitHub\eaglep3-reporting\EC\2017-03-15-refined-times.txt</v>
      </c>
      <c r="AI3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ID","value":"125-15"},{"id":16,"name":"Locomotive ID","value":"4020"},{"id":130,"name":"Impact","value":""},{"id":150,"name":"Time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4020 --day 2017-03-15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672</v>
      </c>
      <c r="B39" s="7">
        <v>4019</v>
      </c>
      <c r="C39" s="21" t="s">
        <v>230</v>
      </c>
      <c r="D39" s="21" t="s">
        <v>387</v>
      </c>
      <c r="E39" s="13">
        <v>42809.318136574075</v>
      </c>
      <c r="F39" s="13">
        <v>42809.320462962962</v>
      </c>
      <c r="G39" s="7">
        <v>1</v>
      </c>
      <c r="H39" s="21" t="s">
        <v>841</v>
      </c>
      <c r="I39" s="13">
        <v>42809.34851851852</v>
      </c>
      <c r="J39" s="7">
        <v>0</v>
      </c>
      <c r="K39" s="98" t="str">
        <f t="shared" si="0"/>
        <v>4019/4020</v>
      </c>
      <c r="L39" s="21" t="str">
        <f>VLOOKUP(A39,'Trips&amp;Operators'!$C$1:$G$99999,5,FALSE)</f>
        <v>ROCHA YAOTL</v>
      </c>
      <c r="M39" s="6">
        <f t="shared" si="1"/>
        <v>2.8055555558239575E-2</v>
      </c>
      <c r="N39" s="7">
        <f t="shared" si="21"/>
        <v>40.400000003864989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-15T06:38:07-0600',mode:absolute,to:'2017-03-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23.299299999999999</v>
      </c>
      <c r="Z39" s="62">
        <f t="shared" si="9"/>
        <v>1.43E-2</v>
      </c>
      <c r="AA39" s="62">
        <f t="shared" si="10"/>
        <v>23.285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0126-15</v>
      </c>
      <c r="AE39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39" s="82" t="str">
        <f t="shared" si="13"/>
        <v>"C:\Program Files (x86)\AstroGrep\AstroGrep.exe" /e /r /s /spath="%USERPROFILE%\AppData\Local\Temp\OnboardLogs" /stypes="app*4019*20170315*"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126-15 --locoid 4019 --swversion DE.1.0.9.0 --startMP 204:232993 --initTime 2017-03-15T07:38:07 --startdatetime 2017-03-15T07:41:28 --delay 1 --endMP 204:143 --enddatetime 2017-03-15T08:21:52 --enforcementcount 0 &gt;&gt;C:\Users\stu\Documents\GitHub\eaglep3-reporting\EC\2017-03-15-refined-times.txt</v>
      </c>
      <c r="AI3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ID","value":"126-15"},{"id":16,"name":"Locomotive ID","value":"4019"},{"id":130,"name":"Impact","value":""},{"id":150,"name":"Time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4019 --day 2017-03-15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579</v>
      </c>
      <c r="B40" s="7">
        <v>4040</v>
      </c>
      <c r="C40" s="21" t="s">
        <v>230</v>
      </c>
      <c r="D40" s="21" t="s">
        <v>387</v>
      </c>
      <c r="E40" s="13">
        <v>42809.318136574075</v>
      </c>
      <c r="F40" s="13">
        <v>42809.289861111109</v>
      </c>
      <c r="G40" s="7">
        <v>1</v>
      </c>
      <c r="H40" s="21" t="s">
        <v>841</v>
      </c>
      <c r="I40" s="13">
        <v>42809.29347222222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3.6111111112404615E-3</v>
      </c>
      <c r="N40" s="7"/>
      <c r="O40" s="7"/>
      <c r="P40" s="7">
        <f>24*60*SUM($M40:$M40)</f>
        <v>5.2000000001862645</v>
      </c>
      <c r="Q40" s="22"/>
      <c r="R40" s="22" t="s">
        <v>1025</v>
      </c>
      <c r="S40" s="31">
        <f t="shared" si="22"/>
        <v>0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-15T06:38:07-0600',mode:absolute,to:'2017-03-15T08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23.299299999999999</v>
      </c>
      <c r="Z40" s="62">
        <f t="shared" si="9"/>
        <v>1.43E-2</v>
      </c>
      <c r="AA40" s="62">
        <f t="shared" si="10"/>
        <v>23.285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0127-15</v>
      </c>
      <c r="AE40" s="85" t="str">
        <f t="shared" si="1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40" s="82" t="str">
        <f t="shared" si="13"/>
        <v>"C:\Program Files (x86)\AstroGrep\AstroGrep.exe" /e /r /s /spath="%USERPROFILE%\AppData\Local\Temp\OnboardLogs" /stypes="app*4040*20170315*"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ref="AH40" si="23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127-15 --locoid 4040 --swversion DE.1.0.9.0 --startMP 204:232993 --initTime 2017-03-15T07:38:07 --startdatetime 2017-03-15T06:57:24 --delay 1 --endMP 204:143 --enddatetime 2017-03-15T07:02:36 --enforcementcount 0 &gt;&gt;C:\Users\stu\Documents\GitHub\eaglep3-reporting\EC\2017-03-15-refined-times.txt</v>
      </c>
      <c r="AI40" s="108" t="str">
        <f t="shared" ref="AI40" si="24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{"issue":{"subject":"Onboard in-route failure while on DUS XO","project_id":79,"tracker_id":40,"status_id":1,"priority_id":2,"assigned_to_id":23,"start_date":"2017-03-15","description":"","custom_fields":[{"id":1,"name":"Subdivision","value":"EC"},{"id":4,"name":"Milepost","value":"0.0143"},{"id":17,"name":"Train ID","value":"127-15"},{"id":16,"name":"Locomotive ID","value":"4040"},{"id":130,"name":"Impact","value":""},{"id":150,"name":"Time of Event (Mountain Time)","value":"07:02:36"},{"id":151,"name":"Denver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ref="AM40" si="25">"start /low /b "&amp;dls3logs&amp;" --loco "&amp;B40&amp;" --day "&amp;TEXT(F40,"YYYY-MM-DD")</f>
        <v>start /low /b %USERPROFILE%\Documents\GitHub\eaglep3\Utilities\DownloadLogsFromS3.py --loco 4040 --day 2017-03-15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</row>
    <row r="41" spans="1:91" s="1" customFormat="1" x14ac:dyDescent="0.25">
      <c r="A41" s="33" t="s">
        <v>1033</v>
      </c>
      <c r="B41" s="7">
        <v>4039</v>
      </c>
      <c r="C41" s="21" t="s">
        <v>230</v>
      </c>
      <c r="D41" s="21" t="s">
        <v>387</v>
      </c>
      <c r="E41" s="13">
        <v>42809.318136574075</v>
      </c>
      <c r="F41" s="13">
        <v>42809.333333333336</v>
      </c>
      <c r="G41" s="7">
        <v>1</v>
      </c>
      <c r="H41" s="21" t="s">
        <v>841</v>
      </c>
      <c r="I41" s="13">
        <v>42809.334027777775</v>
      </c>
      <c r="J41" s="7">
        <v>0</v>
      </c>
      <c r="K41" s="98" t="str">
        <f t="shared" ref="K41" si="26">IF(ISEVEN(B41),(B41-1)&amp;"/"&amp;B41,B41&amp;"/"&amp;(B41+1))</f>
        <v>4039/4040</v>
      </c>
      <c r="L41" s="21" t="e">
        <f>VLOOKUP(A41,'Trips&amp;Operators'!$C$1:$G$99999,5,FALSE)</f>
        <v>#N/A</v>
      </c>
      <c r="M41" s="6">
        <f t="shared" ref="M41" si="27">I41-F41</f>
        <v>6.9444443943211809E-4</v>
      </c>
      <c r="N41" s="7"/>
      <c r="O41" s="7"/>
      <c r="P41" s="7">
        <f>24*60*SUM($M41:$M41)</f>
        <v>0.99999999278225005</v>
      </c>
      <c r="Q41" s="22"/>
      <c r="R41" s="22" t="s">
        <v>1034</v>
      </c>
      <c r="S41" s="31">
        <f t="shared" ref="S41" si="28">SUM(U41:U41)/IF(AG41="EC",12,1)</f>
        <v>1</v>
      </c>
      <c r="T41" s="46" t="str">
        <f t="shared" ref="T41" si="29">IF(ISEVEN(LEFT(AD41,4)),"Southbound","NorthBound")</f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ref="V41" si="30"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-15T06:38:07-0600',mode:absolute,to:'2017-03-15T09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87" t="str">
        <f t="shared" ref="W41" si="31">IF(AA41&lt;IF(AG41="EC",23,5.65),"Y","N")</f>
        <v>N</v>
      </c>
      <c r="X41" s="187">
        <f t="shared" si="7"/>
        <v>1</v>
      </c>
      <c r="Y41" s="62">
        <f t="shared" ref="Y41" si="32">RIGHT(D41,LEN(D41)-4)/10000</f>
        <v>23.299299999999999</v>
      </c>
      <c r="Z41" s="62">
        <f t="shared" ref="Z41" si="33">RIGHT(H41,LEN(H41)-4)/10000</f>
        <v>1.43E-2</v>
      </c>
      <c r="AA41" s="62">
        <f t="shared" ref="AA41" si="34">ABS(Z41-Y41)</f>
        <v>23.285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ref="AD41" si="35">IF(LEN(A41)=6,"0"&amp;A41,A41)</f>
        <v>0128-15</v>
      </c>
      <c r="AE41" s="85" t="str">
        <f t="shared" ref="AE41" si="36"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41" s="82" t="str">
        <f t="shared" ref="AF41" si="37"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/stypes="app*4039*20170315*" /stext=" 14:.+((SYSTEM_STATE.+slice.+state.+changed )|(ment ac)|(multiple cpu faults)|(system.+state.+changed )|(\[timeout)|(PRM\|1\|D)|(kpr)|(kdp)|(\|lc)|(penalty))"</v>
      </c>
      <c r="AG41" s="1" t="str">
        <f t="shared" ref="AG41" si="38">IFERROR(IF(VALUE(LEFT(AD41,2))&lt;=2,"EC",IF(OR(VALUE(LEFT(AD41,2))=8,VALUE(LEFT(AD41,2))=18),"NW","Other")),"Other")</f>
        <v>EC</v>
      </c>
      <c r="AH41" s="86" t="str">
        <f t="shared" ref="AH41" si="39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128-15 --locoid 4039 --swversion DE.1.0.9.0 --startMP 204:232993 --initTime 2017-03-15T07:38:07 --startdatetime 2017-03-15T08:00:00 --delay 1 --endMP 204:143 --enddatetime 2017-03-15T08:01:00 --enforcementcount 0 &gt;&gt;C:\Users\stu\Documents\GitHub\eaglep3-reporting\EC\2017-03-15-refined-times.txt</v>
      </c>
      <c r="AI41" s="108" t="str">
        <f t="shared" ref="AI41" si="40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{"issue":{"subject":"Ran ATC-only due to failure on 127-15","project_id":79,"tracker_id":40,"status_id":1,"priority_id":2,"assigned_to_id":23,"start_date":"2017-03-15","description":"","custom_fields":[{"id":1,"name":"Subdivision","value":"EC"},{"id":4,"name":"Milepost","value":"0.0143"},{"id":17,"name":"Train ID","value":"128-15"},{"id":16,"name":"Locomotive ID","value":"4039"},{"id":130,"name":"Impact","value":""},{"id":150,"name":"Time of Event (Mountain Time)","value":"08:01:00"},{"id":151,"name":"Denver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ref="AM41" si="41">"start /low /b "&amp;dls3logs&amp;" --loco "&amp;B41&amp;" --day "&amp;TEXT(F41,"YYYY-MM-DD")</f>
        <v>start /low /b %USERPROFILE%\Documents\GitHub\eaglep3\Utilities\DownloadLogsFromS3.py --loco 4039 --day 2017-03-15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</row>
    <row r="42" spans="1:91" s="1" customFormat="1" x14ac:dyDescent="0.25">
      <c r="A42" s="33" t="s">
        <v>676</v>
      </c>
      <c r="B42" s="7">
        <v>4001</v>
      </c>
      <c r="C42" s="21" t="s">
        <v>230</v>
      </c>
      <c r="D42" s="21" t="s">
        <v>467</v>
      </c>
      <c r="E42" s="13">
        <v>42809.339236111111</v>
      </c>
      <c r="F42" s="13">
        <v>42809.342187499999</v>
      </c>
      <c r="G42" s="7">
        <v>1</v>
      </c>
      <c r="H42" s="21" t="s">
        <v>850</v>
      </c>
      <c r="I42" s="13">
        <v>42809.373657407406</v>
      </c>
      <c r="J42" s="7">
        <v>0</v>
      </c>
      <c r="K42" s="98" t="str">
        <f t="shared" ref="K42:K73" si="42">IF(ISEVEN(B42),(B42-1)&amp;"/"&amp;B42,B42&amp;"/"&amp;(B42+1))</f>
        <v>4001/4002</v>
      </c>
      <c r="L42" s="21" t="str">
        <f>VLOOKUP(A42,'Trips&amp;Operators'!$C$1:$G$99999,5,FALSE)</f>
        <v>YANAI IAN</v>
      </c>
      <c r="M42" s="6">
        <f t="shared" ref="M42:M73" si="43">I42-F42</f>
        <v>3.1469907407881692E-2</v>
      </c>
      <c r="N42" s="7">
        <f t="shared" ref="N42:N65" si="44">24*60*SUM($M42:$M42)</f>
        <v>45.316666667349637</v>
      </c>
      <c r="O42" s="7"/>
      <c r="P42" s="7"/>
      <c r="Q42" s="22"/>
      <c r="R42" s="22"/>
      <c r="S42" s="31">
        <f t="shared" ref="S42:S66" si="45">SUM(U42:U42)/IF(AG42="EC",12,1)</f>
        <v>1</v>
      </c>
      <c r="T42" s="46" t="str">
        <f t="shared" ref="T42:T73" si="46"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-15T07:08:30-0600',mode:absolute,to:'2017-03-15T09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7" t="str">
        <f t="shared" ref="W42:W73" si="47">IF(AA42&lt;IF(AG42="EC",23,5.65),"Y","N")</f>
        <v>N</v>
      </c>
      <c r="X42" s="187">
        <f t="shared" si="7"/>
        <v>2</v>
      </c>
      <c r="Y42" s="62">
        <f t="shared" ref="Y42:Y73" si="48">RIGHT(D42,LEN(D42)-4)/10000</f>
        <v>23.2987</v>
      </c>
      <c r="Z42" s="62">
        <f t="shared" ref="Z42:Z73" si="49">RIGHT(H42,LEN(H42)-4)/10000</f>
        <v>1.34E-2</v>
      </c>
      <c r="AA42" s="62">
        <f t="shared" ref="AA42:AA73" si="50">ABS(Z42-Y42)</f>
        <v>23.285299999999999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ref="AD42:AD73" si="51">IF(LEN(A42)=6,"0"&amp;A42,A42)</f>
        <v>0130-15</v>
      </c>
      <c r="AE42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42" s="82" t="str">
        <f t="shared" si="13"/>
        <v>"C:\Program Files (x86)\AstroGrep\AstroGrep.exe" /e /r /s /spath="%USERPROFILE%\AppData\Local\Temp\OnboardLogs" /stypes="app*4001*20170315*" /stext=" 14:.+((SYSTEM_STATE.+slice.+state.+changed )|(ment ac)|(multiple cpu faults)|(system.+state.+changed )|(\[timeout)|(PRM\|1\|D)|(kpr)|(kdp)|(\|lc)|(penalty))"</v>
      </c>
      <c r="AG42" s="1" t="str">
        <f t="shared" ref="AG42:AG73" si="52">IFERROR(IF(VALUE(LEFT(AD42,2))&lt;=2,"EC",IF(OR(VALUE(LEFT(AD42,2))=8,VALUE(LEFT(AD42,2))=18),"NW","Other")),"Other")</f>
        <v>EC</v>
      </c>
      <c r="AH42" s="86" t="str">
        <f t="shared" si="18"/>
        <v>"%USERPROFILE%\Documents\GitHub\eaglep3\Utilities\RefineRTDCRunTimes.py" --tripid 130-15 --locoid 4001 --swversion DE.1.0.9.0 --startMP 204:232987 --initTime 2017-03-15T08:08:30 --startdatetime 2017-03-15T08:12:45 --delay 1 --endMP 204:134 --enddatetime 2017-03-15T08:58:04 --enforcementcount 0 &gt;&gt;C:\Users\stu\Documents\GitHub\eaglep3-reporting\EC\2017-03-15-refined-times.txt</v>
      </c>
      <c r="AI4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{"issue":{"subject":"","project_id":79,"tracker_id":40,"status_id":1,"priority_id":2,"assigned_to_id":23,"start_date":"2017-03-15","description":"","custom_fields":[{"id":1,"name":"Subdivision","value":"EC"},{"id":4,"name":"Milepost","value":"0.0134"},{"id":17,"name":"Train ID","value":"130-15"},{"id":16,"name":"Locomotive ID","value":"4001"},{"id":130,"name":"Impact","value":""},{"id":150,"name":"Time of Event (Mountain Time)","value":"08:58:04"},{"id":151,"name":"Denver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4001 --day 2017-03-15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585</v>
      </c>
      <c r="B43" s="7">
        <v>4042</v>
      </c>
      <c r="C43" s="21" t="s">
        <v>230</v>
      </c>
      <c r="D43" s="21" t="s">
        <v>851</v>
      </c>
      <c r="E43" s="13">
        <v>42809.315381944441</v>
      </c>
      <c r="F43" s="13">
        <v>42809.316932870373</v>
      </c>
      <c r="G43" s="7">
        <v>1</v>
      </c>
      <c r="H43" s="21" t="s">
        <v>852</v>
      </c>
      <c r="I43" s="13">
        <v>42809.344641203701</v>
      </c>
      <c r="J43" s="7">
        <v>0</v>
      </c>
      <c r="K43" s="98" t="str">
        <f t="shared" si="42"/>
        <v>4041/4042</v>
      </c>
      <c r="L43" s="21" t="str">
        <f>VLOOKUP(A43,'Trips&amp;Operators'!$C$1:$G$99999,5,FALSE)</f>
        <v>STARKS ANGELINA</v>
      </c>
      <c r="M43" s="6">
        <f t="shared" si="43"/>
        <v>2.770833332760958E-2</v>
      </c>
      <c r="N43" s="7">
        <f t="shared" si="44"/>
        <v>39.899999991757795</v>
      </c>
      <c r="O43" s="7"/>
      <c r="P43" s="7"/>
      <c r="Q43" s="22"/>
      <c r="R43" s="22"/>
      <c r="S43" s="31">
        <f t="shared" si="45"/>
        <v>1</v>
      </c>
      <c r="T43" s="46" t="str">
        <f t="shared" si="46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-15T06:34:09-0600',mode:absolute,to:'2017-03-15T09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87" t="str">
        <f t="shared" si="47"/>
        <v>N</v>
      </c>
      <c r="X43" s="187">
        <f t="shared" si="7"/>
        <v>1</v>
      </c>
      <c r="Y43" s="62">
        <f t="shared" si="48"/>
        <v>4.7800000000000002E-2</v>
      </c>
      <c r="Z43" s="62">
        <f t="shared" si="49"/>
        <v>23.332000000000001</v>
      </c>
      <c r="AA43" s="62">
        <f t="shared" si="50"/>
        <v>23.284200000000002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51"/>
        <v>0131-15</v>
      </c>
      <c r="AE43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43" s="82" t="str">
        <f t="shared" si="13"/>
        <v>"C:\Program Files (x86)\AstroGrep\AstroGrep.exe" /e /r /s /spath="%USERPROFILE%\AppData\Local\Temp\OnboardLogs" /stypes="app*4042*20170315*" /stext=" 14:.+((SYSTEM_STATE.+slice.+state.+changed )|(ment ac)|(multiple cpu faults)|(system.+state.+changed )|(\[timeout)|(PRM\|1\|D)|(kpr)|(kdp)|(\|lc)|(penalty))"</v>
      </c>
      <c r="AG43" s="1" t="str">
        <f t="shared" si="52"/>
        <v>EC</v>
      </c>
      <c r="AH43" s="86" t="str">
        <f t="shared" si="18"/>
        <v>"%USERPROFILE%\Documents\GitHub\eaglep3\Utilities\RefineRTDCRunTimes.py" --tripid 131-15 --locoid 4042 --swversion DE.1.0.9.0 --startMP 204:478 --initTime 2017-03-15T07:34:09 --startdatetime 2017-03-15T07:36:23 --delay 1 --endMP 204:233320 --enddatetime 2017-03-15T08:16:17 --enforcementcount 0 &gt;&gt;C:\Users\stu\Documents\GitHub\eaglep3-reporting\EC\2017-03-15-refined-times.txt</v>
      </c>
      <c r="AI4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{"issue":{"subject":"","project_id":79,"tracker_id":40,"status_id":1,"priority_id":2,"assigned_to_id":23,"start_date":"2017-03-15","description":"","custom_fields":[{"id":1,"name":"Subdivision","value":"EC"},{"id":4,"name":"Milepost","value":"23.332"},{"id":17,"name":"Train ID","value":"131-15"},{"id":16,"name":"Locomotive ID","value":"4042"},{"id":130,"name":"Impact","value":""},{"id":150,"name":"Time of Event (Mountain Time)","value":"08:16:17"},{"id":151,"name":"Denver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4042 --day 2017-03-15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680</v>
      </c>
      <c r="B44" s="7">
        <v>4041</v>
      </c>
      <c r="C44" s="21" t="s">
        <v>230</v>
      </c>
      <c r="D44" s="21" t="s">
        <v>238</v>
      </c>
      <c r="E44" s="13">
        <v>42809.350092592591</v>
      </c>
      <c r="F44" s="13">
        <v>42809.351655092592</v>
      </c>
      <c r="G44" s="7">
        <v>1</v>
      </c>
      <c r="H44" s="21" t="s">
        <v>207</v>
      </c>
      <c r="I44" s="13">
        <v>42809.379861111112</v>
      </c>
      <c r="J44" s="7">
        <v>0</v>
      </c>
      <c r="K44" s="98" t="str">
        <f t="shared" si="42"/>
        <v>4041/4042</v>
      </c>
      <c r="L44" s="21" t="str">
        <f>VLOOKUP(A44,'Trips&amp;Operators'!$C$1:$G$99999,5,FALSE)</f>
        <v>STARKS ANGELINA</v>
      </c>
      <c r="M44" s="6">
        <f t="shared" si="43"/>
        <v>2.8206018519995268E-2</v>
      </c>
      <c r="N44" s="7">
        <f t="shared" si="44"/>
        <v>40.616666668793187</v>
      </c>
      <c r="O44" s="7"/>
      <c r="P44" s="7"/>
      <c r="Q44" s="22"/>
      <c r="R44" s="22"/>
      <c r="S44" s="31">
        <f t="shared" si="45"/>
        <v>1</v>
      </c>
      <c r="T44" s="46" t="str">
        <f t="shared" si="46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-15T07:24:08-0600',mode:absolute,to:'2017-03-15T10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87" t="str">
        <f t="shared" si="47"/>
        <v>N</v>
      </c>
      <c r="X44" s="187">
        <f t="shared" si="7"/>
        <v>1</v>
      </c>
      <c r="Y44" s="62">
        <f t="shared" si="48"/>
        <v>23.3</v>
      </c>
      <c r="Z44" s="62">
        <f t="shared" si="49"/>
        <v>1.54E-2</v>
      </c>
      <c r="AA44" s="62">
        <f t="shared" si="50"/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51"/>
        <v>0132-15</v>
      </c>
      <c r="AE44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44" s="82" t="str">
        <f t="shared" si="13"/>
        <v>"C:\Program Files (x86)\AstroGrep\AstroGrep.exe" /e /r /s /spath="%USERPROFILE%\AppData\Local\Temp\OnboardLogs" /stypes="app*4041*20170315*" /stext=" 15:.+((SYSTEM_STATE.+slice.+state.+changed )|(ment ac)|(multiple cpu faults)|(system.+state.+changed )|(\[timeout)|(PRM\|1\|D)|(kpr)|(kdp)|(\|lc)|(penalty))"</v>
      </c>
      <c r="AG44" s="1" t="str">
        <f t="shared" si="52"/>
        <v>EC</v>
      </c>
      <c r="AH44" s="86" t="str">
        <f t="shared" si="18"/>
        <v>"%USERPROFILE%\Documents\GitHub\eaglep3\Utilities\RefineRTDCRunTimes.py" --tripid 132-15 --locoid 4041 --swversion DE.1.0.9.0 --startMP 204:233000 --initTime 2017-03-15T08:24:08 --startdatetime 2017-03-15T08:26:23 --delay 1 --endMP 204:154 --enddatetime 2017-03-15T09:07:00 --enforcementcount 0 &gt;&gt;C:\Users\stu\Documents\GitHub\eaglep3-reporting\EC\2017-03-15-refined-times.txt</v>
      </c>
      <c r="AI4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ID","value":"132-15"},{"id":16,"name":"Locomotive ID","value":"4041"},{"id":130,"name":"Impact","value":""},{"id":150,"name":"Time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4041 --day 2017-03-15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4053</v>
      </c>
      <c r="C45" s="21" t="s">
        <v>230</v>
      </c>
      <c r="D45" s="21" t="s">
        <v>214</v>
      </c>
      <c r="E45" s="13">
        <v>42809.316666666666</v>
      </c>
      <c r="F45" s="13">
        <v>42809.323217592595</v>
      </c>
      <c r="G45" s="7">
        <v>1</v>
      </c>
      <c r="H45" s="21" t="s">
        <v>548</v>
      </c>
      <c r="I45" s="13">
        <v>42809.349756944444</v>
      </c>
      <c r="J45" s="7">
        <v>0</v>
      </c>
      <c r="K45" s="98" t="str">
        <f t="shared" si="42"/>
        <v>4053/4054</v>
      </c>
      <c r="L45" s="21" t="str">
        <f>VLOOKUP(A45,'Trips&amp;Operators'!$C$1:$G$99999,5,FALSE)</f>
        <v>MAELZER KURT</v>
      </c>
      <c r="M45" s="6">
        <f t="shared" si="43"/>
        <v>2.6539351849351078E-2</v>
      </c>
      <c r="N45" s="7">
        <f t="shared" si="44"/>
        <v>38.216666663065553</v>
      </c>
      <c r="O45" s="7"/>
      <c r="P45" s="7"/>
      <c r="Q45" s="22"/>
      <c r="R45" s="22"/>
      <c r="S45" s="31">
        <f t="shared" si="45"/>
        <v>1</v>
      </c>
      <c r="T45" s="46" t="str">
        <f t="shared" si="46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-15T06:36:00-0600',mode:absolute,to:'2017-03-15T09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87" t="str">
        <f t="shared" si="47"/>
        <v>N</v>
      </c>
      <c r="X45" s="187">
        <f t="shared" si="7"/>
        <v>1</v>
      </c>
      <c r="Y45" s="62">
        <f t="shared" si="48"/>
        <v>4.53E-2</v>
      </c>
      <c r="Z45" s="62">
        <f t="shared" si="49"/>
        <v>23.332100000000001</v>
      </c>
      <c r="AA45" s="62">
        <f t="shared" si="50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51"/>
        <v>0133-15</v>
      </c>
      <c r="AE45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45" s="82" t="str">
        <f t="shared" si="13"/>
        <v>"C:\Program Files (x86)\AstroGrep\AstroGrep.exe" /e /r /s /spath="%USERPROFILE%\AppData\Local\Temp\OnboardLogs" /stypes="app*4053*20170315*" /stext=" 14:.+((SYSTEM_STATE.+slice.+state.+changed )|(ment ac)|(multiple cpu faults)|(system.+state.+changed )|(\[timeout)|(PRM\|1\|D)|(kpr)|(kdp)|(\|lc)|(penalty))"</v>
      </c>
      <c r="AG45" s="1" t="str">
        <f t="shared" si="52"/>
        <v>EC</v>
      </c>
      <c r="AH45" s="86" t="str">
        <f t="shared" si="18"/>
        <v>"%USERPROFILE%\Documents\GitHub\eaglep3\Utilities\RefineRTDCRunTimes.py" --tripid 133-15 --locoid 4053 --swversion DE.1.0.9.0 --startMP 204:453 --initTime 2017-03-15T07:36:00 --startdatetime 2017-03-15T07:45:26 --delay 1 --endMP 204:233321 --enddatetime 2017-03-15T08:23:39 --enforcementcount 0 &gt;&gt;C:\Users\stu\Documents\GitHub\eaglep3-reporting\EC\2017-03-15-refined-times.txt</v>
      </c>
      <c r="AI4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{"issue":{"subject":"","project_id":79,"tracker_id":40,"status_id":1,"priority_id":2,"assigned_to_id":23,"start_date":"2017-03-15","description":"","custom_fields":[{"id":1,"name":"Subdivision","value":"EC"},{"id":4,"name":"Milepost","value":"23.3321"},{"id":17,"name":"Train ID","value":"133-15"},{"id":16,"name":"Locomotive ID","value":"4053"},{"id":130,"name":"Impact","value":""},{"id":150,"name":"Time of Event (Mountain Time)","value":"08:23:39"},{"id":151,"name":"Denver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4053 --day 2017-03-15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682</v>
      </c>
      <c r="B46" s="7">
        <v>4054</v>
      </c>
      <c r="C46" s="21" t="s">
        <v>230</v>
      </c>
      <c r="D46" s="21" t="s">
        <v>546</v>
      </c>
      <c r="E46" s="13">
        <v>42809.356759259259</v>
      </c>
      <c r="F46" s="13">
        <v>42809.362233796295</v>
      </c>
      <c r="G46" s="7">
        <v>0</v>
      </c>
      <c r="H46" s="21" t="s">
        <v>192</v>
      </c>
      <c r="I46" s="13">
        <v>42809.390567129631</v>
      </c>
      <c r="J46" s="7">
        <v>0</v>
      </c>
      <c r="K46" s="98" t="str">
        <f t="shared" si="42"/>
        <v>4053/4054</v>
      </c>
      <c r="L46" s="21" t="str">
        <f>VLOOKUP(A46,'Trips&amp;Operators'!$C$1:$G$99999,5,FALSE)</f>
        <v>MAELZER KURT</v>
      </c>
      <c r="M46" s="6">
        <f t="shared" si="43"/>
        <v>2.8333333335467614E-2</v>
      </c>
      <c r="N46" s="7">
        <f t="shared" si="44"/>
        <v>40.800000003073364</v>
      </c>
      <c r="O46" s="7"/>
      <c r="P46" s="7"/>
      <c r="Q46" s="22"/>
      <c r="R46" s="22"/>
      <c r="S46" s="31">
        <f t="shared" si="45"/>
        <v>1</v>
      </c>
      <c r="T46" s="46" t="str">
        <f t="shared" si="46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-15T07:33:44-0600',mode:absolute,to:'2017-03-15T10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87" t="str">
        <f t="shared" si="47"/>
        <v>N</v>
      </c>
      <c r="X46" s="187">
        <f t="shared" si="7"/>
        <v>1</v>
      </c>
      <c r="Y46" s="62">
        <f t="shared" si="48"/>
        <v>23.301100000000002</v>
      </c>
      <c r="Z46" s="62">
        <f t="shared" si="49"/>
        <v>1.4999999999999999E-2</v>
      </c>
      <c r="AA46" s="62">
        <f t="shared" si="50"/>
        <v>23.286100000000001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51"/>
        <v>0134-15</v>
      </c>
      <c r="AE46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46" s="82" t="str">
        <f t="shared" si="13"/>
        <v>"C:\Program Files (x86)\AstroGrep\AstroGrep.exe" /e /r /s /spath="%USERPROFILE%\AppData\Local\Temp\OnboardLogs" /stypes="app*4054*20170315*" /stext=" 15:.+((SYSTEM_STATE.+slice.+state.+changed )|(ment ac)|(multiple cpu faults)|(system.+state.+changed )|(\[timeout)|(PRM\|1\|D)|(kpr)|(kdp)|(\|lc)|(penalty))"</v>
      </c>
      <c r="AG46" s="1" t="str">
        <f t="shared" si="52"/>
        <v>EC</v>
      </c>
      <c r="AH46" s="86" t="str">
        <f t="shared" si="18"/>
        <v>"%USERPROFILE%\Documents\GitHub\eaglep3\Utilities\RefineRTDCRunTimes.py" --tripid 134-15 --locoid 4054 --swversion DE.1.0.9.0 --startMP 204:233011 --initTime 2017-03-15T08:33:44 --startdatetime 2017-03-15T08:41:37 --delay 0 --endMP 204:150 --enddatetime 2017-03-15T09:22:25 --enforcementcount 0 &gt;&gt;C:\Users\stu\Documents\GitHub\eaglep3-reporting\EC\2017-03-15-refined-times.txt</v>
      </c>
      <c r="AI4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ID","value":"134-15"},{"id":16,"name":"Locomotive ID","value":"4054"},{"id":130,"name":"Impact","value":""},{"id":150,"name":"Time of Event (Mountain Time)","value":"09:22:25"},{"id":151,"name":"Denver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4054 --day 2017-03-15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674</v>
      </c>
      <c r="B47" s="7">
        <v>4025</v>
      </c>
      <c r="C47" s="21" t="s">
        <v>230</v>
      </c>
      <c r="D47" s="21" t="s">
        <v>224</v>
      </c>
      <c r="E47" s="13">
        <v>42809.324421296296</v>
      </c>
      <c r="F47" s="13">
        <v>42809.333807870367</v>
      </c>
      <c r="G47" s="7">
        <v>2</v>
      </c>
      <c r="H47" s="21" t="s">
        <v>853</v>
      </c>
      <c r="I47" s="13">
        <v>42809.358877314815</v>
      </c>
      <c r="J47" s="7">
        <v>0</v>
      </c>
      <c r="K47" s="98" t="str">
        <f t="shared" si="42"/>
        <v>4025/4026</v>
      </c>
      <c r="L47" s="21" t="str">
        <f>VLOOKUP(A47,'Trips&amp;Operators'!$C$1:$G$99999,5,FALSE)</f>
        <v>GEBRETEKLE DAGNEW</v>
      </c>
      <c r="M47" s="6">
        <f t="shared" si="43"/>
        <v>2.5069444447581191E-2</v>
      </c>
      <c r="N47" s="7">
        <f t="shared" si="44"/>
        <v>36.100000004516914</v>
      </c>
      <c r="O47" s="7"/>
      <c r="P47" s="7"/>
      <c r="Q47" s="22"/>
      <c r="R47" s="22"/>
      <c r="S47" s="31">
        <f t="shared" si="45"/>
        <v>1</v>
      </c>
      <c r="T47" s="46" t="str">
        <f t="shared" si="46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-15T06:47:10-0600',mode:absolute,to:'2017-03-15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187" t="str">
        <f t="shared" si="47"/>
        <v>N</v>
      </c>
      <c r="X47" s="187">
        <f t="shared" ref="X47:X73" si="53">VALUE(LEFT(AD47,4))-VALUE(LEFT(AD46,4))</f>
        <v>1</v>
      </c>
      <c r="Y47" s="62">
        <f t="shared" si="48"/>
        <v>4.4699999999999997E-2</v>
      </c>
      <c r="Z47" s="62">
        <f t="shared" si="49"/>
        <v>23.336200000000002</v>
      </c>
      <c r="AA47" s="62">
        <f t="shared" si="50"/>
        <v>23.291500000000003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51"/>
        <v>0135-15</v>
      </c>
      <c r="AE47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47" s="82" t="str">
        <f t="shared" si="13"/>
        <v>"C:\Program Files (x86)\AstroGrep\AstroGrep.exe" /e /r /s /spath="%USERPROFILE%\AppData\Local\Temp\OnboardLogs" /stypes="app*4025*20170315*" /stext=" 14:.+((SYSTEM_STATE.+slice.+state.+changed )|(ment ac)|(multiple cpu faults)|(system.+state.+changed )|(\[timeout)|(PRM\|1\|D)|(kpr)|(kdp)|(\|lc)|(penalty))"</v>
      </c>
      <c r="AG47" s="1" t="str">
        <f t="shared" si="52"/>
        <v>EC</v>
      </c>
      <c r="AH47" s="86" t="str">
        <f t="shared" si="18"/>
        <v>"%USERPROFILE%\Documents\GitHub\eaglep3\Utilities\RefineRTDCRunTimes.py" --tripid 135-15 --locoid 4025 --swversion DE.1.0.9.0 --startMP 204:447 --initTime 2017-03-15T07:47:10 --startdatetime 2017-03-15T08:00:41 --delay 2 --endMP 204:233362 --enddatetime 2017-03-15T08:36:47 --enforcementcount 0 &gt;&gt;C:\Users\stu\Documents\GitHub\eaglep3-reporting\EC\2017-03-15-refined-times.txt</v>
      </c>
      <c r="AI4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{"issue":{"subject":"","project_id":79,"tracker_id":40,"status_id":1,"priority_id":2,"assigned_to_id":23,"start_date":"2017-03-15","description":"","custom_fields":[{"id":1,"name":"Subdivision","value":"EC"},{"id":4,"name":"Milepost","value":"23.3362"},{"id":17,"name":"Train ID","value":"135-15"},{"id":16,"name":"Locomotive ID","value":"4025"},{"id":130,"name":"Impact","value":""},{"id":150,"name":"Time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4025 --day 2017-03-15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683</v>
      </c>
      <c r="B48" s="7">
        <v>4026</v>
      </c>
      <c r="C48" s="21" t="s">
        <v>230</v>
      </c>
      <c r="D48" s="21" t="s">
        <v>854</v>
      </c>
      <c r="E48" s="13">
        <v>42809.362280092595</v>
      </c>
      <c r="F48" s="13">
        <v>42809.372395833336</v>
      </c>
      <c r="G48" s="7">
        <v>1</v>
      </c>
      <c r="H48" s="21" t="s">
        <v>201</v>
      </c>
      <c r="I48" s="13">
        <v>42809.399363425924</v>
      </c>
      <c r="J48" s="7">
        <v>0</v>
      </c>
      <c r="K48" s="98" t="str">
        <f t="shared" si="42"/>
        <v>4025/4026</v>
      </c>
      <c r="L48" s="21" t="str">
        <f>VLOOKUP(A48,'Trips&amp;Operators'!$C$1:$G$99999,5,FALSE)</f>
        <v>GEBRETEKLE DAGNEW</v>
      </c>
      <c r="M48" s="6">
        <f t="shared" si="43"/>
        <v>2.696759258833481E-2</v>
      </c>
      <c r="N48" s="7">
        <f t="shared" si="44"/>
        <v>38.833333327202126</v>
      </c>
      <c r="O48" s="7"/>
      <c r="P48" s="7"/>
      <c r="Q48" s="22"/>
      <c r="R48" s="22"/>
      <c r="S48" s="31">
        <f t="shared" si="45"/>
        <v>1</v>
      </c>
      <c r="T48" s="46" t="str">
        <f t="shared" si="46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-15T07:41:41-0600',mode:absolute,to:'2017-03-15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7" t="str">
        <f t="shared" si="47"/>
        <v>N</v>
      </c>
      <c r="X48" s="187">
        <f t="shared" si="53"/>
        <v>1</v>
      </c>
      <c r="Y48" s="62">
        <f t="shared" si="48"/>
        <v>23.297799999999999</v>
      </c>
      <c r="Z48" s="62">
        <f t="shared" si="49"/>
        <v>1.52E-2</v>
      </c>
      <c r="AA48" s="62">
        <f t="shared" si="50"/>
        <v>23.282599999999999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51"/>
        <v>0136-15</v>
      </c>
      <c r="AE48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48" s="82" t="str">
        <f t="shared" si="13"/>
        <v>"C:\Program Files (x86)\AstroGrep\AstroGrep.exe" /e /r /s /spath="%USERPROFILE%\AppData\Local\Temp\OnboardLogs" /stypes="app*4026*20170315*" /stext=" 15:.+((SYSTEM_STATE.+slice.+state.+changed )|(ment ac)|(multiple cpu faults)|(system.+state.+changed )|(\[timeout)|(PRM\|1\|D)|(kpr)|(kdp)|(\|lc)|(penalty))"</v>
      </c>
      <c r="AG48" s="1" t="str">
        <f t="shared" si="52"/>
        <v>EC</v>
      </c>
      <c r="AH48" s="86" t="str">
        <f t="shared" si="18"/>
        <v>"%USERPROFILE%\Documents\GitHub\eaglep3\Utilities\RefineRTDCRunTimes.py" --tripid 136-15 --locoid 4026 --swversion DE.1.0.9.0 --startMP 204:232978 --initTime 2017-03-15T08:41:41 --startdatetime 2017-03-15T08:56:15 --delay 1 --endMP 204:152 --enddatetime 2017-03-15T09:35:05 --enforcementcount 0 &gt;&gt;C:\Users\stu\Documents\GitHub\eaglep3-reporting\EC\2017-03-15-refined-times.txt</v>
      </c>
      <c r="AI4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ID","value":"136-15"},{"id":16,"name":"Locomotive ID","value":"4026"},{"id":130,"name":"Impact","value":""},{"id":150,"name":"Time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4026 --day 2017-03-15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589</v>
      </c>
      <c r="B49" s="7">
        <v>4011</v>
      </c>
      <c r="C49" s="21" t="s">
        <v>230</v>
      </c>
      <c r="D49" s="21" t="s">
        <v>855</v>
      </c>
      <c r="E49" s="13">
        <v>42809.333518518521</v>
      </c>
      <c r="F49" s="13">
        <v>42809.343912037039</v>
      </c>
      <c r="G49" s="7">
        <v>3</v>
      </c>
      <c r="H49" s="21" t="s">
        <v>233</v>
      </c>
      <c r="I49" s="13">
        <v>42809.371689814812</v>
      </c>
      <c r="J49" s="7">
        <v>0</v>
      </c>
      <c r="K49" s="98" t="str">
        <f t="shared" si="42"/>
        <v>4011/4012</v>
      </c>
      <c r="L49" s="21" t="str">
        <f>VLOOKUP(A49,'Trips&amp;Operators'!$C$1:$G$99999,5,FALSE)</f>
        <v>GUZMAN DANNY</v>
      </c>
      <c r="M49" s="6">
        <f t="shared" si="43"/>
        <v>2.7777777773735579E-2</v>
      </c>
      <c r="N49" s="7">
        <f t="shared" si="44"/>
        <v>39.999999994179234</v>
      </c>
      <c r="O49" s="7"/>
      <c r="P49" s="7"/>
      <c r="Q49" s="22"/>
      <c r="R49" s="22"/>
      <c r="S49" s="31">
        <f t="shared" si="45"/>
        <v>1</v>
      </c>
      <c r="T49" s="46" t="str">
        <f t="shared" si="46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-15T07:00:16-0600',mode:absolute,to:'2017-03-15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87" t="str">
        <f t="shared" si="47"/>
        <v>N</v>
      </c>
      <c r="X49" s="187">
        <f t="shared" si="53"/>
        <v>1</v>
      </c>
      <c r="Y49" s="62">
        <f t="shared" si="48"/>
        <v>5.1999999999999998E-2</v>
      </c>
      <c r="Z49" s="62">
        <f t="shared" si="49"/>
        <v>23.329699999999999</v>
      </c>
      <c r="AA49" s="62">
        <f t="shared" si="50"/>
        <v>23.277699999999999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51"/>
        <v>0137-15</v>
      </c>
      <c r="AE49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49" s="82" t="str">
        <f t="shared" si="13"/>
        <v>"C:\Program Files (x86)\AstroGrep\AstroGrep.exe" /e /r /s /spath="%USERPROFILE%\AppData\Local\Temp\OnboardLogs" /stypes="app*4011*20170315*" /stext=" 14:.+((SYSTEM_STATE.+slice.+state.+changed )|(ment ac)|(multiple cpu faults)|(system.+state.+changed )|(\[timeout)|(PRM\|1\|D)|(kpr)|(kdp)|(\|lc)|(penalty))"</v>
      </c>
      <c r="AG49" s="1" t="str">
        <f t="shared" si="52"/>
        <v>EC</v>
      </c>
      <c r="AH49" s="86" t="str">
        <f t="shared" si="18"/>
        <v>"%USERPROFILE%\Documents\GitHub\eaglep3\Utilities\RefineRTDCRunTimes.py" --tripid 137-15 --locoid 4011 --swversion DE.1.0.9.0 --startMP 204:520 --initTime 2017-03-15T08:00:16 --startdatetime 2017-03-15T08:15:14 --delay 3 --endMP 204:233297 --enddatetime 2017-03-15T08:55:14 --enforcementcount 0 &gt;&gt;C:\Users\stu\Documents\GitHub\eaglep3-reporting\EC\2017-03-15-refined-times.txt</v>
      </c>
      <c r="AI4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{"issue":{"subject":"","project_id":79,"tracker_id":40,"status_id":1,"priority_id":2,"assigned_to_id":23,"start_date":"2017-03-15","description":"","custom_fields":[{"id":1,"name":"Subdivision","value":"EC"},{"id":4,"name":"Milepost","value":"23.3297"},{"id":17,"name":"Train ID","value":"137-15"},{"id":16,"name":"Locomotive ID","value":"4011"},{"id":130,"name":"Impact","value":""},{"id":150,"name":"Time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4011 --day 2017-03-15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686</v>
      </c>
      <c r="B50" s="7">
        <v>4012</v>
      </c>
      <c r="C50" s="21" t="s">
        <v>230</v>
      </c>
      <c r="D50" s="21" t="s">
        <v>856</v>
      </c>
      <c r="E50" s="13">
        <v>42809.378657407404</v>
      </c>
      <c r="F50" s="13">
        <v>42809.3828125</v>
      </c>
      <c r="G50" s="7">
        <v>1</v>
      </c>
      <c r="H50" s="21" t="s">
        <v>201</v>
      </c>
      <c r="I50" s="13">
        <v>42809.412476851852</v>
      </c>
      <c r="J50" s="7">
        <v>0</v>
      </c>
      <c r="K50" s="98" t="str">
        <f t="shared" si="42"/>
        <v>4011/4012</v>
      </c>
      <c r="L50" s="21" t="str">
        <f>VLOOKUP(A50,'Trips&amp;Operators'!$C$1:$G$99999,5,FALSE)</f>
        <v>GUZMAN DANNY</v>
      </c>
      <c r="M50" s="6">
        <f t="shared" si="43"/>
        <v>2.9664351852261461E-2</v>
      </c>
      <c r="N50" s="7">
        <f t="shared" si="44"/>
        <v>42.716666667256504</v>
      </c>
      <c r="O50" s="7"/>
      <c r="P50" s="7"/>
      <c r="Q50" s="22"/>
      <c r="R50" s="22"/>
      <c r="S50" s="31">
        <f t="shared" si="45"/>
        <v>1</v>
      </c>
      <c r="T50" s="46" t="str">
        <f t="shared" si="46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-15T08:05:16-0600',mode:absolute,to:'2017-03-15T10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87" t="str">
        <f t="shared" si="47"/>
        <v>N</v>
      </c>
      <c r="X50" s="187">
        <f t="shared" si="53"/>
        <v>1</v>
      </c>
      <c r="Y50" s="62">
        <f t="shared" si="48"/>
        <v>23.297599999999999</v>
      </c>
      <c r="Z50" s="62">
        <f t="shared" si="49"/>
        <v>1.52E-2</v>
      </c>
      <c r="AA50" s="62">
        <f t="shared" si="50"/>
        <v>23.282399999999999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51"/>
        <v>0138-15</v>
      </c>
      <c r="AE50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50" s="82" t="str">
        <f t="shared" si="13"/>
        <v>"C:\Program Files (x86)\AstroGrep\AstroGrep.exe" /e /r /s /spath="%USERPROFILE%\AppData\Local\Temp\OnboardLogs" /stypes="app*4012*20170315*" /stext=" 15:.+((SYSTEM_STATE.+slice.+state.+changed )|(ment ac)|(multiple cpu faults)|(system.+state.+changed )|(\[timeout)|(PRM\|1\|D)|(kpr)|(kdp)|(\|lc)|(penalty))"</v>
      </c>
      <c r="AG50" s="1" t="str">
        <f t="shared" si="52"/>
        <v>EC</v>
      </c>
      <c r="AH50" s="86" t="str">
        <f t="shared" si="18"/>
        <v>"%USERPROFILE%\Documents\GitHub\eaglep3\Utilities\RefineRTDCRunTimes.py" --tripid 138-15 --locoid 4012 --swversion DE.1.0.9.0 --startMP 204:232976 --initTime 2017-03-15T09:05:16 --startdatetime 2017-03-15T09:11:15 --delay 1 --endMP 204:152 --enddatetime 2017-03-15T09:53:58 --enforcementcount 0 &gt;&gt;C:\Users\stu\Documents\GitHub\eaglep3-reporting\EC\2017-03-15-refined-times.txt</v>
      </c>
      <c r="AI5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ID","value":"138-15"},{"id":16,"name":"Locomotive ID","value":"4012"},{"id":130,"name":"Impact","value":""},{"id":150,"name":"Time of Event (Mountain Time)","value":"09:53:58"},{"id":151,"name":"Denver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4012 --day 2017-03-15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4051</v>
      </c>
      <c r="C51" s="21" t="s">
        <v>230</v>
      </c>
      <c r="D51" s="21" t="s">
        <v>857</v>
      </c>
      <c r="E51" s="13">
        <v>42809.341006944444</v>
      </c>
      <c r="F51" s="13">
        <v>42809.354409722226</v>
      </c>
      <c r="G51" s="7">
        <v>1</v>
      </c>
      <c r="H51" s="21" t="s">
        <v>858</v>
      </c>
      <c r="I51" s="13">
        <v>42809.379305555558</v>
      </c>
      <c r="J51" s="7">
        <v>0</v>
      </c>
      <c r="K51" s="98" t="str">
        <f t="shared" si="42"/>
        <v>4051/4052</v>
      </c>
      <c r="L51" s="21" t="str">
        <f>VLOOKUP(A51,'Trips&amp;Operators'!$C$1:$G$99999,5,FALSE)</f>
        <v>SANTIZO D. EDY</v>
      </c>
      <c r="M51" s="6">
        <f t="shared" si="43"/>
        <v>2.4895833332266193E-2</v>
      </c>
      <c r="N51" s="7">
        <f t="shared" si="44"/>
        <v>35.849999998463318</v>
      </c>
      <c r="O51" s="7"/>
      <c r="P51" s="7"/>
      <c r="Q51" s="22"/>
      <c r="R51" s="22"/>
      <c r="S51" s="31">
        <f t="shared" si="45"/>
        <v>1</v>
      </c>
      <c r="T51" s="46" t="str">
        <f t="shared" si="46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-15T07:11:03-0600',mode:absolute,to:'2017-03-15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 t="shared" si="47"/>
        <v>N</v>
      </c>
      <c r="X51" s="187">
        <f t="shared" si="53"/>
        <v>1</v>
      </c>
      <c r="Y51" s="62">
        <f t="shared" si="48"/>
        <v>0.05</v>
      </c>
      <c r="Z51" s="62">
        <f t="shared" si="49"/>
        <v>23.323</v>
      </c>
      <c r="AA51" s="62">
        <f t="shared" si="50"/>
        <v>23.273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51"/>
        <v>0139-15</v>
      </c>
      <c r="AE51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51" s="82" t="str">
        <f t="shared" si="13"/>
        <v>"C:\Program Files (x86)\AstroGrep\AstroGrep.exe" /e /r /s /spath="%USERPROFILE%\AppData\Local\Temp\OnboardLogs" /stypes="app*4051*20170315*" /stext=" 15:.+((SYSTEM_STATE.+slice.+state.+changed )|(ment ac)|(multiple cpu faults)|(system.+state.+changed )|(\[timeout)|(PRM\|1\|D)|(kpr)|(kdp)|(\|lc)|(penalty))"</v>
      </c>
      <c r="AG51" s="1" t="str">
        <f t="shared" si="52"/>
        <v>EC</v>
      </c>
      <c r="AH51" s="86" t="str">
        <f t="shared" si="18"/>
        <v>"%USERPROFILE%\Documents\GitHub\eaglep3\Utilities\RefineRTDCRunTimes.py" --tripid 139-15 --locoid 4051 --swversion DE.1.0.9.0 --startMP 204:500 --initTime 2017-03-15T08:11:03 --startdatetime 2017-03-15T08:30:21 --delay 1 --endMP 204:233230 --enddatetime 2017-03-15T09:06:12 --enforcementcount 0 &gt;&gt;C:\Users\stu\Documents\GitHub\eaglep3-reporting\EC\2017-03-15-refined-times.txt</v>
      </c>
      <c r="AI5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{"issue":{"subject":"","project_id":79,"tracker_id":40,"status_id":1,"priority_id":2,"assigned_to_id":23,"start_date":"2017-03-15","description":"","custom_fields":[{"id":1,"name":"Subdivision","value":"EC"},{"id":4,"name":"Milepost","value":"23.323"},{"id":17,"name":"Train ID","value":"139-15"},{"id":16,"name":"Locomotive ID","value":"4051"},{"id":130,"name":"Impact","value":""},{"id":150,"name":"Time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4051 --day 2017-03-15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688</v>
      </c>
      <c r="B52" s="7">
        <v>4052</v>
      </c>
      <c r="C52" s="21" t="s">
        <v>230</v>
      </c>
      <c r="D52" s="21" t="s">
        <v>859</v>
      </c>
      <c r="E52" s="13">
        <v>42809.382824074077</v>
      </c>
      <c r="F52" s="13">
        <v>42809.393564814818</v>
      </c>
      <c r="G52" s="7">
        <v>1</v>
      </c>
      <c r="H52" s="21" t="s">
        <v>201</v>
      </c>
      <c r="I52" s="13">
        <v>42809.422662037039</v>
      </c>
      <c r="J52" s="7">
        <v>0</v>
      </c>
      <c r="K52" s="98" t="str">
        <f t="shared" si="42"/>
        <v>4051/4052</v>
      </c>
      <c r="L52" s="21" t="str">
        <f>VLOOKUP(A52,'Trips&amp;Operators'!$C$1:$G$99999,5,FALSE)</f>
        <v>SANTIZO D. EDY</v>
      </c>
      <c r="M52" s="6">
        <f t="shared" si="43"/>
        <v>2.9097222221025731E-2</v>
      </c>
      <c r="N52" s="7">
        <f t="shared" si="44"/>
        <v>41.899999998277053</v>
      </c>
      <c r="O52" s="7"/>
      <c r="P52" s="7"/>
      <c r="Q52" s="22"/>
      <c r="R52" s="22"/>
      <c r="S52" s="31">
        <f t="shared" si="45"/>
        <v>1</v>
      </c>
      <c r="T52" s="46" t="str">
        <f t="shared" si="46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-15T08:11:16-0600',mode:absolute,to:'2017-03-15T11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 t="shared" si="47"/>
        <v>N</v>
      </c>
      <c r="X52" s="187">
        <f t="shared" si="53"/>
        <v>1</v>
      </c>
      <c r="Y52" s="62">
        <f t="shared" si="48"/>
        <v>23.29</v>
      </c>
      <c r="Z52" s="62">
        <f t="shared" si="49"/>
        <v>1.52E-2</v>
      </c>
      <c r="AA52" s="62">
        <f t="shared" si="50"/>
        <v>23.274799999999999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51"/>
        <v>0140-15</v>
      </c>
      <c r="AE52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52" s="82" t="str">
        <f t="shared" si="13"/>
        <v>"C:\Program Files (x86)\AstroGrep\AstroGrep.exe" /e /r /s /spath="%USERPROFILE%\AppData\Local\Temp\OnboardLogs" /stypes="app*4052*20170315*" /stext=" 16:.+((SYSTEM_STATE.+slice.+state.+changed )|(ment ac)|(multiple cpu faults)|(system.+state.+changed )|(\[timeout)|(PRM\|1\|D)|(kpr)|(kdp)|(\|lc)|(penalty))"</v>
      </c>
      <c r="AG52" s="1" t="str">
        <f t="shared" si="52"/>
        <v>EC</v>
      </c>
      <c r="AH52" s="86" t="str">
        <f t="shared" si="18"/>
        <v>"%USERPROFILE%\Documents\GitHub\eaglep3\Utilities\RefineRTDCRunTimes.py" --tripid 140-15 --locoid 4052 --swversion DE.1.0.9.0 --startMP 204:232900 --initTime 2017-03-15T09:11:16 --startdatetime 2017-03-15T09:26:44 --delay 1 --endMP 204:152 --enddatetime 2017-03-15T10:08:38 --enforcementcount 0 &gt;&gt;C:\Users\stu\Documents\GitHub\eaglep3-reporting\EC\2017-03-15-refined-times.txt</v>
      </c>
      <c r="AI5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ID","value":"140-15"},{"id":16,"name":"Locomotive ID","value":"4052"},{"id":130,"name":"Impact","value":""},{"id":150,"name":"Time of Event (Mountain Time)","value":"10:08:38"},{"id":151,"name":"Denver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4052 --day 2017-03-15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684</v>
      </c>
      <c r="B53" s="7">
        <v>4020</v>
      </c>
      <c r="C53" s="21" t="s">
        <v>230</v>
      </c>
      <c r="D53" s="21" t="s">
        <v>209</v>
      </c>
      <c r="E53" s="13">
        <v>42809.363900462966</v>
      </c>
      <c r="F53" s="13">
        <v>42809.365115740744</v>
      </c>
      <c r="G53" s="7">
        <v>1</v>
      </c>
      <c r="H53" s="21" t="s">
        <v>860</v>
      </c>
      <c r="I53" s="13">
        <v>42809.389560185184</v>
      </c>
      <c r="J53" s="7">
        <v>0</v>
      </c>
      <c r="K53" s="98" t="str">
        <f t="shared" si="42"/>
        <v>4019/4020</v>
      </c>
      <c r="L53" s="21" t="str">
        <f>VLOOKUP(A53,'Trips&amp;Operators'!$C$1:$G$99999,5,FALSE)</f>
        <v>ROCHA YAOTL</v>
      </c>
      <c r="M53" s="6">
        <f t="shared" si="43"/>
        <v>2.4444444439723156E-2</v>
      </c>
      <c r="N53" s="7">
        <f t="shared" si="44"/>
        <v>35.199999993201345</v>
      </c>
      <c r="O53" s="7"/>
      <c r="P53" s="7"/>
      <c r="Q53" s="22"/>
      <c r="R53" s="22"/>
      <c r="S53" s="31">
        <f t="shared" si="45"/>
        <v>1</v>
      </c>
      <c r="T53" s="46" t="str">
        <f t="shared" si="46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-15T07:44:01-0600',mode:absolute,to:'2017-03-15T10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7" t="str">
        <f t="shared" si="47"/>
        <v>N</v>
      </c>
      <c r="X53" s="187">
        <f t="shared" si="53"/>
        <v>1</v>
      </c>
      <c r="Y53" s="62">
        <f t="shared" si="48"/>
        <v>4.5100000000000001E-2</v>
      </c>
      <c r="Z53" s="62">
        <f t="shared" si="49"/>
        <v>23.330400000000001</v>
      </c>
      <c r="AA53" s="62">
        <f t="shared" si="50"/>
        <v>23.285299999999999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51"/>
        <v>0141-15</v>
      </c>
      <c r="AE53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53" s="82" t="str">
        <f t="shared" si="13"/>
        <v>"C:\Program Files (x86)\AstroGrep\AstroGrep.exe" /e /r /s /spath="%USERPROFILE%\AppData\Local\Temp\OnboardLogs" /stypes="app*4020*20170315*" /stext=" 15:.+((SYSTEM_STATE.+slice.+state.+changed )|(ment ac)|(multiple cpu faults)|(system.+state.+changed )|(\[timeout)|(PRM\|1\|D)|(kpr)|(kdp)|(\|lc)|(penalty))"</v>
      </c>
      <c r="AG53" s="1" t="str">
        <f t="shared" si="52"/>
        <v>EC</v>
      </c>
      <c r="AH53" s="86" t="str">
        <f t="shared" si="18"/>
        <v>"%USERPROFILE%\Documents\GitHub\eaglep3\Utilities\RefineRTDCRunTimes.py" --tripid 141-15 --locoid 4020 --swversion DE.1.0.9.0 --startMP 204:451 --initTime 2017-03-15T08:44:01 --startdatetime 2017-03-15T08:45:46 --delay 1 --endMP 204:233304 --enddatetime 2017-03-15T09:20:58 --enforcementcount 0 &gt;&gt;C:\Users\stu\Documents\GitHub\eaglep3-reporting\EC\2017-03-15-refined-times.txt</v>
      </c>
      <c r="AI5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ID","value":"141-15"},{"id":16,"name":"Locomotive ID","value":"4020"},{"id":130,"name":"Impact","value":""},{"id":150,"name":"Time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4020 --day 2017-03-15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692</v>
      </c>
      <c r="B54" s="7">
        <v>4019</v>
      </c>
      <c r="C54" s="21" t="s">
        <v>230</v>
      </c>
      <c r="D54" s="21" t="s">
        <v>431</v>
      </c>
      <c r="E54" s="13">
        <v>42809.403310185182</v>
      </c>
      <c r="F54" s="13">
        <v>42809.404722222222</v>
      </c>
      <c r="G54" s="7">
        <v>1</v>
      </c>
      <c r="H54" s="21" t="s">
        <v>218</v>
      </c>
      <c r="I54" s="13">
        <v>42809.43136574074</v>
      </c>
      <c r="J54" s="7">
        <v>0</v>
      </c>
      <c r="K54" s="98" t="str">
        <f t="shared" si="42"/>
        <v>4019/4020</v>
      </c>
      <c r="L54" s="21" t="str">
        <f>VLOOKUP(A54,'Trips&amp;Operators'!$C$1:$G$99999,5,FALSE)</f>
        <v>ROCHA YAOTL</v>
      </c>
      <c r="M54" s="6">
        <f t="shared" si="43"/>
        <v>2.6643518518540077E-2</v>
      </c>
      <c r="N54" s="7">
        <f t="shared" si="44"/>
        <v>38.366666666697711</v>
      </c>
      <c r="O54" s="7"/>
      <c r="P54" s="7"/>
      <c r="Q54" s="22"/>
      <c r="R54" s="22"/>
      <c r="S54" s="31">
        <f t="shared" si="45"/>
        <v>1</v>
      </c>
      <c r="T54" s="46" t="str">
        <f t="shared" si="46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-15T08:40:46-0600',mode:absolute,to:'2017-03-15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7" t="str">
        <f t="shared" si="47"/>
        <v>N</v>
      </c>
      <c r="X54" s="187">
        <f t="shared" si="53"/>
        <v>1</v>
      </c>
      <c r="Y54" s="62">
        <f t="shared" si="48"/>
        <v>23.299600000000002</v>
      </c>
      <c r="Z54" s="62">
        <f t="shared" si="49"/>
        <v>1.3899999999999999E-2</v>
      </c>
      <c r="AA54" s="62">
        <f t="shared" si="50"/>
        <v>23.285700000000002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51"/>
        <v>0142-15</v>
      </c>
      <c r="AE54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54" s="82" t="str">
        <f t="shared" si="13"/>
        <v>"C:\Program Files (x86)\AstroGrep\AstroGrep.exe" /e /r /s /spath="%USERPROFILE%\AppData\Local\Temp\OnboardLogs" /stypes="app*4019*20170315*" /stext=" 16:.+((SYSTEM_STATE.+slice.+state.+changed )|(ment ac)|(multiple cpu faults)|(system.+state.+changed )|(\[timeout)|(PRM\|1\|D)|(kpr)|(kdp)|(\|lc)|(penalty))"</v>
      </c>
      <c r="AG54" s="1" t="str">
        <f t="shared" si="52"/>
        <v>EC</v>
      </c>
      <c r="AH54" s="86" t="str">
        <f t="shared" si="18"/>
        <v>"%USERPROFILE%\Documents\GitHub\eaglep3\Utilities\RefineRTDCRunTimes.py" --tripid 142-15 --locoid 4019 --swversion DE.1.0.9.0 --startMP 204:232996 --initTime 2017-03-15T09:40:46 --startdatetime 2017-03-15T09:42:48 --delay 1 --endMP 204:139 --enddatetime 2017-03-15T10:21:10 --enforcementcount 0 &gt;&gt;C:\Users\stu\Documents\GitHub\eaglep3-reporting\EC\2017-03-15-refined-times.txt</v>
      </c>
      <c r="AI5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{"issue":{"subject":"","project_id":79,"tracker_id":40,"status_id":1,"priority_id":2,"assigned_to_id":23,"start_date":"2017-03-15","description":"","custom_fields":[{"id":1,"name":"Subdivision","value":"EC"},{"id":4,"name":"Milepost","value":"0.0139"},{"id":17,"name":"Train ID","value":"142-15"},{"id":16,"name":"Locomotive ID","value":"4019"},{"id":130,"name":"Impact","value":""},{"id":150,"name":"Time of Event (Mountain Time)","value":"10:21:10"},{"id":151,"name":"Denver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4019 --day 2017-03-15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685</v>
      </c>
      <c r="B55" s="7">
        <v>4002</v>
      </c>
      <c r="C55" s="21" t="s">
        <v>230</v>
      </c>
      <c r="D55" s="21" t="s">
        <v>486</v>
      </c>
      <c r="E55" s="13">
        <v>42809.375694444447</v>
      </c>
      <c r="F55" s="13">
        <v>42809.377997685187</v>
      </c>
      <c r="G55" s="7">
        <v>2</v>
      </c>
      <c r="H55" s="21" t="s">
        <v>433</v>
      </c>
      <c r="I55" s="13">
        <v>42809.403807870367</v>
      </c>
      <c r="J55" s="7">
        <v>0</v>
      </c>
      <c r="K55" s="98" t="str">
        <f t="shared" si="42"/>
        <v>4001/4002</v>
      </c>
      <c r="L55" s="21" t="str">
        <f>VLOOKUP(A55,'Trips&amp;Operators'!$C$1:$G$99999,5,FALSE)</f>
        <v>BADERTSCHER DIANE</v>
      </c>
      <c r="M55" s="6">
        <f t="shared" si="43"/>
        <v>2.5810185179580003E-2</v>
      </c>
      <c r="N55" s="7">
        <f t="shared" si="44"/>
        <v>37.166666658595204</v>
      </c>
      <c r="O55" s="7"/>
      <c r="P55" s="7"/>
      <c r="Q55" s="22"/>
      <c r="R55" s="22"/>
      <c r="S55" s="31">
        <f t="shared" si="45"/>
        <v>1</v>
      </c>
      <c r="T55" s="46" t="str">
        <f t="shared" si="46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-15T08:01:00-0600',mode:absolute,to:'2017-03-15T10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7" t="str">
        <f t="shared" si="47"/>
        <v>N</v>
      </c>
      <c r="X55" s="187">
        <f t="shared" si="53"/>
        <v>1</v>
      </c>
      <c r="Y55" s="62">
        <f t="shared" si="48"/>
        <v>4.3299999999999998E-2</v>
      </c>
      <c r="Z55" s="62">
        <f t="shared" si="49"/>
        <v>23.3293</v>
      </c>
      <c r="AA55" s="62">
        <f t="shared" si="50"/>
        <v>23.286000000000001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51"/>
        <v>0143-15</v>
      </c>
      <c r="AE55" s="85" t="str">
        <f t="shared" si="1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55" s="82" t="str">
        <f t="shared" si="13"/>
        <v>"C:\Program Files (x86)\AstroGrep\AstroGrep.exe" /e /r /s /spath="%USERPROFILE%\AppData\Local\Temp\OnboardLogs" /stypes="app*4002*20170315*" /stext=" 15:.+((SYSTEM_STATE.+slice.+state.+changed )|(ment ac)|(multiple cpu faults)|(system.+state.+changed )|(\[timeout)|(PRM\|1\|D)|(kpr)|(kdp)|(\|lc)|(penalty))"</v>
      </c>
      <c r="AG55" s="1" t="str">
        <f t="shared" si="52"/>
        <v>EC</v>
      </c>
      <c r="AH55" s="86" t="str">
        <f t="shared" si="18"/>
        <v>"%USERPROFILE%\Documents\GitHub\eaglep3\Utilities\RefineRTDCRunTimes.py" --tripid 143-15 --locoid 4002 --swversion DE.1.0.9.0 --startMP 204:433 --initTime 2017-03-15T09:01:00 --startdatetime 2017-03-15T09:04:19 --delay 2 --endMP 204:233293 --enddatetime 2017-03-15T09:41:29 --enforcementcount 0 &gt;&gt;C:\Users\stu\Documents\GitHub\eaglep3-reporting\EC\2017-03-15-refined-times.txt</v>
      </c>
      <c r="AI5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{"issue":{"subject":"","project_id":79,"tracker_id":40,"status_id":1,"priority_id":2,"assigned_to_id":23,"start_date":"2017-03-15","description":"","custom_fields":[{"id":1,"name":"Subdivision","value":"EC"},{"id":4,"name":"Milepost","value":"23.3293"},{"id":17,"name":"Train ID","value":"143-15"},{"id":16,"name":"Locomotive ID","value":"4002"},{"id":130,"name":"Impact","value":""},{"id":150,"name":"Time of Event (Mountain Time)","value":"09:41:29"},{"id":151,"name":"Denver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4002 --day 2017-03-15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694</v>
      </c>
      <c r="B56" s="7">
        <v>4001</v>
      </c>
      <c r="C56" s="21" t="s">
        <v>230</v>
      </c>
      <c r="D56" s="21" t="s">
        <v>861</v>
      </c>
      <c r="E56" s="13">
        <v>42809.410358796296</v>
      </c>
      <c r="F56" s="13">
        <v>42809.414594907408</v>
      </c>
      <c r="G56" s="7">
        <v>1</v>
      </c>
      <c r="H56" s="21" t="s">
        <v>542</v>
      </c>
      <c r="I56" s="13">
        <v>42809.442789351851</v>
      </c>
      <c r="J56" s="7">
        <v>0</v>
      </c>
      <c r="K56" s="98" t="str">
        <f t="shared" si="42"/>
        <v>4001/4002</v>
      </c>
      <c r="L56" s="21" t="str">
        <f>VLOOKUP(A56,'Trips&amp;Operators'!$C$1:$G$99999,5,FALSE)</f>
        <v>BADERTSCHER DIANE</v>
      </c>
      <c r="M56" s="6">
        <f t="shared" si="43"/>
        <v>2.8194444443215616E-2</v>
      </c>
      <c r="N56" s="7">
        <f t="shared" si="44"/>
        <v>40.599999998230487</v>
      </c>
      <c r="O56" s="7"/>
      <c r="P56" s="7"/>
      <c r="Q56" s="22"/>
      <c r="R56" s="22"/>
      <c r="S56" s="31">
        <f t="shared" si="45"/>
        <v>1</v>
      </c>
      <c r="T56" s="46" t="str">
        <f t="shared" si="46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-15T08:50:55-0600',mode:absolute,to:'2017-03-15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7" t="str">
        <f t="shared" si="47"/>
        <v>N</v>
      </c>
      <c r="X56" s="187">
        <f t="shared" si="53"/>
        <v>1</v>
      </c>
      <c r="Y56" s="62">
        <f t="shared" si="48"/>
        <v>23.2959</v>
      </c>
      <c r="Z56" s="62">
        <f t="shared" si="49"/>
        <v>1.6299999999999999E-2</v>
      </c>
      <c r="AA56" s="62">
        <f t="shared" si="50"/>
        <v>23.279599999999999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51"/>
        <v>0144-15</v>
      </c>
      <c r="AE56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56" s="82" t="str">
        <f t="shared" si="13"/>
        <v>"C:\Program Files (x86)\AstroGrep\AstroGrep.exe" /e /r /s /spath="%USERPROFILE%\AppData\Local\Temp\OnboardLogs" /stypes="app*4001*20170315*" /stext=" 16:.+((SYSTEM_STATE.+slice.+state.+changed )|(ment ac)|(multiple cpu faults)|(system.+state.+changed )|(\[timeout)|(PRM\|1\|D)|(kpr)|(kdp)|(\|lc)|(penalty))"</v>
      </c>
      <c r="AG56" s="1" t="str">
        <f t="shared" si="52"/>
        <v>EC</v>
      </c>
      <c r="AH56" s="86" t="str">
        <f t="shared" si="18"/>
        <v>"%USERPROFILE%\Documents\GitHub\eaglep3\Utilities\RefineRTDCRunTimes.py" --tripid 144-15 --locoid 4001 --swversion DE.1.0.9.0 --startMP 204:232959 --initTime 2017-03-15T09:50:55 --startdatetime 2017-03-15T09:57:01 --delay 1 --endMP 204:163 --enddatetime 2017-03-15T10:37:37 --enforcementcount 0 &gt;&gt;C:\Users\stu\Documents\GitHub\eaglep3-reporting\EC\2017-03-15-refined-times.txt</v>
      </c>
      <c r="AI5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ID","value":"144-15"},{"id":16,"name":"Locomotive ID","value":"4001"},{"id":130,"name":"Impact","value":""},{"id":150,"name":"Time of Event (Mountain Time)","value":"10:37:37"},{"id":151,"name":"Denver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4001 --day 2017-03-15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689</v>
      </c>
      <c r="B57" s="7">
        <v>4042</v>
      </c>
      <c r="C57" s="21" t="s">
        <v>230</v>
      </c>
      <c r="D57" s="21" t="s">
        <v>237</v>
      </c>
      <c r="E57" s="13">
        <v>42809.381863425922</v>
      </c>
      <c r="F57" s="13">
        <v>42809.385613425926</v>
      </c>
      <c r="G57" s="7">
        <v>1</v>
      </c>
      <c r="H57" s="21" t="s">
        <v>481</v>
      </c>
      <c r="I57" s="13">
        <v>42809.411249999997</v>
      </c>
      <c r="J57" s="7">
        <v>0</v>
      </c>
      <c r="K57" s="98" t="str">
        <f t="shared" si="42"/>
        <v>4041/4042</v>
      </c>
      <c r="L57" s="21" t="str">
        <f>VLOOKUP(A57,'Trips&amp;Operators'!$C$1:$G$99999,5,FALSE)</f>
        <v>STARKS ANGELINA</v>
      </c>
      <c r="M57" s="6">
        <f t="shared" si="43"/>
        <v>2.5636574071540963E-2</v>
      </c>
      <c r="N57" s="7">
        <f t="shared" si="44"/>
        <v>36.916666663018987</v>
      </c>
      <c r="O57" s="7"/>
      <c r="P57" s="7"/>
      <c r="Q57" s="22"/>
      <c r="R57" s="22"/>
      <c r="S57" s="31">
        <f t="shared" si="45"/>
        <v>1</v>
      </c>
      <c r="T57" s="46" t="str">
        <f t="shared" si="46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-15T08:09:53-0600',mode:absolute,to:'2017-03-15T10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87" t="str">
        <f t="shared" si="47"/>
        <v>N</v>
      </c>
      <c r="X57" s="187">
        <f t="shared" si="53"/>
        <v>1</v>
      </c>
      <c r="Y57" s="62">
        <f t="shared" si="48"/>
        <v>4.6699999999999998E-2</v>
      </c>
      <c r="Z57" s="62">
        <f t="shared" si="49"/>
        <v>23.3291</v>
      </c>
      <c r="AA57" s="62">
        <f t="shared" si="50"/>
        <v>23.282399999999999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51"/>
        <v>0145-15</v>
      </c>
      <c r="AE57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57" s="82" t="str">
        <f t="shared" si="13"/>
        <v>"C:\Program Files (x86)\AstroGrep\AstroGrep.exe" /e /r /s /spath="%USERPROFILE%\AppData\Local\Temp\OnboardLogs" /stypes="app*4042*20170315*" /stext=" 15:.+((SYSTEM_STATE.+slice.+state.+changed )|(ment ac)|(multiple cpu faults)|(system.+state.+changed )|(\[timeout)|(PRM\|1\|D)|(kpr)|(kdp)|(\|lc)|(penalty))"</v>
      </c>
      <c r="AG57" s="1" t="str">
        <f t="shared" si="52"/>
        <v>EC</v>
      </c>
      <c r="AH57" s="86" t="str">
        <f t="shared" si="18"/>
        <v>"%USERPROFILE%\Documents\GitHub\eaglep3\Utilities\RefineRTDCRunTimes.py" --tripid 145-15 --locoid 4042 --swversion DE.1.0.9.0 --startMP 204:467 --initTime 2017-03-15T09:09:53 --startdatetime 2017-03-15T09:15:17 --delay 1 --endMP 204:233291 --enddatetime 2017-03-15T09:52:12 --enforcementcount 0 &gt;&gt;C:\Users\stu\Documents\GitHub\eaglep3-reporting\EC\2017-03-15-refined-times.txt</v>
      </c>
      <c r="AI5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ID","value":"145-15"},{"id":16,"name":"Locomotive ID","value":"4042"},{"id":130,"name":"Impact","value":""},{"id":150,"name":"Time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4042 --day 2017-03-15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592</v>
      </c>
      <c r="B58" s="7">
        <v>4041</v>
      </c>
      <c r="C58" s="21" t="s">
        <v>230</v>
      </c>
      <c r="D58" s="21" t="s">
        <v>388</v>
      </c>
      <c r="E58" s="13">
        <v>42809.413993055554</v>
      </c>
      <c r="F58" s="13">
        <v>42809.424699074072</v>
      </c>
      <c r="G58" s="7">
        <v>1</v>
      </c>
      <c r="H58" s="21" t="s">
        <v>862</v>
      </c>
      <c r="I58" s="13">
        <v>42809.454016203701</v>
      </c>
      <c r="J58" s="7">
        <v>0</v>
      </c>
      <c r="K58" s="98" t="str">
        <f t="shared" si="42"/>
        <v>4041/4042</v>
      </c>
      <c r="L58" s="21" t="str">
        <f>VLOOKUP(A58,'Trips&amp;Operators'!$C$1:$G$99999,5,FALSE)</f>
        <v>STARKS ANGELINA</v>
      </c>
      <c r="M58" s="6">
        <f t="shared" si="43"/>
        <v>2.9317129628907423E-2</v>
      </c>
      <c r="N58" s="7">
        <f t="shared" si="44"/>
        <v>42.21666666562669</v>
      </c>
      <c r="O58" s="7"/>
      <c r="P58" s="7"/>
      <c r="Q58" s="22"/>
      <c r="R58" s="22"/>
      <c r="S58" s="31">
        <f t="shared" si="45"/>
        <v>1</v>
      </c>
      <c r="T58" s="46" t="str">
        <f t="shared" si="46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87" t="str">
        <f t="shared" si="47"/>
        <v>N</v>
      </c>
      <c r="X58" s="187">
        <f t="shared" si="53"/>
        <v>1</v>
      </c>
      <c r="Y58" s="62">
        <f t="shared" si="48"/>
        <v>23.2989</v>
      </c>
      <c r="Z58" s="62">
        <f t="shared" si="49"/>
        <v>3.3300000000000003E-2</v>
      </c>
      <c r="AA58" s="62">
        <f t="shared" si="50"/>
        <v>23.265599999999999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51"/>
        <v>0146-15</v>
      </c>
      <c r="AE58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58" s="82" t="str">
        <f t="shared" si="13"/>
        <v>"C:\Program Files (x86)\AstroGrep\AstroGrep.exe" /e /r /s /spath="%USERPROFILE%\AppData\Local\Temp\OnboardLogs" /stypes="app*4041*20170315*" /stext=" 16:.+((SYSTEM_STATE.+slice.+state.+changed )|(ment ac)|(multiple cpu faults)|(system.+state.+changed )|(\[timeout)|(PRM\|1\|D)|(kpr)|(kdp)|(\|lc)|(penalty))"</v>
      </c>
      <c r="AG58" s="1" t="str">
        <f t="shared" si="52"/>
        <v>EC</v>
      </c>
      <c r="AH58" s="86" t="str">
        <f t="shared" si="18"/>
        <v>"%USERPROFILE%\Documents\GitHub\eaglep3\Utilities\RefineRTDCRunTimes.py" --tripid 146-15 --locoid 4041 --swversion DE.1.0.9.0 --startMP 204:232989 --initTime 2017-03-15T09:56:09 --startdatetime 2017-03-15T10:11:34 --delay 1 --endMP 204:333 --enddatetime 2017-03-15T10:53:47 --enforcementcount 0 &gt;&gt;C:\Users\stu\Documents\GitHub\eaglep3-reporting\EC\2017-03-15-refined-times.txt</v>
      </c>
      <c r="AI5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{"issue":{"subject":"","project_id":79,"tracker_id":40,"status_id":1,"priority_id":2,"assigned_to_id":23,"start_date":"2017-03-15","description":"","custom_fields":[{"id":1,"name":"Subdivision","value":"EC"},{"id":4,"name":"Milepost","value":"0.0333"},{"id":17,"name":"Train ID","value":"146-15"},{"id":16,"name":"Locomotive ID","value":"4041"},{"id":130,"name":"Impact","value":""},{"id":150,"name":"Time of Event (Mountain Time)","value":"10:53:47"},{"id":151,"name":"Denver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4041 --day 2017-03-15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690</v>
      </c>
      <c r="B59" s="7">
        <v>4053</v>
      </c>
      <c r="C59" s="21" t="s">
        <v>230</v>
      </c>
      <c r="D59" s="21" t="s">
        <v>429</v>
      </c>
      <c r="E59" s="13">
        <v>42809.392685185187</v>
      </c>
      <c r="F59" s="13">
        <v>42809.39607638889</v>
      </c>
      <c r="G59" s="7">
        <v>1</v>
      </c>
      <c r="H59" s="21" t="s">
        <v>235</v>
      </c>
      <c r="I59" s="13">
        <v>42809.420844907407</v>
      </c>
      <c r="J59" s="7">
        <v>0</v>
      </c>
      <c r="K59" s="98" t="str">
        <f t="shared" si="42"/>
        <v>4053/4054</v>
      </c>
      <c r="L59" s="21" t="str">
        <f>VLOOKUP(A59,'Trips&amp;Operators'!$C$1:$G$99999,5,FALSE)</f>
        <v>MAELZER KURT</v>
      </c>
      <c r="M59" s="6">
        <f t="shared" si="43"/>
        <v>2.4768518516793847E-2</v>
      </c>
      <c r="N59" s="7">
        <f t="shared" si="44"/>
        <v>35.66666666418314</v>
      </c>
      <c r="O59" s="7"/>
      <c r="P59" s="7"/>
      <c r="Q59" s="22"/>
      <c r="R59" s="22"/>
      <c r="S59" s="31">
        <f t="shared" si="45"/>
        <v>1</v>
      </c>
      <c r="T59" s="46" t="str">
        <f t="shared" si="46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-15T08:25:28-0600',mode:absolute,to:'2017-03-15T11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87" t="str">
        <f t="shared" si="47"/>
        <v>N</v>
      </c>
      <c r="X59" s="187">
        <f t="shared" si="53"/>
        <v>1</v>
      </c>
      <c r="Y59" s="62">
        <f t="shared" si="48"/>
        <v>4.6399999999999997E-2</v>
      </c>
      <c r="Z59" s="62">
        <f t="shared" si="49"/>
        <v>23.329899999999999</v>
      </c>
      <c r="AA59" s="62">
        <f t="shared" si="5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51"/>
        <v>0147-15</v>
      </c>
      <c r="AE59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59" s="82" t="str">
        <f t="shared" si="13"/>
        <v>"C:\Program Files (x86)\AstroGrep\AstroGrep.exe" /e /r /s /spath="%USERPROFILE%\AppData\Local\Temp\OnboardLogs" /stypes="app*4053*20170315*" /stext=" 16:.+((SYSTEM_STATE.+slice.+state.+changed )|(ment ac)|(multiple cpu faults)|(system.+state.+changed )|(\[timeout)|(PRM\|1\|D)|(kpr)|(kdp)|(\|lc)|(penalty))"</v>
      </c>
      <c r="AG59" s="1" t="str">
        <f t="shared" si="52"/>
        <v>EC</v>
      </c>
      <c r="AH59" s="86" t="str">
        <f t="shared" si="18"/>
        <v>"%USERPROFILE%\Documents\GitHub\eaglep3\Utilities\RefineRTDCRunTimes.py" --tripid 147-15 --locoid 4053 --swversion DE.1.0.9.0 --startMP 204:464 --initTime 2017-03-15T09:25:28 --startdatetime 2017-03-15T09:30:21 --delay 1 --endMP 204:233299 --enddatetime 2017-03-15T10:06:01 --enforcementcount 0 &gt;&gt;C:\Users\stu\Documents\GitHub\eaglep3-reporting\EC\2017-03-15-refined-times.txt</v>
      </c>
      <c r="AI5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{"issue":{"subject":"","project_id":79,"tracker_id":40,"status_id":1,"priority_id":2,"assigned_to_id":23,"start_date":"2017-03-15","description":"","custom_fields":[{"id":1,"name":"Subdivision","value":"EC"},{"id":4,"name":"Milepost","value":"23.3299"},{"id":17,"name":"Train ID","value":"147-15"},{"id":16,"name":"Locomotive ID","value":"4053"},{"id":130,"name":"Impact","value":""},{"id":150,"name":"Time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4053 --day 2017-03-15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696</v>
      </c>
      <c r="B60" s="7">
        <v>4054</v>
      </c>
      <c r="C60" s="21" t="s">
        <v>230</v>
      </c>
      <c r="D60" s="21" t="s">
        <v>242</v>
      </c>
      <c r="E60" s="13">
        <v>42809.426666666666</v>
      </c>
      <c r="F60" s="13">
        <v>42809.434988425928</v>
      </c>
      <c r="G60" s="7">
        <v>0</v>
      </c>
      <c r="H60" s="21" t="s">
        <v>537</v>
      </c>
      <c r="I60" s="13">
        <v>42809.462372685186</v>
      </c>
      <c r="J60" s="7">
        <v>0</v>
      </c>
      <c r="K60" s="98" t="str">
        <f t="shared" si="42"/>
        <v>4053/4054</v>
      </c>
      <c r="L60" s="21" t="str">
        <f>VLOOKUP(A60,'Trips&amp;Operators'!$C$1:$G$99999,5,FALSE)</f>
        <v>MAELZER KURT</v>
      </c>
      <c r="M60" s="6">
        <f t="shared" si="43"/>
        <v>2.7384259257814847E-2</v>
      </c>
      <c r="N60" s="7">
        <f t="shared" si="44"/>
        <v>39.43333333125338</v>
      </c>
      <c r="O60" s="7"/>
      <c r="P60" s="7"/>
      <c r="Q60" s="22"/>
      <c r="R60" s="22"/>
      <c r="S60" s="31">
        <f t="shared" si="45"/>
        <v>1</v>
      </c>
      <c r="T60" s="46" t="str">
        <f t="shared" si="46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-15T09:14:24-0600',mode:absolute,to:'2017-03-15T12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87" t="str">
        <f t="shared" si="47"/>
        <v>N</v>
      </c>
      <c r="X60" s="187">
        <f t="shared" si="53"/>
        <v>1</v>
      </c>
      <c r="Y60" s="62">
        <f t="shared" si="48"/>
        <v>23.2971</v>
      </c>
      <c r="Z60" s="62">
        <f t="shared" si="49"/>
        <v>1.4500000000000001E-2</v>
      </c>
      <c r="AA60" s="62">
        <f t="shared" si="50"/>
        <v>23.282599999999999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51"/>
        <v>0148-15</v>
      </c>
      <c r="AE60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60" s="82" t="str">
        <f t="shared" si="13"/>
        <v>"C:\Program Files (x86)\AstroGrep\AstroGrep.exe" /e /r /s /spath="%USERPROFILE%\AppData\Local\Temp\OnboardLogs" /stypes="app*4054*20170315*" /stext=" 17:.+((SYSTEM_STATE.+slice.+state.+changed )|(ment ac)|(multiple cpu faults)|(system.+state.+changed )|(\[timeout)|(PRM\|1\|D)|(kpr)|(kdp)|(\|lc)|(penalty))"</v>
      </c>
      <c r="AG60" s="1" t="str">
        <f t="shared" si="52"/>
        <v>EC</v>
      </c>
      <c r="AH60" s="86" t="str">
        <f t="shared" si="18"/>
        <v>"%USERPROFILE%\Documents\GitHub\eaglep3\Utilities\RefineRTDCRunTimes.py" --tripid 148-15 --locoid 4054 --swversion DE.1.0.9.0 --startMP 204:232971 --initTime 2017-03-15T10:14:24 --startdatetime 2017-03-15T10:26:23 --delay 0 --endMP 204:145 --enddatetime 2017-03-15T11:05:49 --enforcementcount 0 &gt;&gt;C:\Users\stu\Documents\GitHub\eaglep3-reporting\EC\2017-03-15-refined-times.txt</v>
      </c>
      <c r="AI6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ID","value":"148-15"},{"id":16,"name":"Locomotive ID","value":"4054"},{"id":130,"name":"Impact","value":""},{"id":150,"name":"Time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4054 --day 2017-03-15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691</v>
      </c>
      <c r="B61" s="7">
        <v>4025</v>
      </c>
      <c r="C61" s="21" t="s">
        <v>230</v>
      </c>
      <c r="D61" s="21" t="s">
        <v>441</v>
      </c>
      <c r="E61" s="13">
        <v>42809.401388888888</v>
      </c>
      <c r="F61" s="13">
        <v>42809.406689814816</v>
      </c>
      <c r="G61" s="7">
        <v>1</v>
      </c>
      <c r="H61" s="21" t="s">
        <v>236</v>
      </c>
      <c r="I61" s="13">
        <v>42809.431921296295</v>
      </c>
      <c r="J61" s="7">
        <v>0</v>
      </c>
      <c r="K61" s="98" t="str">
        <f t="shared" si="42"/>
        <v>4025/4026</v>
      </c>
      <c r="L61" s="21" t="str">
        <f>VLOOKUP(A61,'Trips&amp;Operators'!$C$1:$G$99999,5,FALSE)</f>
        <v>GEBRETEKLE DAGNEW</v>
      </c>
      <c r="M61" s="6">
        <f t="shared" si="43"/>
        <v>2.5231481478840578E-2</v>
      </c>
      <c r="N61" s="7">
        <f t="shared" si="44"/>
        <v>36.333333329530433</v>
      </c>
      <c r="O61" s="7"/>
      <c r="P61" s="7"/>
      <c r="Q61" s="22"/>
      <c r="R61" s="22"/>
      <c r="S61" s="31">
        <f t="shared" si="45"/>
        <v>1</v>
      </c>
      <c r="T61" s="46" t="str">
        <f t="shared" si="46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-15T08:38:00-0600',mode:absolute,to:'2017-03-15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1" s="187" t="str">
        <f t="shared" si="47"/>
        <v>N</v>
      </c>
      <c r="X61" s="187">
        <f t="shared" si="53"/>
        <v>1</v>
      </c>
      <c r="Y61" s="62">
        <f t="shared" si="48"/>
        <v>4.6199999999999998E-2</v>
      </c>
      <c r="Z61" s="62">
        <f t="shared" si="49"/>
        <v>23.331199999999999</v>
      </c>
      <c r="AA61" s="62">
        <f t="shared" si="50"/>
        <v>23.285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51"/>
        <v>0149-15</v>
      </c>
      <c r="AE61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61" s="82" t="str">
        <f t="shared" si="13"/>
        <v>"C:\Program Files (x86)\AstroGrep\AstroGrep.exe" /e /r /s /spath="%USERPROFILE%\AppData\Local\Temp\OnboardLogs" /stypes="app*4025*20170315*" /stext=" 16:.+((SYSTEM_STATE.+slice.+state.+changed )|(ment ac)|(multiple cpu faults)|(system.+state.+changed )|(\[timeout)|(PRM\|1\|D)|(kpr)|(kdp)|(\|lc)|(penalty))"</v>
      </c>
      <c r="AG61" s="1" t="str">
        <f t="shared" si="52"/>
        <v>EC</v>
      </c>
      <c r="AH61" s="86" t="str">
        <f t="shared" si="18"/>
        <v>"%USERPROFILE%\Documents\GitHub\eaglep3\Utilities\RefineRTDCRunTimes.py" --tripid 149-15 --locoid 4025 --swversion DE.1.0.9.0 --startMP 204:462 --initTime 2017-03-15T09:38:00 --startdatetime 2017-03-15T09:45:38 --delay 1 --endMP 204:233312 --enddatetime 2017-03-15T10:21:58 --enforcementcount 0 &gt;&gt;C:\Users\stu\Documents\GitHub\eaglep3-reporting\EC\2017-03-15-refined-times.txt</v>
      </c>
      <c r="AI6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ID","value":"149-15"},{"id":16,"name":"Locomotive ID","value":"4025"},{"id":130,"name":"Impact","value":""},{"id":150,"name":"Time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4025 --day 2017-03-15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4026</v>
      </c>
      <c r="C62" s="21" t="s">
        <v>230</v>
      </c>
      <c r="D62" s="21" t="s">
        <v>388</v>
      </c>
      <c r="E62" s="13">
        <v>42809.441006944442</v>
      </c>
      <c r="F62" s="13">
        <v>42809.4453587963</v>
      </c>
      <c r="G62" s="7">
        <v>1</v>
      </c>
      <c r="H62" s="21" t="s">
        <v>202</v>
      </c>
      <c r="I62" s="13">
        <v>42809.476481481484</v>
      </c>
      <c r="J62" s="7">
        <v>0</v>
      </c>
      <c r="K62" s="98" t="str">
        <f t="shared" si="42"/>
        <v>4025/4026</v>
      </c>
      <c r="L62" s="21" t="str">
        <f>VLOOKUP(A62,'Trips&amp;Operators'!$C$1:$G$99999,5,FALSE)</f>
        <v>GEBRETEKLE DAGNEW</v>
      </c>
      <c r="M62" s="6">
        <f t="shared" si="43"/>
        <v>3.1122685184527654E-2</v>
      </c>
      <c r="N62" s="7">
        <f t="shared" si="44"/>
        <v>44.816666665719822</v>
      </c>
      <c r="O62" s="7"/>
      <c r="P62" s="7"/>
      <c r="Q62" s="22"/>
      <c r="R62" s="22"/>
      <c r="S62" s="31">
        <f t="shared" si="45"/>
        <v>1</v>
      </c>
      <c r="T62" s="46" t="str">
        <f t="shared" si="46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-15T09:35:03-0600',mode:absolute,to:'2017-03-15T12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7" t="str">
        <f t="shared" si="47"/>
        <v>N</v>
      </c>
      <c r="X62" s="187">
        <f t="shared" si="53"/>
        <v>1</v>
      </c>
      <c r="Y62" s="62">
        <f t="shared" si="48"/>
        <v>23.2989</v>
      </c>
      <c r="Z62" s="62">
        <f t="shared" si="49"/>
        <v>1.5800000000000002E-2</v>
      </c>
      <c r="AA62" s="62">
        <f t="shared" si="50"/>
        <v>23.283100000000001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51"/>
        <v>0150-15</v>
      </c>
      <c r="AE62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62" s="82" t="str">
        <f t="shared" si="13"/>
        <v>"C:\Program Files (x86)\AstroGrep\AstroGrep.exe" /e /r /s /spath="%USERPROFILE%\AppData\Local\Temp\OnboardLogs" /stypes="app*4026*20170315*" /stext=" 17:.+((SYSTEM_STATE.+slice.+state.+changed )|(ment ac)|(multiple cpu faults)|(system.+state.+changed )|(\[timeout)|(PRM\|1\|D)|(kpr)|(kdp)|(\|lc)|(penalty))"</v>
      </c>
      <c r="AG62" s="1" t="str">
        <f t="shared" si="52"/>
        <v>EC</v>
      </c>
      <c r="AH62" s="86" t="str">
        <f t="shared" si="18"/>
        <v>"%USERPROFILE%\Documents\GitHub\eaglep3\Utilities\RefineRTDCRunTimes.py" --tripid 150-15 --locoid 4026 --swversion DE.1.0.9.0 --startMP 204:232989 --initTime 2017-03-15T10:35:03 --startdatetime 2017-03-15T10:41:19 --delay 1 --endMP 204:158 --enddatetime 2017-03-15T11:26:08 --enforcementcount 0 &gt;&gt;C:\Users\stu\Documents\GitHub\eaglep3-reporting\EC\2017-03-15-refined-times.txt</v>
      </c>
      <c r="AI6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{"issue":{"subject":"","project_id":79,"tracker_id":40,"status_id":1,"priority_id":2,"assigned_to_id":23,"start_date":"2017-03-15","description":"","custom_fields":[{"id":1,"name":"Subdivision","value":"EC"},{"id":4,"name":"Milepost","value":"0.0158"},{"id":17,"name":"Train ID","value":"150-15"},{"id":16,"name":"Locomotive ID","value":"4026"},{"id":130,"name":"Impact","value":""},{"id":150,"name":"Time of Event (Mountain Time)","value":"11:26:08"},{"id":151,"name":"Denver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4026 --day 2017-03-15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695</v>
      </c>
      <c r="B63" s="7">
        <v>4011</v>
      </c>
      <c r="C63" s="21" t="s">
        <v>230</v>
      </c>
      <c r="D63" s="21" t="s">
        <v>214</v>
      </c>
      <c r="E63" s="13">
        <v>42809.414155092592</v>
      </c>
      <c r="F63" s="13">
        <v>42809.416956018518</v>
      </c>
      <c r="G63" s="7">
        <v>1</v>
      </c>
      <c r="H63" s="21" t="s">
        <v>481</v>
      </c>
      <c r="I63" s="13">
        <v>42809.442743055559</v>
      </c>
      <c r="J63" s="7">
        <v>0</v>
      </c>
      <c r="K63" s="98" t="str">
        <f t="shared" si="42"/>
        <v>4011/4012</v>
      </c>
      <c r="L63" s="21" t="str">
        <f>VLOOKUP(A63,'Trips&amp;Operators'!$C$1:$G$99999,5,FALSE)</f>
        <v>GUZMAN DANNY</v>
      </c>
      <c r="M63" s="6">
        <f t="shared" si="43"/>
        <v>2.5787037040572613E-2</v>
      </c>
      <c r="N63" s="7">
        <f t="shared" si="44"/>
        <v>37.133333338424563</v>
      </c>
      <c r="O63" s="7"/>
      <c r="P63" s="7"/>
      <c r="Q63" s="22"/>
      <c r="R63" s="22"/>
      <c r="S63" s="31">
        <f t="shared" si="45"/>
        <v>1</v>
      </c>
      <c r="T63" s="46" t="str">
        <f t="shared" si="46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-15T08:56:23-0600',mode:absolute,to:'2017-03-15T11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187" t="str">
        <f t="shared" si="47"/>
        <v>N</v>
      </c>
      <c r="X63" s="187">
        <f t="shared" si="53"/>
        <v>1</v>
      </c>
      <c r="Y63" s="62">
        <f t="shared" si="48"/>
        <v>4.53E-2</v>
      </c>
      <c r="Z63" s="62">
        <f t="shared" si="49"/>
        <v>23.3291</v>
      </c>
      <c r="AA63" s="62">
        <f t="shared" si="50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51"/>
        <v>0151-15</v>
      </c>
      <c r="AE63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63" s="82" t="str">
        <f t="shared" si="13"/>
        <v>"C:\Program Files (x86)\AstroGrep\AstroGrep.exe" /e /r /s /spath="%USERPROFILE%\AppData\Local\Temp\OnboardLogs" /stypes="app*4011*20170315*" /stext=" 16:.+((SYSTEM_STATE.+slice.+state.+changed )|(ment ac)|(multiple cpu faults)|(system.+state.+changed )|(\[timeout)|(PRM\|1\|D)|(kpr)|(kdp)|(\|lc)|(penalty))"</v>
      </c>
      <c r="AG63" s="1" t="str">
        <f t="shared" si="52"/>
        <v>EC</v>
      </c>
      <c r="AH63" s="86" t="str">
        <f t="shared" si="18"/>
        <v>"%USERPROFILE%\Documents\GitHub\eaglep3\Utilities\RefineRTDCRunTimes.py" --tripid 151-15 --locoid 4011 --swversion DE.1.0.9.0 --startMP 204:453 --initTime 2017-03-15T09:56:23 --startdatetime 2017-03-15T10:00:25 --delay 1 --endMP 204:233291 --enddatetime 2017-03-15T10:37:33 --enforcementcount 0 &gt;&gt;C:\Users\stu\Documents\GitHub\eaglep3-reporting\EC\2017-03-15-refined-times.txt</v>
      </c>
      <c r="AI6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ID","value":"151-15"},{"id":16,"name":"Locomotive ID","value":"4011"},{"id":130,"name":"Impact","value":""},{"id":150,"name":"Time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4011 --day 2017-03-15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701</v>
      </c>
      <c r="B64" s="7">
        <v>4012</v>
      </c>
      <c r="C64" s="21" t="s">
        <v>230</v>
      </c>
      <c r="D64" s="21" t="s">
        <v>242</v>
      </c>
      <c r="E64" s="13">
        <v>42809.450231481482</v>
      </c>
      <c r="F64" s="13">
        <v>42809.455868055556</v>
      </c>
      <c r="G64" s="7">
        <v>1</v>
      </c>
      <c r="H64" s="21" t="s">
        <v>463</v>
      </c>
      <c r="I64" s="13">
        <v>42809.483807870369</v>
      </c>
      <c r="J64" s="7">
        <v>0</v>
      </c>
      <c r="K64" s="98" t="str">
        <f t="shared" si="42"/>
        <v>4011/4012</v>
      </c>
      <c r="L64" s="21" t="str">
        <f>VLOOKUP(A64,'Trips&amp;Operators'!$C$1:$G$99999,5,FALSE)</f>
        <v>GUZMAN DANNY</v>
      </c>
      <c r="M64" s="6">
        <f t="shared" si="43"/>
        <v>2.7939814812270924E-2</v>
      </c>
      <c r="N64" s="7">
        <f t="shared" si="44"/>
        <v>40.233333329670131</v>
      </c>
      <c r="O64" s="7"/>
      <c r="P64" s="7"/>
      <c r="Q64" s="22"/>
      <c r="R64" s="22"/>
      <c r="S64" s="31">
        <f t="shared" si="45"/>
        <v>1</v>
      </c>
      <c r="T64" s="46" t="str">
        <f t="shared" si="46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-15T09:48:20-0600',mode:absolute,to:'2017-03-15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87" t="str">
        <f t="shared" si="47"/>
        <v>N</v>
      </c>
      <c r="X64" s="187">
        <f t="shared" si="53"/>
        <v>1</v>
      </c>
      <c r="Y64" s="62">
        <f t="shared" si="48"/>
        <v>23.2971</v>
      </c>
      <c r="Z64" s="62">
        <f t="shared" si="49"/>
        <v>1.32E-2</v>
      </c>
      <c r="AA64" s="62">
        <f t="shared" si="50"/>
        <v>23.283899999999999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51"/>
        <v>0152-15</v>
      </c>
      <c r="AE64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64" s="82" t="str">
        <f t="shared" si="13"/>
        <v>"C:\Program Files (x86)\AstroGrep\AstroGrep.exe" /e /r /s /spath="%USERPROFILE%\AppData\Local\Temp\OnboardLogs" /stypes="app*4012*20170315*" /stext=" 17:.+((SYSTEM_STATE.+slice.+state.+changed )|(ment ac)|(multiple cpu faults)|(system.+state.+changed )|(\[timeout)|(PRM\|1\|D)|(kpr)|(kdp)|(\|lc)|(penalty))"</v>
      </c>
      <c r="AG64" s="1" t="str">
        <f t="shared" si="52"/>
        <v>EC</v>
      </c>
      <c r="AH64" s="86" t="str">
        <f t="shared" si="18"/>
        <v>"%USERPROFILE%\Documents\GitHub\eaglep3\Utilities\RefineRTDCRunTimes.py" --tripid 152-15 --locoid 4012 --swversion DE.1.0.9.0 --startMP 204:232971 --initTime 2017-03-15T10:48:20 --startdatetime 2017-03-15T10:56:27 --delay 1 --endMP 204:132 --enddatetime 2017-03-15T11:36:41 --enforcementcount 0 &gt;&gt;C:\Users\stu\Documents\GitHub\eaglep3-reporting\EC\2017-03-15-refined-times.txt</v>
      </c>
      <c r="AI6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{"issue":{"subject":"","project_id":79,"tracker_id":40,"status_id":1,"priority_id":2,"assigned_to_id":23,"start_date":"2017-03-15","description":"","custom_fields":[{"id":1,"name":"Subdivision","value":"EC"},{"id":4,"name":"Milepost","value":"0.0132"},{"id":17,"name":"Train ID","value":"152-15"},{"id":16,"name":"Locomotive ID","value":"4012"},{"id":130,"name":"Impact","value":""},{"id":150,"name":"Time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4012 --day 2017-03-15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590</v>
      </c>
      <c r="B65" s="7">
        <v>4051</v>
      </c>
      <c r="C65" s="21" t="s">
        <v>230</v>
      </c>
      <c r="D65" s="21" t="s">
        <v>211</v>
      </c>
      <c r="E65" s="13">
        <v>42809.424722222226</v>
      </c>
      <c r="F65" s="13">
        <v>42809.427800925929</v>
      </c>
      <c r="G65" s="7">
        <v>1</v>
      </c>
      <c r="H65" s="21" t="s">
        <v>533</v>
      </c>
      <c r="I65" s="13">
        <v>42809.45417824074</v>
      </c>
      <c r="J65" s="7">
        <v>0</v>
      </c>
      <c r="K65" s="98" t="str">
        <f t="shared" si="42"/>
        <v>4051/4052</v>
      </c>
      <c r="L65" s="21" t="str">
        <f>VLOOKUP(A65,'Trips&amp;Operators'!$C$1:$G$99999,5,FALSE)</f>
        <v>SANTIZO D. EDY</v>
      </c>
      <c r="M65" s="6">
        <f t="shared" si="43"/>
        <v>2.6377314810815733E-2</v>
      </c>
      <c r="N65" s="7">
        <f t="shared" si="44"/>
        <v>37.983333327574655</v>
      </c>
      <c r="O65" s="7"/>
      <c r="P65" s="7"/>
      <c r="Q65" s="22"/>
      <c r="R65" s="22"/>
      <c r="S65" s="31">
        <f t="shared" si="45"/>
        <v>1</v>
      </c>
      <c r="T65" s="46" t="str">
        <f t="shared" si="46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-15T09:11:36-0600',mode:absolute,to:'2017-03-15T11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7" t="str">
        <f t="shared" si="47"/>
        <v>N</v>
      </c>
      <c r="X65" s="187">
        <f t="shared" si="53"/>
        <v>1</v>
      </c>
      <c r="Y65" s="62">
        <f t="shared" si="48"/>
        <v>4.5999999999999999E-2</v>
      </c>
      <c r="Z65" s="62">
        <f t="shared" si="49"/>
        <v>23.3276</v>
      </c>
      <c r="AA65" s="62">
        <f t="shared" si="50"/>
        <v>23.281600000000001</v>
      </c>
      <c r="AB65" s="59" t="str">
        <f>VLOOKUP(A65,Enforcements!$C$7:$K$13,8,0)</f>
        <v>Bulletin (2)</v>
      </c>
      <c r="AC65" s="55" t="str">
        <f>VLOOKUP(A65,Enforcements!$C$7:$E$13,3,0)</f>
        <v>GRADE CROSSING</v>
      </c>
      <c r="AD65" s="56" t="str">
        <f t="shared" si="51"/>
        <v>0153-15</v>
      </c>
      <c r="AE65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65" s="82" t="str">
        <f t="shared" si="13"/>
        <v>"C:\Program Files (x86)\AstroGrep\AstroGrep.exe" /e /r /s /spath="%USERPROFILE%\AppData\Local\Temp\OnboardLogs" /stypes="app*4051*20170315*" /stext=" 16:.+((SYSTEM_STATE.+slice.+state.+changed )|(ment ac)|(multiple cpu faults)|(system.+state.+changed )|(\[timeout)|(PRM\|1\|D)|(kpr)|(kdp)|(\|lc)|(penalty))"</v>
      </c>
      <c r="AG65" s="1" t="str">
        <f t="shared" si="52"/>
        <v>EC</v>
      </c>
      <c r="AH65" s="86" t="str">
        <f t="shared" si="18"/>
        <v>"%USERPROFILE%\Documents\GitHub\eaglep3\Utilities\RefineRTDCRunTimes.py" --tripid 153-15 --locoid 4051 --swversion DE.1.0.9.0 --startMP 204:460 --initTime 2017-03-15T10:11:36 --startdatetime 2017-03-15T10:16:02 --delay 1 --endMP 204:233276 --enddatetime 2017-03-15T10:54:01 --enforcementcount 0 &gt;&gt;C:\Users\stu\Documents\GitHub\eaglep3-reporting\EC\2017-03-15-refined-times.txt</v>
      </c>
      <c r="AI6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{"issue":{"subject":"","project_id":79,"tracker_id":40,"status_id":1,"priority_id":2,"assigned_to_id":23,"start_date":"2017-03-15","description":"","custom_fields":[{"id":1,"name":"Subdivision","value":"EC"},{"id":4,"name":"Milepost","value":"23.3276"},{"id":17,"name":"Train ID","value":"153-15"},{"id":16,"name":"Locomotive ID","value":"4051"},{"id":130,"name":"Impact","value":""},{"id":150,"name":"Time of Event (Mountain Time)","value":"10:54:01"},{"id":151,"name":"Denver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4051 --day 2017-03-15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596</v>
      </c>
      <c r="B66" s="7">
        <v>4052</v>
      </c>
      <c r="C66" s="21" t="s">
        <v>230</v>
      </c>
      <c r="D66" s="21" t="s">
        <v>863</v>
      </c>
      <c r="E66" s="13">
        <v>42809.487280092595</v>
      </c>
      <c r="F66" s="13">
        <v>42809.488125000003</v>
      </c>
      <c r="G66" s="7">
        <v>0</v>
      </c>
      <c r="H66" s="21" t="s">
        <v>864</v>
      </c>
      <c r="I66" s="13">
        <v>42809.509884259256</v>
      </c>
      <c r="J66" s="7">
        <v>0</v>
      </c>
      <c r="K66" s="98" t="str">
        <f t="shared" si="42"/>
        <v>4051/4052</v>
      </c>
      <c r="L66" s="21" t="str">
        <f>VLOOKUP(A66,'Trips&amp;Operators'!$C$1:$G$99999,5,FALSE)</f>
        <v>SANTIZO D. EDY</v>
      </c>
      <c r="M66" s="6">
        <f t="shared" si="43"/>
        <v>2.1759259252576157E-2</v>
      </c>
      <c r="N66" s="7"/>
      <c r="O66" s="7"/>
      <c r="P66" s="7">
        <f>24*60*SUM($M66:$M66)</f>
        <v>31.333333323709667</v>
      </c>
      <c r="Q66" s="22"/>
      <c r="R66" s="22" t="s">
        <v>1021</v>
      </c>
      <c r="S66" s="31">
        <f t="shared" si="45"/>
        <v>1</v>
      </c>
      <c r="T66" s="46" t="str">
        <f t="shared" si="46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7" t="str">
        <f t="shared" si="47"/>
        <v>Y</v>
      </c>
      <c r="X66" s="187">
        <f t="shared" si="53"/>
        <v>1</v>
      </c>
      <c r="Y66" s="62">
        <f t="shared" si="48"/>
        <v>15.398999999999999</v>
      </c>
      <c r="Z66" s="62">
        <f t="shared" si="49"/>
        <v>2.52E-2</v>
      </c>
      <c r="AA66" s="62">
        <f t="shared" si="50"/>
        <v>15.373799999999999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51"/>
        <v>0154-15</v>
      </c>
      <c r="AE66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66" s="82" t="str">
        <f t="shared" si="13"/>
        <v>"C:\Program Files (x86)\AstroGrep\AstroGrep.exe" /e /r /s /spath="%USERPROFILE%\AppData\Local\Temp\OnboardLogs" /stypes="app*4052*20170315*" /stext=" 18:.+((SYSTEM_STATE.+slice.+state.+changed )|(ment ac)|(multiple cpu faults)|(system.+state.+changed )|(\[timeout)|(PRM\|1\|D)|(kpr)|(kdp)|(\|lc)|(penalty))"</v>
      </c>
      <c r="AG66" s="1" t="str">
        <f t="shared" si="52"/>
        <v>EC</v>
      </c>
      <c r="AH66" s="86" t="str">
        <f t="shared" si="18"/>
        <v>"%USERPROFILE%\Documents\GitHub\eaglep3\Utilities\RefineRTDCRunTimes.py" --tripid 154-15 --locoid 4052 --swversion DE.1.0.9.0 --startMP 204:153990 --initTime 2017-03-15T11:41:41 --startdatetime 2017-03-15T11:42:54 --delay 0 --endMP 204:252 --enddatetime 2017-03-15T12:14:14 --enforcementcount 0 &gt;&gt;C:\Users\stu\Documents\GitHub\eaglep3-reporting\EC\2017-03-15-refined-times.txt</v>
      </c>
      <c r="AI66" s="108" t="str">
        <f t="shared" si="19"/>
        <v>echo {"issue":{"subject":"Signals maintenance at CP 78th","project_id":79,"tracker_id":40,"status_id":1,"priority_id":2,"assigned_to_id":23,"start_date":"2017-03-15","description":"","custom_fields":[{"id":1,"name":"Subdivision","value":"EC"},{"id":4,"name":"Milepost","value":"0.0252"},{"id":17,"name":"Train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4052 --day 2017-03-15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596</v>
      </c>
      <c r="B67" s="7">
        <v>4052</v>
      </c>
      <c r="C67" s="21" t="s">
        <v>230</v>
      </c>
      <c r="D67" s="21" t="s">
        <v>534</v>
      </c>
      <c r="E67" s="13">
        <v>42809.45579861111</v>
      </c>
      <c r="F67" s="13">
        <v>42809.488125000003</v>
      </c>
      <c r="G67" s="7">
        <v>1</v>
      </c>
      <c r="H67" s="21" t="s">
        <v>865</v>
      </c>
      <c r="I67" s="13">
        <v>42809.509884259256</v>
      </c>
      <c r="J67" s="7">
        <v>0</v>
      </c>
      <c r="K67" s="98" t="str">
        <f t="shared" si="42"/>
        <v>4051/4052</v>
      </c>
      <c r="L67" s="21" t="str">
        <f>VLOOKUP(A67,'Trips&amp;Operators'!$C$1:$G$99999,5,FALSE)</f>
        <v>SANTIZO D. EDY</v>
      </c>
      <c r="M67" s="6">
        <f t="shared" si="43"/>
        <v>2.1759259252576157E-2</v>
      </c>
      <c r="N67" s="7"/>
      <c r="O67" s="7"/>
      <c r="P67" s="7"/>
      <c r="Q67" s="22"/>
      <c r="R67" s="22"/>
      <c r="S67" s="31"/>
      <c r="T67" s="46" t="str">
        <f t="shared" si="46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-15T09:56:21-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7" s="187" t="str">
        <f t="shared" si="47"/>
        <v>Y</v>
      </c>
      <c r="X67" s="187">
        <f t="shared" si="53"/>
        <v>0</v>
      </c>
      <c r="Y67" s="62">
        <f t="shared" si="48"/>
        <v>23.2957</v>
      </c>
      <c r="Z67" s="62">
        <f t="shared" si="49"/>
        <v>19.278199999999998</v>
      </c>
      <c r="AA67" s="62">
        <f t="shared" si="50"/>
        <v>4.0175000000000018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51"/>
        <v>0154-15</v>
      </c>
      <c r="AE67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67" s="82" t="str">
        <f t="shared" si="13"/>
        <v>"C:\Program Files (x86)\AstroGrep\AstroGrep.exe" /e /r /s /spath="%USERPROFILE%\AppData\Local\Temp\OnboardLogs" /stypes="app*4052*20170315*" /stext=" 18:.+((SYSTEM_STATE.+slice.+state.+changed )|(ment ac)|(multiple cpu faults)|(system.+state.+changed )|(\[timeout)|(PRM\|1\|D)|(kpr)|(kdp)|(\|lc)|(penalty))"</v>
      </c>
      <c r="AG67" s="1" t="str">
        <f t="shared" si="52"/>
        <v>EC</v>
      </c>
      <c r="AH67" s="86" t="str">
        <f t="shared" si="18"/>
        <v>"%USERPROFILE%\Documents\GitHub\eaglep3\Utilities\RefineRTDCRunTimes.py" --tripid 154-15 --locoid 4052 --swversion DE.1.0.9.0 --startMP 204:232957 --initTime 2017-03-15T10:56:21 --startdatetime 2017-03-15T11:42:54 --delay 1 --endMP 204:192782 --enddatetime 2017-03-15T12:14:14 --enforcementcount 0 &gt;&gt;C:\Users\stu\Documents\GitHub\eaglep3-reporting\EC\2017-03-15-refined-times.txt</v>
      </c>
      <c r="AI6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{"issue":{"subject":"","project_id":79,"tracker_id":40,"status_id":1,"priority_id":2,"assigned_to_id":23,"start_date":"2017-03-15","description":"","custom_fields":[{"id":1,"name":"Subdivision","value":"EC"},{"id":4,"name":"Milepost","value":"19.2782"},{"id":17,"name":"Train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4052 --day 2017-03-15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593</v>
      </c>
      <c r="B68" s="7">
        <v>4020</v>
      </c>
      <c r="C68" s="21" t="s">
        <v>230</v>
      </c>
      <c r="D68" s="21" t="s">
        <v>224</v>
      </c>
      <c r="E68" s="13">
        <v>42809.435219907406</v>
      </c>
      <c r="F68" s="13">
        <v>42809.437673611108</v>
      </c>
      <c r="G68" s="7">
        <v>1</v>
      </c>
      <c r="H68" s="21" t="s">
        <v>866</v>
      </c>
      <c r="I68" s="13">
        <v>42809.462800925925</v>
      </c>
      <c r="J68" s="7">
        <v>0</v>
      </c>
      <c r="K68" s="98" t="str">
        <f t="shared" si="42"/>
        <v>4019/4020</v>
      </c>
      <c r="L68" s="21" t="str">
        <f>VLOOKUP(A68,'Trips&amp;Operators'!$C$1:$G$99999,5,FALSE)</f>
        <v>ROCHA YAOTL</v>
      </c>
      <c r="M68" s="6">
        <f t="shared" si="43"/>
        <v>2.5127314816927537E-2</v>
      </c>
      <c r="N68" s="7">
        <f t="shared" ref="N68:P100" si="54">24*60*SUM($M68:$M68)</f>
        <v>36.183333336375654</v>
      </c>
      <c r="O68" s="7"/>
      <c r="P68" s="7"/>
      <c r="Q68" s="22"/>
      <c r="R68" s="22"/>
      <c r="S68" s="31">
        <f t="shared" ref="S68:S100" si="55">SUM(U68:U68)/IF(AG68="EC",12,1)</f>
        <v>1</v>
      </c>
      <c r="T68" s="46" t="str">
        <f t="shared" si="46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-15T09:26:43-0600',mode:absolute,to:'2017-03-15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187" t="str">
        <f t="shared" si="47"/>
        <v>N</v>
      </c>
      <c r="X68" s="187">
        <f t="shared" si="53"/>
        <v>1</v>
      </c>
      <c r="Y68" s="62">
        <f t="shared" si="48"/>
        <v>4.4699999999999997E-2</v>
      </c>
      <c r="Z68" s="62">
        <f t="shared" si="49"/>
        <v>23.328600000000002</v>
      </c>
      <c r="AA68" s="62">
        <f t="shared" si="50"/>
        <v>23.283900000000003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51"/>
        <v>0155-15</v>
      </c>
      <c r="AE68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68" s="82" t="str">
        <f t="shared" si="13"/>
        <v>"C:\Program Files (x86)\AstroGrep\AstroGrep.exe" /e /r /s /spath="%USERPROFILE%\AppData\Local\Temp\OnboardLogs" /stypes="app*4020*20170315*" /stext=" 17:.+((SYSTEM_STATE.+slice.+state.+changed )|(ment ac)|(multiple cpu faults)|(system.+state.+changed )|(\[timeout)|(PRM\|1\|D)|(kpr)|(kdp)|(\|lc)|(penalty))"</v>
      </c>
      <c r="AG68" s="1" t="str">
        <f t="shared" si="52"/>
        <v>EC</v>
      </c>
      <c r="AH68" s="86" t="str">
        <f t="shared" si="18"/>
        <v>"%USERPROFILE%\Documents\GitHub\eaglep3\Utilities\RefineRTDCRunTimes.py" --tripid 155-15 --locoid 4020 --swversion DE.1.0.9.0 --startMP 204:447 --initTime 2017-03-15T10:26:43 --startdatetime 2017-03-15T10:30:15 --delay 1 --endMP 204:233286 --enddatetime 2017-03-15T11:06:26 --enforcementcount 0 &gt;&gt;C:\Users\stu\Documents\GitHub\eaglep3-reporting\EC\2017-03-15-refined-times.txt</v>
      </c>
      <c r="AI6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{"issue":{"subject":"","project_id":79,"tracker_id":40,"status_id":1,"priority_id":2,"assigned_to_id":23,"start_date":"2017-03-15","description":"","custom_fields":[{"id":1,"name":"Subdivision","value":"EC"},{"id":4,"name":"Milepost","value":"23.3286"},{"id":17,"name":"Train ID","value":"155-15"},{"id":16,"name":"Locomotive ID","value":"4020"},{"id":130,"name":"Impact","value":""},{"id":150,"name":"Time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4020 --day 2017-03-15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705</v>
      </c>
      <c r="B69" s="7">
        <v>4019</v>
      </c>
      <c r="C69" s="21" t="s">
        <v>230</v>
      </c>
      <c r="D69" s="21" t="s">
        <v>854</v>
      </c>
      <c r="E69" s="13">
        <v>42809.475162037037</v>
      </c>
      <c r="F69" s="13">
        <v>42809.484120370369</v>
      </c>
      <c r="G69" s="7">
        <v>1</v>
      </c>
      <c r="H69" s="21" t="s">
        <v>223</v>
      </c>
      <c r="I69" s="13">
        <v>42809.515428240738</v>
      </c>
      <c r="J69" s="7">
        <v>0</v>
      </c>
      <c r="K69" s="98" t="str">
        <f t="shared" si="42"/>
        <v>4019/4020</v>
      </c>
      <c r="L69" s="21" t="str">
        <f>VLOOKUP(A69,'Trips&amp;Operators'!$C$1:$G$99999,5,FALSE)</f>
        <v>ROCHA YAOTL</v>
      </c>
      <c r="M69" s="6">
        <f t="shared" si="43"/>
        <v>3.1307870369346347E-2</v>
      </c>
      <c r="N69" s="7">
        <f t="shared" si="54"/>
        <v>45.083333331858739</v>
      </c>
      <c r="O69" s="7"/>
      <c r="P69" s="7"/>
      <c r="Q69" s="22"/>
      <c r="R69" s="22"/>
      <c r="S69" s="31">
        <f t="shared" si="55"/>
        <v>1</v>
      </c>
      <c r="T69" s="46" t="str">
        <f t="shared" si="46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-15T10:24:14-0600',mode:absolute,to:'2017-03-15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187" t="str">
        <f t="shared" si="47"/>
        <v>N</v>
      </c>
      <c r="X69" s="187">
        <f t="shared" si="53"/>
        <v>1</v>
      </c>
      <c r="Y69" s="62">
        <f t="shared" si="48"/>
        <v>23.297799999999999</v>
      </c>
      <c r="Z69" s="62">
        <f t="shared" si="49"/>
        <v>1.47E-2</v>
      </c>
      <c r="AA69" s="62">
        <f t="shared" si="50"/>
        <v>23.283099999999997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51"/>
        <v>0156-15</v>
      </c>
      <c r="AE69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69" s="82" t="str">
        <f t="shared" si="13"/>
        <v>"C:\Program Files (x86)\AstroGrep\AstroGrep.exe" /e /r /s /spath="%USERPROFILE%\AppData\Local\Temp\OnboardLogs" /stypes="app*4019*20170315*" /stext=" 18:.+((SYSTEM_STATE.+slice.+state.+changed )|(ment ac)|(multiple cpu faults)|(system.+state.+changed )|(\[timeout)|(PRM\|1\|D)|(kpr)|(kdp)|(\|lc)|(penalty))"</v>
      </c>
      <c r="AG69" s="1" t="str">
        <f t="shared" si="52"/>
        <v>EC</v>
      </c>
      <c r="AH69" s="86" t="str">
        <f t="shared" si="18"/>
        <v>"%USERPROFILE%\Documents\GitHub\eaglep3\Utilities\RefineRTDCRunTimes.py" --tripid 156-15 --locoid 4019 --swversion DE.1.0.9.0 --startMP 204:232978 --initTime 2017-03-15T11:24:14 --startdatetime 2017-03-15T11:37:08 --delay 1 --endMP 204:147 --enddatetime 2017-03-15T12:22:13 --enforcementcount 0 &gt;&gt;C:\Users\stu\Documents\GitHub\eaglep3-reporting\EC\2017-03-15-refined-times.txt</v>
      </c>
      <c r="AI6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{"issue":{"subject":"","project_id":79,"tracker_id":40,"status_id":1,"priority_id":2,"assigned_to_id":23,"start_date":"2017-03-15","description":"","custom_fields":[{"id":1,"name":"Subdivision","value":"EC"},{"id":4,"name":"Milepost","value":"0.0147"},{"id":17,"name":"Train ID","value":"156-15"},{"id":16,"name":"Locomotive ID","value":"4019"},{"id":130,"name":"Impact","value":""},{"id":150,"name":"Time of Event (Mountain Time)","value":"12:22:13"},{"id":151,"name":"Denver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4019 --day 2017-03-15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700</v>
      </c>
      <c r="B70" s="7">
        <v>4002</v>
      </c>
      <c r="C70" s="21" t="s">
        <v>230</v>
      </c>
      <c r="D70" s="21" t="s">
        <v>210</v>
      </c>
      <c r="E70" s="13">
        <v>42809.445439814815</v>
      </c>
      <c r="F70" s="13">
        <v>42809.448287037034</v>
      </c>
      <c r="G70" s="7">
        <v>1</v>
      </c>
      <c r="H70" s="21" t="s">
        <v>236</v>
      </c>
      <c r="I70" s="13">
        <v>42809.48097222222</v>
      </c>
      <c r="J70" s="7">
        <v>0</v>
      </c>
      <c r="K70" s="98" t="str">
        <f t="shared" si="42"/>
        <v>4001/4002</v>
      </c>
      <c r="L70" s="21" t="str">
        <f>VLOOKUP(A70,'Trips&amp;Operators'!$C$1:$G$99999,5,FALSE)</f>
        <v>BEAM ROSS</v>
      </c>
      <c r="M70" s="6">
        <f t="shared" si="43"/>
        <v>3.2685185185982846E-2</v>
      </c>
      <c r="N70" s="7">
        <f t="shared" si="54"/>
        <v>47.066666667815298</v>
      </c>
      <c r="O70" s="7"/>
      <c r="P70" s="7"/>
      <c r="Q70" s="22"/>
      <c r="R70" s="22"/>
      <c r="S70" s="31">
        <f t="shared" si="55"/>
        <v>1</v>
      </c>
      <c r="T70" s="46" t="str">
        <f t="shared" si="46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-15T09:41:26-0600',mode:absolute,to:'2017-03-15T12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187" t="str">
        <f t="shared" si="47"/>
        <v>N</v>
      </c>
      <c r="X70" s="187">
        <f t="shared" si="53"/>
        <v>1</v>
      </c>
      <c r="Y70" s="62">
        <f t="shared" si="48"/>
        <v>4.5699999999999998E-2</v>
      </c>
      <c r="Z70" s="62">
        <f t="shared" si="49"/>
        <v>23.331199999999999</v>
      </c>
      <c r="AA70" s="62">
        <f t="shared" si="50"/>
        <v>23.285499999999999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51"/>
        <v>0157-15</v>
      </c>
      <c r="AE70" s="85" t="str">
        <f t="shared" si="1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70" s="82" t="str">
        <f t="shared" si="13"/>
        <v>"C:\Program Files (x86)\AstroGrep\AstroGrep.exe" /e /r /s /spath="%USERPROFILE%\AppData\Local\Temp\OnboardLogs" /stypes="app*4002*20170315*" /stext=" 17:.+((SYSTEM_STATE.+slice.+state.+changed )|(ment ac)|(multiple cpu faults)|(system.+state.+changed )|(\[timeout)|(PRM\|1\|D)|(kpr)|(kdp)|(\|lc)|(penalty))"</v>
      </c>
      <c r="AG70" s="1" t="str">
        <f t="shared" si="52"/>
        <v>EC</v>
      </c>
      <c r="AH70" s="86" t="str">
        <f t="shared" si="18"/>
        <v>"%USERPROFILE%\Documents\GitHub\eaglep3\Utilities\RefineRTDCRunTimes.py" --tripid 157-15 --locoid 4002 --swversion DE.1.0.9.0 --startMP 204:457 --initTime 2017-03-15T10:41:26 --startdatetime 2017-03-15T10:45:32 --delay 1 --endMP 204:233312 --enddatetime 2017-03-15T11:32:36 --enforcementcount 0 &gt;&gt;C:\Users\stu\Documents\GitHub\eaglep3-reporting\EC\2017-03-15-refined-times.txt</v>
      </c>
      <c r="AI7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ID","value":"157-15"},{"id":16,"name":"Locomotive ID","value":"4002"},{"id":130,"name":"Impact","value":""},{"id":150,"name":"Time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4002 --day 2017-03-15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707</v>
      </c>
      <c r="B71" s="7">
        <v>4001</v>
      </c>
      <c r="C71" s="21" t="s">
        <v>230</v>
      </c>
      <c r="D71" s="21" t="s">
        <v>460</v>
      </c>
      <c r="E71" s="13">
        <v>42809.485555555555</v>
      </c>
      <c r="F71" s="13">
        <v>42809.491226851853</v>
      </c>
      <c r="G71" s="7">
        <v>1</v>
      </c>
      <c r="H71" s="21" t="s">
        <v>867</v>
      </c>
      <c r="I71" s="13">
        <v>42809.52003472222</v>
      </c>
      <c r="J71" s="7">
        <v>0</v>
      </c>
      <c r="K71" s="98" t="str">
        <f t="shared" si="42"/>
        <v>4001/4002</v>
      </c>
      <c r="L71" s="21" t="str">
        <f>VLOOKUP(A71,'Trips&amp;Operators'!$C$1:$G$99999,5,FALSE)</f>
        <v>BEAM ROSS</v>
      </c>
      <c r="M71" s="6">
        <f t="shared" si="43"/>
        <v>2.880787036701804E-2</v>
      </c>
      <c r="N71" s="7">
        <f t="shared" si="54"/>
        <v>41.483333328505978</v>
      </c>
      <c r="O71" s="7"/>
      <c r="P71" s="7"/>
      <c r="Q71" s="22"/>
      <c r="R71" s="22"/>
      <c r="S71" s="31">
        <f t="shared" si="55"/>
        <v>1</v>
      </c>
      <c r="T71" s="46" t="str">
        <f t="shared" si="46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-15T10:39:12-0600',mode:absolute,to:'2017-03-15T13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187" t="str">
        <f t="shared" si="47"/>
        <v>N</v>
      </c>
      <c r="X71" s="187">
        <f t="shared" si="53"/>
        <v>1</v>
      </c>
      <c r="Y71" s="62">
        <f t="shared" si="48"/>
        <v>23.299800000000001</v>
      </c>
      <c r="Z71" s="62">
        <f t="shared" si="49"/>
        <v>0.12659999999999999</v>
      </c>
      <c r="AA71" s="62">
        <f t="shared" si="50"/>
        <v>23.173200000000001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51"/>
        <v>0158-15</v>
      </c>
      <c r="AE71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71" s="82" t="str">
        <f t="shared" si="13"/>
        <v>"C:\Program Files (x86)\AstroGrep\AstroGrep.exe" /e /r /s /spath="%USERPROFILE%\AppData\Local\Temp\OnboardLogs" /stypes="app*4001*20170315*" /stext=" 18:.+((SYSTEM_STATE.+slice.+state.+changed )|(ment ac)|(multiple cpu faults)|(system.+state.+changed )|(\[timeout)|(PRM\|1\|D)|(kpr)|(kdp)|(\|lc)|(penalty))"</v>
      </c>
      <c r="AG71" s="1" t="str">
        <f t="shared" si="52"/>
        <v>EC</v>
      </c>
      <c r="AH71" s="86" t="str">
        <f t="shared" si="18"/>
        <v>"%USERPROFILE%\Documents\GitHub\eaglep3\Utilities\RefineRTDCRunTimes.py" --tripid 158-15 --locoid 4001 --swversion DE.1.0.9.0 --startMP 204:232998 --initTime 2017-03-15T11:39:12 --startdatetime 2017-03-15T11:47:22 --delay 1 --endMP 204:1266 --enddatetime 2017-03-15T12:28:51 --enforcementcount 0 &gt;&gt;C:\Users\stu\Documents\GitHub\eaglep3-reporting\EC\2017-03-15-refined-times.txt</v>
      </c>
      <c r="AI7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{"issue":{"subject":"","project_id":79,"tracker_id":40,"status_id":1,"priority_id":2,"assigned_to_id":23,"start_date":"2017-03-15","description":"","custom_fields":[{"id":1,"name":"Subdivision","value":"EC"},{"id":4,"name":"Milepost","value":"0.1266"},{"id":17,"name":"Train ID","value":"158-15"},{"id":16,"name":"Locomotive ID","value":"4001"},{"id":130,"name":"Impact","value":""},{"id":150,"name":"Time of Event (Mountain Time)","value":"12:28:51"},{"id":151,"name":"Denver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4001 --day 2017-03-15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702</v>
      </c>
      <c r="B72" s="7">
        <v>4042</v>
      </c>
      <c r="C72" s="21" t="s">
        <v>230</v>
      </c>
      <c r="D72" s="21" t="s">
        <v>868</v>
      </c>
      <c r="E72" s="13">
        <v>42809.456655092596</v>
      </c>
      <c r="F72" s="13">
        <v>42809.458518518521</v>
      </c>
      <c r="G72" s="7">
        <v>1</v>
      </c>
      <c r="H72" s="21" t="s">
        <v>540</v>
      </c>
      <c r="I72" s="13">
        <v>42809.487708333334</v>
      </c>
      <c r="J72" s="7">
        <v>0</v>
      </c>
      <c r="K72" s="98" t="str">
        <f t="shared" si="42"/>
        <v>4041/4042</v>
      </c>
      <c r="L72" s="21" t="str">
        <f>VLOOKUP(A72,'Trips&amp;Operators'!$C$1:$G$99999,5,FALSE)</f>
        <v>CLARK KATHLEEN</v>
      </c>
      <c r="M72" s="6">
        <f t="shared" si="43"/>
        <v>2.9189814813435078E-2</v>
      </c>
      <c r="N72" s="7">
        <f t="shared" si="54"/>
        <v>42.033333331346512</v>
      </c>
      <c r="O72" s="7"/>
      <c r="P72" s="7"/>
      <c r="Q72" s="22"/>
      <c r="R72" s="22"/>
      <c r="S72" s="31">
        <f t="shared" si="55"/>
        <v>1</v>
      </c>
      <c r="T72" s="46" t="str">
        <f t="shared" si="46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-15T09:57:35-0600',mode:absolute,to:'2017-03-15T12:42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187" t="str">
        <f t="shared" si="47"/>
        <v>N</v>
      </c>
      <c r="X72" s="187">
        <f t="shared" si="53"/>
        <v>1</v>
      </c>
      <c r="Y72" s="62">
        <f t="shared" si="48"/>
        <v>6.2100000000000002E-2</v>
      </c>
      <c r="Z72" s="62">
        <f t="shared" si="49"/>
        <v>23.330500000000001</v>
      </c>
      <c r="AA72" s="62">
        <f t="shared" si="50"/>
        <v>23.2684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51"/>
        <v>0159-15</v>
      </c>
      <c r="AE72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72" s="82" t="str">
        <f t="shared" si="13"/>
        <v>"C:\Program Files (x86)\AstroGrep\AstroGrep.exe" /e /r /s /spath="%USERPROFILE%\AppData\Local\Temp\OnboardLogs" /stypes="app*4042*20170315*" /stext=" 17:.+((SYSTEM_STATE.+slice.+state.+changed )|(ment ac)|(multiple cpu faults)|(system.+state.+changed )|(\[timeout)|(PRM\|1\|D)|(kpr)|(kdp)|(\|lc)|(penalty))"</v>
      </c>
      <c r="AG72" s="1" t="str">
        <f t="shared" si="52"/>
        <v>EC</v>
      </c>
      <c r="AH72" s="86" t="str">
        <f t="shared" si="18"/>
        <v>"%USERPROFILE%\Documents\GitHub\eaglep3\Utilities\RefineRTDCRunTimes.py" --tripid 159-15 --locoid 4042 --swversion DE.1.0.9.0 --startMP 204:621 --initTime 2017-03-15T10:57:35 --startdatetime 2017-03-15T11:00:16 --delay 1 --endMP 204:233305 --enddatetime 2017-03-15T11:42:18 --enforcementcount 0 &gt;&gt;C:\Users\stu\Documents\GitHub\eaglep3-reporting\EC\2017-03-15-refined-times.txt</v>
      </c>
      <c r="AI7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{"issue":{"subject":"","project_id":79,"tracker_id":40,"status_id":1,"priority_id":2,"assigned_to_id":23,"start_date":"2017-03-15","description":"","custom_fields":[{"id":1,"name":"Subdivision","value":"EC"},{"id":4,"name":"Milepost","value":"23.3305"},{"id":17,"name":"Train ID","value":"159-15"},{"id":16,"name":"Locomotive ID","value":"4042"},{"id":130,"name":"Impact","value":""},{"id":150,"name":"Time of Event (Mountain Time)","value":"11:42:18"},{"id":151,"name":"Denver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4042 --day 2017-03-15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712</v>
      </c>
      <c r="B73" s="7">
        <v>4041</v>
      </c>
      <c r="C73" s="21" t="s">
        <v>230</v>
      </c>
      <c r="D73" s="21" t="s">
        <v>380</v>
      </c>
      <c r="E73" s="13">
        <v>42809.493645833332</v>
      </c>
      <c r="F73" s="13">
        <v>42809.497395833336</v>
      </c>
      <c r="G73" s="7">
        <v>1</v>
      </c>
      <c r="H73" s="21" t="s">
        <v>219</v>
      </c>
      <c r="I73" s="13">
        <v>42809.527291666665</v>
      </c>
      <c r="J73" s="7">
        <v>0</v>
      </c>
      <c r="K73" s="98" t="str">
        <f t="shared" si="42"/>
        <v>4041/4042</v>
      </c>
      <c r="L73" s="21" t="str">
        <f>VLOOKUP(A73,'Trips&amp;Operators'!$C$1:$G$99999,5,FALSE)</f>
        <v>CLARK KATHLEEN</v>
      </c>
      <c r="M73" s="6">
        <f t="shared" si="43"/>
        <v>2.9895833329646848E-2</v>
      </c>
      <c r="N73" s="7">
        <f t="shared" si="54"/>
        <v>43.049999994691461</v>
      </c>
      <c r="O73" s="7"/>
      <c r="P73" s="7"/>
      <c r="Q73" s="22"/>
      <c r="R73" s="22"/>
      <c r="S73" s="31">
        <f t="shared" si="55"/>
        <v>1</v>
      </c>
      <c r="T73" s="46" t="str">
        <f t="shared" si="46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-15T10:50:51-0600',mode:absolute,to:'2017-03-15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187" t="str">
        <f t="shared" si="47"/>
        <v>N</v>
      </c>
      <c r="X73" s="187">
        <f t="shared" si="53"/>
        <v>1</v>
      </c>
      <c r="Y73" s="62">
        <f t="shared" si="48"/>
        <v>23.298200000000001</v>
      </c>
      <c r="Z73" s="62">
        <f t="shared" si="49"/>
        <v>1.41E-2</v>
      </c>
      <c r="AA73" s="62">
        <f t="shared" si="50"/>
        <v>23.284100000000002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51"/>
        <v>0160-15</v>
      </c>
      <c r="AE73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73" s="82" t="str">
        <f t="shared" si="13"/>
        <v>"C:\Program Files (x86)\AstroGrep\AstroGrep.exe" /e /r /s /spath="%USERPROFILE%\AppData\Local\Temp\OnboardLogs" /stypes="app*4041*20170315*" /stext=" 18:.+((SYSTEM_STATE.+slice.+state.+changed )|(ment ac)|(multiple cpu faults)|(system.+state.+changed )|(\[timeout)|(PRM\|1\|D)|(kpr)|(kdp)|(\|lc)|(penalty))"</v>
      </c>
      <c r="AG73" s="1" t="str">
        <f t="shared" si="52"/>
        <v>EC</v>
      </c>
      <c r="AH73" s="86" t="str">
        <f t="shared" si="18"/>
        <v>"%USERPROFILE%\Documents\GitHub\eaglep3\Utilities\RefineRTDCRunTimes.py" --tripid 160-15 --locoid 4041 --swversion DE.1.0.9.0 --startMP 204:232982 --initTime 2017-03-15T11:50:51 --startdatetime 2017-03-15T11:56:15 --delay 1 --endMP 204:141 --enddatetime 2017-03-15T12:39:18 --enforcementcount 0 &gt;&gt;C:\Users\stu\Documents\GitHub\eaglep3-reporting\EC\2017-03-15-refined-times.txt</v>
      </c>
      <c r="AI7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{"issue":{"subject":"","project_id":79,"tracker_id":40,"status_id":1,"priority_id":2,"assigned_to_id":23,"start_date":"2017-03-15","description":"","custom_fields":[{"id":1,"name":"Subdivision","value":"EC"},{"id":4,"name":"Milepost","value":"0.0141"},{"id":17,"name":"Train ID","value":"160-15"},{"id":16,"name":"Locomotive ID","value":"4041"},{"id":130,"name":"Impact","value":""},{"id":150,"name":"Time of Event (Mountain Time)","value":"12:39:18"},{"id":151,"name":"Denver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4041 --day 2017-03-15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703</v>
      </c>
      <c r="B74" s="7">
        <v>4053</v>
      </c>
      <c r="C74" s="21" t="s">
        <v>230</v>
      </c>
      <c r="D74" s="21" t="s">
        <v>380</v>
      </c>
      <c r="E74" s="13">
        <v>42809.493645833332</v>
      </c>
      <c r="F74" s="13">
        <v>42809.468935185185</v>
      </c>
      <c r="G74" s="7">
        <v>1</v>
      </c>
      <c r="H74" s="21" t="s">
        <v>219</v>
      </c>
      <c r="I74" s="13">
        <v>42809.502546296295</v>
      </c>
      <c r="J74" s="7">
        <v>0</v>
      </c>
      <c r="K74" s="98" t="str">
        <f t="shared" ref="K74" si="56">IF(ISEVEN(B74),(B74-1)&amp;"/"&amp;B74,B74&amp;"/"&amp;(B74+1))</f>
        <v>4053/4054</v>
      </c>
      <c r="L74" s="21" t="str">
        <f>VLOOKUP(A74,'Trips&amp;Operators'!$C$1:$G$99999,5,FALSE)</f>
        <v>DAVIS MICHAEL</v>
      </c>
      <c r="M74" s="6">
        <f t="shared" ref="M74" si="57">I74-F74</f>
        <v>3.3611111110076308E-2</v>
      </c>
      <c r="N74" s="7">
        <f t="shared" si="54"/>
        <v>48.399999998509884</v>
      </c>
      <c r="O74" s="7"/>
      <c r="P74" s="7"/>
      <c r="Q74" s="22"/>
      <c r="R74" s="22"/>
      <c r="S74" s="31">
        <f t="shared" ref="S74" si="58">SUM(U74:U74)/IF(AG74="EC",12,1)</f>
        <v>1</v>
      </c>
      <c r="T74" s="46" t="str">
        <f t="shared" ref="T74" si="59">IF(ISEVEN(LEFT(AD74,4)),"Southbound","NorthBound")</f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ref="V74" si="60"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-15T10:50:51-0600',mode:absolute,to:'2017-03-15T13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7" t="str">
        <f t="shared" ref="W74" si="61">IF(AA74&lt;IF(AG74="EC",23,5.65),"Y","N")</f>
        <v>N</v>
      </c>
      <c r="X74" s="187">
        <f t="shared" ref="X74:X75" si="62">VALUE(LEFT(AD74,4))-VALUE(LEFT(AD73,4))</f>
        <v>1</v>
      </c>
      <c r="Y74" s="62">
        <v>0.04</v>
      </c>
      <c r="Z74" s="62">
        <v>23.3</v>
      </c>
      <c r="AA74" s="62">
        <f t="shared" ref="AA74" si="63">ABS(Z74-Y74)</f>
        <v>23.26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ref="AD74" si="64">IF(LEN(A74)=6,"0"&amp;A74,A74)</f>
        <v>0161-15</v>
      </c>
      <c r="AE74" s="85" t="str">
        <f t="shared" ref="AE74" si="65"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74" s="82" t="str">
        <f t="shared" ref="AF74" si="66"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/stypes="app*4053*20170315*" /stext=" 18:.+((SYSTEM_STATE.+slice.+state.+changed )|(ment ac)|(multiple cpu faults)|(system.+state.+changed )|(\[timeout)|(PRM\|1\|D)|(kpr)|(kdp)|(\|lc)|(penalty))"</v>
      </c>
      <c r="AG74" s="1" t="str">
        <f t="shared" ref="AG74" si="67">IFERROR(IF(VALUE(LEFT(AD74,2))&lt;=2,"EC",IF(OR(VALUE(LEFT(AD74,2))=8,VALUE(LEFT(AD74,2))=18),"NW","Other")),"Other")</f>
        <v>EC</v>
      </c>
      <c r="AH74" s="86" t="str">
        <f t="shared" ref="AH74" si="68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161-15 --locoid 4053 --swversion DE.1.0.9.0 --startMP 204:232982 --initTime 2017-03-15T11:50:51 --startdatetime 2017-03-15T11:15:16 --delay 1 --endMP 204:141 --enddatetime 2017-03-15T12:03:40 --enforcementcount 0 &gt;&gt;C:\Users\stu\Documents\GitHub\eaglep3-reporting\EC\2017-03-15-refined-times.txt</v>
      </c>
      <c r="AI74" s="108" t="str">
        <f t="shared" ref="AI74" si="69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{"issue":{"subject":"","project_id":79,"tracker_id":40,"status_id":1,"priority_id":2,"assigned_to_id":23,"start_date":"2017-03-15","description":"","custom_fields":[{"id":1,"name":"Subdivision","value":"EC"},{"id":4,"name":"Milepost","value":"23.3"},{"id":17,"name":"Train ID","value":"161-15"},{"id":16,"name":"Locomotive ID","value":"4053"},{"id":130,"name":"Impact","value":""},{"id":150,"name":"Time of Event (Mountain Time)","value":"12:03:40"},{"id":151,"name":"Denver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ref="AM74" si="70">"start /low /b "&amp;dls3logs&amp;" --loco "&amp;B74&amp;" --day "&amp;TEXT(F74,"YYYY-MM-DD")</f>
        <v>start /low /b %USERPROFILE%\Documents\GitHub\eaglep3\Utilities\DownloadLogsFromS3.py --loco 4053 --day 2017-03-15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</row>
    <row r="75" spans="1:91" s="1" customFormat="1" x14ac:dyDescent="0.25">
      <c r="A75" s="33" t="s">
        <v>599</v>
      </c>
      <c r="B75" s="7">
        <v>4054</v>
      </c>
      <c r="C75" s="21" t="s">
        <v>230</v>
      </c>
      <c r="D75" s="21" t="s">
        <v>460</v>
      </c>
      <c r="E75" s="13">
        <v>42809.507824074077</v>
      </c>
      <c r="F75" s="13">
        <v>42809.509513888886</v>
      </c>
      <c r="G75" s="7">
        <v>1</v>
      </c>
      <c r="H75" s="21" t="s">
        <v>869</v>
      </c>
      <c r="I75" s="13">
        <v>42809.541134259256</v>
      </c>
      <c r="J75" s="7">
        <v>0</v>
      </c>
      <c r="K75" s="98" t="str">
        <f t="shared" ref="K75:K106" si="71">IF(ISEVEN(B75),(B75-1)&amp;"/"&amp;B75,B75&amp;"/"&amp;(B75+1))</f>
        <v>4053/4054</v>
      </c>
      <c r="L75" s="21" t="str">
        <f>VLOOKUP(A75,'Trips&amp;Operators'!$C$1:$G$99999,5,FALSE)</f>
        <v>DAVIS MICHAEL</v>
      </c>
      <c r="M75" s="6">
        <f t="shared" ref="M75:M106" si="72">I75-F75</f>
        <v>3.1620370369637385E-2</v>
      </c>
      <c r="N75" s="7">
        <f t="shared" si="54"/>
        <v>45.533333332277834</v>
      </c>
      <c r="O75" s="7"/>
      <c r="P75" s="7"/>
      <c r="Q75" s="22"/>
      <c r="R75" s="22" t="s">
        <v>1030</v>
      </c>
      <c r="S75" s="31">
        <f t="shared" si="55"/>
        <v>1</v>
      </c>
      <c r="T75" s="46" t="str">
        <f t="shared" ref="T75:T106" si="73">IF(ISEVEN(LEFT(AD75,4)),"Southbound","NorthBound")</f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7" t="str">
        <f t="shared" ref="W75:W106" si="74">IF(AA75&lt;IF(AG75="EC",23,5.65),"Y","N")</f>
        <v>N</v>
      </c>
      <c r="X75" s="187">
        <f t="shared" si="62"/>
        <v>1</v>
      </c>
      <c r="Y75" s="62">
        <f t="shared" ref="Y75:Y106" si="75">RIGHT(D75,LEN(D75)-4)/10000</f>
        <v>23.299800000000001</v>
      </c>
      <c r="Z75" s="62">
        <f t="shared" ref="Z75:Z106" si="76">RIGHT(H75,LEN(H75)-4)/10000</f>
        <v>7.6E-3</v>
      </c>
      <c r="AA75" s="62">
        <f t="shared" ref="AA75:AA106" si="77">ABS(Z75-Y75)</f>
        <v>23.292200000000001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ref="AD75:AD106" si="78">IF(LEN(A75)=6,"0"&amp;A75,A75)</f>
        <v>0162-15</v>
      </c>
      <c r="AE75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75" s="82" t="str">
        <f t="shared" si="13"/>
        <v>"C:\Program Files (x86)\AstroGrep\AstroGrep.exe" /e /r /s /spath="%USERPROFILE%\AppData\Local\Temp\OnboardLogs" /stypes="app*4054*20170315*" /stext=" 18:.+((SYSTEM_STATE.+slice.+state.+changed )|(ment ac)|(multiple cpu faults)|(system.+state.+changed )|(\[timeout)|(PRM\|1\|D)|(kpr)|(kdp)|(\|lc)|(penalty))"</v>
      </c>
      <c r="AG75" s="1" t="str">
        <f t="shared" ref="AG75:AG106" si="79">IFERROR(IF(VALUE(LEFT(AD75,2))&lt;=2,"EC",IF(OR(VALUE(LEFT(AD75,2))=8,VALUE(LEFT(AD75,2))=18),"NW","Other")),"Other")</f>
        <v>EC</v>
      </c>
      <c r="AH75" s="86" t="str">
        <f t="shared" si="18"/>
        <v>"%USERPROFILE%\Documents\GitHub\eaglep3\Utilities\RefineRTDCRunTimes.py" --tripid 162-15 --locoid 4054 --swversion DE.1.0.9.0 --startMP 204:232998 --initTime 2017-03-15T12:11:16 --startdatetime 2017-03-15T12:13:42 --delay 1 --endMP 204:76 --enddatetime 2017-03-15T12:59:14 --enforcementcount 0 &gt;&gt;C:\Users\stu\Documents\GitHub\eaglep3-reporting\EC\2017-03-15-refined-times.txt</v>
      </c>
      <c r="AI75" s="108" t="str">
        <f t="shared" si="19"/>
        <v>echo {"issue":{"subject":"Init delayed by CCROC/crew/equipment mismatch","project_id":79,"tracker_id":40,"status_id":1,"priority_id":2,"assigned_to_id":23,"start_date":"2017-03-15","description":"","custom_fields":[{"id":1,"name":"Subdivision","value":"EC"},{"id":4,"name":"Milepost","value":"0.0076"},{"id":17,"name":"Train ID","value":"162-15"},{"id":16,"name":"Locomotive ID","value":"4054"},{"id":130,"name":"Impact","value":""},{"id":150,"name":"Time of Event (Mountain Time)","value":"12:59:14"},{"id":151,"name":"Denver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4054 --day 2017-03-15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706</v>
      </c>
      <c r="B76" s="7">
        <v>4025</v>
      </c>
      <c r="C76" s="21" t="s">
        <v>230</v>
      </c>
      <c r="D76" s="21" t="s">
        <v>210</v>
      </c>
      <c r="E76" s="13">
        <v>42809.478831018518</v>
      </c>
      <c r="F76" s="13">
        <v>42809.480763888889</v>
      </c>
      <c r="G76" s="7">
        <v>1</v>
      </c>
      <c r="H76" s="21" t="s">
        <v>433</v>
      </c>
      <c r="I76" s="13">
        <v>42809.513981481483</v>
      </c>
      <c r="J76" s="7">
        <v>0</v>
      </c>
      <c r="K76" s="98" t="str">
        <f t="shared" si="71"/>
        <v>4025/4026</v>
      </c>
      <c r="L76" s="21" t="str">
        <f>VLOOKUP(A76,'Trips&amp;Operators'!$C$1:$G$99999,5,FALSE)</f>
        <v>LEVERE CRAIG</v>
      </c>
      <c r="M76" s="6">
        <f t="shared" si="72"/>
        <v>3.3217592594155576E-2</v>
      </c>
      <c r="N76" s="7">
        <f t="shared" si="54"/>
        <v>47.83333333558403</v>
      </c>
      <c r="O76" s="7"/>
      <c r="P76" s="7"/>
      <c r="Q76" s="22"/>
      <c r="R76" s="22"/>
      <c r="S76" s="31">
        <f t="shared" si="55"/>
        <v>1</v>
      </c>
      <c r="T76" s="46" t="str">
        <f t="shared" si="73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-15T10:29:31-0600',mode:absolute,to:'2017-03-15T13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7" t="str">
        <f t="shared" si="74"/>
        <v>N</v>
      </c>
      <c r="X76" s="187">
        <f t="shared" ref="X76:X107" si="80">VALUE(LEFT(AD76,4))-VALUE(LEFT(AD75,4))</f>
        <v>1</v>
      </c>
      <c r="Y76" s="62">
        <f t="shared" si="75"/>
        <v>4.5699999999999998E-2</v>
      </c>
      <c r="Z76" s="62">
        <f t="shared" si="76"/>
        <v>23.3293</v>
      </c>
      <c r="AA76" s="62">
        <f t="shared" si="77"/>
        <v>23.2836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78"/>
        <v>0163-15</v>
      </c>
      <c r="AE76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76" s="82" t="str">
        <f t="shared" si="13"/>
        <v>"C:\Program Files (x86)\AstroGrep\AstroGrep.exe" /e /r /s /spath="%USERPROFILE%\AppData\Local\Temp\OnboardLogs" /stypes="app*4025*20170315*" /stext=" 18:.+((SYSTEM_STATE.+slice.+state.+changed )|(ment ac)|(multiple cpu faults)|(system.+state.+changed )|(\[timeout)|(PRM\|1\|D)|(kpr)|(kdp)|(\|lc)|(penalty))"</v>
      </c>
      <c r="AG76" s="1" t="str">
        <f t="shared" si="79"/>
        <v>EC</v>
      </c>
      <c r="AH76" s="86" t="str">
        <f t="shared" si="18"/>
        <v>"%USERPROFILE%\Documents\GitHub\eaglep3\Utilities\RefineRTDCRunTimes.py" --tripid 163-15 --locoid 4025 --swversion DE.1.0.9.0 --startMP 204:457 --initTime 2017-03-15T11:29:31 --startdatetime 2017-03-15T11:32:18 --delay 1 --endMP 204:233293 --enddatetime 2017-03-15T12:20:08 --enforcementcount 0 &gt;&gt;C:\Users\stu\Documents\GitHub\eaglep3-reporting\EC\2017-03-15-refined-times.txt</v>
      </c>
      <c r="AI7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{"issue":{"subject":"","project_id":79,"tracker_id":40,"status_id":1,"priority_id":2,"assigned_to_id":23,"start_date":"2017-03-15","description":"","custom_fields":[{"id":1,"name":"Subdivision","value":"EC"},{"id":4,"name":"Milepost","value":"23.3293"},{"id":17,"name":"Train ID","value":"163-15"},{"id":16,"name":"Locomotive ID","value":"4025"},{"id":130,"name":"Impact","value":""},{"id":150,"name":"Time of Event (Mountain Time)","value":"12:20:08"},{"id":151,"name":"Denver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4025 --day 2017-03-15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597</v>
      </c>
      <c r="B77" s="7">
        <v>4026</v>
      </c>
      <c r="C77" s="21" t="s">
        <v>230</v>
      </c>
      <c r="D77" s="21" t="s">
        <v>439</v>
      </c>
      <c r="E77" s="13">
        <v>42809.516782407409</v>
      </c>
      <c r="F77" s="13">
        <v>42809.518263888887</v>
      </c>
      <c r="G77" s="7">
        <v>1</v>
      </c>
      <c r="H77" s="21" t="s">
        <v>870</v>
      </c>
      <c r="I77" s="13">
        <v>42809.549178240741</v>
      </c>
      <c r="J77" s="7">
        <v>0</v>
      </c>
      <c r="K77" s="98" t="str">
        <f t="shared" si="71"/>
        <v>4025/4026</v>
      </c>
      <c r="L77" s="21" t="str">
        <f>VLOOKUP(A77,'Trips&amp;Operators'!$C$1:$G$99999,5,FALSE)</f>
        <v>LEVERE CRAIG</v>
      </c>
      <c r="M77" s="6">
        <f t="shared" si="72"/>
        <v>3.0914351853425615E-2</v>
      </c>
      <c r="N77" s="7">
        <f t="shared" si="54"/>
        <v>44.516666668932885</v>
      </c>
      <c r="O77" s="7"/>
      <c r="P77" s="7"/>
      <c r="Q77" s="22"/>
      <c r="R77" s="22"/>
      <c r="S77" s="31">
        <f t="shared" si="55"/>
        <v>1</v>
      </c>
      <c r="T77" s="46" t="str">
        <f t="shared" si="73"/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1" si="8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-15T11:24:10-0600',mode:absolute,to:'2017-03-15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7" t="str">
        <f t="shared" si="74"/>
        <v>N</v>
      </c>
      <c r="X77" s="187">
        <f t="shared" si="80"/>
        <v>1</v>
      </c>
      <c r="Y77" s="62">
        <f t="shared" si="75"/>
        <v>23.298300000000001</v>
      </c>
      <c r="Z77" s="62">
        <f t="shared" si="76"/>
        <v>3.44E-2</v>
      </c>
      <c r="AA77" s="62">
        <f t="shared" si="77"/>
        <v>23.2639</v>
      </c>
      <c r="AB77" s="59" t="str">
        <f>VLOOKUP(A77,Enforcements!$C$7:$K$13,8,0)</f>
        <v>Bulletin (2)</v>
      </c>
      <c r="AC77" s="55" t="str">
        <f>VLOOKUP(A77,Enforcements!$C$7:$E$13,3,0)</f>
        <v>GRADE CROSSING</v>
      </c>
      <c r="AD77" s="56" t="str">
        <f t="shared" si="78"/>
        <v>0164-15</v>
      </c>
      <c r="AE77" s="85" t="str">
        <f t="shared" ref="AE77:AE141" si="8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77" s="82" t="str">
        <f t="shared" ref="AF77:AF141" si="8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/stypes="app*4026*20170315*" /stext=" 19:.+((SYSTEM_STATE.+slice.+state.+changed )|(ment ac)|(multiple cpu faults)|(system.+state.+changed )|(\[timeout)|(PRM\|1\|D)|(kpr)|(kdp)|(\|lc)|(penalty))"</v>
      </c>
      <c r="AG77" s="1" t="str">
        <f t="shared" si="79"/>
        <v>EC</v>
      </c>
      <c r="AH77" s="86" t="str">
        <f t="shared" si="18"/>
        <v>"%USERPROFILE%\Documents\GitHub\eaglep3\Utilities\RefineRTDCRunTimes.py" --tripid 164-15 --locoid 4026 --swversion DE.1.0.9.0 --startMP 204:232983 --initTime 2017-03-15T12:24:10 --startdatetime 2017-03-15T12:26:18 --delay 1 --endMP 204:344 --enddatetime 2017-03-15T13:10:49 --enforcementcount 0 &gt;&gt;C:\Users\stu\Documents\GitHub\eaglep3-reporting\EC\2017-03-15-refined-times.txt</v>
      </c>
      <c r="AI7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{"issue":{"subject":"","project_id":79,"tracker_id":40,"status_id":1,"priority_id":2,"assigned_to_id":23,"start_date":"2017-03-15","description":"","custom_fields":[{"id":1,"name":"Subdivision","value":"EC"},{"id":4,"name":"Milepost","value":"0.0344"},{"id":17,"name":"Train ID","value":"164-15"},{"id":16,"name":"Locomotive ID","value":"4026"},{"id":130,"name":"Impact","value":""},{"id":150,"name":"Time of Event (Mountain Time)","value":"13:10:49"},{"id":151,"name":"Denver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4026 --day 2017-03-15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709</v>
      </c>
      <c r="B78" s="7">
        <v>4011</v>
      </c>
      <c r="C78" s="21" t="s">
        <v>230</v>
      </c>
      <c r="D78" s="21" t="s">
        <v>871</v>
      </c>
      <c r="E78" s="13">
        <v>42809.486122685186</v>
      </c>
      <c r="F78" s="13">
        <v>42809.489872685182</v>
      </c>
      <c r="G78" s="7">
        <v>1</v>
      </c>
      <c r="H78" s="21" t="s">
        <v>872</v>
      </c>
      <c r="I78" s="13">
        <v>42809.519456018519</v>
      </c>
      <c r="J78" s="7">
        <v>0</v>
      </c>
      <c r="K78" s="98" t="str">
        <f t="shared" si="71"/>
        <v>4011/4012</v>
      </c>
      <c r="L78" s="21" t="str">
        <f>VLOOKUP(A78,'Trips&amp;Operators'!$C$1:$G$99999,5,FALSE)</f>
        <v>HELVIE ADAM</v>
      </c>
      <c r="M78" s="6">
        <f t="shared" si="72"/>
        <v>2.9583333336631767E-2</v>
      </c>
      <c r="N78" s="7">
        <f t="shared" si="54"/>
        <v>42.600000004749745</v>
      </c>
      <c r="O78" s="7"/>
      <c r="P78" s="7"/>
      <c r="Q78" s="22"/>
      <c r="R78" s="22"/>
      <c r="S78" s="31">
        <f t="shared" si="55"/>
        <v>1</v>
      </c>
      <c r="T78" s="46" t="str">
        <f t="shared" si="73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81"/>
        <v>https://d0f6bd738d7f1b3e5a7ca70fe4ff75f0.us-east-1.aws.found.io/app/kibana#/discover/Steve-Slow-Train-Analysis-(2080s-and-2083s)?_g=(refreshInterval:(display:Off,pause:!f,section:0,value:0),time:(from:'2017-03-15T10:40:01-0600',mode:absolute,to:'2017-03-15T13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87" t="str">
        <f t="shared" si="74"/>
        <v>N</v>
      </c>
      <c r="X78" s="187">
        <f t="shared" si="80"/>
        <v>1</v>
      </c>
      <c r="Y78" s="62">
        <f t="shared" si="75"/>
        <v>4.3700000000000003E-2</v>
      </c>
      <c r="Z78" s="62">
        <f t="shared" si="76"/>
        <v>23.331099999999999</v>
      </c>
      <c r="AA78" s="62">
        <f t="shared" si="77"/>
        <v>23.287399999999998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78"/>
        <v>0165-15</v>
      </c>
      <c r="AE78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78" s="82" t="str">
        <f t="shared" si="83"/>
        <v>"C:\Program Files (x86)\AstroGrep\AstroGrep.exe" /e /r /s /spath="%USERPROFILE%\AppData\Local\Temp\OnboardLogs" /stypes="app*4011*20170315*" /stext=" 18:.+((SYSTEM_STATE.+slice.+state.+changed )|(ment ac)|(multiple cpu faults)|(system.+state.+changed )|(\[timeout)|(PRM\|1\|D)|(kpr)|(kdp)|(\|lc)|(penalty))"</v>
      </c>
      <c r="AG78" s="1" t="str">
        <f t="shared" si="79"/>
        <v>EC</v>
      </c>
      <c r="AH78" s="86" t="str">
        <f t="shared" si="18"/>
        <v>"%USERPROFILE%\Documents\GitHub\eaglep3\Utilities\RefineRTDCRunTimes.py" --tripid 165-15 --locoid 4011 --swversion DE.1.0.9.0 --startMP 204:437 --initTime 2017-03-15T11:40:01 --startdatetime 2017-03-15T11:45:25 --delay 1 --endMP 204:233311 --enddatetime 2017-03-15T12:28:01 --enforcementcount 0 &gt;&gt;C:\Users\stu\Documents\GitHub\eaglep3-reporting\EC\2017-03-15-refined-times.txt</v>
      </c>
      <c r="AI7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{"issue":{"subject":"","project_id":79,"tracker_id":40,"status_id":1,"priority_id":2,"assigned_to_id":23,"start_date":"2017-03-15","description":"","custom_fields":[{"id":1,"name":"Subdivision","value":"EC"},{"id":4,"name":"Milepost","value":"23.3311"},{"id":17,"name":"Train ID","value":"165-15"},{"id":16,"name":"Locomotive ID","value":"4011"},{"id":130,"name":"Impact","value":""},{"id":150,"name":"Time of Event (Mountain Time)","value":"12:28:01"},{"id":151,"name":"Denver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4011 --day 2017-03-15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720</v>
      </c>
      <c r="B79" s="7">
        <v>4012</v>
      </c>
      <c r="C79" s="21" t="s">
        <v>230</v>
      </c>
      <c r="D79" s="21" t="s">
        <v>380</v>
      </c>
      <c r="E79" s="13">
        <v>42809.527407407404</v>
      </c>
      <c r="F79" s="13">
        <v>42809.529027777775</v>
      </c>
      <c r="G79" s="7">
        <v>1</v>
      </c>
      <c r="H79" s="21" t="s">
        <v>841</v>
      </c>
      <c r="I79" s="13">
        <v>42809.556689814817</v>
      </c>
      <c r="J79" s="7">
        <v>0</v>
      </c>
      <c r="K79" s="98" t="str">
        <f t="shared" si="71"/>
        <v>4011/4012</v>
      </c>
      <c r="L79" s="21" t="str">
        <f>VLOOKUP(A79,'Trips&amp;Operators'!$C$1:$G$99999,5,FALSE)</f>
        <v>HELVIE ADAM</v>
      </c>
      <c r="M79" s="6">
        <f t="shared" si="72"/>
        <v>2.7662037042318843E-2</v>
      </c>
      <c r="N79" s="7">
        <f t="shared" si="54"/>
        <v>39.833333340939134</v>
      </c>
      <c r="O79" s="7"/>
      <c r="P79" s="7"/>
      <c r="Q79" s="22"/>
      <c r="R79" s="22"/>
      <c r="S79" s="31">
        <f t="shared" si="55"/>
        <v>1</v>
      </c>
      <c r="T79" s="46" t="str">
        <f t="shared" si="73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81"/>
        <v>https://d0f6bd738d7f1b3e5a7ca70fe4ff75f0.us-east-1.aws.found.io/app/kibana#/discover/Steve-Slow-Train-Analysis-(2080s-and-2083s)?_g=(refreshInterval:(display:Off,pause:!f,section:0,value:0),time:(from:'2017-03-15T11:39:28-0600',mode:absolute,to:'2017-03-15T14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87" t="str">
        <f t="shared" si="74"/>
        <v>N</v>
      </c>
      <c r="X79" s="187">
        <f t="shared" si="80"/>
        <v>1</v>
      </c>
      <c r="Y79" s="62">
        <f t="shared" si="75"/>
        <v>23.298200000000001</v>
      </c>
      <c r="Z79" s="62">
        <f t="shared" si="76"/>
        <v>1.43E-2</v>
      </c>
      <c r="AA79" s="62">
        <f t="shared" si="77"/>
        <v>23.283900000000003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78"/>
        <v>0166-15</v>
      </c>
      <c r="AE79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79" s="82" t="str">
        <f t="shared" si="83"/>
        <v>"C:\Program Files (x86)\AstroGrep\AstroGrep.exe" /e /r /s /spath="%USERPROFILE%\AppData\Local\Temp\OnboardLogs" /stypes="app*4012*20170315*" /stext=" 19:.+((SYSTEM_STATE.+slice.+state.+changed )|(ment ac)|(multiple cpu faults)|(system.+state.+changed )|(\[timeout)|(PRM\|1\|D)|(kpr)|(kdp)|(\|lc)|(penalty))"</v>
      </c>
      <c r="AG79" s="1" t="str">
        <f t="shared" si="79"/>
        <v>EC</v>
      </c>
      <c r="AH79" s="86" t="str">
        <f t="shared" si="18"/>
        <v>"%USERPROFILE%\Documents\GitHub\eaglep3\Utilities\RefineRTDCRunTimes.py" --tripid 166-15 --locoid 4012 --swversion DE.1.0.9.0 --startMP 204:232982 --initTime 2017-03-15T12:39:28 --startdatetime 2017-03-15T12:41:48 --delay 1 --endMP 204:143 --enddatetime 2017-03-15T13:21:38 --enforcementcount 0 &gt;&gt;C:\Users\stu\Documents\GitHub\eaglep3-reporting\EC\2017-03-15-refined-times.txt</v>
      </c>
      <c r="AI7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ID","value":"166-15"},{"id":16,"name":"Locomotive ID","value":"4012"},{"id":130,"name":"Impact","value":""},{"id":150,"name":"Time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4012 --day 2017-03-15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713</v>
      </c>
      <c r="B80" s="7">
        <v>4040</v>
      </c>
      <c r="C80" s="21" t="s">
        <v>230</v>
      </c>
      <c r="D80" s="21" t="s">
        <v>441</v>
      </c>
      <c r="E80" s="13">
        <v>42809.49732638889</v>
      </c>
      <c r="F80" s="13">
        <v>42809.500358796293</v>
      </c>
      <c r="G80" s="7">
        <v>1</v>
      </c>
      <c r="H80" s="21" t="s">
        <v>873</v>
      </c>
      <c r="I80" s="13">
        <v>42809.527071759258</v>
      </c>
      <c r="J80" s="7">
        <v>0</v>
      </c>
      <c r="K80" s="98" t="str">
        <f t="shared" si="71"/>
        <v>4039/4040</v>
      </c>
      <c r="L80" s="21" t="str">
        <f>VLOOKUP(A80,'Trips&amp;Operators'!$C$1:$G$99999,5,FALSE)</f>
        <v>MOSES BRADLEY</v>
      </c>
      <c r="M80" s="6">
        <f t="shared" si="72"/>
        <v>2.6712962964666076E-2</v>
      </c>
      <c r="N80" s="7">
        <f t="shared" si="54"/>
        <v>38.466666669119149</v>
      </c>
      <c r="O80" s="7"/>
      <c r="P80" s="7"/>
      <c r="Q80" s="22"/>
      <c r="R80" s="22"/>
      <c r="S80" s="31">
        <f t="shared" si="55"/>
        <v>1</v>
      </c>
      <c r="T80" s="46" t="str">
        <f t="shared" si="73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81"/>
        <v>https://d0f6bd738d7f1b3e5a7ca70fe4ff75f0.us-east-1.aws.found.io/app/kibana#/discover/Steve-Slow-Train-Analysis-(2080s-and-2083s)?_g=(refreshInterval:(display:Off,pause:!f,section:0,value:0),time:(from:'2017-03-15T10:56:09-0600',mode:absolute,to:'2017-03-15T13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0" s="187" t="str">
        <f t="shared" si="74"/>
        <v>N</v>
      </c>
      <c r="X80" s="187">
        <f t="shared" si="80"/>
        <v>1</v>
      </c>
      <c r="Y80" s="62">
        <f t="shared" si="75"/>
        <v>4.6199999999999998E-2</v>
      </c>
      <c r="Z80" s="62">
        <f t="shared" si="76"/>
        <v>23.331700000000001</v>
      </c>
      <c r="AA80" s="62">
        <f t="shared" si="77"/>
        <v>23.285500000000003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78"/>
        <v>0167-15</v>
      </c>
      <c r="AE80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80" s="82" t="str">
        <f t="shared" si="83"/>
        <v>"C:\Program Files (x86)\AstroGrep\AstroGrep.exe" /e /r /s /spath="%USERPROFILE%\AppData\Local\Temp\OnboardLogs" /stypes="app*4040*20170315*" /stext=" 18:.+((SYSTEM_STATE.+slice.+state.+changed )|(ment ac)|(multiple cpu faults)|(system.+state.+changed )|(\[timeout)|(PRM\|1\|D)|(kpr)|(kdp)|(\|lc)|(penalty))"</v>
      </c>
      <c r="AG80" s="1" t="str">
        <f t="shared" si="79"/>
        <v>EC</v>
      </c>
      <c r="AH80" s="86" t="str">
        <f t="shared" si="18"/>
        <v>"%USERPROFILE%\Documents\GitHub\eaglep3\Utilities\RefineRTDCRunTimes.py" --tripid 167-15 --locoid 4040 --swversion DE.1.0.9.0 --startMP 204:462 --initTime 2017-03-15T11:56:09 --startdatetime 2017-03-15T12:00:31 --delay 1 --endMP 204:233317 --enddatetime 2017-03-15T12:38:59 --enforcementcount 0 &gt;&gt;C:\Users\stu\Documents\GitHub\eaglep3-reporting\EC\2017-03-15-refined-times.txt</v>
      </c>
      <c r="AI8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{"issue":{"subject":"","project_id":79,"tracker_id":40,"status_id":1,"priority_id":2,"assigned_to_id":23,"start_date":"2017-03-15","description":"","custom_fields":[{"id":1,"name":"Subdivision","value":"EC"},{"id":4,"name":"Milepost","value":"23.3317"},{"id":17,"name":"Train ID","value":"167-15"},{"id":16,"name":"Locomotive ID","value":"4040"},{"id":130,"name":"Impact","value":""},{"id":150,"name":"Time of Event (Mountain Time)","value":"12:38:59"},{"id":151,"name":"Denver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4040 --day 2017-03-15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600</v>
      </c>
      <c r="B81" s="7">
        <v>4039</v>
      </c>
      <c r="C81" s="21" t="s">
        <v>230</v>
      </c>
      <c r="D81" s="21" t="s">
        <v>874</v>
      </c>
      <c r="E81" s="13">
        <v>42809.536956018521</v>
      </c>
      <c r="F81" s="13">
        <v>42809.539189814815</v>
      </c>
      <c r="G81" s="7">
        <v>1</v>
      </c>
      <c r="H81" s="21" t="s">
        <v>875</v>
      </c>
      <c r="I81" s="13">
        <v>42809.56826388889</v>
      </c>
      <c r="J81" s="7">
        <v>0</v>
      </c>
      <c r="K81" s="98" t="str">
        <f t="shared" si="71"/>
        <v>4039/4040</v>
      </c>
      <c r="L81" s="21" t="str">
        <f>VLOOKUP(A81,'Trips&amp;Operators'!$C$1:$G$99999,5,FALSE)</f>
        <v>MOSES BRADLEY</v>
      </c>
      <c r="M81" s="6">
        <f t="shared" si="72"/>
        <v>2.9074074074742384E-2</v>
      </c>
      <c r="N81" s="7">
        <f t="shared" si="54"/>
        <v>41.866666667629033</v>
      </c>
      <c r="O81" s="7"/>
      <c r="P81" s="7"/>
      <c r="Q81" s="22"/>
      <c r="R81" s="22"/>
      <c r="S81" s="31">
        <f t="shared" si="55"/>
        <v>1</v>
      </c>
      <c r="T81" s="46" t="str">
        <f t="shared" si="73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81"/>
        <v>https://d0f6bd738d7f1b3e5a7ca70fe4ff75f0.us-east-1.aws.found.io/app/kibana#/discover/Steve-Slow-Train-Analysis-(2080s-and-2083s)?_g=(refreshInterval:(display:Off,pause:!f,section:0,value:0),time:(from:'2017-03-15T11:53:13-0600',mode:absolute,to:'2017-03-15T14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1" s="187" t="str">
        <f t="shared" si="74"/>
        <v>N</v>
      </c>
      <c r="X81" s="187">
        <f t="shared" si="80"/>
        <v>1</v>
      </c>
      <c r="Y81" s="62">
        <f t="shared" si="75"/>
        <v>23.299099999999999</v>
      </c>
      <c r="Z81" s="62">
        <f t="shared" si="76"/>
        <v>0.11749999999999999</v>
      </c>
      <c r="AA81" s="62">
        <f t="shared" si="77"/>
        <v>23.1816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78"/>
        <v>0168-15</v>
      </c>
      <c r="AE81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81" s="82" t="str">
        <f t="shared" si="83"/>
        <v>"C:\Program Files (x86)\AstroGrep\AstroGrep.exe" /e /r /s /spath="%USERPROFILE%\AppData\Local\Temp\OnboardLogs" /stypes="app*4039*20170315*" /stext=" 19:.+((SYSTEM_STATE.+slice.+state.+changed )|(ment ac)|(multiple cpu faults)|(system.+state.+changed )|(\[timeout)|(PRM\|1\|D)|(kpr)|(kdp)|(\|lc)|(penalty))"</v>
      </c>
      <c r="AG81" s="1" t="str">
        <f t="shared" si="79"/>
        <v>EC</v>
      </c>
      <c r="AH81" s="86" t="str">
        <f t="shared" ref="AH81:AH145" si="84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168-15 --locoid 4039 --swversion DE.1.0.9.0 --startMP 204:232991 --initTime 2017-03-15T12:53:13 --startdatetime 2017-03-15T12:56:26 --delay 1 --endMP 204:1175 --enddatetime 2017-03-15T13:38:18 --enforcementcount 0 &gt;&gt;C:\Users\stu\Documents\GitHub\eaglep3-reporting\EC\2017-03-15-refined-times.txt</v>
      </c>
      <c r="AI81" s="108" t="str">
        <f t="shared" ref="AI81:AI145" si="85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{"issue":{"subject":"","project_id":79,"tracker_id":40,"status_id":1,"priority_id":2,"assigned_to_id":23,"start_date":"2017-03-15","description":"","custom_fields":[{"id":1,"name":"Subdivision","value":"EC"},{"id":4,"name":"Milepost","value":"0.1175"},{"id":17,"name":"Train ID","value":"168-15"},{"id":16,"name":"Locomotive ID","value":"4039"},{"id":130,"name":"Impact","value":""},{"id":150,"name":"Time of Event (Mountain Time)","value":"13:38:18"},{"id":151,"name":"Denver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5" si="86">"start /low /b "&amp;dls3logs&amp;" --loco "&amp;B81&amp;" --day "&amp;TEXT(F81,"YYYY-MM-DD")</f>
        <v>start /low /b %USERPROFILE%\Documents\GitHub\eaglep3\Utilities\DownloadLogsFromS3.py --loco 4039 --day 2017-03-15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714</v>
      </c>
      <c r="B82" s="7">
        <v>4029</v>
      </c>
      <c r="C82" s="21" t="s">
        <v>230</v>
      </c>
      <c r="D82" s="21" t="s">
        <v>871</v>
      </c>
      <c r="E82" s="13">
        <v>42809.502280092594</v>
      </c>
      <c r="F82" s="13">
        <v>42809.510613425926</v>
      </c>
      <c r="G82" s="7">
        <v>1</v>
      </c>
      <c r="H82" s="21" t="s">
        <v>876</v>
      </c>
      <c r="I82" s="13">
        <v>42809.537499999999</v>
      </c>
      <c r="J82" s="7">
        <v>0</v>
      </c>
      <c r="K82" s="98" t="str">
        <f t="shared" si="71"/>
        <v>4029/4030</v>
      </c>
      <c r="L82" s="21" t="str">
        <f>VLOOKUP(A82,'Trips&amp;Operators'!$C$1:$G$99999,5,FALSE)</f>
        <v>LEVIN SCOTT</v>
      </c>
      <c r="M82" s="6">
        <f t="shared" si="72"/>
        <v>2.6886574072705116E-2</v>
      </c>
      <c r="N82" s="7">
        <f t="shared" si="54"/>
        <v>38.716666664695367</v>
      </c>
      <c r="O82" s="7"/>
      <c r="P82" s="7"/>
      <c r="Q82" s="22"/>
      <c r="R82" s="22"/>
      <c r="S82" s="31">
        <f t="shared" si="55"/>
        <v>1</v>
      </c>
      <c r="T82" s="46" t="str">
        <f t="shared" si="73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81"/>
        <v>https://d0f6bd738d7f1b3e5a7ca70fe4ff75f0.us-east-1.aws.found.io/app/kibana#/discover/Steve-Slow-Train-Analysis-(2080s-and-2083s)?_g=(refreshInterval:(display:Off,pause:!f,section:0,value:0),time:(from:'2017-03-15T11:03:17-0600',mode:absolute,to:'2017-03-15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7" t="str">
        <f t="shared" si="74"/>
        <v>N</v>
      </c>
      <c r="X82" s="187">
        <f t="shared" si="80"/>
        <v>1</v>
      </c>
      <c r="Y82" s="62">
        <f t="shared" si="75"/>
        <v>4.3700000000000003E-2</v>
      </c>
      <c r="Z82" s="62">
        <f t="shared" si="76"/>
        <v>23.341999999999999</v>
      </c>
      <c r="AA82" s="62">
        <f t="shared" si="77"/>
        <v>23.298299999999998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78"/>
        <v>0169-15</v>
      </c>
      <c r="AE82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82" s="82" t="str">
        <f t="shared" si="83"/>
        <v>"C:\Program Files (x86)\AstroGrep\AstroGrep.exe" /e /r /s /spath="%USERPROFILE%\AppData\Local\Temp\OnboardLogs" /stypes="app*4029*20170315*" /stext=" 18:.+((SYSTEM_STATE.+slice.+state.+changed )|(ment ac)|(multiple cpu faults)|(system.+state.+changed )|(\[timeout)|(PRM\|1\|D)|(kpr)|(kdp)|(\|lc)|(penalty))"</v>
      </c>
      <c r="AG82" s="1" t="str">
        <f t="shared" si="79"/>
        <v>EC</v>
      </c>
      <c r="AH82" s="86" t="str">
        <f t="shared" si="84"/>
        <v>"%USERPROFILE%\Documents\GitHub\eaglep3\Utilities\RefineRTDCRunTimes.py" --tripid 169-15 --locoid 4029 --swversion DE.1.0.9.0 --startMP 204:437 --initTime 2017-03-15T12:03:17 --startdatetime 2017-03-15T12:15:17 --delay 1 --endMP 204:233420 --enddatetime 2017-03-15T12:54:00 --enforcementcount 0 &gt;&gt;C:\Users\stu\Documents\GitHub\eaglep3-reporting\EC\2017-03-15-refined-times.txt</v>
      </c>
      <c r="AI8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{"issue":{"subject":"","project_id":79,"tracker_id":40,"status_id":1,"priority_id":2,"assigned_to_id":23,"start_date":"2017-03-15","description":"","custom_fields":[{"id":1,"name":"Subdivision","value":"EC"},{"id":4,"name":"Milepost","value":"23.342"},{"id":17,"name":"Train ID","value":"169-15"},{"id":16,"name":"Locomotive ID","value":"4029"},{"id":130,"name":"Impact","value":""},{"id":150,"name":"Time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6"/>
        <v>start /low /b %USERPROFILE%\Documents\GitHub\eaglep3\Utilities\DownloadLogsFromS3.py --loco 4029 --day 2017-03-15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722</v>
      </c>
      <c r="B83" s="7">
        <v>4030</v>
      </c>
      <c r="C83" s="21" t="s">
        <v>230</v>
      </c>
      <c r="D83" s="21" t="s">
        <v>543</v>
      </c>
      <c r="E83" s="13">
        <v>42809.544166666667</v>
      </c>
      <c r="F83" s="13">
        <v>42809.549513888887</v>
      </c>
      <c r="G83" s="7">
        <v>1</v>
      </c>
      <c r="H83" s="21" t="s">
        <v>184</v>
      </c>
      <c r="I83" s="13">
        <v>42809.577268518522</v>
      </c>
      <c r="J83" s="7">
        <v>0</v>
      </c>
      <c r="K83" s="98" t="str">
        <f t="shared" si="71"/>
        <v>4029/4030</v>
      </c>
      <c r="L83" s="21" t="str">
        <f>VLOOKUP(A83,'Trips&amp;Operators'!$C$1:$G$99999,5,FALSE)</f>
        <v>LEVIN SCOTT</v>
      </c>
      <c r="M83" s="6">
        <f t="shared" si="72"/>
        <v>2.775462963472819E-2</v>
      </c>
      <c r="N83" s="7">
        <f t="shared" si="54"/>
        <v>39.966666674008593</v>
      </c>
      <c r="O83" s="7"/>
      <c r="P83" s="7"/>
      <c r="Q83" s="22"/>
      <c r="R83" s="22"/>
      <c r="S83" s="31">
        <f t="shared" si="55"/>
        <v>1</v>
      </c>
      <c r="T83" s="46" t="str">
        <f t="shared" si="73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81"/>
        <v>https://d0f6bd738d7f1b3e5a7ca70fe4ff75f0.us-east-1.aws.found.io/app/kibana#/discover/Steve-Slow-Train-Analysis-(2080s-and-2083s)?_g=(refreshInterval:(display:Off,pause:!f,section:0,value:0),time:(from:'2017-03-15T12:03:36-0600',mode:absolute,to:'2017-03-15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7" t="str">
        <f t="shared" si="74"/>
        <v>N</v>
      </c>
      <c r="X83" s="187">
        <f t="shared" si="80"/>
        <v>1</v>
      </c>
      <c r="Y83" s="62">
        <f t="shared" si="75"/>
        <v>23.305499999999999</v>
      </c>
      <c r="Z83" s="62">
        <f t="shared" si="76"/>
        <v>1.49E-2</v>
      </c>
      <c r="AA83" s="62">
        <f t="shared" si="77"/>
        <v>23.290599999999998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78"/>
        <v>0170-15</v>
      </c>
      <c r="AE83" s="85" t="str">
        <f t="shared" si="82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83" s="82" t="str">
        <f t="shared" si="83"/>
        <v>"C:\Program Files (x86)\AstroGrep\AstroGrep.exe" /e /r /s /spath="%USERPROFILE%\AppData\Local\Temp\OnboardLogs" /stypes="app*4030*20170315*" /stext=" 19:.+((SYSTEM_STATE.+slice.+state.+changed )|(ment ac)|(multiple cpu faults)|(system.+state.+changed )|(\[timeout)|(PRM\|1\|D)|(kpr)|(kdp)|(\|lc)|(penalty))"</v>
      </c>
      <c r="AG83" s="1" t="str">
        <f t="shared" si="79"/>
        <v>EC</v>
      </c>
      <c r="AH83" s="86" t="str">
        <f t="shared" si="84"/>
        <v>"%USERPROFILE%\Documents\GitHub\eaglep3\Utilities\RefineRTDCRunTimes.py" --tripid 170-15 --locoid 4030 --swversion DE.1.0.9.0 --startMP 204:233055 --initTime 2017-03-15T13:03:36 --startdatetime 2017-03-15T13:11:18 --delay 1 --endMP 204:149 --enddatetime 2017-03-15T13:51:16 --enforcementcount 0 &gt;&gt;C:\Users\stu\Documents\GitHub\eaglep3-reporting\EC\2017-03-15-refined-times.txt</v>
      </c>
      <c r="AI8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ID","value":"170-15"},{"id":16,"name":"Locomotive ID","value":"4030"},{"id":130,"name":"Impact","value":""},{"id":150,"name":"Time of Event (Mountain Time)","value":"13:51:16"},{"id":151,"name":"Denver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6"/>
        <v>start /low /b %USERPROFILE%\Documents\GitHub\eaglep3\Utilities\DownloadLogsFromS3.py --loco 4030 --day 2017-03-15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716</v>
      </c>
      <c r="B84" s="7">
        <v>4051</v>
      </c>
      <c r="C84" s="21" t="s">
        <v>230</v>
      </c>
      <c r="D84" s="21" t="s">
        <v>877</v>
      </c>
      <c r="E84" s="13">
        <v>42809.513414351852</v>
      </c>
      <c r="F84" s="13">
        <v>42809.521087962959</v>
      </c>
      <c r="G84" s="7">
        <v>3</v>
      </c>
      <c r="H84" s="21" t="s">
        <v>878</v>
      </c>
      <c r="I84" s="13">
        <v>42809.546388888892</v>
      </c>
      <c r="J84" s="7">
        <v>0</v>
      </c>
      <c r="K84" s="98" t="str">
        <f t="shared" si="71"/>
        <v>4051/4052</v>
      </c>
      <c r="L84" s="21" t="str">
        <f>VLOOKUP(A84,'Trips&amp;Operators'!$C$1:$G$99999,5,FALSE)</f>
        <v>DELGADO DIANAH</v>
      </c>
      <c r="M84" s="6">
        <f t="shared" si="72"/>
        <v>2.5300925932242535E-2</v>
      </c>
      <c r="N84" s="7">
        <f t="shared" si="54"/>
        <v>36.43333334242925</v>
      </c>
      <c r="O84" s="7"/>
      <c r="P84" s="7"/>
      <c r="Q84" s="22"/>
      <c r="R84" s="22"/>
      <c r="S84" s="31">
        <f t="shared" si="55"/>
        <v>1</v>
      </c>
      <c r="T84" s="46" t="str">
        <f t="shared" si="73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81"/>
        <v>https://d0f6bd738d7f1b3e5a7ca70fe4ff75f0.us-east-1.aws.found.io/app/kibana#/discover/Steve-Slow-Train-Analysis-(2080s-and-2083s)?_g=(refreshInterval:(display:Off,pause:!f,section:0,value:0),time:(from:'2017-03-15T11:19:19-0600',mode:absolute,to:'2017-03-15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187" t="str">
        <f t="shared" si="74"/>
        <v>N</v>
      </c>
      <c r="X84" s="187">
        <f t="shared" si="80"/>
        <v>1</v>
      </c>
      <c r="Y84" s="62">
        <f t="shared" si="75"/>
        <v>5.4899999999999997E-2</v>
      </c>
      <c r="Z84" s="62">
        <f t="shared" si="76"/>
        <v>23.3355</v>
      </c>
      <c r="AA84" s="62">
        <f t="shared" si="77"/>
        <v>23.2806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78"/>
        <v>0171-15</v>
      </c>
      <c r="AE84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84" s="82" t="str">
        <f t="shared" si="83"/>
        <v>"C:\Program Files (x86)\AstroGrep\AstroGrep.exe" /e /r /s /spath="%USERPROFILE%\AppData\Local\Temp\OnboardLogs" /stypes="app*4051*20170315*" /stext=" 19:.+((SYSTEM_STATE.+slice.+state.+changed )|(ment ac)|(multiple cpu faults)|(system.+state.+changed )|(\[timeout)|(PRM\|1\|D)|(kpr)|(kdp)|(\|lc)|(penalty))"</v>
      </c>
      <c r="AG84" s="1" t="str">
        <f t="shared" si="79"/>
        <v>EC</v>
      </c>
      <c r="AH84" s="86" t="str">
        <f t="shared" si="84"/>
        <v>"%USERPROFILE%\Documents\GitHub\eaglep3\Utilities\RefineRTDCRunTimes.py" --tripid 171-15 --locoid 4051 --swversion DE.1.0.9.0 --startMP 204:549 --initTime 2017-03-15T12:19:19 --startdatetime 2017-03-15T12:30:22 --delay 3 --endMP 204:233355 --enddatetime 2017-03-15T13:06:48 --enforcementcount 0 &gt;&gt;C:\Users\stu\Documents\GitHub\eaglep3-reporting\EC\2017-03-15-refined-times.txt</v>
      </c>
      <c r="AI8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{"issue":{"subject":"","project_id":79,"tracker_id":40,"status_id":1,"priority_id":2,"assigned_to_id":23,"start_date":"2017-03-15","description":"","custom_fields":[{"id":1,"name":"Subdivision","value":"EC"},{"id":4,"name":"Milepost","value":"23.3355"},{"id":17,"name":"Train ID","value":"171-15"},{"id":16,"name":"Locomotive ID","value":"4051"},{"id":130,"name":"Impact","value":""},{"id":150,"name":"Time of Event (Mountain Time)","value":"13:06:48"},{"id":151,"name":"Denver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6"/>
        <v>start /low /b %USERPROFILE%\Documents\GitHub\eaglep3\Utilities\DownloadLogsFromS3.py --loco 4051 --day 2017-03-15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601</v>
      </c>
      <c r="B85" s="7">
        <v>4052</v>
      </c>
      <c r="C85" s="21" t="s">
        <v>230</v>
      </c>
      <c r="D85" s="21" t="s">
        <v>535</v>
      </c>
      <c r="E85" s="13">
        <v>42809.55400462963</v>
      </c>
      <c r="F85" s="13">
        <v>42809.560023148151</v>
      </c>
      <c r="G85" s="7">
        <v>3</v>
      </c>
      <c r="H85" s="21" t="s">
        <v>184</v>
      </c>
      <c r="I85" s="13">
        <v>42809.588703703703</v>
      </c>
      <c r="J85" s="7">
        <v>0</v>
      </c>
      <c r="K85" s="98" t="str">
        <f t="shared" si="71"/>
        <v>4051/4052</v>
      </c>
      <c r="L85" s="21" t="str">
        <f>VLOOKUP(A85,'Trips&amp;Operators'!$C$1:$G$99999,5,FALSE)</f>
        <v>DELGADO DIANAH</v>
      </c>
      <c r="M85" s="6">
        <f t="shared" si="72"/>
        <v>2.8680555551545694E-2</v>
      </c>
      <c r="N85" s="7">
        <f t="shared" si="54"/>
        <v>41.2999999942258</v>
      </c>
      <c r="O85" s="7"/>
      <c r="P85" s="7"/>
      <c r="Q85" s="22"/>
      <c r="R85" s="22"/>
      <c r="S85" s="31">
        <f t="shared" si="55"/>
        <v>1</v>
      </c>
      <c r="T85" s="46" t="str">
        <f t="shared" si="73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81"/>
        <v>https://d0f6bd738d7f1b3e5a7ca70fe4ff75f0.us-east-1.aws.found.io/app/kibana#/discover/Steve-Slow-Train-Analysis-(2080s-and-2083s)?_g=(refreshInterval:(display:Off,pause:!f,section:0,value:0),time:(from:'2017-03-15T12:17:46-0600',mode:absolute,to:'2017-03-15T15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187" t="str">
        <f t="shared" si="74"/>
        <v>N</v>
      </c>
      <c r="X85" s="187">
        <f t="shared" si="80"/>
        <v>1</v>
      </c>
      <c r="Y85" s="62">
        <f t="shared" si="75"/>
        <v>23.303000000000001</v>
      </c>
      <c r="Z85" s="62">
        <f t="shared" si="76"/>
        <v>1.49E-2</v>
      </c>
      <c r="AA85" s="62">
        <f t="shared" si="77"/>
        <v>23.2881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78"/>
        <v>0172-15</v>
      </c>
      <c r="AE85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85" s="82" t="str">
        <f t="shared" si="83"/>
        <v>"C:\Program Files (x86)\AstroGrep\AstroGrep.exe" /e /r /s /spath="%USERPROFILE%\AppData\Local\Temp\OnboardLogs" /stypes="app*4052*20170315*" /stext=" 20:.+((SYSTEM_STATE.+slice.+state.+changed )|(ment ac)|(multiple cpu faults)|(system.+state.+changed )|(\[timeout)|(PRM\|1\|D)|(kpr)|(kdp)|(\|lc)|(penalty))"</v>
      </c>
      <c r="AG85" s="1" t="str">
        <f t="shared" si="79"/>
        <v>EC</v>
      </c>
      <c r="AH85" s="86" t="str">
        <f t="shared" si="84"/>
        <v>"%USERPROFILE%\Documents\GitHub\eaglep3\Utilities\RefineRTDCRunTimes.py" --tripid 172-15 --locoid 4052 --swversion DE.1.0.9.0 --startMP 204:233030 --initTime 2017-03-15T13:17:46 --startdatetime 2017-03-15T13:26:26 --delay 3 --endMP 204:149 --enddatetime 2017-03-15T14:07:44 --enforcementcount 0 &gt;&gt;C:\Users\stu\Documents\GitHub\eaglep3-reporting\EC\2017-03-15-refined-times.txt</v>
      </c>
      <c r="AI8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ID","value":"172-15"},{"id":16,"name":"Locomotive ID","value":"4052"},{"id":130,"name":"Impact","value":""},{"id":150,"name":"Time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6"/>
        <v>start /low /b %USERPROFILE%\Documents\GitHub\eaglep3\Utilities\DownloadLogsFromS3.py --loco 4052 --day 2017-03-15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</row>
    <row r="86" spans="1:91" s="20" customFormat="1" x14ac:dyDescent="0.25">
      <c r="A86" s="33" t="s">
        <v>719</v>
      </c>
      <c r="B86" s="7">
        <v>4020</v>
      </c>
      <c r="C86" s="21" t="s">
        <v>230</v>
      </c>
      <c r="D86" s="21" t="s">
        <v>217</v>
      </c>
      <c r="E86" s="13">
        <v>42809.52070601852</v>
      </c>
      <c r="F86" s="13">
        <v>42809.531805555554</v>
      </c>
      <c r="G86" s="7">
        <v>1</v>
      </c>
      <c r="H86" s="21" t="s">
        <v>234</v>
      </c>
      <c r="I86" s="13">
        <v>42809.557442129626</v>
      </c>
      <c r="J86" s="7">
        <v>0</v>
      </c>
      <c r="K86" s="98" t="str">
        <f t="shared" si="71"/>
        <v>4019/4020</v>
      </c>
      <c r="L86" s="21" t="str">
        <f>VLOOKUP(A86,'Trips&amp;Operators'!$C$1:$G$99999,5,FALSE)</f>
        <v>MAYBERRY BILL</v>
      </c>
      <c r="M86" s="6">
        <f t="shared" si="72"/>
        <v>2.5636574071540963E-2</v>
      </c>
      <c r="N86" s="7">
        <f t="shared" si="54"/>
        <v>36.916666663018987</v>
      </c>
      <c r="O86" s="7"/>
      <c r="P86" s="7"/>
      <c r="Q86" s="22"/>
      <c r="R86" s="22"/>
      <c r="S86" s="31">
        <f t="shared" si="55"/>
        <v>1</v>
      </c>
      <c r="T86" s="46" t="str">
        <f t="shared" si="73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81"/>
        <v>https://d0f6bd738d7f1b3e5a7ca70fe4ff75f0.us-east-1.aws.found.io/app/kibana#/discover/Steve-Slow-Train-Analysis-(2080s-and-2083s)?_g=(refreshInterval:(display:Off,pause:!f,section:0,value:0),time:(from:'2017-03-15T11:29:49-0600',mode:absolute,to:'2017-03-15T14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187" t="str">
        <f t="shared" si="74"/>
        <v>N</v>
      </c>
      <c r="X86" s="187">
        <f t="shared" si="80"/>
        <v>1</v>
      </c>
      <c r="Y86" s="62">
        <f t="shared" si="75"/>
        <v>4.5499999999999999E-2</v>
      </c>
      <c r="Z86" s="62">
        <f t="shared" si="76"/>
        <v>23.328900000000001</v>
      </c>
      <c r="AA86" s="62">
        <f t="shared" si="77"/>
        <v>23.2834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78"/>
        <v>0173-15</v>
      </c>
      <c r="AE86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86" s="82" t="str">
        <f t="shared" si="83"/>
        <v>"C:\Program Files (x86)\AstroGrep\AstroGrep.exe" /e /r /s /spath="%USERPROFILE%\AppData\Local\Temp\OnboardLogs" /stypes="app*4020*20170315*" /stext=" 19:.+((SYSTEM_STATE.+slice.+state.+changed )|(ment ac)|(multiple cpu faults)|(system.+state.+changed )|(\[timeout)|(PRM\|1\|D)|(kpr)|(kdp)|(\|lc)|(penalty))"</v>
      </c>
      <c r="AG86" s="1" t="str">
        <f t="shared" si="79"/>
        <v>EC</v>
      </c>
      <c r="AH86" s="86" t="str">
        <f t="shared" si="84"/>
        <v>"%USERPROFILE%\Documents\GitHub\eaglep3\Utilities\RefineRTDCRunTimes.py" --tripid 173-15 --locoid 4020 --swversion DE.1.0.9.0 --startMP 204:455 --initTime 2017-03-15T12:29:49 --startdatetime 2017-03-15T12:45:48 --delay 1 --endMP 204:233289 --enddatetime 2017-03-15T13:22:43 --enforcementcount 0 &gt;&gt;C:\Users\stu\Documents\GitHub\eaglep3-reporting\EC\2017-03-15-refined-times.txt</v>
      </c>
      <c r="AI8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{"issue":{"subject":"","project_id":79,"tracker_id":40,"status_id":1,"priority_id":2,"assigned_to_id":23,"start_date":"2017-03-15","description":"","custom_fields":[{"id":1,"name":"Subdivision","value":"EC"},{"id":4,"name":"Milepost","value":"23.3289"},{"id":17,"name":"Train ID","value":"173-15"},{"id":16,"name":"Locomotive ID","value":"4020"},{"id":130,"name":"Impact","value":""},{"id":150,"name":"Time of Event (Mountain Time)","value":"13:22:43"},{"id":151,"name":"Denver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6"/>
        <v>start /low /b %USERPROFILE%\Documents\GitHub\eaglep3\Utilities\DownloadLogsFromS3.py --loco 4020 --day 2017-03-15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603</v>
      </c>
      <c r="B87" s="7">
        <v>4019</v>
      </c>
      <c r="C87" s="21" t="s">
        <v>230</v>
      </c>
      <c r="D87" s="21" t="s">
        <v>480</v>
      </c>
      <c r="E87" s="13">
        <v>42809.559513888889</v>
      </c>
      <c r="F87" s="13">
        <v>42809.570405092592</v>
      </c>
      <c r="G87" s="7">
        <v>2</v>
      </c>
      <c r="H87" s="21" t="s">
        <v>207</v>
      </c>
      <c r="I87" s="13">
        <v>42809.606307870374</v>
      </c>
      <c r="J87" s="7">
        <v>0</v>
      </c>
      <c r="K87" s="98" t="str">
        <f t="shared" si="71"/>
        <v>4019/4020</v>
      </c>
      <c r="L87" s="21" t="str">
        <f>VLOOKUP(A87,'Trips&amp;Operators'!$C$1:$G$99999,5,FALSE)</f>
        <v>MAYBERRY BILL</v>
      </c>
      <c r="M87" s="6">
        <f t="shared" si="72"/>
        <v>3.5902777781302575E-2</v>
      </c>
      <c r="N87" s="7">
        <f t="shared" si="54"/>
        <v>51.700000005075708</v>
      </c>
      <c r="O87" s="7"/>
      <c r="P87" s="7"/>
      <c r="Q87" s="22"/>
      <c r="R87" s="22"/>
      <c r="S87" s="31">
        <f t="shared" si="55"/>
        <v>1</v>
      </c>
      <c r="T87" s="46" t="str">
        <f t="shared" si="73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81"/>
        <v>https://d0f6bd738d7f1b3e5a7ca70fe4ff75f0.us-east-1.aws.found.io/app/kibana#/discover/Steve-Slow-Train-Analysis-(2080s-and-2083s)?_g=(refreshInterval:(display:Off,pause:!f,section:0,value:0),time:(from:'2017-03-15T12:25:42-0600',mode:absolute,to:'2017-03-15T15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87" t="str">
        <f t="shared" si="74"/>
        <v>N</v>
      </c>
      <c r="X87" s="187">
        <f t="shared" si="80"/>
        <v>1</v>
      </c>
      <c r="Y87" s="62">
        <f t="shared" si="75"/>
        <v>23.296500000000002</v>
      </c>
      <c r="Z87" s="62">
        <f t="shared" si="76"/>
        <v>1.54E-2</v>
      </c>
      <c r="AA87" s="62">
        <f t="shared" si="77"/>
        <v>23.281100000000002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78"/>
        <v>0174-15</v>
      </c>
      <c r="AE87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87" s="82" t="str">
        <f t="shared" si="83"/>
        <v>"C:\Program Files (x86)\AstroGrep\AstroGrep.exe" /e /r /s /spath="%USERPROFILE%\AppData\Local\Temp\OnboardLogs" /stypes="app*4019*20170315*" /stext=" 20:.+((SYSTEM_STATE.+slice.+state.+changed )|(ment ac)|(multiple cpu faults)|(system.+state.+changed )|(\[timeout)|(PRM\|1\|D)|(kpr)|(kdp)|(\|lc)|(penalty))"</v>
      </c>
      <c r="AG87" s="1" t="str">
        <f t="shared" si="79"/>
        <v>EC</v>
      </c>
      <c r="AH87" s="86" t="str">
        <f t="shared" si="84"/>
        <v>"%USERPROFILE%\Documents\GitHub\eaglep3\Utilities\RefineRTDCRunTimes.py" --tripid 174-15 --locoid 4019 --swversion DE.1.0.9.0 --startMP 204:232965 --initTime 2017-03-15T13:25:42 --startdatetime 2017-03-15T13:41:23 --delay 2 --endMP 204:154 --enddatetime 2017-03-15T14:33:05 --enforcementcount 0 &gt;&gt;C:\Users\stu\Documents\GitHub\eaglep3-reporting\EC\2017-03-15-refined-times.txt</v>
      </c>
      <c r="AI8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ID","value":"174-15"},{"id":16,"name":"Locomotive ID","value":"4019"},{"id":130,"name":"Impact","value":""},{"id":150,"name":"Time of Event (Mountain Time)","value":"14:33:05"},{"id":151,"name":"Denver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6"/>
        <v>start /low /b %USERPROFILE%\Documents\GitHub\eaglep3\Utilities\DownloadLogsFromS3.py --loco 4019 --day 2017-03-15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721</v>
      </c>
      <c r="B88" s="7">
        <v>4042</v>
      </c>
      <c r="C88" s="21" t="s">
        <v>230</v>
      </c>
      <c r="D88" s="21" t="s">
        <v>538</v>
      </c>
      <c r="E88" s="13">
        <v>42809.537291666667</v>
      </c>
      <c r="F88" s="13">
        <v>42809.541828703703</v>
      </c>
      <c r="G88" s="7">
        <v>1</v>
      </c>
      <c r="H88" s="21" t="s">
        <v>241</v>
      </c>
      <c r="I88" s="13">
        <v>42809.569074074076</v>
      </c>
      <c r="J88" s="7">
        <v>0</v>
      </c>
      <c r="K88" s="98" t="str">
        <f t="shared" si="71"/>
        <v>4041/4042</v>
      </c>
      <c r="L88" s="21" t="str">
        <f>VLOOKUP(A88,'Trips&amp;Operators'!$C$1:$G$99999,5,FALSE)</f>
        <v>CLARK KATHLEEN</v>
      </c>
      <c r="M88" s="6">
        <f t="shared" si="72"/>
        <v>2.7245370372838806E-2</v>
      </c>
      <c r="N88" s="7">
        <f t="shared" si="54"/>
        <v>39.233333336887881</v>
      </c>
      <c r="O88" s="7"/>
      <c r="P88" s="7"/>
      <c r="Q88" s="22"/>
      <c r="R88" s="22"/>
      <c r="S88" s="31">
        <f t="shared" si="55"/>
        <v>1</v>
      </c>
      <c r="T88" s="46" t="str">
        <f t="shared" si="73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81"/>
        <v>https://d0f6bd738d7f1b3e5a7ca70fe4ff75f0.us-east-1.aws.found.io/app/kibana#/discover/Steve-Slow-Train-Analysis-(2080s-and-2083s)?_g=(refreshInterval:(display:Off,pause:!f,section:0,value:0),time:(from:'2017-03-15T11:53:42-0600',mode:absolute,to:'2017-03-15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87" t="str">
        <f t="shared" si="74"/>
        <v>N</v>
      </c>
      <c r="X88" s="187">
        <f t="shared" si="80"/>
        <v>1</v>
      </c>
      <c r="Y88" s="62">
        <f t="shared" si="75"/>
        <v>4.2700000000000002E-2</v>
      </c>
      <c r="Z88" s="62">
        <f t="shared" si="76"/>
        <v>23.329499999999999</v>
      </c>
      <c r="AA88" s="62">
        <f t="shared" si="77"/>
        <v>23.286799999999999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78"/>
        <v>0175-15</v>
      </c>
      <c r="AE88" s="85" t="str">
        <f t="shared" si="8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88" s="82" t="str">
        <f t="shared" si="83"/>
        <v>"C:\Program Files (x86)\AstroGrep\AstroGrep.exe" /e /r /s /spath="%USERPROFILE%\AppData\Local\Temp\OnboardLogs" /stypes="app*4042*20170315*" /stext=" 19:.+((SYSTEM_STATE.+slice.+state.+changed )|(ment ac)|(multiple cpu faults)|(system.+state.+changed )|(\[timeout)|(PRM\|1\|D)|(kpr)|(kdp)|(\|lc)|(penalty))"</v>
      </c>
      <c r="AG88" s="1" t="str">
        <f t="shared" si="79"/>
        <v>EC</v>
      </c>
      <c r="AH88" s="86" t="str">
        <f t="shared" si="84"/>
        <v>"%USERPROFILE%\Documents\GitHub\eaglep3\Utilities\RefineRTDCRunTimes.py" --tripid 175-15 --locoid 4042 --swversion DE.1.0.9.0 --startMP 204:427 --initTime 2017-03-15T12:53:42 --startdatetime 2017-03-15T13:00:14 --delay 1 --endMP 204:233295 --enddatetime 2017-03-15T13:39:28 --enforcementcount 0 &gt;&gt;C:\Users\stu\Documents\GitHub\eaglep3-reporting\EC\2017-03-15-refined-times.txt</v>
      </c>
      <c r="AI8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ID","value":"175-15"},{"id":16,"name":"Locomotive ID","value":"4042"},{"id":130,"name":"Impact","value":""},{"id":150,"name":"Time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6"/>
        <v>start /low /b %USERPROFILE%\Documents\GitHub\eaglep3\Utilities\DownloadLogsFromS3.py --loco 4042 --day 2017-03-15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729</v>
      </c>
      <c r="B89" s="7">
        <v>4041</v>
      </c>
      <c r="C89" s="21" t="s">
        <v>230</v>
      </c>
      <c r="D89" s="21" t="s">
        <v>398</v>
      </c>
      <c r="E89" s="13">
        <v>42809.579236111109</v>
      </c>
      <c r="F89" s="13">
        <v>42809.580729166664</v>
      </c>
      <c r="G89" s="7">
        <v>1</v>
      </c>
      <c r="H89" s="21" t="s">
        <v>879</v>
      </c>
      <c r="I89" s="13">
        <v>42809.611319444448</v>
      </c>
      <c r="J89" s="7">
        <v>0</v>
      </c>
      <c r="K89" s="98" t="str">
        <f t="shared" si="71"/>
        <v>4041/4042</v>
      </c>
      <c r="L89" s="21" t="str">
        <f>VLOOKUP(A89,'Trips&amp;Operators'!$C$1:$G$99999,5,FALSE)</f>
        <v>CLARK KATHLEEN</v>
      </c>
      <c r="M89" s="6">
        <f t="shared" si="72"/>
        <v>3.0590277783630881E-2</v>
      </c>
      <c r="N89" s="7"/>
      <c r="O89" s="7"/>
      <c r="P89" s="7">
        <f t="shared" si="54"/>
        <v>44.050000008428469</v>
      </c>
      <c r="Q89" s="22"/>
      <c r="R89" s="22" t="s">
        <v>1023</v>
      </c>
      <c r="S89" s="31">
        <f t="shared" si="55"/>
        <v>1</v>
      </c>
      <c r="T89" s="46" t="str">
        <f t="shared" si="73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81"/>
        <v>https://d0f6bd738d7f1b3e5a7ca70fe4ff75f0.us-east-1.aws.found.io/app/kibana#/discover/Steve-Slow-Train-Analysis-(2080s-and-2083s)?_g=(refreshInterval:(display:Off,pause:!f,section:0,value:0),time:(from:'2017-03-15T12:54:06-0600',mode:absolute,to:'2017-03-15T15:40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87" t="str">
        <f t="shared" si="74"/>
        <v>Y</v>
      </c>
      <c r="X89" s="187">
        <f t="shared" si="80"/>
        <v>1</v>
      </c>
      <c r="Y89" s="62">
        <f t="shared" si="75"/>
        <v>23.2974</v>
      </c>
      <c r="Z89" s="62">
        <f t="shared" si="76"/>
        <v>0.96560000000000001</v>
      </c>
      <c r="AA89" s="62">
        <f t="shared" si="77"/>
        <v>22.331800000000001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78"/>
        <v>0176-15</v>
      </c>
      <c r="AE89" s="85" t="str">
        <f t="shared" si="8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89" s="82" t="str">
        <f t="shared" si="83"/>
        <v>"C:\Program Files (x86)\AstroGrep\AstroGrep.exe" /e /r /s /spath="%USERPROFILE%\AppData\Local\Temp\OnboardLogs" /stypes="app*4041*20170315*" /stext=" 20:.+((SYSTEM_STATE.+slice.+state.+changed )|(ment ac)|(multiple cpu faults)|(system.+state.+changed )|(\[timeout)|(PRM\|1\|D)|(kpr)|(kdp)|(\|lc)|(penalty))"</v>
      </c>
      <c r="AG89" s="1" t="str">
        <f t="shared" si="79"/>
        <v>EC</v>
      </c>
      <c r="AH89" s="86" t="str">
        <f t="shared" si="84"/>
        <v>"%USERPROFILE%\Documents\GitHub\eaglep3\Utilities\RefineRTDCRunTimes.py" --tripid 176-15 --locoid 4041 --swversion DE.1.0.9.0 --startMP 204:232974 --initTime 2017-03-15T13:54:06 --startdatetime 2017-03-15T13:56:15 --delay 1 --endMP 204:9656 --enddatetime 2017-03-15T14:40:18 --enforcementcount 0 &gt;&gt;C:\Users\stu\Documents\GitHub\eaglep3-reporting\EC\2017-03-15-refined-times.txt</v>
      </c>
      <c r="AI89" s="108" t="str">
        <f t="shared" si="85"/>
        <v>echo {"issue":{"subject":"Finished at Main 3, unnecessary cut out (training issue against Restricting aspects?)","project_id":79,"tracker_id":40,"status_id":1,"priority_id":2,"assigned_to_id":23,"start_date":"2017-03-15","description":"","custom_fields":[{"id":1,"name":"Subdivision","value":"EC"},{"id":4,"name":"Milepost","value":"0.9656"},{"id":17,"name":"Train ID","value":"176-15"},{"id":16,"name":"Locomotive ID","value":"4041"},{"id":130,"name":"Impact","value":""},{"id":150,"name":"Time of Event (Mountain Time)","value":"14:40:18"},{"id":151,"name":"Denver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6"/>
        <v>start /low /b %USERPROFILE%\Documents\GitHub\eaglep3\Utilities\DownloadLogsFromS3.py --loco 4041 --day 2017-03-15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726</v>
      </c>
      <c r="B90" s="7">
        <v>4053</v>
      </c>
      <c r="C90" s="21" t="s">
        <v>230</v>
      </c>
      <c r="D90" s="21" t="s">
        <v>438</v>
      </c>
      <c r="E90" s="13">
        <v>42809.549756944441</v>
      </c>
      <c r="F90" s="13">
        <v>42809.55228009259</v>
      </c>
      <c r="G90" s="7">
        <v>1</v>
      </c>
      <c r="H90" s="21" t="s">
        <v>830</v>
      </c>
      <c r="I90" s="13">
        <v>42809.587592592594</v>
      </c>
      <c r="J90" s="7">
        <v>0</v>
      </c>
      <c r="K90" s="98" t="str">
        <f t="shared" si="71"/>
        <v>4053/4054</v>
      </c>
      <c r="L90" s="21" t="str">
        <f>VLOOKUP(A90,'Trips&amp;Operators'!$C$1:$G$99999,5,FALSE)</f>
        <v>DAVIS MICHAEL</v>
      </c>
      <c r="M90" s="6">
        <f t="shared" si="72"/>
        <v>3.5312500003783498E-2</v>
      </c>
      <c r="N90" s="7">
        <f t="shared" si="54"/>
        <v>50.850000005448237</v>
      </c>
      <c r="O90" s="7"/>
      <c r="P90" s="7"/>
      <c r="Q90" s="22"/>
      <c r="R90" s="22"/>
      <c r="S90" s="31">
        <f t="shared" si="55"/>
        <v>1</v>
      </c>
      <c r="T90" s="46" t="str">
        <f t="shared" si="73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81"/>
        <v>https://d0f6bd738d7f1b3e5a7ca70fe4ff75f0.us-east-1.aws.found.io/app/kibana#/discover/Steve-Slow-Train-Analysis-(2080s-and-2083s)?_g=(refreshInterval:(display:Off,pause:!f,section:0,value:0),time:(from:'2017-03-15T12:11:39-0600',mode:absolute,to:'2017-03-15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87" t="str">
        <f t="shared" si="74"/>
        <v>N</v>
      </c>
      <c r="X90" s="187">
        <f t="shared" si="80"/>
        <v>1</v>
      </c>
      <c r="Y90" s="62">
        <f t="shared" si="75"/>
        <v>4.8000000000000001E-2</v>
      </c>
      <c r="Z90" s="62">
        <f t="shared" si="76"/>
        <v>23.331800000000001</v>
      </c>
      <c r="AA90" s="62">
        <f t="shared" si="77"/>
        <v>23.283800000000003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78"/>
        <v>0177-15</v>
      </c>
      <c r="AE90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90" s="82" t="str">
        <f t="shared" si="83"/>
        <v>"C:\Program Files (x86)\AstroGrep\AstroGrep.exe" /e /r /s /spath="%USERPROFILE%\AppData\Local\Temp\OnboardLogs" /stypes="app*4053*20170315*" /stext=" 20:.+((SYSTEM_STATE.+slice.+state.+changed )|(ment ac)|(multiple cpu faults)|(system.+state.+changed )|(\[timeout)|(PRM\|1\|D)|(kpr)|(kdp)|(\|lc)|(penalty))"</v>
      </c>
      <c r="AG90" s="1" t="str">
        <f t="shared" si="79"/>
        <v>EC</v>
      </c>
      <c r="AH90" s="86" t="str">
        <f t="shared" si="84"/>
        <v>"%USERPROFILE%\Documents\GitHub\eaglep3\Utilities\RefineRTDCRunTimes.py" --tripid 177-15 --locoid 4053 --swversion DE.1.0.9.0 --startMP 204:480 --initTime 2017-03-15T13:11:39 --startdatetime 2017-03-15T13:15:17 --delay 1 --endMP 204:233318 --enddatetime 2017-03-15T14:06:08 --enforcementcount 0 &gt;&gt;C:\Users\stu\Documents\GitHub\eaglep3-reporting\EC\2017-03-15-refined-times.txt</v>
      </c>
      <c r="AI9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{"issue":{"subject":"","project_id":79,"tracker_id":40,"status_id":1,"priority_id":2,"assigned_to_id":23,"start_date":"2017-03-15","description":"","custom_fields":[{"id":1,"name":"Subdivision","value":"EC"},{"id":4,"name":"Milepost","value":"23.3318"},{"id":17,"name":"Train ID","value":"177-15"},{"id":16,"name":"Locomotive ID","value":"4053"},{"id":130,"name":"Impact","value":""},{"id":150,"name":"Time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6"/>
        <v>start /low /b %USERPROFILE%\Documents\GitHub\eaglep3\Utilities\DownloadLogsFromS3.py --loco 4053 --day 2017-03-15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</row>
    <row r="91" spans="1:91" s="20" customFormat="1" x14ac:dyDescent="0.25">
      <c r="A91" s="33" t="s">
        <v>731</v>
      </c>
      <c r="B91" s="7">
        <v>4054</v>
      </c>
      <c r="C91" s="21" t="s">
        <v>230</v>
      </c>
      <c r="D91" s="21" t="s">
        <v>840</v>
      </c>
      <c r="E91" s="13">
        <v>42809.590486111112</v>
      </c>
      <c r="F91" s="13">
        <v>42809.592488425929</v>
      </c>
      <c r="G91" s="7">
        <v>1</v>
      </c>
      <c r="H91" s="21" t="s">
        <v>841</v>
      </c>
      <c r="I91" s="13">
        <v>42809.624502314815</v>
      </c>
      <c r="J91" s="7">
        <v>0</v>
      </c>
      <c r="K91" s="98" t="str">
        <f t="shared" si="71"/>
        <v>4053/4054</v>
      </c>
      <c r="L91" s="21" t="str">
        <f>VLOOKUP(A91,'Trips&amp;Operators'!$C$1:$G$99999,5,FALSE)</f>
        <v>DAVIS MICHAEL</v>
      </c>
      <c r="M91" s="6">
        <f t="shared" si="72"/>
        <v>3.2013888885558117E-2</v>
      </c>
      <c r="N91" s="7">
        <f t="shared" si="54"/>
        <v>46.099999995203689</v>
      </c>
      <c r="O91" s="7"/>
      <c r="P91" s="7"/>
      <c r="Q91" s="22"/>
      <c r="R91" s="22"/>
      <c r="S91" s="31">
        <f t="shared" si="55"/>
        <v>1</v>
      </c>
      <c r="T91" s="46" t="str">
        <f t="shared" si="73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81"/>
        <v>https://d0f6bd738d7f1b3e5a7ca70fe4ff75f0.us-east-1.aws.found.io/app/kibana#/discover/Steve-Slow-Train-Analysis-(2080s-and-2083s)?_g=(refreshInterval:(display:Off,pause:!f,section:0,value:0),time:(from:'2017-03-15T13:10:18-0600',mode:absolute,to:'2017-03-15T15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187" t="str">
        <f t="shared" si="74"/>
        <v>N</v>
      </c>
      <c r="X91" s="187">
        <f t="shared" si="80"/>
        <v>1</v>
      </c>
      <c r="Y91" s="62">
        <f t="shared" si="75"/>
        <v>23.2986</v>
      </c>
      <c r="Z91" s="62">
        <f t="shared" si="76"/>
        <v>1.43E-2</v>
      </c>
      <c r="AA91" s="62">
        <f t="shared" si="77"/>
        <v>23.284300000000002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78"/>
        <v>0178-15</v>
      </c>
      <c r="AE91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91" s="82" t="str">
        <f t="shared" si="83"/>
        <v>"C:\Program Files (x86)\AstroGrep\AstroGrep.exe" /e /r /s /spath="%USERPROFILE%\AppData\Local\Temp\OnboardLogs" /stypes="app*4054*20170315*" /stext=" 20:.+((SYSTEM_STATE.+slice.+state.+changed )|(ment ac)|(multiple cpu faults)|(system.+state.+changed )|(\[timeout)|(PRM\|1\|D)|(kpr)|(kdp)|(\|lc)|(penalty))"</v>
      </c>
      <c r="AG91" s="1" t="str">
        <f t="shared" si="79"/>
        <v>EC</v>
      </c>
      <c r="AH91" s="86" t="str">
        <f t="shared" si="84"/>
        <v>"%USERPROFILE%\Documents\GitHub\eaglep3\Utilities\RefineRTDCRunTimes.py" --tripid 178-15 --locoid 4054 --swversion DE.1.0.9.0 --startMP 204:232986 --initTime 2017-03-15T14:10:18 --startdatetime 2017-03-15T14:13:11 --delay 1 --endMP 204:143 --enddatetime 2017-03-15T14:59:17 --enforcementcount 0 &gt;&gt;C:\Users\stu\Documents\GitHub\eaglep3-reporting\EC\2017-03-15-refined-times.txt</v>
      </c>
      <c r="AI9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ID","value":"178-15"},{"id":16,"name":"Locomotive ID","value":"4054"},{"id":130,"name":"Impact","value":""},{"id":150,"name":"Time of Event (Mountain Time)","value":"14:59:17"},{"id":151,"name":"Denver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6"/>
        <v>start /low /b %USERPROFILE%\Documents\GitHub\eaglep3\Utilities\DownloadLogsFromS3.py --loco 4054 --day 2017-03-15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602</v>
      </c>
      <c r="B92" s="7">
        <v>4025</v>
      </c>
      <c r="C92" s="21" t="s">
        <v>230</v>
      </c>
      <c r="D92" s="21" t="s">
        <v>880</v>
      </c>
      <c r="E92" s="13">
        <v>42809.557280092595</v>
      </c>
      <c r="F92" s="13">
        <v>42809.562962962962</v>
      </c>
      <c r="G92" s="7">
        <v>1</v>
      </c>
      <c r="H92" s="21" t="s">
        <v>881</v>
      </c>
      <c r="I92" s="13">
        <v>42809.592951388891</v>
      </c>
      <c r="J92" s="7">
        <v>0</v>
      </c>
      <c r="K92" s="98" t="str">
        <f t="shared" si="71"/>
        <v>4025/4026</v>
      </c>
      <c r="L92" s="21" t="str">
        <f>VLOOKUP(A92,'Trips&amp;Operators'!$C$1:$G$99999,5,FALSE)</f>
        <v>LEVERE CRAIG</v>
      </c>
      <c r="M92" s="6">
        <f t="shared" si="72"/>
        <v>2.9988425929332152E-2</v>
      </c>
      <c r="N92" s="7">
        <f t="shared" si="54"/>
        <v>43.183333338238299</v>
      </c>
      <c r="O92" s="7"/>
      <c r="P92" s="7"/>
      <c r="Q92" s="22"/>
      <c r="R92" s="22"/>
      <c r="S92" s="31">
        <f t="shared" si="55"/>
        <v>1</v>
      </c>
      <c r="T92" s="46" t="str">
        <f t="shared" si="73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81"/>
        <v>https://d0f6bd738d7f1b3e5a7ca70fe4ff75f0.us-east-1.aws.found.io/app/kibana#/discover/Steve-Slow-Train-Analysis-(2080s-and-2083s)?_g=(refreshInterval:(display:Off,pause:!f,section:0,value:0),time:(from:'2017-03-15T12:22:29-0600',mode:absolute,to:'2017-03-15T15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87" t="str">
        <f t="shared" si="74"/>
        <v>N</v>
      </c>
      <c r="X92" s="187">
        <f t="shared" si="80"/>
        <v>1</v>
      </c>
      <c r="Y92" s="62">
        <f t="shared" si="75"/>
        <v>6.4799999999999996E-2</v>
      </c>
      <c r="Z92" s="62">
        <f t="shared" si="76"/>
        <v>23.322099999999999</v>
      </c>
      <c r="AA92" s="62">
        <f t="shared" si="77"/>
        <v>23.257299999999997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78"/>
        <v>0179-15</v>
      </c>
      <c r="AE92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92" s="82" t="str">
        <f t="shared" si="83"/>
        <v>"C:\Program Files (x86)\AstroGrep\AstroGrep.exe" /e /r /s /spath="%USERPROFILE%\AppData\Local\Temp\OnboardLogs" /stypes="app*4025*20170315*" /stext=" 20:.+((SYSTEM_STATE.+slice.+state.+changed )|(ment ac)|(multiple cpu faults)|(system.+state.+changed )|(\[timeout)|(PRM\|1\|D)|(kpr)|(kdp)|(\|lc)|(penalty))"</v>
      </c>
      <c r="AG92" s="1" t="str">
        <f t="shared" si="79"/>
        <v>EC</v>
      </c>
      <c r="AH92" s="86" t="str">
        <f t="shared" si="84"/>
        <v>"%USERPROFILE%\Documents\GitHub\eaglep3\Utilities\RefineRTDCRunTimes.py" --tripid 179-15 --locoid 4025 --swversion DE.1.0.9.0 --startMP 204:648 --initTime 2017-03-15T13:22:29 --startdatetime 2017-03-15T13:30:40 --delay 1 --endMP 204:233221 --enddatetime 2017-03-15T14:13:51 --enforcementcount 0 &gt;&gt;C:\Users\stu\Documents\GitHub\eaglep3-reporting\EC\2017-03-15-refined-times.txt</v>
      </c>
      <c r="AI9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{"issue":{"subject":"","project_id":79,"tracker_id":40,"status_id":1,"priority_id":2,"assigned_to_id":23,"start_date":"2017-03-15","description":"","custom_fields":[{"id":1,"name":"Subdivision","value":"EC"},{"id":4,"name":"Milepost","value":"23.3221"},{"id":17,"name":"Train ID","value":"179-15"},{"id":16,"name":"Locomotive ID","value":"4025"},{"id":130,"name":"Impact","value":""},{"id":150,"name":"Time of Event (Mountain Time)","value":"14:13:51"},{"id":151,"name":"Denver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6"/>
        <v>start /low /b %USERPROFILE%\Documents\GitHub\eaglep3\Utilities\DownloadLogsFromS3.py --loco 4025 --day 2017-03-15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737</v>
      </c>
      <c r="B93" s="7">
        <v>4026</v>
      </c>
      <c r="C93" s="21" t="s">
        <v>230</v>
      </c>
      <c r="D93" s="21" t="s">
        <v>859</v>
      </c>
      <c r="E93" s="13">
        <v>42809.596805555557</v>
      </c>
      <c r="F93" s="13">
        <v>42809.6015625</v>
      </c>
      <c r="G93" s="7">
        <v>1</v>
      </c>
      <c r="H93" s="21" t="s">
        <v>542</v>
      </c>
      <c r="I93" s="13">
        <v>42809.631354166668</v>
      </c>
      <c r="J93" s="7">
        <v>0</v>
      </c>
      <c r="K93" s="98" t="str">
        <f t="shared" si="71"/>
        <v>4025/4026</v>
      </c>
      <c r="L93" s="21" t="str">
        <f>VLOOKUP(A93,'Trips&amp;Operators'!$C$1:$G$99999,5,FALSE)</f>
        <v>LEVERE CRAIG</v>
      </c>
      <c r="M93" s="6">
        <f t="shared" si="72"/>
        <v>2.9791666667733807E-2</v>
      </c>
      <c r="N93" s="7">
        <f t="shared" si="54"/>
        <v>42.900000001536682</v>
      </c>
      <c r="O93" s="7"/>
      <c r="P93" s="7"/>
      <c r="Q93" s="22"/>
      <c r="R93" s="22"/>
      <c r="S93" s="31">
        <f t="shared" si="55"/>
        <v>1</v>
      </c>
      <c r="T93" s="46" t="str">
        <f t="shared" si="73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81"/>
        <v>https://d0f6bd738d7f1b3e5a7ca70fe4ff75f0.us-east-1.aws.found.io/app/kibana#/discover/Steve-Slow-Train-Analysis-(2080s-and-2083s)?_g=(refreshInterval:(display:Off,pause:!f,section:0,value:0),time:(from:'2017-03-15T13:19:24-0600',mode:absolute,to:'2017-03-15T16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187" t="str">
        <f t="shared" si="74"/>
        <v>N</v>
      </c>
      <c r="X93" s="187">
        <f t="shared" si="80"/>
        <v>1</v>
      </c>
      <c r="Y93" s="62">
        <f t="shared" si="75"/>
        <v>23.29</v>
      </c>
      <c r="Z93" s="62">
        <f t="shared" si="76"/>
        <v>1.6299999999999999E-2</v>
      </c>
      <c r="AA93" s="62">
        <f t="shared" si="77"/>
        <v>23.273699999999998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78"/>
        <v>0180-15</v>
      </c>
      <c r="AE93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93" s="82" t="str">
        <f t="shared" si="83"/>
        <v>"C:\Program Files (x86)\AstroGrep\AstroGrep.exe" /e /r /s /spath="%USERPROFILE%\AppData\Local\Temp\OnboardLogs" /stypes="app*4026*20170315*" /stext=" 21:.+((SYSTEM_STATE.+slice.+state.+changed )|(ment ac)|(multiple cpu faults)|(system.+state.+changed )|(\[timeout)|(PRM\|1\|D)|(kpr)|(kdp)|(\|lc)|(penalty))"</v>
      </c>
      <c r="AG93" s="1" t="str">
        <f t="shared" si="79"/>
        <v>EC</v>
      </c>
      <c r="AH93" s="86" t="str">
        <f t="shared" si="84"/>
        <v>"%USERPROFILE%\Documents\GitHub\eaglep3\Utilities\RefineRTDCRunTimes.py" --tripid 180-15 --locoid 4026 --swversion DE.1.0.9.0 --startMP 204:232900 --initTime 2017-03-15T14:19:24 --startdatetime 2017-03-15T14:26:15 --delay 1 --endMP 204:163 --enddatetime 2017-03-15T15:09:09 --enforcementcount 0 &gt;&gt;C:\Users\stu\Documents\GitHub\eaglep3-reporting\EC\2017-03-15-refined-times.txt</v>
      </c>
      <c r="AI9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ID","value":"180-15"},{"id":16,"name":"Locomotive ID","value":"4026"},{"id":130,"name":"Impact","value":""},{"id":150,"name":"Time of Event (Mountain Time)","value":"15:09:09"},{"id":151,"name":"Denver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6"/>
        <v>start /low /b %USERPROFILE%\Documents\GitHub\eaglep3\Utilities\DownloadLogsFromS3.py --loco 4026 --day 2017-03-15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727</v>
      </c>
      <c r="B94" s="7">
        <v>4011</v>
      </c>
      <c r="C94" s="21" t="s">
        <v>230</v>
      </c>
      <c r="D94" s="21" t="s">
        <v>882</v>
      </c>
      <c r="E94" s="13">
        <v>42809.570486111108</v>
      </c>
      <c r="F94" s="13">
        <v>42809.573194444441</v>
      </c>
      <c r="G94" s="7">
        <v>1</v>
      </c>
      <c r="H94" s="21" t="s">
        <v>533</v>
      </c>
      <c r="I94" s="13">
        <v>42809.603576388887</v>
      </c>
      <c r="J94" s="7">
        <v>0</v>
      </c>
      <c r="K94" s="98" t="str">
        <f t="shared" si="71"/>
        <v>4011/4012</v>
      </c>
      <c r="L94" s="21" t="str">
        <f>VLOOKUP(A94,'Trips&amp;Operators'!$C$1:$G$99999,5,FALSE)</f>
        <v>HELVIE ADAM</v>
      </c>
      <c r="M94" s="6">
        <f t="shared" si="72"/>
        <v>3.0381944445252884E-2</v>
      </c>
      <c r="N94" s="7">
        <f t="shared" si="54"/>
        <v>43.750000001164153</v>
      </c>
      <c r="O94" s="7"/>
      <c r="P94" s="7"/>
      <c r="Q94" s="22"/>
      <c r="R94" s="22"/>
      <c r="S94" s="31">
        <f t="shared" si="55"/>
        <v>1</v>
      </c>
      <c r="T94" s="46" t="str">
        <f t="shared" si="73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81"/>
        <v>https://d0f6bd738d7f1b3e5a7ca70fe4ff75f0.us-east-1.aws.found.io/app/kibana#/discover/Steve-Slow-Train-Analysis-(2080s-and-2083s)?_g=(refreshInterval:(display:Off,pause:!f,section:0,value:0),time:(from:'2017-03-15T12:41:30-0600',mode:absolute,to:'2017-03-15T15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87" t="str">
        <f t="shared" si="74"/>
        <v>N</v>
      </c>
      <c r="X94" s="187">
        <f t="shared" si="80"/>
        <v>1</v>
      </c>
      <c r="Y94" s="62">
        <f t="shared" si="75"/>
        <v>4.9099999999999998E-2</v>
      </c>
      <c r="Z94" s="62">
        <f t="shared" si="76"/>
        <v>23.3276</v>
      </c>
      <c r="AA94" s="62">
        <f t="shared" si="77"/>
        <v>23.278500000000001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78"/>
        <v>0181-15</v>
      </c>
      <c r="AE94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94" s="82" t="str">
        <f t="shared" si="83"/>
        <v>"C:\Program Files (x86)\AstroGrep\AstroGrep.exe" /e /r /s /spath="%USERPROFILE%\AppData\Local\Temp\OnboardLogs" /stypes="app*4011*20170315*" /stext=" 20:.+((SYSTEM_STATE.+slice.+state.+changed )|(ment ac)|(multiple cpu faults)|(system.+state.+changed )|(\[timeout)|(PRM\|1\|D)|(kpr)|(kdp)|(\|lc)|(penalty))"</v>
      </c>
      <c r="AG94" s="1" t="str">
        <f t="shared" si="79"/>
        <v>EC</v>
      </c>
      <c r="AH94" s="86" t="str">
        <f t="shared" si="84"/>
        <v>"%USERPROFILE%\Documents\GitHub\eaglep3\Utilities\RefineRTDCRunTimes.py" --tripid 181-15 --locoid 4011 --swversion DE.1.0.9.0 --startMP 204:491 --initTime 2017-03-15T13:41:30 --startdatetime 2017-03-15T13:45:24 --delay 1 --endMP 204:233276 --enddatetime 2017-03-15T14:29:09 --enforcementcount 0 &gt;&gt;C:\Users\stu\Documents\GitHub\eaglep3-reporting\EC\2017-03-15-refined-times.txt</v>
      </c>
      <c r="AI9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{"issue":{"subject":"","project_id":79,"tracker_id":40,"status_id":1,"priority_id":2,"assigned_to_id":23,"start_date":"2017-03-15","description":"","custom_fields":[{"id":1,"name":"Subdivision","value":"EC"},{"id":4,"name":"Milepost","value":"23.3276"},{"id":17,"name":"Train ID","value":"181-15"},{"id":16,"name":"Locomotive ID","value":"4011"},{"id":130,"name":"Impact","value":""},{"id":150,"name":"Time of Event (Mountain Time)","value":"14:29:09"},{"id":151,"name":"Denver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6"/>
        <v>start /low /b %USERPROFILE%\Documents\GitHub\eaglep3\Utilities\DownloadLogsFromS3.py --loco 4011 --day 2017-03-15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740</v>
      </c>
      <c r="B95" s="7">
        <v>4012</v>
      </c>
      <c r="C95" s="21" t="s">
        <v>230</v>
      </c>
      <c r="D95" s="21" t="s">
        <v>883</v>
      </c>
      <c r="E95" s="13">
        <v>42809.609618055554</v>
      </c>
      <c r="F95" s="13">
        <v>42809.61215277778</v>
      </c>
      <c r="G95" s="7">
        <v>1</v>
      </c>
      <c r="H95" s="21" t="s">
        <v>201</v>
      </c>
      <c r="I95" s="13">
        <v>42809.642233796294</v>
      </c>
      <c r="J95" s="7">
        <v>0</v>
      </c>
      <c r="K95" s="98" t="str">
        <f t="shared" si="71"/>
        <v>4011/4012</v>
      </c>
      <c r="L95" s="21" t="str">
        <f>VLOOKUP(A95,'Trips&amp;Operators'!$C$1:$G$99999,5,FALSE)</f>
        <v>HELVIE ADAM</v>
      </c>
      <c r="M95" s="6">
        <f t="shared" si="72"/>
        <v>3.0081018514465541E-2</v>
      </c>
      <c r="N95" s="7">
        <f t="shared" si="54"/>
        <v>43.316666660830379</v>
      </c>
      <c r="O95" s="7"/>
      <c r="P95" s="7"/>
      <c r="Q95" s="22"/>
      <c r="R95" s="22"/>
      <c r="S95" s="31">
        <f t="shared" si="55"/>
        <v>1</v>
      </c>
      <c r="T95" s="46" t="str">
        <f t="shared" si="73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81"/>
        <v>https://d0f6bd738d7f1b3e5a7ca70fe4ff75f0.us-east-1.aws.found.io/app/kibana#/discover/Steve-Slow-Train-Analysis-(2080s-and-2083s)?_g=(refreshInterval:(display:Off,pause:!f,section:0,value:0),time:(from:'2017-03-15T13:37:51-0600',mode:absolute,to:'2017-03-15T16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87" t="str">
        <f t="shared" si="74"/>
        <v>N</v>
      </c>
      <c r="X95" s="187">
        <f t="shared" si="80"/>
        <v>1</v>
      </c>
      <c r="Y95" s="62">
        <f t="shared" si="75"/>
        <v>23.295200000000001</v>
      </c>
      <c r="Z95" s="62">
        <f t="shared" si="76"/>
        <v>1.52E-2</v>
      </c>
      <c r="AA95" s="62">
        <f t="shared" si="77"/>
        <v>23.28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78"/>
        <v>0182-15</v>
      </c>
      <c r="AE95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95" s="82" t="str">
        <f t="shared" si="83"/>
        <v>"C:\Program Files (x86)\AstroGrep\AstroGrep.exe" /e /r /s /spath="%USERPROFILE%\AppData\Local\Temp\OnboardLogs" /stypes="app*4012*20170315*" /stext=" 21:.+((SYSTEM_STATE.+slice.+state.+changed )|(ment ac)|(multiple cpu faults)|(system.+state.+changed )|(\[timeout)|(PRM\|1\|D)|(kpr)|(kdp)|(\|lc)|(penalty))"</v>
      </c>
      <c r="AG95" s="1" t="str">
        <f t="shared" si="79"/>
        <v>EC</v>
      </c>
      <c r="AH95" s="86" t="str">
        <f t="shared" si="84"/>
        <v>"%USERPROFILE%\Documents\GitHub\eaglep3\Utilities\RefineRTDCRunTimes.py" --tripid 182-15 --locoid 4012 --swversion DE.1.0.9.0 --startMP 204:232952 --initTime 2017-03-15T14:37:51 --startdatetime 2017-03-15T14:41:30 --delay 1 --endMP 204:152 --enddatetime 2017-03-15T15:24:49 --enforcementcount 0 &gt;&gt;C:\Users\stu\Documents\GitHub\eaglep3-reporting\EC\2017-03-15-refined-times.txt</v>
      </c>
      <c r="AI9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ID","value":"182-15"},{"id":16,"name":"Locomotive ID","value":"4012"},{"id":130,"name":"Impact","value":""},{"id":150,"name":"Time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6"/>
        <v>start /low /b %USERPROFILE%\Documents\GitHub\eaglep3\Utilities\DownloadLogsFromS3.py --loco 4012 --day 2017-03-15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730</v>
      </c>
      <c r="B96" s="7">
        <v>4029</v>
      </c>
      <c r="C96" s="21" t="s">
        <v>230</v>
      </c>
      <c r="D96" s="21" t="s">
        <v>435</v>
      </c>
      <c r="E96" s="13">
        <v>42809.578877314816</v>
      </c>
      <c r="F96" s="13">
        <v>42809.583587962959</v>
      </c>
      <c r="G96" s="7">
        <v>1</v>
      </c>
      <c r="H96" s="21" t="s">
        <v>884</v>
      </c>
      <c r="I96" s="13">
        <v>42809.610949074071</v>
      </c>
      <c r="J96" s="7">
        <v>0</v>
      </c>
      <c r="K96" s="98" t="str">
        <f t="shared" si="71"/>
        <v>4029/4030</v>
      </c>
      <c r="L96" s="21" t="str">
        <f>VLOOKUP(A96,'Trips&amp;Operators'!$C$1:$G$99999,5,FALSE)</f>
        <v>LEVIN SCOTT</v>
      </c>
      <c r="M96" s="6">
        <f t="shared" si="72"/>
        <v>2.73611111115315E-2</v>
      </c>
      <c r="N96" s="7">
        <f t="shared" si="54"/>
        <v>39.40000000060536</v>
      </c>
      <c r="O96" s="7"/>
      <c r="P96" s="7"/>
      <c r="Q96" s="22"/>
      <c r="R96" s="22"/>
      <c r="S96" s="31">
        <f t="shared" si="55"/>
        <v>1</v>
      </c>
      <c r="T96" s="46" t="str">
        <f t="shared" si="73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81"/>
        <v>https://d0f6bd738d7f1b3e5a7ca70fe4ff75f0.us-east-1.aws.found.io/app/kibana#/discover/Steve-Slow-Train-Analysis-(2080s-and-2083s)?_g=(refreshInterval:(display:Off,pause:!f,section:0,value:0),time:(from:'2017-03-15T12:53:35-0600',mode:absolute,to:'2017-03-15T15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87" t="str">
        <f t="shared" si="74"/>
        <v>N</v>
      </c>
      <c r="X96" s="187">
        <f t="shared" si="80"/>
        <v>1</v>
      </c>
      <c r="Y96" s="62">
        <f t="shared" si="75"/>
        <v>4.3799999999999999E-2</v>
      </c>
      <c r="Z96" s="62">
        <f t="shared" si="76"/>
        <v>23.334</v>
      </c>
      <c r="AA96" s="62">
        <f t="shared" si="77"/>
        <v>23.290199999999999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78"/>
        <v>0183-15</v>
      </c>
      <c r="AE96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96" s="82" t="str">
        <f t="shared" si="83"/>
        <v>"C:\Program Files (x86)\AstroGrep\AstroGrep.exe" /e /r /s /spath="%USERPROFILE%\AppData\Local\Temp\OnboardLogs" /stypes="app*4029*20170315*" /stext=" 20:.+((SYSTEM_STATE.+slice.+state.+changed )|(ment ac)|(multiple cpu faults)|(system.+state.+changed )|(\[timeout)|(PRM\|1\|D)|(kpr)|(kdp)|(\|lc)|(penalty))"</v>
      </c>
      <c r="AG96" s="1" t="str">
        <f t="shared" si="79"/>
        <v>EC</v>
      </c>
      <c r="AH96" s="86" t="str">
        <f t="shared" si="84"/>
        <v>"%USERPROFILE%\Documents\GitHub\eaglep3\Utilities\RefineRTDCRunTimes.py" --tripid 183-15 --locoid 4029 --swversion DE.1.0.9.0 --startMP 204:438 --initTime 2017-03-15T13:53:35 --startdatetime 2017-03-15T14:00:22 --delay 1 --endMP 204:233340 --enddatetime 2017-03-15T14:39:46 --enforcementcount 0 &gt;&gt;C:\Users\stu\Documents\GitHub\eaglep3-reporting\EC\2017-03-15-refined-times.txt</v>
      </c>
      <c r="AI9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{"issue":{"subject":"","project_id":79,"tracker_id":40,"status_id":1,"priority_id":2,"assigned_to_id":23,"start_date":"2017-03-15","description":"","custom_fields":[{"id":1,"name":"Subdivision","value":"EC"},{"id":4,"name":"Milepost","value":"23.334"},{"id":17,"name":"Train ID","value":"183-15"},{"id":16,"name":"Locomotive ID","value":"4029"},{"id":130,"name":"Impact","value":""},{"id":150,"name":"Time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6"/>
        <v>start /low /b %USERPROFILE%\Documents\GitHub\eaglep3\Utilities\DownloadLogsFromS3.py --loco 4029 --day 2017-03-15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604</v>
      </c>
      <c r="B97" s="7">
        <v>4030</v>
      </c>
      <c r="C97" s="21" t="s">
        <v>230</v>
      </c>
      <c r="D97" s="21" t="s">
        <v>885</v>
      </c>
      <c r="E97" s="13">
        <v>42809.618935185186</v>
      </c>
      <c r="F97" s="13">
        <v>42809.622465277775</v>
      </c>
      <c r="G97" s="7">
        <v>1</v>
      </c>
      <c r="H97" s="21" t="s">
        <v>886</v>
      </c>
      <c r="I97" s="13">
        <v>42809.649293981478</v>
      </c>
      <c r="J97" s="7">
        <v>0</v>
      </c>
      <c r="K97" s="98" t="str">
        <f t="shared" si="71"/>
        <v>4029/4030</v>
      </c>
      <c r="L97" s="21" t="str">
        <f>VLOOKUP(A97,'Trips&amp;Operators'!$C$1:$G$99999,5,FALSE)</f>
        <v>LEVIN SCOTT</v>
      </c>
      <c r="M97" s="6">
        <f t="shared" si="72"/>
        <v>2.6828703703358769E-2</v>
      </c>
      <c r="N97" s="7">
        <f t="shared" si="54"/>
        <v>38.633333332836628</v>
      </c>
      <c r="O97" s="7"/>
      <c r="P97" s="7"/>
      <c r="Q97" s="22"/>
      <c r="R97" s="22"/>
      <c r="S97" s="31">
        <f t="shared" si="55"/>
        <v>1</v>
      </c>
      <c r="T97" s="46" t="str">
        <f t="shared" si="73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81"/>
        <v>https://d0f6bd738d7f1b3e5a7ca70fe4ff75f0.us-east-1.aws.found.io/app/kibana#/discover/Steve-Slow-Train-Analysis-(2080s-and-2083s)?_g=(refreshInterval:(display:Off,pause:!f,section:0,value:0),time:(from:'2017-03-15T13:51:16-0600',mode:absolute,to:'2017-03-15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7" t="str">
        <f t="shared" si="74"/>
        <v>N</v>
      </c>
      <c r="X97" s="187">
        <f t="shared" si="80"/>
        <v>1</v>
      </c>
      <c r="Y97" s="62">
        <f t="shared" si="75"/>
        <v>23.308700000000002</v>
      </c>
      <c r="Z97" s="62">
        <f t="shared" si="76"/>
        <v>1.29E-2</v>
      </c>
      <c r="AA97" s="62">
        <f t="shared" si="77"/>
        <v>23.295800000000003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78"/>
        <v>0184-15</v>
      </c>
      <c r="AE97" s="85" t="str">
        <f t="shared" si="82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97" s="82" t="str">
        <f t="shared" si="83"/>
        <v>"C:\Program Files (x86)\AstroGrep\AstroGrep.exe" /e /r /s /spath="%USERPROFILE%\AppData\Local\Temp\OnboardLogs" /stypes="app*4030*20170315*" /stext=" 21:.+((SYSTEM_STATE.+slice.+state.+changed )|(ment ac)|(multiple cpu faults)|(system.+state.+changed )|(\[timeout)|(PRM\|1\|D)|(kpr)|(kdp)|(\|lc)|(penalty))"</v>
      </c>
      <c r="AG97" s="1" t="str">
        <f t="shared" si="79"/>
        <v>EC</v>
      </c>
      <c r="AH97" s="86" t="str">
        <f t="shared" si="84"/>
        <v>"%USERPROFILE%\Documents\GitHub\eaglep3\Utilities\RefineRTDCRunTimes.py" --tripid 184-15 --locoid 4030 --swversion DE.1.0.9.0 --startMP 204:233087 --initTime 2017-03-15T14:51:16 --startdatetime 2017-03-15T14:56:21 --delay 1 --endMP 204:129 --enddatetime 2017-03-15T15:34:59 --enforcementcount 0 &gt;&gt;C:\Users\stu\Documents\GitHub\eaglep3-reporting\EC\2017-03-15-refined-times.txt</v>
      </c>
      <c r="AI9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{"issue":{"subject":"","project_id":79,"tracker_id":40,"status_id":1,"priority_id":2,"assigned_to_id":23,"start_date":"2017-03-15","description":"","custom_fields":[{"id":1,"name":"Subdivision","value":"EC"},{"id":4,"name":"Milepost","value":"0.0129"},{"id":17,"name":"Train ID","value":"184-15"},{"id":16,"name":"Locomotive ID","value":"4030"},{"id":130,"name":"Impact","value":""},{"id":150,"name":"Time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6"/>
        <v>start /low /b %USERPROFILE%\Documents\GitHub\eaglep3\Utilities\DownloadLogsFromS3.py --loco 4030 --day 2017-03-15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732</v>
      </c>
      <c r="B98" s="7">
        <v>4051</v>
      </c>
      <c r="C98" s="21" t="s">
        <v>230</v>
      </c>
      <c r="D98" s="21" t="s">
        <v>429</v>
      </c>
      <c r="E98" s="13">
        <v>42809.590810185182</v>
      </c>
      <c r="F98" s="13">
        <v>42809.593993055554</v>
      </c>
      <c r="G98" s="7">
        <v>1</v>
      </c>
      <c r="H98" s="21" t="s">
        <v>887</v>
      </c>
      <c r="I98" s="13">
        <v>42809.621354166666</v>
      </c>
      <c r="J98" s="7">
        <v>0</v>
      </c>
      <c r="K98" s="98" t="str">
        <f t="shared" si="71"/>
        <v>4051/4052</v>
      </c>
      <c r="L98" s="21" t="str">
        <f>VLOOKUP(A98,'Trips&amp;Operators'!$C$1:$G$99999,5,FALSE)</f>
        <v>DELGADO DIANAH</v>
      </c>
      <c r="M98" s="6">
        <f t="shared" si="72"/>
        <v>2.73611111115315E-2</v>
      </c>
      <c r="N98" s="7">
        <f t="shared" si="54"/>
        <v>39.40000000060536</v>
      </c>
      <c r="O98" s="7"/>
      <c r="P98" s="7"/>
      <c r="Q98" s="22"/>
      <c r="R98" s="22"/>
      <c r="S98" s="31">
        <f t="shared" si="55"/>
        <v>1</v>
      </c>
      <c r="T98" s="46" t="str">
        <f t="shared" si="73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81"/>
        <v>https://d0f6bd738d7f1b3e5a7ca70fe4ff75f0.us-east-1.aws.found.io/app/kibana#/discover/Steve-Slow-Train-Analysis-(2080s-and-2083s)?_g=(refreshInterval:(display:Off,pause:!f,section:0,value:0),time:(from:'2017-03-15T13:10:46-0600',mode:absolute,to:'2017-03-15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187" t="str">
        <f t="shared" si="74"/>
        <v>N</v>
      </c>
      <c r="X98" s="187">
        <f t="shared" si="80"/>
        <v>1</v>
      </c>
      <c r="Y98" s="62">
        <f t="shared" si="75"/>
        <v>4.6399999999999997E-2</v>
      </c>
      <c r="Z98" s="62">
        <f t="shared" si="76"/>
        <v>23.3401</v>
      </c>
      <c r="AA98" s="62">
        <f t="shared" si="77"/>
        <v>23.293700000000001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78"/>
        <v>0185-15</v>
      </c>
      <c r="AE98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98" s="82" t="str">
        <f t="shared" si="83"/>
        <v>"C:\Program Files (x86)\AstroGrep\AstroGrep.exe" /e /r /s /spath="%USERPROFILE%\AppData\Local\Temp\OnboardLogs" /stypes="app*4051*20170315*" /stext=" 20:.+((SYSTEM_STATE.+slice.+state.+changed )|(ment ac)|(multiple cpu faults)|(system.+state.+changed )|(\[timeout)|(PRM\|1\|D)|(kpr)|(kdp)|(\|lc)|(penalty))"</v>
      </c>
      <c r="AG98" s="1" t="str">
        <f t="shared" si="79"/>
        <v>EC</v>
      </c>
      <c r="AH98" s="86" t="str">
        <f t="shared" si="84"/>
        <v>"%USERPROFILE%\Documents\GitHub\eaglep3\Utilities\RefineRTDCRunTimes.py" --tripid 185-15 --locoid 4051 --swversion DE.1.0.9.0 --startMP 204:464 --initTime 2017-03-15T14:10:46 --startdatetime 2017-03-15T14:15:21 --delay 1 --endMP 204:233401 --enddatetime 2017-03-15T14:54:45 --enforcementcount 0 &gt;&gt;C:\Users\stu\Documents\GitHub\eaglep3-reporting\EC\2017-03-15-refined-times.txt</v>
      </c>
      <c r="AI9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{"issue":{"subject":"","project_id":79,"tracker_id":40,"status_id":1,"priority_id":2,"assigned_to_id":23,"start_date":"2017-03-15","description":"","custom_fields":[{"id":1,"name":"Subdivision","value":"EC"},{"id":4,"name":"Milepost","value":"23.3401"},{"id":17,"name":"Train ID","value":"185-15"},{"id":16,"name":"Locomotive ID","value":"4051"},{"id":130,"name":"Impact","value":""},{"id":150,"name":"Time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6"/>
        <v>start /low /b %USERPROFILE%\Documents\GitHub\eaglep3\Utilities\DownloadLogsFromS3.py --loco 4051 --day 2017-03-15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</row>
    <row r="99" spans="1:91" s="20" customFormat="1" x14ac:dyDescent="0.25">
      <c r="A99" s="33" t="s">
        <v>606</v>
      </c>
      <c r="B99" s="7">
        <v>4052</v>
      </c>
      <c r="C99" s="21" t="s">
        <v>230</v>
      </c>
      <c r="D99" s="21" t="s">
        <v>888</v>
      </c>
      <c r="E99" s="13">
        <v>42809.629212962966</v>
      </c>
      <c r="F99" s="13">
        <v>42809.633009259262</v>
      </c>
      <c r="G99" s="7">
        <v>1</v>
      </c>
      <c r="H99" s="21" t="s">
        <v>537</v>
      </c>
      <c r="I99" s="13">
        <v>42809.659560185188</v>
      </c>
      <c r="J99" s="7">
        <v>0</v>
      </c>
      <c r="K99" s="98" t="str">
        <f t="shared" si="71"/>
        <v>4051/4052</v>
      </c>
      <c r="L99" s="21" t="str">
        <f>VLOOKUP(A99,'Trips&amp;Operators'!$C$1:$G$99999,5,FALSE)</f>
        <v>DELGADO DIANAH</v>
      </c>
      <c r="M99" s="6">
        <f t="shared" si="72"/>
        <v>2.6550925926130731E-2</v>
      </c>
      <c r="N99" s="7">
        <f t="shared" si="54"/>
        <v>38.233333333628252</v>
      </c>
      <c r="O99" s="7"/>
      <c r="P99" s="7"/>
      <c r="Q99" s="22"/>
      <c r="R99" s="22"/>
      <c r="S99" s="31">
        <f t="shared" si="55"/>
        <v>1</v>
      </c>
      <c r="T99" s="46" t="str">
        <f t="shared" si="73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81"/>
        <v>https://d0f6bd738d7f1b3e5a7ca70fe4ff75f0.us-east-1.aws.found.io/app/kibana#/discover/Steve-Slow-Train-Analysis-(2080s-and-2083s)?_g=(refreshInterval:(display:Off,pause:!f,section:0,value:0),time:(from:'2017-03-15T14:06:04-0600',mode:absolute,to:'2017-03-15T16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187" t="str">
        <f t="shared" si="74"/>
        <v>N</v>
      </c>
      <c r="X99" s="187">
        <f t="shared" si="80"/>
        <v>1</v>
      </c>
      <c r="Y99" s="62">
        <f t="shared" si="75"/>
        <v>23.308800000000002</v>
      </c>
      <c r="Z99" s="62">
        <f t="shared" si="76"/>
        <v>1.4500000000000001E-2</v>
      </c>
      <c r="AA99" s="62">
        <f t="shared" si="77"/>
        <v>23.2943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78"/>
        <v>0186-15</v>
      </c>
      <c r="AE99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99" s="82" t="str">
        <f t="shared" si="83"/>
        <v>"C:\Program Files (x86)\AstroGrep\AstroGrep.exe" /e /r /s /spath="%USERPROFILE%\AppData\Local\Temp\OnboardLogs" /stypes="app*4052*20170315*" /stext=" 21:.+((SYSTEM_STATE.+slice.+state.+changed )|(ment ac)|(multiple cpu faults)|(system.+state.+changed )|(\[timeout)|(PRM\|1\|D)|(kpr)|(kdp)|(\|lc)|(penalty))"</v>
      </c>
      <c r="AG99" s="1" t="str">
        <f t="shared" si="79"/>
        <v>EC</v>
      </c>
      <c r="AH99" s="86" t="str">
        <f t="shared" si="84"/>
        <v>"%USERPROFILE%\Documents\GitHub\eaglep3\Utilities\RefineRTDCRunTimes.py" --tripid 186-15 --locoid 4052 --swversion DE.1.0.9.0 --startMP 204:233088 --initTime 2017-03-15T15:06:04 --startdatetime 2017-03-15T15:11:32 --delay 1 --endMP 204:145 --enddatetime 2017-03-15T15:49:46 --enforcementcount 0 &gt;&gt;C:\Users\stu\Documents\GitHub\eaglep3-reporting\EC\2017-03-15-refined-times.txt</v>
      </c>
      <c r="AI9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ID","value":"186-15"},{"id":16,"name":"Locomotive ID","value":"4052"},{"id":130,"name":"Impact","value":""},{"id":150,"name":"Time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6"/>
        <v>start /low /b %USERPROFILE%\Documents\GitHub\eaglep3\Utilities\DownloadLogsFromS3.py --loco 4052 --day 2017-03-15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734</v>
      </c>
      <c r="B100" s="7">
        <v>4040</v>
      </c>
      <c r="C100" s="21" t="s">
        <v>230</v>
      </c>
      <c r="D100" s="21" t="s">
        <v>554</v>
      </c>
      <c r="E100" s="13">
        <v>42809.596377314818</v>
      </c>
      <c r="F100" s="13">
        <v>42809.605092592596</v>
      </c>
      <c r="G100" s="7">
        <v>1</v>
      </c>
      <c r="H100" s="21" t="s">
        <v>860</v>
      </c>
      <c r="I100" s="13">
        <v>42809.63003472222</v>
      </c>
      <c r="J100" s="7">
        <v>0</v>
      </c>
      <c r="K100" s="98" t="str">
        <f t="shared" si="71"/>
        <v>4039/4040</v>
      </c>
      <c r="L100" s="21" t="str">
        <f>VLOOKUP(A100,'Trips&amp;Operators'!$C$1:$G$99999,5,FALSE)</f>
        <v>DE LA ROSA ALEX</v>
      </c>
      <c r="M100" s="6">
        <f t="shared" si="72"/>
        <v>2.4942129624832887E-2</v>
      </c>
      <c r="N100" s="7">
        <f t="shared" si="54"/>
        <v>35.916666659759358</v>
      </c>
      <c r="O100" s="7"/>
      <c r="P100" s="7"/>
      <c r="Q100" s="22"/>
      <c r="R100" s="22"/>
      <c r="S100" s="31">
        <f t="shared" si="55"/>
        <v>1</v>
      </c>
      <c r="T100" s="46" t="str">
        <f t="shared" si="73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81"/>
        <v>https://d0f6bd738d7f1b3e5a7ca70fe4ff75f0.us-east-1.aws.found.io/app/kibana#/discover/Steve-Slow-Train-Analysis-(2080s-and-2083s)?_g=(refreshInterval:(display:Off,pause:!f,section:0,value:0),time:(from:'2017-03-15T13:18:47-0600',mode:absolute,to:'2017-03-15T16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87" t="str">
        <f t="shared" si="74"/>
        <v>N</v>
      </c>
      <c r="X100" s="187">
        <f t="shared" si="80"/>
        <v>1</v>
      </c>
      <c r="Y100" s="62">
        <f t="shared" si="75"/>
        <v>0.14860000000000001</v>
      </c>
      <c r="Z100" s="62">
        <f t="shared" si="76"/>
        <v>23.330400000000001</v>
      </c>
      <c r="AA100" s="62">
        <f t="shared" si="77"/>
        <v>23.181800000000003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78"/>
        <v>0187-15</v>
      </c>
      <c r="AE100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00" s="82" t="str">
        <f t="shared" si="83"/>
        <v>"C:\Program Files (x86)\AstroGrep\AstroGrep.exe" /e /r /s /spath="%USERPROFILE%\AppData\Local\Temp\OnboardLogs" /stypes="app*4040*20170315*" /stext=" 21:.+((SYSTEM_STATE.+slice.+state.+changed )|(ment ac)|(multiple cpu faults)|(system.+state.+changed )|(\[timeout)|(PRM\|1\|D)|(kpr)|(kdp)|(\|lc)|(penalty))"</v>
      </c>
      <c r="AG100" s="1" t="str">
        <f t="shared" si="79"/>
        <v>EC</v>
      </c>
      <c r="AH100" s="86" t="str">
        <f t="shared" si="84"/>
        <v>"%USERPROFILE%\Documents\GitHub\eaglep3\Utilities\RefineRTDCRunTimes.py" --tripid 187-15 --locoid 4040 --swversion DE.1.0.9.0 --startMP 204:1486 --initTime 2017-03-15T14:18:47 --startdatetime 2017-03-15T14:31:20 --delay 1 --endMP 204:233304 --enddatetime 2017-03-15T15:07:15 --enforcementcount 0 &gt;&gt;C:\Users\stu\Documents\GitHub\eaglep3-reporting\EC\2017-03-15-refined-times.txt</v>
      </c>
      <c r="AI10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ID","value":"187-15"},{"id":16,"name":"Locomotive ID","value":"4040"},{"id":130,"name":"Impact","value":""},{"id":150,"name":"Time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6"/>
        <v>start /low /b %USERPROFILE%\Documents\GitHub\eaglep3\Utilities\DownloadLogsFromS3.py --loco 4040 --day 2017-03-15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743</v>
      </c>
      <c r="B101" s="7">
        <v>4039</v>
      </c>
      <c r="C101" s="21" t="s">
        <v>230</v>
      </c>
      <c r="D101" s="21" t="s">
        <v>439</v>
      </c>
      <c r="E101" s="13">
        <v>42809.638599537036</v>
      </c>
      <c r="F101" s="13">
        <v>42809.643287037034</v>
      </c>
      <c r="G101" s="7">
        <v>1</v>
      </c>
      <c r="H101" s="21" t="s">
        <v>201</v>
      </c>
      <c r="I101" s="13">
        <v>42809.674768518518</v>
      </c>
      <c r="J101" s="7">
        <v>0</v>
      </c>
      <c r="K101" s="98" t="str">
        <f t="shared" si="71"/>
        <v>4039/4040</v>
      </c>
      <c r="L101" s="21" t="str">
        <f>VLOOKUP(A101,'Trips&amp;Operators'!$C$1:$G$99999,5,FALSE)</f>
        <v>DE LA ROSA ALEX</v>
      </c>
      <c r="M101" s="6">
        <f t="shared" si="72"/>
        <v>3.1481481484661344E-2</v>
      </c>
      <c r="N101" s="7">
        <f t="shared" ref="N101:P133" si="87">24*60*SUM($M101:$M101)</f>
        <v>45.333333337912336</v>
      </c>
      <c r="O101" s="7"/>
      <c r="P101" s="7"/>
      <c r="Q101" s="22"/>
      <c r="R101" s="22"/>
      <c r="S101" s="31">
        <f t="shared" ref="S101:S133" si="88">SUM(U101:U101)/IF(AG101="EC",12,1)</f>
        <v>1</v>
      </c>
      <c r="T101" s="46" t="str">
        <f t="shared" si="73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81"/>
        <v>https://d0f6bd738d7f1b3e5a7ca70fe4ff75f0.us-east-1.aws.found.io/app/kibana#/discover/Steve-Slow-Train-Analysis-(2080s-and-2083s)?_g=(refreshInterval:(display:Off,pause:!f,section:0,value:0),time:(from:'2017-03-15T14:19:35-0600',mode:absolute,to:'2017-03-15T17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87" t="str">
        <f t="shared" si="74"/>
        <v>N</v>
      </c>
      <c r="X101" s="187">
        <f t="shared" si="80"/>
        <v>1</v>
      </c>
      <c r="Y101" s="62">
        <f t="shared" si="75"/>
        <v>23.298300000000001</v>
      </c>
      <c r="Z101" s="62">
        <f t="shared" si="76"/>
        <v>1.52E-2</v>
      </c>
      <c r="AA101" s="62">
        <f t="shared" si="77"/>
        <v>23.283100000000001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78"/>
        <v>0188-15</v>
      </c>
      <c r="AE101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01" s="82" t="str">
        <f t="shared" si="83"/>
        <v>"C:\Program Files (x86)\AstroGrep\AstroGrep.exe" /e /r /s /spath="%USERPROFILE%\AppData\Local\Temp\OnboardLogs" /stypes="app*4039*20170315*" /stext=" 22:.+((SYSTEM_STATE.+slice.+state.+changed )|(ment ac)|(multiple cpu faults)|(system.+state.+changed )|(\[timeout)|(PRM\|1\|D)|(kpr)|(kdp)|(\|lc)|(penalty))"</v>
      </c>
      <c r="AG101" s="1" t="str">
        <f t="shared" si="79"/>
        <v>EC</v>
      </c>
      <c r="AH101" s="86" t="str">
        <f t="shared" si="84"/>
        <v>"%USERPROFILE%\Documents\GitHub\eaglep3\Utilities\RefineRTDCRunTimes.py" --tripid 188-15 --locoid 4039 --swversion DE.1.0.9.0 --startMP 204:232983 --initTime 2017-03-15T15:19:35 --startdatetime 2017-03-15T15:26:20 --delay 1 --endMP 204:152 --enddatetime 2017-03-15T16:11:40 --enforcementcount 0 &gt;&gt;C:\Users\stu\Documents\GitHub\eaglep3-reporting\EC\2017-03-15-refined-times.txt</v>
      </c>
      <c r="AI10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ID","value":"188-15"},{"id":16,"name":"Locomotive ID","value":"4039"},{"id":130,"name":"Impact","value":""},{"id":150,"name":"Time of Event (Mountain Time)","value":"16:11:40"},{"id":151,"name":"Denver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6"/>
        <v>start /low /b %USERPROFILE%\Documents\GitHub\eaglep3\Utilities\DownloadLogsFromS3.py --loco 4039 --day 2017-03-15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738</v>
      </c>
      <c r="B102" s="7">
        <v>4020</v>
      </c>
      <c r="C102" s="21" t="s">
        <v>230</v>
      </c>
      <c r="D102" s="21" t="s">
        <v>220</v>
      </c>
      <c r="E102" s="13">
        <v>42809.608182870368</v>
      </c>
      <c r="F102" s="13">
        <v>42809.615219907406</v>
      </c>
      <c r="G102" s="7">
        <v>1</v>
      </c>
      <c r="H102" s="21" t="s">
        <v>241</v>
      </c>
      <c r="I102" s="13">
        <v>42809.640798611108</v>
      </c>
      <c r="J102" s="7">
        <v>0</v>
      </c>
      <c r="K102" s="98" t="str">
        <f t="shared" si="71"/>
        <v>4019/4020</v>
      </c>
      <c r="L102" s="21" t="str">
        <f>VLOOKUP(A102,'Trips&amp;Operators'!$C$1:$G$99999,5,FALSE)</f>
        <v>MAYBERRY BILL</v>
      </c>
      <c r="M102" s="6">
        <f t="shared" si="72"/>
        <v>2.5578703702194616E-2</v>
      </c>
      <c r="N102" s="7">
        <f t="shared" si="87"/>
        <v>36.833333331160247</v>
      </c>
      <c r="O102" s="7"/>
      <c r="P102" s="7"/>
      <c r="Q102" s="22"/>
      <c r="R102" s="22"/>
      <c r="S102" s="31">
        <f t="shared" si="88"/>
        <v>1</v>
      </c>
      <c r="T102" s="46" t="str">
        <f t="shared" si="73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81"/>
        <v>https://d0f6bd738d7f1b3e5a7ca70fe4ff75f0.us-east-1.aws.found.io/app/kibana#/discover/Steve-Slow-Train-Analysis-(2080s-and-2083s)?_g=(refreshInterval:(display:Off,pause:!f,section:0,value:0),time:(from:'2017-03-15T13:35:47-0600',mode:absolute,to:'2017-03-15T16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87" t="str">
        <f t="shared" si="74"/>
        <v>N</v>
      </c>
      <c r="X102" s="187">
        <f t="shared" si="80"/>
        <v>1</v>
      </c>
      <c r="Y102" s="62">
        <f t="shared" si="75"/>
        <v>4.3999999999999997E-2</v>
      </c>
      <c r="Z102" s="62">
        <f t="shared" si="76"/>
        <v>23.329499999999999</v>
      </c>
      <c r="AA102" s="62">
        <f t="shared" si="77"/>
        <v>23.285499999999999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78"/>
        <v>0189-15</v>
      </c>
      <c r="AE102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02" s="82" t="str">
        <f t="shared" si="83"/>
        <v>"C:\Program Files (x86)\AstroGrep\AstroGrep.exe" /e /r /s /spath="%USERPROFILE%\AppData\Local\Temp\OnboardLogs" /stypes="app*4020*20170315*" /stext=" 21:.+((SYSTEM_STATE.+slice.+state.+changed )|(ment ac)|(multiple cpu faults)|(system.+state.+changed )|(\[timeout)|(PRM\|1\|D)|(kpr)|(kdp)|(\|lc)|(penalty))"</v>
      </c>
      <c r="AG102" s="1" t="str">
        <f t="shared" si="79"/>
        <v>EC</v>
      </c>
      <c r="AH102" s="86" t="str">
        <f t="shared" si="84"/>
        <v>"%USERPROFILE%\Documents\GitHub\eaglep3\Utilities\RefineRTDCRunTimes.py" --tripid 189-15 --locoid 4020 --swversion DE.1.0.9.0 --startMP 204:440 --initTime 2017-03-15T14:35:47 --startdatetime 2017-03-15T14:45:55 --delay 1 --endMP 204:233295 --enddatetime 2017-03-15T15:22:45 --enforcementcount 0 &gt;&gt;C:\Users\stu\Documents\GitHub\eaglep3-reporting\EC\2017-03-15-refined-times.txt</v>
      </c>
      <c r="AI10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ID","value":"189-15"},{"id":16,"name":"Locomotive ID","value":"4020"},{"id":130,"name":"Impact","value":""},{"id":150,"name":"Time of Event (Mountain Time)","value":"15:22:45"},{"id":151,"name":"Denver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6"/>
        <v>start /low /b %USERPROFILE%\Documents\GitHub\eaglep3\Utilities\DownloadLogsFromS3.py --loco 4020 --day 2017-03-15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611</v>
      </c>
      <c r="B103" s="7">
        <v>4019</v>
      </c>
      <c r="C103" s="21" t="s">
        <v>230</v>
      </c>
      <c r="D103" s="21" t="s">
        <v>840</v>
      </c>
      <c r="E103" s="13">
        <v>42809.644675925927</v>
      </c>
      <c r="F103" s="13">
        <v>42809.653773148151</v>
      </c>
      <c r="G103" s="7">
        <v>1</v>
      </c>
      <c r="H103" s="21" t="s">
        <v>537</v>
      </c>
      <c r="I103" s="13">
        <v>42809.685810185183</v>
      </c>
      <c r="J103" s="7">
        <v>0</v>
      </c>
      <c r="K103" s="98" t="str">
        <f t="shared" si="71"/>
        <v>4019/4020</v>
      </c>
      <c r="L103" s="21" t="str">
        <f>VLOOKUP(A103,'Trips&amp;Operators'!$C$1:$G$99999,5,FALSE)</f>
        <v>MAYBERRY BILL</v>
      </c>
      <c r="M103" s="6">
        <f t="shared" si="72"/>
        <v>3.2037037031841464E-2</v>
      </c>
      <c r="N103" s="7">
        <f t="shared" si="87"/>
        <v>46.133333325851709</v>
      </c>
      <c r="O103" s="7"/>
      <c r="P103" s="7"/>
      <c r="Q103" s="22"/>
      <c r="R103" s="22"/>
      <c r="S103" s="31">
        <f t="shared" si="88"/>
        <v>1</v>
      </c>
      <c r="T103" s="46" t="str">
        <f t="shared" si="73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81"/>
        <v>https://d0f6bd738d7f1b3e5a7ca70fe4ff75f0.us-east-1.aws.found.io/app/kibana#/discover/Steve-Slow-Train-Analysis-(2080s-and-2083s)?_g=(refreshInterval:(display:Off,pause:!f,section:0,value:0),time:(from:'2017-03-15T14:28:20-0600',mode:absolute,to:'2017-03-15T17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87" t="str">
        <f t="shared" si="74"/>
        <v>N</v>
      </c>
      <c r="X103" s="187">
        <f t="shared" si="80"/>
        <v>1</v>
      </c>
      <c r="Y103" s="62">
        <f t="shared" si="75"/>
        <v>23.2986</v>
      </c>
      <c r="Z103" s="62">
        <f t="shared" si="76"/>
        <v>1.4500000000000001E-2</v>
      </c>
      <c r="AA103" s="62">
        <f t="shared" si="77"/>
        <v>23.284099999999999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78"/>
        <v>0190-15</v>
      </c>
      <c r="AE103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03" s="82" t="str">
        <f t="shared" si="83"/>
        <v>"C:\Program Files (x86)\AstroGrep\AstroGrep.exe" /e /r /s /spath="%USERPROFILE%\AppData\Local\Temp\OnboardLogs" /stypes="app*4019*20170315*" /stext=" 22:.+((SYSTEM_STATE.+slice.+state.+changed )|(ment ac)|(multiple cpu faults)|(system.+state.+changed )|(\[timeout)|(PRM\|1\|D)|(kpr)|(kdp)|(\|lc)|(penalty))"</v>
      </c>
      <c r="AG103" s="1" t="str">
        <f t="shared" si="79"/>
        <v>EC</v>
      </c>
      <c r="AH103" s="86" t="str">
        <f t="shared" si="84"/>
        <v>"%USERPROFILE%\Documents\GitHub\eaglep3\Utilities\RefineRTDCRunTimes.py" --tripid 190-15 --locoid 4019 --swversion DE.1.0.9.0 --startMP 204:232986 --initTime 2017-03-15T15:28:20 --startdatetime 2017-03-15T15:41:26 --delay 1 --endMP 204:145 --enddatetime 2017-03-15T16:27:34 --enforcementcount 0 &gt;&gt;C:\Users\stu\Documents\GitHub\eaglep3-reporting\EC\2017-03-15-refined-times.txt</v>
      </c>
      <c r="AI10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ID","value":"190-15"},{"id":16,"name":"Locomotive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6"/>
        <v>start /low /b %USERPROFILE%\Documents\GitHub\eaglep3\Utilities\DownloadLogsFromS3.py --loco 4019 --day 2017-03-15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741</v>
      </c>
      <c r="B104" s="7">
        <v>4053</v>
      </c>
      <c r="C104" s="21" t="s">
        <v>230</v>
      </c>
      <c r="D104" s="21" t="s">
        <v>209</v>
      </c>
      <c r="E104" s="13">
        <v>42809.634050925924</v>
      </c>
      <c r="F104" s="13">
        <v>42809.635844907411</v>
      </c>
      <c r="G104" s="7">
        <v>1</v>
      </c>
      <c r="H104" s="21" t="s">
        <v>889</v>
      </c>
      <c r="I104" s="13">
        <v>42809.663460648146</v>
      </c>
      <c r="J104" s="7">
        <v>0</v>
      </c>
      <c r="K104" s="98" t="str">
        <f t="shared" si="71"/>
        <v>4053/4054</v>
      </c>
      <c r="L104" s="21" t="str">
        <f>VLOOKUP(A104,'Trips&amp;Operators'!$C$1:$G$99999,5,FALSE)</f>
        <v>DAVIS MICHAEL</v>
      </c>
      <c r="M104" s="6">
        <f t="shared" si="72"/>
        <v>2.7615740735200234E-2</v>
      </c>
      <c r="N104" s="7">
        <f t="shared" si="87"/>
        <v>39.766666658688337</v>
      </c>
      <c r="O104" s="7"/>
      <c r="P104" s="7"/>
      <c r="Q104" s="22"/>
      <c r="R104" s="22"/>
      <c r="S104" s="31">
        <f t="shared" si="88"/>
        <v>1</v>
      </c>
      <c r="T104" s="46" t="str">
        <f t="shared" si="73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81"/>
        <v>https://d0f6bd738d7f1b3e5a7ca70fe4ff75f0.us-east-1.aws.found.io/app/kibana#/discover/Steve-Slow-Train-Analysis-(2080s-and-2083s)?_g=(refreshInterval:(display:Off,pause:!f,section:0,value:0),time:(from:'2017-03-15T14:13:02-0600',mode:absolute,to:'2017-03-15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87" t="str">
        <f t="shared" si="74"/>
        <v>N</v>
      </c>
      <c r="X104" s="187">
        <f t="shared" si="80"/>
        <v>1</v>
      </c>
      <c r="Y104" s="62">
        <f t="shared" si="75"/>
        <v>4.5100000000000001E-2</v>
      </c>
      <c r="Z104" s="62">
        <f t="shared" si="76"/>
        <v>23.333100000000002</v>
      </c>
      <c r="AA104" s="62">
        <f t="shared" si="77"/>
        <v>23.288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78"/>
        <v>0191-15</v>
      </c>
      <c r="AE104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04" s="82" t="str">
        <f t="shared" si="83"/>
        <v>"C:\Program Files (x86)\AstroGrep\AstroGrep.exe" /e /r /s /spath="%USERPROFILE%\AppData\Local\Temp\OnboardLogs" /stypes="app*4053*20170315*" /stext=" 21:.+((SYSTEM_STATE.+slice.+state.+changed )|(ment ac)|(multiple cpu faults)|(system.+state.+changed )|(\[timeout)|(PRM\|1\|D)|(kpr)|(kdp)|(\|lc)|(penalty))"</v>
      </c>
      <c r="AG104" s="1" t="str">
        <f t="shared" si="79"/>
        <v>EC</v>
      </c>
      <c r="AH104" s="86" t="str">
        <f t="shared" si="84"/>
        <v>"%USERPROFILE%\Documents\GitHub\eaglep3\Utilities\RefineRTDCRunTimes.py" --tripid 191-15 --locoid 4053 --swversion DE.1.0.9.0 --startMP 204:451 --initTime 2017-03-15T15:13:02 --startdatetime 2017-03-15T15:15:37 --delay 1 --endMP 204:233331 --enddatetime 2017-03-15T15:55:23 --enforcementcount 0 &gt;&gt;C:\Users\stu\Documents\GitHub\eaglep3-reporting\EC\2017-03-15-refined-times.txt</v>
      </c>
      <c r="AI10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{"issue":{"subject":"","project_id":79,"tracker_id":40,"status_id":1,"priority_id":2,"assigned_to_id":23,"start_date":"2017-03-15","description":"","custom_fields":[{"id":1,"name":"Subdivision","value":"EC"},{"id":4,"name":"Milepost","value":"23.3331"},{"id":17,"name":"Train ID","value":"191-15"},{"id":16,"name":"Locomotive ID","value":"4053"},{"id":130,"name":"Impact","value":""},{"id":150,"name":"Time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6"/>
        <v>start /low /b %USERPROFILE%\Documents\GitHub\eaglep3\Utilities\DownloadLogsFromS3.py --loco 4053 --day 2017-03-15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608</v>
      </c>
      <c r="B105" s="7">
        <v>4054</v>
      </c>
      <c r="C105" s="21" t="s">
        <v>230</v>
      </c>
      <c r="D105" s="21" t="s">
        <v>890</v>
      </c>
      <c r="E105" s="13">
        <v>42809.665208333332</v>
      </c>
      <c r="F105" s="13">
        <v>42809.667395833334</v>
      </c>
      <c r="G105" s="7">
        <v>1</v>
      </c>
      <c r="H105" s="21" t="s">
        <v>850</v>
      </c>
      <c r="I105" s="13">
        <v>42809.697569444441</v>
      </c>
      <c r="J105" s="7">
        <v>0</v>
      </c>
      <c r="K105" s="98" t="str">
        <f t="shared" si="71"/>
        <v>4053/4054</v>
      </c>
      <c r="L105" s="21" t="str">
        <f>VLOOKUP(A105,'Trips&amp;Operators'!$C$1:$G$99999,5,FALSE)</f>
        <v>DAVIS MICHAEL</v>
      </c>
      <c r="M105" s="6">
        <f t="shared" si="72"/>
        <v>3.0173611106874887E-2</v>
      </c>
      <c r="N105" s="7">
        <f t="shared" si="87"/>
        <v>43.449999993899837</v>
      </c>
      <c r="O105" s="7"/>
      <c r="P105" s="7"/>
      <c r="Q105" s="22"/>
      <c r="R105" s="22"/>
      <c r="S105" s="31">
        <f t="shared" si="88"/>
        <v>1</v>
      </c>
      <c r="T105" s="46" t="str">
        <f t="shared" si="73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81"/>
        <v>https://d0f6bd738d7f1b3e5a7ca70fe4ff75f0.us-east-1.aws.found.io/app/kibana#/discover/Steve-Slow-Train-Analysis-(2080s-and-2083s)?_g=(refreshInterval:(display:Off,pause:!f,section:0,value:0),time:(from:'2017-03-15T14:57:54-0600',mode:absolute,to:'2017-03-15T17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187" t="str">
        <f t="shared" si="74"/>
        <v>N</v>
      </c>
      <c r="X105" s="187">
        <f t="shared" si="80"/>
        <v>1</v>
      </c>
      <c r="Y105" s="62">
        <f t="shared" si="75"/>
        <v>23.301300000000001</v>
      </c>
      <c r="Z105" s="62">
        <f t="shared" si="76"/>
        <v>1.34E-2</v>
      </c>
      <c r="AA105" s="62">
        <f t="shared" si="77"/>
        <v>23.2879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78"/>
        <v>0192-15</v>
      </c>
      <c r="AE105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05" s="82" t="str">
        <f t="shared" si="83"/>
        <v>"C:\Program Files (x86)\AstroGrep\AstroGrep.exe" /e /r /s /spath="%USERPROFILE%\AppData\Local\Temp\OnboardLogs" /stypes="app*4054*20170315*" /stext=" 22:.+((SYSTEM_STATE.+slice.+state.+changed )|(ment ac)|(multiple cpu faults)|(system.+state.+changed )|(\[timeout)|(PRM\|1\|D)|(kpr)|(kdp)|(\|lc)|(penalty))"</v>
      </c>
      <c r="AG105" s="1" t="str">
        <f t="shared" si="79"/>
        <v>EC</v>
      </c>
      <c r="AH105" s="86" t="str">
        <f t="shared" si="84"/>
        <v>"%USERPROFILE%\Documents\GitHub\eaglep3\Utilities\RefineRTDCRunTimes.py" --tripid 192-15 --locoid 4054 --swversion DE.1.0.9.0 --startMP 204:233013 --initTime 2017-03-15T15:57:54 --startdatetime 2017-03-15T16:01:03 --delay 1 --endMP 204:134 --enddatetime 2017-03-15T16:44:30 --enforcementcount 0 &gt;&gt;C:\Users\stu\Documents\GitHub\eaglep3-reporting\EC\2017-03-15-refined-times.txt</v>
      </c>
      <c r="AI10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{"issue":{"subject":"","project_id":79,"tracker_id":40,"status_id":1,"priority_id":2,"assigned_to_id":23,"start_date":"2017-03-15","description":"","custom_fields":[{"id":1,"name":"Subdivision","value":"EC"},{"id":4,"name":"Milepost","value":"0.0134"},{"id":17,"name":"Train ID","value":"192-15"},{"id":16,"name":"Locomotive ID","value":"4054"},{"id":130,"name":"Impact","value":""},{"id":150,"name":"Time of Event (Mountain Time)","value":"16:44:30"},{"id":151,"name":"Denver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6"/>
        <v>start /low /b %USERPROFILE%\Documents\GitHub\eaglep3\Utilities\DownloadLogsFromS3.py --loco 4054 --day 2017-03-15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607</v>
      </c>
      <c r="B106" s="7">
        <v>4025</v>
      </c>
      <c r="C106" s="21" t="s">
        <v>230</v>
      </c>
      <c r="D106" s="21" t="s">
        <v>429</v>
      </c>
      <c r="E106" s="13">
        <v>42809.634340277778</v>
      </c>
      <c r="F106" s="13">
        <v>42809.639409722222</v>
      </c>
      <c r="G106" s="7">
        <v>1</v>
      </c>
      <c r="H106" s="21" t="s">
        <v>891</v>
      </c>
      <c r="I106" s="13">
        <v>42809.666192129633</v>
      </c>
      <c r="J106" s="7">
        <v>0</v>
      </c>
      <c r="K106" s="98" t="str">
        <f t="shared" si="71"/>
        <v>4025/4026</v>
      </c>
      <c r="L106" s="21" t="str">
        <f>VLOOKUP(A106,'Trips&amp;Operators'!$C$1:$G$99999,5,FALSE)</f>
        <v>LEVERE CRAIG</v>
      </c>
      <c r="M106" s="6">
        <f t="shared" si="72"/>
        <v>2.6782407410792075E-2</v>
      </c>
      <c r="N106" s="7">
        <f t="shared" si="87"/>
        <v>38.566666671540588</v>
      </c>
      <c r="O106" s="7"/>
      <c r="P106" s="7"/>
      <c r="Q106" s="22"/>
      <c r="R106" s="22"/>
      <c r="S106" s="31">
        <f t="shared" si="88"/>
        <v>1</v>
      </c>
      <c r="T106" s="46" t="str">
        <f t="shared" si="73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81"/>
        <v>https://d0f6bd738d7f1b3e5a7ca70fe4ff75f0.us-east-1.aws.found.io/app/kibana#/discover/Steve-Slow-Train-Analysis-(2080s-and-2083s)?_g=(refreshInterval:(display:Off,pause:!f,section:0,value:0),time:(from:'2017-03-15T14:13:27-0600',mode:absolute,to:'2017-03-15T16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87" t="str">
        <f t="shared" si="74"/>
        <v>N</v>
      </c>
      <c r="X106" s="187">
        <f t="shared" si="80"/>
        <v>1</v>
      </c>
      <c r="Y106" s="62">
        <f t="shared" si="75"/>
        <v>4.6399999999999997E-2</v>
      </c>
      <c r="Z106" s="62">
        <f t="shared" si="76"/>
        <v>23.327999999999999</v>
      </c>
      <c r="AA106" s="62">
        <f t="shared" si="77"/>
        <v>23.281600000000001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78"/>
        <v>0193-15</v>
      </c>
      <c r="AE106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06" s="82" t="str">
        <f t="shared" si="83"/>
        <v>"C:\Program Files (x86)\AstroGrep\AstroGrep.exe" /e /r /s /spath="%USERPROFILE%\AppData\Local\Temp\OnboardLogs" /stypes="app*4025*20170315*" /stext=" 21:.+((SYSTEM_STATE.+slice.+state.+changed )|(ment ac)|(multiple cpu faults)|(system.+state.+changed )|(\[timeout)|(PRM\|1\|D)|(kpr)|(kdp)|(\|lc)|(penalty))"</v>
      </c>
      <c r="AG106" s="1" t="str">
        <f t="shared" si="79"/>
        <v>EC</v>
      </c>
      <c r="AH106" s="86" t="str">
        <f t="shared" si="84"/>
        <v>"%USERPROFILE%\Documents\GitHub\eaglep3\Utilities\RefineRTDCRunTimes.py" --tripid 193-15 --locoid 4025 --swversion DE.1.0.9.0 --startMP 204:464 --initTime 2017-03-15T15:13:27 --startdatetime 2017-03-15T15:20:45 --delay 1 --endMP 204:233280 --enddatetime 2017-03-15T15:59:19 --enforcementcount 0 &gt;&gt;C:\Users\stu\Documents\GitHub\eaglep3-reporting\EC\2017-03-15-refined-times.txt</v>
      </c>
      <c r="AI10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{"issue":{"subject":"","project_id":79,"tracker_id":40,"status_id":1,"priority_id":2,"assigned_to_id":23,"start_date":"2017-03-15","description":"","custom_fields":[{"id":1,"name":"Subdivision","value":"EC"},{"id":4,"name":"Milepost","value":"23.328"},{"id":17,"name":"Train ID","value":"193-15"},{"id":16,"name":"Locomotive ID","value":"4025"},{"id":130,"name":"Impact","value":""},{"id":150,"name":"Time of Event (Mountain Time)","value":"15:59:19"},{"id":151,"name":"Denver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6"/>
        <v>start /low /b %USERPROFILE%\Documents\GitHub\eaglep3\Utilities\DownloadLogsFromS3.py --loco 4025 --day 2017-03-15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747</v>
      </c>
      <c r="B107" s="7">
        <v>4026</v>
      </c>
      <c r="C107" s="21" t="s">
        <v>230</v>
      </c>
      <c r="D107" s="21" t="s">
        <v>534</v>
      </c>
      <c r="E107" s="13">
        <v>42809.670937499999</v>
      </c>
      <c r="F107" s="13">
        <v>42809.674502314818</v>
      </c>
      <c r="G107" s="7">
        <v>1</v>
      </c>
      <c r="H107" s="21" t="s">
        <v>219</v>
      </c>
      <c r="I107" s="13">
        <v>42809.703703703701</v>
      </c>
      <c r="J107" s="7">
        <v>0</v>
      </c>
      <c r="K107" s="98" t="str">
        <f t="shared" ref="K107:K139" si="89">IF(ISEVEN(B107),(B107-1)&amp;"/"&amp;B107,B107&amp;"/"&amp;(B107+1))</f>
        <v>4025/4026</v>
      </c>
      <c r="L107" s="21" t="str">
        <f>VLOOKUP(A107,'Trips&amp;Operators'!$C$1:$G$99999,5,FALSE)</f>
        <v>LEVERE CRAIG</v>
      </c>
      <c r="M107" s="6">
        <f t="shared" ref="M107:M139" si="90">I107-F107</f>
        <v>2.9201388882938772E-2</v>
      </c>
      <c r="N107" s="7">
        <f t="shared" si="87"/>
        <v>42.049999991431832</v>
      </c>
      <c r="O107" s="7"/>
      <c r="P107" s="7"/>
      <c r="Q107" s="22"/>
      <c r="R107" s="22"/>
      <c r="S107" s="31">
        <f t="shared" si="88"/>
        <v>1</v>
      </c>
      <c r="T107" s="46" t="str">
        <f t="shared" ref="T107:T139" si="91">IF(ISEVEN(LEFT(AD107,4)),"Southbound","NorthBound")</f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81"/>
        <v>https://d0f6bd738d7f1b3e5a7ca70fe4ff75f0.us-east-1.aws.found.io/app/kibana#/discover/Steve-Slow-Train-Analysis-(2080s-and-2083s)?_g=(refreshInterval:(display:Off,pause:!f,section:0,value:0),time:(from:'2017-03-15T15:06:09-0600',mode:absolute,to:'2017-03-15T17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87" t="str">
        <f t="shared" ref="W107:W139" si="92">IF(AA107&lt;IF(AG107="EC",23,5.65),"Y","N")</f>
        <v>N</v>
      </c>
      <c r="X107" s="187">
        <f t="shared" si="80"/>
        <v>1</v>
      </c>
      <c r="Y107" s="62">
        <f t="shared" ref="Y107:Y139" si="93">RIGHT(D107,LEN(D107)-4)/10000</f>
        <v>23.2957</v>
      </c>
      <c r="Z107" s="62">
        <f t="shared" ref="Z107:Z139" si="94">RIGHT(H107,LEN(H107)-4)/10000</f>
        <v>1.41E-2</v>
      </c>
      <c r="AA107" s="62">
        <f t="shared" ref="AA107:AA139" si="95">ABS(Z107-Y107)</f>
        <v>23.281600000000001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ref="AD107:AD139" si="96">IF(LEN(A107)=6,"0"&amp;A107,A107)</f>
        <v>0194-15</v>
      </c>
      <c r="AE107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107" s="82" t="str">
        <f t="shared" si="83"/>
        <v>"C:\Program Files (x86)\AstroGrep\AstroGrep.exe" /e /r /s /spath="%USERPROFILE%\AppData\Local\Temp\OnboardLogs" /stypes="app*4026*20170315*" /stext=" 22:.+((SYSTEM_STATE.+slice.+state.+changed )|(ment ac)|(multiple cpu faults)|(system.+state.+changed )|(\[timeout)|(PRM\|1\|D)|(kpr)|(kdp)|(\|lc)|(penalty))"</v>
      </c>
      <c r="AG107" s="1" t="str">
        <f t="shared" ref="AG107:AG139" si="97">IFERROR(IF(VALUE(LEFT(AD107,2))&lt;=2,"EC",IF(OR(VALUE(LEFT(AD107,2))=8,VALUE(LEFT(AD107,2))=18),"NW","Other")),"Other")</f>
        <v>EC</v>
      </c>
      <c r="AH107" s="86" t="str">
        <f t="shared" si="84"/>
        <v>"%USERPROFILE%\Documents\GitHub\eaglep3\Utilities\RefineRTDCRunTimes.py" --tripid 194-15 --locoid 4026 --swversion DE.1.0.9.0 --startMP 204:232957 --initTime 2017-03-15T16:06:09 --startdatetime 2017-03-15T16:11:17 --delay 1 --endMP 204:141 --enddatetime 2017-03-15T16:53:20 --enforcementcount 0 &gt;&gt;C:\Users\stu\Documents\GitHub\eaglep3-reporting\EC\2017-03-15-refined-times.txt</v>
      </c>
      <c r="AI10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{"issue":{"subject":"","project_id":79,"tracker_id":40,"status_id":1,"priority_id":2,"assigned_to_id":23,"start_date":"2017-03-15","description":"","custom_fields":[{"id":1,"name":"Subdivision","value":"EC"},{"id":4,"name":"Milepost","value":"0.0141"},{"id":17,"name":"Train ID","value":"194-15"},{"id":16,"name":"Locomotive ID","value":"4026"},{"id":130,"name":"Impact","value":""},{"id":150,"name":"Time of Event (Mountain Time)","value":"16:53:20"},{"id":151,"name":"Denver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6"/>
        <v>start /low /b %USERPROFILE%\Documents\GitHub\eaglep3\Utilities\DownloadLogsFromS3.py --loco 4026 --day 2017-03-15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744</v>
      </c>
      <c r="B108" s="7">
        <v>4011</v>
      </c>
      <c r="C108" s="21" t="s">
        <v>230</v>
      </c>
      <c r="D108" s="21" t="s">
        <v>214</v>
      </c>
      <c r="E108" s="13">
        <v>42809.645694444444</v>
      </c>
      <c r="F108" s="13">
        <v>42809.646898148145</v>
      </c>
      <c r="G108" s="7">
        <v>1</v>
      </c>
      <c r="H108" s="21" t="s">
        <v>236</v>
      </c>
      <c r="I108" s="13">
        <v>42809.673888888887</v>
      </c>
      <c r="J108" s="7">
        <v>0</v>
      </c>
      <c r="K108" s="98" t="str">
        <f t="shared" si="89"/>
        <v>4011/4012</v>
      </c>
      <c r="L108" s="21" t="str">
        <f>VLOOKUP(A108,'Trips&amp;Operators'!$C$1:$G$99999,5,FALSE)</f>
        <v>MOSES BRADLEY</v>
      </c>
      <c r="M108" s="6">
        <f t="shared" si="90"/>
        <v>2.6990740741894115E-2</v>
      </c>
      <c r="N108" s="7">
        <f t="shared" si="87"/>
        <v>38.866666668327525</v>
      </c>
      <c r="O108" s="7"/>
      <c r="P108" s="7"/>
      <c r="Q108" s="22"/>
      <c r="R108" s="22"/>
      <c r="S108" s="31">
        <f t="shared" si="88"/>
        <v>1</v>
      </c>
      <c r="T108" s="46" t="str">
        <f t="shared" si="91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81"/>
        <v>https://d0f6bd738d7f1b3e5a7ca70fe4ff75f0.us-east-1.aws.found.io/app/kibana#/discover/Steve-Slow-Train-Analysis-(2080s-and-2083s)?_g=(refreshInterval:(display:Off,pause:!f,section:0,value:0),time:(from:'2017-03-15T14:29:48-0600',mode:absolute,to:'2017-03-15T17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87" t="str">
        <f t="shared" si="92"/>
        <v>N</v>
      </c>
      <c r="X108" s="187">
        <f t="shared" ref="X108:X140" si="98">VALUE(LEFT(AD108,4))-VALUE(LEFT(AD107,4))</f>
        <v>1</v>
      </c>
      <c r="Y108" s="62">
        <f t="shared" si="93"/>
        <v>4.53E-2</v>
      </c>
      <c r="Z108" s="62">
        <f t="shared" si="94"/>
        <v>23.331199999999999</v>
      </c>
      <c r="AA108" s="62">
        <f t="shared" si="95"/>
        <v>23.285899999999998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96"/>
        <v>0195-15</v>
      </c>
      <c r="AE108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08" s="82" t="str">
        <f t="shared" si="83"/>
        <v>"C:\Program Files (x86)\AstroGrep\AstroGrep.exe" /e /r /s /spath="%USERPROFILE%\AppData\Local\Temp\OnboardLogs" /stypes="app*4011*20170315*" /stext=" 22:.+((SYSTEM_STATE.+slice.+state.+changed )|(ment ac)|(multiple cpu faults)|(system.+state.+changed )|(\[timeout)|(PRM\|1\|D)|(kpr)|(kdp)|(\|lc)|(penalty))"</v>
      </c>
      <c r="AG108" s="1" t="str">
        <f t="shared" si="97"/>
        <v>EC</v>
      </c>
      <c r="AH108" s="86" t="str">
        <f t="shared" si="84"/>
        <v>"%USERPROFILE%\Documents\GitHub\eaglep3\Utilities\RefineRTDCRunTimes.py" --tripid 195-15 --locoid 4011 --swversion DE.1.0.9.0 --startMP 204:453 --initTime 2017-03-15T15:29:48 --startdatetime 2017-03-15T15:31:32 --delay 1 --endMP 204:233312 --enddatetime 2017-03-15T16:10:24 --enforcementcount 0 &gt;&gt;C:\Users\stu\Documents\GitHub\eaglep3-reporting\EC\2017-03-15-refined-times.txt</v>
      </c>
      <c r="AI10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ID","value":"195-15"},{"id":16,"name":"Locomotive ID","value":"4011"},{"id":130,"name":"Impact","value":""},{"id":150,"name":"Time of Event (Mountain Time)","value":"16:10:24"},{"id":151,"name":"Denver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6"/>
        <v>start /low /b %USERPROFILE%\Documents\GitHub\eaglep3\Utilities\DownloadLogsFromS3.py --loco 4011 --day 2017-03-15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613</v>
      </c>
      <c r="B109" s="7">
        <v>4012</v>
      </c>
      <c r="C109" s="21" t="s">
        <v>230</v>
      </c>
      <c r="D109" s="21" t="s">
        <v>397</v>
      </c>
      <c r="E109" s="13">
        <v>42809.681597222225</v>
      </c>
      <c r="F109" s="13">
        <v>42809.684976851851</v>
      </c>
      <c r="G109" s="7">
        <v>1</v>
      </c>
      <c r="H109" s="21" t="s">
        <v>892</v>
      </c>
      <c r="I109" s="13">
        <v>42809.713275462964</v>
      </c>
      <c r="J109" s="7">
        <v>0</v>
      </c>
      <c r="K109" s="98" t="str">
        <f t="shared" si="89"/>
        <v>4011/4012</v>
      </c>
      <c r="L109" s="21" t="str">
        <f>VLOOKUP(A109,'Trips&amp;Operators'!$C$1:$G$99999,5,FALSE)</f>
        <v>MOSES BRADLEY</v>
      </c>
      <c r="M109" s="6">
        <f t="shared" si="90"/>
        <v>2.8298611112404615E-2</v>
      </c>
      <c r="N109" s="7">
        <f t="shared" si="87"/>
        <v>40.750000001862645</v>
      </c>
      <c r="O109" s="7"/>
      <c r="P109" s="7"/>
      <c r="Q109" s="22"/>
      <c r="R109" s="22"/>
      <c r="S109" s="31">
        <f t="shared" si="88"/>
        <v>1</v>
      </c>
      <c r="T109" s="46" t="str">
        <f t="shared" si="91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81"/>
        <v>https://d0f6bd738d7f1b3e5a7ca70fe4ff75f0.us-east-1.aws.found.io/app/kibana#/discover/Steve-Slow-Train-Analysis-(2080s-and-2083s)?_g=(refreshInterval:(display:Off,pause:!f,section:0,value:0),time:(from:'2017-03-15T15:21:30-0600',mode:absolute,to:'2017-03-15T18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187" t="str">
        <f t="shared" si="92"/>
        <v>N</v>
      </c>
      <c r="X109" s="187">
        <f t="shared" si="98"/>
        <v>1</v>
      </c>
      <c r="Y109" s="62">
        <f t="shared" si="93"/>
        <v>23.298100000000002</v>
      </c>
      <c r="Z109" s="62">
        <f t="shared" si="94"/>
        <v>2.01E-2</v>
      </c>
      <c r="AA109" s="62">
        <f t="shared" si="95"/>
        <v>23.278000000000002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96"/>
        <v>0196-15</v>
      </c>
      <c r="AE109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09" s="82" t="str">
        <f t="shared" si="83"/>
        <v>"C:\Program Files (x86)\AstroGrep\AstroGrep.exe" /e /r /s /spath="%USERPROFILE%\AppData\Local\Temp\OnboardLogs" /stypes="app*4012*20170315*" /stext=" 23:.+((SYSTEM_STATE.+slice.+state.+changed )|(ment ac)|(multiple cpu faults)|(system.+state.+changed )|(\[timeout)|(PRM\|1\|D)|(kpr)|(kdp)|(\|lc)|(penalty))"</v>
      </c>
      <c r="AG109" s="1" t="str">
        <f t="shared" si="97"/>
        <v>EC</v>
      </c>
      <c r="AH109" s="86" t="str">
        <f t="shared" si="84"/>
        <v>"%USERPROFILE%\Documents\GitHub\eaglep3\Utilities\RefineRTDCRunTimes.py" --tripid 196-15 --locoid 4012 --swversion DE.1.0.9.0 --startMP 204:232981 --initTime 2017-03-15T16:21:30 --startdatetime 2017-03-15T16:26:22 --delay 1 --endMP 204:201 --enddatetime 2017-03-15T17:07:07 --enforcementcount 0 &gt;&gt;C:\Users\stu\Documents\GitHub\eaglep3-reporting\EC\2017-03-15-refined-times.txt</v>
      </c>
      <c r="AI10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{"issue":{"subject":"","project_id":79,"tracker_id":40,"status_id":1,"priority_id":2,"assigned_to_id":23,"start_date":"2017-03-15","description":"","custom_fields":[{"id":1,"name":"Subdivision","value":"EC"},{"id":4,"name":"Milepost","value":"0.0201"},{"id":17,"name":"Train ID","value":"196-15"},{"id":16,"name":"Locomotive ID","value":"4012"},{"id":130,"name":"Impact","value":""},{"id":150,"name":"Time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6"/>
        <v>start /low /b %USERPROFILE%\Documents\GitHub\eaglep3\Utilities\DownloadLogsFromS3.py --loco 4012 --day 2017-03-15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610</v>
      </c>
      <c r="B110" s="7">
        <v>4029</v>
      </c>
      <c r="C110" s="21" t="s">
        <v>230</v>
      </c>
      <c r="D110" s="21" t="s">
        <v>846</v>
      </c>
      <c r="E110" s="13">
        <v>42809.651782407411</v>
      </c>
      <c r="F110" s="13">
        <v>42809.656435185185</v>
      </c>
      <c r="G110" s="7">
        <v>1</v>
      </c>
      <c r="H110" s="21" t="s">
        <v>893</v>
      </c>
      <c r="I110" s="13">
        <v>42809.683749999997</v>
      </c>
      <c r="J110" s="7">
        <v>0</v>
      </c>
      <c r="K110" s="98" t="str">
        <f t="shared" si="89"/>
        <v>4029/4030</v>
      </c>
      <c r="L110" s="21" t="str">
        <f>VLOOKUP(A110,'Trips&amp;Operators'!$C$1:$G$99999,5,FALSE)</f>
        <v>LEVIN SCOTT</v>
      </c>
      <c r="M110" s="6">
        <f t="shared" si="90"/>
        <v>2.7314814811688848E-2</v>
      </c>
      <c r="N110" s="7">
        <f t="shared" si="87"/>
        <v>39.333333328831941</v>
      </c>
      <c r="O110" s="7"/>
      <c r="P110" s="7"/>
      <c r="Q110" s="22"/>
      <c r="R110" s="22"/>
      <c r="S110" s="31">
        <f t="shared" si="88"/>
        <v>1</v>
      </c>
      <c r="T110" s="46" t="str">
        <f t="shared" si="91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81"/>
        <v>https://d0f6bd738d7f1b3e5a7ca70fe4ff75f0.us-east-1.aws.found.io/app/kibana#/discover/Steve-Slow-Train-Analysis-(2080s-and-2083s)?_g=(refreshInterval:(display:Off,pause:!f,section:0,value:0),time:(from:'2017-03-15T14:38:34-0600',mode:absolute,to:'2017-03-15T17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7" t="str">
        <f t="shared" si="92"/>
        <v>N</v>
      </c>
      <c r="X110" s="187">
        <f t="shared" si="98"/>
        <v>1</v>
      </c>
      <c r="Y110" s="62">
        <f t="shared" si="93"/>
        <v>4.2900000000000001E-2</v>
      </c>
      <c r="Z110" s="62">
        <f t="shared" si="94"/>
        <v>23.332799999999999</v>
      </c>
      <c r="AA110" s="62">
        <f t="shared" si="95"/>
        <v>23.289899999999999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96"/>
        <v>0197-15</v>
      </c>
      <c r="AE110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110" s="82" t="str">
        <f t="shared" si="83"/>
        <v>"C:\Program Files (x86)\AstroGrep\AstroGrep.exe" /e /r /s /spath="%USERPROFILE%\AppData\Local\Temp\OnboardLogs" /stypes="app*4029*20170315*" /stext=" 22:.+((SYSTEM_STATE.+slice.+state.+changed )|(ment ac)|(multiple cpu faults)|(system.+state.+changed )|(\[timeout)|(PRM\|1\|D)|(kpr)|(kdp)|(\|lc)|(penalty))"</v>
      </c>
      <c r="AG110" s="1" t="str">
        <f t="shared" si="97"/>
        <v>EC</v>
      </c>
      <c r="AH110" s="86" t="str">
        <f t="shared" si="84"/>
        <v>"%USERPROFILE%\Documents\GitHub\eaglep3\Utilities\RefineRTDCRunTimes.py" --tripid 197-15 --locoid 4029 --swversion DE.1.0.9.0 --startMP 204:429 --initTime 2017-03-15T15:38:34 --startdatetime 2017-03-15T15:45:16 --delay 1 --endMP 204:233328 --enddatetime 2017-03-15T16:24:36 --enforcementcount 0 &gt;&gt;C:\Users\stu\Documents\GitHub\eaglep3-reporting\EC\2017-03-15-refined-times.txt</v>
      </c>
      <c r="AI11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{"issue":{"subject":"","project_id":79,"tracker_id":40,"status_id":1,"priority_id":2,"assigned_to_id":23,"start_date":"2017-03-15","description":"","custom_fields":[{"id":1,"name":"Subdivision","value":"EC"},{"id":4,"name":"Milepost","value":"23.3328"},{"id":17,"name":"Train ID","value":"197-15"},{"id":16,"name":"Locomotive ID","value":"4029"},{"id":130,"name":"Impact","value":""},{"id":150,"name":"Time of Event (Mountain Time)","value":"16:24:36"},{"id":151,"name":"Denver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6"/>
        <v>start /low /b %USERPROFILE%\Documents\GitHub\eaglep3\Utilities\DownloadLogsFromS3.py --loco 4029 --day 2017-03-15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751</v>
      </c>
      <c r="B111" s="7">
        <v>4030</v>
      </c>
      <c r="C111" s="21" t="s">
        <v>230</v>
      </c>
      <c r="D111" s="21" t="s">
        <v>846</v>
      </c>
      <c r="E111" s="13">
        <v>42809.651782407411</v>
      </c>
      <c r="F111" s="13">
        <v>42809.701388888891</v>
      </c>
      <c r="G111" s="7">
        <v>1</v>
      </c>
      <c r="H111" s="21" t="s">
        <v>893</v>
      </c>
      <c r="I111" s="13">
        <v>42809.70208333333</v>
      </c>
      <c r="J111" s="7">
        <v>0</v>
      </c>
      <c r="K111" s="98" t="str">
        <f t="shared" ref="K111" si="99">IF(ISEVEN(B111),(B111-1)&amp;"/"&amp;B111,B111&amp;"/"&amp;(B111+1))</f>
        <v>4029/4030</v>
      </c>
      <c r="L111" s="21" t="str">
        <f>VLOOKUP(A111,'Trips&amp;Operators'!$C$1:$G$99999,5,FALSE)</f>
        <v>LEVIN SCOTT</v>
      </c>
      <c r="M111" s="6">
        <f t="shared" ref="M111" si="100">I111-F111</f>
        <v>6.9444443943211809E-4</v>
      </c>
      <c r="N111" s="7"/>
      <c r="O111" s="7"/>
      <c r="P111" s="7">
        <f t="shared" si="87"/>
        <v>0.99999999278225005</v>
      </c>
      <c r="Q111" s="22"/>
      <c r="R111" s="22" t="s">
        <v>468</v>
      </c>
      <c r="S111" s="31">
        <f t="shared" ref="S111" si="101">SUM(U111:U111)/IF(AG111="EC",12,1)</f>
        <v>0</v>
      </c>
      <c r="T111" s="46" t="str">
        <f t="shared" ref="T111" si="102">IF(ISEVEN(LEFT(AD111,4)),"Southbound","NorthBound")</f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186" t="str">
        <f t="shared" ref="V111" si="103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-15T14:38:34-0600',mode:absolute,to:'2017-03-15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7" t="str">
        <f t="shared" ref="W111" si="104">IF(AA111&lt;IF(AG111="EC",23,5.65),"Y","N")</f>
        <v>N</v>
      </c>
      <c r="X111" s="187">
        <f t="shared" ref="X111:X112" si="105">VALUE(LEFT(AD111,4))-VALUE(LEFT(AD110,4))</f>
        <v>1</v>
      </c>
      <c r="Y111" s="62">
        <f t="shared" ref="Y111" si="106">RIGHT(D111,LEN(D111)-4)/10000</f>
        <v>4.2900000000000001E-2</v>
      </c>
      <c r="Z111" s="62">
        <f t="shared" ref="Z111" si="107">RIGHT(H111,LEN(H111)-4)/10000</f>
        <v>23.332799999999999</v>
      </c>
      <c r="AA111" s="62">
        <f t="shared" ref="AA111" si="108">ABS(Z111-Y111)</f>
        <v>23.289899999999999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ref="AD111" si="109">IF(LEN(A111)=6,"0"&amp;A111,A111)</f>
        <v>0198-15</v>
      </c>
      <c r="AE111" s="85" t="str">
        <f t="shared" ref="AE111" si="110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111" s="82" t="str">
        <f t="shared" ref="AF111" si="111"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/stypes="app*4030*20170315*" /stext=" 22:.+((SYSTEM_STATE.+slice.+state.+changed )|(ment ac)|(multiple cpu faults)|(system.+state.+changed )|(\[timeout)|(PRM\|1\|D)|(kpr)|(kdp)|(\|lc)|(penalty))"</v>
      </c>
      <c r="AG111" s="1" t="str">
        <f t="shared" ref="AG111" si="112">IFERROR(IF(VALUE(LEFT(AD111,2))&lt;=2,"EC",IF(OR(VALUE(LEFT(AD111,2))=8,VALUE(LEFT(AD111,2))=18),"NW","Other")),"Other")</f>
        <v>EC</v>
      </c>
      <c r="AH111" s="86" t="str">
        <f t="shared" ref="AH111" si="113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198-15 --locoid 4030 --swversion DE.1.0.9.0 --startMP 204:429 --initTime 2017-03-15T15:38:34 --startdatetime 2017-03-15T16:50:00 --delay 1 --endMP 204:233328 --enddatetime 2017-03-15T16:51:00 --enforcementcount 0 &gt;&gt;C:\Users\stu\Documents\GitHub\eaglep3-reporting\EC\2017-03-15-refined-times.txt</v>
      </c>
      <c r="AI111" s="108" t="str">
        <f t="shared" ref="AI111" si="114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failure","project_id":79,"tracker_id":40,"status_id":1,"priority_id":2,"assigned_to_id":23,"start_date":"2017-03-15","description":"","custom_fields":[{"id":1,"name":"Subdivision","value":"EC"},{"id":4,"name":"Milepost","value":"23.3328"},{"id":17,"name":"Train ID","value":"198-15"},{"id":16,"name":"Locomotive ID","value":"4030"},{"id":130,"name":"Impact","value":""},{"id":150,"name":"Time of Event (Mountain Time)","value":"16:51:00"},{"id":151,"name":"Denver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ref="AM111" si="115">"start /low /b "&amp;dls3logs&amp;" --loco "&amp;B111&amp;" --day "&amp;TEXT(F111,"YYYY-MM-DD")</f>
        <v>start /low /b %USERPROFILE%\Documents\GitHub\eaglep3\Utilities\DownloadLogsFromS3.py --loco 4030 --day 2017-03-15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</row>
    <row r="112" spans="1:91" s="20" customFormat="1" x14ac:dyDescent="0.25">
      <c r="A112" s="33" t="s">
        <v>746</v>
      </c>
      <c r="B112" s="7">
        <v>4051</v>
      </c>
      <c r="C112" s="21" t="s">
        <v>230</v>
      </c>
      <c r="D112" s="21" t="s">
        <v>482</v>
      </c>
      <c r="E112" s="13">
        <v>42809.662870370368</v>
      </c>
      <c r="F112" s="13">
        <v>42809.667071759257</v>
      </c>
      <c r="G112" s="7">
        <v>1</v>
      </c>
      <c r="H112" s="21" t="s">
        <v>484</v>
      </c>
      <c r="I112" s="13">
        <v>42809.693495370368</v>
      </c>
      <c r="J112" s="7">
        <v>0</v>
      </c>
      <c r="K112" s="98" t="str">
        <f t="shared" si="89"/>
        <v>4051/4052</v>
      </c>
      <c r="L112" s="21" t="str">
        <f>VLOOKUP(A112,'Trips&amp;Operators'!$C$1:$G$99999,5,FALSE)</f>
        <v>DELGADO DIANAH</v>
      </c>
      <c r="M112" s="6">
        <f t="shared" si="90"/>
        <v>2.6423611110658385E-2</v>
      </c>
      <c r="N112" s="7">
        <f t="shared" si="87"/>
        <v>38.049999999348074</v>
      </c>
      <c r="O112" s="7"/>
      <c r="P112" s="7"/>
      <c r="Q112" s="22"/>
      <c r="R112" s="22"/>
      <c r="S112" s="31">
        <f t="shared" si="88"/>
        <v>1</v>
      </c>
      <c r="T112" s="46" t="str">
        <f t="shared" si="91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81"/>
        <v>https://d0f6bd738d7f1b3e5a7ca70fe4ff75f0.us-east-1.aws.found.io/app/kibana#/discover/Steve-Slow-Train-Analysis-(2080s-and-2083s)?_g=(refreshInterval:(display:Off,pause:!f,section:0,value:0),time:(from:'2017-03-15T14:54:32-0600',mode:absolute,to:'2017-03-15T17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187" t="str">
        <f t="shared" si="92"/>
        <v>N</v>
      </c>
      <c r="X112" s="187">
        <f t="shared" si="105"/>
        <v>1</v>
      </c>
      <c r="Y112" s="62">
        <f t="shared" si="93"/>
        <v>4.7100000000000003E-2</v>
      </c>
      <c r="Z112" s="62">
        <f t="shared" si="94"/>
        <v>23.331900000000001</v>
      </c>
      <c r="AA112" s="62">
        <f t="shared" si="95"/>
        <v>23.284800000000001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96"/>
        <v>0199-15</v>
      </c>
      <c r="AE112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12" s="82" t="str">
        <f t="shared" si="83"/>
        <v>"C:\Program Files (x86)\AstroGrep\AstroGrep.exe" /e /r /s /spath="%USERPROFILE%\AppData\Local\Temp\OnboardLogs" /stypes="app*4051*20170315*" /stext=" 22:.+((SYSTEM_STATE.+slice.+state.+changed )|(ment ac)|(multiple cpu faults)|(system.+state.+changed )|(\[timeout)|(PRM\|1\|D)|(kpr)|(kdp)|(\|lc)|(penalty))"</v>
      </c>
      <c r="AG112" s="1" t="str">
        <f t="shared" si="97"/>
        <v>EC</v>
      </c>
      <c r="AH112" s="86" t="str">
        <f t="shared" si="84"/>
        <v>"%USERPROFILE%\Documents\GitHub\eaglep3\Utilities\RefineRTDCRunTimes.py" --tripid 199-15 --locoid 4051 --swversion DE.1.0.9.0 --startMP 204:471 --initTime 2017-03-15T15:54:32 --startdatetime 2017-03-15T16:00:35 --delay 1 --endMP 204:233319 --enddatetime 2017-03-15T16:38:38 --enforcementcount 0 &gt;&gt;C:\Users\stu\Documents\GitHub\eaglep3-reporting\EC\2017-03-15-refined-times.txt</v>
      </c>
      <c r="AI11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ID","value":"199-15"},{"id":16,"name":"Locomotive ID","value":"4051"},{"id":130,"name":"Impact","value":""},{"id":150,"name":"Time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6"/>
        <v>start /low /b %USERPROFILE%\Documents\GitHub\eaglep3\Utilities\DownloadLogsFromS3.py --loco 4051 --day 2017-03-15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755</v>
      </c>
      <c r="B113" s="7">
        <v>4052</v>
      </c>
      <c r="C113" s="21" t="s">
        <v>230</v>
      </c>
      <c r="D113" s="21" t="s">
        <v>894</v>
      </c>
      <c r="E113" s="13">
        <v>42809.700277777774</v>
      </c>
      <c r="F113" s="13">
        <v>42809.705972222226</v>
      </c>
      <c r="G113" s="7">
        <v>2</v>
      </c>
      <c r="H113" s="21" t="s">
        <v>537</v>
      </c>
      <c r="I113" s="13">
        <v>42809.736678240741</v>
      </c>
      <c r="J113" s="7">
        <v>0</v>
      </c>
      <c r="K113" s="98" t="str">
        <f t="shared" si="89"/>
        <v>4051/4052</v>
      </c>
      <c r="L113" s="21" t="str">
        <f>VLOOKUP(A113,'Trips&amp;Operators'!$C$1:$G$99999,5,FALSE)</f>
        <v>DELGADO DIANAH</v>
      </c>
      <c r="M113" s="6">
        <f t="shared" si="90"/>
        <v>3.0706018515047617E-2</v>
      </c>
      <c r="N113" s="7">
        <f t="shared" si="87"/>
        <v>44.216666661668569</v>
      </c>
      <c r="O113" s="7"/>
      <c r="P113" s="7"/>
      <c r="Q113" s="22"/>
      <c r="R113" s="22"/>
      <c r="S113" s="31">
        <f t="shared" si="88"/>
        <v>1</v>
      </c>
      <c r="T113" s="46" t="str">
        <f t="shared" si="91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81"/>
        <v>https://d0f6bd738d7f1b3e5a7ca70fe4ff75f0.us-east-1.aws.found.io/app/kibana#/discover/Steve-Slow-Train-Analysis-(2080s-and-2083s)?_g=(refreshInterval:(display:Off,pause:!f,section:0,value:0),time:(from:'2017-03-15T15:48:24-0600',mode:absolute,to:'2017-03-15T18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187" t="str">
        <f t="shared" si="92"/>
        <v>N</v>
      </c>
      <c r="X113" s="187">
        <f t="shared" si="98"/>
        <v>1</v>
      </c>
      <c r="Y113" s="62">
        <f t="shared" si="93"/>
        <v>23.302099999999999</v>
      </c>
      <c r="Z113" s="62">
        <f t="shared" si="94"/>
        <v>1.4500000000000001E-2</v>
      </c>
      <c r="AA113" s="62">
        <f t="shared" si="95"/>
        <v>23.287599999999998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96"/>
        <v>0200-15</v>
      </c>
      <c r="AE113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13" s="82" t="str">
        <f t="shared" si="83"/>
        <v>"C:\Program Files (x86)\AstroGrep\AstroGrep.exe" /e /r /s /spath="%USERPROFILE%\AppData\Local\Temp\OnboardLogs" /stypes="app*4052*20170315*" /stext=" 23:.+((SYSTEM_STATE.+slice.+state.+changed )|(ment ac)|(multiple cpu faults)|(system.+state.+changed )|(\[timeout)|(PRM\|1\|D)|(kpr)|(kdp)|(\|lc)|(penalty))"</v>
      </c>
      <c r="AG113" s="1" t="str">
        <f t="shared" si="97"/>
        <v>EC</v>
      </c>
      <c r="AH113" s="86" t="str">
        <f t="shared" si="84"/>
        <v>"%USERPROFILE%\Documents\GitHub\eaglep3\Utilities\RefineRTDCRunTimes.py" --tripid 200-15 --locoid 4052 --swversion DE.1.0.9.0 --startMP 204:233021 --initTime 2017-03-15T16:48:24 --startdatetime 2017-03-15T16:56:36 --delay 2 --endMP 204:145 --enddatetime 2017-03-15T17:40:49 --enforcementcount 0 &gt;&gt;C:\Users\stu\Documents\GitHub\eaglep3-reporting\EC\2017-03-15-refined-times.txt</v>
      </c>
      <c r="AI11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ID","value":"200-15"},{"id":16,"name":"Locomotive ID","value":"4052"},{"id":130,"name":"Impact","value":""},{"id":150,"name":"Time of Event (Mountain Time)","value":"17:40:49"},{"id":151,"name":"Denver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6"/>
        <v>start /low /b %USERPROFILE%\Documents\GitHub\eaglep3\Utilities\DownloadLogsFromS3.py --loco 4052 --day 2017-03-15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749</v>
      </c>
      <c r="B114" s="7">
        <v>4040</v>
      </c>
      <c r="C114" s="21" t="s">
        <v>230</v>
      </c>
      <c r="D114" s="21" t="s">
        <v>895</v>
      </c>
      <c r="E114" s="13">
        <v>42809.676990740743</v>
      </c>
      <c r="F114" s="13">
        <v>42809.678472222222</v>
      </c>
      <c r="G114" s="7">
        <v>1</v>
      </c>
      <c r="H114" s="21" t="s">
        <v>483</v>
      </c>
      <c r="I114" s="13">
        <v>42809.705254629633</v>
      </c>
      <c r="J114" s="7">
        <v>0</v>
      </c>
      <c r="K114" s="98" t="str">
        <f t="shared" si="89"/>
        <v>4039/4040</v>
      </c>
      <c r="L114" s="21" t="str">
        <f>VLOOKUP(A114,'Trips&amp;Operators'!$C$1:$G$99999,5,FALSE)</f>
        <v>CLARK KATHLEEN</v>
      </c>
      <c r="M114" s="6">
        <f t="shared" si="90"/>
        <v>2.6782407410792075E-2</v>
      </c>
      <c r="N114" s="7">
        <f t="shared" si="87"/>
        <v>38.566666671540588</v>
      </c>
      <c r="O114" s="7"/>
      <c r="P114" s="7"/>
      <c r="Q114" s="22"/>
      <c r="R114" s="22"/>
      <c r="S114" s="31">
        <f t="shared" si="88"/>
        <v>1</v>
      </c>
      <c r="T114" s="46" t="str">
        <f t="shared" si="91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81"/>
        <v>https://d0f6bd738d7f1b3e5a7ca70fe4ff75f0.us-east-1.aws.found.io/app/kibana#/discover/Steve-Slow-Train-Analysis-(2080s-and-2083s)?_g=(refreshInterval:(display:Off,pause:!f,section:0,value:0),time:(from:'2017-03-15T15:14:52-0600',mode:absolute,to:'2017-03-15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87" t="str">
        <f t="shared" si="92"/>
        <v>N</v>
      </c>
      <c r="X114" s="187">
        <f t="shared" si="98"/>
        <v>1</v>
      </c>
      <c r="Y114" s="62">
        <f t="shared" si="93"/>
        <v>4.9299999999999997E-2</v>
      </c>
      <c r="Z114" s="62">
        <f t="shared" si="94"/>
        <v>23.328800000000001</v>
      </c>
      <c r="AA114" s="62">
        <f t="shared" si="95"/>
        <v>23.279500000000002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96"/>
        <v>0201-15</v>
      </c>
      <c r="AE114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14" s="82" t="str">
        <f t="shared" si="83"/>
        <v>"C:\Program Files (x86)\AstroGrep\AstroGrep.exe" /e /r /s /spath="%USERPROFILE%\AppData\Local\Temp\OnboardLogs" /stypes="app*4040*20170315*" /stext=" 22:.+((SYSTEM_STATE.+slice.+state.+changed )|(ment ac)|(multiple cpu faults)|(system.+state.+changed )|(\[timeout)|(PRM\|1\|D)|(kpr)|(kdp)|(\|lc)|(penalty))"</v>
      </c>
      <c r="AG114" s="1" t="str">
        <f t="shared" si="97"/>
        <v>EC</v>
      </c>
      <c r="AH114" s="86" t="str">
        <f t="shared" si="84"/>
        <v>"%USERPROFILE%\Documents\GitHub\eaglep3\Utilities\RefineRTDCRunTimes.py" --tripid 201-15 --locoid 4040 --swversion DE.1.0.9.0 --startMP 204:493 --initTime 2017-03-15T16:14:52 --startdatetime 2017-03-15T16:17:00 --delay 1 --endMP 204:233288 --enddatetime 2017-03-15T16:55:34 --enforcementcount 0 &gt;&gt;C:\Users\stu\Documents\GitHub\eaglep3-reporting\EC\2017-03-15-refined-times.txt</v>
      </c>
      <c r="AI11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{"issue":{"subject":"","project_id":79,"tracker_id":40,"status_id":1,"priority_id":2,"assigned_to_id":23,"start_date":"2017-03-15","description":"","custom_fields":[{"id":1,"name":"Subdivision","value":"EC"},{"id":4,"name":"Milepost","value":"23.3288"},{"id":17,"name":"Train ID","value":"201-15"},{"id":16,"name":"Locomotive ID","value":"4040"},{"id":130,"name":"Impact","value":""},{"id":150,"name":"Time of Event (Mountain Time)","value":"16:55:34"},{"id":151,"name":"Denver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6"/>
        <v>start /low /b %USERPROFILE%\Documents\GitHub\eaglep3\Utilities\DownloadLogsFromS3.py --loco 4040 --day 2017-03-15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757</v>
      </c>
      <c r="B115" s="7">
        <v>4039</v>
      </c>
      <c r="C115" s="21" t="s">
        <v>230</v>
      </c>
      <c r="D115" s="21" t="s">
        <v>432</v>
      </c>
      <c r="E115" s="13">
        <v>42809.711261574077</v>
      </c>
      <c r="F115" s="13">
        <v>42809.716203703705</v>
      </c>
      <c r="G115" s="7">
        <v>1</v>
      </c>
      <c r="H115" s="21" t="s">
        <v>240</v>
      </c>
      <c r="I115" s="13">
        <v>42809.74795138889</v>
      </c>
      <c r="J115" s="7">
        <v>0</v>
      </c>
      <c r="K115" s="98" t="str">
        <f t="shared" si="89"/>
        <v>4039/4040</v>
      </c>
      <c r="L115" s="21" t="str">
        <f>VLOOKUP(A115,'Trips&amp;Operators'!$C$1:$G$99999,5,FALSE)</f>
        <v>CLARK KATHLEEN</v>
      </c>
      <c r="M115" s="6">
        <f t="shared" si="90"/>
        <v>3.1747685185109731E-2</v>
      </c>
      <c r="N115" s="7">
        <f t="shared" si="87"/>
        <v>45.716666666558012</v>
      </c>
      <c r="O115" s="7"/>
      <c r="P115" s="7"/>
      <c r="Q115" s="22"/>
      <c r="R115" s="22"/>
      <c r="S115" s="31">
        <f t="shared" si="88"/>
        <v>1</v>
      </c>
      <c r="T115" s="46" t="str">
        <f t="shared" si="91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81"/>
        <v>https://d0f6bd738d7f1b3e5a7ca70fe4ff75f0.us-east-1.aws.found.io/app/kibana#/discover/Steve-Slow-Train-Analysis-(2080s-and-2083s)?_g=(refreshInterval:(display:Off,pause:!f,section:0,value:0),time:(from:'2017-03-15T16:04:13-0600',mode:absolute,to:'2017-03-15T18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87" t="str">
        <f t="shared" si="92"/>
        <v>N</v>
      </c>
      <c r="X115" s="187">
        <f t="shared" si="98"/>
        <v>1</v>
      </c>
      <c r="Y115" s="62">
        <f t="shared" si="93"/>
        <v>23.298400000000001</v>
      </c>
      <c r="Z115" s="62">
        <f t="shared" si="94"/>
        <v>1.61E-2</v>
      </c>
      <c r="AA115" s="62">
        <f t="shared" si="95"/>
        <v>23.282299999999999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96"/>
        <v>0202-15</v>
      </c>
      <c r="AE115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15" s="82" t="str">
        <f t="shared" si="83"/>
        <v>"C:\Program Files (x86)\AstroGrep\AstroGrep.exe" /e /r /s /spath="%USERPROFILE%\AppData\Local\Temp\OnboardLogs" /stypes="app*4039*20170315*" /stext=" 23:.+((SYSTEM_STATE.+slice.+state.+changed )|(ment ac)|(multiple cpu faults)|(system.+state.+changed )|(\[timeout)|(PRM\|1\|D)|(kpr)|(kdp)|(\|lc)|(penalty))"</v>
      </c>
      <c r="AG115" s="1" t="str">
        <f t="shared" si="97"/>
        <v>EC</v>
      </c>
      <c r="AH115" s="86" t="str">
        <f t="shared" si="84"/>
        <v>"%USERPROFILE%\Documents\GitHub\eaglep3\Utilities\RefineRTDCRunTimes.py" --tripid 202-15 --locoid 4039 --swversion DE.1.0.9.0 --startMP 204:232984 --initTime 2017-03-15T17:04:13 --startdatetime 2017-03-15T17:11:20 --delay 1 --endMP 204:161 --enddatetime 2017-03-15T17:57:03 --enforcementcount 0 &gt;&gt;C:\Users\stu\Documents\GitHub\eaglep3-reporting\EC\2017-03-15-refined-times.txt</v>
      </c>
      <c r="AI11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{"issue":{"subject":"","project_id":79,"tracker_id":40,"status_id":1,"priority_id":2,"assigned_to_id":23,"start_date":"2017-03-15","description":"","custom_fields":[{"id":1,"name":"Subdivision","value":"EC"},{"id":4,"name":"Milepost","value":"0.0161"},{"id":17,"name":"Train ID","value":"202-15"},{"id":16,"name":"Locomotive ID","value":"4039"},{"id":130,"name":"Impact","value":""},{"id":150,"name":"Time of Event (Mountain Time)","value":"17:57:03"},{"id":151,"name":"Denver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6"/>
        <v>start /low /b %USERPROFILE%\Documents\GitHub\eaglep3\Utilities\DownloadLogsFromS3.py --loco 4039 --day 2017-03-15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612</v>
      </c>
      <c r="B116" s="7">
        <v>4020</v>
      </c>
      <c r="C116" s="21" t="s">
        <v>230</v>
      </c>
      <c r="D116" s="21" t="s">
        <v>429</v>
      </c>
      <c r="E116" s="13">
        <v>42809.688645833332</v>
      </c>
      <c r="F116" s="13">
        <v>42809.690381944441</v>
      </c>
      <c r="G116" s="7">
        <v>1</v>
      </c>
      <c r="H116" s="21" t="s">
        <v>826</v>
      </c>
      <c r="I116" s="13">
        <v>42809.717013888891</v>
      </c>
      <c r="J116" s="7">
        <v>0</v>
      </c>
      <c r="K116" s="98" t="str">
        <f t="shared" si="89"/>
        <v>4019/4020</v>
      </c>
      <c r="L116" s="21" t="str">
        <f>VLOOKUP(A116,'Trips&amp;Operators'!$C$1:$G$99999,5,FALSE)</f>
        <v>CLARK KATHLEEN</v>
      </c>
      <c r="M116" s="6">
        <f t="shared" si="90"/>
        <v>2.6631944449036382E-2</v>
      </c>
      <c r="N116" s="7">
        <f t="shared" si="87"/>
        <v>38.35000000661239</v>
      </c>
      <c r="O116" s="7"/>
      <c r="P116" s="7"/>
      <c r="Q116" s="22"/>
      <c r="R116" s="22"/>
      <c r="S116" s="31">
        <f t="shared" si="88"/>
        <v>1</v>
      </c>
      <c r="T116" s="46" t="str">
        <f t="shared" si="91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81"/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87" t="str">
        <f t="shared" si="92"/>
        <v>N</v>
      </c>
      <c r="X116" s="187">
        <f t="shared" si="98"/>
        <v>1</v>
      </c>
      <c r="Y116" s="62">
        <f t="shared" si="93"/>
        <v>4.6399999999999997E-2</v>
      </c>
      <c r="Z116" s="62">
        <f t="shared" si="94"/>
        <v>23.329799999999999</v>
      </c>
      <c r="AA116" s="62">
        <f t="shared" si="95"/>
        <v>23.2834</v>
      </c>
      <c r="AB116" s="59" t="str">
        <f>VLOOKUP(A116,Enforcements!$C$7:$K$13,8,0)</f>
        <v>Bulletin (2)</v>
      </c>
      <c r="AC116" s="55" t="str">
        <f>VLOOKUP(A116,Enforcements!$C$7:$E$13,3,0)</f>
        <v>GRADE CROSSING</v>
      </c>
      <c r="AD116" s="56" t="str">
        <f t="shared" si="96"/>
        <v>0203-15</v>
      </c>
      <c r="AE116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16" s="82" t="str">
        <f t="shared" si="83"/>
        <v>"C:\Program Files (x86)\AstroGrep\AstroGrep.exe" /e /r /s /spath="%USERPROFILE%\AppData\Local\Temp\OnboardLogs" /stypes="app*4020*20170315*" /stext=" 23:.+((SYSTEM_STATE.+slice.+state.+changed )|(ment ac)|(multiple cpu faults)|(system.+state.+changed )|(\[timeout)|(PRM\|1\|D)|(kpr)|(kdp)|(\|lc)|(penalty))"</v>
      </c>
      <c r="AG116" s="1" t="str">
        <f t="shared" si="97"/>
        <v>EC</v>
      </c>
      <c r="AH116" s="86" t="str">
        <f t="shared" si="84"/>
        <v>"%USERPROFILE%\Documents\GitHub\eaglep3\Utilities\RefineRTDCRunTimes.py" --tripid 203-15 --locoid 4020 --swversion DE.1.0.9.0 --startMP 204:464 --initTime 2017-03-15T16:31:39 --startdatetime 2017-03-15T16:34:09 --delay 1 --endMP 204:233298 --enddatetime 2017-03-15T17:12:30 --enforcementcount 0 &gt;&gt;C:\Users\stu\Documents\GitHub\eaglep3-reporting\EC\2017-03-15-refined-times.txt</v>
      </c>
      <c r="AI11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ID","value":"203-15"},{"id":16,"name":"Locomotive ID","value":"4020"},{"id":130,"name":"Impact","value":""},{"id":150,"name":"Time of Event (Mountain Time)","value":"17:12:30"},{"id":151,"name":"Denver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6"/>
        <v>start /low /b %USERPROFILE%\Documents\GitHub\eaglep3\Utilities\DownloadLogsFromS3.py --loco 4020 --day 2017-03-15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</row>
    <row r="117" spans="1:91" s="20" customFormat="1" x14ac:dyDescent="0.25">
      <c r="A117" s="33" t="s">
        <v>762</v>
      </c>
      <c r="B117" s="7">
        <v>4019</v>
      </c>
      <c r="C117" s="21" t="s">
        <v>230</v>
      </c>
      <c r="D117" s="21" t="s">
        <v>462</v>
      </c>
      <c r="E117" s="13">
        <v>42809.722118055557</v>
      </c>
      <c r="F117" s="13">
        <v>42809.726875</v>
      </c>
      <c r="G117" s="7">
        <v>1</v>
      </c>
      <c r="H117" s="21" t="s">
        <v>207</v>
      </c>
      <c r="I117" s="13">
        <v>42809.754664351851</v>
      </c>
      <c r="J117" s="7">
        <v>0</v>
      </c>
      <c r="K117" s="98" t="str">
        <f t="shared" si="89"/>
        <v>4019/4020</v>
      </c>
      <c r="L117" s="21" t="str">
        <f>VLOOKUP(A117,'Trips&amp;Operators'!$C$1:$G$99999,5,FALSE)</f>
        <v>MAYBERRY BILL</v>
      </c>
      <c r="M117" s="6">
        <f t="shared" si="90"/>
        <v>2.7789351850515231E-2</v>
      </c>
      <c r="N117" s="7">
        <f t="shared" si="87"/>
        <v>40.016666664741933</v>
      </c>
      <c r="O117" s="7"/>
      <c r="P117" s="7"/>
      <c r="Q117" s="22"/>
      <c r="R117" s="22"/>
      <c r="S117" s="31">
        <f t="shared" si="88"/>
        <v>1</v>
      </c>
      <c r="T117" s="46" t="str">
        <f t="shared" si="91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81"/>
        <v>https://d0f6bd738d7f1b3e5a7ca70fe4ff75f0.us-east-1.aws.found.io/app/kibana#/discover/Steve-Slow-Train-Analysis-(2080s-and-2083s)?_g=(refreshInterval:(display:Off,pause:!f,section:0,value:0),time:(from:'2017-03-15T16:19:51-0600',mode:absolute,to:'2017-03-15T19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87" t="str">
        <f t="shared" si="92"/>
        <v>N</v>
      </c>
      <c r="X117" s="187">
        <f t="shared" si="98"/>
        <v>1</v>
      </c>
      <c r="Y117" s="62">
        <f t="shared" si="93"/>
        <v>23.297699999999999</v>
      </c>
      <c r="Z117" s="62">
        <f t="shared" si="94"/>
        <v>1.54E-2</v>
      </c>
      <c r="AA117" s="62">
        <f t="shared" si="95"/>
        <v>23.282299999999999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96"/>
        <v>0204-15</v>
      </c>
      <c r="AE117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17" s="82" t="str">
        <f t="shared" si="83"/>
        <v>"C:\Program Files (x86)\AstroGrep\AstroGrep.exe" /e /r /s /spath="%USERPROFILE%\AppData\Local\Temp\OnboardLogs" /stypes="app*4019*20170316*" /stext=" 00:.+((SYSTEM_STATE.+slice.+state.+changed )|(ment ac)|(multiple cpu faults)|(system.+state.+changed )|(\[timeout)|(PRM\|1\|D)|(kpr)|(kdp)|(\|lc)|(penalty))"</v>
      </c>
      <c r="AG117" s="1" t="str">
        <f t="shared" si="97"/>
        <v>EC</v>
      </c>
      <c r="AH117" s="86" t="str">
        <f t="shared" si="84"/>
        <v>"%USERPROFILE%\Documents\GitHub\eaglep3\Utilities\RefineRTDCRunTimes.py" --tripid 204-15 --locoid 4019 --swversion DE.1.0.9.0 --startMP 204:232977 --initTime 2017-03-15T17:19:51 --startdatetime 2017-03-15T17:26:42 --delay 1 --endMP 204:154 --enddatetime 2017-03-15T18:06:43 --enforcementcount 0 &gt;&gt;C:\Users\stu\Documents\GitHub\eaglep3-reporting\EC\2017-03-15-refined-times.txt</v>
      </c>
      <c r="AI11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ID","value":"204-15"},{"id":16,"name":"Locomotive ID","value":"4019"},{"id":130,"name":"Impact","value":""},{"id":150,"name":"Time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6"/>
        <v>start /low /b %USERPROFILE%\Documents\GitHub\eaglep3\Utilities\DownloadLogsFromS3.py --loco 4019 --day 2017-03-15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3" t="s">
        <v>753</v>
      </c>
      <c r="B118" s="7">
        <v>4053</v>
      </c>
      <c r="C118" s="21" t="s">
        <v>230</v>
      </c>
      <c r="D118" s="21" t="s">
        <v>214</v>
      </c>
      <c r="E118" s="13">
        <v>42809.699664351851</v>
      </c>
      <c r="F118" s="13">
        <v>42809.701504629629</v>
      </c>
      <c r="G118" s="7">
        <v>1</v>
      </c>
      <c r="H118" s="21" t="s">
        <v>896</v>
      </c>
      <c r="I118" s="13">
        <v>42809.726944444446</v>
      </c>
      <c r="J118" s="7">
        <v>0</v>
      </c>
      <c r="K118" s="98" t="str">
        <f t="shared" si="89"/>
        <v>4053/4054</v>
      </c>
      <c r="L118" s="21" t="str">
        <f>VLOOKUP(A118,'Trips&amp;Operators'!$C$1:$G$99999,5,FALSE)</f>
        <v>DE LA ROSA ALEX</v>
      </c>
      <c r="M118" s="6">
        <f t="shared" si="90"/>
        <v>2.5439814817218576E-2</v>
      </c>
      <c r="N118" s="7">
        <f t="shared" si="87"/>
        <v>36.633333336794749</v>
      </c>
      <c r="O118" s="7"/>
      <c r="P118" s="7"/>
      <c r="Q118" s="22"/>
      <c r="R118" s="22"/>
      <c r="S118" s="31">
        <f t="shared" si="88"/>
        <v>1</v>
      </c>
      <c r="T118" s="46" t="str">
        <f t="shared" si="91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81"/>
        <v>https://d0f6bd738d7f1b3e5a7ca70fe4ff75f0.us-east-1.aws.found.io/app/kibana#/discover/Steve-Slow-Train-Analysis-(2080s-and-2083s)?_g=(refreshInterval:(display:Off,pause:!f,section:0,value:0),time:(from:'2017-03-15T15:47:31-0600',mode:absolute,to:'2017-03-15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87" t="str">
        <f t="shared" si="92"/>
        <v>N</v>
      </c>
      <c r="X118" s="187">
        <f t="shared" si="98"/>
        <v>1</v>
      </c>
      <c r="Y118" s="62">
        <f t="shared" si="93"/>
        <v>4.53E-2</v>
      </c>
      <c r="Z118" s="62">
        <f t="shared" si="94"/>
        <v>23.327400000000001</v>
      </c>
      <c r="AA118" s="62">
        <f t="shared" si="95"/>
        <v>23.2821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96"/>
        <v>0205-15</v>
      </c>
      <c r="AE118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18" s="82" t="str">
        <f t="shared" si="83"/>
        <v>"C:\Program Files (x86)\AstroGrep\AstroGrep.exe" /e /r /s /spath="%USERPROFILE%\AppData\Local\Temp\OnboardLogs" /stypes="app*4053*20170315*" /stext=" 23:.+((SYSTEM_STATE.+slice.+state.+changed )|(ment ac)|(multiple cpu faults)|(system.+state.+changed )|(\[timeout)|(PRM\|1\|D)|(kpr)|(kdp)|(\|lc)|(penalty))"</v>
      </c>
      <c r="AG118" s="1" t="str">
        <f t="shared" si="97"/>
        <v>EC</v>
      </c>
      <c r="AH118" s="86" t="str">
        <f t="shared" si="84"/>
        <v>"%USERPROFILE%\Documents\GitHub\eaglep3\Utilities\RefineRTDCRunTimes.py" --tripid 205-15 --locoid 4053 --swversion DE.1.0.9.0 --startMP 204:453 --initTime 2017-03-15T16:47:31 --startdatetime 2017-03-15T16:50:10 --delay 1 --endMP 204:233274 --enddatetime 2017-03-15T17:26:48 --enforcementcount 0 &gt;&gt;C:\Users\stu\Documents\GitHub\eaglep3-reporting\EC\2017-03-15-refined-times.txt</v>
      </c>
      <c r="AI11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{"issue":{"subject":"","project_id":79,"tracker_id":40,"status_id":1,"priority_id":2,"assigned_to_id":23,"start_date":"2017-03-15","description":"","custom_fields":[{"id":1,"name":"Subdivision","value":"EC"},{"id":4,"name":"Milepost","value":"23.3274"},{"id":17,"name":"Train ID","value":"205-15"},{"id":16,"name":"Locomotive ID","value":"4053"},{"id":130,"name":"Impact","value":""},{"id":150,"name":"Time of Event (Mountain Time)","value":"17:26:48"},{"id":151,"name":"Denver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6"/>
        <v>start /low /b %USERPROFILE%\Documents\GitHub\eaglep3\Utilities\DownloadLogsFromS3.py --loco 4053 --day 2017-03-15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</row>
    <row r="119" spans="1:91" s="20" customFormat="1" x14ac:dyDescent="0.25">
      <c r="A119" s="33" t="s">
        <v>765</v>
      </c>
      <c r="B119" s="7">
        <v>4054</v>
      </c>
      <c r="C119" s="21" t="s">
        <v>230</v>
      </c>
      <c r="D119" s="21" t="s">
        <v>545</v>
      </c>
      <c r="E119" s="13">
        <v>42809.731041666666</v>
      </c>
      <c r="F119" s="13">
        <v>42809.73709490741</v>
      </c>
      <c r="G119" s="7">
        <v>2</v>
      </c>
      <c r="H119" s="21" t="s">
        <v>192</v>
      </c>
      <c r="I119" s="13">
        <v>42809.765393518515</v>
      </c>
      <c r="J119" s="7">
        <v>0</v>
      </c>
      <c r="K119" s="98" t="str">
        <f t="shared" si="89"/>
        <v>4053/4054</v>
      </c>
      <c r="L119" s="21" t="str">
        <f>VLOOKUP(A119,'Trips&amp;Operators'!$C$1:$G$99999,5,FALSE)</f>
        <v>DE LA ROSA ALEX</v>
      </c>
      <c r="M119" s="6">
        <f t="shared" si="90"/>
        <v>2.8298611105128657E-2</v>
      </c>
      <c r="N119" s="7">
        <f t="shared" si="87"/>
        <v>40.749999991385266</v>
      </c>
      <c r="O119" s="7"/>
      <c r="P119" s="7"/>
      <c r="Q119" s="22"/>
      <c r="R119" s="22"/>
      <c r="S119" s="31">
        <f t="shared" si="88"/>
        <v>1</v>
      </c>
      <c r="T119" s="46" t="str">
        <f t="shared" si="91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81"/>
        <v>https://d0f6bd738d7f1b3e5a7ca70fe4ff75f0.us-east-1.aws.found.io/app/kibana#/discover/Steve-Slow-Train-Analysis-(2080s-and-2083s)?_g=(refreshInterval:(display:Off,pause:!f,section:0,value:0),time:(from:'2017-03-15T16:32:42-0600',mode:absolute,to:'2017-03-15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187" t="str">
        <f t="shared" si="92"/>
        <v>N</v>
      </c>
      <c r="X119" s="187">
        <f t="shared" si="98"/>
        <v>1</v>
      </c>
      <c r="Y119" s="62">
        <f t="shared" si="93"/>
        <v>23.296700000000001</v>
      </c>
      <c r="Z119" s="62">
        <f t="shared" si="94"/>
        <v>1.4999999999999999E-2</v>
      </c>
      <c r="AA119" s="62">
        <f t="shared" si="95"/>
        <v>23.281700000000001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96"/>
        <v>0206-15</v>
      </c>
      <c r="AE119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19" s="82" t="str">
        <f t="shared" si="83"/>
        <v>"C:\Program Files (x86)\AstroGrep\AstroGrep.exe" /e /r /s /spath="%USERPROFILE%\AppData\Local\Temp\OnboardLogs" /stypes="app*4054*20170316*" /stext=" 00:.+((SYSTEM_STATE.+slice.+state.+changed )|(ment ac)|(multiple cpu faults)|(system.+state.+changed )|(\[timeout)|(PRM\|1\|D)|(kpr)|(kdp)|(\|lc)|(penalty))"</v>
      </c>
      <c r="AG119" s="1" t="str">
        <f t="shared" si="97"/>
        <v>EC</v>
      </c>
      <c r="AH119" s="86" t="str">
        <f t="shared" si="84"/>
        <v>"%USERPROFILE%\Documents\GitHub\eaglep3\Utilities\RefineRTDCRunTimes.py" --tripid 206-15 --locoid 4054 --swversion DE.1.0.9.0 --startMP 204:232967 --initTime 2017-03-15T17:32:42 --startdatetime 2017-03-15T17:41:25 --delay 2 --endMP 204:150 --enddatetime 2017-03-15T18:22:10 --enforcementcount 0 &gt;&gt;C:\Users\stu\Documents\GitHub\eaglep3-reporting\EC\2017-03-15-refined-times.txt</v>
      </c>
      <c r="AI11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ID","value":"206-15"},{"id":16,"name":"Locomotive ID","value":"4054"},{"id":130,"name":"Impact","value":""},{"id":150,"name":"Time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6"/>
        <v>start /low /b %USERPROFILE%\Documents\GitHub\eaglep3\Utilities\DownloadLogsFromS3.py --loco 4054 --day 2017-03-15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756</v>
      </c>
      <c r="B120" s="7">
        <v>4025</v>
      </c>
      <c r="C120" s="21" t="s">
        <v>230</v>
      </c>
      <c r="D120" s="21" t="s">
        <v>237</v>
      </c>
      <c r="E120" s="13">
        <v>42809.706192129626</v>
      </c>
      <c r="F120" s="13">
        <v>42809.708518518521</v>
      </c>
      <c r="G120" s="7">
        <v>1</v>
      </c>
      <c r="H120" s="21" t="s">
        <v>487</v>
      </c>
      <c r="I120" s="13">
        <v>42809.734375</v>
      </c>
      <c r="J120" s="7">
        <v>0</v>
      </c>
      <c r="K120" s="98" t="str">
        <f t="shared" si="89"/>
        <v>4025/4026</v>
      </c>
      <c r="L120" s="21" t="str">
        <f>VLOOKUP(A120,'Trips&amp;Operators'!$C$1:$G$99999,5,FALSE)</f>
        <v>HELVIE ADAM</v>
      </c>
      <c r="M120" s="6">
        <f t="shared" si="90"/>
        <v>2.5856481479422655E-2</v>
      </c>
      <c r="N120" s="7">
        <f t="shared" si="87"/>
        <v>37.233333330368623</v>
      </c>
      <c r="O120" s="7"/>
      <c r="P120" s="7"/>
      <c r="Q120" s="22"/>
      <c r="R120" s="22"/>
      <c r="S120" s="31">
        <f t="shared" si="88"/>
        <v>1</v>
      </c>
      <c r="T120" s="46" t="str">
        <f t="shared" si="91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81"/>
        <v>https://d0f6bd738d7f1b3e5a7ca70fe4ff75f0.us-east-1.aws.found.io/app/kibana#/discover/Steve-Slow-Train-Analysis-(2080s-and-2083s)?_g=(refreshInterval:(display:Off,pause:!f,section:0,value:0),time:(from:'2017-03-15T15:56:55-0600',mode:absolute,to:'2017-03-15T18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7" t="str">
        <f t="shared" si="92"/>
        <v>N</v>
      </c>
      <c r="X120" s="187">
        <f t="shared" si="98"/>
        <v>1</v>
      </c>
      <c r="Y120" s="62">
        <f t="shared" si="93"/>
        <v>4.6699999999999998E-2</v>
      </c>
      <c r="Z120" s="62">
        <f t="shared" si="94"/>
        <v>23.33</v>
      </c>
      <c r="AA120" s="62">
        <f t="shared" si="95"/>
        <v>23.283299999999997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96"/>
        <v>0207-15</v>
      </c>
      <c r="AE120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20" s="82" t="str">
        <f t="shared" si="83"/>
        <v>"C:\Program Files (x86)\AstroGrep\AstroGrep.exe" /e /r /s /spath="%USERPROFILE%\AppData\Local\Temp\OnboardLogs" /stypes="app*4025*20170315*" /stext=" 23:.+((SYSTEM_STATE.+slice.+state.+changed )|(ment ac)|(multiple cpu faults)|(system.+state.+changed )|(\[timeout)|(PRM\|1\|D)|(kpr)|(kdp)|(\|lc)|(penalty))"</v>
      </c>
      <c r="AG120" s="1" t="str">
        <f t="shared" si="97"/>
        <v>EC</v>
      </c>
      <c r="AH120" s="86" t="str">
        <f t="shared" si="84"/>
        <v>"%USERPROFILE%\Documents\GitHub\eaglep3\Utilities\RefineRTDCRunTimes.py" --tripid 207-15 --locoid 4025 --swversion DE.1.0.9.0 --startMP 204:467 --initTime 2017-03-15T16:56:55 --startdatetime 2017-03-15T17:00:16 --delay 1 --endMP 204:233300 --enddatetime 2017-03-15T17:37:30 --enforcementcount 0 &gt;&gt;C:\Users\stu\Documents\GitHub\eaglep3-reporting\EC\2017-03-15-refined-times.txt</v>
      </c>
      <c r="AI12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{"issue":{"subject":"","project_id":79,"tracker_id":40,"status_id":1,"priority_id":2,"assigned_to_id":23,"start_date":"2017-03-15","description":"","custom_fields":[{"id":1,"name":"Subdivision","value":"EC"},{"id":4,"name":"Milepost","value":"23.33"},{"id":17,"name":"Train ID","value":"207-15"},{"id":16,"name":"Locomotive ID","value":"4025"},{"id":130,"name":"Impact","value":""},{"id":150,"name":"Time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6"/>
        <v>start /low /b %USERPROFILE%\Documents\GitHub\eaglep3\Utilities\DownloadLogsFromS3.py --loco 4025 --day 2017-03-15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773</v>
      </c>
      <c r="B121" s="7">
        <v>4026</v>
      </c>
      <c r="C121" s="21" t="s">
        <v>230</v>
      </c>
      <c r="D121" s="21" t="s">
        <v>897</v>
      </c>
      <c r="E121" s="13">
        <v>42809.744212962964</v>
      </c>
      <c r="F121" s="13">
        <v>42809.747511574074</v>
      </c>
      <c r="G121" s="7">
        <v>1</v>
      </c>
      <c r="H121" s="21" t="s">
        <v>841</v>
      </c>
      <c r="I121" s="13">
        <v>42809.775694444441</v>
      </c>
      <c r="J121" s="7">
        <v>0</v>
      </c>
      <c r="K121" s="98" t="str">
        <f t="shared" si="89"/>
        <v>4025/4026</v>
      </c>
      <c r="L121" s="21" t="str">
        <f>VLOOKUP(A121,'Trips&amp;Operators'!$C$1:$G$99999,5,FALSE)</f>
        <v>HELVIE ADAM</v>
      </c>
      <c r="M121" s="6">
        <f t="shared" si="90"/>
        <v>2.8182870366435964E-2</v>
      </c>
      <c r="N121" s="7">
        <f t="shared" si="87"/>
        <v>40.583333327667788</v>
      </c>
      <c r="O121" s="7"/>
      <c r="P121" s="7"/>
      <c r="Q121" s="22"/>
      <c r="R121" s="22"/>
      <c r="S121" s="31">
        <f t="shared" si="88"/>
        <v>1</v>
      </c>
      <c r="T121" s="46" t="str">
        <f t="shared" si="91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81"/>
        <v>https://d0f6bd738d7f1b3e5a7ca70fe4ff75f0.us-east-1.aws.found.io/app/kibana#/discover/Steve-Slow-Train-Analysis-(2080s-and-2083s)?_g=(refreshInterval:(display:Off,pause:!f,section:0,value:0),time:(from:'2017-03-15T16:51:40-0600',mode:absolute,to:'2017-03-15T19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87" t="str">
        <f t="shared" si="92"/>
        <v>N</v>
      </c>
      <c r="X121" s="187">
        <f t="shared" si="98"/>
        <v>1</v>
      </c>
      <c r="Y121" s="62">
        <f t="shared" si="93"/>
        <v>23.2972</v>
      </c>
      <c r="Z121" s="62">
        <f t="shared" si="94"/>
        <v>1.43E-2</v>
      </c>
      <c r="AA121" s="62">
        <f t="shared" si="95"/>
        <v>23.282900000000001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96"/>
        <v>0208-15</v>
      </c>
      <c r="AE121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121" s="82" t="str">
        <f t="shared" si="83"/>
        <v>"C:\Program Files (x86)\AstroGrep\AstroGrep.exe" /e /r /s /spath="%USERPROFILE%\AppData\Local\Temp\OnboardLogs" /stypes="app*4026*20170316*" /stext=" 00:.+((SYSTEM_STATE.+slice.+state.+changed )|(ment ac)|(multiple cpu faults)|(system.+state.+changed )|(\[timeout)|(PRM\|1\|D)|(kpr)|(kdp)|(\|lc)|(penalty))"</v>
      </c>
      <c r="AG121" s="1" t="str">
        <f t="shared" si="97"/>
        <v>EC</v>
      </c>
      <c r="AH121" s="86" t="str">
        <f t="shared" si="84"/>
        <v>"%USERPROFILE%\Documents\GitHub\eaglep3\Utilities\RefineRTDCRunTimes.py" --tripid 208-15 --locoid 4026 --swversion DE.1.0.9.0 --startMP 204:232972 --initTime 2017-03-15T17:51:40 --startdatetime 2017-03-15T17:56:25 --delay 1 --endMP 204:143 --enddatetime 2017-03-15T18:37:00 --enforcementcount 0 &gt;&gt;C:\Users\stu\Documents\GitHub\eaglep3-reporting\EC\2017-03-15-refined-times.txt</v>
      </c>
      <c r="AI12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ID","value":"208-15"},{"id":16,"name":"Locomotive ID","value":"4026"},{"id":130,"name":"Impact","value":""},{"id":150,"name":"Time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6"/>
        <v>start /low /b %USERPROFILE%\Documents\GitHub\eaglep3\Utilities\DownloadLogsFromS3.py --loco 4026 --day 2017-03-15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758</v>
      </c>
      <c r="B122" s="7">
        <v>4011</v>
      </c>
      <c r="C122" s="21" t="s">
        <v>230</v>
      </c>
      <c r="D122" s="21" t="s">
        <v>551</v>
      </c>
      <c r="E122" s="13">
        <v>42809.714791666665</v>
      </c>
      <c r="F122" s="13">
        <v>42809.719108796293</v>
      </c>
      <c r="G122" s="7">
        <v>3</v>
      </c>
      <c r="H122" s="21" t="s">
        <v>241</v>
      </c>
      <c r="I122" s="13">
        <v>42809.74627314815</v>
      </c>
      <c r="J122" s="7">
        <v>0</v>
      </c>
      <c r="K122" s="98" t="str">
        <f t="shared" si="89"/>
        <v>4011/4012</v>
      </c>
      <c r="L122" s="21" t="str">
        <f>VLOOKUP(A122,'Trips&amp;Operators'!$C$1:$G$99999,5,FALSE)</f>
        <v>JACKSON WILLIAM</v>
      </c>
      <c r="M122" s="6">
        <f t="shared" si="90"/>
        <v>2.7164351857209112E-2</v>
      </c>
      <c r="N122" s="7">
        <f t="shared" si="87"/>
        <v>39.116666674381122</v>
      </c>
      <c r="O122" s="7"/>
      <c r="P122" s="7"/>
      <c r="Q122" s="22"/>
      <c r="R122" s="22"/>
      <c r="S122" s="31">
        <f t="shared" si="88"/>
        <v>1</v>
      </c>
      <c r="T122" s="46" t="str">
        <f t="shared" si="91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81"/>
        <v>https://d0f6bd738d7f1b3e5a7ca70fe4ff75f0.us-east-1.aws.found.io/app/kibana#/discover/Steve-Slow-Train-Analysis-(2080s-and-2083s)?_g=(refreshInterval:(display:Off,pause:!f,section:0,value:0),time:(from:'2017-03-15T16:09:18-0600',mode:absolute,to:'2017-03-15T18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87" t="str">
        <f t="shared" si="92"/>
        <v>N</v>
      </c>
      <c r="X122" s="187">
        <f t="shared" si="98"/>
        <v>1</v>
      </c>
      <c r="Y122" s="62">
        <f t="shared" si="93"/>
        <v>5.1499999999999997E-2</v>
      </c>
      <c r="Z122" s="62">
        <f t="shared" si="94"/>
        <v>23.329499999999999</v>
      </c>
      <c r="AA122" s="62">
        <f t="shared" si="95"/>
        <v>23.277999999999999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96"/>
        <v>0209-15</v>
      </c>
      <c r="AE122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22" s="82" t="str">
        <f t="shared" si="83"/>
        <v>"C:\Program Files (x86)\AstroGrep\AstroGrep.exe" /e /r /s /spath="%USERPROFILE%\AppData\Local\Temp\OnboardLogs" /stypes="app*4011*20170315*" /stext=" 23:.+((SYSTEM_STATE.+slice.+state.+changed )|(ment ac)|(multiple cpu faults)|(system.+state.+changed )|(\[timeout)|(PRM\|1\|D)|(kpr)|(kdp)|(\|lc)|(penalty))"</v>
      </c>
      <c r="AG122" s="1" t="str">
        <f t="shared" si="97"/>
        <v>EC</v>
      </c>
      <c r="AH122" s="86" t="str">
        <f t="shared" si="84"/>
        <v>"%USERPROFILE%\Documents\GitHub\eaglep3\Utilities\RefineRTDCRunTimes.py" --tripid 209-15 --locoid 4011 --swversion DE.1.0.9.0 --startMP 204:515 --initTime 2017-03-15T17:09:18 --startdatetime 2017-03-15T17:15:31 --delay 3 --endMP 204:233295 --enddatetime 2017-03-15T17:54:38 --enforcementcount 0 &gt;&gt;C:\Users\stu\Documents\GitHub\eaglep3-reporting\EC\2017-03-15-refined-times.txt</v>
      </c>
      <c r="AI12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ID","value":"209-15"},{"id":16,"name":"Locomotive ID","value":"4011"},{"id":130,"name":"Impact","value":""},{"id":150,"name":"Time of Event (Mountain Time)","value":"17:54:38"},{"id":151,"name":"Denver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6"/>
        <v>start /low /b %USERPROFILE%\Documents\GitHub\eaglep3\Utilities\DownloadLogsFromS3.py --loco 4011 --day 2017-03-15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774</v>
      </c>
      <c r="B123" s="7">
        <v>4012</v>
      </c>
      <c r="C123" s="21" t="s">
        <v>230</v>
      </c>
      <c r="D123" s="21" t="s">
        <v>460</v>
      </c>
      <c r="E123" s="13">
        <v>42809.748460648145</v>
      </c>
      <c r="F123" s="13">
        <v>42809.793692129628</v>
      </c>
      <c r="G123" s="7">
        <v>1</v>
      </c>
      <c r="H123" s="21" t="s">
        <v>841</v>
      </c>
      <c r="I123" s="13">
        <v>42809.824826388889</v>
      </c>
      <c r="J123" s="7">
        <v>0</v>
      </c>
      <c r="K123" s="98" t="str">
        <f t="shared" si="89"/>
        <v>4011/4012</v>
      </c>
      <c r="L123" s="21" t="str">
        <f>VLOOKUP(A123,'Trips&amp;Operators'!$C$1:$G$99999,5,FALSE)</f>
        <v>JACKSON WILLIAM</v>
      </c>
      <c r="M123" s="6">
        <f t="shared" si="90"/>
        <v>3.1134259261307307E-2</v>
      </c>
      <c r="N123" s="7">
        <f t="shared" si="87"/>
        <v>44.833333336282521</v>
      </c>
      <c r="O123" s="7"/>
      <c r="P123" s="7"/>
      <c r="Q123" s="22"/>
      <c r="R123" s="22"/>
      <c r="S123" s="31">
        <f t="shared" si="88"/>
        <v>1</v>
      </c>
      <c r="T123" s="46" t="str">
        <f t="shared" si="91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81"/>
        <v>https://d0f6bd738d7f1b3e5a7ca70fe4ff75f0.us-east-1.aws.found.io/app/kibana#/discover/Steve-Slow-Train-Analysis-(2080s-and-2083s)?_g=(refreshInterval:(display:Off,pause:!f,section:0,value:0),time:(from:'2017-03-15T16:57:47-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187" t="str">
        <f t="shared" si="92"/>
        <v>N</v>
      </c>
      <c r="X123" s="187">
        <f t="shared" si="98"/>
        <v>1</v>
      </c>
      <c r="Y123" s="62">
        <f t="shared" si="93"/>
        <v>23.299800000000001</v>
      </c>
      <c r="Z123" s="62">
        <f t="shared" si="94"/>
        <v>1.43E-2</v>
      </c>
      <c r="AA123" s="62">
        <f t="shared" si="95"/>
        <v>23.285500000000003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96"/>
        <v>0210-15</v>
      </c>
      <c r="AE123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23" s="82" t="str">
        <f t="shared" si="83"/>
        <v>"C:\Program Files (x86)\AstroGrep\AstroGrep.exe" /e /r /s /spath="%USERPROFILE%\AppData\Local\Temp\OnboardLogs" /stypes="app*4012*20170316*" /stext=" 01:.+((SYSTEM_STATE.+slice.+state.+changed )|(ment ac)|(multiple cpu faults)|(system.+state.+changed )|(\[timeout)|(PRM\|1\|D)|(kpr)|(kdp)|(\|lc)|(penalty))"</v>
      </c>
      <c r="AG123" s="1" t="str">
        <f t="shared" si="97"/>
        <v>EC</v>
      </c>
      <c r="AH123" s="86" t="str">
        <f t="shared" si="84"/>
        <v>"%USERPROFILE%\Documents\GitHub\eaglep3\Utilities\RefineRTDCRunTimes.py" --tripid 210-15 --locoid 4012 --swversion DE.1.0.9.0 --startMP 204:232998 --initTime 2017-03-15T17:57:47 --startdatetime 2017-03-15T19:02:55 --delay 1 --endMP 204:143 --enddatetime 2017-03-15T19:47:45 --enforcementcount 0 &gt;&gt;C:\Users\stu\Documents\GitHub\eaglep3-reporting\EC\2017-03-15-refined-times.txt</v>
      </c>
      <c r="AI12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ID","value":"210-15"},{"id":16,"name":"Locomotive ID","value":"4012"},{"id":130,"name":"Impact","value":""},{"id":150,"name":"Time of Event (Mountain Time)","value":"19:47:45"},{"id":151,"name":"Denver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6"/>
        <v>start /low /b %USERPROFILE%\Documents\GitHub\eaglep3\Utilities\DownloadLogsFromS3.py --loco 4012 --day 2017-03-15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763</v>
      </c>
      <c r="B124" s="7">
        <v>4002</v>
      </c>
      <c r="C124" s="21" t="s">
        <v>230</v>
      </c>
      <c r="D124" s="21" t="s">
        <v>851</v>
      </c>
      <c r="E124" s="13">
        <v>42809.725868055553</v>
      </c>
      <c r="F124" s="13">
        <v>42809.729386574072</v>
      </c>
      <c r="G124" s="7">
        <v>2</v>
      </c>
      <c r="H124" s="21" t="s">
        <v>484</v>
      </c>
      <c r="I124" s="13">
        <v>42809.754317129627</v>
      </c>
      <c r="J124" s="7">
        <v>0</v>
      </c>
      <c r="K124" s="98" t="str">
        <f t="shared" si="89"/>
        <v>4001/4002</v>
      </c>
      <c r="L124" s="21" t="str">
        <f>VLOOKUP(A124,'Trips&amp;Operators'!$C$1:$G$99999,5,FALSE)</f>
        <v>MOSES BRADLEY</v>
      </c>
      <c r="M124" s="6">
        <f t="shared" si="90"/>
        <v>2.4930555555329192E-2</v>
      </c>
      <c r="N124" s="7">
        <f t="shared" si="87"/>
        <v>35.899999999674037</v>
      </c>
      <c r="O124" s="7"/>
      <c r="P124" s="7"/>
      <c r="Q124" s="22"/>
      <c r="R124" s="22"/>
      <c r="S124" s="31">
        <f t="shared" si="88"/>
        <v>1</v>
      </c>
      <c r="T124" s="46" t="str">
        <f t="shared" si="91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81"/>
        <v>https://d0f6bd738d7f1b3e5a7ca70fe4ff75f0.us-east-1.aws.found.io/app/kibana#/discover/Steve-Slow-Train-Analysis-(2080s-and-2083s)?_g=(refreshInterval:(display:Off,pause:!f,section:0,value:0),time:(from:'2017-03-15T16:25:15-0600',mode:absolute,to:'2017-03-15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87" t="str">
        <f t="shared" si="92"/>
        <v>N</v>
      </c>
      <c r="X124" s="187">
        <f t="shared" si="98"/>
        <v>1</v>
      </c>
      <c r="Y124" s="62">
        <f t="shared" si="93"/>
        <v>4.7800000000000002E-2</v>
      </c>
      <c r="Z124" s="62">
        <f t="shared" si="94"/>
        <v>23.331900000000001</v>
      </c>
      <c r="AA124" s="62">
        <f t="shared" si="95"/>
        <v>23.284100000000002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96"/>
        <v>0211-15</v>
      </c>
      <c r="AE124" s="85" t="str">
        <f t="shared" si="8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124" s="82" t="str">
        <f t="shared" si="83"/>
        <v>"C:\Program Files (x86)\AstroGrep\AstroGrep.exe" /e /r /s /spath="%USERPROFILE%\AppData\Local\Temp\OnboardLogs" /stypes="app*4002*20170316*" /stext=" 00:.+((SYSTEM_STATE.+slice.+state.+changed )|(ment ac)|(multiple cpu faults)|(system.+state.+changed )|(\[timeout)|(PRM\|1\|D)|(kpr)|(kdp)|(\|lc)|(penalty))"</v>
      </c>
      <c r="AG124" s="1" t="str">
        <f t="shared" si="97"/>
        <v>EC</v>
      </c>
      <c r="AH124" s="86" t="str">
        <f t="shared" si="84"/>
        <v>"%USERPROFILE%\Documents\GitHub\eaglep3\Utilities\RefineRTDCRunTimes.py" --tripid 211-15 --locoid 4002 --swversion DE.1.0.9.0 --startMP 204:478 --initTime 2017-03-15T17:25:15 --startdatetime 2017-03-15T17:30:19 --delay 2 --endMP 204:233319 --enddatetime 2017-03-15T18:06:13 --enforcementcount 0 &gt;&gt;C:\Users\stu\Documents\GitHub\eaglep3-reporting\EC\2017-03-15-refined-times.txt</v>
      </c>
      <c r="AI12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ID","value":"211-15"},{"id":16,"name":"Locomotive ID","value":"4002"},{"id":130,"name":"Impact","value":""},{"id":150,"name":"Time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6"/>
        <v>start /low /b %USERPROFILE%\Documents\GitHub\eaglep3\Utilities\DownloadLogsFromS3.py --loco 4002 --day 2017-03-15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779</v>
      </c>
      <c r="B125" s="7">
        <v>4001</v>
      </c>
      <c r="C125" s="21" t="s">
        <v>230</v>
      </c>
      <c r="D125" s="21" t="s">
        <v>467</v>
      </c>
      <c r="E125" s="13">
        <v>42809.762361111112</v>
      </c>
      <c r="F125" s="13">
        <v>42809.768564814818</v>
      </c>
      <c r="G125" s="7">
        <v>1</v>
      </c>
      <c r="H125" s="21" t="s">
        <v>898</v>
      </c>
      <c r="I125" s="13">
        <v>42809.795208333337</v>
      </c>
      <c r="J125" s="7">
        <v>0</v>
      </c>
      <c r="K125" s="98" t="str">
        <f t="shared" si="89"/>
        <v>4001/4002</v>
      </c>
      <c r="L125" s="21" t="str">
        <f>VLOOKUP(A125,'Trips&amp;Operators'!$C$1:$G$99999,5,FALSE)</f>
        <v>MOSES BRADLEY</v>
      </c>
      <c r="M125" s="6">
        <f t="shared" si="90"/>
        <v>2.6643518518540077E-2</v>
      </c>
      <c r="N125" s="7">
        <f t="shared" si="87"/>
        <v>38.366666666697711</v>
      </c>
      <c r="O125" s="7"/>
      <c r="P125" s="7"/>
      <c r="Q125" s="22"/>
      <c r="R125" s="22"/>
      <c r="S125" s="31">
        <f t="shared" si="88"/>
        <v>1</v>
      </c>
      <c r="T125" s="46" t="str">
        <f t="shared" si="91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81"/>
        <v>https://d0f6bd738d7f1b3e5a7ca70fe4ff75f0.us-east-1.aws.found.io/app/kibana#/discover/Steve-Slow-Train-Analysis-(2080s-and-2083s)?_g=(refreshInterval:(display:Off,pause:!f,section:0,value:0),time:(from:'2017-03-15T17:17:48-0600',mode:absolute,to:'2017-03-15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87" t="str">
        <f t="shared" si="92"/>
        <v>N</v>
      </c>
      <c r="X125" s="187">
        <f t="shared" si="98"/>
        <v>1</v>
      </c>
      <c r="Y125" s="62">
        <f t="shared" si="93"/>
        <v>23.2987</v>
      </c>
      <c r="Z125" s="62">
        <f t="shared" si="94"/>
        <v>1.7000000000000001E-2</v>
      </c>
      <c r="AA125" s="62">
        <f t="shared" si="95"/>
        <v>23.281700000000001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96"/>
        <v>0212-15</v>
      </c>
      <c r="AE125" s="85" t="str">
        <f t="shared" si="8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125" s="82" t="str">
        <f t="shared" si="83"/>
        <v>"C:\Program Files (x86)\AstroGrep\AstroGrep.exe" /e /r /s /spath="%USERPROFILE%\AppData\Local\Temp\OnboardLogs" /stypes="app*4001*20170316*" /stext=" 01:.+((SYSTEM_STATE.+slice.+state.+changed )|(ment ac)|(multiple cpu faults)|(system.+state.+changed )|(\[timeout)|(PRM\|1\|D)|(kpr)|(kdp)|(\|lc)|(penalty))"</v>
      </c>
      <c r="AG125" s="1" t="str">
        <f t="shared" si="97"/>
        <v>EC</v>
      </c>
      <c r="AH125" s="86" t="str">
        <f t="shared" si="84"/>
        <v>"%USERPROFILE%\Documents\GitHub\eaglep3\Utilities\RefineRTDCRunTimes.py" --tripid 212-15 --locoid 4001 --swversion DE.1.0.9.0 --startMP 204:232987 --initTime 2017-03-15T18:17:48 --startdatetime 2017-03-15T18:26:44 --delay 1 --endMP 204:170 --enddatetime 2017-03-15T19:05:06 --enforcementcount 0 &gt;&gt;C:\Users\stu\Documents\GitHub\eaglep3-reporting\EC\2017-03-15-refined-times.txt</v>
      </c>
      <c r="AI12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{"issue":{"subject":"","project_id":79,"tracker_id":40,"status_id":1,"priority_id":2,"assigned_to_id":23,"start_date":"2017-03-15","description":"","custom_fields":[{"id":1,"name":"Subdivision","value":"EC"},{"id":4,"name":"Milepost","value":"0.017"},{"id":17,"name":"Train ID","value":"212-15"},{"id":16,"name":"Locomotive ID","value":"4001"},{"id":130,"name":"Impact","value":""},{"id":150,"name":"Time of Event (Mountain Time)","value":"19:05:06"},{"id":151,"name":"Denver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6"/>
        <v>start /low /b %USERPROFILE%\Documents\GitHub\eaglep3\Utilities\DownloadLogsFromS3.py --loco 4001 --day 2017-03-15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770</v>
      </c>
      <c r="B126" s="7">
        <v>4051</v>
      </c>
      <c r="C126" s="21" t="s">
        <v>230</v>
      </c>
      <c r="D126" s="21" t="s">
        <v>210</v>
      </c>
      <c r="E126" s="13">
        <v>42809.740983796299</v>
      </c>
      <c r="F126" s="13">
        <v>42809.743090277778</v>
      </c>
      <c r="G126" s="7">
        <v>2</v>
      </c>
      <c r="H126" s="21" t="s">
        <v>481</v>
      </c>
      <c r="I126" s="13">
        <v>42809.768599537034</v>
      </c>
      <c r="J126" s="7">
        <v>0</v>
      </c>
      <c r="K126" s="98" t="str">
        <f t="shared" si="89"/>
        <v>4051/4052</v>
      </c>
      <c r="L126" s="21" t="str">
        <f>VLOOKUP(A126,'Trips&amp;Operators'!$C$1:$G$99999,5,FALSE)</f>
        <v>MENGES BRAD</v>
      </c>
      <c r="M126" s="6">
        <f t="shared" si="90"/>
        <v>2.5509259256068617E-2</v>
      </c>
      <c r="N126" s="7">
        <f t="shared" si="87"/>
        <v>36.733333328738809</v>
      </c>
      <c r="O126" s="7"/>
      <c r="P126" s="7"/>
      <c r="Q126" s="22"/>
      <c r="R126" s="22"/>
      <c r="S126" s="31">
        <f t="shared" si="88"/>
        <v>1</v>
      </c>
      <c r="T126" s="46" t="str">
        <f t="shared" si="91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81"/>
        <v>https://d0f6bd738d7f1b3e5a7ca70fe4ff75f0.us-east-1.aws.found.io/app/kibana#/discover/Steve-Slow-Train-Analysis-(2080s-and-2083s)?_g=(refreshInterval:(display:Off,pause:!f,section:0,value:0),time:(from:'2017-03-15T16:47:01-0600',mode:absolute,to:'2017-03-15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187" t="str">
        <f t="shared" si="92"/>
        <v>N</v>
      </c>
      <c r="X126" s="187">
        <f t="shared" si="98"/>
        <v>1</v>
      </c>
      <c r="Y126" s="62">
        <f t="shared" si="93"/>
        <v>4.5699999999999998E-2</v>
      </c>
      <c r="Z126" s="62">
        <f t="shared" si="94"/>
        <v>23.3291</v>
      </c>
      <c r="AA126" s="62">
        <f t="shared" si="95"/>
        <v>23.2834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96"/>
        <v>0213-15</v>
      </c>
      <c r="AE126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26" s="82" t="str">
        <f t="shared" si="83"/>
        <v>"C:\Program Files (x86)\AstroGrep\AstroGrep.exe" /e /r /s /spath="%USERPROFILE%\AppData\Local\Temp\OnboardLogs" /stypes="app*4051*20170316*" /stext=" 00:.+((SYSTEM_STATE.+slice.+state.+changed )|(ment ac)|(multiple cpu faults)|(system.+state.+changed )|(\[timeout)|(PRM\|1\|D)|(kpr)|(kdp)|(\|lc)|(penalty))"</v>
      </c>
      <c r="AG126" s="1" t="str">
        <f t="shared" si="97"/>
        <v>EC</v>
      </c>
      <c r="AH126" s="86" t="str">
        <f t="shared" si="84"/>
        <v>"%USERPROFILE%\Documents\GitHub\eaglep3\Utilities\RefineRTDCRunTimes.py" --tripid 213-15 --locoid 4051 --swversion DE.1.0.9.0 --startMP 204:457 --initTime 2017-03-15T17:47:01 --startdatetime 2017-03-15T17:50:03 --delay 2 --endMP 204:233291 --enddatetime 2017-03-15T18:26:47 --enforcementcount 0 &gt;&gt;C:\Users\stu\Documents\GitHub\eaglep3-reporting\EC\2017-03-15-refined-times.txt</v>
      </c>
      <c r="AI12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ID","value":"213-15"},{"id":16,"name":"Locomotive ID","value":"4051"},{"id":130,"name":"Impact","value":""},{"id":150,"name":"Time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6"/>
        <v>start /low /b %USERPROFILE%\Documents\GitHub\eaglep3\Utilities\DownloadLogsFromS3.py --loco 4051 --day 2017-03-15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782</v>
      </c>
      <c r="B127" s="7">
        <v>4052</v>
      </c>
      <c r="C127" s="21" t="s">
        <v>230</v>
      </c>
      <c r="D127" s="21" t="s">
        <v>489</v>
      </c>
      <c r="E127" s="13">
        <v>42809.774988425925</v>
      </c>
      <c r="F127" s="13">
        <v>42809.778807870367</v>
      </c>
      <c r="G127" s="7">
        <v>2</v>
      </c>
      <c r="H127" s="21" t="s">
        <v>542</v>
      </c>
      <c r="I127" s="13">
        <v>42809.806435185186</v>
      </c>
      <c r="J127" s="7">
        <v>0</v>
      </c>
      <c r="K127" s="98" t="str">
        <f t="shared" si="89"/>
        <v>4051/4052</v>
      </c>
      <c r="L127" s="21" t="str">
        <f>VLOOKUP(A127,'Trips&amp;Operators'!$C$1:$G$99999,5,FALSE)</f>
        <v>MENGES BRAD</v>
      </c>
      <c r="M127" s="6">
        <f t="shared" si="90"/>
        <v>2.7627314819255844E-2</v>
      </c>
      <c r="N127" s="7">
        <f t="shared" si="87"/>
        <v>39.783333339728415</v>
      </c>
      <c r="O127" s="7"/>
      <c r="P127" s="7"/>
      <c r="Q127" s="22"/>
      <c r="R127" s="22"/>
      <c r="S127" s="31">
        <f t="shared" si="88"/>
        <v>1</v>
      </c>
      <c r="T127" s="46" t="str">
        <f t="shared" si="91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81"/>
        <v>https://d0f6bd738d7f1b3e5a7ca70fe4ff75f0.us-east-1.aws.found.io/app/kibana#/discover/Steve-Slow-Train-Analysis-(2080s-and-2083s)?_g=(refreshInterval:(display:Off,pause:!f,section:0,value:0),time:(from:'2017-03-15T17:35:59-0600',mode:absolute,to:'2017-03-15T20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187" t="str">
        <f t="shared" si="92"/>
        <v>N</v>
      </c>
      <c r="X127" s="187">
        <f t="shared" si="98"/>
        <v>1</v>
      </c>
      <c r="Y127" s="62">
        <f t="shared" si="93"/>
        <v>23.295500000000001</v>
      </c>
      <c r="Z127" s="62">
        <f t="shared" si="94"/>
        <v>1.6299999999999999E-2</v>
      </c>
      <c r="AA127" s="62">
        <f t="shared" si="95"/>
        <v>23.279199999999999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96"/>
        <v>0214-15</v>
      </c>
      <c r="AE127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27" s="82" t="str">
        <f t="shared" si="83"/>
        <v>"C:\Program Files (x86)\AstroGrep\AstroGrep.exe" /e /r /s /spath="%USERPROFILE%\AppData\Local\Temp\OnboardLogs" /stypes="app*4052*20170316*" /stext=" 01:.+((SYSTEM_STATE.+slice.+state.+changed )|(ment ac)|(multiple cpu faults)|(system.+state.+changed )|(\[timeout)|(PRM\|1\|D)|(kpr)|(kdp)|(\|lc)|(penalty))"</v>
      </c>
      <c r="AG127" s="1" t="str">
        <f t="shared" si="97"/>
        <v>EC</v>
      </c>
      <c r="AH127" s="86" t="str">
        <f t="shared" si="84"/>
        <v>"%USERPROFILE%\Documents\GitHub\eaglep3\Utilities\RefineRTDCRunTimes.py" --tripid 214-15 --locoid 4052 --swversion DE.1.0.9.0 --startMP 204:232955 --initTime 2017-03-15T18:35:59 --startdatetime 2017-03-15T18:41:29 --delay 2 --endMP 204:163 --enddatetime 2017-03-15T19:21:16 --enforcementcount 0 &gt;&gt;C:\Users\stu\Documents\GitHub\eaglep3-reporting\EC\2017-03-15-refined-times.txt</v>
      </c>
      <c r="AI12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ID","value":"214-15"},{"id":16,"name":"Locomotive ID","value":"4052"},{"id":130,"name":"Impact","value":""},{"id":150,"name":"Time of Event (Mountain Time)","value":"19:21:16"},{"id":151,"name":"Denver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6"/>
        <v>start /low /b %USERPROFILE%\Documents\GitHub\eaglep3\Utilities\DownloadLogsFromS3.py --loco 4052 --day 2017-03-15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775</v>
      </c>
      <c r="B128" s="7">
        <v>4040</v>
      </c>
      <c r="C128" s="21" t="s">
        <v>230</v>
      </c>
      <c r="D128" s="21" t="s">
        <v>231</v>
      </c>
      <c r="E128" s="13">
        <v>42809.749074074076</v>
      </c>
      <c r="F128" s="13">
        <v>42809.750937500001</v>
      </c>
      <c r="G128" s="7">
        <v>1</v>
      </c>
      <c r="H128" s="21" t="s">
        <v>899</v>
      </c>
      <c r="I128" s="13">
        <v>42809.77553240741</v>
      </c>
      <c r="J128" s="7">
        <v>0</v>
      </c>
      <c r="K128" s="98" t="str">
        <f t="shared" si="89"/>
        <v>4039/4040</v>
      </c>
      <c r="L128" s="21" t="str">
        <f>VLOOKUP(A128,'Trips&amp;Operators'!$C$1:$G$99999,5,FALSE)</f>
        <v>DELGADO DIANAH</v>
      </c>
      <c r="M128" s="6">
        <f t="shared" si="90"/>
        <v>2.4594907408754807E-2</v>
      </c>
      <c r="N128" s="7">
        <f t="shared" si="87"/>
        <v>35.416666668606922</v>
      </c>
      <c r="O128" s="7"/>
      <c r="P128" s="7"/>
      <c r="Q128" s="22"/>
      <c r="R128" s="22"/>
      <c r="S128" s="31">
        <f t="shared" si="88"/>
        <v>1</v>
      </c>
      <c r="T128" s="46" t="str">
        <f t="shared" si="91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81"/>
        <v>https://d0f6bd738d7f1b3e5a7ca70fe4ff75f0.us-east-1.aws.found.io/app/kibana#/discover/Steve-Slow-Train-Analysis-(2080s-and-2083s)?_g=(refreshInterval:(display:Off,pause:!f,section:0,value:0),time:(from:'2017-03-15T16:58:40-0600',mode:absolute,to:'2017-03-15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87" t="str">
        <f t="shared" si="92"/>
        <v>N</v>
      </c>
      <c r="X128" s="187">
        <f t="shared" si="98"/>
        <v>1</v>
      </c>
      <c r="Y128" s="62">
        <f t="shared" si="93"/>
        <v>4.58E-2</v>
      </c>
      <c r="Z128" s="62">
        <f t="shared" si="94"/>
        <v>23.333200000000001</v>
      </c>
      <c r="AA128" s="62">
        <f t="shared" si="95"/>
        <v>23.287400000000002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96"/>
        <v>0215-15</v>
      </c>
      <c r="AE128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28" s="82" t="str">
        <f t="shared" si="83"/>
        <v>"C:\Program Files (x86)\AstroGrep\AstroGrep.exe" /e /r /s /spath="%USERPROFILE%\AppData\Local\Temp\OnboardLogs" /stypes="app*4040*20170316*" /stext=" 00:.+((SYSTEM_STATE.+slice.+state.+changed )|(ment ac)|(multiple cpu faults)|(system.+state.+changed )|(\[timeout)|(PRM\|1\|D)|(kpr)|(kdp)|(\|lc)|(penalty))"</v>
      </c>
      <c r="AG128" s="1" t="str">
        <f t="shared" si="97"/>
        <v>EC</v>
      </c>
      <c r="AH128" s="86" t="str">
        <f t="shared" si="84"/>
        <v>"%USERPROFILE%\Documents\GitHub\eaglep3\Utilities\RefineRTDCRunTimes.py" --tripid 215-15 --locoid 4040 --swversion DE.1.0.9.0 --startMP 204:458 --initTime 2017-03-15T17:58:40 --startdatetime 2017-03-15T18:01:21 --delay 1 --endMP 204:233332 --enddatetime 2017-03-15T18:36:46 --enforcementcount 0 &gt;&gt;C:\Users\stu\Documents\GitHub\eaglep3-reporting\EC\2017-03-15-refined-times.txt</v>
      </c>
      <c r="AI12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{"issue":{"subject":"","project_id":79,"tracker_id":40,"status_id":1,"priority_id":2,"assigned_to_id":23,"start_date":"2017-03-15","description":"","custom_fields":[{"id":1,"name":"Subdivision","value":"EC"},{"id":4,"name":"Milepost","value":"23.3332"},{"id":17,"name":"Train ID","value":"215-15"},{"id":16,"name":"Locomotive ID","value":"4040"},{"id":130,"name":"Impact","value":""},{"id":150,"name":"Time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6"/>
        <v>start /low /b %USERPROFILE%\Documents\GitHub\eaglep3\Utilities\DownloadLogsFromS3.py --loco 4040 --day 2017-03-15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785</v>
      </c>
      <c r="B129" s="7">
        <v>4039</v>
      </c>
      <c r="C129" s="21" t="s">
        <v>230</v>
      </c>
      <c r="D129" s="21" t="s">
        <v>890</v>
      </c>
      <c r="E129" s="13">
        <v>42809.779340277775</v>
      </c>
      <c r="F129" s="13">
        <v>42809.789224537039</v>
      </c>
      <c r="G129" s="7">
        <v>1</v>
      </c>
      <c r="H129" s="21" t="s">
        <v>192</v>
      </c>
      <c r="I129" s="13">
        <v>42809.815567129626</v>
      </c>
      <c r="J129" s="7">
        <v>0</v>
      </c>
      <c r="K129" s="98" t="str">
        <f t="shared" si="89"/>
        <v>4039/4040</v>
      </c>
      <c r="L129" s="21" t="str">
        <f>VLOOKUP(A129,'Trips&amp;Operators'!$C$1:$G$99999,5,FALSE)</f>
        <v>DELGADO DIANAH</v>
      </c>
      <c r="M129" s="6">
        <f t="shared" si="90"/>
        <v>2.6342592587752733E-2</v>
      </c>
      <c r="N129" s="7">
        <f t="shared" si="87"/>
        <v>37.933333326363936</v>
      </c>
      <c r="O129" s="7"/>
      <c r="P129" s="7"/>
      <c r="Q129" s="22"/>
      <c r="R129" s="22"/>
      <c r="S129" s="31">
        <f t="shared" si="88"/>
        <v>1</v>
      </c>
      <c r="T129" s="46" t="str">
        <f t="shared" si="91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81"/>
        <v>https://d0f6bd738d7f1b3e5a7ca70fe4ff75f0.us-east-1.aws.found.io/app/kibana#/discover/Steve-Slow-Train-Analysis-(2080s-and-2083s)?_g=(refreshInterval:(display:Off,pause:!f,section:0,value:0),time:(from:'2017-03-15T17:42:15-0600',mode:absolute,to:'2017-03-15T20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87" t="str">
        <f t="shared" si="92"/>
        <v>N</v>
      </c>
      <c r="X129" s="187">
        <f t="shared" si="98"/>
        <v>1</v>
      </c>
      <c r="Y129" s="62">
        <f t="shared" si="93"/>
        <v>23.301300000000001</v>
      </c>
      <c r="Z129" s="62">
        <f t="shared" si="94"/>
        <v>1.4999999999999999E-2</v>
      </c>
      <c r="AA129" s="62">
        <f t="shared" si="95"/>
        <v>23.286300000000001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96"/>
        <v>0216-15</v>
      </c>
      <c r="AE129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29" s="82" t="str">
        <f t="shared" si="83"/>
        <v>"C:\Program Files (x86)\AstroGrep\AstroGrep.exe" /e /r /s /spath="%USERPROFILE%\AppData\Local\Temp\OnboardLogs" /stypes="app*4039*20170316*" /stext=" 01:.+((SYSTEM_STATE.+slice.+state.+changed )|(ment ac)|(multiple cpu faults)|(system.+state.+changed )|(\[timeout)|(PRM\|1\|D)|(kpr)|(kdp)|(\|lc)|(penalty))"</v>
      </c>
      <c r="AG129" s="1" t="str">
        <f t="shared" si="97"/>
        <v>EC</v>
      </c>
      <c r="AH129" s="86" t="str">
        <f t="shared" si="84"/>
        <v>"%USERPROFILE%\Documents\GitHub\eaglep3\Utilities\RefineRTDCRunTimes.py" --tripid 216-15 --locoid 4039 --swversion DE.1.0.9.0 --startMP 204:233013 --initTime 2017-03-15T18:42:15 --startdatetime 2017-03-15T18:56:29 --delay 1 --endMP 204:150 --enddatetime 2017-03-15T19:34:25 --enforcementcount 0 &gt;&gt;C:\Users\stu\Documents\GitHub\eaglep3-reporting\EC\2017-03-15-refined-times.txt</v>
      </c>
      <c r="AI12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ID","value":"216-15"},{"id":16,"name":"Locomotive ID","value":"4039"},{"id":130,"name":"Impact","value":""},{"id":150,"name":"Time of Event (Mountain Time)","value":"19:34:25"},{"id":151,"name":"Denver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86"/>
        <v>start /low /b %USERPROFILE%\Documents\GitHub\eaglep3\Utilities\DownloadLogsFromS3.py --loco 4039 --day 2017-03-15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617</v>
      </c>
      <c r="B130" s="7">
        <v>4020</v>
      </c>
      <c r="C130" s="21" t="s">
        <v>230</v>
      </c>
      <c r="D130" s="21" t="s">
        <v>246</v>
      </c>
      <c r="E130" s="13">
        <v>42809.756666666668</v>
      </c>
      <c r="F130" s="13">
        <v>42809.760659722226</v>
      </c>
      <c r="G130" s="7">
        <v>1</v>
      </c>
      <c r="H130" s="21" t="s">
        <v>232</v>
      </c>
      <c r="I130" s="13">
        <v>42809.786990740744</v>
      </c>
      <c r="J130" s="7">
        <v>0</v>
      </c>
      <c r="K130" s="98" t="str">
        <f t="shared" si="89"/>
        <v>4019/4020</v>
      </c>
      <c r="L130" s="21" t="str">
        <f>VLOOKUP(A130,'Trips&amp;Operators'!$C$1:$G$99999,5,FALSE)</f>
        <v>BROWN JACOB</v>
      </c>
      <c r="M130" s="6">
        <f t="shared" si="90"/>
        <v>2.6331018518249039E-2</v>
      </c>
      <c r="N130" s="7">
        <f t="shared" si="87"/>
        <v>37.916666666278616</v>
      </c>
      <c r="O130" s="7"/>
      <c r="P130" s="7"/>
      <c r="Q130" s="22"/>
      <c r="R130" s="22"/>
      <c r="S130" s="31">
        <f t="shared" si="88"/>
        <v>1</v>
      </c>
      <c r="T130" s="46" t="str">
        <f t="shared" si="91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81"/>
        <v>https://d0f6bd738d7f1b3e5a7ca70fe4ff75f0.us-east-1.aws.found.io/app/kibana#/discover/Steve-Slow-Train-Analysis-(2080s-and-2083s)?_g=(refreshInterval:(display:Off,pause:!f,section:0,value:0),time:(from:'2017-03-15T17:09:36-0600',mode:absolute,to:'2017-03-15T19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87" t="str">
        <f t="shared" si="92"/>
        <v>N</v>
      </c>
      <c r="X130" s="187">
        <f t="shared" si="98"/>
        <v>1</v>
      </c>
      <c r="Y130" s="62">
        <f t="shared" si="93"/>
        <v>4.6899999999999997E-2</v>
      </c>
      <c r="Z130" s="62">
        <f t="shared" si="94"/>
        <v>23.331399999999999</v>
      </c>
      <c r="AA130" s="62">
        <f t="shared" si="95"/>
        <v>23.284499999999998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96"/>
        <v>0217-15</v>
      </c>
      <c r="AE130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0" s="82" t="str">
        <f t="shared" si="83"/>
        <v>"C:\Program Files (x86)\AstroGrep\AstroGrep.exe" /e /r /s /spath="%USERPROFILE%\AppData\Local\Temp\OnboardLogs" /stypes="app*4020*20170316*" /stext=" 00:.+((SYSTEM_STATE.+slice.+state.+changed )|(ment ac)|(multiple cpu faults)|(system.+state.+changed )|(\[timeout)|(PRM\|1\|D)|(kpr)|(kdp)|(\|lc)|(penalty))"</v>
      </c>
      <c r="AG130" s="1" t="str">
        <f t="shared" si="97"/>
        <v>EC</v>
      </c>
      <c r="AH130" s="86" t="str">
        <f t="shared" si="84"/>
        <v>"%USERPROFILE%\Documents\GitHub\eaglep3\Utilities\RefineRTDCRunTimes.py" --tripid 217-15 --locoid 4020 --swversion DE.1.0.9.0 --startMP 204:469 --initTime 2017-03-15T18:09:36 --startdatetime 2017-03-15T18:15:21 --delay 1 --endMP 204:233314 --enddatetime 2017-03-15T18:53:16 --enforcementcount 0 &gt;&gt;C:\Users\stu\Documents\GitHub\eaglep3-reporting\EC\2017-03-15-refined-times.txt</v>
      </c>
      <c r="AI13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{"issue":{"subject":"","project_id":79,"tracker_id":40,"status_id":1,"priority_id":2,"assigned_to_id":23,"start_date":"2017-03-15","description":"","custom_fields":[{"id":1,"name":"Subdivision","value":"EC"},{"id":4,"name":"Milepost","value":"23.3314"},{"id":17,"name":"Train ID","value":"217-15"},{"id":16,"name":"Locomotive ID","value":"4020"},{"id":130,"name":"Impact","value":""},{"id":150,"name":"Time of Event (Mountain Time)","value":"18:53:16"},{"id":151,"name":"Denver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6"/>
        <v>start /low /b %USERPROFILE%\Documents\GitHub\eaglep3\Utilities\DownloadLogsFromS3.py --loco 4020 --day 2017-03-15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787</v>
      </c>
      <c r="B131" s="7">
        <v>4019</v>
      </c>
      <c r="C131" s="21" t="s">
        <v>230</v>
      </c>
      <c r="D131" s="21" t="s">
        <v>900</v>
      </c>
      <c r="E131" s="13">
        <v>42809.795925925922</v>
      </c>
      <c r="F131" s="13">
        <v>42809.799456018518</v>
      </c>
      <c r="G131" s="7">
        <v>1</v>
      </c>
      <c r="H131" s="21" t="s">
        <v>434</v>
      </c>
      <c r="I131" s="13">
        <v>42809.826608796298</v>
      </c>
      <c r="J131" s="7">
        <v>0</v>
      </c>
      <c r="K131" s="98" t="str">
        <f t="shared" si="89"/>
        <v>4019/4020</v>
      </c>
      <c r="L131" s="21" t="str">
        <f>VLOOKUP(A131,'Trips&amp;Operators'!$C$1:$G$99999,5,FALSE)</f>
        <v>BROWN JACOB</v>
      </c>
      <c r="M131" s="6">
        <f t="shared" si="90"/>
        <v>2.715277778042946E-2</v>
      </c>
      <c r="N131" s="7">
        <f t="shared" si="87"/>
        <v>39.100000003818423</v>
      </c>
      <c r="O131" s="7"/>
      <c r="P131" s="7"/>
      <c r="Q131" s="22"/>
      <c r="R131" s="22"/>
      <c r="S131" s="31">
        <f t="shared" si="88"/>
        <v>1</v>
      </c>
      <c r="T131" s="46" t="str">
        <f t="shared" si="91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81"/>
        <v>https://d0f6bd738d7f1b3e5a7ca70fe4ff75f0.us-east-1.aws.found.io/app/kibana#/discover/Steve-Slow-Train-Analysis-(2080s-and-2083s)?_g=(refreshInterval:(display:Off,pause:!f,section:0,value:0),time:(from:'2017-03-15T18:06:08-0600',mode:absolute,to:'2017-03-15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87" t="str">
        <f t="shared" si="92"/>
        <v>N</v>
      </c>
      <c r="X131" s="187">
        <f t="shared" si="98"/>
        <v>1</v>
      </c>
      <c r="Y131" s="62">
        <f t="shared" si="93"/>
        <v>23.3017</v>
      </c>
      <c r="Z131" s="62">
        <f t="shared" si="94"/>
        <v>1.6500000000000001E-2</v>
      </c>
      <c r="AA131" s="62">
        <f t="shared" si="95"/>
        <v>23.2852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96"/>
        <v>0218-15</v>
      </c>
      <c r="AE131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31" s="82" t="str">
        <f t="shared" si="83"/>
        <v>"C:\Program Files (x86)\AstroGrep\AstroGrep.exe" /e /r /s /spath="%USERPROFILE%\AppData\Local\Temp\OnboardLogs" /stypes="app*4019*20170316*" /stext=" 01:.+((SYSTEM_STATE.+slice.+state.+changed )|(ment ac)|(multiple cpu faults)|(system.+state.+changed )|(\[timeout)|(PRM\|1\|D)|(kpr)|(kdp)|(\|lc)|(penalty))"</v>
      </c>
      <c r="AG131" s="1" t="str">
        <f t="shared" si="97"/>
        <v>EC</v>
      </c>
      <c r="AH131" s="86" t="str">
        <f t="shared" si="84"/>
        <v>"%USERPROFILE%\Documents\GitHub\eaglep3\Utilities\RefineRTDCRunTimes.py" --tripid 218-15 --locoid 4019 --swversion DE.1.0.9.0 --startMP 204:233017 --initTime 2017-03-15T19:06:08 --startdatetime 2017-03-15T19:11:13 --delay 1 --endMP 204:165 --enddatetime 2017-03-15T19:50:19 --enforcementcount 0 &gt;&gt;C:\Users\stu\Documents\GitHub\eaglep3-reporting\EC\2017-03-15-refined-times.txt</v>
      </c>
      <c r="AI13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{"issue":{"subject":"","project_id":79,"tracker_id":40,"status_id":1,"priority_id":2,"assigned_to_id":23,"start_date":"2017-03-15","description":"","custom_fields":[{"id":1,"name":"Subdivision","value":"EC"},{"id":4,"name":"Milepost","value":"0.0165"},{"id":17,"name":"Train ID","value":"218-15"},{"id":16,"name":"Locomotive ID","value":"4019"},{"id":130,"name":"Impact","value":""},{"id":150,"name":"Time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6"/>
        <v>start /low /b %USERPROFILE%\Documents\GitHub\eaglep3\Utilities\DownloadLogsFromS3.py --loco 4019 --day 2017-03-15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781</v>
      </c>
      <c r="B132" s="7">
        <v>4053</v>
      </c>
      <c r="C132" s="21" t="s">
        <v>230</v>
      </c>
      <c r="D132" s="21" t="s">
        <v>225</v>
      </c>
      <c r="E132" s="13">
        <v>42809.767569444448</v>
      </c>
      <c r="F132" s="13">
        <v>42809.771203703705</v>
      </c>
      <c r="G132" s="7">
        <v>1</v>
      </c>
      <c r="H132" s="21" t="s">
        <v>826</v>
      </c>
      <c r="I132" s="13">
        <v>42809.795624999999</v>
      </c>
      <c r="J132" s="7">
        <v>0</v>
      </c>
      <c r="K132" s="98" t="str">
        <f t="shared" si="89"/>
        <v>4053/4054</v>
      </c>
      <c r="L132" s="21" t="str">
        <f>VLOOKUP(A132,'Trips&amp;Operators'!$C$1:$G$99999,5,FALSE)</f>
        <v>NEWELL JAMES</v>
      </c>
      <c r="M132" s="6">
        <f t="shared" si="90"/>
        <v>2.4421296293439809E-2</v>
      </c>
      <c r="N132" s="7">
        <f t="shared" si="87"/>
        <v>35.166666662553325</v>
      </c>
      <c r="O132" s="7"/>
      <c r="P132" s="7"/>
      <c r="Q132" s="22"/>
      <c r="R132" s="22"/>
      <c r="S132" s="31">
        <f t="shared" si="88"/>
        <v>1</v>
      </c>
      <c r="T132" s="46" t="str">
        <f t="shared" si="91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81"/>
        <v>https://d0f6bd738d7f1b3e5a7ca70fe4ff75f0.us-east-1.aws.found.io/app/kibana#/discover/Steve-Slow-Train-Analysis-(2080s-and-2083s)?_g=(refreshInterval:(display:Off,pause:!f,section:0,value:0),time:(from:'2017-03-15T17:25:18-0600',mode:absolute,to:'2017-03-15T20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87" t="str">
        <f t="shared" si="92"/>
        <v>N</v>
      </c>
      <c r="X132" s="187">
        <f t="shared" si="98"/>
        <v>1</v>
      </c>
      <c r="Y132" s="62">
        <f t="shared" si="93"/>
        <v>4.6600000000000003E-2</v>
      </c>
      <c r="Z132" s="62">
        <f t="shared" si="94"/>
        <v>23.329799999999999</v>
      </c>
      <c r="AA132" s="62">
        <f t="shared" si="95"/>
        <v>23.283199999999997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96"/>
        <v>0219-15</v>
      </c>
      <c r="AE132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32" s="82" t="str">
        <f t="shared" si="83"/>
        <v>"C:\Program Files (x86)\AstroGrep\AstroGrep.exe" /e /r /s /spath="%USERPROFILE%\AppData\Local\Temp\OnboardLogs" /stypes="app*4053*20170316*" /stext=" 01:.+((SYSTEM_STATE.+slice.+state.+changed )|(ment ac)|(multiple cpu faults)|(system.+state.+changed )|(\[timeout)|(PRM\|1\|D)|(kpr)|(kdp)|(\|lc)|(penalty))"</v>
      </c>
      <c r="AG132" s="1" t="str">
        <f t="shared" si="97"/>
        <v>EC</v>
      </c>
      <c r="AH132" s="86" t="str">
        <f t="shared" si="84"/>
        <v>"%USERPROFILE%\Documents\GitHub\eaglep3\Utilities\RefineRTDCRunTimes.py" --tripid 219-15 --locoid 4053 --swversion DE.1.0.9.0 --startMP 204:466 --initTime 2017-03-15T18:25:18 --startdatetime 2017-03-15T18:30:32 --delay 1 --endMP 204:233298 --enddatetime 2017-03-15T19:05:42 --enforcementcount 0 &gt;&gt;C:\Users\stu\Documents\GitHub\eaglep3-reporting\EC\2017-03-15-refined-times.txt</v>
      </c>
      <c r="AI13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ID","value":"219-15"},{"id":16,"name":"Locomotive ID","value":"4053"},{"id":130,"name":"Impact","value":""},{"id":150,"name":"Time of Event (Mountain Time)","value":"19:05:42"},{"id":151,"name":"Denver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6"/>
        <v>start /low /b %USERPROFILE%\Documents\GitHub\eaglep3\Utilities\DownloadLogsFromS3.py --loco 4053 --day 2017-03-15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790</v>
      </c>
      <c r="B133" s="7">
        <v>4054</v>
      </c>
      <c r="C133" s="21" t="s">
        <v>230</v>
      </c>
      <c r="D133" s="21" t="s">
        <v>431</v>
      </c>
      <c r="E133" s="13">
        <v>42809.800532407404</v>
      </c>
      <c r="F133" s="13">
        <v>42809.809884259259</v>
      </c>
      <c r="G133" s="7">
        <v>1</v>
      </c>
      <c r="H133" s="21" t="s">
        <v>841</v>
      </c>
      <c r="I133" s="13">
        <v>42809.836111111108</v>
      </c>
      <c r="J133" s="7">
        <v>0</v>
      </c>
      <c r="K133" s="98" t="str">
        <f t="shared" si="89"/>
        <v>4053/4054</v>
      </c>
      <c r="L133" s="21" t="str">
        <f>VLOOKUP(A133,'Trips&amp;Operators'!$C$1:$G$99999,5,FALSE)</f>
        <v>NEWELL JAMES</v>
      </c>
      <c r="M133" s="6">
        <f t="shared" si="90"/>
        <v>2.622685184906004E-2</v>
      </c>
      <c r="N133" s="7">
        <f t="shared" si="87"/>
        <v>37.766666662646458</v>
      </c>
      <c r="O133" s="7"/>
      <c r="P133" s="7"/>
      <c r="Q133" s="22"/>
      <c r="R133" s="22"/>
      <c r="S133" s="31">
        <f t="shared" si="88"/>
        <v>1</v>
      </c>
      <c r="T133" s="46" t="str">
        <f t="shared" si="91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81"/>
        <v>https://d0f6bd738d7f1b3e5a7ca70fe4ff75f0.us-east-1.aws.found.io/app/kibana#/discover/Steve-Slow-Train-Analysis-(2080s-and-2083s)?_g=(refreshInterval:(display:Off,pause:!f,section:0,value:0),time:(from:'2017-03-15T18:12:46-0600',mode:absolute,to:'2017-03-15T21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87" t="str">
        <f t="shared" si="92"/>
        <v>N</v>
      </c>
      <c r="X133" s="187">
        <f t="shared" si="98"/>
        <v>1</v>
      </c>
      <c r="Y133" s="62">
        <f t="shared" si="93"/>
        <v>23.299600000000002</v>
      </c>
      <c r="Z133" s="62">
        <f t="shared" si="94"/>
        <v>1.43E-2</v>
      </c>
      <c r="AA133" s="62">
        <f t="shared" si="95"/>
        <v>23.285300000000003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96"/>
        <v>0220-15</v>
      </c>
      <c r="AE133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33" s="82" t="str">
        <f t="shared" si="83"/>
        <v>"C:\Program Files (x86)\AstroGrep\AstroGrep.exe" /e /r /s /spath="%USERPROFILE%\AppData\Local\Temp\OnboardLogs" /stypes="app*4054*20170316*" /stext=" 02:.+((SYSTEM_STATE.+slice.+state.+changed )|(ment ac)|(multiple cpu faults)|(system.+state.+changed )|(\[timeout)|(PRM\|1\|D)|(kpr)|(kdp)|(\|lc)|(penalty))"</v>
      </c>
      <c r="AG133" s="1" t="str">
        <f t="shared" si="97"/>
        <v>EC</v>
      </c>
      <c r="AH133" s="86" t="str">
        <f t="shared" si="84"/>
        <v>"%USERPROFILE%\Documents\GitHub\eaglep3\Utilities\RefineRTDCRunTimes.py" --tripid 220-15 --locoid 4054 --swversion DE.1.0.9.0 --startMP 204:232996 --initTime 2017-03-15T19:12:46 --startdatetime 2017-03-15T19:26:14 --delay 1 --endMP 204:143 --enddatetime 2017-03-15T20:04:00 --enforcementcount 0 &gt;&gt;C:\Users\stu\Documents\GitHub\eaglep3-reporting\EC\2017-03-15-refined-times.txt</v>
      </c>
      <c r="AI13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ID","value":"220-15"},{"id":16,"name":"Locomotive ID","value":"4054"},{"id":130,"name":"Impact","value":""},{"id":150,"name":"Time of Event (Mountain Time)","value":"20:04:00"},{"id":151,"name":"Denver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6"/>
        <v>start /low /b %USERPROFILE%\Documents\GitHub\eaglep3\Utilities\DownloadLogsFromS3.py --loco 4054 --day 2017-03-15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618</v>
      </c>
      <c r="B134" s="7">
        <v>4011</v>
      </c>
      <c r="C134" s="21" t="s">
        <v>230</v>
      </c>
      <c r="D134" s="21" t="s">
        <v>441</v>
      </c>
      <c r="E134" s="13">
        <v>42809.791875000003</v>
      </c>
      <c r="F134" s="13">
        <v>42809.793692129628</v>
      </c>
      <c r="G134" s="7">
        <v>2</v>
      </c>
      <c r="H134" s="21" t="s">
        <v>541</v>
      </c>
      <c r="I134" s="13">
        <v>42809.824826388889</v>
      </c>
      <c r="J134" s="7">
        <v>0</v>
      </c>
      <c r="K134" s="98" t="str">
        <f t="shared" si="89"/>
        <v>4011/4012</v>
      </c>
      <c r="L134" s="21" t="str">
        <f>VLOOKUP(A134,'Trips&amp;Operators'!$C$1:$G$99999,5,FALSE)</f>
        <v>JACKSON WILLIAM</v>
      </c>
      <c r="M134" s="6">
        <f t="shared" si="90"/>
        <v>3.1134259261307307E-2</v>
      </c>
      <c r="N134" s="7">
        <f t="shared" ref="N134:N170" si="116">24*60*SUM($M134:$M134)</f>
        <v>44.833333336282521</v>
      </c>
      <c r="O134" s="7"/>
      <c r="P134" s="7"/>
      <c r="Q134" s="22"/>
      <c r="R134" s="22"/>
      <c r="S134" s="31">
        <f t="shared" ref="S134:S165" si="117">SUM(U134:U134)/IF(AG134="EC",12,1)</f>
        <v>1</v>
      </c>
      <c r="T134" s="46" t="str">
        <f t="shared" si="91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81"/>
        <v>https://d0f6bd738d7f1b3e5a7ca70fe4ff75f0.us-east-1.aws.found.io/app/kibana#/discover/Steve-Slow-Train-Analysis-(2080s-and-2083s)?_g=(refreshInterval:(display:Off,pause:!f,section:0,value:0),time:(from:'2017-03-15T18:00:18-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87" t="str">
        <f t="shared" si="92"/>
        <v>N</v>
      </c>
      <c r="X134" s="187">
        <f t="shared" si="98"/>
        <v>1</v>
      </c>
      <c r="Y134" s="62">
        <f t="shared" si="93"/>
        <v>4.6199999999999998E-2</v>
      </c>
      <c r="Z134" s="62">
        <f t="shared" si="94"/>
        <v>23.325900000000001</v>
      </c>
      <c r="AA134" s="62">
        <f t="shared" si="95"/>
        <v>23.279700000000002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96"/>
        <v>0221-15</v>
      </c>
      <c r="AE134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34" s="82" t="str">
        <f t="shared" si="83"/>
        <v>"C:\Program Files (x86)\AstroGrep\AstroGrep.exe" /e /r /s /spath="%USERPROFILE%\AppData\Local\Temp\OnboardLogs" /stypes="app*4011*20170316*" /stext=" 01:.+((SYSTEM_STATE.+slice.+state.+changed )|(ment ac)|(multiple cpu faults)|(system.+state.+changed )|(\[timeout)|(PRM\|1\|D)|(kpr)|(kdp)|(\|lc)|(penalty))"</v>
      </c>
      <c r="AG134" s="1" t="str">
        <f t="shared" si="97"/>
        <v>EC</v>
      </c>
      <c r="AH134" s="86" t="str">
        <f t="shared" si="84"/>
        <v>"%USERPROFILE%\Documents\GitHub\eaglep3\Utilities\RefineRTDCRunTimes.py" --tripid 221-15 --locoid 4011 --swversion DE.1.0.9.0 --startMP 204:462 --initTime 2017-03-15T19:00:18 --startdatetime 2017-03-15T19:02:55 --delay 2 --endMP 204:233259 --enddatetime 2017-03-15T19:47:45 --enforcementcount 0 &gt;&gt;C:\Users\stu\Documents\GitHub\eaglep3-reporting\EC\2017-03-15-refined-times.txt</v>
      </c>
      <c r="AI13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ID","value":"221-15"},{"id":16,"name":"Locomotive ID","value":"4011"},{"id":130,"name":"Impact","value":""},{"id":150,"name":"Time of Event (Mountain Time)","value":"19:47:45"},{"id":151,"name":"Denver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6"/>
        <v>start /low /b %USERPROFILE%\Documents\GitHub\eaglep3\Utilities\DownloadLogsFromS3.py --loco 4011 --day 2017-03-15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795</v>
      </c>
      <c r="B135" s="7">
        <v>4012</v>
      </c>
      <c r="C135" s="21" t="s">
        <v>230</v>
      </c>
      <c r="D135" s="21" t="s">
        <v>901</v>
      </c>
      <c r="E135" s="13">
        <v>42809.826944444445</v>
      </c>
      <c r="F135" s="13">
        <v>42809.83079861111</v>
      </c>
      <c r="G135" s="7">
        <v>1</v>
      </c>
      <c r="H135" s="21" t="s">
        <v>222</v>
      </c>
      <c r="I135" s="13">
        <v>42809.860682870371</v>
      </c>
      <c r="J135" s="7">
        <v>0</v>
      </c>
      <c r="K135" s="98" t="str">
        <f t="shared" si="89"/>
        <v>4011/4012</v>
      </c>
      <c r="L135" s="21" t="str">
        <f>VLOOKUP(A135,'Trips&amp;Operators'!$C$1:$G$99999,5,FALSE)</f>
        <v>JACKSON WILLIAM</v>
      </c>
      <c r="M135" s="6">
        <f t="shared" si="90"/>
        <v>2.9884259260143153E-2</v>
      </c>
      <c r="N135" s="7">
        <f t="shared" si="116"/>
        <v>43.033333334606141</v>
      </c>
      <c r="O135" s="7"/>
      <c r="P135" s="7"/>
      <c r="Q135" s="22"/>
      <c r="R135" s="22"/>
      <c r="S135" s="31">
        <f t="shared" si="117"/>
        <v>1</v>
      </c>
      <c r="T135" s="46" t="str">
        <f t="shared" si="91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81"/>
        <v>https://d0f6bd738d7f1b3e5a7ca70fe4ff75f0.us-east-1.aws.found.io/app/kibana#/discover/Steve-Slow-Train-Analysis-(2080s-and-2083s)?_g=(refreshInterval:(display:Off,pause:!f,section:0,value:0),time:(from:'2017-03-15T18:50:48-0600',mode:absolute,to:'2017-03-15T21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87" t="str">
        <f t="shared" si="92"/>
        <v>N</v>
      </c>
      <c r="X135" s="187">
        <f t="shared" si="98"/>
        <v>1</v>
      </c>
      <c r="Y135" s="62">
        <f t="shared" si="93"/>
        <v>23.2943</v>
      </c>
      <c r="Z135" s="62">
        <f t="shared" si="94"/>
        <v>1.5599999999999999E-2</v>
      </c>
      <c r="AA135" s="62">
        <f t="shared" si="95"/>
        <v>23.278700000000001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96"/>
        <v>0222-15</v>
      </c>
      <c r="AE135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35" s="82" t="str">
        <f t="shared" si="83"/>
        <v>"C:\Program Files (x86)\AstroGrep\AstroGrep.exe" /e /r /s /spath="%USERPROFILE%\AppData\Local\Temp\OnboardLogs" /stypes="app*4012*20170316*" /stext=" 02:.+((SYSTEM_STATE.+slice.+state.+changed )|(ment ac)|(multiple cpu faults)|(system.+state.+changed )|(\[timeout)|(PRM\|1\|D)|(kpr)|(kdp)|(\|lc)|(penalty))"</v>
      </c>
      <c r="AG135" s="1" t="str">
        <f t="shared" si="97"/>
        <v>EC</v>
      </c>
      <c r="AH135" s="86" t="str">
        <f t="shared" si="84"/>
        <v>"%USERPROFILE%\Documents\GitHub\eaglep3\Utilities\RefineRTDCRunTimes.py" --tripid 222-15 --locoid 4012 --swversion DE.1.0.9.0 --startMP 204:232943 --initTime 2017-03-15T19:50:48 --startdatetime 2017-03-15T19:56:21 --delay 1 --endMP 204:156 --enddatetime 2017-03-15T20:39:23 --enforcementcount 0 &gt;&gt;C:\Users\stu\Documents\GitHub\eaglep3-reporting\EC\2017-03-15-refined-times.txt</v>
      </c>
      <c r="AI13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{"issue":{"subject":"","project_id":79,"tracker_id":40,"status_id":1,"priority_id":2,"assigned_to_id":23,"start_date":"2017-03-15","description":"","custom_fields":[{"id":1,"name":"Subdivision","value":"EC"},{"id":4,"name":"Milepost","value":"0.0156"},{"id":17,"name":"Train ID","value":"222-15"},{"id":16,"name":"Locomotive ID","value":"4012"},{"id":130,"name":"Impact","value":""},{"id":150,"name":"Time of Event (Mountain Time)","value":"20:39:23"},{"id":151,"name":"Denver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6"/>
        <v>start /low /b %USERPROFILE%\Documents\GitHub\eaglep3\Utilities\DownloadLogsFromS3.py --loco 4012 --day 2017-03-15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4051</v>
      </c>
      <c r="C136" s="21" t="s">
        <v>230</v>
      </c>
      <c r="D136" s="21" t="s">
        <v>396</v>
      </c>
      <c r="E136" s="13">
        <v>42809.808020833334</v>
      </c>
      <c r="F136" s="13">
        <v>42809.812881944446</v>
      </c>
      <c r="G136" s="7">
        <v>3</v>
      </c>
      <c r="H136" s="21" t="s">
        <v>902</v>
      </c>
      <c r="I136" s="13">
        <v>42809.838287037041</v>
      </c>
      <c r="J136" s="7">
        <v>0</v>
      </c>
      <c r="K136" s="98" t="str">
        <f t="shared" si="89"/>
        <v>4051/4052</v>
      </c>
      <c r="L136" s="21" t="str">
        <f>VLOOKUP(A136,'Trips&amp;Operators'!$C$1:$G$99999,5,FALSE)</f>
        <v>MENGES BRAD</v>
      </c>
      <c r="M136" s="6">
        <f t="shared" si="90"/>
        <v>2.5405092594155576E-2</v>
      </c>
      <c r="N136" s="7">
        <f t="shared" si="116"/>
        <v>36.58333333558403</v>
      </c>
      <c r="O136" s="7"/>
      <c r="P136" s="7"/>
      <c r="Q136" s="22"/>
      <c r="R136" s="22"/>
      <c r="S136" s="31">
        <f t="shared" si="117"/>
        <v>1</v>
      </c>
      <c r="T136" s="46" t="str">
        <f t="shared" si="91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81"/>
        <v>https://d0f6bd738d7f1b3e5a7ca70fe4ff75f0.us-east-1.aws.found.io/app/kibana#/discover/Steve-Slow-Train-Analysis-(2080s-and-2083s)?_g=(refreshInterval:(display:Off,pause:!f,section:0,value:0),time:(from:'2017-03-15T18:23:33-0600',mode:absolute,to:'2017-03-15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187" t="str">
        <f t="shared" si="92"/>
        <v>N</v>
      </c>
      <c r="X136" s="187">
        <f t="shared" si="98"/>
        <v>1</v>
      </c>
      <c r="Y136" s="62">
        <f t="shared" si="93"/>
        <v>4.7500000000000001E-2</v>
      </c>
      <c r="Z136" s="62">
        <f t="shared" si="94"/>
        <v>23.328299999999999</v>
      </c>
      <c r="AA136" s="62">
        <f t="shared" si="95"/>
        <v>23.280799999999999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96"/>
        <v>0223-15</v>
      </c>
      <c r="AE136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36" s="82" t="str">
        <f t="shared" si="83"/>
        <v>"C:\Program Files (x86)\AstroGrep\AstroGrep.exe" /e /r /s /spath="%USERPROFILE%\AppData\Local\Temp\OnboardLogs" /stypes="app*4051*20170316*" /stext=" 02:.+((SYSTEM_STATE.+slice.+state.+changed )|(ment ac)|(multiple cpu faults)|(system.+state.+changed )|(\[timeout)|(PRM\|1\|D)|(kpr)|(kdp)|(\|lc)|(penalty))"</v>
      </c>
      <c r="AG136" s="1" t="str">
        <f t="shared" si="97"/>
        <v>EC</v>
      </c>
      <c r="AH136" s="86" t="str">
        <f t="shared" si="84"/>
        <v>"%USERPROFILE%\Documents\GitHub\eaglep3\Utilities\RefineRTDCRunTimes.py" --tripid 223-15 --locoid 4051 --swversion DE.1.0.9.0 --startMP 204:475 --initTime 2017-03-15T19:23:33 --startdatetime 2017-03-15T19:30:33 --delay 3 --endMP 204:233283 --enddatetime 2017-03-15T20:07:08 --enforcementcount 0 &gt;&gt;C:\Users\stu\Documents\GitHub\eaglep3-reporting\EC\2017-03-15-refined-times.txt</v>
      </c>
      <c r="AI13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{"issue":{"subject":"","project_id":79,"tracker_id":40,"status_id":1,"priority_id":2,"assigned_to_id":23,"start_date":"2017-03-15","description":"","custom_fields":[{"id":1,"name":"Subdivision","value":"EC"},{"id":4,"name":"Milepost","value":"23.3283"},{"id":17,"name":"Train ID","value":"223-15"},{"id":16,"name":"Locomotive ID","value":"4051"},{"id":130,"name":"Impact","value":""},{"id":150,"name":"Time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6"/>
        <v>start /low /b %USERPROFILE%\Documents\GitHub\eaglep3\Utilities\DownloadLogsFromS3.py --loco 4051 --day 2017-03-15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4052</v>
      </c>
      <c r="C137" s="21" t="s">
        <v>230</v>
      </c>
      <c r="D137" s="21" t="s">
        <v>856</v>
      </c>
      <c r="E137" s="13">
        <v>42809.846331018518</v>
      </c>
      <c r="F137" s="13">
        <v>42809.851736111108</v>
      </c>
      <c r="G137" s="7">
        <v>1</v>
      </c>
      <c r="H137" s="21" t="s">
        <v>903</v>
      </c>
      <c r="I137" s="13">
        <v>42809.883263888885</v>
      </c>
      <c r="J137" s="7">
        <v>0</v>
      </c>
      <c r="K137" s="98" t="str">
        <f t="shared" si="89"/>
        <v>4051/4052</v>
      </c>
      <c r="L137" s="21" t="str">
        <f>VLOOKUP(A137,'Trips&amp;Operators'!$C$1:$G$99999,5,FALSE)</f>
        <v>MENGES BRAD</v>
      </c>
      <c r="M137" s="6">
        <f t="shared" si="90"/>
        <v>3.1527777777228039E-2</v>
      </c>
      <c r="N137" s="7">
        <f t="shared" si="116"/>
        <v>45.399999999208376</v>
      </c>
      <c r="O137" s="7"/>
      <c r="P137" s="7"/>
      <c r="Q137" s="22"/>
      <c r="R137" s="22"/>
      <c r="S137" s="31">
        <f t="shared" si="117"/>
        <v>1</v>
      </c>
      <c r="T137" s="46" t="str">
        <f t="shared" si="91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81"/>
        <v>https://d0f6bd738d7f1b3e5a7ca70fe4ff75f0.us-east-1.aws.found.io/app/kibana#/discover/Steve-Slow-Train-Analysis-(2080s-and-2083s)?_g=(refreshInterval:(display:Off,pause:!f,section:0,value:0),time:(from:'2017-03-15T19:18:43-0600',mode:absolute,to:'2017-03-15T22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7" s="187" t="str">
        <f t="shared" si="92"/>
        <v>N</v>
      </c>
      <c r="X137" s="187">
        <f t="shared" si="98"/>
        <v>1</v>
      </c>
      <c r="Y137" s="62">
        <f t="shared" si="93"/>
        <v>23.297599999999999</v>
      </c>
      <c r="Z137" s="62">
        <f t="shared" si="94"/>
        <v>1.8700000000000001E-2</v>
      </c>
      <c r="AA137" s="62">
        <f t="shared" si="95"/>
        <v>23.2789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96"/>
        <v>0224-15</v>
      </c>
      <c r="AE137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37" s="82" t="str">
        <f t="shared" si="83"/>
        <v>"C:\Program Files (x86)\AstroGrep\AstroGrep.exe" /e /r /s /spath="%USERPROFILE%\AppData\Local\Temp\OnboardLogs" /stypes="app*4052*20170316*" /stext=" 03:.+((SYSTEM_STATE.+slice.+state.+changed )|(ment ac)|(multiple cpu faults)|(system.+state.+changed )|(\[timeout)|(PRM\|1\|D)|(kpr)|(kdp)|(\|lc)|(penalty))"</v>
      </c>
      <c r="AG137" s="1" t="str">
        <f t="shared" si="97"/>
        <v>EC</v>
      </c>
      <c r="AH137" s="86" t="str">
        <f t="shared" si="84"/>
        <v>"%USERPROFILE%\Documents\GitHub\eaglep3\Utilities\RefineRTDCRunTimes.py" --tripid 224-15 --locoid 4052 --swversion DE.1.0.9.0 --startMP 204:232976 --initTime 2017-03-15T20:18:43 --startdatetime 2017-03-15T20:26:30 --delay 1 --endMP 204:187 --enddatetime 2017-03-15T21:11:54 --enforcementcount 0 &gt;&gt;C:\Users\stu\Documents\GitHub\eaglep3-reporting\EC\2017-03-15-refined-times.txt</v>
      </c>
      <c r="AI13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{"issue":{"subject":"","project_id":79,"tracker_id":40,"status_id":1,"priority_id":2,"assigned_to_id":23,"start_date":"2017-03-15","description":"","custom_fields":[{"id":1,"name":"Subdivision","value":"EC"},{"id":4,"name":"Milepost","value":"0.0187"},{"id":17,"name":"Train ID","value":"224-15"},{"id":16,"name":"Locomotive ID","value":"4052"},{"id":130,"name":"Impact","value":""},{"id":150,"name":"Time of Event (Mountain Time)","value":"21:11:54"},{"id":151,"name":"Denver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6"/>
        <v>start /low /b %USERPROFILE%\Documents\GitHub\eaglep3\Utilities\DownloadLogsFromS3.py --loco 4052 --day 2017-03-15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796</v>
      </c>
      <c r="B138" s="7">
        <v>4020</v>
      </c>
      <c r="C138" s="21" t="s">
        <v>230</v>
      </c>
      <c r="D138" s="21" t="s">
        <v>851</v>
      </c>
      <c r="E138" s="13">
        <v>42809.830046296294</v>
      </c>
      <c r="F138" s="13">
        <v>42809.833969907406</v>
      </c>
      <c r="G138" s="7">
        <v>2</v>
      </c>
      <c r="H138" s="21" t="s">
        <v>437</v>
      </c>
      <c r="I138" s="13">
        <v>42809.86010416667</v>
      </c>
      <c r="J138" s="7">
        <v>0</v>
      </c>
      <c r="K138" s="98" t="str">
        <f t="shared" si="89"/>
        <v>4019/4020</v>
      </c>
      <c r="L138" s="21" t="str">
        <f>VLOOKUP(A138,'Trips&amp;Operators'!$C$1:$G$99999,5,FALSE)</f>
        <v>BROWN JACOB</v>
      </c>
      <c r="M138" s="6">
        <f t="shared" si="90"/>
        <v>2.6134259263926651E-2</v>
      </c>
      <c r="N138" s="7">
        <f t="shared" si="116"/>
        <v>37.633333340054378</v>
      </c>
      <c r="O138" s="7"/>
      <c r="P138" s="7"/>
      <c r="Q138" s="22"/>
      <c r="R138" s="22"/>
      <c r="S138" s="31">
        <f t="shared" si="117"/>
        <v>1</v>
      </c>
      <c r="T138" s="46" t="str">
        <f t="shared" si="91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81"/>
        <v>https://d0f6bd738d7f1b3e5a7ca70fe4ff75f0.us-east-1.aws.found.io/app/kibana#/discover/Steve-Slow-Train-Analysis-(2080s-and-2083s)?_g=(refreshInterval:(display:Off,pause:!f,section:0,value:0),time:(from:'2017-03-15T18:55:16-0600',mode:absolute,to:'2017-03-15T21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87" t="str">
        <f t="shared" si="92"/>
        <v>N</v>
      </c>
      <c r="X138" s="187">
        <f t="shared" si="98"/>
        <v>1</v>
      </c>
      <c r="Y138" s="62">
        <f t="shared" si="93"/>
        <v>4.7800000000000002E-2</v>
      </c>
      <c r="Z138" s="62">
        <f t="shared" si="94"/>
        <v>23.3323</v>
      </c>
      <c r="AA138" s="62">
        <f t="shared" si="95"/>
        <v>23.284500000000001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96"/>
        <v>0225-15</v>
      </c>
      <c r="AE138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8" s="82" t="str">
        <f t="shared" si="83"/>
        <v>"C:\Program Files (x86)\AstroGrep\AstroGrep.exe" /e /r /s /spath="%USERPROFILE%\AppData\Local\Temp\OnboardLogs" /stypes="app*4020*20170316*" /stext=" 02:.+((SYSTEM_STATE.+slice.+state.+changed )|(ment ac)|(multiple cpu faults)|(system.+state.+changed )|(\[timeout)|(PRM\|1\|D)|(kpr)|(kdp)|(\|lc)|(penalty))"</v>
      </c>
      <c r="AG138" s="1" t="str">
        <f t="shared" si="97"/>
        <v>EC</v>
      </c>
      <c r="AH138" s="86" t="str">
        <f t="shared" si="84"/>
        <v>"%USERPROFILE%\Documents\GitHub\eaglep3\Utilities\RefineRTDCRunTimes.py" --tripid 225-15 --locoid 4020 --swversion DE.1.0.9.0 --startMP 204:478 --initTime 2017-03-15T19:55:16 --startdatetime 2017-03-15T20:00:55 --delay 2 --endMP 204:233323 --enddatetime 2017-03-15T20:38:33 --enforcementcount 0 &gt;&gt;C:\Users\stu\Documents\GitHub\eaglep3-reporting\EC\2017-03-15-refined-times.txt</v>
      </c>
      <c r="AI13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{"issue":{"subject":"","project_id":79,"tracker_id":40,"status_id":1,"priority_id":2,"assigned_to_id":23,"start_date":"2017-03-15","description":"","custom_fields":[{"id":1,"name":"Subdivision","value":"EC"},{"id":4,"name":"Milepost","value":"23.3323"},{"id":17,"name":"Train ID","value":"225-15"},{"id":16,"name":"Locomotive ID","value":"4020"},{"id":130,"name":"Impact","value":""},{"id":150,"name":"Time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86"/>
        <v>start /low /b %USERPROFILE%\Documents\GitHub\eaglep3\Utilities\DownloadLogsFromS3.py --loco 4020 --day 2017-03-15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620</v>
      </c>
      <c r="B139" s="7">
        <v>4019</v>
      </c>
      <c r="C139" s="21" t="s">
        <v>230</v>
      </c>
      <c r="D139" s="21" t="s">
        <v>546</v>
      </c>
      <c r="E139" s="13">
        <v>42809.870358796295</v>
      </c>
      <c r="F139" s="13">
        <v>42809.872418981482</v>
      </c>
      <c r="G139" s="7">
        <v>1</v>
      </c>
      <c r="H139" s="21" t="s">
        <v>542</v>
      </c>
      <c r="I139" s="13">
        <v>42809.901747685188</v>
      </c>
      <c r="J139" s="7">
        <v>0</v>
      </c>
      <c r="K139" s="98" t="str">
        <f t="shared" si="89"/>
        <v>4019/4020</v>
      </c>
      <c r="L139" s="21" t="str">
        <f>VLOOKUP(A139,'Trips&amp;Operators'!$C$1:$G$99999,5,FALSE)</f>
        <v>BROWN JACOB</v>
      </c>
      <c r="M139" s="6">
        <f t="shared" si="90"/>
        <v>2.9328703705687076E-2</v>
      </c>
      <c r="N139" s="7">
        <f t="shared" si="116"/>
        <v>42.233333336189389</v>
      </c>
      <c r="O139" s="7"/>
      <c r="P139" s="7"/>
      <c r="Q139" s="22"/>
      <c r="R139" s="22"/>
      <c r="S139" s="31">
        <f t="shared" si="117"/>
        <v>1</v>
      </c>
      <c r="T139" s="46" t="str">
        <f t="shared" si="91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81"/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87" t="str">
        <f t="shared" si="92"/>
        <v>N</v>
      </c>
      <c r="X139" s="187">
        <f t="shared" si="98"/>
        <v>1</v>
      </c>
      <c r="Y139" s="62">
        <f t="shared" si="93"/>
        <v>23.301100000000002</v>
      </c>
      <c r="Z139" s="62">
        <f t="shared" si="94"/>
        <v>1.6299999999999999E-2</v>
      </c>
      <c r="AA139" s="62">
        <f t="shared" si="95"/>
        <v>23.284800000000001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96"/>
        <v>0226-15</v>
      </c>
      <c r="AE139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39" s="82" t="str">
        <f t="shared" si="83"/>
        <v>"C:\Program Files (x86)\AstroGrep\AstroGrep.exe" /e /r /s /spath="%USERPROFILE%\AppData\Local\Temp\OnboardLogs" /stypes="app*4019*20170316*" /stext=" 03:.+((SYSTEM_STATE.+slice.+state.+changed )|(ment ac)|(multiple cpu faults)|(system.+state.+changed )|(\[timeout)|(PRM\|1\|D)|(kpr)|(kdp)|(\|lc)|(penalty))"</v>
      </c>
      <c r="AG139" s="1" t="str">
        <f t="shared" si="97"/>
        <v>EC</v>
      </c>
      <c r="AH139" s="86" t="str">
        <f t="shared" si="84"/>
        <v>"%USERPROFILE%\Documents\GitHub\eaglep3\Utilities\RefineRTDCRunTimes.py" --tripid 226-15 --locoid 4019 --swversion DE.1.0.9.0 --startMP 204:233011 --initTime 2017-03-15T20:53:19 --startdatetime 2017-03-15T20:56:17 --delay 1 --endMP 204:163 --enddatetime 2017-03-15T21:38:31 --enforcementcount 0 &gt;&gt;C:\Users\stu\Documents\GitHub\eaglep3-reporting\EC\2017-03-15-refined-times.txt</v>
      </c>
      <c r="AI13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ID","value":"226-15"},{"id":16,"name":"Locomotive ID","value":"4019"},{"id":130,"name":"Impact","value":""},{"id":150,"name":"Time of Event (Mountain Time)","value":"21:38:31"},{"id":151,"name":"Denver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86"/>
        <v>start /low /b %USERPROFILE%\Documents\GitHub\eaglep3\Utilities\DownloadLogsFromS3.py --loco 4019 --day 2017-03-15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798</v>
      </c>
      <c r="B140" s="7">
        <v>4053</v>
      </c>
      <c r="C140" s="21" t="s">
        <v>230</v>
      </c>
      <c r="D140" s="21" t="s">
        <v>217</v>
      </c>
      <c r="E140" s="13">
        <v>42809.851840277777</v>
      </c>
      <c r="F140" s="13">
        <v>42809.85434027778</v>
      </c>
      <c r="G140" s="7">
        <v>2</v>
      </c>
      <c r="H140" s="21" t="s">
        <v>904</v>
      </c>
      <c r="I140" s="13">
        <v>42809.879050925927</v>
      </c>
      <c r="J140" s="7">
        <v>0</v>
      </c>
      <c r="K140" s="98" t="str">
        <f t="shared" ref="K140:K171" si="118">IF(ISEVEN(B140),(B140-1)&amp;"/"&amp;B140,B140&amp;"/"&amp;(B140+1))</f>
        <v>4053/4054</v>
      </c>
      <c r="L140" s="21" t="str">
        <f>VLOOKUP(A140,'Trips&amp;Operators'!$C$1:$G$99999,5,FALSE)</f>
        <v>LALONDE GREGORY</v>
      </c>
      <c r="M140" s="6">
        <f t="shared" ref="M140:M171" si="119">I140-F140</f>
        <v>2.47106481474475E-2</v>
      </c>
      <c r="N140" s="7">
        <f t="shared" si="116"/>
        <v>35.583333332324401</v>
      </c>
      <c r="O140" s="7"/>
      <c r="P140" s="7"/>
      <c r="Q140" s="22"/>
      <c r="R140" s="22"/>
      <c r="S140" s="31">
        <f t="shared" si="117"/>
        <v>1</v>
      </c>
      <c r="T140" s="46" t="str">
        <f t="shared" ref="T140:T171" si="120">IF(ISEVEN(LEFT(AD140,4)),"Southbound","NorthBound")</f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81"/>
        <v>https://d0f6bd738d7f1b3e5a7ca70fe4ff75f0.us-east-1.aws.found.io/app/kibana#/discover/Steve-Slow-Train-Analysis-(2080s-and-2083s)?_g=(refreshInterval:(display:Off,pause:!f,section:0,value:0),time:(from:'2017-03-15T19:26:39-0600',mode:absolute,to:'2017-03-15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87" t="str">
        <f t="shared" ref="W140:W171" si="121">IF(AA140&lt;IF(AG140="EC",23,5.65),"Y","N")</f>
        <v>N</v>
      </c>
      <c r="X140" s="187">
        <f t="shared" si="98"/>
        <v>1</v>
      </c>
      <c r="Y140" s="62">
        <f t="shared" ref="Y140:Y171" si="122">RIGHT(D140,LEN(D140)-4)/10000</f>
        <v>4.5499999999999999E-2</v>
      </c>
      <c r="Z140" s="62">
        <f t="shared" ref="Z140:Z171" si="123">RIGHT(H140,LEN(H140)-4)/10000</f>
        <v>23.336300000000001</v>
      </c>
      <c r="AA140" s="62">
        <f t="shared" ref="AA140:AA171" si="124">ABS(Z140-Y140)</f>
        <v>23.290800000000001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171" si="125">IF(LEN(A140)=6,"0"&amp;A140,A140)</f>
        <v>0227-15</v>
      </c>
      <c r="AE140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40" s="82" t="str">
        <f t="shared" si="83"/>
        <v>"C:\Program Files (x86)\AstroGrep\AstroGrep.exe" /e /r /s /spath="%USERPROFILE%\AppData\Local\Temp\OnboardLogs" /stypes="app*4053*20170316*" /stext=" 03:.+((SYSTEM_STATE.+slice.+state.+changed )|(ment ac)|(multiple cpu faults)|(system.+state.+changed )|(\[timeout)|(PRM\|1\|D)|(kpr)|(kdp)|(\|lc)|(penalty))"</v>
      </c>
      <c r="AG140" s="1" t="str">
        <f t="shared" ref="AG140:AG171" si="126">IFERROR(IF(VALUE(LEFT(AD140,2))&lt;=2,"EC",IF(OR(VALUE(LEFT(AD140,2))=8,VALUE(LEFT(AD140,2))=18),"NW","Other")),"Other")</f>
        <v>EC</v>
      </c>
      <c r="AH140" s="86" t="str">
        <f t="shared" si="84"/>
        <v>"%USERPROFILE%\Documents\GitHub\eaglep3\Utilities\RefineRTDCRunTimes.py" --tripid 227-15 --locoid 4053 --swversion DE.1.0.9.0 --startMP 204:455 --initTime 2017-03-15T20:26:39 --startdatetime 2017-03-15T20:30:15 --delay 2 --endMP 204:233363 --enddatetime 2017-03-15T21:05:50 --enforcementcount 0 &gt;&gt;C:\Users\stu\Documents\GitHub\eaglep3-reporting\EC\2017-03-15-refined-times.txt</v>
      </c>
      <c r="AI14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{"issue":{"subject":"","project_id":79,"tracker_id":40,"status_id":1,"priority_id":2,"assigned_to_id":23,"start_date":"2017-03-15","description":"","custom_fields":[{"id":1,"name":"Subdivision","value":"EC"},{"id":4,"name":"Milepost","value":"23.3363"},{"id":17,"name":"Train ID","value":"227-15"},{"id":16,"name":"Locomotive ID","value":"4053"},{"id":130,"name":"Impact","value":""},{"id":150,"name":"Time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86"/>
        <v>start /low /b %USERPROFILE%\Documents\GitHub\eaglep3\Utilities\DownloadLogsFromS3.py --loco 4053 --day 2017-03-15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802</v>
      </c>
      <c r="B141" s="7">
        <v>4054</v>
      </c>
      <c r="C141" s="21" t="s">
        <v>230</v>
      </c>
      <c r="D141" s="21" t="s">
        <v>905</v>
      </c>
      <c r="E141" s="13">
        <v>42809.885092592594</v>
      </c>
      <c r="F141" s="13">
        <v>42809.893263888887</v>
      </c>
      <c r="G141" s="7">
        <v>1</v>
      </c>
      <c r="H141" s="21" t="s">
        <v>184</v>
      </c>
      <c r="I141" s="13">
        <v>42809.92019675926</v>
      </c>
      <c r="J141" s="7">
        <v>0</v>
      </c>
      <c r="K141" s="98" t="str">
        <f t="shared" si="118"/>
        <v>4053/4054</v>
      </c>
      <c r="L141" s="21" t="str">
        <f>VLOOKUP(A141,'Trips&amp;Operators'!$C$1:$G$99999,5,FALSE)</f>
        <v>LALONDE GREGORY</v>
      </c>
      <c r="M141" s="6">
        <f t="shared" si="119"/>
        <v>2.6932870372547768E-2</v>
      </c>
      <c r="N141" s="7">
        <f t="shared" si="116"/>
        <v>38.783333336468786</v>
      </c>
      <c r="O141" s="7"/>
      <c r="P141" s="7"/>
      <c r="Q141" s="22"/>
      <c r="R141" s="22"/>
      <c r="S141" s="31">
        <f t="shared" si="117"/>
        <v>1</v>
      </c>
      <c r="T141" s="46" t="str">
        <f t="shared" si="120"/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81"/>
        <v>https://d0f6bd738d7f1b3e5a7ca70fe4ff75f0.us-east-1.aws.found.io/app/kibana#/discover/Steve-Slow-Train-Analysis-(2080s-and-2083s)?_g=(refreshInterval:(display:Off,pause:!f,section:0,value:0),time:(from:'2017-03-15T20:14:32-0600',mode:absolute,to:'2017-03-15T23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7" t="str">
        <f t="shared" si="121"/>
        <v>N</v>
      </c>
      <c r="X141" s="187">
        <f t="shared" ref="X141:X172" si="127">VALUE(LEFT(AD141,4))-VALUE(LEFT(AD140,4))</f>
        <v>1</v>
      </c>
      <c r="Y141" s="62">
        <f t="shared" si="122"/>
        <v>23.305700000000002</v>
      </c>
      <c r="Z141" s="62">
        <f t="shared" si="123"/>
        <v>1.49E-2</v>
      </c>
      <c r="AA141" s="62">
        <f t="shared" si="124"/>
        <v>23.290800000000001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125"/>
        <v>0228-15</v>
      </c>
      <c r="AE141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41" s="82" t="str">
        <f t="shared" si="83"/>
        <v>"C:\Program Files (x86)\AstroGrep\AstroGrep.exe" /e /r /s /spath="%USERPROFILE%\AppData\Local\Temp\OnboardLogs" /stypes="app*4054*20170316*" /stext=" 04:.+((SYSTEM_STATE.+slice.+state.+changed )|(ment ac)|(multiple cpu faults)|(system.+state.+changed )|(\[timeout)|(PRM\|1\|D)|(kpr)|(kdp)|(\|lc)|(penalty))"</v>
      </c>
      <c r="AG141" s="1" t="str">
        <f t="shared" si="126"/>
        <v>EC</v>
      </c>
      <c r="AH141" s="86" t="str">
        <f t="shared" si="84"/>
        <v>"%USERPROFILE%\Documents\GitHub\eaglep3\Utilities\RefineRTDCRunTimes.py" --tripid 228-15 --locoid 4054 --swversion DE.1.0.9.0 --startMP 204:233057 --initTime 2017-03-15T21:14:32 --startdatetime 2017-03-15T21:26:18 --delay 1 --endMP 204:149 --enddatetime 2017-03-15T22:05:05 --enforcementcount 0 &gt;&gt;C:\Users\stu\Documents\GitHub\eaglep3-reporting\EC\2017-03-15-refined-times.txt</v>
      </c>
      <c r="AI14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ID","value":"228-15"},{"id":16,"name":"Locomotive ID","value":"4054"},{"id":130,"name":"Impact","value":""},{"id":150,"name":"Time of Event (Mountain Time)","value":"22:05:05"},{"id":151,"name":"Denver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86"/>
        <v>start /low /b %USERPROFILE%\Documents\GitHub\eaglep3\Utilities\DownloadLogsFromS3.py --loco 4054 --day 2017-03-15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800</v>
      </c>
      <c r="B142" s="7">
        <v>4011</v>
      </c>
      <c r="C142" s="21" t="s">
        <v>230</v>
      </c>
      <c r="D142" s="21" t="s">
        <v>544</v>
      </c>
      <c r="E142" s="13">
        <v>42809.868576388886</v>
      </c>
      <c r="F142" s="13">
        <v>42809.875162037039</v>
      </c>
      <c r="G142" s="7">
        <v>2</v>
      </c>
      <c r="H142" s="21" t="s">
        <v>860</v>
      </c>
      <c r="I142" s="13">
        <v>42809.901423611111</v>
      </c>
      <c r="J142" s="7">
        <v>0</v>
      </c>
      <c r="K142" s="98" t="str">
        <f t="shared" si="118"/>
        <v>4011/4012</v>
      </c>
      <c r="L142" s="21" t="str">
        <f>VLOOKUP(A142,'Trips&amp;Operators'!$C$1:$G$99999,5,FALSE)</f>
        <v>SWANSON BRYCE</v>
      </c>
      <c r="M142" s="6">
        <f t="shared" si="119"/>
        <v>2.626157407212304E-2</v>
      </c>
      <c r="N142" s="7">
        <f t="shared" si="116"/>
        <v>37.816666663857177</v>
      </c>
      <c r="O142" s="7"/>
      <c r="P142" s="7"/>
      <c r="Q142" s="22"/>
      <c r="R142" s="22"/>
      <c r="S142" s="31">
        <f t="shared" si="117"/>
        <v>1</v>
      </c>
      <c r="T142" s="46" t="str">
        <f t="shared" si="120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ref="V142:V205" si="12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-15T19:50:45-0600',mode:absolute,to:'2017-03-15T22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87" t="str">
        <f t="shared" si="121"/>
        <v>N</v>
      </c>
      <c r="X142" s="187">
        <f t="shared" si="127"/>
        <v>1</v>
      </c>
      <c r="Y142" s="62">
        <f t="shared" si="122"/>
        <v>4.24E-2</v>
      </c>
      <c r="Z142" s="62">
        <f t="shared" si="123"/>
        <v>23.330400000000001</v>
      </c>
      <c r="AA142" s="62">
        <f t="shared" si="124"/>
        <v>23.288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125"/>
        <v>0229-15</v>
      </c>
      <c r="AE142" s="85" t="str">
        <f t="shared" ref="AE142:AE205" si="129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42" s="82" t="str">
        <f t="shared" ref="AF142:AF205" si="130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/stypes="app*4011*20170316*" /stext=" 03:.+((SYSTEM_STATE.+slice.+state.+changed )|(ment ac)|(multiple cpu faults)|(system.+state.+changed )|(\[timeout)|(PRM\|1\|D)|(kpr)|(kdp)|(\|lc)|(penalty))"</v>
      </c>
      <c r="AG142" s="1" t="str">
        <f t="shared" si="126"/>
        <v>EC</v>
      </c>
      <c r="AH142" s="86" t="str">
        <f t="shared" si="84"/>
        <v>"%USERPROFILE%\Documents\GitHub\eaglep3\Utilities\RefineRTDCRunTimes.py" --tripid 229-15 --locoid 4011 --swversion DE.1.0.9.0 --startMP 204:424 --initTime 2017-03-15T20:50:45 --startdatetime 2017-03-15T21:00:14 --delay 2 --endMP 204:233304 --enddatetime 2017-03-15T21:38:03 --enforcementcount 0 &gt;&gt;C:\Users\stu\Documents\GitHub\eaglep3-reporting\EC\2017-03-15-refined-times.txt</v>
      </c>
      <c r="AI14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ID","value":"229-15"},{"id":16,"name":"Locomotive ID","value":"4011"},{"id":130,"name":"Impact","value":""},{"id":150,"name":"Time of Event (Mountain Time)","value":"21:38:03"},{"id":151,"name":"Denver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86"/>
        <v>start /low /b %USERPROFILE%\Documents\GitHub\eaglep3\Utilities\DownloadLogsFromS3.py --loco 4011 --day 2017-03-15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804</v>
      </c>
      <c r="B143" s="7">
        <v>4012</v>
      </c>
      <c r="C143" s="21" t="s">
        <v>230</v>
      </c>
      <c r="D143" s="21" t="s">
        <v>439</v>
      </c>
      <c r="E143" s="13">
        <v>42809.909212962964</v>
      </c>
      <c r="F143" s="13">
        <v>42809.914421296293</v>
      </c>
      <c r="G143" s="7">
        <v>1</v>
      </c>
      <c r="H143" s="21" t="s">
        <v>192</v>
      </c>
      <c r="I143" s="13">
        <v>42809.942974537036</v>
      </c>
      <c r="J143" s="7">
        <v>0</v>
      </c>
      <c r="K143" s="98" t="str">
        <f t="shared" si="118"/>
        <v>4011/4012</v>
      </c>
      <c r="L143" s="21" t="str">
        <f>VLOOKUP(A143,'Trips&amp;Operators'!$C$1:$G$99999,5,FALSE)</f>
        <v>SWANSON BRYCE</v>
      </c>
      <c r="M143" s="6">
        <f t="shared" si="119"/>
        <v>2.8553240743349306E-2</v>
      </c>
      <c r="N143" s="7">
        <f t="shared" si="116"/>
        <v>41.116666670423001</v>
      </c>
      <c r="O143" s="7"/>
      <c r="P143" s="7"/>
      <c r="Q143" s="22"/>
      <c r="R143" s="22"/>
      <c r="S143" s="31">
        <f t="shared" si="117"/>
        <v>1</v>
      </c>
      <c r="T143" s="46" t="str">
        <f t="shared" si="120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128"/>
        <v>https://d0f6bd738d7f1b3e5a7ca70fe4ff75f0.us-east-1.aws.found.io/app/kibana#/discover/Steve-Slow-Train-Analysis-(2080s-and-2083s)?_g=(refreshInterval:(display:Off,pause:!f,section:0,value:0),time:(from:'2017-03-15T20:49:16-0600',mode:absolute,to:'2017-03-15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87" t="str">
        <f t="shared" si="121"/>
        <v>N</v>
      </c>
      <c r="X143" s="187">
        <f t="shared" si="127"/>
        <v>1</v>
      </c>
      <c r="Y143" s="62">
        <f t="shared" si="122"/>
        <v>23.298300000000001</v>
      </c>
      <c r="Z143" s="62">
        <f t="shared" si="123"/>
        <v>1.4999999999999999E-2</v>
      </c>
      <c r="AA143" s="62">
        <f t="shared" si="124"/>
        <v>23.283300000000001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125"/>
        <v>0230-15</v>
      </c>
      <c r="AE143" s="85" t="str">
        <f t="shared" si="12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43" s="82" t="str">
        <f t="shared" si="130"/>
        <v>"C:\Program Files (x86)\AstroGrep\AstroGrep.exe" /e /r /s /spath="%USERPROFILE%\AppData\Local\Temp\OnboardLogs" /stypes="app*4012*20170316*" /stext=" 04:.+((SYSTEM_STATE.+slice.+state.+changed )|(ment ac)|(multiple cpu faults)|(system.+state.+changed )|(\[timeout)|(PRM\|1\|D)|(kpr)|(kdp)|(\|lc)|(penalty))"</v>
      </c>
      <c r="AG143" s="1" t="str">
        <f t="shared" si="126"/>
        <v>EC</v>
      </c>
      <c r="AH143" s="86" t="str">
        <f t="shared" si="84"/>
        <v>"%USERPROFILE%\Documents\GitHub\eaglep3\Utilities\RefineRTDCRunTimes.py" --tripid 230-15 --locoid 4012 --swversion DE.1.0.9.0 --startMP 204:232983 --initTime 2017-03-15T21:49:16 --startdatetime 2017-03-15T21:56:46 --delay 1 --endMP 204:150 --enddatetime 2017-03-15T22:37:53 --enforcementcount 0 &gt;&gt;C:\Users\stu\Documents\GitHub\eaglep3-reporting\EC\2017-03-15-refined-times.txt</v>
      </c>
      <c r="AI14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ID","value":"230-15"},{"id":16,"name":"Locomotive ID","value":"4012"},{"id":130,"name":"Impact","value":""},{"id":150,"name":"Time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86"/>
        <v>start /low /b %USERPROFILE%\Documents\GitHub\eaglep3\Utilities\DownloadLogsFromS3.py --loco 4012 --day 2017-03-15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803</v>
      </c>
      <c r="B144" s="7">
        <v>4051</v>
      </c>
      <c r="C144" s="21" t="s">
        <v>230</v>
      </c>
      <c r="D144" s="21" t="s">
        <v>906</v>
      </c>
      <c r="E144" s="13">
        <v>42809.892083333332</v>
      </c>
      <c r="F144" s="13">
        <v>42809.896122685182</v>
      </c>
      <c r="G144" s="7">
        <v>1</v>
      </c>
      <c r="H144" s="21" t="s">
        <v>907</v>
      </c>
      <c r="I144" s="13">
        <v>42809.9215625</v>
      </c>
      <c r="J144" s="7">
        <v>0</v>
      </c>
      <c r="K144" s="98" t="str">
        <f t="shared" si="118"/>
        <v>4051/4052</v>
      </c>
      <c r="L144" s="21" t="str">
        <f>VLOOKUP(A144,'Trips&amp;Operators'!$C$1:$G$99999,5,FALSE)</f>
        <v>MENGES BRAD</v>
      </c>
      <c r="M144" s="6">
        <f t="shared" si="119"/>
        <v>2.5439814817218576E-2</v>
      </c>
      <c r="N144" s="7">
        <f t="shared" si="116"/>
        <v>36.633333336794749</v>
      </c>
      <c r="O144" s="7"/>
      <c r="P144" s="7"/>
      <c r="Q144" s="22"/>
      <c r="R144" s="22"/>
      <c r="S144" s="31">
        <f t="shared" si="117"/>
        <v>1</v>
      </c>
      <c r="T144" s="46" t="str">
        <f t="shared" si="120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128"/>
        <v>https://d0f6bd738d7f1b3e5a7ca70fe4ff75f0.us-east-1.aws.found.io/app/kibana#/discover/Steve-Slow-Train-Analysis-(2080s-and-2083s)?_g=(refreshInterval:(display:Off,pause:!f,section:0,value:0),time:(from:'2017-03-15T20:24:36-0600',mode:absolute,to:'2017-03-15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187" t="str">
        <f t="shared" si="121"/>
        <v>N</v>
      </c>
      <c r="X144" s="187">
        <f t="shared" si="127"/>
        <v>1</v>
      </c>
      <c r="Y144" s="62">
        <f t="shared" si="122"/>
        <v>4.9799999999999997E-2</v>
      </c>
      <c r="Z144" s="62">
        <f t="shared" si="123"/>
        <v>23.3308</v>
      </c>
      <c r="AA144" s="62">
        <f t="shared" si="124"/>
        <v>23.280999999999999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125"/>
        <v>0231-15</v>
      </c>
      <c r="AE144" s="85" t="str">
        <f t="shared" si="129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44" s="82" t="str">
        <f t="shared" si="130"/>
        <v>"C:\Program Files (x86)\AstroGrep\AstroGrep.exe" /e /r /s /spath="%USERPROFILE%\AppData\Local\Temp\OnboardLogs" /stypes="app*4051*20170316*" /stext=" 04:.+((SYSTEM_STATE.+slice.+state.+changed )|(ment ac)|(multiple cpu faults)|(system.+state.+changed )|(\[timeout)|(PRM\|1\|D)|(kpr)|(kdp)|(\|lc)|(penalty))"</v>
      </c>
      <c r="AG144" s="1" t="str">
        <f t="shared" si="126"/>
        <v>EC</v>
      </c>
      <c r="AH144" s="86" t="str">
        <f t="shared" si="84"/>
        <v>"%USERPROFILE%\Documents\GitHub\eaglep3\Utilities\RefineRTDCRunTimes.py" --tripid 231-15 --locoid 4051 --swversion DE.1.0.9.0 --startMP 204:498 --initTime 2017-03-15T21:24:36 --startdatetime 2017-03-15T21:30:25 --delay 1 --endMP 204:233308 --enddatetime 2017-03-15T22:07:03 --enforcementcount 0 &gt;&gt;C:\Users\stu\Documents\GitHub\eaglep3-reporting\EC\2017-03-15-refined-times.txt</v>
      </c>
      <c r="AI14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{"issue":{"subject":"","project_id":79,"tracker_id":40,"status_id":1,"priority_id":2,"assigned_to_id":23,"start_date":"2017-03-15","description":"","custom_fields":[{"id":1,"name":"Subdivision","value":"EC"},{"id":4,"name":"Milepost","value":"23.3308"},{"id":17,"name":"Train ID","value":"231-15"},{"id":16,"name":"Locomotive ID","value":"4051"},{"id":130,"name":"Impact","value":""},{"id":150,"name":"Time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86"/>
        <v>start /low /b %USERPROFILE%\Documents\GitHub\eaglep3\Utilities\DownloadLogsFromS3.py --loco 4051 --day 2017-03-15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807</v>
      </c>
      <c r="B145" s="7">
        <v>4052</v>
      </c>
      <c r="C145" s="21" t="s">
        <v>230</v>
      </c>
      <c r="D145" s="21" t="s">
        <v>488</v>
      </c>
      <c r="E145" s="13">
        <v>42809.930868055555</v>
      </c>
      <c r="F145" s="13">
        <v>42809.934953703705</v>
      </c>
      <c r="G145" s="7">
        <v>1</v>
      </c>
      <c r="H145" s="21" t="s">
        <v>898</v>
      </c>
      <c r="I145" s="13">
        <v>42809.964745370373</v>
      </c>
      <c r="J145" s="7">
        <v>0</v>
      </c>
      <c r="K145" s="98" t="str">
        <f t="shared" si="118"/>
        <v>4051/4052</v>
      </c>
      <c r="L145" s="21" t="str">
        <f>VLOOKUP(A145,'Trips&amp;Operators'!$C$1:$G$99999,5,FALSE)</f>
        <v>MENGES BRAD</v>
      </c>
      <c r="M145" s="6">
        <f t="shared" si="119"/>
        <v>2.9791666667733807E-2</v>
      </c>
      <c r="N145" s="7">
        <f t="shared" si="116"/>
        <v>42.900000001536682</v>
      </c>
      <c r="O145" s="7"/>
      <c r="P145" s="7"/>
      <c r="Q145" s="22"/>
      <c r="R145" s="22"/>
      <c r="S145" s="31">
        <f t="shared" si="117"/>
        <v>1</v>
      </c>
      <c r="T145" s="46" t="str">
        <f t="shared" si="120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128"/>
        <v>https://d0f6bd738d7f1b3e5a7ca70fe4ff75f0.us-east-1.aws.found.io/app/kibana#/discover/Steve-Slow-Train-Analysis-(2080s-and-2083s)?_g=(refreshInterval:(display:Off,pause:!f,section:0,value:0),time:(from:'2017-03-15T21:20:27-0600',mode:absolute,to:'2017-03-16T00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5" s="187" t="str">
        <f t="shared" si="121"/>
        <v>N</v>
      </c>
      <c r="X145" s="187">
        <f t="shared" si="127"/>
        <v>1</v>
      </c>
      <c r="Y145" s="62">
        <f t="shared" si="122"/>
        <v>23.296800000000001</v>
      </c>
      <c r="Z145" s="62">
        <f t="shared" si="123"/>
        <v>1.7000000000000001E-2</v>
      </c>
      <c r="AA145" s="62">
        <f t="shared" si="124"/>
        <v>23.279800000000002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125"/>
        <v>0232-15</v>
      </c>
      <c r="AE145" s="85" t="str">
        <f t="shared" si="129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45" s="82" t="str">
        <f t="shared" si="130"/>
        <v>"C:\Program Files (x86)\AstroGrep\AstroGrep.exe" /e /r /s /spath="%USERPROFILE%\AppData\Local\Temp\OnboardLogs" /stypes="app*4052*20170316*" /stext=" 05:.+((SYSTEM_STATE.+slice.+state.+changed )|(ment ac)|(multiple cpu faults)|(system.+state.+changed )|(\[timeout)|(PRM\|1\|D)|(kpr)|(kdp)|(\|lc)|(penalty))"</v>
      </c>
      <c r="AG145" s="1" t="str">
        <f t="shared" si="126"/>
        <v>EC</v>
      </c>
      <c r="AH145" s="86" t="str">
        <f t="shared" si="84"/>
        <v>"%USERPROFILE%\Documents\GitHub\eaglep3\Utilities\RefineRTDCRunTimes.py" --tripid 232-15 --locoid 4052 --swversion DE.1.0.9.0 --startMP 204:232968 --initTime 2017-03-15T22:20:27 --startdatetime 2017-03-15T22:26:20 --delay 1 --endMP 204:170 --enddatetime 2017-03-15T23:09:14 --enforcementcount 0 &gt;&gt;C:\Users\stu\Documents\GitHub\eaglep3-reporting\EC\2017-03-15-refined-times.txt</v>
      </c>
      <c r="AI14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{"issue":{"subject":"","project_id":79,"tracker_id":40,"status_id":1,"priority_id":2,"assigned_to_id":23,"start_date":"2017-03-15","description":"","custom_fields":[{"id":1,"name":"Subdivision","value":"EC"},{"id":4,"name":"Milepost","value":"0.017"},{"id":17,"name":"Train ID","value":"232-15"},{"id":16,"name":"Locomotive ID","value":"4052"},{"id":130,"name":"Impact","value":""},{"id":150,"name":"Time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86"/>
        <v>start /low /b %USERPROFILE%\Documents\GitHub\eaglep3\Utilities\DownloadLogsFromS3.py --loco 4052 --day 2017-03-15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4020</v>
      </c>
      <c r="C146" s="21" t="s">
        <v>230</v>
      </c>
      <c r="D146" s="21" t="s">
        <v>237</v>
      </c>
      <c r="E146" s="13">
        <v>42809.91097222222</v>
      </c>
      <c r="F146" s="13">
        <v>42809.916956018518</v>
      </c>
      <c r="G146" s="7">
        <v>2</v>
      </c>
      <c r="H146" s="21" t="s">
        <v>908</v>
      </c>
      <c r="I146" s="13">
        <v>42809.942083333335</v>
      </c>
      <c r="J146" s="7">
        <v>0</v>
      </c>
      <c r="K146" s="98" t="str">
        <f t="shared" si="118"/>
        <v>4019/4020</v>
      </c>
      <c r="L146" s="21" t="str">
        <f>VLOOKUP(A146,'Trips&amp;Operators'!$C$1:$G$99999,5,FALSE)</f>
        <v>BROWN JACOB</v>
      </c>
      <c r="M146" s="6">
        <f t="shared" si="119"/>
        <v>2.5127314816927537E-2</v>
      </c>
      <c r="N146" s="7">
        <f t="shared" si="116"/>
        <v>36.183333336375654</v>
      </c>
      <c r="O146" s="7"/>
      <c r="P146" s="7"/>
      <c r="Q146" s="22"/>
      <c r="R146" s="22"/>
      <c r="S146" s="31">
        <f t="shared" si="117"/>
        <v>1</v>
      </c>
      <c r="T146" s="46" t="str">
        <f t="shared" si="120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128"/>
        <v>https://d0f6bd738d7f1b3e5a7ca70fe4ff75f0.us-east-1.aws.found.io/app/kibana#/discover/Steve-Slow-Train-Analysis-(2080s-and-2083s)?_g=(refreshInterval:(display:Off,pause:!f,section:0,value:0),time:(from:'2017-03-15T20:51:48-0600',mode:absolute,to:'2017-03-15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7" t="str">
        <f t="shared" si="121"/>
        <v>N</v>
      </c>
      <c r="X146" s="187">
        <f t="shared" si="127"/>
        <v>1</v>
      </c>
      <c r="Y146" s="62">
        <f t="shared" si="122"/>
        <v>4.6699999999999998E-2</v>
      </c>
      <c r="Z146" s="62">
        <f t="shared" si="123"/>
        <v>23.334499999999998</v>
      </c>
      <c r="AA146" s="62">
        <f t="shared" si="124"/>
        <v>23.287799999999997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125"/>
        <v>0233-15</v>
      </c>
      <c r="AE146" s="85" t="str">
        <f t="shared" si="129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46" s="82" t="str">
        <f t="shared" si="130"/>
        <v>"C:\Program Files (x86)\AstroGrep\AstroGrep.exe" /e /r /s /spath="%USERPROFILE%\AppData\Local\Temp\OnboardLogs" /stypes="app*4020*20170316*" /stext=" 04:.+((SYSTEM_STATE.+slice.+state.+changed )|(ment ac)|(multiple cpu faults)|(system.+state.+changed )|(\[timeout)|(PRM\|1\|D)|(kpr)|(kdp)|(\|lc)|(penalty))"</v>
      </c>
      <c r="AG146" s="1" t="str">
        <f t="shared" si="126"/>
        <v>EC</v>
      </c>
      <c r="AH146" s="86" t="str">
        <f t="shared" ref="AH146:AH209" si="131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233-15 --locoid 4020 --swversion DE.1.0.9.0 --startMP 204:467 --initTime 2017-03-15T21:51:48 --startdatetime 2017-03-15T22:00:25 --delay 2 --endMP 204:233345 --enddatetime 2017-03-15T22:36:36 --enforcementcount 0 &gt;&gt;C:\Users\stu\Documents\GitHub\eaglep3-reporting\EC\2017-03-15-refined-times.txt</v>
      </c>
      <c r="AI146" s="108" t="str">
        <f t="shared" ref="AI146:AI209" si="132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{"issue":{"subject":"","project_id":79,"tracker_id":40,"status_id":1,"priority_id":2,"assigned_to_id":23,"start_date":"2017-03-15","description":"","custom_fields":[{"id":1,"name":"Subdivision","value":"EC"},{"id":4,"name":"Milepost","value":"23.3345"},{"id":17,"name":"Train ID","value":"233-15"},{"id":16,"name":"Locomotive ID","value":"4020"},{"id":130,"name":"Impact","value":""},{"id":150,"name":"Time of Event (Mountain Time)","value":"22:36:36"},{"id":151,"name":"Denver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ref="AM146:AM209" si="133">"start /low /b "&amp;dls3logs&amp;" --loco "&amp;B146&amp;" --day "&amp;TEXT(F146,"YYYY-MM-DD")</f>
        <v>start /low /b %USERPROFILE%\Documents\GitHub\eaglep3\Utilities\DownloadLogsFromS3.py --loco 4020 --day 2017-03-15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622</v>
      </c>
      <c r="B147" s="7">
        <v>4019</v>
      </c>
      <c r="C147" s="21" t="s">
        <v>230</v>
      </c>
      <c r="D147" s="21" t="s">
        <v>909</v>
      </c>
      <c r="E147" s="13">
        <v>42809.952430555553</v>
      </c>
      <c r="F147" s="13">
        <v>42809.955706018518</v>
      </c>
      <c r="G147" s="7">
        <v>1</v>
      </c>
      <c r="H147" s="21" t="s">
        <v>910</v>
      </c>
      <c r="I147" s="13">
        <v>42809.984594907408</v>
      </c>
      <c r="J147" s="7">
        <v>0</v>
      </c>
      <c r="K147" s="98" t="str">
        <f t="shared" si="118"/>
        <v>4019/4020</v>
      </c>
      <c r="L147" s="21" t="str">
        <f>VLOOKUP(A147,'Trips&amp;Operators'!$C$1:$G$99999,5,FALSE)</f>
        <v>BROWN JACOB</v>
      </c>
      <c r="M147" s="6">
        <f t="shared" si="119"/>
        <v>2.8888888889923692E-2</v>
      </c>
      <c r="N147" s="7">
        <f t="shared" si="116"/>
        <v>41.600000001490116</v>
      </c>
      <c r="O147" s="7"/>
      <c r="P147" s="7"/>
      <c r="Q147" s="22"/>
      <c r="R147" s="22"/>
      <c r="S147" s="31">
        <f t="shared" si="117"/>
        <v>1</v>
      </c>
      <c r="T147" s="46" t="str">
        <f t="shared" si="120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128"/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7" t="str">
        <f t="shared" si="121"/>
        <v>N</v>
      </c>
      <c r="X147" s="187">
        <f t="shared" si="127"/>
        <v>1</v>
      </c>
      <c r="Y147" s="62">
        <f t="shared" si="122"/>
        <v>23.302600000000002</v>
      </c>
      <c r="Z147" s="62">
        <f t="shared" si="123"/>
        <v>1.9099999999999999E-2</v>
      </c>
      <c r="AA147" s="62">
        <f t="shared" si="124"/>
        <v>23.2835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125"/>
        <v>0234-15</v>
      </c>
      <c r="AE147" s="85" t="str">
        <f t="shared" si="129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47" s="82" t="str">
        <f t="shared" si="130"/>
        <v>"C:\Program Files (x86)\AstroGrep\AstroGrep.exe" /e /r /s /spath="%USERPROFILE%\AppData\Local\Temp\OnboardLogs" /stypes="app*4019*20170316*" /stext=" 05:.+((SYSTEM_STATE.+slice.+state.+changed )|(ment ac)|(multiple cpu faults)|(system.+state.+changed )|(\[timeout)|(PRM\|1\|D)|(kpr)|(kdp)|(\|lc)|(penalty))"</v>
      </c>
      <c r="AG147" s="1" t="str">
        <f t="shared" si="126"/>
        <v>EC</v>
      </c>
      <c r="AH147" s="86" t="str">
        <f t="shared" si="131"/>
        <v>"%USERPROFILE%\Documents\GitHub\eaglep3\Utilities\RefineRTDCRunTimes.py" --tripid 234-15 --locoid 4019 --swversion DE.1.0.9.0 --startMP 204:233026 --initTime 2017-03-15T22:51:30 --startdatetime 2017-03-15T22:56:13 --delay 1 --endMP 204:191 --enddatetime 2017-03-15T23:37:49 --enforcementcount 0 &gt;&gt;C:\Users\stu\Documents\GitHub\eaglep3-reporting\EC\2017-03-15-refined-times.txt</v>
      </c>
      <c r="AI147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{"issue":{"subject":"","project_id":79,"tracker_id":40,"status_id":1,"priority_id":2,"assigned_to_id":23,"start_date":"2017-03-15","description":"","custom_fields":[{"id":1,"name":"Subdivision","value":"EC"},{"id":4,"name":"Milepost","value":"0.0191"},{"id":17,"name":"Train ID","value":"234-15"},{"id":16,"name":"Locomotive ID","value":"4019"},{"id":130,"name":"Impact","value":""},{"id":150,"name":"Time of Event (Mountain Time)","value":"23:37:49"},{"id":151,"name":"Denver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33"/>
        <v>start /low /b %USERPROFILE%\Documents\GitHub\eaglep3\Utilities\DownloadLogsFromS3.py --loco 4019 --day 2017-03-15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808</v>
      </c>
      <c r="B148" s="7">
        <v>4053</v>
      </c>
      <c r="C148" s="21" t="s">
        <v>230</v>
      </c>
      <c r="D148" s="21" t="s">
        <v>209</v>
      </c>
      <c r="E148" s="13">
        <v>42809.93482638889</v>
      </c>
      <c r="F148" s="13">
        <v>42809.937719907408</v>
      </c>
      <c r="G148" s="7">
        <v>1</v>
      </c>
      <c r="H148" s="21" t="s">
        <v>539</v>
      </c>
      <c r="I148" s="13">
        <v>42809.963587962964</v>
      </c>
      <c r="J148" s="7">
        <v>0</v>
      </c>
      <c r="K148" s="98" t="str">
        <f t="shared" si="118"/>
        <v>4053/4054</v>
      </c>
      <c r="L148" s="21" t="str">
        <f>VLOOKUP(A148,'Trips&amp;Operators'!$C$1:$G$99999,5,FALSE)</f>
        <v>WHITED DUSTIN</v>
      </c>
      <c r="M148" s="6">
        <f t="shared" si="119"/>
        <v>2.5868055556202307E-2</v>
      </c>
      <c r="N148" s="7">
        <f t="shared" si="116"/>
        <v>37.250000000931323</v>
      </c>
      <c r="O148" s="7"/>
      <c r="P148" s="7"/>
      <c r="Q148" s="22"/>
      <c r="R148" s="22"/>
      <c r="S148" s="31">
        <f t="shared" si="117"/>
        <v>1</v>
      </c>
      <c r="T148" s="46" t="str">
        <f t="shared" si="120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128"/>
        <v>https://d0f6bd738d7f1b3e5a7ca70fe4ff75f0.us-east-1.aws.found.io/app/kibana#/discover/Steve-Slow-Train-Analysis-(2080s-and-2083s)?_g=(refreshInterval:(display:Off,pause:!f,section:0,value:0),time:(from:'2017-03-15T21:26:09-0600',mode:absolute,to:'2017-03-16T00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87" t="str">
        <f t="shared" si="121"/>
        <v>N</v>
      </c>
      <c r="X148" s="187">
        <f t="shared" si="127"/>
        <v>1</v>
      </c>
      <c r="Y148" s="62">
        <f t="shared" si="122"/>
        <v>4.5100000000000001E-2</v>
      </c>
      <c r="Z148" s="62">
        <f t="shared" si="123"/>
        <v>23.3339</v>
      </c>
      <c r="AA148" s="62">
        <f t="shared" si="124"/>
        <v>23.288799999999998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125"/>
        <v>0235-15</v>
      </c>
      <c r="AE148" s="85" t="str">
        <f t="shared" si="129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48" s="82" t="str">
        <f t="shared" si="130"/>
        <v>"C:\Program Files (x86)\AstroGrep\AstroGrep.exe" /e /r /s /spath="%USERPROFILE%\AppData\Local\Temp\OnboardLogs" /stypes="app*4053*20170316*" /stext=" 05:.+((SYSTEM_STATE.+slice.+state.+changed )|(ment ac)|(multiple cpu faults)|(system.+state.+changed )|(\[timeout)|(PRM\|1\|D)|(kpr)|(kdp)|(\|lc)|(penalty))"</v>
      </c>
      <c r="AG148" s="1" t="str">
        <f t="shared" si="126"/>
        <v>EC</v>
      </c>
      <c r="AH148" s="86" t="str">
        <f t="shared" si="131"/>
        <v>"%USERPROFILE%\Documents\GitHub\eaglep3\Utilities\RefineRTDCRunTimes.py" --tripid 235-15 --locoid 4053 --swversion DE.1.0.9.0 --startMP 204:451 --initTime 2017-03-15T22:26:09 --startdatetime 2017-03-15T22:30:19 --delay 1 --endMP 204:233339 --enddatetime 2017-03-15T23:07:34 --enforcementcount 0 &gt;&gt;C:\Users\stu\Documents\GitHub\eaglep3-reporting\EC\2017-03-15-refined-times.txt</v>
      </c>
      <c r="AI148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{"issue":{"subject":"","project_id":79,"tracker_id":40,"status_id":1,"priority_id":2,"assigned_to_id":23,"start_date":"2017-03-15","description":"","custom_fields":[{"id":1,"name":"Subdivision","value":"EC"},{"id":4,"name":"Milepost","value":"23.3339"},{"id":17,"name":"Train ID","value":"235-15"},{"id":16,"name":"Locomotive ID","value":"4053"},{"id":130,"name":"Impact","value":""},{"id":150,"name":"Time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33"/>
        <v>start /low /b %USERPROFILE%\Documents\GitHub\eaglep3\Utilities\DownloadLogsFromS3.py --loco 4053 --day 2017-03-15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813</v>
      </c>
      <c r="B149" s="7">
        <v>4054</v>
      </c>
      <c r="C149" s="21" t="s">
        <v>230</v>
      </c>
      <c r="D149" s="21" t="s">
        <v>911</v>
      </c>
      <c r="E149" s="13">
        <v>42809.970902777779</v>
      </c>
      <c r="F149" s="13">
        <v>42809.976574074077</v>
      </c>
      <c r="G149" s="7">
        <v>1</v>
      </c>
      <c r="H149" s="21" t="s">
        <v>537</v>
      </c>
      <c r="I149" s="13">
        <v>42810.004756944443</v>
      </c>
      <c r="J149" s="7">
        <v>0</v>
      </c>
      <c r="K149" s="98" t="str">
        <f t="shared" si="118"/>
        <v>4053/4054</v>
      </c>
      <c r="L149" s="21" t="str">
        <f>VLOOKUP(A149,'Trips&amp;Operators'!$C$1:$G$99999,5,FALSE)</f>
        <v>WHITED DUSTIN</v>
      </c>
      <c r="M149" s="6">
        <f t="shared" si="119"/>
        <v>2.8182870366435964E-2</v>
      </c>
      <c r="N149" s="7">
        <f t="shared" si="116"/>
        <v>40.583333327667788</v>
      </c>
      <c r="O149" s="7"/>
      <c r="P149" s="7"/>
      <c r="Q149" s="22"/>
      <c r="R149" s="22"/>
      <c r="S149" s="31">
        <f t="shared" si="117"/>
        <v>1</v>
      </c>
      <c r="T149" s="46" t="str">
        <f t="shared" si="120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128"/>
        <v>https://d0f6bd738d7f1b3e5a7ca70fe4ff75f0.us-east-1.aws.found.io/app/kibana#/discover/Steve-Slow-Train-Analysis-(2080s-and-2083s)?_g=(refreshInterval:(display:Off,pause:!f,section:0,value:0),time:(from:'2017-03-15T22:18:06-0600',mode:absolute,to:'2017-03-16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87" t="str">
        <f t="shared" si="121"/>
        <v>N</v>
      </c>
      <c r="X149" s="187">
        <f t="shared" si="127"/>
        <v>1</v>
      </c>
      <c r="Y149" s="62">
        <f t="shared" si="122"/>
        <v>23.300699999999999</v>
      </c>
      <c r="Z149" s="62">
        <f t="shared" si="123"/>
        <v>1.4500000000000001E-2</v>
      </c>
      <c r="AA149" s="62">
        <f t="shared" si="124"/>
        <v>23.286199999999997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125"/>
        <v>0236-15</v>
      </c>
      <c r="AE149" s="85" t="str">
        <f t="shared" si="12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49" s="82" t="str">
        <f t="shared" si="130"/>
        <v>"C:\Program Files (x86)\AstroGrep\AstroGrep.exe" /e /r /s /spath="%USERPROFILE%\AppData\Local\Temp\OnboardLogs" /stypes="app*4054*20170316*" /stext=" 06:.+((SYSTEM_STATE.+slice.+state.+changed )|(ment ac)|(multiple cpu faults)|(system.+state.+changed )|(\[timeout)|(PRM\|1\|D)|(kpr)|(kdp)|(\|lc)|(penalty))"</v>
      </c>
      <c r="AG149" s="1" t="str">
        <f t="shared" si="126"/>
        <v>EC</v>
      </c>
      <c r="AH149" s="86" t="str">
        <f t="shared" si="131"/>
        <v>"%USERPROFILE%\Documents\GitHub\eaglep3\Utilities\RefineRTDCRunTimes.py" --tripid 236-15 --locoid 4054 --swversion DE.1.0.9.0 --startMP 204:233007 --initTime 2017-03-15T23:18:06 --startdatetime 2017-03-15T23:26:16 --delay 1 --endMP 204:145 --enddatetime 2017-03-16T00:06:51 --enforcementcount 0 &gt;&gt;C:\Users\stu\Documents\GitHub\eaglep3-reporting\EC\2017-03-15-refined-times.txt</v>
      </c>
      <c r="AI149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{"issue":{"subject":"","project_id":79,"tracker_id":40,"status_id":1,"priority_id":2,"assigned_to_id":23,"start_date":"2017-03-16","description":"","custom_fields":[{"id":1,"name":"Subdivision","value":"EC"},{"id":4,"name":"Milepost","value":"0.0145"},{"id":17,"name":"Train ID","value":"236-15"},{"id":16,"name":"Locomotive ID","value":"4054"},{"id":130,"name":"Impact","value":""},{"id":150,"name":"Time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33"/>
        <v>start /low /b %USERPROFILE%\Documents\GitHub\eaglep3\Utilities\DownloadLogsFromS3.py --loco 4054 --day 2017-03-15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812</v>
      </c>
      <c r="B150" s="7">
        <v>4011</v>
      </c>
      <c r="C150" s="21" t="s">
        <v>230</v>
      </c>
      <c r="D150" s="21" t="s">
        <v>544</v>
      </c>
      <c r="E150" s="13">
        <v>42809.946909722225</v>
      </c>
      <c r="F150" s="13">
        <v>42809.958506944444</v>
      </c>
      <c r="G150" s="7">
        <v>1</v>
      </c>
      <c r="H150" s="21" t="s">
        <v>541</v>
      </c>
      <c r="I150" s="13">
        <v>42809.984664351854</v>
      </c>
      <c r="J150" s="7">
        <v>0</v>
      </c>
      <c r="K150" s="98" t="str">
        <f t="shared" si="118"/>
        <v>4011/4012</v>
      </c>
      <c r="L150" s="21" t="str">
        <f>VLOOKUP(A150,'Trips&amp;Operators'!$C$1:$G$99999,5,FALSE)</f>
        <v>SWANSON BRYCE</v>
      </c>
      <c r="M150" s="6">
        <f t="shared" si="119"/>
        <v>2.6157407410209998E-2</v>
      </c>
      <c r="N150" s="7">
        <f t="shared" si="116"/>
        <v>37.666666670702398</v>
      </c>
      <c r="O150" s="7"/>
      <c r="P150" s="7"/>
      <c r="Q150" s="22"/>
      <c r="R150" s="22"/>
      <c r="S150" s="31">
        <f t="shared" si="117"/>
        <v>1</v>
      </c>
      <c r="T150" s="46" t="str">
        <f t="shared" si="120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128"/>
        <v>https://d0f6bd738d7f1b3e5a7ca70fe4ff75f0.us-east-1.aws.found.io/app/kibana#/discover/Steve-Slow-Train-Analysis-(2080s-and-2083s)?_g=(refreshInterval:(display:Off,pause:!f,section:0,value:0),time:(from:'2017-03-15T21:43:33-0600',mode:absolute,to:'2017-03-16T00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87" t="str">
        <f t="shared" si="121"/>
        <v>N</v>
      </c>
      <c r="X150" s="187">
        <f t="shared" si="127"/>
        <v>1</v>
      </c>
      <c r="Y150" s="62">
        <f t="shared" si="122"/>
        <v>4.24E-2</v>
      </c>
      <c r="Z150" s="62">
        <f t="shared" si="123"/>
        <v>23.325900000000001</v>
      </c>
      <c r="AA150" s="62">
        <f t="shared" si="124"/>
        <v>23.2835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125"/>
        <v>0237-15</v>
      </c>
      <c r="AE150" s="85" t="str">
        <f t="shared" si="129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50" s="82" t="str">
        <f t="shared" si="130"/>
        <v>"C:\Program Files (x86)\AstroGrep\AstroGrep.exe" /e /r /s /spath="%USERPROFILE%\AppData\Local\Temp\OnboardLogs" /stypes="app*4011*20170316*" /stext=" 05:.+((SYSTEM_STATE.+slice.+state.+changed )|(ment ac)|(multiple cpu faults)|(system.+state.+changed )|(\[timeout)|(PRM\|1\|D)|(kpr)|(kdp)|(\|lc)|(penalty))"</v>
      </c>
      <c r="AG150" s="1" t="str">
        <f t="shared" si="126"/>
        <v>EC</v>
      </c>
      <c r="AH150" s="86" t="str">
        <f t="shared" si="131"/>
        <v>"%USERPROFILE%\Documents\GitHub\eaglep3\Utilities\RefineRTDCRunTimes.py" --tripid 237-15 --locoid 4011 --swversion DE.1.0.9.0 --startMP 204:424 --initTime 2017-03-15T22:43:33 --startdatetime 2017-03-15T23:00:15 --delay 1 --endMP 204:233259 --enddatetime 2017-03-15T23:37:55 --enforcementcount 0 &gt;&gt;C:\Users\stu\Documents\GitHub\eaglep3-reporting\EC\2017-03-15-refined-times.txt</v>
      </c>
      <c r="AI150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ID","value":"237-15"},{"id":16,"name":"Locomotive ID","value":"4011"},{"id":130,"name":"Impact","value":""},{"id":150,"name":"Time of Event (Mountain Time)","value":"23:37:55"},{"id":151,"name":"Denver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33"/>
        <v>start /low /b %USERPROFILE%\Documents\GitHub\eaglep3\Utilities\DownloadLogsFromS3.py --loco 4011 --day 2017-03-15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815</v>
      </c>
      <c r="B151" s="7">
        <v>4012</v>
      </c>
      <c r="C151" s="21" t="s">
        <v>230</v>
      </c>
      <c r="D151" s="21" t="s">
        <v>912</v>
      </c>
      <c r="E151" s="13">
        <v>42809.991956018515</v>
      </c>
      <c r="F151" s="13">
        <v>42809.997604166667</v>
      </c>
      <c r="G151" s="7">
        <v>1</v>
      </c>
      <c r="H151" s="21" t="s">
        <v>240</v>
      </c>
      <c r="I151" s="13">
        <v>42810.027083333334</v>
      </c>
      <c r="J151" s="7">
        <v>0</v>
      </c>
      <c r="K151" s="98" t="str">
        <f t="shared" si="118"/>
        <v>4011/4012</v>
      </c>
      <c r="L151" s="21" t="str">
        <f>VLOOKUP(A151,'Trips&amp;Operators'!$C$1:$G$99999,5,FALSE)</f>
        <v>SWANSON BRYCE</v>
      </c>
      <c r="M151" s="6">
        <f t="shared" si="119"/>
        <v>2.9479166667442769E-2</v>
      </c>
      <c r="N151" s="7">
        <f t="shared" si="116"/>
        <v>42.450000001117587</v>
      </c>
      <c r="O151" s="7"/>
      <c r="P151" s="7"/>
      <c r="Q151" s="22"/>
      <c r="R151" s="22"/>
      <c r="S151" s="31">
        <f t="shared" si="117"/>
        <v>1</v>
      </c>
      <c r="T151" s="46" t="str">
        <f t="shared" si="120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128"/>
        <v>https://d0f6bd738d7f1b3e5a7ca70fe4ff75f0.us-east-1.aws.found.io/app/kibana#/discover/Steve-Slow-Train-Analysis-(2080s-and-2083s)?_g=(refreshInterval:(display:Off,pause:!f,section:0,value:0),time:(from:'2017-03-15T22:48:25-0600',mode:absolute,to:'2017-03-16T01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87" t="str">
        <f t="shared" si="121"/>
        <v>N</v>
      </c>
      <c r="X151" s="187">
        <f t="shared" si="127"/>
        <v>1</v>
      </c>
      <c r="Y151" s="62">
        <f t="shared" si="122"/>
        <v>23.294</v>
      </c>
      <c r="Z151" s="62">
        <f t="shared" si="123"/>
        <v>1.61E-2</v>
      </c>
      <c r="AA151" s="62">
        <f t="shared" si="124"/>
        <v>23.277899999999999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125"/>
        <v>0238-15</v>
      </c>
      <c r="AE151" s="85" t="str">
        <f t="shared" si="12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51" s="82" t="str">
        <f t="shared" si="130"/>
        <v>"C:\Program Files (x86)\AstroGrep\AstroGrep.exe" /e /r /s /spath="%USERPROFILE%\AppData\Local\Temp\OnboardLogs" /stypes="app*4012*20170316*" /stext=" 06:.+((SYSTEM_STATE.+slice.+state.+changed )|(ment ac)|(multiple cpu faults)|(system.+state.+changed )|(\[timeout)|(PRM\|1\|D)|(kpr)|(kdp)|(\|lc)|(penalty))"</v>
      </c>
      <c r="AG151" s="1" t="str">
        <f t="shared" si="126"/>
        <v>EC</v>
      </c>
      <c r="AH151" s="86" t="str">
        <f t="shared" si="131"/>
        <v>"%USERPROFILE%\Documents\GitHub\eaglep3\Utilities\RefineRTDCRunTimes.py" --tripid 238-15 --locoid 4012 --swversion DE.1.0.9.0 --startMP 204:232940 --initTime 2017-03-15T23:48:25 --startdatetime 2017-03-15T23:56:33 --delay 1 --endMP 204:161 --enddatetime 2017-03-16T00:39:00 --enforcementcount 0 &gt;&gt;C:\Users\stu\Documents\GitHub\eaglep3-reporting\EC\2017-03-15-refined-times.txt</v>
      </c>
      <c r="AI151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{"issue":{"subject":"","project_id":79,"tracker_id":40,"status_id":1,"priority_id":2,"assigned_to_id":23,"start_date":"2017-03-16","description":"","custom_fields":[{"id":1,"name":"Subdivision","value":"EC"},{"id":4,"name":"Milepost","value":"0.0161"},{"id":17,"name":"Train ID","value":"238-15"},{"id":16,"name":"Locomotive ID","value":"4012"},{"id":130,"name":"Impact","value":""},{"id":150,"name":"Time of Event (Mountain Time)","value":"00:39:00"},{"id":151,"name":"Denver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33"/>
        <v>start /low /b %USERPROFILE%\Documents\GitHub\eaglep3\Utilities\DownloadLogsFromS3.py --loco 4012 --day 2017-03-15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</row>
    <row r="152" spans="1:91" s="20" customFormat="1" x14ac:dyDescent="0.25">
      <c r="A152" s="33" t="s">
        <v>814</v>
      </c>
      <c r="B152" s="7">
        <v>4051</v>
      </c>
      <c r="C152" s="21" t="s">
        <v>230</v>
      </c>
      <c r="D152" s="21" t="s">
        <v>396</v>
      </c>
      <c r="E152" s="13">
        <v>42809.972094907411</v>
      </c>
      <c r="F152" s="13">
        <v>42809.979618055557</v>
      </c>
      <c r="G152" s="7">
        <v>2</v>
      </c>
      <c r="H152" s="21" t="s">
        <v>913</v>
      </c>
      <c r="I152" s="13">
        <v>42810.006793981483</v>
      </c>
      <c r="J152" s="7">
        <v>0</v>
      </c>
      <c r="K152" s="98" t="str">
        <f t="shared" si="118"/>
        <v>4051/4052</v>
      </c>
      <c r="L152" s="21" t="str">
        <f>VLOOKUP(A152,'Trips&amp;Operators'!$C$1:$G$99999,5,FALSE)</f>
        <v>MENGES BRAD</v>
      </c>
      <c r="M152" s="6">
        <f t="shared" si="119"/>
        <v>2.7175925926712807E-2</v>
      </c>
      <c r="N152" s="7">
        <f t="shared" si="116"/>
        <v>39.133333334466442</v>
      </c>
      <c r="O152" s="7"/>
      <c r="P152" s="7"/>
      <c r="Q152" s="22"/>
      <c r="R152" s="22"/>
      <c r="S152" s="31">
        <f t="shared" si="117"/>
        <v>1</v>
      </c>
      <c r="T152" s="46" t="str">
        <f t="shared" si="120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128"/>
        <v>https://d0f6bd738d7f1b3e5a7ca70fe4ff75f0.us-east-1.aws.found.io/app/kibana#/discover/Steve-Slow-Train-Analysis-(2080s-and-2083s)?_g=(refreshInterval:(display:Off,pause:!f,section:0,value:0),time:(from:'2017-03-15T22:19:49-0600',mode:absolute,to:'2017-03-16T01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187" t="str">
        <f t="shared" si="121"/>
        <v>N</v>
      </c>
      <c r="X152" s="187">
        <f t="shared" si="127"/>
        <v>1</v>
      </c>
      <c r="Y152" s="62">
        <f t="shared" si="122"/>
        <v>4.7500000000000001E-2</v>
      </c>
      <c r="Z152" s="62">
        <f t="shared" si="123"/>
        <v>23.3245</v>
      </c>
      <c r="AA152" s="62">
        <f t="shared" si="124"/>
        <v>23.277000000000001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125"/>
        <v>0239-15</v>
      </c>
      <c r="AE152" s="85" t="str">
        <f t="shared" si="129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52" s="82" t="str">
        <f t="shared" si="130"/>
        <v>"C:\Program Files (x86)\AstroGrep\AstroGrep.exe" /e /r /s /spath="%USERPROFILE%\AppData\Local\Temp\OnboardLogs" /stypes="app*4051*20170316*" /stext=" 06:.+((SYSTEM_STATE.+slice.+state.+changed )|(ment ac)|(multiple cpu faults)|(system.+state.+changed )|(\[timeout)|(PRM\|1\|D)|(kpr)|(kdp)|(\|lc)|(penalty))"</v>
      </c>
      <c r="AG152" s="1" t="str">
        <f t="shared" si="126"/>
        <v>EC</v>
      </c>
      <c r="AH152" s="86" t="str">
        <f t="shared" si="131"/>
        <v>"%USERPROFILE%\Documents\GitHub\eaglep3\Utilities\RefineRTDCRunTimes.py" --tripid 239-15 --locoid 4051 --swversion DE.1.0.9.0 --startMP 204:475 --initTime 2017-03-15T23:19:49 --startdatetime 2017-03-15T23:30:39 --delay 2 --endMP 204:233245 --enddatetime 2017-03-16T00:09:47 --enforcementcount 0 &gt;&gt;C:\Users\stu\Documents\GitHub\eaglep3-reporting\EC\2017-03-15-refined-times.txt</v>
      </c>
      <c r="AI152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{"issue":{"subject":"","project_id":79,"tracker_id":40,"status_id":1,"priority_id":2,"assigned_to_id":23,"start_date":"2017-03-16","description":"","custom_fields":[{"id":1,"name":"Subdivision","value":"EC"},{"id":4,"name":"Milepost","value":"23.3245"},{"id":17,"name":"Train ID","value":"239-15"},{"id":16,"name":"Locomotive ID","value":"4051"},{"id":130,"name":"Impact","value":""},{"id":150,"name":"Time of Event (Mountain Time)","value":"00:09:47"},{"id":151,"name":"Denver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33"/>
        <v>start /low /b %USERPROFILE%\Documents\GitHub\eaglep3\Utilities\DownloadLogsFromS3.py --loco 4051 --day 2017-03-15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623</v>
      </c>
      <c r="B153" s="7">
        <v>4052</v>
      </c>
      <c r="C153" s="21" t="s">
        <v>230</v>
      </c>
      <c r="D153" s="21" t="s">
        <v>547</v>
      </c>
      <c r="E153" s="13">
        <v>42810.013171296298</v>
      </c>
      <c r="F153" s="13">
        <v>42810.018368055556</v>
      </c>
      <c r="G153" s="7">
        <v>1</v>
      </c>
      <c r="H153" s="21" t="s">
        <v>914</v>
      </c>
      <c r="I153" s="13">
        <v>42810.0469212963</v>
      </c>
      <c r="J153" s="7">
        <v>0</v>
      </c>
      <c r="K153" s="98" t="str">
        <f t="shared" si="118"/>
        <v>4051/4052</v>
      </c>
      <c r="L153" s="21" t="str">
        <f>VLOOKUP(A153,'Trips&amp;Operators'!$C$1:$G$99999,5,FALSE)</f>
        <v>MENGES BRAD</v>
      </c>
      <c r="M153" s="6">
        <f t="shared" si="119"/>
        <v>2.8553240743349306E-2</v>
      </c>
      <c r="N153" s="7">
        <f t="shared" si="116"/>
        <v>41.116666670423001</v>
      </c>
      <c r="O153" s="7"/>
      <c r="P153" s="7"/>
      <c r="Q153" s="22"/>
      <c r="R153" s="22"/>
      <c r="S153" s="31">
        <f t="shared" si="117"/>
        <v>1</v>
      </c>
      <c r="T153" s="46" t="str">
        <f t="shared" si="120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128"/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3" s="187" t="str">
        <f t="shared" si="121"/>
        <v>N</v>
      </c>
      <c r="X153" s="187">
        <f t="shared" si="127"/>
        <v>1</v>
      </c>
      <c r="Y153" s="62">
        <f t="shared" si="122"/>
        <v>23.2942</v>
      </c>
      <c r="Z153" s="62">
        <f t="shared" si="123"/>
        <v>1.9199999999999998E-2</v>
      </c>
      <c r="AA153" s="62">
        <f t="shared" si="124"/>
        <v>23.274999999999999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125"/>
        <v>0240-15</v>
      </c>
      <c r="AE153" s="85" t="str">
        <f t="shared" si="129"/>
        <v>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 &amp; aws s3 cp s3://rtdc.mdm.uploadarchive.raw/RTDC4052/ "%USERPROFILE%\AppData\Local\Temp\OnboardLogs"\RTDC4052\2017-03-17 --exclude "*" --recursive --include "*20170317*" &amp; "%USERPROFILE%\Documents\GitHub\mrs-test-scripts\Headless Mode &amp; Sideloading\WalkAndUnGZ.bat" "%USERPROFILE%\AppData\Local\Temp\OnboardLogs"\RTDC4052\2017-03-17</v>
      </c>
      <c r="AF153" s="82" t="str">
        <f t="shared" si="130"/>
        <v>"C:\Program Files (x86)\AstroGrep\AstroGrep.exe" /e /r /s /spath="%USERPROFILE%\AppData\Local\Temp\OnboardLogs" /stypes="app*4052*20170316*" /stext=" 07:.+((SYSTEM_STATE.+slice.+state.+changed )|(ment ac)|(multiple cpu faults)|(system.+state.+changed )|(\[timeout)|(PRM\|1\|D)|(kpr)|(kdp)|(\|lc)|(penalty))"</v>
      </c>
      <c r="AG153" s="1" t="str">
        <f t="shared" si="126"/>
        <v>EC</v>
      </c>
      <c r="AH153" s="86" t="str">
        <f t="shared" si="131"/>
        <v>"%USERPROFILE%\Documents\GitHub\eaglep3\Utilities\RefineRTDCRunTimes.py" --tripid 240-15 --locoid 4052 --swversion DE.1.0.9.0 --startMP 204:232942 --initTime 2017-03-16T00:18:58 --startdatetime 2017-03-16T00:26:27 --delay 1 --endMP 204:192 --enddatetime 2017-03-16T01:07:34 --enforcementcount 0 &gt;&gt;C:\Users\stu\Documents\GitHub\eaglep3-reporting\EC\2017-03-15-refined-times.txt</v>
      </c>
      <c r="AI153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{"issue":{"subject":"","project_id":79,"tracker_id":40,"status_id":1,"priority_id":2,"assigned_to_id":23,"start_date":"2017-03-16","description":"","custom_fields":[{"id":1,"name":"Subdivision","value":"EC"},{"id":4,"name":"Milepost","value":"0.0192"},{"id":17,"name":"Train ID","value":"240-15"},{"id":16,"name":"Locomotive ID","value":"4052"},{"id":130,"name":"Impact","value":""},{"id":150,"name":"Time of Event (Mountain Time)","value":"01:07:34"},{"id":151,"name":"Denver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33"/>
        <v>start /low /b %USERPROFILE%\Documents\GitHub\eaglep3\Utilities\DownloadLogsFromS3.py --loco 4052 --day 2017-03-16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816</v>
      </c>
      <c r="B154" s="7">
        <v>4020</v>
      </c>
      <c r="C154" s="21" t="s">
        <v>230</v>
      </c>
      <c r="D154" s="21" t="s">
        <v>485</v>
      </c>
      <c r="E154" s="13">
        <v>42809.995486111111</v>
      </c>
      <c r="F154" s="13">
        <v>42810.000162037039</v>
      </c>
      <c r="G154" s="7">
        <v>1</v>
      </c>
      <c r="H154" s="21" t="s">
        <v>893</v>
      </c>
      <c r="I154" s="13">
        <v>42810.03019675926</v>
      </c>
      <c r="J154" s="7">
        <v>0</v>
      </c>
      <c r="K154" s="98" t="str">
        <f t="shared" si="118"/>
        <v>4019/4020</v>
      </c>
      <c r="L154" s="21" t="str">
        <f>VLOOKUP(A154,'Trips&amp;Operators'!$C$1:$G$99999,5,FALSE)</f>
        <v>BROWN JACOB</v>
      </c>
      <c r="M154" s="6">
        <f t="shared" si="119"/>
        <v>3.0034722221898846E-2</v>
      </c>
      <c r="N154" s="7">
        <f t="shared" si="116"/>
        <v>43.249999999534339</v>
      </c>
      <c r="O154" s="7"/>
      <c r="P154" s="7"/>
      <c r="Q154" s="22"/>
      <c r="R154" s="22"/>
      <c r="S154" s="31">
        <f t="shared" si="117"/>
        <v>1</v>
      </c>
      <c r="T154" s="46" t="str">
        <f t="shared" si="120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128"/>
        <v>https://d0f6bd738d7f1b3e5a7ca70fe4ff75f0.us-east-1.aws.found.io/app/kibana#/discover/Steve-Slow-Train-Analysis-(2080s-and-2083s)?_g=(refreshInterval:(display:Off,pause:!f,section:0,value:0),time:(from:'2017-03-15T22:53:30-0600',mode:absolute,to:'2017-03-16T01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87" t="str">
        <f t="shared" si="121"/>
        <v>N</v>
      </c>
      <c r="X154" s="187">
        <f t="shared" si="127"/>
        <v>1</v>
      </c>
      <c r="Y154" s="62">
        <f t="shared" si="122"/>
        <v>4.82E-2</v>
      </c>
      <c r="Z154" s="62">
        <f t="shared" si="123"/>
        <v>23.332799999999999</v>
      </c>
      <c r="AA154" s="62">
        <f t="shared" si="124"/>
        <v>23.284599999999998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125"/>
        <v>0241-15</v>
      </c>
      <c r="AE154" s="85" t="str">
        <f t="shared" si="129"/>
        <v>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 &amp; 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</v>
      </c>
      <c r="AF154" s="82" t="str">
        <f t="shared" si="130"/>
        <v>"C:\Program Files (x86)\AstroGrep\AstroGrep.exe" /e /r /s /spath="%USERPROFILE%\AppData\Local\Temp\OnboardLogs" /stypes="app*4020*20170316*" /stext=" 06:.+((SYSTEM_STATE.+slice.+state.+changed )|(ment ac)|(multiple cpu faults)|(system.+state.+changed )|(\[timeout)|(PRM\|1\|D)|(kpr)|(kdp)|(\|lc)|(penalty))"</v>
      </c>
      <c r="AG154" s="1" t="str">
        <f t="shared" si="126"/>
        <v>EC</v>
      </c>
      <c r="AH154" s="86" t="str">
        <f t="shared" si="131"/>
        <v>"%USERPROFILE%\Documents\GitHub\eaglep3\Utilities\RefineRTDCRunTimes.py" --tripid 241-15 --locoid 4020 --swversion DE.1.0.9.0 --startMP 204:482 --initTime 2017-03-15T23:53:30 --startdatetime 2017-03-16T00:00:14 --delay 1 --endMP 204:233328 --enddatetime 2017-03-16T00:43:29 --enforcementcount 0 &gt;&gt;C:\Users\stu\Documents\GitHub\eaglep3-reporting\EC\2017-03-15-refined-times.txt</v>
      </c>
      <c r="AI154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{"issue":{"subject":"","project_id":79,"tracker_id":40,"status_id":1,"priority_id":2,"assigned_to_id":23,"start_date":"2017-03-16","description":"","custom_fields":[{"id":1,"name":"Subdivision","value":"EC"},{"id":4,"name":"Milepost","value":"23.3328"},{"id":17,"name":"Train ID","value":"241-15"},{"id":16,"name":"Locomotive ID","value":"4020"},{"id":130,"name":"Impact","value":""},{"id":150,"name":"Time of Event (Mountain Time)","value":"00:43:29"},{"id":151,"name":"Denver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33"/>
        <v>start /low /b %USERPROFILE%\Documents\GitHub\eaglep3\Utilities\DownloadLogsFromS3.py --loco 4020 --day 2017-03-16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819</v>
      </c>
      <c r="B155" s="7">
        <v>4019</v>
      </c>
      <c r="C155" s="21" t="s">
        <v>230</v>
      </c>
      <c r="D155" s="21" t="s">
        <v>431</v>
      </c>
      <c r="E155" s="13">
        <v>42810.034930555557</v>
      </c>
      <c r="F155" s="13">
        <v>42810.039270833331</v>
      </c>
      <c r="G155" s="7">
        <v>5</v>
      </c>
      <c r="H155" s="21" t="s">
        <v>219</v>
      </c>
      <c r="I155" s="13">
        <v>42810.066469907404</v>
      </c>
      <c r="J155" s="7">
        <v>0</v>
      </c>
      <c r="K155" s="98" t="str">
        <f t="shared" si="118"/>
        <v>4019/4020</v>
      </c>
      <c r="L155" s="21" t="str">
        <f>VLOOKUP(A155,'Trips&amp;Operators'!$C$1:$G$99999,5,FALSE)</f>
        <v>BROWN JACOB</v>
      </c>
      <c r="M155" s="6">
        <f t="shared" si="119"/>
        <v>2.7199074072996154E-2</v>
      </c>
      <c r="N155" s="7">
        <f t="shared" si="116"/>
        <v>39.166666665114462</v>
      </c>
      <c r="O155" s="7"/>
      <c r="P155" s="7"/>
      <c r="Q155" s="22"/>
      <c r="R155" s="22"/>
      <c r="S155" s="31">
        <f t="shared" si="117"/>
        <v>1</v>
      </c>
      <c r="T155" s="46" t="str">
        <f t="shared" si="120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128"/>
        <v>https://d0f6bd738d7f1b3e5a7ca70fe4ff75f0.us-east-1.aws.found.io/app/kibana#/discover/Steve-Slow-Train-Analysis-(2080s-and-2083s)?_g=(refreshInterval:(display:Off,pause:!f,section:0,value:0),time:(from:'2017-03-15T23:50:18-0600',mode:absolute,to:'2017-03-16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87" t="str">
        <f t="shared" si="121"/>
        <v>N</v>
      </c>
      <c r="X155" s="187">
        <f t="shared" si="127"/>
        <v>1</v>
      </c>
      <c r="Y155" s="62">
        <f t="shared" si="122"/>
        <v>23.299600000000002</v>
      </c>
      <c r="Z155" s="62">
        <f t="shared" si="123"/>
        <v>1.41E-2</v>
      </c>
      <c r="AA155" s="62">
        <f t="shared" si="124"/>
        <v>23.285500000000003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125"/>
        <v>0242-15</v>
      </c>
      <c r="AE155" s="85" t="str">
        <f t="shared" si="129"/>
        <v>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 &amp; 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</v>
      </c>
      <c r="AF155" s="82" t="str">
        <f t="shared" si="130"/>
        <v>"C:\Program Files (x86)\AstroGrep\AstroGrep.exe" /e /r /s /spath="%USERPROFILE%\AppData\Local\Temp\OnboardLogs" /stypes="app*4019*20170316*" /stext=" 07:.+((SYSTEM_STATE.+slice.+state.+changed )|(ment ac)|(multiple cpu faults)|(system.+state.+changed )|(\[timeout)|(PRM\|1\|D)|(kpr)|(kdp)|(\|lc)|(penalty))"</v>
      </c>
      <c r="AG155" s="1" t="str">
        <f t="shared" si="126"/>
        <v>EC</v>
      </c>
      <c r="AH155" s="86" t="str">
        <f t="shared" si="131"/>
        <v>"%USERPROFILE%\Documents\GitHub\eaglep3\Utilities\RefineRTDCRunTimes.py" --tripid 242-15 --locoid 4019 --swversion DE.1.0.9.0 --startMP 204:232996 --initTime 2017-03-16T00:50:18 --startdatetime 2017-03-16T00:56:33 --delay 5 --endMP 204:141 --enddatetime 2017-03-16T01:35:43 --enforcementcount 0 &gt;&gt;C:\Users\stu\Documents\GitHub\eaglep3-reporting\EC\2017-03-15-refined-times.txt</v>
      </c>
      <c r="AI155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ID","value":"242-15"},{"id":16,"name":"Locomotive ID","value":"4019"},{"id":130,"name":"Impact","value":""},{"id":150,"name":"Time of Event (Mountain Time)","value":"01:35:43"},{"id":151,"name":"Denver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33"/>
        <v>start /low /b %USERPROFILE%\Documents\GitHub\eaglep3\Utilities\DownloadLogsFromS3.py --loco 4019 --day 2017-03-16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817</v>
      </c>
      <c r="B156" s="7">
        <v>4053</v>
      </c>
      <c r="C156" s="21" t="s">
        <v>230</v>
      </c>
      <c r="D156" s="21" t="s">
        <v>871</v>
      </c>
      <c r="E156" s="13">
        <v>42810.01903935185</v>
      </c>
      <c r="F156" s="13">
        <v>42810.020995370367</v>
      </c>
      <c r="G156" s="7">
        <v>1</v>
      </c>
      <c r="H156" s="21" t="s">
        <v>395</v>
      </c>
      <c r="I156" s="13">
        <v>42810.049537037034</v>
      </c>
      <c r="J156" s="7">
        <v>0</v>
      </c>
      <c r="K156" s="98" t="str">
        <f t="shared" si="118"/>
        <v>4053/4054</v>
      </c>
      <c r="L156" s="21" t="str">
        <f>VLOOKUP(A156,'Trips&amp;Operators'!$C$1:$G$99999,5,FALSE)</f>
        <v>NEWELL JAMES</v>
      </c>
      <c r="M156" s="6">
        <f t="shared" si="119"/>
        <v>2.8541666666569654E-2</v>
      </c>
      <c r="N156" s="7">
        <f t="shared" si="116"/>
        <v>41.099999999860302</v>
      </c>
      <c r="O156" s="7"/>
      <c r="P156" s="7"/>
      <c r="Q156" s="22"/>
      <c r="R156" s="22"/>
      <c r="S156" s="31">
        <f t="shared" si="117"/>
        <v>1</v>
      </c>
      <c r="T156" s="46" t="str">
        <f t="shared" si="120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128"/>
        <v>https://d0f6bd738d7f1b3e5a7ca70fe4ff75f0.us-east-1.aws.found.io/app/kibana#/discover/Steve-Slow-Train-Analysis-(2080s-and-2083s)?_g=(refreshInterval:(display:Off,pause:!f,section:0,value:0),time:(from:'2017-03-15T23:27:25-0600',mode:absolute,to:'2017-03-16T02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87" t="str">
        <f t="shared" si="121"/>
        <v>N</v>
      </c>
      <c r="X156" s="187">
        <f t="shared" si="127"/>
        <v>1</v>
      </c>
      <c r="Y156" s="62">
        <f t="shared" si="122"/>
        <v>4.3700000000000003E-2</v>
      </c>
      <c r="Z156" s="62">
        <f t="shared" si="123"/>
        <v>23.3307</v>
      </c>
      <c r="AA156" s="62">
        <f t="shared" si="124"/>
        <v>23.286999999999999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125"/>
        <v>0243-15</v>
      </c>
      <c r="AE156" s="85" t="str">
        <f t="shared" si="129"/>
        <v>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 &amp; 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</v>
      </c>
      <c r="AF156" s="82" t="str">
        <f t="shared" si="130"/>
        <v>"C:\Program Files (x86)\AstroGrep\AstroGrep.exe" /e /r /s /spath="%USERPROFILE%\AppData\Local\Temp\OnboardLogs" /stypes="app*4053*20170316*" /stext=" 07:.+((SYSTEM_STATE.+slice.+state.+changed )|(ment ac)|(multiple cpu faults)|(system.+state.+changed )|(\[timeout)|(PRM\|1\|D)|(kpr)|(kdp)|(\|lc)|(penalty))"</v>
      </c>
      <c r="AG156" s="1" t="str">
        <f t="shared" si="126"/>
        <v>EC</v>
      </c>
      <c r="AH156" s="86" t="str">
        <f t="shared" si="131"/>
        <v>"%USERPROFILE%\Documents\GitHub\eaglep3\Utilities\RefineRTDCRunTimes.py" --tripid 243-15 --locoid 4053 --swversion DE.1.0.9.0 --startMP 204:437 --initTime 2017-03-16T00:27:25 --startdatetime 2017-03-16T00:30:14 --delay 1 --endMP 204:233307 --enddatetime 2017-03-16T01:11:20 --enforcementcount 0 &gt;&gt;C:\Users\stu\Documents\GitHub\eaglep3-reporting\EC\2017-03-15-refined-times.txt</v>
      </c>
      <c r="AI156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{"issue":{"subject":"","project_id":79,"tracker_id":40,"status_id":1,"priority_id":2,"assigned_to_id":23,"start_date":"2017-03-16","description":"","custom_fields":[{"id":1,"name":"Subdivision","value":"EC"},{"id":4,"name":"Milepost","value":"23.3307"},{"id":17,"name":"Train ID","value":"243-15"},{"id":16,"name":"Locomotive ID","value":"4053"},{"id":130,"name":"Impact","value":""},{"id":150,"name":"Time of Event (Mountain Time)","value":"01:11:20"},{"id":151,"name":"Denver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33"/>
        <v>start /low /b %USERPROFILE%\Documents\GitHub\eaglep3\Utilities\DownloadLogsFromS3.py --loco 4053 --day 2017-03-16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820</v>
      </c>
      <c r="B157" s="7">
        <v>4054</v>
      </c>
      <c r="C157" s="21" t="s">
        <v>230</v>
      </c>
      <c r="D157" s="21" t="s">
        <v>461</v>
      </c>
      <c r="E157" s="13">
        <v>42810.057743055557</v>
      </c>
      <c r="F157" s="13">
        <v>42810.059884259259</v>
      </c>
      <c r="G157" s="7">
        <v>1</v>
      </c>
      <c r="H157" s="21" t="s">
        <v>201</v>
      </c>
      <c r="I157" s="13">
        <v>42810.087094907409</v>
      </c>
      <c r="J157" s="7">
        <v>0</v>
      </c>
      <c r="K157" s="98" t="str">
        <f t="shared" si="118"/>
        <v>4053/4054</v>
      </c>
      <c r="L157" s="21" t="str">
        <f>VLOOKUP(A157,'Trips&amp;Operators'!$C$1:$G$99999,5,FALSE)</f>
        <v>NEWELL JAMES</v>
      </c>
      <c r="M157" s="6">
        <f t="shared" si="119"/>
        <v>2.7210648149775807E-2</v>
      </c>
      <c r="N157" s="7">
        <f t="shared" si="116"/>
        <v>39.183333335677162</v>
      </c>
      <c r="O157" s="7"/>
      <c r="P157" s="7"/>
      <c r="Q157" s="22"/>
      <c r="R157" s="22"/>
      <c r="S157" s="31">
        <f t="shared" si="117"/>
        <v>1</v>
      </c>
      <c r="T157" s="46" t="str">
        <f t="shared" si="120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128"/>
        <v>https://d0f6bd738d7f1b3e5a7ca70fe4ff75f0.us-east-1.aws.found.io/app/kibana#/discover/Steve-Slow-Train-Analysis-(2080s-and-2083s)?_g=(refreshInterval:(display:Off,pause:!f,section:0,value:0),time:(from:'2017-03-16T00:23:09-0600',mode:absolute,to:'2017-03-16T03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87" t="str">
        <f t="shared" si="121"/>
        <v>N</v>
      </c>
      <c r="X157" s="187">
        <f t="shared" si="127"/>
        <v>1</v>
      </c>
      <c r="Y157" s="62">
        <f t="shared" si="122"/>
        <v>23.297499999999999</v>
      </c>
      <c r="Z157" s="62">
        <f t="shared" si="123"/>
        <v>1.52E-2</v>
      </c>
      <c r="AA157" s="62">
        <f t="shared" si="124"/>
        <v>23.282299999999999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125"/>
        <v>0244-15</v>
      </c>
      <c r="AE157" s="85" t="str">
        <f t="shared" si="129"/>
        <v>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 &amp; 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</v>
      </c>
      <c r="AF157" s="82" t="str">
        <f t="shared" si="130"/>
        <v>"C:\Program Files (x86)\AstroGrep\AstroGrep.exe" /e /r /s /spath="%USERPROFILE%\AppData\Local\Temp\OnboardLogs" /stypes="app*4054*20170316*" /stext=" 08:.+((SYSTEM_STATE.+slice.+state.+changed )|(ment ac)|(multiple cpu faults)|(system.+state.+changed )|(\[timeout)|(PRM\|1\|D)|(kpr)|(kdp)|(\|lc)|(penalty))"</v>
      </c>
      <c r="AG157" s="1" t="str">
        <f t="shared" si="126"/>
        <v>EC</v>
      </c>
      <c r="AH157" s="86" t="str">
        <f t="shared" si="131"/>
        <v>"%USERPROFILE%\Documents\GitHub\eaglep3\Utilities\RefineRTDCRunTimes.py" --tripid 244-15 --locoid 4054 --swversion DE.1.0.9.0 --startMP 204:232975 --initTime 2017-03-16T01:23:09 --startdatetime 2017-03-16T01:26:14 --delay 1 --endMP 204:152 --enddatetime 2017-03-16T02:05:25 --enforcementcount 0 &gt;&gt;C:\Users\stu\Documents\GitHub\eaglep3-reporting\EC\2017-03-15-refined-times.txt</v>
      </c>
      <c r="AI157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{"issue":{"subject":"","project_id":79,"tracker_id":40,"status_id":1,"priority_id":2,"assigned_to_id":23,"start_date":"2017-03-16","description":"","custom_fields":[{"id":1,"name":"Subdivision","value":"EC"},{"id":4,"name":"Milepost","value":"0.0152"},{"id":17,"name":"Train ID","value":"244-15"},{"id":16,"name":"Locomotive ID","value":"4054"},{"id":130,"name":"Impact","value":""},{"id":150,"name":"Time of Event (Mountain Time)","value":"02:05:25"},{"id":151,"name":"Denver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33"/>
        <v>start /low /b %USERPROFILE%\Documents\GitHub\eaglep3\Utilities\DownloadLogsFromS3.py --loco 4054 --day 2017-03-16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575</v>
      </c>
      <c r="B158" s="7">
        <v>4045</v>
      </c>
      <c r="C158" s="21" t="s">
        <v>230</v>
      </c>
      <c r="D158" s="21" t="s">
        <v>939</v>
      </c>
      <c r="E158" s="13">
        <v>42809.213310185187</v>
      </c>
      <c r="F158" s="13">
        <v>42809.214560185188</v>
      </c>
      <c r="G158" s="7">
        <v>1</v>
      </c>
      <c r="H158" s="21" t="s">
        <v>940</v>
      </c>
      <c r="I158" s="13">
        <v>42809.225659722222</v>
      </c>
      <c r="J158" s="7">
        <v>0</v>
      </c>
      <c r="K158" s="98" t="str">
        <f t="shared" si="118"/>
        <v>4045/4046</v>
      </c>
      <c r="L158" s="21" t="str">
        <f>VLOOKUP(A158,'Trips&amp;Operators'!$C$1:$G$99999,5,FALSE)</f>
        <v>COOLAHAN JOHN</v>
      </c>
      <c r="M158" s="6">
        <f t="shared" si="119"/>
        <v>1.1099537034169771E-2</v>
      </c>
      <c r="N158" s="7">
        <f t="shared" si="116"/>
        <v>15.98333332920447</v>
      </c>
      <c r="O158" s="7"/>
      <c r="P158" s="7"/>
      <c r="Q158" s="22"/>
      <c r="R158" s="22"/>
      <c r="S158" s="31">
        <f t="shared" si="117"/>
        <v>1</v>
      </c>
      <c r="T158" s="46" t="str">
        <f t="shared" si="12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128"/>
        <v>https://d0f6bd738d7f1b3e5a7ca70fe4ff75f0.us-east-1.aws.found.io/app/kibana#/discover/Steve-Slow-Train-Analysis-(2080s-and-2083s)?_g=(refreshInterval:(display:Off,pause:!f,section:0,value:0),time:(from:'2017-03-15T04:07:10-0600',mode:absolute,to:'2017-03-15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187" t="str">
        <f t="shared" si="121"/>
        <v>N</v>
      </c>
      <c r="X158" s="187">
        <f t="shared" si="127"/>
        <v>556</v>
      </c>
      <c r="Y158" s="62">
        <f t="shared" si="122"/>
        <v>5.8662000000000001</v>
      </c>
      <c r="Z158" s="62">
        <f t="shared" si="123"/>
        <v>6.8900000000000003E-2</v>
      </c>
      <c r="AA158" s="62">
        <f t="shared" si="124"/>
        <v>5.7972999999999999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125"/>
        <v>0800-15</v>
      </c>
      <c r="AE158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58" s="82" t="str">
        <f t="shared" si="130"/>
        <v>"C:\Program Files (x86)\AstroGrep\AstroGrep.exe" /e /r /s /spath="%USERPROFILE%\AppData\Local\Temp\OnboardLogs" /stypes="app*4045*20170315*" /stext=" 11:.+((SYSTEM_STATE.+slice.+state.+changed )|(ment ac)|(multiple cpu faults)|(system.+state.+changed )|(\[timeout)|(PRM\|1\|D)|(kpr)|(kdp)|(\|lc)|(penalty))"</v>
      </c>
      <c r="AG158" s="1" t="str">
        <f t="shared" si="126"/>
        <v>NW</v>
      </c>
      <c r="AH158" s="86" t="str">
        <f t="shared" si="131"/>
        <v>"%USERPROFILE%\Documents\GitHub\eaglep3\Utilities\RefineRTDCRunTimes.py" --tripid 800-15 --locoid 4045 --swversion DE.1.0.9.0 --startMP 300:58662 --initTime 2017-03-15T05:07:10 --startdatetime 2017-03-15T05:08:58 --delay 1 --endMP 204:689 --enddatetime 2017-03-15T05:24:57 --enforcementcount 0 &gt;&gt;C:\Users\stu\Documents\GitHub\eaglep3-reporting\EC\2017-03-15-refined-times.txt</v>
      </c>
      <c r="AI15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{"issue":{"subject":"","project_id":79,"tracker_id":40,"status_id":1,"priority_id":2,"assigned_to_id":23,"start_date":"2017-03-15","description":"","custom_fields":[{"id":1,"name":"Subdivision","value":"NW"},{"id":4,"name":"Milepost","value":"0.0689"},{"id":17,"name":"Train ID","value":"800-15"},{"id":16,"name":"Locomotive ID","value":"4045"},{"id":130,"name":"Impact","value":""},{"id":150,"name":"Time of Event (Mountain Time)","value":"05:24:57"},{"id":151,"name":"Denver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33"/>
        <v>start /low /b %USERPROFILE%\Documents\GitHub\eaglep3\Utilities\DownloadLogsFromS3.py --loco 4045 --day 2017-03-15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59" spans="1:91" s="20" customFormat="1" x14ac:dyDescent="0.25">
      <c r="A159" s="33" t="s">
        <v>654</v>
      </c>
      <c r="B159" s="7">
        <v>4046</v>
      </c>
      <c r="C159" s="21" t="s">
        <v>230</v>
      </c>
      <c r="D159" s="21" t="s">
        <v>494</v>
      </c>
      <c r="E159" s="13">
        <v>42809.238437499997</v>
      </c>
      <c r="F159" s="13">
        <v>42809.243958333333</v>
      </c>
      <c r="G159" s="7">
        <v>1</v>
      </c>
      <c r="H159" s="21" t="s">
        <v>941</v>
      </c>
      <c r="I159" s="13">
        <v>42809.253310185188</v>
      </c>
      <c r="J159" s="7">
        <v>0</v>
      </c>
      <c r="K159" s="98" t="str">
        <f t="shared" si="118"/>
        <v>4045/4046</v>
      </c>
      <c r="L159" s="21" t="str">
        <f>VLOOKUP(A159,'Trips&amp;Operators'!$C$1:$G$99999,5,FALSE)</f>
        <v>COOLAHAN JOHN</v>
      </c>
      <c r="M159" s="6">
        <f t="shared" si="119"/>
        <v>9.3518518551718444E-3</v>
      </c>
      <c r="N159" s="7">
        <f t="shared" si="116"/>
        <v>13.466666671447456</v>
      </c>
      <c r="O159" s="7"/>
      <c r="P159" s="7"/>
      <c r="Q159" s="22"/>
      <c r="R159" s="22"/>
      <c r="S159" s="31">
        <f t="shared" si="117"/>
        <v>1</v>
      </c>
      <c r="T159" s="46" t="str">
        <f t="shared" si="12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128"/>
        <v>https://d0f6bd738d7f1b3e5a7ca70fe4ff75f0.us-east-1.aws.found.io/app/kibana#/discover/Steve-Slow-Train-Analysis-(2080s-and-2083s)?_g=(refreshInterval:(display:Off,pause:!f,section:0,value:0),time:(from:'2017-03-15T04:43:21-0600',mode:absolute,to:'2017-03-15T07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9" s="187" t="str">
        <f t="shared" si="121"/>
        <v>N</v>
      </c>
      <c r="X159" s="187">
        <f t="shared" si="127"/>
        <v>1</v>
      </c>
      <c r="Y159" s="62">
        <f t="shared" si="122"/>
        <v>9.5799999999999996E-2</v>
      </c>
      <c r="Z159" s="62">
        <f t="shared" si="123"/>
        <v>5.8968999999999996</v>
      </c>
      <c r="AA159" s="62">
        <f t="shared" si="124"/>
        <v>5.8010999999999999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125"/>
        <v>0801-15</v>
      </c>
      <c r="AE159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59" s="82" t="str">
        <f t="shared" si="130"/>
        <v>"C:\Program Files (x86)\AstroGrep\AstroGrep.exe" /e /r /s /spath="%USERPROFILE%\AppData\Local\Temp\OnboardLogs" /stypes="app*4046*20170315*" /stext=" 12:.+((SYSTEM_STATE.+slice.+state.+changed )|(ment ac)|(multiple cpu faults)|(system.+state.+changed )|(\[timeout)|(PRM\|1\|D)|(kpr)|(kdp)|(\|lc)|(penalty))"</v>
      </c>
      <c r="AG159" s="1" t="str">
        <f t="shared" si="126"/>
        <v>NW</v>
      </c>
      <c r="AH159" s="86" t="str">
        <f t="shared" si="131"/>
        <v>"%USERPROFILE%\Documents\GitHub\eaglep3\Utilities\RefineRTDCRunTimes.py" --tripid 801-15 --locoid 4046 --swversion DE.1.0.9.0 --startMP 204:958 --initTime 2017-03-15T05:43:21 --startdatetime 2017-03-15T05:51:18 --delay 1 --endMP 300:58969 --enddatetime 2017-03-15T06:04:46 --enforcementcount 0 &gt;&gt;C:\Users\stu\Documents\GitHub\eaglep3-reporting\EC\2017-03-15-refined-times.txt</v>
      </c>
      <c r="AI15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{"issue":{"subject":"","project_id":79,"tracker_id":40,"status_id":1,"priority_id":2,"assigned_to_id":23,"start_date":"2017-03-15","description":"","custom_fields":[{"id":1,"name":"Subdivision","value":"NW"},{"id":4,"name":"Milepost","value":"5.8969"},{"id":17,"name":"Train ID","value":"801-15"},{"id":16,"name":"Locomotive ID","value":"4046"},{"id":130,"name":"Impact","value":""},{"id":150,"name":"Time of Event (Mountain Time)","value":"06:04:46"},{"id":151,"name":"Denver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33"/>
        <v>start /low /b %USERPROFILE%\Documents\GitHub\eaglep3\Utilities\DownloadLogsFromS3.py --loco 4046 --day 2017-03-15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658</v>
      </c>
      <c r="B160" s="7">
        <v>4045</v>
      </c>
      <c r="C160" s="21" t="s">
        <v>230</v>
      </c>
      <c r="D160" s="21" t="s">
        <v>942</v>
      </c>
      <c r="E160" s="13">
        <v>42809.254293981481</v>
      </c>
      <c r="F160" s="13">
        <v>42809.255613425928</v>
      </c>
      <c r="G160" s="7">
        <v>1</v>
      </c>
      <c r="H160" s="21" t="s">
        <v>943</v>
      </c>
      <c r="I160" s="13">
        <v>42809.268252314818</v>
      </c>
      <c r="J160" s="7">
        <v>0</v>
      </c>
      <c r="K160" s="98" t="str">
        <f t="shared" si="118"/>
        <v>4045/4046</v>
      </c>
      <c r="L160" s="21" t="str">
        <f>VLOOKUP(A160,'Trips&amp;Operators'!$C$1:$G$99999,5,FALSE)</f>
        <v>COOLAHAN JOHN</v>
      </c>
      <c r="M160" s="6">
        <f t="shared" si="119"/>
        <v>1.2638888889341615E-2</v>
      </c>
      <c r="N160" s="7">
        <f t="shared" si="116"/>
        <v>18.200000000651926</v>
      </c>
      <c r="O160" s="7"/>
      <c r="P160" s="7"/>
      <c r="Q160" s="22"/>
      <c r="R160" s="22"/>
      <c r="S160" s="31">
        <f t="shared" si="117"/>
        <v>1</v>
      </c>
      <c r="T160" s="46" t="str">
        <f t="shared" si="12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128"/>
        <v>https://d0f6bd738d7f1b3e5a7ca70fe4ff75f0.us-east-1.aws.found.io/app/kibana#/discover/Steve-Slow-Train-Analysis-(2080s-and-2083s)?_g=(refreshInterval:(display:Off,pause:!f,section:0,value:0),time:(from:'2017-03-15T05:06:11-0600',mode:absolute,to:'2017-03-15T07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87" t="str">
        <f t="shared" si="121"/>
        <v>N</v>
      </c>
      <c r="X160" s="187">
        <f t="shared" si="127"/>
        <v>1</v>
      </c>
      <c r="Y160" s="62">
        <f t="shared" si="122"/>
        <v>5.8655999999999997</v>
      </c>
      <c r="Z160" s="62">
        <f t="shared" si="123"/>
        <v>6.7100000000000007E-2</v>
      </c>
      <c r="AA160" s="62">
        <f t="shared" si="124"/>
        <v>5.7984999999999998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125"/>
        <v>0802-15</v>
      </c>
      <c r="AE160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0" s="82" t="str">
        <f t="shared" si="130"/>
        <v>"C:\Program Files (x86)\AstroGrep\AstroGrep.exe" /e /r /s /spath="%USERPROFILE%\AppData\Local\Temp\OnboardLogs" /stypes="app*4045*20170315*" /stext=" 12:.+((SYSTEM_STATE.+slice.+state.+changed )|(ment ac)|(multiple cpu faults)|(system.+state.+changed )|(\[timeout)|(PRM\|1\|D)|(kpr)|(kdp)|(\|lc)|(penalty))"</v>
      </c>
      <c r="AG160" s="1" t="str">
        <f t="shared" si="126"/>
        <v>NW</v>
      </c>
      <c r="AH160" s="86" t="str">
        <f t="shared" si="131"/>
        <v>"%USERPROFILE%\Documents\GitHub\eaglep3\Utilities\RefineRTDCRunTimes.py" --tripid 802-15 --locoid 4045 --swversion DE.1.0.9.0 --startMP 300:58656 --initTime 2017-03-15T06:06:11 --startdatetime 2017-03-15T06:08:05 --delay 1 --endMP 204:671 --enddatetime 2017-03-15T06:26:17 --enforcementcount 0 &gt;&gt;C:\Users\stu\Documents\GitHub\eaglep3-reporting\EC\2017-03-15-refined-times.txt</v>
      </c>
      <c r="AI16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{"issue":{"subject":"","project_id":79,"tracker_id":40,"status_id":1,"priority_id":2,"assigned_to_id":23,"start_date":"2017-03-15","description":"","custom_fields":[{"id":1,"name":"Subdivision","value":"NW"},{"id":4,"name":"Milepost","value":"0.0671"},{"id":17,"name":"Train ID","value":"802-15"},{"id":16,"name":"Locomotive ID","value":"4045"},{"id":130,"name":"Impact","value":""},{"id":150,"name":"Time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33"/>
        <v>start /low /b %USERPROFILE%\Documents\GitHub\eaglep3\Utilities\DownloadLogsFromS3.py --loco 4045 --day 2017-03-15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577</v>
      </c>
      <c r="B161" s="7">
        <v>4016</v>
      </c>
      <c r="C161" s="21" t="s">
        <v>230</v>
      </c>
      <c r="D161" s="21" t="s">
        <v>944</v>
      </c>
      <c r="E161" s="13">
        <v>42809.263981481483</v>
      </c>
      <c r="F161" s="13">
        <v>42809.265532407408</v>
      </c>
      <c r="G161" s="7">
        <v>1</v>
      </c>
      <c r="H161" s="21" t="s">
        <v>945</v>
      </c>
      <c r="I161" s="13">
        <v>42809.27553240741</v>
      </c>
      <c r="J161" s="7">
        <v>0</v>
      </c>
      <c r="K161" s="98" t="str">
        <f t="shared" si="118"/>
        <v>4015/4016</v>
      </c>
      <c r="L161" s="21" t="str">
        <f>VLOOKUP(A161,'Trips&amp;Operators'!$C$1:$G$99999,5,FALSE)</f>
        <v>LOZA FIDEL</v>
      </c>
      <c r="M161" s="6">
        <f t="shared" si="119"/>
        <v>1.0000000002037268E-2</v>
      </c>
      <c r="N161" s="7">
        <f t="shared" si="116"/>
        <v>14.400000002933666</v>
      </c>
      <c r="O161" s="7"/>
      <c r="P161" s="7"/>
      <c r="Q161" s="22"/>
      <c r="R161" s="22"/>
      <c r="S161" s="31">
        <f t="shared" si="117"/>
        <v>1</v>
      </c>
      <c r="T161" s="46" t="str">
        <f t="shared" si="120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128"/>
        <v>https://d0f6bd738d7f1b3e5a7ca70fe4ff75f0.us-east-1.aws.found.io/app/kibana#/discover/Steve-Slow-Train-Analysis-(2080s-and-2083s)?_g=(refreshInterval:(display:Off,pause:!f,section:0,value:0),time:(from:'2017-03-15T05:20:08-0600',mode:absolute,to:'2017-03-15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187" t="str">
        <f t="shared" si="121"/>
        <v>N</v>
      </c>
      <c r="X161" s="187">
        <f t="shared" si="127"/>
        <v>1</v>
      </c>
      <c r="Y161" s="62">
        <f t="shared" si="122"/>
        <v>9.7199999999999995E-2</v>
      </c>
      <c r="Z161" s="62">
        <f t="shared" si="123"/>
        <v>5.8964999999999996</v>
      </c>
      <c r="AA161" s="62">
        <f t="shared" si="124"/>
        <v>5.7992999999999997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125"/>
        <v>0803-15</v>
      </c>
      <c r="AE16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1" s="82" t="str">
        <f t="shared" si="130"/>
        <v>"C:\Program Files (x86)\AstroGrep\AstroGrep.exe" /e /r /s /spath="%USERPROFILE%\AppData\Local\Temp\OnboardLogs" /stypes="app*4016*20170315*" /stext=" 12:.+((SYSTEM_STATE.+slice.+state.+changed )|(ment ac)|(multiple cpu faults)|(system.+state.+changed )|(\[timeout)|(PRM\|1\|D)|(kpr)|(kdp)|(\|lc)|(penalty))"</v>
      </c>
      <c r="AG161" s="1" t="str">
        <f t="shared" si="126"/>
        <v>NW</v>
      </c>
      <c r="AH161" s="86" t="str">
        <f t="shared" si="131"/>
        <v>"%USERPROFILE%\Documents\GitHub\eaglep3\Utilities\RefineRTDCRunTimes.py" --tripid 803-15 --locoid 4016 --swversion DE.1.0.9.0 --startMP 204:972 --initTime 2017-03-15T06:20:08 --startdatetime 2017-03-15T06:22:22 --delay 1 --endMP 300:58965 --enddatetime 2017-03-15T06:36:46 --enforcementcount 0 &gt;&gt;C:\Users\stu\Documents\GitHub\eaglep3-reporting\EC\2017-03-15-refined-times.txt</v>
      </c>
      <c r="AI16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{"issue":{"subject":"","project_id":79,"tracker_id":40,"status_id":1,"priority_id":2,"assigned_to_id":23,"start_date":"2017-03-15","description":"","custom_fields":[{"id":1,"name":"Subdivision","value":"NW"},{"id":4,"name":"Milepost","value":"5.8965"},{"id":17,"name":"Train ID","value":"803-15"},{"id":16,"name":"Locomotive ID","value":"4016"},{"id":130,"name":"Impact","value":""},{"id":150,"name":"Time of Event (Mountain Time)","value":"06:36:46"},{"id":151,"name":"Denver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33"/>
        <v>start /low /b %USERPROFILE%\Documents\GitHub\eaglep3\Utilities\DownloadLogsFromS3.py --loco 4016 --day 2017-03-15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62" spans="1:91" x14ac:dyDescent="0.25">
      <c r="A162" s="33" t="s">
        <v>664</v>
      </c>
      <c r="B162" s="7">
        <v>4015</v>
      </c>
      <c r="C162" s="21" t="s">
        <v>230</v>
      </c>
      <c r="D162" s="21" t="s">
        <v>946</v>
      </c>
      <c r="E162" s="13">
        <v>42809.277361111112</v>
      </c>
      <c r="F162" s="13">
        <v>42809.279016203705</v>
      </c>
      <c r="G162" s="7">
        <v>0</v>
      </c>
      <c r="H162" s="21" t="s">
        <v>947</v>
      </c>
      <c r="I162" s="13">
        <v>42809.288425925923</v>
      </c>
      <c r="J162" s="7">
        <v>0</v>
      </c>
      <c r="K162" s="98" t="str">
        <f t="shared" si="118"/>
        <v>4015/4016</v>
      </c>
      <c r="L162" s="21" t="str">
        <f>VLOOKUP(A162,'Trips&amp;Operators'!$C$1:$G$99999,5,FALSE)</f>
        <v>LOZA FIDEL</v>
      </c>
      <c r="M162" s="6">
        <f t="shared" si="119"/>
        <v>9.4097222172422335E-3</v>
      </c>
      <c r="N162" s="7">
        <f t="shared" si="116"/>
        <v>13.549999992828816</v>
      </c>
      <c r="O162" s="7"/>
      <c r="P162" s="7"/>
      <c r="Q162" s="22"/>
      <c r="R162" s="22"/>
      <c r="S162" s="31">
        <f t="shared" si="117"/>
        <v>1</v>
      </c>
      <c r="T162" s="46" t="str">
        <f t="shared" si="120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128"/>
        <v>https://d0f6bd738d7f1b3e5a7ca70fe4ff75f0.us-east-1.aws.found.io/app/kibana#/discover/Steve-Slow-Train-Analysis-(2080s-and-2083s)?_g=(refreshInterval:(display:Off,pause:!f,section:0,value:0),time:(from:'2017-03-15T05:39:24-0600',mode:absolute,to:'2017-03-15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187" t="str">
        <f t="shared" si="121"/>
        <v>N</v>
      </c>
      <c r="X162" s="187">
        <f t="shared" si="127"/>
        <v>1</v>
      </c>
      <c r="Y162" s="62">
        <f t="shared" si="122"/>
        <v>5.8647</v>
      </c>
      <c r="Z162" s="62">
        <f t="shared" si="123"/>
        <v>6.8000000000000005E-2</v>
      </c>
      <c r="AA162" s="62">
        <f t="shared" si="124"/>
        <v>5.7967000000000004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125"/>
        <v>0804-15</v>
      </c>
      <c r="AE16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62" s="82" t="str">
        <f t="shared" si="130"/>
        <v>"C:\Program Files (x86)\AstroGrep\AstroGrep.exe" /e /r /s /spath="%USERPROFILE%\AppData\Local\Temp\OnboardLogs" /stypes="app*4015*20170315*" /stext=" 12:.+((SYSTEM_STATE.+slice.+state.+changed )|(ment ac)|(multiple cpu faults)|(system.+state.+changed )|(\[timeout)|(PRM\|1\|D)|(kpr)|(kdp)|(\|lc)|(penalty))"</v>
      </c>
      <c r="AG162" s="1" t="str">
        <f t="shared" si="126"/>
        <v>NW</v>
      </c>
      <c r="AH162" s="86" t="str">
        <f t="shared" si="131"/>
        <v>"%USERPROFILE%\Documents\GitHub\eaglep3\Utilities\RefineRTDCRunTimes.py" --tripid 804-15 --locoid 4015 --swversion DE.1.0.9.0 --startMP 300:58647 --initTime 2017-03-15T06:39:24 --startdatetime 2017-03-15T06:41:47 --delay 0 --endMP 204:680 --enddatetime 2017-03-15T06:55:20 --enforcementcount 0 &gt;&gt;C:\Users\stu\Documents\GitHub\eaglep3-reporting\EC\2017-03-15-refined-times.txt</v>
      </c>
      <c r="AI16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ID","value":"804-15"},{"id":16,"name":"Locomotive ID","value":"4015"},{"id":130,"name":"Impact","value":""},{"id":150,"name":"Time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33"/>
        <v>start /low /b %USERPROFILE%\Documents\GitHub\eaglep3\Utilities\DownloadLogsFromS3.py --loco 4015 --day 2017-03-15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63" spans="1:91" x14ac:dyDescent="0.25">
      <c r="A163" s="33" t="s">
        <v>581</v>
      </c>
      <c r="B163" s="7">
        <v>4046</v>
      </c>
      <c r="C163" s="21" t="s">
        <v>230</v>
      </c>
      <c r="D163" s="21" t="s">
        <v>948</v>
      </c>
      <c r="E163" s="13">
        <v>42809.281041666669</v>
      </c>
      <c r="F163" s="13">
        <v>42809.285624999997</v>
      </c>
      <c r="G163" s="7">
        <v>1</v>
      </c>
      <c r="H163" s="21" t="s">
        <v>949</v>
      </c>
      <c r="I163" s="13">
        <v>42809.295891203707</v>
      </c>
      <c r="J163" s="7">
        <v>0</v>
      </c>
      <c r="K163" s="98" t="str">
        <f t="shared" si="118"/>
        <v>4045/4046</v>
      </c>
      <c r="L163" s="21" t="str">
        <f>VLOOKUP(A163,'Trips&amp;Operators'!$C$1:$G$99999,5,FALSE)</f>
        <v>COOLAHAN JOHN</v>
      </c>
      <c r="M163" s="6">
        <f t="shared" si="119"/>
        <v>1.0266203709761612E-2</v>
      </c>
      <c r="N163" s="7">
        <f t="shared" si="116"/>
        <v>14.783333342056721</v>
      </c>
      <c r="O163" s="7"/>
      <c r="P163" s="7"/>
      <c r="Q163" s="22"/>
      <c r="R163" s="22"/>
      <c r="S163" s="31">
        <f t="shared" si="117"/>
        <v>1</v>
      </c>
      <c r="T163" s="46" t="str">
        <f t="shared" si="120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128"/>
        <v>https://d0f6bd738d7f1b3e5a7ca70fe4ff75f0.us-east-1.aws.found.io/app/kibana#/discover/Steve-Slow-Train-Analysis-(2080s-and-2083s)?_g=(refreshInterval:(display:Off,pause:!f,section:0,value:0),time:(from:'2017-03-15T05:44:42-0600',mode:absolute,to:'2017-03-15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3" s="187" t="str">
        <f t="shared" si="121"/>
        <v>N</v>
      </c>
      <c r="X163" s="187">
        <f t="shared" si="127"/>
        <v>1</v>
      </c>
      <c r="Y163" s="62">
        <f t="shared" si="122"/>
        <v>9.4799999999999995E-2</v>
      </c>
      <c r="Z163" s="62">
        <f t="shared" si="123"/>
        <v>5.8967000000000001</v>
      </c>
      <c r="AA163" s="62">
        <f t="shared" si="124"/>
        <v>5.8018999999999998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125"/>
        <v>0805-15</v>
      </c>
      <c r="AE163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63" s="82" t="str">
        <f t="shared" si="130"/>
        <v>"C:\Program Files (x86)\AstroGrep\AstroGrep.exe" /e /r /s /spath="%USERPROFILE%\AppData\Local\Temp\OnboardLogs" /stypes="app*4046*20170315*" /stext=" 13:.+((SYSTEM_STATE.+slice.+state.+changed )|(ment ac)|(multiple cpu faults)|(system.+state.+changed )|(\[timeout)|(PRM\|1\|D)|(kpr)|(kdp)|(\|lc)|(penalty))"</v>
      </c>
      <c r="AG163" s="1" t="str">
        <f t="shared" si="126"/>
        <v>NW</v>
      </c>
      <c r="AH163" s="86" t="str">
        <f t="shared" si="131"/>
        <v>"%USERPROFILE%\Documents\GitHub\eaglep3\Utilities\RefineRTDCRunTimes.py" --tripid 805-15 --locoid 4046 --swversion DE.1.0.9.0 --startMP 204:948 --initTime 2017-03-15T06:44:42 --startdatetime 2017-03-15T06:51:18 --delay 1 --endMP 300:58967 --enddatetime 2017-03-15T07:06:05 --enforcementcount 0 &gt;&gt;C:\Users\stu\Documents\GitHub\eaglep3-reporting\EC\2017-03-15-refined-times.txt</v>
      </c>
      <c r="AI16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{"issue":{"subject":"","project_id":79,"tracker_id":40,"status_id":1,"priority_id":2,"assigned_to_id":23,"start_date":"2017-03-15","description":"","custom_fields":[{"id":1,"name":"Subdivision","value":"NW"},{"id":4,"name":"Milepost","value":"5.8967"},{"id":17,"name":"Train ID","value":"805-15"},{"id":16,"name":"Locomotive ID","value":"4046"},{"id":130,"name":"Impact","value":""},{"id":150,"name":"Time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33"/>
        <v>start /low /b %USERPROFILE%\Documents\GitHub\eaglep3\Utilities\DownloadLogsFromS3.py --loco 4046 --day 2017-03-15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64" spans="1:91" x14ac:dyDescent="0.25">
      <c r="A164" s="33" t="s">
        <v>582</v>
      </c>
      <c r="B164" s="7">
        <v>4045</v>
      </c>
      <c r="C164" s="21" t="s">
        <v>230</v>
      </c>
      <c r="D164" s="21" t="s">
        <v>563</v>
      </c>
      <c r="E164" s="13">
        <v>42809.297291666669</v>
      </c>
      <c r="F164" s="13">
        <v>42809.300300925926</v>
      </c>
      <c r="G164" s="7">
        <v>1</v>
      </c>
      <c r="H164" s="21" t="s">
        <v>950</v>
      </c>
      <c r="I164" s="13">
        <v>42809.30945601852</v>
      </c>
      <c r="J164" s="7">
        <v>0</v>
      </c>
      <c r="K164" s="98" t="str">
        <f t="shared" si="118"/>
        <v>4045/4046</v>
      </c>
      <c r="L164" s="21" t="str">
        <f>VLOOKUP(A164,'Trips&amp;Operators'!$C$1:$G$99999,5,FALSE)</f>
        <v>COOLAHAN JOHN</v>
      </c>
      <c r="M164" s="6">
        <f t="shared" si="119"/>
        <v>9.1550925935734995E-3</v>
      </c>
      <c r="N164" s="7">
        <f t="shared" si="116"/>
        <v>13.183333334745839</v>
      </c>
      <c r="O164" s="7"/>
      <c r="P164" s="7"/>
      <c r="Q164" s="22"/>
      <c r="R164" s="22"/>
      <c r="S164" s="31">
        <f t="shared" si="117"/>
        <v>1</v>
      </c>
      <c r="T164" s="46" t="str">
        <f t="shared" si="120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128"/>
        <v>https://d0f6bd738d7f1b3e5a7ca70fe4ff75f0.us-east-1.aws.found.io/app/kibana#/discover/Steve-Slow-Train-Analysis-(2080s-and-2083s)?_g=(refreshInterval:(display:Off,pause:!f,section:0,value:0),time:(from:'2017-03-15T06:08:06-0600',mode:absolute,to:'2017-03-15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4" s="187" t="str">
        <f t="shared" si="121"/>
        <v>N</v>
      </c>
      <c r="X164" s="187">
        <f t="shared" si="127"/>
        <v>1</v>
      </c>
      <c r="Y164" s="62">
        <f t="shared" si="122"/>
        <v>5.8644999999999996</v>
      </c>
      <c r="Z164" s="62">
        <f t="shared" si="123"/>
        <v>7.1300000000000002E-2</v>
      </c>
      <c r="AA164" s="62">
        <f t="shared" si="124"/>
        <v>5.7931999999999997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125"/>
        <v>0806-15</v>
      </c>
      <c r="AE164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4" s="82" t="str">
        <f t="shared" si="130"/>
        <v>"C:\Program Files (x86)\AstroGrep\AstroGrep.exe" /e /r /s /spath="%USERPROFILE%\AppData\Local\Temp\OnboardLogs" /stypes="app*4045*20170315*" /stext=" 13:.+((SYSTEM_STATE.+slice.+state.+changed )|(ment ac)|(multiple cpu faults)|(system.+state.+changed )|(\[timeout)|(PRM\|1\|D)|(kpr)|(kdp)|(\|lc)|(penalty))"</v>
      </c>
      <c r="AG164" s="1" t="str">
        <f t="shared" si="126"/>
        <v>NW</v>
      </c>
      <c r="AH164" s="86" t="str">
        <f t="shared" si="131"/>
        <v>"%USERPROFILE%\Documents\GitHub\eaglep3\Utilities\RefineRTDCRunTimes.py" --tripid 806-15 --locoid 4045 --swversion DE.1.0.9.0 --startMP 300:58645 --initTime 2017-03-15T07:08:06 --startdatetime 2017-03-15T07:12:26 --delay 1 --endMP 204:713 --enddatetime 2017-03-15T07:25:37 --enforcementcount 0 &gt;&gt;C:\Users\stu\Documents\GitHub\eaglep3-reporting\EC\2017-03-15-refined-times.txt</v>
      </c>
      <c r="AI16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{"issue":{"subject":"","project_id":79,"tracker_id":40,"status_id":1,"priority_id":2,"assigned_to_id":23,"start_date":"2017-03-15","description":"","custom_fields":[{"id":1,"name":"Subdivision","value":"NW"},{"id":4,"name":"Milepost","value":"0.0713"},{"id":17,"name":"Train ID","value":"806-15"},{"id":16,"name":"Locomotive ID","value":"4045"},{"id":130,"name":"Impact","value":""},{"id":150,"name":"Time of Event (Mountain Time)","value":"07:25:37"},{"id":151,"name":"Denver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33"/>
        <v>start /low /b %USERPROFILE%\Documents\GitHub\eaglep3\Utilities\DownloadLogsFromS3.py --loco 4045 --day 2017-03-15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65" spans="1:91" x14ac:dyDescent="0.25">
      <c r="A165" s="33" t="s">
        <v>667</v>
      </c>
      <c r="B165" s="7">
        <v>4016</v>
      </c>
      <c r="C165" s="21" t="s">
        <v>230</v>
      </c>
      <c r="D165" s="21" t="s">
        <v>951</v>
      </c>
      <c r="E165" s="13">
        <v>42809.305150462962</v>
      </c>
      <c r="F165" s="13">
        <v>42809.306712962964</v>
      </c>
      <c r="G165" s="7">
        <v>1</v>
      </c>
      <c r="H165" s="21" t="s">
        <v>949</v>
      </c>
      <c r="I165" s="13">
        <v>42809.315937500003</v>
      </c>
      <c r="J165" s="7">
        <v>0</v>
      </c>
      <c r="K165" s="98" t="str">
        <f t="shared" si="118"/>
        <v>4015/4016</v>
      </c>
      <c r="L165" s="21" t="str">
        <f>VLOOKUP(A165,'Trips&amp;Operators'!$C$1:$G$99999,5,FALSE)</f>
        <v>LOZA FIDEL</v>
      </c>
      <c r="M165" s="6">
        <f t="shared" si="119"/>
        <v>9.2245370396994986E-3</v>
      </c>
      <c r="N165" s="7">
        <f t="shared" si="116"/>
        <v>13.283333337167278</v>
      </c>
      <c r="O165" s="7"/>
      <c r="P165" s="7"/>
      <c r="Q165" s="22"/>
      <c r="R165" s="22"/>
      <c r="S165" s="31">
        <f t="shared" si="117"/>
        <v>1</v>
      </c>
      <c r="T165" s="46" t="str">
        <f t="shared" si="120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128"/>
        <v>https://d0f6bd738d7f1b3e5a7ca70fe4ff75f0.us-east-1.aws.found.io/app/kibana#/discover/Steve-Slow-Train-Analysis-(2080s-and-2083s)?_g=(refreshInterval:(display:Off,pause:!f,section:0,value:0),time:(from:'2017-03-15T06:19:25-0600',mode:absolute,to:'2017-03-15T08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187" t="str">
        <f t="shared" si="121"/>
        <v>N</v>
      </c>
      <c r="X165" s="187">
        <f t="shared" si="127"/>
        <v>1</v>
      </c>
      <c r="Y165" s="62">
        <f t="shared" si="122"/>
        <v>9.8299999999999998E-2</v>
      </c>
      <c r="Z165" s="62">
        <f t="shared" si="123"/>
        <v>5.8967000000000001</v>
      </c>
      <c r="AA165" s="62">
        <f t="shared" si="124"/>
        <v>5.7984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125"/>
        <v>0807-15</v>
      </c>
      <c r="AE16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5" s="82" t="str">
        <f t="shared" si="130"/>
        <v>"C:\Program Files (x86)\AstroGrep\AstroGrep.exe" /e /r /s /spath="%USERPROFILE%\AppData\Local\Temp\OnboardLogs" /stypes="app*4016*20170315*" /stext=" 13:.+((SYSTEM_STATE.+slice.+state.+changed )|(ment ac)|(multiple cpu faults)|(system.+state.+changed )|(\[timeout)|(PRM\|1\|D)|(kpr)|(kdp)|(\|lc)|(penalty))"</v>
      </c>
      <c r="AG165" s="1" t="str">
        <f t="shared" si="126"/>
        <v>NW</v>
      </c>
      <c r="AH165" s="86" t="str">
        <f t="shared" si="131"/>
        <v>"%USERPROFILE%\Documents\GitHub\eaglep3\Utilities\RefineRTDCRunTimes.py" --tripid 807-15 --locoid 4016 --swversion DE.1.0.9.0 --startMP 204:983 --initTime 2017-03-15T07:19:25 --startdatetime 2017-03-15T07:21:40 --delay 1 --endMP 300:58967 --enddatetime 2017-03-15T07:34:57 --enforcementcount 0 &gt;&gt;C:\Users\stu\Documents\GitHub\eaglep3-reporting\EC\2017-03-15-refined-times.txt</v>
      </c>
      <c r="AI16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{"issue":{"subject":"","project_id":79,"tracker_id":40,"status_id":1,"priority_id":2,"assigned_to_id":23,"start_date":"2017-03-15","description":"","custom_fields":[{"id":1,"name":"Subdivision","value":"NW"},{"id":4,"name":"Milepost","value":"5.8967"},{"id":17,"name":"Train ID","value":"807-15"},{"id":16,"name":"Locomotive ID","value":"4016"},{"id":130,"name":"Impact","value":""},{"id":150,"name":"Time of Event (Mountain Time)","value":"07:34:57"},{"id":151,"name":"Denver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33"/>
        <v>start /low /b %USERPROFILE%\Documents\GitHub\eaglep3\Utilities\DownloadLogsFromS3.py --loco 4016 --day 2017-03-15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66" spans="1:91" x14ac:dyDescent="0.25">
      <c r="A166" s="33" t="s">
        <v>671</v>
      </c>
      <c r="B166" s="7">
        <v>4015</v>
      </c>
      <c r="C166" s="21" t="s">
        <v>230</v>
      </c>
      <c r="D166" s="21" t="s">
        <v>952</v>
      </c>
      <c r="E166" s="13">
        <v>42809.318078703705</v>
      </c>
      <c r="F166" s="13">
        <v>42809.3202662037</v>
      </c>
      <c r="G166" s="7">
        <v>1</v>
      </c>
      <c r="H166" s="21" t="s">
        <v>953</v>
      </c>
      <c r="I166" s="13">
        <v>42809.330266203702</v>
      </c>
      <c r="J166" s="7">
        <v>0</v>
      </c>
      <c r="K166" s="98" t="str">
        <f t="shared" si="118"/>
        <v>4015/4016</v>
      </c>
      <c r="L166" s="21" t="str">
        <f>VLOOKUP(A166,'Trips&amp;Operators'!$C$1:$G$99999,5,FALSE)</f>
        <v>LOZA FIDEL</v>
      </c>
      <c r="M166" s="6">
        <f t="shared" si="119"/>
        <v>1.0000000002037268E-2</v>
      </c>
      <c r="N166" s="7">
        <f t="shared" si="116"/>
        <v>14.400000002933666</v>
      </c>
      <c r="O166" s="7"/>
      <c r="P166" s="7"/>
      <c r="Q166" s="22"/>
      <c r="R166" s="22"/>
      <c r="S166" s="31">
        <f t="shared" ref="S166:S197" si="134">SUM(U166:U166)/IF(AG166="EC",12,1)</f>
        <v>1</v>
      </c>
      <c r="T166" s="46" t="str">
        <f t="shared" si="120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128"/>
        <v>https://d0f6bd738d7f1b3e5a7ca70fe4ff75f0.us-east-1.aws.found.io/app/kibana#/discover/Steve-Slow-Train-Analysis-(2080s-and-2083s)?_g=(refreshInterval:(display:Off,pause:!f,section:0,value:0),time:(from:'2017-03-15T06:38:02-0600',mode:absolute,to:'2017-03-15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187" t="str">
        <f t="shared" si="121"/>
        <v>N</v>
      </c>
      <c r="X166" s="187">
        <f t="shared" si="127"/>
        <v>1</v>
      </c>
      <c r="Y166" s="62">
        <f t="shared" si="122"/>
        <v>5.8651</v>
      </c>
      <c r="Z166" s="62">
        <f t="shared" si="123"/>
        <v>6.9199999999999998E-2</v>
      </c>
      <c r="AA166" s="62">
        <f t="shared" si="124"/>
        <v>5.7958999999999996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125"/>
        <v>0808-15</v>
      </c>
      <c r="AE16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66" s="82" t="str">
        <f t="shared" si="130"/>
        <v>"C:\Program Files (x86)\AstroGrep\AstroGrep.exe" /e /r /s /spath="%USERPROFILE%\AppData\Local\Temp\OnboardLogs" /stypes="app*4015*20170315*" /stext=" 13:.+((SYSTEM_STATE.+slice.+state.+changed )|(ment ac)|(multiple cpu faults)|(system.+state.+changed )|(\[timeout)|(PRM\|1\|D)|(kpr)|(kdp)|(\|lc)|(penalty))"</v>
      </c>
      <c r="AG166" s="1" t="str">
        <f t="shared" si="126"/>
        <v>NW</v>
      </c>
      <c r="AH166" s="86" t="str">
        <f t="shared" si="131"/>
        <v>"%USERPROFILE%\Documents\GitHub\eaglep3\Utilities\RefineRTDCRunTimes.py" --tripid 808-15 --locoid 4015 --swversion DE.1.0.9.0 --startMP 300:58651 --initTime 2017-03-15T07:38:02 --startdatetime 2017-03-15T07:41:11 --delay 1 --endMP 204:692 --enddatetime 2017-03-15T07:55:35 --enforcementcount 0 &gt;&gt;C:\Users\stu\Documents\GitHub\eaglep3-reporting\EC\2017-03-15-refined-times.txt</v>
      </c>
      <c r="AI16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{"issue":{"subject":"","project_id":79,"tracker_id":40,"status_id":1,"priority_id":2,"assigned_to_id":23,"start_date":"2017-03-15","description":"","custom_fields":[{"id":1,"name":"Subdivision","value":"NW"},{"id":4,"name":"Milepost","value":"0.0692"},{"id":17,"name":"Train ID","value":"808-15"},{"id":16,"name":"Locomotive ID","value":"4015"},{"id":130,"name":"Impact","value":""},{"id":150,"name":"Time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33"/>
        <v>start /low /b %USERPROFILE%\Documents\GitHub\eaglep3\Utilities\DownloadLogsFromS3.py --loco 4015 --day 2017-03-15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67" spans="1:91" x14ac:dyDescent="0.25">
      <c r="A167" s="33" t="s">
        <v>673</v>
      </c>
      <c r="B167" s="7">
        <v>4046</v>
      </c>
      <c r="C167" s="21" t="s">
        <v>230</v>
      </c>
      <c r="D167" s="21" t="s">
        <v>954</v>
      </c>
      <c r="E167" s="13">
        <v>42809.32230324074</v>
      </c>
      <c r="F167" s="13">
        <v>42809.327268518522</v>
      </c>
      <c r="G167" s="7">
        <v>1</v>
      </c>
      <c r="H167" s="21" t="s">
        <v>564</v>
      </c>
      <c r="I167" s="13">
        <v>42809.3359837963</v>
      </c>
      <c r="J167" s="7">
        <v>0</v>
      </c>
      <c r="K167" s="98" t="str">
        <f t="shared" si="118"/>
        <v>4045/4046</v>
      </c>
      <c r="L167" s="21" t="str">
        <f>VLOOKUP(A167,'Trips&amp;Operators'!$C$1:$G$99999,5,FALSE)</f>
        <v>COOLAHAN JOHN</v>
      </c>
      <c r="M167" s="6">
        <f t="shared" si="119"/>
        <v>8.7152777778101154E-3</v>
      </c>
      <c r="N167" s="7">
        <f t="shared" si="116"/>
        <v>12.550000000046566</v>
      </c>
      <c r="O167" s="7"/>
      <c r="P167" s="7"/>
      <c r="Q167" s="22"/>
      <c r="R167" s="22"/>
      <c r="S167" s="31">
        <f t="shared" si="134"/>
        <v>1</v>
      </c>
      <c r="T167" s="46" t="str">
        <f t="shared" si="120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128"/>
        <v>https://d0f6bd738d7f1b3e5a7ca70fe4ff75f0.us-east-1.aws.found.io/app/kibana#/discover/Steve-Slow-Train-Analysis-(2080s-and-2083s)?_g=(refreshInterval:(display:Off,pause:!f,section:0,value:0),time:(from:'2017-03-15T06:44:07-0600',mode:absolute,to:'2017-03-15T09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7" s="187" t="str">
        <f t="shared" si="121"/>
        <v>N</v>
      </c>
      <c r="X167" s="187">
        <f t="shared" si="127"/>
        <v>1</v>
      </c>
      <c r="Y167" s="62">
        <f t="shared" si="122"/>
        <v>0.1004</v>
      </c>
      <c r="Z167" s="62">
        <f t="shared" si="123"/>
        <v>5.8954000000000004</v>
      </c>
      <c r="AA167" s="62">
        <f t="shared" si="124"/>
        <v>5.7950000000000008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125"/>
        <v>0809-15</v>
      </c>
      <c r="AE167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67" s="82" t="str">
        <f t="shared" si="130"/>
        <v>"C:\Program Files (x86)\AstroGrep\AstroGrep.exe" /e /r /s /spath="%USERPROFILE%\AppData\Local\Temp\OnboardLogs" /stypes="app*4046*20170315*" /stext=" 14:.+((SYSTEM_STATE.+slice.+state.+changed )|(ment ac)|(multiple cpu faults)|(system.+state.+changed )|(\[timeout)|(PRM\|1\|D)|(kpr)|(kdp)|(\|lc)|(penalty))"</v>
      </c>
      <c r="AG167" s="1" t="str">
        <f t="shared" si="126"/>
        <v>NW</v>
      </c>
      <c r="AH167" s="86" t="str">
        <f t="shared" si="131"/>
        <v>"%USERPROFILE%\Documents\GitHub\eaglep3\Utilities\RefineRTDCRunTimes.py" --tripid 809-15 --locoid 4046 --swversion DE.1.0.9.0 --startMP 204:1004 --initTime 2017-03-15T07:44:07 --startdatetime 2017-03-15T07:51:16 --delay 1 --endMP 300:58954 --enddatetime 2017-03-15T08:03:49 --enforcementcount 0 &gt;&gt;C:\Users\stu\Documents\GitHub\eaglep3-reporting\EC\2017-03-15-refined-times.txt</v>
      </c>
      <c r="AI16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{"issue":{"subject":"","project_id":79,"tracker_id":40,"status_id":1,"priority_id":2,"assigned_to_id":23,"start_date":"2017-03-15","description":"","custom_fields":[{"id":1,"name":"Subdivision","value":"NW"},{"id":4,"name":"Milepost","value":"5.8954"},{"id":17,"name":"Train ID","value":"809-15"},{"id":16,"name":"Locomotive ID","value":"4046"},{"id":130,"name":"Impact","value":""},{"id":150,"name":"Time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33"/>
        <v>start /low /b %USERPROFILE%\Documents\GitHub\eaglep3\Utilities\DownloadLogsFromS3.py --loco 4046 --day 2017-03-15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68" spans="1:91" x14ac:dyDescent="0.25">
      <c r="A168" s="33" t="s">
        <v>675</v>
      </c>
      <c r="B168" s="7">
        <v>4045</v>
      </c>
      <c r="C168" s="21" t="s">
        <v>230</v>
      </c>
      <c r="D168" s="21" t="s">
        <v>556</v>
      </c>
      <c r="E168" s="13">
        <v>42809.336909722224</v>
      </c>
      <c r="F168" s="13">
        <v>42809.338472222225</v>
      </c>
      <c r="G168" s="7">
        <v>1</v>
      </c>
      <c r="H168" s="21" t="s">
        <v>557</v>
      </c>
      <c r="I168" s="13">
        <v>42809.351655092592</v>
      </c>
      <c r="J168" s="7">
        <v>0</v>
      </c>
      <c r="K168" s="98" t="str">
        <f t="shared" si="118"/>
        <v>4045/4046</v>
      </c>
      <c r="L168" s="21" t="str">
        <f>VLOOKUP(A168,'Trips&amp;Operators'!$C$1:$G$99999,5,FALSE)</f>
        <v>COOLAHAN JOHN</v>
      </c>
      <c r="M168" s="6">
        <f t="shared" si="119"/>
        <v>1.318287036701804E-2</v>
      </c>
      <c r="N168" s="7">
        <f t="shared" si="116"/>
        <v>18.983333328505978</v>
      </c>
      <c r="O168" s="7"/>
      <c r="P168" s="7"/>
      <c r="Q168" s="22"/>
      <c r="R168" s="22"/>
      <c r="S168" s="31">
        <f t="shared" si="134"/>
        <v>1</v>
      </c>
      <c r="T168" s="46" t="str">
        <f t="shared" si="120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128"/>
        <v>https://d0f6bd738d7f1b3e5a7ca70fe4ff75f0.us-east-1.aws.found.io/app/kibana#/discover/Steve-Slow-Train-Analysis-(2080s-and-2083s)?_g=(refreshInterval:(display:Off,pause:!f,section:0,value:0),time:(from:'2017-03-15T07:05:09-0600',mode:absolute,to:'2017-03-15T09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8" s="187" t="str">
        <f t="shared" si="121"/>
        <v>N</v>
      </c>
      <c r="X168" s="187">
        <f t="shared" si="127"/>
        <v>1</v>
      </c>
      <c r="Y168" s="62">
        <f t="shared" si="122"/>
        <v>5.8632</v>
      </c>
      <c r="Z168" s="62">
        <f t="shared" si="123"/>
        <v>7.5899999999999995E-2</v>
      </c>
      <c r="AA168" s="62">
        <f t="shared" si="124"/>
        <v>5.7873000000000001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125"/>
        <v>0810-15</v>
      </c>
      <c r="AE168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8" s="82" t="str">
        <f t="shared" si="130"/>
        <v>"C:\Program Files (x86)\AstroGrep\AstroGrep.exe" /e /r /s /spath="%USERPROFILE%\AppData\Local\Temp\OnboardLogs" /stypes="app*4045*20170315*" /stext=" 14:.+((SYSTEM_STATE.+slice.+state.+changed )|(ment ac)|(multiple cpu faults)|(system.+state.+changed )|(\[timeout)|(PRM\|1\|D)|(kpr)|(kdp)|(\|lc)|(penalty))"</v>
      </c>
      <c r="AG168" s="1" t="str">
        <f t="shared" si="126"/>
        <v>NW</v>
      </c>
      <c r="AH168" s="86" t="str">
        <f t="shared" si="131"/>
        <v>"%USERPROFILE%\Documents\GitHub\eaglep3\Utilities\RefineRTDCRunTimes.py" --tripid 810-15 --locoid 4045 --swversion DE.1.0.9.0 --startMP 300:58632 --initTime 2017-03-15T08:05:09 --startdatetime 2017-03-15T08:07:24 --delay 1 --endMP 204:759 --enddatetime 2017-03-15T08:26:23 --enforcementcount 0 &gt;&gt;C:\Users\stu\Documents\GitHub\eaglep3-reporting\EC\2017-03-15-refined-times.txt</v>
      </c>
      <c r="AI16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{"issue":{"subject":"","project_id":79,"tracker_id":40,"status_id":1,"priority_id":2,"assigned_to_id":23,"start_date":"2017-03-15","description":"","custom_fields":[{"id":1,"name":"Subdivision","value":"NW"},{"id":4,"name":"Milepost","value":"0.0759"},{"id":17,"name":"Train ID","value":"810-15"},{"id":16,"name":"Locomotive ID","value":"4045"},{"id":130,"name":"Impact","value":""},{"id":150,"name":"Time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33"/>
        <v>start /low /b %USERPROFILE%\Documents\GitHub\eaglep3\Utilities\DownloadLogsFromS3.py --loco 4045 --day 2017-03-15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69" spans="1:91" s="20" customFormat="1" x14ac:dyDescent="0.25">
      <c r="A169" s="33" t="s">
        <v>586</v>
      </c>
      <c r="B169" s="7">
        <v>4016</v>
      </c>
      <c r="C169" s="21" t="s">
        <v>230</v>
      </c>
      <c r="D169" s="21" t="s">
        <v>492</v>
      </c>
      <c r="E169" s="13">
        <v>42809.346898148149</v>
      </c>
      <c r="F169" s="13">
        <v>42809.349085648151</v>
      </c>
      <c r="G169" s="7">
        <v>1</v>
      </c>
      <c r="H169" s="21" t="s">
        <v>465</v>
      </c>
      <c r="I169" s="13">
        <v>42809.359409722223</v>
      </c>
      <c r="J169" s="7">
        <v>0</v>
      </c>
      <c r="K169" s="98" t="str">
        <f t="shared" si="118"/>
        <v>4015/4016</v>
      </c>
      <c r="L169" s="21" t="str">
        <f>VLOOKUP(A169,'Trips&amp;Operators'!$C$1:$G$99999,5,FALSE)</f>
        <v>WILLIAMS DONTE</v>
      </c>
      <c r="M169" s="6">
        <f t="shared" si="119"/>
        <v>1.0324074071832001E-2</v>
      </c>
      <c r="N169" s="7">
        <f t="shared" si="116"/>
        <v>14.866666663438082</v>
      </c>
      <c r="O169" s="7"/>
      <c r="P169" s="7"/>
      <c r="Q169" s="22"/>
      <c r="R169" s="22"/>
      <c r="S169" s="31">
        <f t="shared" si="134"/>
        <v>1</v>
      </c>
      <c r="T169" s="46" t="str">
        <f t="shared" si="120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128"/>
        <v>https://d0f6bd738d7f1b3e5a7ca70fe4ff75f0.us-east-1.aws.found.io/app/kibana#/discover/Steve-Slow-Train-Analysis-(2080s-and-2083s)?_g=(refreshInterval:(display:Off,pause:!f,section:0,value:0),time:(from:'2017-03-15T07:19:32-0600',mode:absolute,to:'2017-03-15T09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187" t="str">
        <f t="shared" si="121"/>
        <v>N</v>
      </c>
      <c r="X169" s="187">
        <f t="shared" si="127"/>
        <v>1</v>
      </c>
      <c r="Y169" s="62">
        <f t="shared" si="122"/>
        <v>9.64E-2</v>
      </c>
      <c r="Z169" s="62">
        <f t="shared" si="123"/>
        <v>5.8939000000000004</v>
      </c>
      <c r="AA169" s="62">
        <f t="shared" si="124"/>
        <v>5.7975000000000003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125"/>
        <v>0811-15</v>
      </c>
      <c r="AE16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9" s="82" t="str">
        <f t="shared" si="130"/>
        <v>"C:\Program Files (x86)\AstroGrep\AstroGrep.exe" /e /r /s /spath="%USERPROFILE%\AppData\Local\Temp\OnboardLogs" /stypes="app*4016*20170315*" /stext=" 14:.+((SYSTEM_STATE.+slice.+state.+changed )|(ment ac)|(multiple cpu faults)|(system.+state.+changed )|(\[timeout)|(PRM\|1\|D)|(kpr)|(kdp)|(\|lc)|(penalty))"</v>
      </c>
      <c r="AG169" s="1" t="str">
        <f t="shared" si="126"/>
        <v>NW</v>
      </c>
      <c r="AH169" s="86" t="str">
        <f t="shared" si="131"/>
        <v>"%USERPROFILE%\Documents\GitHub\eaglep3\Utilities\RefineRTDCRunTimes.py" --tripid 811-15 --locoid 4016 --swversion DE.1.0.9.0 --startMP 204:964 --initTime 2017-03-15T08:19:32 --startdatetime 2017-03-15T08:22:41 --delay 1 --endMP 300:58939 --enddatetime 2017-03-15T08:37:33 --enforcementcount 0 &gt;&gt;C:\Users\stu\Documents\GitHub\eaglep3-reporting\EC\2017-03-15-refined-times.txt</v>
      </c>
      <c r="AI16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{"issue":{"subject":"","project_id":79,"tracker_id":40,"status_id":1,"priority_id":2,"assigned_to_id":23,"start_date":"2017-03-15","description":"","custom_fields":[{"id":1,"name":"Subdivision","value":"NW"},{"id":4,"name":"Milepost","value":"5.8939"},{"id":17,"name":"Train ID","value":"811-15"},{"id":16,"name":"Locomotive ID","value":"4016"},{"id":130,"name":"Impact","value":""},{"id":150,"name":"Time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33"/>
        <v>start /low /b %USERPROFILE%\Documents\GitHub\eaglep3\Utilities\DownloadLogsFromS3.py --loco 4016 --day 2017-03-15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588</v>
      </c>
      <c r="B170" s="7">
        <v>4015</v>
      </c>
      <c r="C170" s="21" t="s">
        <v>230</v>
      </c>
      <c r="D170" s="21" t="s">
        <v>955</v>
      </c>
      <c r="E170" s="13">
        <v>42809.362002314818</v>
      </c>
      <c r="F170" s="13">
        <v>42809.364351851851</v>
      </c>
      <c r="G170" s="7">
        <v>2</v>
      </c>
      <c r="H170" s="21" t="s">
        <v>956</v>
      </c>
      <c r="I170" s="13">
        <v>42809.375833333332</v>
      </c>
      <c r="J170" s="7">
        <v>0</v>
      </c>
      <c r="K170" s="98" t="str">
        <f t="shared" si="118"/>
        <v>4015/4016</v>
      </c>
      <c r="L170" s="21" t="str">
        <f>VLOOKUP(A170,'Trips&amp;Operators'!$C$1:$G$99999,5,FALSE)</f>
        <v>WILLIAMS DONTE</v>
      </c>
      <c r="M170" s="6">
        <f t="shared" si="119"/>
        <v>1.1481481480586808E-2</v>
      </c>
      <c r="N170" s="7">
        <f t="shared" si="116"/>
        <v>16.533333332045004</v>
      </c>
      <c r="O170" s="7"/>
      <c r="P170" s="7"/>
      <c r="Q170" s="22"/>
      <c r="R170" s="22"/>
      <c r="S170" s="31">
        <f t="shared" si="134"/>
        <v>1</v>
      </c>
      <c r="T170" s="46" t="str">
        <f t="shared" si="120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128"/>
        <v>https://d0f6bd738d7f1b3e5a7ca70fe4ff75f0.us-east-1.aws.found.io/app/kibana#/discover/Steve-Slow-Train-Analysis-(2080s-and-2083s)?_g=(refreshInterval:(display:Off,pause:!f,section:0,value:0),time:(from:'2017-03-15T07:41:17-0600',mode:absolute,to:'2017-03-15T10:01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187" t="str">
        <f t="shared" si="121"/>
        <v>N</v>
      </c>
      <c r="X170" s="187">
        <f t="shared" si="127"/>
        <v>1</v>
      </c>
      <c r="Y170" s="62">
        <f t="shared" si="122"/>
        <v>5.8624000000000001</v>
      </c>
      <c r="Z170" s="62">
        <f t="shared" si="123"/>
        <v>6.9800000000000001E-2</v>
      </c>
      <c r="AA170" s="62">
        <f t="shared" si="124"/>
        <v>5.7926000000000002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125"/>
        <v>0812-15</v>
      </c>
      <c r="AE17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0" s="82" t="str">
        <f t="shared" si="130"/>
        <v>"C:\Program Files (x86)\AstroGrep\AstroGrep.exe" /e /r /s /spath="%USERPROFILE%\AppData\Local\Temp\OnboardLogs" /stypes="app*4015*20170315*" /stext=" 15:.+((SYSTEM_STATE.+slice.+state.+changed )|(ment ac)|(multiple cpu faults)|(system.+state.+changed )|(\[timeout)|(PRM\|1\|D)|(kpr)|(kdp)|(\|lc)|(penalty))"</v>
      </c>
      <c r="AG170" s="1" t="str">
        <f t="shared" si="126"/>
        <v>NW</v>
      </c>
      <c r="AH170" s="86" t="str">
        <f t="shared" si="131"/>
        <v>"%USERPROFILE%\Documents\GitHub\eaglep3\Utilities\RefineRTDCRunTimes.py" --tripid 812-15 --locoid 4015 --swversion DE.1.0.9.0 --startMP 300:58624 --initTime 2017-03-15T08:41:17 --startdatetime 2017-03-15T08:44:40 --delay 2 --endMP 204:698 --enddatetime 2017-03-15T09:01:12 --enforcementcount 0 &gt;&gt;C:\Users\stu\Documents\GitHub\eaglep3-reporting\EC\2017-03-15-refined-times.txt</v>
      </c>
      <c r="AI17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{"issue":{"subject":"","project_id":79,"tracker_id":40,"status_id":1,"priority_id":2,"assigned_to_id":23,"start_date":"2017-03-15","description":"","custom_fields":[{"id":1,"name":"Subdivision","value":"NW"},{"id":4,"name":"Milepost","value":"0.0698"},{"id":17,"name":"Train ID","value":"812-15"},{"id":16,"name":"Locomotive ID","value":"4015"},{"id":130,"name":"Impact","value":""},{"id":150,"name":"Time of Event (Mountain Time)","value":"09:01:12"},{"id":151,"name":"Denver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33"/>
        <v>start /low /b %USERPROFILE%\Documents\GitHub\eaglep3\Utilities\DownloadLogsFromS3.py --loco 4015 --day 2017-03-15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71" spans="1:91" x14ac:dyDescent="0.25">
      <c r="A171" s="33" t="s">
        <v>687</v>
      </c>
      <c r="B171" s="7">
        <v>4016</v>
      </c>
      <c r="C171" s="21" t="s">
        <v>230</v>
      </c>
      <c r="D171" s="21" t="s">
        <v>957</v>
      </c>
      <c r="E171" s="13">
        <v>42809.380509259259</v>
      </c>
      <c r="F171" s="13">
        <v>42809.390370370369</v>
      </c>
      <c r="G171" s="7">
        <v>1</v>
      </c>
      <c r="H171" s="21" t="s">
        <v>958</v>
      </c>
      <c r="I171" s="13">
        <v>42809.391736111109</v>
      </c>
      <c r="J171" s="7">
        <v>0</v>
      </c>
      <c r="K171" s="98" t="str">
        <f t="shared" si="118"/>
        <v>4015/4016</v>
      </c>
      <c r="L171" s="21" t="str">
        <f>VLOOKUP(A171,'Trips&amp;Operators'!$C$1:$G$99999,5,FALSE)</f>
        <v>WILLIAMS DONTE</v>
      </c>
      <c r="M171" s="6">
        <f t="shared" si="119"/>
        <v>1.3657407398568466E-3</v>
      </c>
      <c r="N171" s="7"/>
      <c r="O171" s="7"/>
      <c r="P171" s="7">
        <f>24*60*SUM($M171:$M171)</f>
        <v>1.9666666653938591</v>
      </c>
      <c r="Q171" s="22"/>
      <c r="R171" s="22" t="s">
        <v>1019</v>
      </c>
      <c r="S171" s="31">
        <f t="shared" si="134"/>
        <v>0</v>
      </c>
      <c r="T171" s="46" t="str">
        <f t="shared" si="120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86" t="str">
        <f t="shared" si="128"/>
        <v>https://d0f6bd738d7f1b3e5a7ca70fe4ff75f0.us-east-1.aws.found.io/app/kibana#/discover/Steve-Slow-Train-Analysis-(2080s-and-2083s)?_g=(refreshInterval:(display:Off,pause:!f,section:0,value:0),time:(from:'2017-03-15T08:07:56-0600',mode:absolute,to:'2017-03-15T10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187" t="str">
        <f t="shared" si="121"/>
        <v>Y</v>
      </c>
      <c r="X171" s="187">
        <f t="shared" si="127"/>
        <v>1</v>
      </c>
      <c r="Y171" s="62">
        <f t="shared" si="122"/>
        <v>9.8100000000000007E-2</v>
      </c>
      <c r="Z171" s="62">
        <f t="shared" si="123"/>
        <v>0.34470000000000001</v>
      </c>
      <c r="AA171" s="62">
        <f t="shared" si="124"/>
        <v>0.24659999999999999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125"/>
        <v>0813-15</v>
      </c>
      <c r="AE17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1" s="82" t="str">
        <f t="shared" si="130"/>
        <v>"C:\Program Files (x86)\AstroGrep\AstroGrep.exe" /e /r /s /spath="%USERPROFILE%\AppData\Local\Temp\OnboardLogs" /stypes="app*4016*20170315*" /stext=" 15:.+((SYSTEM_STATE.+slice.+state.+changed )|(ment ac)|(multiple cpu faults)|(system.+state.+changed )|(\[timeout)|(PRM\|1\|D)|(kpr)|(kdp)|(\|lc)|(penalty))"</v>
      </c>
      <c r="AG171" s="1" t="str">
        <f t="shared" si="126"/>
        <v>NW</v>
      </c>
      <c r="AH171" s="86" t="str">
        <f t="shared" si="131"/>
        <v>"%USERPROFILE%\Documents\GitHub\eaglep3\Utilities\RefineRTDCRunTimes.py" --tripid 813-15 --locoid 4016 --swversion DE.1.0.9.0 --startMP 204:981 --initTime 2017-03-15T09:07:56 --startdatetime 2017-03-15T09:22:08 --delay 1 --endMP 204:3447 --enddatetime 2017-03-15T09:24:06 --enforcementcount 0 &gt;&gt;C:\Users\stu\Documents\GitHub\eaglep3-reporting\EC\2017-03-15-refined-times.txt</v>
      </c>
      <c r="AI171" s="108" t="str">
        <f t="shared" si="132"/>
        <v>echo {"issue":{"subject":"DUS 32N stuck at STOP, then failed PSS (wrong SiteName)","project_id":79,"tracker_id":40,"status_id":1,"priority_id":2,"assigned_to_id":23,"start_date":"2017-03-15","description":"At 09:22, a train was trying to leave DUS Track 8, but the dispatcher couldn't clear 32N. Was there some other occupation that prevented the signal from clearing?","custom_fields":[{"id":1,"name":"Subdivision","value":"NW"},{"id":4,"name":"Milepost","value":"0.3447"},{"id":17,"name":"Train ID","value":"813-15"},{"id":16,"name":"Locomotive ID","value":"4016"},{"id":130,"name":"Impact","value":"Unexpected Cut-Out or Disengaged"},{"id":150,"name":"Time of Event (Mountain Time)","value":"09:24:06"},{"id":151,"name":"Denver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1" s="48" t="s">
        <v>1020</v>
      </c>
      <c r="AK171" s="48" t="s">
        <v>130</v>
      </c>
      <c r="AL171" s="48" t="s">
        <v>129</v>
      </c>
      <c r="AM171" s="154" t="str">
        <f t="shared" si="133"/>
        <v>start /low /b %USERPROFILE%\Documents\GitHub\eaglep3\Utilities\DownloadLogsFromS3.py --loco 4016 --day 2017-03-15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2" spans="1:91" x14ac:dyDescent="0.25">
      <c r="A172" s="33" t="s">
        <v>693</v>
      </c>
      <c r="B172" s="7">
        <v>4015</v>
      </c>
      <c r="C172" s="21" t="s">
        <v>230</v>
      </c>
      <c r="D172" s="21" t="s">
        <v>559</v>
      </c>
      <c r="E172" s="13">
        <v>42809.405590277776</v>
      </c>
      <c r="F172" s="13">
        <v>42809.407037037039</v>
      </c>
      <c r="G172" s="7">
        <v>0</v>
      </c>
      <c r="H172" s="21" t="s">
        <v>959</v>
      </c>
      <c r="I172" s="13">
        <v>42809.421018518522</v>
      </c>
      <c r="J172" s="7">
        <v>0</v>
      </c>
      <c r="K172" s="98" t="str">
        <f t="shared" ref="K172:K203" si="135">IF(ISEVEN(B172),(B172-1)&amp;"/"&amp;B172,B172&amp;"/"&amp;(B172+1))</f>
        <v>4015/4016</v>
      </c>
      <c r="L172" s="21" t="str">
        <f>VLOOKUP(A172,'Trips&amp;Operators'!$C$1:$G$99999,5,FALSE)</f>
        <v>WILLIAMS DONTE</v>
      </c>
      <c r="M172" s="6">
        <f t="shared" ref="M172:M203" si="136">I172-F172</f>
        <v>1.3981481482915115E-2</v>
      </c>
      <c r="N172" s="7">
        <f t="shared" ref="N172:N203" si="137">24*60*SUM($M172:$M172)</f>
        <v>20.133333335397765</v>
      </c>
      <c r="O172" s="7"/>
      <c r="P172" s="7"/>
      <c r="Q172" s="22"/>
      <c r="R172" s="22"/>
      <c r="S172" s="31">
        <f t="shared" si="134"/>
        <v>1</v>
      </c>
      <c r="T172" s="46" t="str">
        <f t="shared" ref="T172:T203" si="138"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128"/>
        <v>https://d0f6bd738d7f1b3e5a7ca70fe4ff75f0.us-east-1.aws.found.io/app/kibana#/discover/Steve-Slow-Train-Analysis-(2080s-and-2083s)?_g=(refreshInterval:(display:Off,pause:!f,section:0,value:0),time:(from:'2017-03-15T08:44:03-0600',mode:absolute,to:'2017-03-15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187" t="str">
        <f t="shared" ref="W172:W203" si="139">IF(AA172&lt;IF(AG172="EC",23,5.65),"Y","N")</f>
        <v>N</v>
      </c>
      <c r="X172" s="187">
        <f t="shared" si="127"/>
        <v>1</v>
      </c>
      <c r="Y172" s="62">
        <f t="shared" ref="Y172:Y203" si="140">RIGHT(D172,LEN(D172)-4)/10000</f>
        <v>5.8635999999999999</v>
      </c>
      <c r="Z172" s="62">
        <f t="shared" ref="Z172:Z203" si="141">RIGHT(H172,LEN(H172)-4)/10000</f>
        <v>6.8500000000000005E-2</v>
      </c>
      <c r="AA172" s="62">
        <f t="shared" ref="AA172:AA203" si="142">ABS(Z172-Y172)</f>
        <v>5.7950999999999997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203" si="143">IF(LEN(A172)=6,"0"&amp;A172,A172)</f>
        <v>0814-15</v>
      </c>
      <c r="AE17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2" s="82" t="str">
        <f t="shared" si="130"/>
        <v>"C:\Program Files (x86)\AstroGrep\AstroGrep.exe" /e /r /s /spath="%USERPROFILE%\AppData\Local\Temp\OnboardLogs" /stypes="app*4015*20170315*" /stext=" 16:.+((SYSTEM_STATE.+slice.+state.+changed )|(ment ac)|(multiple cpu faults)|(system.+state.+changed )|(\[timeout)|(PRM\|1\|D)|(kpr)|(kdp)|(\|lc)|(penalty))"</v>
      </c>
      <c r="AG172" s="1" t="str">
        <f t="shared" ref="AG172:AG203" si="144">IFERROR(IF(VALUE(LEFT(AD172,2))&lt;=2,"EC",IF(OR(VALUE(LEFT(AD172,2))=8,VALUE(LEFT(AD172,2))=18),"NW","Other")),"Other")</f>
        <v>NW</v>
      </c>
      <c r="AH172" s="86" t="str">
        <f t="shared" si="131"/>
        <v>"%USERPROFILE%\Documents\GitHub\eaglep3\Utilities\RefineRTDCRunTimes.py" --tripid 814-15 --locoid 4015 --swversion DE.1.0.9.0 --startMP 300:58636 --initTime 2017-03-15T09:44:03 --startdatetime 2017-03-15T09:46:08 --delay 0 --endMP 204:685 --enddatetime 2017-03-15T10:06:16 --enforcementcount 0 &gt;&gt;C:\Users\stu\Documents\GitHub\eaglep3-reporting\EC\2017-03-15-refined-times.txt</v>
      </c>
      <c r="AI17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{"issue":{"subject":"","project_id":79,"tracker_id":40,"status_id":1,"priority_id":2,"assigned_to_id":23,"start_date":"2017-03-15","description":"","custom_fields":[{"id":1,"name":"Subdivision","value":"NW"},{"id":4,"name":"Milepost","value":"0.0685"},{"id":17,"name":"Train ID","value":"814-15"},{"id":16,"name":"Locomotive ID","value":"4015"},{"id":130,"name":"Impact","value":""},{"id":150,"name":"Time of Event (Mountain Time)","value":"10:06:16"},{"id":151,"name":"Denver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33"/>
        <v>start /low /b %USERPROFILE%\Documents\GitHub\eaglep3\Utilities\DownloadLogsFromS3.py --loco 4015 --day 2017-03-15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73" spans="1:91" x14ac:dyDescent="0.25">
      <c r="A173" s="33" t="s">
        <v>697</v>
      </c>
      <c r="B173" s="7">
        <v>4016</v>
      </c>
      <c r="C173" s="21" t="s">
        <v>230</v>
      </c>
      <c r="D173" s="21" t="s">
        <v>567</v>
      </c>
      <c r="E173" s="13">
        <v>42809.430115740739</v>
      </c>
      <c r="F173" s="13">
        <v>42809.431898148148</v>
      </c>
      <c r="G173" s="7">
        <v>1</v>
      </c>
      <c r="H173" s="21" t="s">
        <v>960</v>
      </c>
      <c r="I173" s="13">
        <v>42809.440810185188</v>
      </c>
      <c r="J173" s="7">
        <v>0</v>
      </c>
      <c r="K173" s="98" t="str">
        <f t="shared" si="135"/>
        <v>4015/4016</v>
      </c>
      <c r="L173" s="21" t="str">
        <f>VLOOKUP(A173,'Trips&amp;Operators'!$C$1:$G$99999,5,FALSE)</f>
        <v>LOZA FIDEL</v>
      </c>
      <c r="M173" s="6">
        <f t="shared" si="136"/>
        <v>8.9120370394084603E-3</v>
      </c>
      <c r="N173" s="7">
        <f t="shared" si="137"/>
        <v>12.833333336748183</v>
      </c>
      <c r="O173" s="7"/>
      <c r="P173" s="7"/>
      <c r="Q173" s="22"/>
      <c r="R173" s="22"/>
      <c r="S173" s="31">
        <f t="shared" si="134"/>
        <v>1</v>
      </c>
      <c r="T173" s="46" t="str">
        <f t="shared" si="13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128"/>
        <v>https://d0f6bd738d7f1b3e5a7ca70fe4ff75f0.us-east-1.aws.found.io/app/kibana#/discover/Steve-Slow-Train-Analysis-(2080s-and-2083s)?_g=(refreshInterval:(display:Off,pause:!f,section:0,value:0),time:(from:'2017-03-15T09:19:22-0600',mode:absolute,to:'2017-03-15T11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187" t="str">
        <f t="shared" si="139"/>
        <v>N</v>
      </c>
      <c r="X173" s="187">
        <f t="shared" ref="X173:X204" si="145">VALUE(LEFT(AD173,4))-VALUE(LEFT(AD172,4))</f>
        <v>1</v>
      </c>
      <c r="Y173" s="62">
        <f t="shared" si="140"/>
        <v>9.8599999999999993E-2</v>
      </c>
      <c r="Z173" s="62">
        <f t="shared" si="141"/>
        <v>5.8958000000000004</v>
      </c>
      <c r="AA173" s="62">
        <f t="shared" si="142"/>
        <v>5.7972000000000001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43"/>
        <v>0815-15</v>
      </c>
      <c r="AE17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3" s="82" t="str">
        <f t="shared" si="130"/>
        <v>"C:\Program Files (x86)\AstroGrep\AstroGrep.exe" /e /r /s /spath="%USERPROFILE%\AppData\Local\Temp\OnboardLogs" /stypes="app*4016*20170315*" /stext=" 16:.+((SYSTEM_STATE.+slice.+state.+changed )|(ment ac)|(multiple cpu faults)|(system.+state.+changed )|(\[timeout)|(PRM\|1\|D)|(kpr)|(kdp)|(\|lc)|(penalty))"</v>
      </c>
      <c r="AG173" s="1" t="str">
        <f t="shared" si="144"/>
        <v>NW</v>
      </c>
      <c r="AH173" s="86" t="str">
        <f t="shared" si="131"/>
        <v>"%USERPROFILE%\Documents\GitHub\eaglep3\Utilities\RefineRTDCRunTimes.py" --tripid 815-15 --locoid 4016 --swversion DE.1.0.9.0 --startMP 204:986 --initTime 2017-03-15T10:19:22 --startdatetime 2017-03-15T10:21:56 --delay 1 --endMP 300:58958 --enddatetime 2017-03-15T10:34:46 --enforcementcount 0 &gt;&gt;C:\Users\stu\Documents\GitHub\eaglep3-reporting\EC\2017-03-15-refined-times.txt</v>
      </c>
      <c r="AI17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{"issue":{"subject":"","project_id":79,"tracker_id":40,"status_id":1,"priority_id":2,"assigned_to_id":23,"start_date":"2017-03-15","description":"","custom_fields":[{"id":1,"name":"Subdivision","value":"NW"},{"id":4,"name":"Milepost","value":"5.8958"},{"id":17,"name":"Train ID","value":"815-15"},{"id":16,"name":"Locomotive ID","value":"4016"},{"id":130,"name":"Impact","value":""},{"id":150,"name":"Time of Event (Mountain Time)","value":"10:34:46"},{"id":151,"name":"Denver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33"/>
        <v>start /low /b %USERPROFILE%\Documents\GitHub\eaglep3\Utilities\DownloadLogsFromS3.py --loco 4016 --day 2017-03-15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4" spans="1:91" s="20" customFormat="1" x14ac:dyDescent="0.25">
      <c r="A174" s="33" t="s">
        <v>699</v>
      </c>
      <c r="B174" s="7">
        <v>4015</v>
      </c>
      <c r="C174" s="21" t="s">
        <v>230</v>
      </c>
      <c r="D174" s="21" t="s">
        <v>563</v>
      </c>
      <c r="E174" s="13">
        <v>42809.441828703704</v>
      </c>
      <c r="F174" s="13">
        <v>42809.443564814814</v>
      </c>
      <c r="G174" s="7">
        <v>1</v>
      </c>
      <c r="H174" s="21" t="s">
        <v>961</v>
      </c>
      <c r="I174" s="13">
        <v>42809.454479166663</v>
      </c>
      <c r="J174" s="7">
        <v>0</v>
      </c>
      <c r="K174" s="98" t="str">
        <f t="shared" si="135"/>
        <v>4015/4016</v>
      </c>
      <c r="L174" s="21" t="str">
        <f>VLOOKUP(A174,'Trips&amp;Operators'!$C$1:$G$99999,5,FALSE)</f>
        <v>LOZA FIDEL</v>
      </c>
      <c r="M174" s="6">
        <f t="shared" si="136"/>
        <v>1.0914351849351078E-2</v>
      </c>
      <c r="N174" s="7">
        <f t="shared" si="137"/>
        <v>15.716666663065553</v>
      </c>
      <c r="O174" s="7"/>
      <c r="P174" s="7"/>
      <c r="Q174" s="22"/>
      <c r="R174" s="22"/>
      <c r="S174" s="31">
        <f t="shared" si="134"/>
        <v>1</v>
      </c>
      <c r="T174" s="46" t="str">
        <f t="shared" si="13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128"/>
        <v>https://d0f6bd738d7f1b3e5a7ca70fe4ff75f0.us-east-1.aws.found.io/app/kibana#/discover/Steve-Slow-Train-Analysis-(2080s-and-2083s)?_g=(refreshInterval:(display:Off,pause:!f,section:0,value:0),time:(from:'2017-03-15T09:36:14-0600',mode:absolute,to:'2017-03-15T11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187" t="str">
        <f t="shared" si="139"/>
        <v>N</v>
      </c>
      <c r="X174" s="187">
        <f t="shared" si="145"/>
        <v>1</v>
      </c>
      <c r="Y174" s="62">
        <f t="shared" si="140"/>
        <v>5.8644999999999996</v>
      </c>
      <c r="Z174" s="62">
        <f t="shared" si="141"/>
        <v>6.9599999999999995E-2</v>
      </c>
      <c r="AA174" s="62">
        <f t="shared" si="142"/>
        <v>5.7948999999999993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43"/>
        <v>0816-15</v>
      </c>
      <c r="AE174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4" s="82" t="str">
        <f t="shared" si="130"/>
        <v>"C:\Program Files (x86)\AstroGrep\AstroGrep.exe" /e /r /s /spath="%USERPROFILE%\AppData\Local\Temp\OnboardLogs" /stypes="app*4015*20170315*" /stext=" 16:.+((SYSTEM_STATE.+slice.+state.+changed )|(ment ac)|(multiple cpu faults)|(system.+state.+changed )|(\[timeout)|(PRM\|1\|D)|(kpr)|(kdp)|(\|lc)|(penalty))"</v>
      </c>
      <c r="AG174" s="1" t="str">
        <f t="shared" si="144"/>
        <v>NW</v>
      </c>
      <c r="AH174" s="86" t="str">
        <f t="shared" si="131"/>
        <v>"%USERPROFILE%\Documents\GitHub\eaglep3\Utilities\RefineRTDCRunTimes.py" --tripid 816-15 --locoid 4015 --swversion DE.1.0.9.0 --startMP 300:58645 --initTime 2017-03-15T10:36:14 --startdatetime 2017-03-15T10:38:44 --delay 1 --endMP 204:696 --enddatetime 2017-03-15T10:54:27 --enforcementcount 0 &gt;&gt;C:\Users\stu\Documents\GitHub\eaglep3-reporting\EC\2017-03-15-refined-times.txt</v>
      </c>
      <c r="AI17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{"issue":{"subject":"","project_id":79,"tracker_id":40,"status_id":1,"priority_id":2,"assigned_to_id":23,"start_date":"2017-03-15","description":"","custom_fields":[{"id":1,"name":"Subdivision","value":"NW"},{"id":4,"name":"Milepost","value":"0.0696"},{"id":17,"name":"Train ID","value":"816-15"},{"id":16,"name":"Locomotive ID","value":"4015"},{"id":130,"name":"Impact","value":""},{"id":150,"name":"Time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33"/>
        <v>start /low /b %USERPROFILE%\Documents\GitHub\eaglep3\Utilities\DownloadLogsFromS3.py --loco 4015 --day 2017-03-15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704</v>
      </c>
      <c r="B175" s="7">
        <v>4016</v>
      </c>
      <c r="C175" s="21" t="s">
        <v>230</v>
      </c>
      <c r="D175" s="21" t="s">
        <v>569</v>
      </c>
      <c r="E175" s="13">
        <v>42809.468124999999</v>
      </c>
      <c r="F175" s="13">
        <v>42809.473194444443</v>
      </c>
      <c r="G175" s="7">
        <v>2</v>
      </c>
      <c r="H175" s="21" t="s">
        <v>962</v>
      </c>
      <c r="I175" s="13">
        <v>42809.483749999999</v>
      </c>
      <c r="J175" s="7">
        <v>0</v>
      </c>
      <c r="K175" s="98" t="str">
        <f t="shared" si="135"/>
        <v>4015/4016</v>
      </c>
      <c r="L175" s="21" t="str">
        <f>VLOOKUP(A175,'Trips&amp;Operators'!$C$1:$G$99999,5,FALSE)</f>
        <v>WILLIAMS DONTE</v>
      </c>
      <c r="M175" s="6">
        <f t="shared" si="136"/>
        <v>1.0555555556493346E-2</v>
      </c>
      <c r="N175" s="7">
        <f t="shared" si="137"/>
        <v>15.200000001350418</v>
      </c>
      <c r="O175" s="7"/>
      <c r="P175" s="7"/>
      <c r="Q175" s="22"/>
      <c r="R175" s="22"/>
      <c r="S175" s="31">
        <f t="shared" si="134"/>
        <v>1</v>
      </c>
      <c r="T175" s="46" t="str">
        <f t="shared" si="13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128"/>
        <v>https://d0f6bd738d7f1b3e5a7ca70fe4ff75f0.us-east-1.aws.found.io/app/kibana#/discover/Steve-Slow-Train-Analysis-(2080s-and-2083s)?_g=(refreshInterval:(display:Off,pause:!f,section:0,value:0),time:(from:'2017-03-15T10:14:06-0600',mode:absolute,to:'2017-03-15T12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187" t="str">
        <f t="shared" si="139"/>
        <v>N</v>
      </c>
      <c r="X175" s="187">
        <f t="shared" si="145"/>
        <v>1</v>
      </c>
      <c r="Y175" s="62">
        <f t="shared" si="140"/>
        <v>9.6500000000000002E-2</v>
      </c>
      <c r="Z175" s="62">
        <f t="shared" si="141"/>
        <v>5.8948</v>
      </c>
      <c r="AA175" s="62">
        <f t="shared" si="142"/>
        <v>5.7983000000000002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43"/>
        <v>0817-15</v>
      </c>
      <c r="AE17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5" s="82" t="str">
        <f t="shared" si="130"/>
        <v>"C:\Program Files (x86)\AstroGrep\AstroGrep.exe" /e /r /s /spath="%USERPROFILE%\AppData\Local\Temp\OnboardLogs" /stypes="app*4016*20170315*" /stext=" 17:.+((SYSTEM_STATE.+slice.+state.+changed )|(ment ac)|(multiple cpu faults)|(system.+state.+changed )|(\[timeout)|(PRM\|1\|D)|(kpr)|(kdp)|(\|lc)|(penalty))"</v>
      </c>
      <c r="AG175" s="1" t="str">
        <f t="shared" si="144"/>
        <v>NW</v>
      </c>
      <c r="AH175" s="86" t="str">
        <f t="shared" si="131"/>
        <v>"%USERPROFILE%\Documents\GitHub\eaglep3\Utilities\RefineRTDCRunTimes.py" --tripid 817-15 --locoid 4016 --swversion DE.1.0.9.0 --startMP 204:965 --initTime 2017-03-15T11:14:06 --startdatetime 2017-03-15T11:21:24 --delay 2 --endMP 300:58948 --enddatetime 2017-03-15T11:36:36 --enforcementcount 0 &gt;&gt;C:\Users\stu\Documents\GitHub\eaglep3-reporting\EC\2017-03-15-refined-times.txt</v>
      </c>
      <c r="AI17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ID","value":"817-15"},{"id":16,"name":"Locomotive ID","value":"4016"},{"id":130,"name":"Impact","value":""},{"id":150,"name":"Time of Event (Mountain Time)","value":"11:36:36"},{"id":151,"name":"Denver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33"/>
        <v>start /low /b %USERPROFILE%\Documents\GitHub\eaglep3\Utilities\DownloadLogsFromS3.py --loco 4016 --day 2017-03-15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708</v>
      </c>
      <c r="B176" s="7">
        <v>4015</v>
      </c>
      <c r="C176" s="21" t="s">
        <v>230</v>
      </c>
      <c r="D176" s="21" t="s">
        <v>559</v>
      </c>
      <c r="E176" s="13">
        <v>42809.485682870371</v>
      </c>
      <c r="F176" s="13">
        <v>42809.487916666665</v>
      </c>
      <c r="G176" s="7">
        <v>1</v>
      </c>
      <c r="H176" s="21" t="s">
        <v>959</v>
      </c>
      <c r="I176" s="13">
        <v>42809.49827546296</v>
      </c>
      <c r="J176" s="7">
        <v>0</v>
      </c>
      <c r="K176" s="98" t="str">
        <f t="shared" si="135"/>
        <v>4015/4016</v>
      </c>
      <c r="L176" s="21" t="str">
        <f>VLOOKUP(A176,'Trips&amp;Operators'!$C$1:$G$99999,5,FALSE)</f>
        <v>WILLIAMS DONTE</v>
      </c>
      <c r="M176" s="6">
        <f t="shared" si="136"/>
        <v>1.0358796294895001E-2</v>
      </c>
      <c r="N176" s="7">
        <f t="shared" si="137"/>
        <v>14.916666664648801</v>
      </c>
      <c r="O176" s="7"/>
      <c r="P176" s="7"/>
      <c r="Q176" s="22"/>
      <c r="R176" s="22"/>
      <c r="S176" s="31">
        <f t="shared" si="134"/>
        <v>1</v>
      </c>
      <c r="T176" s="46" t="str">
        <f t="shared" si="13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128"/>
        <v>https://d0f6bd738d7f1b3e5a7ca70fe4ff75f0.us-east-1.aws.found.io/app/kibana#/discover/Steve-Slow-Train-Analysis-(2080s-and-2083s)?_g=(refreshInterval:(display:Off,pause:!f,section:0,value:0),time:(from:'2017-03-15T10:39:23-0600',mode:absolute,to:'2017-03-15T12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187" t="str">
        <f t="shared" si="139"/>
        <v>N</v>
      </c>
      <c r="X176" s="187">
        <f t="shared" si="145"/>
        <v>1</v>
      </c>
      <c r="Y176" s="62">
        <f t="shared" si="140"/>
        <v>5.8635999999999999</v>
      </c>
      <c r="Z176" s="62">
        <f t="shared" si="141"/>
        <v>6.8500000000000005E-2</v>
      </c>
      <c r="AA176" s="62">
        <f t="shared" si="142"/>
        <v>5.7950999999999997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43"/>
        <v>0818-15</v>
      </c>
      <c r="AE17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6" s="82" t="str">
        <f t="shared" si="130"/>
        <v>"C:\Program Files (x86)\AstroGrep\AstroGrep.exe" /e /r /s /spath="%USERPROFILE%\AppData\Local\Temp\OnboardLogs" /stypes="app*4015*20170315*" /stext=" 17:.+((SYSTEM_STATE.+slice.+state.+changed )|(ment ac)|(multiple cpu faults)|(system.+state.+changed )|(\[timeout)|(PRM\|1\|D)|(kpr)|(kdp)|(\|lc)|(penalty))"</v>
      </c>
      <c r="AG176" s="1" t="str">
        <f t="shared" si="144"/>
        <v>NW</v>
      </c>
      <c r="AH176" s="86" t="str">
        <f t="shared" si="131"/>
        <v>"%USERPROFILE%\Documents\GitHub\eaglep3\Utilities\RefineRTDCRunTimes.py" --tripid 818-15 --locoid 4015 --swversion DE.1.0.9.0 --startMP 300:58636 --initTime 2017-03-15T11:39:23 --startdatetime 2017-03-15T11:42:36 --delay 1 --endMP 204:685 --enddatetime 2017-03-15T11:57:31 --enforcementcount 0 &gt;&gt;C:\Users\stu\Documents\GitHub\eaglep3-reporting\EC\2017-03-15-refined-times.txt</v>
      </c>
      <c r="AI17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{"issue":{"subject":"","project_id":79,"tracker_id":40,"status_id":1,"priority_id":2,"assigned_to_id":23,"start_date":"2017-03-15","description":"","custom_fields":[{"id":1,"name":"Subdivision","value":"NW"},{"id":4,"name":"Milepost","value":"0.0685"},{"id":17,"name":"Train ID","value":"818-15"},{"id":16,"name":"Locomotive ID","value":"4015"},{"id":130,"name":"Impact","value":""},{"id":150,"name":"Time of Event (Mountain Time)","value":"11:57:31"},{"id":151,"name":"Denver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33"/>
        <v>start /low /b %USERPROFILE%\Documents\GitHub\eaglep3\Utilities\DownloadLogsFromS3.py --loco 4015 --day 2017-03-15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715</v>
      </c>
      <c r="B177" s="7">
        <v>4016</v>
      </c>
      <c r="C177" s="21" t="s">
        <v>230</v>
      </c>
      <c r="D177" s="21" t="s">
        <v>464</v>
      </c>
      <c r="E177" s="13">
        <v>42809.512071759258</v>
      </c>
      <c r="F177" s="13">
        <v>42809.514872685184</v>
      </c>
      <c r="G177" s="7">
        <v>1</v>
      </c>
      <c r="H177" s="21" t="s">
        <v>962</v>
      </c>
      <c r="I177" s="13">
        <v>42809.525138888886</v>
      </c>
      <c r="J177" s="7">
        <v>0</v>
      </c>
      <c r="K177" s="98" t="str">
        <f t="shared" si="135"/>
        <v>4015/4016</v>
      </c>
      <c r="L177" s="21" t="str">
        <f>VLOOKUP(A177,'Trips&amp;Operators'!$C$1:$G$99999,5,FALSE)</f>
        <v>WILLIAMS DONTE</v>
      </c>
      <c r="M177" s="6">
        <f t="shared" si="136"/>
        <v>1.0266203702485655E-2</v>
      </c>
      <c r="N177" s="7">
        <f t="shared" si="137"/>
        <v>14.783333331579342</v>
      </c>
      <c r="O177" s="7"/>
      <c r="P177" s="7"/>
      <c r="Q177" s="22"/>
      <c r="R177" s="22"/>
      <c r="S177" s="31">
        <f t="shared" si="134"/>
        <v>1</v>
      </c>
      <c r="T177" s="46" t="str">
        <f t="shared" si="13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128"/>
        <v>https://d0f6bd738d7f1b3e5a7ca70fe4ff75f0.us-east-1.aws.found.io/app/kibana#/discover/Steve-Slow-Train-Analysis-(2080s-and-2083s)?_g=(refreshInterval:(display:Off,pause:!f,section:0,value:0),time:(from:'2017-03-15T11:17:23-0600',mode:absolute,to:'2017-03-15T13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187" t="str">
        <f t="shared" si="139"/>
        <v>N</v>
      </c>
      <c r="X177" s="187">
        <f t="shared" si="145"/>
        <v>1</v>
      </c>
      <c r="Y177" s="62">
        <f t="shared" si="140"/>
        <v>9.9199999999999997E-2</v>
      </c>
      <c r="Z177" s="62">
        <f t="shared" si="141"/>
        <v>5.8948</v>
      </c>
      <c r="AA177" s="62">
        <f t="shared" si="142"/>
        <v>5.7956000000000003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43"/>
        <v>0819-15</v>
      </c>
      <c r="AE177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7" s="82" t="str">
        <f t="shared" si="130"/>
        <v>"C:\Program Files (x86)\AstroGrep\AstroGrep.exe" /e /r /s /spath="%USERPROFILE%\AppData\Local\Temp\OnboardLogs" /stypes="app*4016*20170315*" /stext=" 18:.+((SYSTEM_STATE.+slice.+state.+changed )|(ment ac)|(multiple cpu faults)|(system.+state.+changed )|(\[timeout)|(PRM\|1\|D)|(kpr)|(kdp)|(\|lc)|(penalty))"</v>
      </c>
      <c r="AG177" s="1" t="str">
        <f t="shared" si="144"/>
        <v>NW</v>
      </c>
      <c r="AH177" s="86" t="str">
        <f t="shared" si="131"/>
        <v>"%USERPROFILE%\Documents\GitHub\eaglep3\Utilities\RefineRTDCRunTimes.py" --tripid 819-15 --locoid 4016 --swversion DE.1.0.9.0 --startMP 204:992 --initTime 2017-03-15T12:17:23 --startdatetime 2017-03-15T12:21:25 --delay 1 --endMP 300:58948 --enddatetime 2017-03-15T12:36:12 --enforcementcount 0 &gt;&gt;C:\Users\stu\Documents\GitHub\eaglep3-reporting\EC\2017-03-15-refined-times.txt</v>
      </c>
      <c r="AI17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ID","value":"819-15"},{"id":16,"name":"Locomotive ID","value":"4016"},{"id":130,"name":"Impact","value":""},{"id":150,"name":"Time of Event (Mountain Time)","value":"12:36:12"},{"id":151,"name":"Denver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33"/>
        <v>start /low /b %USERPROFILE%\Documents\GitHub\eaglep3\Utilities\DownloadLogsFromS3.py --loco 4016 --day 2017-03-15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8" spans="1:91" s="20" customFormat="1" x14ac:dyDescent="0.25">
      <c r="A178" s="33" t="s">
        <v>598</v>
      </c>
      <c r="B178" s="7">
        <v>4015</v>
      </c>
      <c r="C178" s="21" t="s">
        <v>230</v>
      </c>
      <c r="D178" s="21" t="s">
        <v>559</v>
      </c>
      <c r="E178" s="13">
        <v>42809.52721064815</v>
      </c>
      <c r="F178" s="13">
        <v>42809.52921296296</v>
      </c>
      <c r="G178" s="7">
        <v>1</v>
      </c>
      <c r="H178" s="21" t="s">
        <v>953</v>
      </c>
      <c r="I178" s="13">
        <v>42809.539236111108</v>
      </c>
      <c r="J178" s="7">
        <v>0</v>
      </c>
      <c r="K178" s="98" t="str">
        <f t="shared" si="135"/>
        <v>4015/4016</v>
      </c>
      <c r="L178" s="21" t="str">
        <f>VLOOKUP(A178,'Trips&amp;Operators'!$C$1:$G$99999,5,FALSE)</f>
        <v>WILLIAMS DONTE</v>
      </c>
      <c r="M178" s="6">
        <f t="shared" si="136"/>
        <v>1.0023148148320615E-2</v>
      </c>
      <c r="N178" s="7">
        <f t="shared" si="137"/>
        <v>14.433333333581686</v>
      </c>
      <c r="O178" s="7"/>
      <c r="P178" s="7"/>
      <c r="Q178" s="22"/>
      <c r="R178" s="22"/>
      <c r="S178" s="31">
        <f t="shared" si="134"/>
        <v>1</v>
      </c>
      <c r="T178" s="46" t="str">
        <f t="shared" si="13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128"/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187" t="str">
        <f t="shared" si="139"/>
        <v>N</v>
      </c>
      <c r="X178" s="187">
        <f t="shared" si="145"/>
        <v>1</v>
      </c>
      <c r="Y178" s="62">
        <f t="shared" si="140"/>
        <v>5.8635999999999999</v>
      </c>
      <c r="Z178" s="62">
        <f t="shared" si="141"/>
        <v>6.9199999999999998E-2</v>
      </c>
      <c r="AA178" s="62">
        <f t="shared" si="142"/>
        <v>5.7943999999999996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43"/>
        <v>0820-15</v>
      </c>
      <c r="AE17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8" s="82" t="str">
        <f t="shared" si="130"/>
        <v>"C:\Program Files (x86)\AstroGrep\AstroGrep.exe" /e /r /s /spath="%USERPROFILE%\AppData\Local\Temp\OnboardLogs" /stypes="app*4015*20170315*" /stext=" 18:.+((SYSTEM_STATE.+slice.+state.+changed )|(ment ac)|(multiple cpu faults)|(system.+state.+changed )|(\[timeout)|(PRM\|1\|D)|(kpr)|(kdp)|(\|lc)|(penalty))"</v>
      </c>
      <c r="AG178" s="1" t="str">
        <f t="shared" si="144"/>
        <v>NW</v>
      </c>
      <c r="AH178" s="86" t="str">
        <f t="shared" si="131"/>
        <v>"%USERPROFILE%\Documents\GitHub\eaglep3\Utilities\RefineRTDCRunTimes.py" --tripid 820-15 --locoid 4015 --swversion DE.1.0.9.0 --startMP 300:58636 --initTime 2017-03-15T12:39:11 --startdatetime 2017-03-15T12:42:04 --delay 1 --endMP 204:692 --enddatetime 2017-03-15T12:56:30 --enforcementcount 0 &gt;&gt;C:\Users\stu\Documents\GitHub\eaglep3-reporting\EC\2017-03-15-refined-times.txt</v>
      </c>
      <c r="AI17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{"issue":{"subject":"","project_id":79,"tracker_id":40,"status_id":1,"priority_id":2,"assigned_to_id":23,"start_date":"2017-03-15","description":"","custom_fields":[{"id":1,"name":"Subdivision","value":"NW"},{"id":4,"name":"Milepost","value":"0.0692"},{"id":17,"name":"Train ID","value":"820-15"},{"id":16,"name":"Locomotive ID","value":"4015"},{"id":130,"name":"Impact","value":""},{"id":150,"name":"Time of Event (Mountain Time)","value":"12:56:30"},{"id":151,"name":"Denver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33"/>
        <v>start /low /b %USERPROFILE%\Documents\GitHub\eaglep3\Utilities\DownloadLogsFromS3.py --loco 4015 --day 2017-03-15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723</v>
      </c>
      <c r="B179" s="7">
        <v>4016</v>
      </c>
      <c r="C179" s="21" t="s">
        <v>230</v>
      </c>
      <c r="D179" s="21" t="s">
        <v>963</v>
      </c>
      <c r="E179" s="13">
        <v>42809.547754629632</v>
      </c>
      <c r="F179" s="13">
        <v>42809.556458333333</v>
      </c>
      <c r="G179" s="7">
        <v>2</v>
      </c>
      <c r="H179" s="21" t="s">
        <v>962</v>
      </c>
      <c r="I179" s="13">
        <v>42809.566041666665</v>
      </c>
      <c r="J179" s="7">
        <v>0</v>
      </c>
      <c r="K179" s="98" t="str">
        <f t="shared" si="135"/>
        <v>4015/4016</v>
      </c>
      <c r="L179" s="21" t="str">
        <f>VLOOKUP(A179,'Trips&amp;Operators'!$C$1:$G$99999,5,FALSE)</f>
        <v>BRUDER RICHARD</v>
      </c>
      <c r="M179" s="6">
        <f t="shared" si="136"/>
        <v>9.5833333325572312E-3</v>
      </c>
      <c r="N179" s="7">
        <f t="shared" si="137"/>
        <v>13.799999998882413</v>
      </c>
      <c r="O179" s="7"/>
      <c r="P179" s="7"/>
      <c r="Q179" s="22"/>
      <c r="R179" s="22"/>
      <c r="S179" s="31">
        <f t="shared" si="134"/>
        <v>1</v>
      </c>
      <c r="T179" s="46" t="str">
        <f t="shared" si="13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128"/>
        <v>https://d0f6bd738d7f1b3e5a7ca70fe4ff75f0.us-east-1.aws.found.io/app/kibana#/discover/Steve-Slow-Train-Analysis-(2080s-and-2083s)?_g=(refreshInterval:(display:Off,pause:!f,section:0,value:0),time:(from:'2017-03-15T12:08:46-0600',mode:absolute,to:'2017-03-15T14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187" t="str">
        <f t="shared" si="139"/>
        <v>N</v>
      </c>
      <c r="X179" s="187">
        <f t="shared" si="145"/>
        <v>1</v>
      </c>
      <c r="Y179" s="62">
        <f t="shared" si="140"/>
        <v>9.8799999999999999E-2</v>
      </c>
      <c r="Z179" s="62">
        <f t="shared" si="141"/>
        <v>5.8948</v>
      </c>
      <c r="AA179" s="62">
        <f t="shared" si="142"/>
        <v>5.7960000000000003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43"/>
        <v>0821-15</v>
      </c>
      <c r="AE17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9" s="82" t="str">
        <f t="shared" si="130"/>
        <v>"C:\Program Files (x86)\AstroGrep\AstroGrep.exe" /e /r /s /spath="%USERPROFILE%\AppData\Local\Temp\OnboardLogs" /stypes="app*4016*20170315*" /stext=" 19:.+((SYSTEM_STATE.+slice.+state.+changed )|(ment ac)|(multiple cpu faults)|(system.+state.+changed )|(\[timeout)|(PRM\|1\|D)|(kpr)|(kdp)|(\|lc)|(penalty))"</v>
      </c>
      <c r="AG179" s="1" t="str">
        <f t="shared" si="144"/>
        <v>NW</v>
      </c>
      <c r="AH179" s="86" t="str">
        <f t="shared" si="131"/>
        <v>"%USERPROFILE%\Documents\GitHub\eaglep3\Utilities\RefineRTDCRunTimes.py" --tripid 821-15 --locoid 4016 --swversion DE.1.0.9.0 --startMP 204:988 --initTime 2017-03-15T13:08:46 --startdatetime 2017-03-15T13:21:18 --delay 2 --endMP 300:58948 --enddatetime 2017-03-15T13:35:06 --enforcementcount 0 &gt;&gt;C:\Users\stu\Documents\GitHub\eaglep3-reporting\EC\2017-03-15-refined-times.txt</v>
      </c>
      <c r="AI17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ID","value":"821-15"},{"id":16,"name":"Locomotive ID","value":"4016"},{"id":130,"name":"Impact","value":""},{"id":150,"name":"Time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33"/>
        <v>start /low /b %USERPROFILE%\Documents\GitHub\eaglep3\Utilities\DownloadLogsFromS3.py --loco 4016 --day 2017-03-15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0" spans="1:91" s="20" customFormat="1" x14ac:dyDescent="0.25">
      <c r="A180" s="33" t="s">
        <v>728</v>
      </c>
      <c r="B180" s="7">
        <v>4015</v>
      </c>
      <c r="C180" s="21" t="s">
        <v>230</v>
      </c>
      <c r="D180" s="21" t="s">
        <v>955</v>
      </c>
      <c r="E180" s="13">
        <v>42809.567337962966</v>
      </c>
      <c r="F180" s="13">
        <v>42809.569224537037</v>
      </c>
      <c r="G180" s="7">
        <v>1</v>
      </c>
      <c r="H180" s="21" t="s">
        <v>947</v>
      </c>
      <c r="I180" s="13">
        <v>42809.580254629633</v>
      </c>
      <c r="J180" s="7">
        <v>0</v>
      </c>
      <c r="K180" s="98" t="str">
        <f t="shared" si="135"/>
        <v>4015/4016</v>
      </c>
      <c r="L180" s="21" t="str">
        <f>VLOOKUP(A180,'Trips&amp;Operators'!$C$1:$G$99999,5,FALSE)</f>
        <v>BRUDER RICHARD</v>
      </c>
      <c r="M180" s="6">
        <f t="shared" si="136"/>
        <v>1.1030092595319729E-2</v>
      </c>
      <c r="N180" s="7">
        <f t="shared" si="137"/>
        <v>15.88333333726041</v>
      </c>
      <c r="O180" s="7"/>
      <c r="P180" s="7"/>
      <c r="Q180" s="22"/>
      <c r="R180" s="22"/>
      <c r="S180" s="31">
        <f t="shared" si="134"/>
        <v>1</v>
      </c>
      <c r="T180" s="46" t="str">
        <f t="shared" si="13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128"/>
        <v>https://d0f6bd738d7f1b3e5a7ca70fe4ff75f0.us-east-1.aws.found.io/app/kibana#/discover/Steve-Slow-Train-Analysis-(2080s-and-2083s)?_g=(refreshInterval:(display:Off,pause:!f,section:0,value:0),time:(from:'2017-03-15T12:36:58-0600',mode:absolute,to:'2017-03-15T14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87" t="str">
        <f t="shared" si="139"/>
        <v>N</v>
      </c>
      <c r="X180" s="187">
        <f t="shared" si="145"/>
        <v>1</v>
      </c>
      <c r="Y180" s="62">
        <f t="shared" si="140"/>
        <v>5.8624000000000001</v>
      </c>
      <c r="Z180" s="62">
        <f t="shared" si="141"/>
        <v>6.8000000000000005E-2</v>
      </c>
      <c r="AA180" s="62">
        <f t="shared" si="142"/>
        <v>5.7944000000000004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43"/>
        <v>0822-15</v>
      </c>
      <c r="AE18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0" s="82" t="str">
        <f t="shared" si="130"/>
        <v>"C:\Program Files (x86)\AstroGrep\AstroGrep.exe" /e /r /s /spath="%USERPROFILE%\AppData\Local\Temp\OnboardLogs" /stypes="app*4015*20170315*" /stext=" 19:.+((SYSTEM_STATE.+slice.+state.+changed )|(ment ac)|(multiple cpu faults)|(system.+state.+changed )|(\[timeout)|(PRM\|1\|D)|(kpr)|(kdp)|(\|lc)|(penalty))"</v>
      </c>
      <c r="AG180" s="1" t="str">
        <f t="shared" si="144"/>
        <v>NW</v>
      </c>
      <c r="AH180" s="86" t="str">
        <f t="shared" si="131"/>
        <v>"%USERPROFILE%\Documents\GitHub\eaglep3\Utilities\RefineRTDCRunTimes.py" --tripid 822-15 --locoid 4015 --swversion DE.1.0.9.0 --startMP 300:58624 --initTime 2017-03-15T13:36:58 --startdatetime 2017-03-15T13:39:41 --delay 1 --endMP 204:680 --enddatetime 2017-03-15T13:55:34 --enforcementcount 0 &gt;&gt;C:\Users\stu\Documents\GitHub\eaglep3-reporting\EC\2017-03-15-refined-times.txt</v>
      </c>
      <c r="AI18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ID","value":"822-15"},{"id":16,"name":"Locomotive ID","value":"4015"},{"id":130,"name":"Impact","value":""},{"id":150,"name":"Time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33"/>
        <v>start /low /b %USERPROFILE%\Documents\GitHub\eaglep3\Utilities\DownloadLogsFromS3.py --loco 4015 --day 2017-03-15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733</v>
      </c>
      <c r="B181" s="7">
        <v>4016</v>
      </c>
      <c r="C181" s="21" t="s">
        <v>230</v>
      </c>
      <c r="D181" s="21" t="s">
        <v>944</v>
      </c>
      <c r="E181" s="13">
        <v>42809.59375</v>
      </c>
      <c r="F181" s="13">
        <v>42809.598252314812</v>
      </c>
      <c r="G181" s="7">
        <v>1</v>
      </c>
      <c r="H181" s="21" t="s">
        <v>964</v>
      </c>
      <c r="I181" s="13">
        <v>42809.607581018521</v>
      </c>
      <c r="J181" s="7">
        <v>0</v>
      </c>
      <c r="K181" s="98" t="str">
        <f t="shared" si="135"/>
        <v>4015/4016</v>
      </c>
      <c r="L181" s="21" t="str">
        <f>VLOOKUP(A181,'Trips&amp;Operators'!$C$1:$G$99999,5,FALSE)</f>
        <v>BRUDER RICHARD</v>
      </c>
      <c r="M181" s="6">
        <f t="shared" si="136"/>
        <v>9.3287037088884972E-3</v>
      </c>
      <c r="N181" s="7">
        <f t="shared" si="137"/>
        <v>13.433333340799436</v>
      </c>
      <c r="O181" s="7"/>
      <c r="P181" s="7"/>
      <c r="Q181" s="22"/>
      <c r="R181" s="22"/>
      <c r="S181" s="31">
        <f t="shared" si="134"/>
        <v>1</v>
      </c>
      <c r="T181" s="46" t="str">
        <f t="shared" si="13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128"/>
        <v>https://d0f6bd738d7f1b3e5a7ca70fe4ff75f0.us-east-1.aws.found.io/app/kibana#/discover/Steve-Slow-Train-Analysis-(2080s-and-2083s)?_g=(refreshInterval:(display:Off,pause:!f,section:0,value:0),time:(from:'2017-03-15T13:15:00-0600',mode:absolute,to:'2017-03-15T15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187" t="str">
        <f t="shared" si="139"/>
        <v>N</v>
      </c>
      <c r="X181" s="187">
        <f t="shared" si="145"/>
        <v>1</v>
      </c>
      <c r="Y181" s="62">
        <f t="shared" si="140"/>
        <v>9.7199999999999995E-2</v>
      </c>
      <c r="Z181" s="62">
        <f t="shared" si="141"/>
        <v>5.8943000000000003</v>
      </c>
      <c r="AA181" s="62">
        <f t="shared" si="142"/>
        <v>5.7971000000000004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43"/>
        <v>0823-15</v>
      </c>
      <c r="AE18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1" s="82" t="str">
        <f t="shared" si="130"/>
        <v>"C:\Program Files (x86)\AstroGrep\AstroGrep.exe" /e /r /s /spath="%USERPROFILE%\AppData\Local\Temp\OnboardLogs" /stypes="app*4016*20170315*" /stext=" 20:.+((SYSTEM_STATE.+slice.+state.+changed )|(ment ac)|(multiple cpu faults)|(system.+state.+changed )|(\[timeout)|(PRM\|1\|D)|(kpr)|(kdp)|(\|lc)|(penalty))"</v>
      </c>
      <c r="AG181" s="1" t="str">
        <f t="shared" si="144"/>
        <v>NW</v>
      </c>
      <c r="AH181" s="86" t="str">
        <f t="shared" si="131"/>
        <v>"%USERPROFILE%\Documents\GitHub\eaglep3\Utilities\RefineRTDCRunTimes.py" --tripid 823-15 --locoid 4016 --swversion DE.1.0.9.0 --startMP 204:972 --initTime 2017-03-15T14:15:00 --startdatetime 2017-03-15T14:21:29 --delay 1 --endMP 300:58943 --enddatetime 2017-03-15T14:34:55 --enforcementcount 0 &gt;&gt;C:\Users\stu\Documents\GitHub\eaglep3-reporting\EC\2017-03-15-refined-times.txt</v>
      </c>
      <c r="AI18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{"issue":{"subject":"","project_id":79,"tracker_id":40,"status_id":1,"priority_id":2,"assigned_to_id":23,"start_date":"2017-03-15","description":"","custom_fields":[{"id":1,"name":"Subdivision","value":"NW"},{"id":4,"name":"Milepost","value":"5.8943"},{"id":17,"name":"Train ID","value":"823-15"},{"id":16,"name":"Locomotive ID","value":"4016"},{"id":130,"name":"Impact","value":""},{"id":150,"name":"Time of Event (Mountain Time)","value":"14:34:55"},{"id":151,"name":"Denver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33"/>
        <v>start /low /b %USERPROFILE%\Documents\GitHub\eaglep3\Utilities\DownloadLogsFromS3.py --loco 4016 --day 2017-03-15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2" spans="1:91" s="20" customFormat="1" x14ac:dyDescent="0.25">
      <c r="A182" s="33" t="s">
        <v>739</v>
      </c>
      <c r="B182" s="7">
        <v>4015</v>
      </c>
      <c r="C182" s="21" t="s">
        <v>230</v>
      </c>
      <c r="D182" s="21" t="s">
        <v>965</v>
      </c>
      <c r="E182" s="13">
        <v>42809.608703703707</v>
      </c>
      <c r="F182" s="13">
        <v>42809.610949074071</v>
      </c>
      <c r="G182" s="7">
        <v>1</v>
      </c>
      <c r="H182" s="21" t="s">
        <v>571</v>
      </c>
      <c r="I182" s="13">
        <v>42809.62228009259</v>
      </c>
      <c r="J182" s="7">
        <v>0</v>
      </c>
      <c r="K182" s="98" t="str">
        <f t="shared" si="135"/>
        <v>4015/4016</v>
      </c>
      <c r="L182" s="21" t="str">
        <f>VLOOKUP(A182,'Trips&amp;Operators'!$C$1:$G$99999,5,FALSE)</f>
        <v>BRUDER RICHARD</v>
      </c>
      <c r="M182" s="6">
        <f t="shared" si="136"/>
        <v>1.1331018518831115E-2</v>
      </c>
      <c r="N182" s="7">
        <f t="shared" si="137"/>
        <v>16.316666667116806</v>
      </c>
      <c r="O182" s="7"/>
      <c r="P182" s="7"/>
      <c r="Q182" s="22"/>
      <c r="R182" s="22"/>
      <c r="S182" s="31">
        <f t="shared" si="134"/>
        <v>1</v>
      </c>
      <c r="T182" s="46" t="str">
        <f t="shared" si="13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128"/>
        <v>https://d0f6bd738d7f1b3e5a7ca70fe4ff75f0.us-east-1.aws.found.io/app/kibana#/discover/Steve-Slow-Train-Analysis-(2080s-and-2083s)?_g=(refreshInterval:(display:Off,pause:!f,section:0,value:0),time:(from:'2017-03-15T13:36:32-0600',mode:absolute,to:'2017-03-15T15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187" t="str">
        <f t="shared" si="139"/>
        <v>N</v>
      </c>
      <c r="X182" s="187">
        <f t="shared" si="145"/>
        <v>1</v>
      </c>
      <c r="Y182" s="62">
        <f t="shared" si="140"/>
        <v>5.8630000000000004</v>
      </c>
      <c r="Z182" s="62">
        <f t="shared" si="141"/>
        <v>7.0499999999999993E-2</v>
      </c>
      <c r="AA182" s="62">
        <f t="shared" si="142"/>
        <v>5.7925000000000004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43"/>
        <v>0824-15</v>
      </c>
      <c r="AE18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2" s="82" t="str">
        <f t="shared" si="130"/>
        <v>"C:\Program Files (x86)\AstroGrep\AstroGrep.exe" /e /r /s /spath="%USERPROFILE%\AppData\Local\Temp\OnboardLogs" /stypes="app*4015*20170315*" /stext=" 20:.+((SYSTEM_STATE.+slice.+state.+changed )|(ment ac)|(multiple cpu faults)|(system.+state.+changed )|(\[timeout)|(PRM\|1\|D)|(kpr)|(kdp)|(\|lc)|(penalty))"</v>
      </c>
      <c r="AG182" s="1" t="str">
        <f t="shared" si="144"/>
        <v>NW</v>
      </c>
      <c r="AH182" s="86" t="str">
        <f t="shared" si="131"/>
        <v>"%USERPROFILE%\Documents\GitHub\eaglep3\Utilities\RefineRTDCRunTimes.py" --tripid 824-15 --locoid 4015 --swversion DE.1.0.9.0 --startMP 300:58630 --initTime 2017-03-15T14:36:32 --startdatetime 2017-03-15T14:39:46 --delay 1 --endMP 204:705 --enddatetime 2017-03-15T14:56:05 --enforcementcount 0 &gt;&gt;C:\Users\stu\Documents\GitHub\eaglep3-reporting\EC\2017-03-15-refined-times.txt</v>
      </c>
      <c r="AI18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{"issue":{"subject":"","project_id":79,"tracker_id":40,"status_id":1,"priority_id":2,"assigned_to_id":23,"start_date":"2017-03-15","description":"","custom_fields":[{"id":1,"name":"Subdivision","value":"NW"},{"id":4,"name":"Milepost","value":"0.0705"},{"id":17,"name":"Train ID","value":"824-15"},{"id":16,"name":"Locomotive ID","value":"4015"},{"id":130,"name":"Impact","value":""},{"id":150,"name":"Time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33"/>
        <v>start /low /b %USERPROFILE%\Documents\GitHub\eaglep3\Utilities\DownloadLogsFromS3.py --loco 4015 --day 2017-03-15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742</v>
      </c>
      <c r="B183" s="7">
        <v>4016</v>
      </c>
      <c r="C183" s="21" t="s">
        <v>230</v>
      </c>
      <c r="D183" s="21" t="s">
        <v>492</v>
      </c>
      <c r="E183" s="13">
        <v>42809.635474537034</v>
      </c>
      <c r="F183" s="13">
        <v>42809.639849537038</v>
      </c>
      <c r="G183" s="7">
        <v>1</v>
      </c>
      <c r="H183" s="21" t="s">
        <v>558</v>
      </c>
      <c r="I183" s="13">
        <v>42809.649328703701</v>
      </c>
      <c r="J183" s="7">
        <v>0</v>
      </c>
      <c r="K183" s="98" t="str">
        <f t="shared" si="135"/>
        <v>4015/4016</v>
      </c>
      <c r="L183" s="21" t="str">
        <f>VLOOKUP(A183,'Trips&amp;Operators'!$C$1:$G$99999,5,FALSE)</f>
        <v>BRUDER RICHARD</v>
      </c>
      <c r="M183" s="6">
        <f t="shared" si="136"/>
        <v>9.4791666633682325E-3</v>
      </c>
      <c r="N183" s="7">
        <f t="shared" si="137"/>
        <v>13.649999995250255</v>
      </c>
      <c r="O183" s="7"/>
      <c r="P183" s="7"/>
      <c r="Q183" s="22"/>
      <c r="R183" s="22"/>
      <c r="S183" s="31">
        <f t="shared" si="134"/>
        <v>1</v>
      </c>
      <c r="T183" s="46" t="str">
        <f t="shared" si="13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128"/>
        <v>https://d0f6bd738d7f1b3e5a7ca70fe4ff75f0.us-east-1.aws.found.io/app/kibana#/discover/Steve-Slow-Train-Analysis-(2080s-and-2083s)?_g=(refreshInterval:(display:Off,pause:!f,section:0,value:0),time:(from:'2017-03-15T14:15:05-0600',mode:absolute,to:'2017-03-15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187" t="str">
        <f t="shared" si="139"/>
        <v>N</v>
      </c>
      <c r="X183" s="187">
        <f t="shared" si="145"/>
        <v>1</v>
      </c>
      <c r="Y183" s="62">
        <f t="shared" si="140"/>
        <v>9.64E-2</v>
      </c>
      <c r="Z183" s="62">
        <f t="shared" si="141"/>
        <v>5.8949999999999996</v>
      </c>
      <c r="AA183" s="62">
        <f t="shared" si="142"/>
        <v>5.7985999999999995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43"/>
        <v>0825-15</v>
      </c>
      <c r="AE18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3" s="82" t="str">
        <f t="shared" si="130"/>
        <v>"C:\Program Files (x86)\AstroGrep\AstroGrep.exe" /e /r /s /spath="%USERPROFILE%\AppData\Local\Temp\OnboardLogs" /stypes="app*4016*20170315*" /stext=" 21:.+((SYSTEM_STATE.+slice.+state.+changed )|(ment ac)|(multiple cpu faults)|(system.+state.+changed )|(\[timeout)|(PRM\|1\|D)|(kpr)|(kdp)|(\|lc)|(penalty))"</v>
      </c>
      <c r="AG183" s="1" t="str">
        <f t="shared" si="144"/>
        <v>NW</v>
      </c>
      <c r="AH183" s="86" t="str">
        <f t="shared" si="131"/>
        <v>"%USERPROFILE%\Documents\GitHub\eaglep3\Utilities\RefineRTDCRunTimes.py" --tripid 825-15 --locoid 4016 --swversion DE.1.0.9.0 --startMP 204:964 --initTime 2017-03-15T15:15:05 --startdatetime 2017-03-15T15:21:23 --delay 1 --endMP 300:58950 --enddatetime 2017-03-15T15:35:02 --enforcementcount 0 &gt;&gt;C:\Users\stu\Documents\GitHub\eaglep3-reporting\EC\2017-03-15-refined-times.txt</v>
      </c>
      <c r="AI18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{"issue":{"subject":"","project_id":79,"tracker_id":40,"status_id":1,"priority_id":2,"assigned_to_id":23,"start_date":"2017-03-15","description":"","custom_fields":[{"id":1,"name":"Subdivision","value":"NW"},{"id":4,"name":"Milepost","value":"5.895"},{"id":17,"name":"Train ID","value":"825-15"},{"id":16,"name":"Locomotive ID","value":"4016"},{"id":130,"name":"Impact","value":""},{"id":150,"name":"Time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33"/>
        <v>start /low /b %USERPROFILE%\Documents\GitHub\eaglep3\Utilities\DownloadLogsFromS3.py --loco 4016 --day 2017-03-15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4" spans="1:91" x14ac:dyDescent="0.25">
      <c r="A184" s="33" t="s">
        <v>745</v>
      </c>
      <c r="B184" s="7">
        <v>4015</v>
      </c>
      <c r="C184" s="21" t="s">
        <v>230</v>
      </c>
      <c r="D184" s="21" t="s">
        <v>559</v>
      </c>
      <c r="E184" s="13">
        <v>42809.651469907411</v>
      </c>
      <c r="F184" s="13">
        <v>42809.653449074074</v>
      </c>
      <c r="G184" s="7">
        <v>1</v>
      </c>
      <c r="H184" s="21" t="s">
        <v>966</v>
      </c>
      <c r="I184" s="13">
        <v>42809.663449074076</v>
      </c>
      <c r="J184" s="7">
        <v>0</v>
      </c>
      <c r="K184" s="98" t="str">
        <f t="shared" si="135"/>
        <v>4015/4016</v>
      </c>
      <c r="L184" s="21" t="str">
        <f>VLOOKUP(A184,'Trips&amp;Operators'!$C$1:$G$99999,5,FALSE)</f>
        <v>BRUDER RICHARD</v>
      </c>
      <c r="M184" s="6">
        <f t="shared" si="136"/>
        <v>1.0000000002037268E-2</v>
      </c>
      <c r="N184" s="7">
        <f t="shared" si="137"/>
        <v>14.400000002933666</v>
      </c>
      <c r="O184" s="7"/>
      <c r="P184" s="7"/>
      <c r="Q184" s="22"/>
      <c r="R184" s="22"/>
      <c r="S184" s="31">
        <f t="shared" si="134"/>
        <v>1</v>
      </c>
      <c r="T184" s="46" t="str">
        <f t="shared" si="13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128"/>
        <v>https://d0f6bd738d7f1b3e5a7ca70fe4ff75f0.us-east-1.aws.found.io/app/kibana#/discover/Steve-Slow-Train-Analysis-(2080s-and-2083s)?_g=(refreshInterval:(display:Off,pause:!f,section:0,value:0),time:(from:'2017-03-15T14:38:07-0600',mode:absolute,to:'2017-03-15T16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87" t="str">
        <f t="shared" si="139"/>
        <v>N</v>
      </c>
      <c r="X184" s="187">
        <f t="shared" si="145"/>
        <v>1</v>
      </c>
      <c r="Y184" s="62">
        <f t="shared" si="140"/>
        <v>5.8635999999999999</v>
      </c>
      <c r="Z184" s="62">
        <f t="shared" si="141"/>
        <v>6.7799999999999999E-2</v>
      </c>
      <c r="AA184" s="62">
        <f t="shared" si="142"/>
        <v>5.7957999999999998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43"/>
        <v>0826-15</v>
      </c>
      <c r="AE184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4" s="82" t="str">
        <f t="shared" si="130"/>
        <v>"C:\Program Files (x86)\AstroGrep\AstroGrep.exe" /e /r /s /spath="%USERPROFILE%\AppData\Local\Temp\OnboardLogs" /stypes="app*4015*20170315*" /stext=" 21:.+((SYSTEM_STATE.+slice.+state.+changed )|(ment ac)|(multiple cpu faults)|(system.+state.+changed )|(\[timeout)|(PRM\|1\|D)|(kpr)|(kdp)|(\|lc)|(penalty))"</v>
      </c>
      <c r="AG184" s="1" t="str">
        <f t="shared" si="144"/>
        <v>NW</v>
      </c>
      <c r="AH184" s="86" t="str">
        <f t="shared" si="131"/>
        <v>"%USERPROFILE%\Documents\GitHub\eaglep3\Utilities\RefineRTDCRunTimes.py" --tripid 826-15 --locoid 4015 --swversion DE.1.0.9.0 --startMP 300:58636 --initTime 2017-03-15T15:38:07 --startdatetime 2017-03-15T15:40:58 --delay 1 --endMP 204:678 --enddatetime 2017-03-15T15:55:22 --enforcementcount 0 &gt;&gt;C:\Users\stu\Documents\GitHub\eaglep3-reporting\EC\2017-03-15-refined-times.txt</v>
      </c>
      <c r="AI18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{"issue":{"subject":"","project_id":79,"tracker_id":40,"status_id":1,"priority_id":2,"assigned_to_id":23,"start_date":"2017-03-15","description":"","custom_fields":[{"id":1,"name":"Subdivision","value":"NW"},{"id":4,"name":"Milepost","value":"0.0678"},{"id":17,"name":"Train ID","value":"826-15"},{"id":16,"name":"Locomotive ID","value":"4015"},{"id":130,"name":"Impact","value":""},{"id":150,"name":"Time of Event (Mountain Time)","value":"15:55:22"},{"id":151,"name":"Denver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33"/>
        <v>start /low /b %USERPROFILE%\Documents\GitHub\eaglep3\Utilities\DownloadLogsFromS3.py --loco 4015 --day 2017-03-15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85" spans="1:91" x14ac:dyDescent="0.25">
      <c r="A185" s="33" t="s">
        <v>609</v>
      </c>
      <c r="B185" s="7">
        <v>4046</v>
      </c>
      <c r="C185" s="21" t="s">
        <v>230</v>
      </c>
      <c r="D185" s="21" t="s">
        <v>948</v>
      </c>
      <c r="E185" s="13">
        <v>42809.659050925926</v>
      </c>
      <c r="F185" s="13">
        <v>42809.66065972222</v>
      </c>
      <c r="G185" s="7">
        <v>1</v>
      </c>
      <c r="H185" s="21" t="s">
        <v>967</v>
      </c>
      <c r="I185" s="13">
        <v>42809.670231481483</v>
      </c>
      <c r="J185" s="7">
        <v>0</v>
      </c>
      <c r="K185" s="98" t="str">
        <f t="shared" si="135"/>
        <v>4045/4046</v>
      </c>
      <c r="L185" s="21" t="str">
        <f>VLOOKUP(A185,'Trips&amp;Operators'!$C$1:$G$99999,5,FALSE)</f>
        <v>CHANDLER KELVIN</v>
      </c>
      <c r="M185" s="6">
        <f t="shared" si="136"/>
        <v>9.5717592630535364E-3</v>
      </c>
      <c r="N185" s="7">
        <f t="shared" si="137"/>
        <v>13.783333338797092</v>
      </c>
      <c r="O185" s="7"/>
      <c r="P185" s="7"/>
      <c r="Q185" s="22"/>
      <c r="R185" s="22"/>
      <c r="S185" s="31">
        <f t="shared" si="134"/>
        <v>1</v>
      </c>
      <c r="T185" s="46" t="str">
        <f t="shared" si="13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128"/>
        <v>https://d0f6bd738d7f1b3e5a7ca70fe4ff75f0.us-east-1.aws.found.io/app/kibana#/discover/Steve-Slow-Train-Analysis-(2080s-and-2083s)?_g=(refreshInterval:(display:Off,pause:!f,section:0,value:0),time:(from:'2017-03-15T14:49:02-0600',mode:absolute,to:'2017-03-15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5" s="187" t="str">
        <f t="shared" si="139"/>
        <v>N</v>
      </c>
      <c r="X185" s="187">
        <f t="shared" si="145"/>
        <v>1</v>
      </c>
      <c r="Y185" s="62">
        <f t="shared" si="140"/>
        <v>9.4799999999999995E-2</v>
      </c>
      <c r="Z185" s="62">
        <f t="shared" si="141"/>
        <v>5.8905000000000003</v>
      </c>
      <c r="AA185" s="62">
        <f t="shared" si="142"/>
        <v>5.7957000000000001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43"/>
        <v>0827-15</v>
      </c>
      <c r="AE185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85" s="82" t="str">
        <f t="shared" si="130"/>
        <v>"C:\Program Files (x86)\AstroGrep\AstroGrep.exe" /e /r /s /spath="%USERPROFILE%\AppData\Local\Temp\OnboardLogs" /stypes="app*4046*20170315*" /stext=" 22:.+((SYSTEM_STATE.+slice.+state.+changed )|(ment ac)|(multiple cpu faults)|(system.+state.+changed )|(\[timeout)|(PRM\|1\|D)|(kpr)|(kdp)|(\|lc)|(penalty))"</v>
      </c>
      <c r="AG185" s="1" t="str">
        <f t="shared" si="144"/>
        <v>NW</v>
      </c>
      <c r="AH185" s="86" t="str">
        <f t="shared" si="131"/>
        <v>"%USERPROFILE%\Documents\GitHub\eaglep3\Utilities\RefineRTDCRunTimes.py" --tripid 827-15 --locoid 4046 --swversion DE.1.0.9.0 --startMP 204:948 --initTime 2017-03-15T15:49:02 --startdatetime 2017-03-15T15:51:21 --delay 1 --endMP 300:58905 --enddatetime 2017-03-15T16:05:08 --enforcementcount 0 &gt;&gt;C:\Users\stu\Documents\GitHub\eaglep3-reporting\EC\2017-03-15-refined-times.txt</v>
      </c>
      <c r="AI18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{"issue":{"subject":"","project_id":79,"tracker_id":40,"status_id":1,"priority_id":2,"assigned_to_id":23,"start_date":"2017-03-15","description":"","custom_fields":[{"id":1,"name":"Subdivision","value":"NW"},{"id":4,"name":"Milepost","value":"5.8905"},{"id":17,"name":"Train ID","value":"827-15"},{"id":16,"name":"Locomotive ID","value":"4046"},{"id":130,"name":"Impact","value":""},{"id":150,"name":"Time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33"/>
        <v>start /low /b %USERPROFILE%\Documents\GitHub\eaglep3\Utilities\DownloadLogsFromS3.py --loco 4046 --day 2017-03-15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86" spans="1:91" s="20" customFormat="1" x14ac:dyDescent="0.25">
      <c r="A186" s="33" t="s">
        <v>748</v>
      </c>
      <c r="B186" s="7">
        <v>4045</v>
      </c>
      <c r="C186" s="21" t="s">
        <v>230</v>
      </c>
      <c r="D186" s="21" t="s">
        <v>968</v>
      </c>
      <c r="E186" s="13">
        <v>42809.672812500001</v>
      </c>
      <c r="F186" s="13">
        <v>42809.674085648148</v>
      </c>
      <c r="G186" s="7">
        <v>0</v>
      </c>
      <c r="H186" s="21" t="s">
        <v>969</v>
      </c>
      <c r="I186" s="13">
        <v>42809.684942129628</v>
      </c>
      <c r="J186" s="7">
        <v>0</v>
      </c>
      <c r="K186" s="98" t="str">
        <f t="shared" si="135"/>
        <v>4045/4046</v>
      </c>
      <c r="L186" s="21" t="str">
        <f>VLOOKUP(A186,'Trips&amp;Operators'!$C$1:$G$99999,5,FALSE)</f>
        <v>CHANDLER KELVIN</v>
      </c>
      <c r="M186" s="6">
        <f t="shared" si="136"/>
        <v>1.0856481480004732E-2</v>
      </c>
      <c r="N186" s="7">
        <f t="shared" si="137"/>
        <v>15.633333331206813</v>
      </c>
      <c r="O186" s="7"/>
      <c r="P186" s="7"/>
      <c r="Q186" s="22"/>
      <c r="R186" s="22"/>
      <c r="S186" s="31">
        <f t="shared" si="134"/>
        <v>1</v>
      </c>
      <c r="T186" s="46" t="str">
        <f t="shared" si="13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128"/>
        <v>https://d0f6bd738d7f1b3e5a7ca70fe4ff75f0.us-east-1.aws.found.io/app/kibana#/discover/Steve-Slow-Train-Analysis-(2080s-and-2083s)?_g=(refreshInterval:(display:Off,pause:!f,section:0,value:0),time:(from:'2017-03-15T15:08:51-0600',mode:absolute,to:'2017-03-15T17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6" s="187" t="str">
        <f t="shared" si="139"/>
        <v>N</v>
      </c>
      <c r="X186" s="187">
        <f t="shared" si="145"/>
        <v>1</v>
      </c>
      <c r="Y186" s="62">
        <f t="shared" si="140"/>
        <v>5.8582999999999998</v>
      </c>
      <c r="Z186" s="62">
        <f t="shared" si="141"/>
        <v>6.6400000000000001E-2</v>
      </c>
      <c r="AA186" s="62">
        <f t="shared" si="142"/>
        <v>5.7919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43"/>
        <v>0828-15</v>
      </c>
      <c r="AE186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86" s="82" t="str">
        <f t="shared" si="130"/>
        <v>"C:\Program Files (x86)\AstroGrep\AstroGrep.exe" /e /r /s /spath="%USERPROFILE%\AppData\Local\Temp\OnboardLogs" /stypes="app*4045*20170315*" /stext=" 22:.+((SYSTEM_STATE.+slice.+state.+changed )|(ment ac)|(multiple cpu faults)|(system.+state.+changed )|(\[timeout)|(PRM\|1\|D)|(kpr)|(kdp)|(\|lc)|(penalty))"</v>
      </c>
      <c r="AG186" s="1" t="str">
        <f t="shared" si="144"/>
        <v>NW</v>
      </c>
      <c r="AH186" s="86" t="str">
        <f t="shared" si="131"/>
        <v>"%USERPROFILE%\Documents\GitHub\eaglep3\Utilities\RefineRTDCRunTimes.py" --tripid 828-15 --locoid 4045 --swversion DE.1.0.9.0 --startMP 300:58583 --initTime 2017-03-15T16:08:51 --startdatetime 2017-03-15T16:10:41 --delay 0 --endMP 204:664 --enddatetime 2017-03-15T16:26:19 --enforcementcount 0 &gt;&gt;C:\Users\stu\Documents\GitHub\eaglep3-reporting\EC\2017-03-15-refined-times.txt</v>
      </c>
      <c r="AI18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{"issue":{"subject":"","project_id":79,"tracker_id":40,"status_id":1,"priority_id":2,"assigned_to_id":23,"start_date":"2017-03-15","description":"","custom_fields":[{"id":1,"name":"Subdivision","value":"NW"},{"id":4,"name":"Milepost","value":"0.0664"},{"id":17,"name":"Train ID","value":"828-15"},{"id":16,"name":"Locomotive ID","value":"4045"},{"id":130,"name":"Impact","value":""},{"id":150,"name":"Time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33"/>
        <v>start /low /b %USERPROFILE%\Documents\GitHub\eaglep3\Utilities\DownloadLogsFromS3.py --loco 4045 --day 2017-03-15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750</v>
      </c>
      <c r="B187" s="7">
        <v>4016</v>
      </c>
      <c r="C187" s="21" t="s">
        <v>230</v>
      </c>
      <c r="D187" s="21" t="s">
        <v>970</v>
      </c>
      <c r="E187" s="13">
        <v>42809.677164351851</v>
      </c>
      <c r="F187" s="13">
        <v>42809.681550925925</v>
      </c>
      <c r="G187" s="7">
        <v>1</v>
      </c>
      <c r="H187" s="21" t="s">
        <v>971</v>
      </c>
      <c r="I187" s="13">
        <v>42809.69121527778</v>
      </c>
      <c r="J187" s="7">
        <v>0</v>
      </c>
      <c r="K187" s="98" t="str">
        <f t="shared" si="135"/>
        <v>4015/4016</v>
      </c>
      <c r="L187" s="21" t="str">
        <f>VLOOKUP(A187,'Trips&amp;Operators'!$C$1:$G$99999,5,FALSE)</f>
        <v>BRUDER RICHARD</v>
      </c>
      <c r="M187" s="6">
        <f t="shared" si="136"/>
        <v>9.6643518554628827E-3</v>
      </c>
      <c r="N187" s="7">
        <f t="shared" si="137"/>
        <v>13.916666671866551</v>
      </c>
      <c r="O187" s="7"/>
      <c r="P187" s="7"/>
      <c r="Q187" s="22"/>
      <c r="R187" s="22"/>
      <c r="S187" s="31">
        <f t="shared" si="134"/>
        <v>1</v>
      </c>
      <c r="T187" s="46" t="str">
        <f t="shared" si="13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128"/>
        <v>https://d0f6bd738d7f1b3e5a7ca70fe4ff75f0.us-east-1.aws.found.io/app/kibana#/discover/Steve-Slow-Train-Analysis-(2080s-and-2083s)?_g=(refreshInterval:(display:Off,pause:!f,section:0,value:0),time:(from:'2017-03-15T15:15:07-0600',mode:absolute,to:'2017-03-15T17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187" t="str">
        <f t="shared" si="139"/>
        <v>N</v>
      </c>
      <c r="X187" s="187">
        <f t="shared" si="145"/>
        <v>1</v>
      </c>
      <c r="Y187" s="62">
        <f t="shared" si="140"/>
        <v>9.7799999999999998E-2</v>
      </c>
      <c r="Z187" s="62">
        <f t="shared" si="141"/>
        <v>5.8945999999999996</v>
      </c>
      <c r="AA187" s="62">
        <f t="shared" si="142"/>
        <v>5.7967999999999993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43"/>
        <v>0829-15</v>
      </c>
      <c r="AE187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7" s="82" t="str">
        <f t="shared" si="130"/>
        <v>"C:\Program Files (x86)\AstroGrep\AstroGrep.exe" /e /r /s /spath="%USERPROFILE%\AppData\Local\Temp\OnboardLogs" /stypes="app*4016*20170315*" /stext=" 22:.+((SYSTEM_STATE.+slice.+state.+changed )|(ment ac)|(multiple cpu faults)|(system.+state.+changed )|(\[timeout)|(PRM\|1\|D)|(kpr)|(kdp)|(\|lc)|(penalty))"</v>
      </c>
      <c r="AG187" s="1" t="str">
        <f t="shared" si="144"/>
        <v>NW</v>
      </c>
      <c r="AH187" s="86" t="str">
        <f t="shared" si="131"/>
        <v>"%USERPROFILE%\Documents\GitHub\eaglep3\Utilities\RefineRTDCRunTimes.py" --tripid 829-15 --locoid 4016 --swversion DE.1.0.9.0 --startMP 204:978 --initTime 2017-03-15T16:15:07 --startdatetime 2017-03-15T16:21:26 --delay 1 --endMP 300:58946 --enddatetime 2017-03-15T16:35:21 --enforcementcount 0 &gt;&gt;C:\Users\stu\Documents\GitHub\eaglep3-reporting\EC\2017-03-15-refined-times.txt</v>
      </c>
      <c r="AI18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{"issue":{"subject":"","project_id":79,"tracker_id":40,"status_id":1,"priority_id":2,"assigned_to_id":23,"start_date":"2017-03-15","description":"","custom_fields":[{"id":1,"name":"Subdivision","value":"NW"},{"id":4,"name":"Milepost","value":"5.8946"},{"id":17,"name":"Train ID","value":"829-15"},{"id":16,"name":"Locomotive ID","value":"4016"},{"id":130,"name":"Impact","value":""},{"id":150,"name":"Time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33"/>
        <v>start /low /b %USERPROFILE%\Documents\GitHub\eaglep3\Utilities\DownloadLogsFromS3.py --loco 4016 --day 2017-03-15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8" spans="1:91" s="20" customFormat="1" x14ac:dyDescent="0.25">
      <c r="A188" s="33" t="s">
        <v>752</v>
      </c>
      <c r="B188" s="7">
        <v>4015</v>
      </c>
      <c r="C188" s="21" t="s">
        <v>230</v>
      </c>
      <c r="D188" s="21" t="s">
        <v>565</v>
      </c>
      <c r="E188" s="13">
        <v>42809.692418981482</v>
      </c>
      <c r="F188" s="13">
        <v>42809.694641203707</v>
      </c>
      <c r="G188" s="7">
        <v>1</v>
      </c>
      <c r="H188" s="21" t="s">
        <v>568</v>
      </c>
      <c r="I188" s="13">
        <v>42809.70511574074</v>
      </c>
      <c r="J188" s="7">
        <v>0</v>
      </c>
      <c r="K188" s="98" t="str">
        <f t="shared" si="135"/>
        <v>4015/4016</v>
      </c>
      <c r="L188" s="21" t="str">
        <f>VLOOKUP(A188,'Trips&amp;Operators'!$C$1:$G$99999,5,FALSE)</f>
        <v>BRUDER RICHARD</v>
      </c>
      <c r="M188" s="6">
        <f t="shared" si="136"/>
        <v>1.0474537033587694E-2</v>
      </c>
      <c r="N188" s="7">
        <f t="shared" si="137"/>
        <v>15.08333332836628</v>
      </c>
      <c r="O188" s="7"/>
      <c r="P188" s="7"/>
      <c r="Q188" s="22"/>
      <c r="R188" s="22"/>
      <c r="S188" s="31">
        <f t="shared" si="134"/>
        <v>1</v>
      </c>
      <c r="T188" s="46" t="str">
        <f t="shared" si="13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128"/>
        <v>https://d0f6bd738d7f1b3e5a7ca70fe4ff75f0.us-east-1.aws.found.io/app/kibana#/discover/Steve-Slow-Train-Analysis-(2080s-and-2083s)?_g=(refreshInterval:(display:Off,pause:!f,section:0,value:0),time:(from:'2017-03-15T15:37:05-0600',mode:absolute,to:'2017-03-15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187" t="str">
        <f t="shared" si="139"/>
        <v>N</v>
      </c>
      <c r="X188" s="187">
        <f t="shared" si="145"/>
        <v>1</v>
      </c>
      <c r="Y188" s="62">
        <f t="shared" si="140"/>
        <v>5.8639999999999999</v>
      </c>
      <c r="Z188" s="62">
        <f t="shared" si="141"/>
        <v>6.7000000000000004E-2</v>
      </c>
      <c r="AA188" s="62">
        <f t="shared" si="142"/>
        <v>5.7969999999999997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43"/>
        <v>0830-15</v>
      </c>
      <c r="AE18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8" s="82" t="str">
        <f t="shared" si="130"/>
        <v>"C:\Program Files (x86)\AstroGrep\AstroGrep.exe" /e /r /s /spath="%USERPROFILE%\AppData\Local\Temp\OnboardLogs" /stypes="app*4015*20170315*" /stext=" 22:.+((SYSTEM_STATE.+slice.+state.+changed )|(ment ac)|(multiple cpu faults)|(system.+state.+changed )|(\[timeout)|(PRM\|1\|D)|(kpr)|(kdp)|(\|lc)|(penalty))"</v>
      </c>
      <c r="AG188" s="1" t="str">
        <f t="shared" si="144"/>
        <v>NW</v>
      </c>
      <c r="AH188" s="86" t="str">
        <f t="shared" si="131"/>
        <v>"%USERPROFILE%\Documents\GitHub\eaglep3\Utilities\RefineRTDCRunTimes.py" --tripid 830-15 --locoid 4015 --swversion DE.1.0.9.0 --startMP 300:58640 --initTime 2017-03-15T16:37:05 --startdatetime 2017-03-15T16:40:17 --delay 1 --endMP 204:670 --enddatetime 2017-03-15T16:55:22 --enforcementcount 0 &gt;&gt;C:\Users\stu\Documents\GitHub\eaglep3-reporting\EC\2017-03-15-refined-times.txt</v>
      </c>
      <c r="AI18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{"issue":{"subject":"","project_id":79,"tracker_id":40,"status_id":1,"priority_id":2,"assigned_to_id":23,"start_date":"2017-03-15","description":"","custom_fields":[{"id":1,"name":"Subdivision","value":"NW"},{"id":4,"name":"Milepost","value":"0.067"},{"id":17,"name":"Train ID","value":"830-15"},{"id":16,"name":"Locomotive ID","value":"4015"},{"id":130,"name":"Impact","value":""},{"id":150,"name":"Time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33"/>
        <v>start /low /b %USERPROFILE%\Documents\GitHub\eaglep3\Utilities\DownloadLogsFromS3.py --loco 4015 --day 2017-03-15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754</v>
      </c>
      <c r="B189" s="7">
        <v>4046</v>
      </c>
      <c r="C189" s="21" t="s">
        <v>230</v>
      </c>
      <c r="D189" s="21" t="s">
        <v>494</v>
      </c>
      <c r="E189" s="13">
        <v>42809.699930555558</v>
      </c>
      <c r="F189" s="13">
        <v>42809.702407407407</v>
      </c>
      <c r="G189" s="7">
        <v>1</v>
      </c>
      <c r="H189" s="21" t="s">
        <v>967</v>
      </c>
      <c r="I189" s="13">
        <v>42809.712245370371</v>
      </c>
      <c r="J189" s="7">
        <v>0</v>
      </c>
      <c r="K189" s="98" t="str">
        <f t="shared" si="135"/>
        <v>4045/4046</v>
      </c>
      <c r="L189" s="21" t="str">
        <f>VLOOKUP(A189,'Trips&amp;Operators'!$C$1:$G$99999,5,FALSE)</f>
        <v>CHANDLER KELVIN</v>
      </c>
      <c r="M189" s="6">
        <f t="shared" si="136"/>
        <v>9.8379629635019228E-3</v>
      </c>
      <c r="N189" s="7">
        <f t="shared" si="137"/>
        <v>14.166666667442769</v>
      </c>
      <c r="O189" s="7"/>
      <c r="P189" s="7"/>
      <c r="Q189" s="22"/>
      <c r="R189" s="22"/>
      <c r="S189" s="31">
        <f t="shared" si="134"/>
        <v>1</v>
      </c>
      <c r="T189" s="46" t="str">
        <f t="shared" si="13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128"/>
        <v>https://d0f6bd738d7f1b3e5a7ca70fe4ff75f0.us-east-1.aws.found.io/app/kibana#/discover/Steve-Slow-Train-Analysis-(2080s-and-2083s)?_g=(refreshInterval:(display:Off,pause:!f,section:0,value:0),time:(from:'2017-03-15T15:47:54-0600',mode:absolute,to:'2017-03-15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9" s="187" t="str">
        <f t="shared" si="139"/>
        <v>N</v>
      </c>
      <c r="X189" s="187">
        <f t="shared" si="145"/>
        <v>1</v>
      </c>
      <c r="Y189" s="62">
        <f t="shared" si="140"/>
        <v>9.5799999999999996E-2</v>
      </c>
      <c r="Z189" s="62">
        <f t="shared" si="141"/>
        <v>5.8905000000000003</v>
      </c>
      <c r="AA189" s="62">
        <f t="shared" si="142"/>
        <v>5.7947000000000006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43"/>
        <v>0831-15</v>
      </c>
      <c r="AE189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89" s="82" t="str">
        <f t="shared" si="130"/>
        <v>"C:\Program Files (x86)\AstroGrep\AstroGrep.exe" /e /r /s /spath="%USERPROFILE%\AppData\Local\Temp\OnboardLogs" /stypes="app*4046*20170315*" /stext=" 23:.+((SYSTEM_STATE.+slice.+state.+changed )|(ment ac)|(multiple cpu faults)|(system.+state.+changed )|(\[timeout)|(PRM\|1\|D)|(kpr)|(kdp)|(\|lc)|(penalty))"</v>
      </c>
      <c r="AG189" s="1" t="str">
        <f t="shared" si="144"/>
        <v>NW</v>
      </c>
      <c r="AH189" s="86" t="str">
        <f t="shared" si="131"/>
        <v>"%USERPROFILE%\Documents\GitHub\eaglep3\Utilities\RefineRTDCRunTimes.py" --tripid 831-15 --locoid 4046 --swversion DE.1.0.9.0 --startMP 204:958 --initTime 2017-03-15T16:47:54 --startdatetime 2017-03-15T16:51:28 --delay 1 --endMP 300:58905 --enddatetime 2017-03-15T17:05:38 --enforcementcount 0 &gt;&gt;C:\Users\stu\Documents\GitHub\eaglep3-reporting\EC\2017-03-15-refined-times.txt</v>
      </c>
      <c r="AI18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{"issue":{"subject":"","project_id":79,"tracker_id":40,"status_id":1,"priority_id":2,"assigned_to_id":23,"start_date":"2017-03-15","description":"","custom_fields":[{"id":1,"name":"Subdivision","value":"NW"},{"id":4,"name":"Milepost","value":"5.8905"},{"id":17,"name":"Train ID","value":"831-15"},{"id":16,"name":"Locomotive ID","value":"4046"},{"id":130,"name":"Impact","value":""},{"id":150,"name":"Time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33"/>
        <v>start /low /b %USERPROFILE%\Documents\GitHub\eaglep3\Utilities\DownloadLogsFromS3.py --loco 4046 --day 2017-03-15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90" spans="1:91" x14ac:dyDescent="0.25">
      <c r="A190" s="33" t="s">
        <v>614</v>
      </c>
      <c r="B190" s="7">
        <v>4045</v>
      </c>
      <c r="C190" s="21" t="s">
        <v>230</v>
      </c>
      <c r="D190" s="21" t="s">
        <v>972</v>
      </c>
      <c r="E190" s="13">
        <v>42809.713819444441</v>
      </c>
      <c r="F190" s="13">
        <v>42809.715601851851</v>
      </c>
      <c r="G190" s="7">
        <v>1</v>
      </c>
      <c r="H190" s="21" t="s">
        <v>973</v>
      </c>
      <c r="I190" s="13">
        <v>42809.726377314815</v>
      </c>
      <c r="J190" s="7">
        <v>0</v>
      </c>
      <c r="K190" s="98" t="str">
        <f t="shared" si="135"/>
        <v>4045/4046</v>
      </c>
      <c r="L190" s="21" t="str">
        <f>VLOOKUP(A190,'Trips&amp;Operators'!$C$1:$G$99999,5,FALSE)</f>
        <v>CHANDLER KELVIN</v>
      </c>
      <c r="M190" s="6">
        <f t="shared" si="136"/>
        <v>1.0775462964375038E-2</v>
      </c>
      <c r="N190" s="7">
        <f t="shared" si="137"/>
        <v>15.516666668700054</v>
      </c>
      <c r="O190" s="7"/>
      <c r="P190" s="7"/>
      <c r="Q190" s="22"/>
      <c r="R190" s="22"/>
      <c r="S190" s="31">
        <f t="shared" si="134"/>
        <v>1</v>
      </c>
      <c r="T190" s="46" t="str">
        <f t="shared" si="13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128"/>
        <v>https://d0f6bd738d7f1b3e5a7ca70fe4ff75f0.us-east-1.aws.found.io/app/kibana#/discover/Steve-Slow-Train-Analysis-(2080s-and-2083s)?_g=(refreshInterval:(display:Off,pause:!f,section:0,value:0),time:(from:'2017-03-15T16:07:54-0600',mode:absolute,to:'2017-03-15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0" s="187" t="str">
        <f t="shared" si="139"/>
        <v>N</v>
      </c>
      <c r="X190" s="187">
        <f t="shared" si="145"/>
        <v>1</v>
      </c>
      <c r="Y190" s="62">
        <f t="shared" si="140"/>
        <v>5.8589000000000002</v>
      </c>
      <c r="Z190" s="62">
        <f t="shared" si="141"/>
        <v>6.9400000000000003E-2</v>
      </c>
      <c r="AA190" s="62">
        <f t="shared" si="142"/>
        <v>5.7895000000000003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43"/>
        <v>0832-15</v>
      </c>
      <c r="AE190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90" s="82" t="str">
        <f t="shared" si="130"/>
        <v>"C:\Program Files (x86)\AstroGrep\AstroGrep.exe" /e /r /s /spath="%USERPROFILE%\AppData\Local\Temp\OnboardLogs" /stypes="app*4045*20170315*" /stext=" 23:.+((SYSTEM_STATE.+slice.+state.+changed )|(ment ac)|(multiple cpu faults)|(system.+state.+changed )|(\[timeout)|(PRM\|1\|D)|(kpr)|(kdp)|(\|lc)|(penalty))"</v>
      </c>
      <c r="AG190" s="1" t="str">
        <f t="shared" si="144"/>
        <v>NW</v>
      </c>
      <c r="AH190" s="86" t="str">
        <f t="shared" si="131"/>
        <v>"%USERPROFILE%\Documents\GitHub\eaglep3\Utilities\RefineRTDCRunTimes.py" --tripid 832-15 --locoid 4045 --swversion DE.1.0.9.0 --startMP 300:58589 --initTime 2017-03-15T17:07:54 --startdatetime 2017-03-15T17:10:28 --delay 1 --endMP 204:694 --enddatetime 2017-03-15T17:25:59 --enforcementcount 0 &gt;&gt;C:\Users\stu\Documents\GitHub\eaglep3-reporting\EC\2017-03-15-refined-times.txt</v>
      </c>
      <c r="AI19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{"issue":{"subject":"","project_id":79,"tracker_id":40,"status_id":1,"priority_id":2,"assigned_to_id":23,"start_date":"2017-03-15","description":"","custom_fields":[{"id":1,"name":"Subdivision","value":"NW"},{"id":4,"name":"Milepost","value":"0.0694"},{"id":17,"name":"Train ID","value":"832-15"},{"id":16,"name":"Locomotive ID","value":"4045"},{"id":130,"name":"Impact","value":""},{"id":150,"name":"Time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33"/>
        <v>start /low /b %USERPROFILE%\Documents\GitHub\eaglep3\Utilities\DownloadLogsFromS3.py --loco 4045 --day 2017-03-15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91" spans="1:91" x14ac:dyDescent="0.25">
      <c r="A191" s="33" t="s">
        <v>761</v>
      </c>
      <c r="B191" s="7">
        <v>4016</v>
      </c>
      <c r="C191" s="21" t="s">
        <v>230</v>
      </c>
      <c r="D191" s="21" t="s">
        <v>944</v>
      </c>
      <c r="E191" s="13">
        <v>42809.718472222223</v>
      </c>
      <c r="F191" s="13">
        <v>42809.723113425927</v>
      </c>
      <c r="G191" s="7">
        <v>1</v>
      </c>
      <c r="H191" s="21" t="s">
        <v>493</v>
      </c>
      <c r="I191" s="13">
        <v>42809.732870370368</v>
      </c>
      <c r="J191" s="7">
        <v>0</v>
      </c>
      <c r="K191" s="98" t="str">
        <f t="shared" si="135"/>
        <v>4015/4016</v>
      </c>
      <c r="L191" s="21" t="str">
        <f>VLOOKUP(A191,'Trips&amp;Operators'!$C$1:$G$99999,5,FALSE)</f>
        <v>BRUDER RICHARD</v>
      </c>
      <c r="M191" s="6">
        <f t="shared" si="136"/>
        <v>9.7569444405962713E-3</v>
      </c>
      <c r="N191" s="7">
        <f t="shared" si="137"/>
        <v>14.049999994458631</v>
      </c>
      <c r="O191" s="7"/>
      <c r="P191" s="7"/>
      <c r="Q191" s="22"/>
      <c r="R191" s="22"/>
      <c r="S191" s="31">
        <f t="shared" si="134"/>
        <v>1</v>
      </c>
      <c r="T191" s="46" t="str">
        <f t="shared" si="13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128"/>
        <v>https://d0f6bd738d7f1b3e5a7ca70fe4ff75f0.us-east-1.aws.found.io/app/kibana#/discover/Steve-Slow-Train-Analysis-(2080s-and-2083s)?_g=(refreshInterval:(display:Off,pause:!f,section:0,value:0),time:(from:'2017-03-15T16:14:36-0600',mode:absolute,to:'2017-03-15T18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187" t="str">
        <f t="shared" si="139"/>
        <v>N</v>
      </c>
      <c r="X191" s="187">
        <f t="shared" si="145"/>
        <v>1</v>
      </c>
      <c r="Y191" s="62">
        <f t="shared" si="140"/>
        <v>9.7199999999999995E-2</v>
      </c>
      <c r="Z191" s="62">
        <f t="shared" si="141"/>
        <v>5.8933</v>
      </c>
      <c r="AA191" s="62">
        <f t="shared" si="142"/>
        <v>5.7961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43"/>
        <v>0833-15</v>
      </c>
      <c r="AE19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1" s="82" t="str">
        <f t="shared" si="130"/>
        <v>"C:\Program Files (x86)\AstroGrep\AstroGrep.exe" /e /r /s /spath="%USERPROFILE%\AppData\Local\Temp\OnboardLogs" /stypes="app*4016*20170315*" /stext=" 23:.+((SYSTEM_STATE.+slice.+state.+changed )|(ment ac)|(multiple cpu faults)|(system.+state.+changed )|(\[timeout)|(PRM\|1\|D)|(kpr)|(kdp)|(\|lc)|(penalty))"</v>
      </c>
      <c r="AG191" s="1" t="str">
        <f t="shared" si="144"/>
        <v>NW</v>
      </c>
      <c r="AH191" s="86" t="str">
        <f t="shared" si="131"/>
        <v>"%USERPROFILE%\Documents\GitHub\eaglep3\Utilities\RefineRTDCRunTimes.py" --tripid 833-15 --locoid 4016 --swversion DE.1.0.9.0 --startMP 204:972 --initTime 2017-03-15T17:14:36 --startdatetime 2017-03-15T17:21:17 --delay 1 --endMP 300:58933 --enddatetime 2017-03-15T17:35:20 --enforcementcount 0 &gt;&gt;C:\Users\stu\Documents\GitHub\eaglep3-reporting\EC\2017-03-15-refined-times.txt</v>
      </c>
      <c r="AI19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{"issue":{"subject":"","project_id":79,"tracker_id":40,"status_id":1,"priority_id":2,"assigned_to_id":23,"start_date":"2017-03-15","description":"","custom_fields":[{"id":1,"name":"Subdivision","value":"NW"},{"id":4,"name":"Milepost","value":"5.8933"},{"id":17,"name":"Train ID","value":"833-15"},{"id":16,"name":"Locomotive ID","value":"4016"},{"id":130,"name":"Impact","value":""},{"id":150,"name":"Time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33"/>
        <v>start /low /b %USERPROFILE%\Documents\GitHub\eaglep3\Utilities\DownloadLogsFromS3.py --loco 4016 --day 2017-03-15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92" spans="1:91" x14ac:dyDescent="0.25">
      <c r="A192" s="33" t="s">
        <v>766</v>
      </c>
      <c r="B192" s="7">
        <v>4015</v>
      </c>
      <c r="C192" s="21" t="s">
        <v>230</v>
      </c>
      <c r="D192" s="21" t="s">
        <v>555</v>
      </c>
      <c r="E192" s="13">
        <v>42809.734016203707</v>
      </c>
      <c r="F192" s="13">
        <v>42809.735995370371</v>
      </c>
      <c r="G192" s="7">
        <v>1</v>
      </c>
      <c r="H192" s="21" t="s">
        <v>973</v>
      </c>
      <c r="I192" s="13">
        <v>42809.746759259258</v>
      </c>
      <c r="J192" s="7">
        <v>0</v>
      </c>
      <c r="K192" s="98" t="str">
        <f t="shared" si="135"/>
        <v>4015/4016</v>
      </c>
      <c r="L192" s="21" t="str">
        <f>VLOOKUP(A192,'Trips&amp;Operators'!$C$1:$G$99999,5,FALSE)</f>
        <v>BRUDER RICHARD</v>
      </c>
      <c r="M192" s="6">
        <f t="shared" si="136"/>
        <v>1.0763888887595385E-2</v>
      </c>
      <c r="N192" s="7">
        <f t="shared" si="137"/>
        <v>15.499999998137355</v>
      </c>
      <c r="O192" s="7"/>
      <c r="P192" s="7"/>
      <c r="Q192" s="22"/>
      <c r="R192" s="22"/>
      <c r="S192" s="31">
        <f t="shared" si="134"/>
        <v>1</v>
      </c>
      <c r="T192" s="46" t="str">
        <f t="shared" si="13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128"/>
        <v>https://d0f6bd738d7f1b3e5a7ca70fe4ff75f0.us-east-1.aws.found.io/app/kibana#/discover/Steve-Slow-Train-Analysis-(2080s-and-2083s)?_g=(refreshInterval:(display:Off,pause:!f,section:0,value:0),time:(from:'2017-03-15T16:36:59-0600',mode:absolute,to:'2017-03-15T18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187" t="str">
        <f t="shared" si="139"/>
        <v>N</v>
      </c>
      <c r="X192" s="187">
        <f t="shared" si="145"/>
        <v>1</v>
      </c>
      <c r="Y192" s="62">
        <f t="shared" si="140"/>
        <v>5.8620999999999999</v>
      </c>
      <c r="Z192" s="62">
        <f t="shared" si="141"/>
        <v>6.9400000000000003E-2</v>
      </c>
      <c r="AA192" s="62">
        <f t="shared" si="142"/>
        <v>5.7927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43"/>
        <v>0834-15</v>
      </c>
      <c r="AE19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2" s="82" t="str">
        <f t="shared" si="130"/>
        <v>"C:\Program Files (x86)\AstroGrep\AstroGrep.exe" /e /r /s /spath="%USERPROFILE%\AppData\Local\Temp\OnboardLogs" /stypes="app*4015*20170315*" /stext=" 23:.+((SYSTEM_STATE.+slice.+state.+changed )|(ment ac)|(multiple cpu faults)|(system.+state.+changed )|(\[timeout)|(PRM\|1\|D)|(kpr)|(kdp)|(\|lc)|(penalty))"</v>
      </c>
      <c r="AG192" s="1" t="str">
        <f t="shared" si="144"/>
        <v>NW</v>
      </c>
      <c r="AH192" s="86" t="str">
        <f t="shared" si="131"/>
        <v>"%USERPROFILE%\Documents\GitHub\eaglep3\Utilities\RefineRTDCRunTimes.py" --tripid 834-15 --locoid 4015 --swversion DE.1.0.9.0 --startMP 300:58621 --initTime 2017-03-15T17:36:59 --startdatetime 2017-03-15T17:39:50 --delay 1 --endMP 204:694 --enddatetime 2017-03-15T17:55:20 --enforcementcount 0 &gt;&gt;C:\Users\stu\Documents\GitHub\eaglep3-reporting\EC\2017-03-15-refined-times.txt</v>
      </c>
      <c r="AI19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{"issue":{"subject":"","project_id":79,"tracker_id":40,"status_id":1,"priority_id":2,"assigned_to_id":23,"start_date":"2017-03-15","description":"","custom_fields":[{"id":1,"name":"Subdivision","value":"NW"},{"id":4,"name":"Milepost","value":"0.0694"},{"id":17,"name":"Train ID","value":"834-15"},{"id":16,"name":"Locomotive ID","value":"4015"},{"id":130,"name":"Impact","value":""},{"id":150,"name":"Time of Event (Mountain Time)","value":"17:55:20"},{"id":151,"name":"Denver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33"/>
        <v>start /low /b %USERPROFILE%\Documents\GitHub\eaglep3\Utilities\DownloadLogsFromS3.py --loco 4015 --day 2017-03-15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93" spans="1:40" x14ac:dyDescent="0.25">
      <c r="A193" s="33" t="s">
        <v>769</v>
      </c>
      <c r="B193" s="7">
        <v>4046</v>
      </c>
      <c r="C193" s="21" t="s">
        <v>230</v>
      </c>
      <c r="D193" s="21" t="s">
        <v>572</v>
      </c>
      <c r="E193" s="13">
        <v>42809.741122685184</v>
      </c>
      <c r="F193" s="13">
        <v>42809.744016203702</v>
      </c>
      <c r="G193" s="7">
        <v>1</v>
      </c>
      <c r="H193" s="21" t="s">
        <v>974</v>
      </c>
      <c r="I193" s="13">
        <v>42809.753865740742</v>
      </c>
      <c r="J193" s="7">
        <v>0</v>
      </c>
      <c r="K193" s="98" t="str">
        <f t="shared" si="135"/>
        <v>4045/4046</v>
      </c>
      <c r="L193" s="21" t="str">
        <f>VLOOKUP(A193,'Trips&amp;Operators'!$C$1:$G$99999,5,FALSE)</f>
        <v>CHANDLER KELVIN</v>
      </c>
      <c r="M193" s="6">
        <f t="shared" si="136"/>
        <v>9.8495370402815752E-3</v>
      </c>
      <c r="N193" s="7">
        <f t="shared" si="137"/>
        <v>14.183333338005468</v>
      </c>
      <c r="O193" s="7"/>
      <c r="P193" s="7"/>
      <c r="Q193" s="22"/>
      <c r="R193" s="22"/>
      <c r="S193" s="31">
        <f t="shared" si="134"/>
        <v>1</v>
      </c>
      <c r="T193" s="46" t="str">
        <f t="shared" si="13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128"/>
        <v>https://d0f6bd738d7f1b3e5a7ca70fe4ff75f0.us-east-1.aws.found.io/app/kibana#/discover/Steve-Slow-Train-Analysis-(2080s-and-2083s)?_g=(refreshInterval:(display:Off,pause:!f,section:0,value:0),time:(from:'2017-03-15T16:47:13-0600',mode:absolute,to:'2017-03-15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3" s="187" t="str">
        <f t="shared" si="139"/>
        <v>N</v>
      </c>
      <c r="X193" s="187">
        <f t="shared" si="145"/>
        <v>1</v>
      </c>
      <c r="Y193" s="62">
        <f t="shared" si="140"/>
        <v>9.7900000000000001E-2</v>
      </c>
      <c r="Z193" s="62">
        <f t="shared" si="141"/>
        <v>5.8898999999999999</v>
      </c>
      <c r="AA193" s="62">
        <f t="shared" si="142"/>
        <v>5.7919999999999998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43"/>
        <v>0835-15</v>
      </c>
      <c r="AE193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93" s="82" t="str">
        <f t="shared" si="130"/>
        <v>"C:\Program Files (x86)\AstroGrep\AstroGrep.exe" /e /r /s /spath="%USERPROFILE%\AppData\Local\Temp\OnboardLogs" /stypes="app*4046*20170316*" /stext=" 00:.+((SYSTEM_STATE.+slice.+state.+changed )|(ment ac)|(multiple cpu faults)|(system.+state.+changed )|(\[timeout)|(PRM\|1\|D)|(kpr)|(kdp)|(\|lc)|(penalty))"</v>
      </c>
      <c r="AG193" s="1" t="str">
        <f t="shared" si="144"/>
        <v>NW</v>
      </c>
      <c r="AH193" s="86" t="str">
        <f t="shared" si="131"/>
        <v>"%USERPROFILE%\Documents\GitHub\eaglep3\Utilities\RefineRTDCRunTimes.py" --tripid 835-15 --locoid 4046 --swversion DE.1.0.9.0 --startMP 204:979 --initTime 2017-03-15T17:47:13 --startdatetime 2017-03-15T17:51:23 --delay 1 --endMP 300:58899 --enddatetime 2017-03-15T18:05:34 --enforcementcount 0 &gt;&gt;C:\Users\stu\Documents\GitHub\eaglep3-reporting\EC\2017-03-15-refined-times.txt</v>
      </c>
      <c r="AI19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{"issue":{"subject":"","project_id":79,"tracker_id":40,"status_id":1,"priority_id":2,"assigned_to_id":23,"start_date":"2017-03-15","description":"","custom_fields":[{"id":1,"name":"Subdivision","value":"NW"},{"id":4,"name":"Milepost","value":"5.8899"},{"id":17,"name":"Train ID","value":"835-15"},{"id":16,"name":"Locomotive ID","value":"4046"},{"id":130,"name":"Impact","value":""},{"id":150,"name":"Time of Event (Mountain Time)","value":"18:05:34"},{"id":151,"name":"Denver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33"/>
        <v>start /low /b %USERPROFILE%\Documents\GitHub\eaglep3\Utilities\DownloadLogsFromS3.py --loco 4046 --day 2017-03-15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94" spans="1:40" x14ac:dyDescent="0.25">
      <c r="A194" s="33" t="s">
        <v>616</v>
      </c>
      <c r="B194" s="7">
        <v>4045</v>
      </c>
      <c r="C194" s="21" t="s">
        <v>230</v>
      </c>
      <c r="D194" s="21" t="s">
        <v>975</v>
      </c>
      <c r="E194" s="13">
        <v>42809.755567129629</v>
      </c>
      <c r="F194" s="13">
        <v>42809.756689814814</v>
      </c>
      <c r="G194" s="7">
        <v>1</v>
      </c>
      <c r="H194" s="21" t="s">
        <v>560</v>
      </c>
      <c r="I194" s="13">
        <v>42809.76939814815</v>
      </c>
      <c r="J194" s="7">
        <v>0</v>
      </c>
      <c r="K194" s="98" t="str">
        <f t="shared" si="135"/>
        <v>4045/4046</v>
      </c>
      <c r="L194" s="21" t="str">
        <f>VLOOKUP(A194,'Trips&amp;Operators'!$C$1:$G$99999,5,FALSE)</f>
        <v>CHANDLER KELVIN</v>
      </c>
      <c r="M194" s="6">
        <f t="shared" si="136"/>
        <v>1.2708333335467614E-2</v>
      </c>
      <c r="N194" s="7">
        <f t="shared" si="137"/>
        <v>18.300000003073364</v>
      </c>
      <c r="O194" s="7"/>
      <c r="P194" s="7"/>
      <c r="Q194" s="22"/>
      <c r="R194" s="22" t="s">
        <v>1031</v>
      </c>
      <c r="S194" s="31">
        <f t="shared" si="134"/>
        <v>1</v>
      </c>
      <c r="T194" s="46" t="str">
        <f t="shared" si="13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128"/>
        <v>https://d0f6bd738d7f1b3e5a7ca70fe4ff75f0.us-east-1.aws.found.io/app/kibana#/discover/Steve-Slow-Train-Analysis-(2080s-and-2083s)?_g=(refreshInterval:(display:Off,pause:!f,section:0,value:0),time:(from:'2017-03-15T17:08:01-0600',mode:absolute,to:'2017-03-15T19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4" s="187" t="str">
        <f t="shared" si="139"/>
        <v>N</v>
      </c>
      <c r="X194" s="187">
        <f t="shared" si="145"/>
        <v>1</v>
      </c>
      <c r="Y194" s="62">
        <f t="shared" si="140"/>
        <v>5.8575999999999997</v>
      </c>
      <c r="Z194" s="62">
        <f t="shared" si="141"/>
        <v>7.3400000000000007E-2</v>
      </c>
      <c r="AA194" s="62">
        <f t="shared" si="142"/>
        <v>5.7841999999999993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43"/>
        <v>0836-15</v>
      </c>
      <c r="AE194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94" s="82" t="str">
        <f t="shared" si="130"/>
        <v>"C:\Program Files (x86)\AstroGrep\AstroGrep.exe" /e /r /s /spath="%USERPROFILE%\AppData\Local\Temp\OnboardLogs" /stypes="app*4045*20170316*" /stext=" 00:.+((SYSTEM_STATE.+slice.+state.+changed )|(ment ac)|(multiple cpu faults)|(system.+state.+changed )|(\[timeout)|(PRM\|1\|D)|(kpr)|(kdp)|(\|lc)|(penalty))"</v>
      </c>
      <c r="AG194" s="1" t="str">
        <f t="shared" si="144"/>
        <v>NW</v>
      </c>
      <c r="AH194" s="86" t="str">
        <f t="shared" si="131"/>
        <v>"%USERPROFILE%\Documents\GitHub\eaglep3\Utilities\RefineRTDCRunTimes.py" --tripid 836-15 --locoid 4045 --swversion DE.1.0.9.0 --startMP 300:58576 --initTime 2017-03-15T18:08:01 --startdatetime 2017-03-15T18:09:38 --delay 1 --endMP 204:734 --enddatetime 2017-03-15T18:27:56 --enforcementcount 0 &gt;&gt;C:\Users\stu\Documents\GitHub\eaglep3-reporting\EC\2017-03-15-refined-times.txt</v>
      </c>
      <c r="AI194" s="108" t="str">
        <f t="shared" si="132"/>
        <v>echo {"issue":{"subject":"Initialized too close to Westminster 2S","project_id":79,"tracker_id":40,"status_id":1,"priority_id":2,"assigned_to_id":23,"start_date":"2017-03-15","description":"","custom_fields":[{"id":1,"name":"Subdivision","value":"NW"},{"id":4,"name":"Milepost","value":"0.0734"},{"id":17,"name":"Train ID","value":"836-15"},{"id":16,"name":"Locomotive ID","value":"4045"},{"id":130,"name":"Impact","value":""},{"id":150,"name":"Time of Event (Mountain Time)","value":"18:27:56"},{"id":151,"name":"Denver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33"/>
        <v>start /low /b %USERPROFILE%\Documents\GitHub\eaglep3\Utilities\DownloadLogsFromS3.py --loco 4045 --day 2017-03-15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2017-03-15-UncaughtWiMAX.txt</v>
      </c>
    </row>
    <row r="195" spans="1:40" x14ac:dyDescent="0.25">
      <c r="A195" s="33" t="s">
        <v>777</v>
      </c>
      <c r="B195" s="7">
        <v>4016</v>
      </c>
      <c r="C195" s="21" t="s">
        <v>230</v>
      </c>
      <c r="D195" s="21" t="s">
        <v>976</v>
      </c>
      <c r="E195" s="13">
        <v>42809.760752314818</v>
      </c>
      <c r="F195" s="13">
        <v>42809.764780092592</v>
      </c>
      <c r="G195" s="7">
        <v>1</v>
      </c>
      <c r="H195" s="21" t="s">
        <v>561</v>
      </c>
      <c r="I195" s="13">
        <v>42809.774212962962</v>
      </c>
      <c r="J195" s="7">
        <v>0</v>
      </c>
      <c r="K195" s="98" t="str">
        <f t="shared" si="135"/>
        <v>4015/4016</v>
      </c>
      <c r="L195" s="21" t="str">
        <f>VLOOKUP(A195,'Trips&amp;Operators'!$C$1:$G$99999,5,FALSE)</f>
        <v>BRUDER RICHARD</v>
      </c>
      <c r="M195" s="6">
        <f t="shared" si="136"/>
        <v>9.4328703708015382E-3</v>
      </c>
      <c r="N195" s="7">
        <f t="shared" si="137"/>
        <v>13.583333333954215</v>
      </c>
      <c r="O195" s="7"/>
      <c r="P195" s="7"/>
      <c r="Q195" s="22"/>
      <c r="R195" s="22"/>
      <c r="S195" s="31">
        <f t="shared" si="134"/>
        <v>1</v>
      </c>
      <c r="T195" s="46" t="str">
        <f t="shared" si="13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128"/>
        <v>https://d0f6bd738d7f1b3e5a7ca70fe4ff75f0.us-east-1.aws.found.io/app/kibana#/discover/Steve-Slow-Train-Analysis-(2080s-and-2083s)?_g=(refreshInterval:(display:Off,pause:!f,section:0,value:0),time:(from:'2017-03-15T17:15:29-0600',mode:absolute,to:'2017-03-15T19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187" t="str">
        <f t="shared" si="139"/>
        <v>N</v>
      </c>
      <c r="X195" s="187">
        <f t="shared" si="145"/>
        <v>1</v>
      </c>
      <c r="Y195" s="62">
        <f t="shared" si="140"/>
        <v>9.7600000000000006E-2</v>
      </c>
      <c r="Z195" s="62">
        <f t="shared" si="141"/>
        <v>5.8940999999999999</v>
      </c>
      <c r="AA195" s="62">
        <f t="shared" si="142"/>
        <v>5.7965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43"/>
        <v>0837-15</v>
      </c>
      <c r="AE19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5" s="82" t="str">
        <f t="shared" si="130"/>
        <v>"C:\Program Files (x86)\AstroGrep\AstroGrep.exe" /e /r /s /spath="%USERPROFILE%\AppData\Local\Temp\OnboardLogs" /stypes="app*4016*20170316*" /stext=" 00:.+((SYSTEM_STATE.+slice.+state.+changed )|(ment ac)|(multiple cpu faults)|(system.+state.+changed )|(\[timeout)|(PRM\|1\|D)|(kpr)|(kdp)|(\|lc)|(penalty))"</v>
      </c>
      <c r="AG195" s="1" t="str">
        <f t="shared" si="144"/>
        <v>NW</v>
      </c>
      <c r="AH195" s="86" t="str">
        <f t="shared" si="131"/>
        <v>"%USERPROFILE%\Documents\GitHub\eaglep3\Utilities\RefineRTDCRunTimes.py" --tripid 837-15 --locoid 4016 --swversion DE.1.0.9.0 --startMP 204:976 --initTime 2017-03-15T18:15:29 --startdatetime 2017-03-15T18:21:17 --delay 1 --endMP 300:58941 --enddatetime 2017-03-15T18:34:52 --enforcementcount 0 &gt;&gt;C:\Users\stu\Documents\GitHub\eaglep3-reporting\EC\2017-03-15-refined-times.txt</v>
      </c>
      <c r="AI19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{"issue":{"subject":"","project_id":79,"tracker_id":40,"status_id":1,"priority_id":2,"assigned_to_id":23,"start_date":"2017-03-15","description":"","custom_fields":[{"id":1,"name":"Subdivision","value":"NW"},{"id":4,"name":"Milepost","value":"5.8941"},{"id":17,"name":"Train ID","value":"837-15"},{"id":16,"name":"Locomotive ID","value":"4016"},{"id":130,"name":"Impact","value":""},{"id":150,"name":"Time of Event (Mountain Time)","value":"18:34:52"},{"id":151,"name":"Denver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33"/>
        <v>start /low /b %USERPROFILE%\Documents\GitHub\eaglep3\Utilities\DownloadLogsFromS3.py --loco 4016 --day 2017-03-15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196" spans="1:40" x14ac:dyDescent="0.25">
      <c r="A196" s="33" t="s">
        <v>783</v>
      </c>
      <c r="B196" s="7">
        <v>4015</v>
      </c>
      <c r="C196" s="21" t="s">
        <v>230</v>
      </c>
      <c r="D196" s="21" t="s">
        <v>466</v>
      </c>
      <c r="E196" s="13">
        <v>42809.775208333333</v>
      </c>
      <c r="F196" s="13">
        <v>42809.777002314811</v>
      </c>
      <c r="G196" s="7">
        <v>1</v>
      </c>
      <c r="H196" s="21" t="s">
        <v>491</v>
      </c>
      <c r="I196" s="13">
        <v>42809.788854166669</v>
      </c>
      <c r="J196" s="7">
        <v>0</v>
      </c>
      <c r="K196" s="98" t="str">
        <f t="shared" si="135"/>
        <v>4015/4016</v>
      </c>
      <c r="L196" s="21" t="str">
        <f>VLOOKUP(A196,'Trips&amp;Operators'!$C$1:$G$99999,5,FALSE)</f>
        <v>BRUDER RICHARD</v>
      </c>
      <c r="M196" s="6">
        <f t="shared" si="136"/>
        <v>1.1851851857500151E-2</v>
      </c>
      <c r="N196" s="7">
        <f t="shared" si="137"/>
        <v>17.066666674800217</v>
      </c>
      <c r="O196" s="7"/>
      <c r="P196" s="7"/>
      <c r="Q196" s="22"/>
      <c r="R196" s="22"/>
      <c r="S196" s="31">
        <f t="shared" si="134"/>
        <v>1</v>
      </c>
      <c r="T196" s="46" t="str">
        <f t="shared" si="13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128"/>
        <v>https://d0f6bd738d7f1b3e5a7ca70fe4ff75f0.us-east-1.aws.found.io/app/kibana#/discover/Steve-Slow-Train-Analysis-(2080s-and-2083s)?_g=(refreshInterval:(display:Off,pause:!f,section:0,value:0),time:(from:'2017-03-15T17:36:18-0600',mode:absolute,to:'2017-03-15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187" t="str">
        <f t="shared" si="139"/>
        <v>N</v>
      </c>
      <c r="X196" s="187">
        <f t="shared" si="145"/>
        <v>1</v>
      </c>
      <c r="Y196" s="62">
        <f t="shared" si="140"/>
        <v>5.8623000000000003</v>
      </c>
      <c r="Z196" s="62">
        <f t="shared" si="141"/>
        <v>6.8699999999999997E-2</v>
      </c>
      <c r="AA196" s="62">
        <f t="shared" si="142"/>
        <v>5.7936000000000005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43"/>
        <v>0838-15</v>
      </c>
      <c r="AE19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6" s="82" t="str">
        <f t="shared" si="130"/>
        <v>"C:\Program Files (x86)\AstroGrep\AstroGrep.exe" /e /r /s /spath="%USERPROFILE%\AppData\Local\Temp\OnboardLogs" /stypes="app*4015*20170316*" /stext=" 00:.+((SYSTEM_STATE.+slice.+state.+changed )|(ment ac)|(multiple cpu faults)|(system.+state.+changed )|(\[timeout)|(PRM\|1\|D)|(kpr)|(kdp)|(\|lc)|(penalty))"</v>
      </c>
      <c r="AG196" s="1" t="str">
        <f t="shared" si="144"/>
        <v>NW</v>
      </c>
      <c r="AH196" s="86" t="str">
        <f t="shared" si="131"/>
        <v>"%USERPROFILE%\Documents\GitHub\eaglep3\Utilities\RefineRTDCRunTimes.py" --tripid 838-15 --locoid 4015 --swversion DE.1.0.9.0 --startMP 300:58623 --initTime 2017-03-15T18:36:18 --startdatetime 2017-03-15T18:38:53 --delay 1 --endMP 204:687 --enddatetime 2017-03-15T18:55:57 --enforcementcount 0 &gt;&gt;C:\Users\stu\Documents\GitHub\eaglep3-reporting\EC\2017-03-15-refined-times.txt</v>
      </c>
      <c r="AI19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{"issue":{"subject":"","project_id":79,"tracker_id":40,"status_id":1,"priority_id":2,"assigned_to_id":23,"start_date":"2017-03-15","description":"","custom_fields":[{"id":1,"name":"Subdivision","value":"NW"},{"id":4,"name":"Milepost","value":"0.0687"},{"id":17,"name":"Train ID","value":"838-15"},{"id":16,"name":"Locomotive ID","value":"4015"},{"id":130,"name":"Impact","value":""},{"id":150,"name":"Time of Event (Mountain Time)","value":"18:55:57"},{"id":151,"name":"Denver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33"/>
        <v>start /low /b %USERPROFILE%\Documents\GitHub\eaglep3\Utilities\DownloadLogsFromS3.py --loco 4015 --day 2017-03-15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197" spans="1:40" x14ac:dyDescent="0.25">
      <c r="A197" s="33" t="s">
        <v>786</v>
      </c>
      <c r="B197" s="7">
        <v>4046</v>
      </c>
      <c r="C197" s="21" t="s">
        <v>230</v>
      </c>
      <c r="D197" s="21" t="s">
        <v>977</v>
      </c>
      <c r="E197" s="13">
        <v>42809.784513888888</v>
      </c>
      <c r="F197" s="13">
        <v>42809.785717592589</v>
      </c>
      <c r="G197" s="7">
        <v>1</v>
      </c>
      <c r="H197" s="21" t="s">
        <v>978</v>
      </c>
      <c r="I197" s="13">
        <v>42809.795497685183</v>
      </c>
      <c r="J197" s="7">
        <v>0</v>
      </c>
      <c r="K197" s="98" t="str">
        <f t="shared" si="135"/>
        <v>4045/4046</v>
      </c>
      <c r="L197" s="21" t="str">
        <f>VLOOKUP(A197,'Trips&amp;Operators'!$C$1:$G$99999,5,FALSE)</f>
        <v>CHANDLER KELVIN</v>
      </c>
      <c r="M197" s="6">
        <f t="shared" si="136"/>
        <v>9.7800925941555761E-3</v>
      </c>
      <c r="N197" s="7">
        <f t="shared" si="137"/>
        <v>14.08333333558403</v>
      </c>
      <c r="O197" s="7"/>
      <c r="P197" s="7"/>
      <c r="Q197" s="22"/>
      <c r="R197" s="22"/>
      <c r="S197" s="31">
        <f t="shared" si="134"/>
        <v>1</v>
      </c>
      <c r="T197" s="46" t="str">
        <f t="shared" si="13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128"/>
        <v>https://d0f6bd738d7f1b3e5a7ca70fe4ff75f0.us-east-1.aws.found.io/app/kibana#/discover/Steve-Slow-Train-Analysis-(2080s-and-2083s)?_g=(refreshInterval:(display:Off,pause:!f,section:0,value:0),time:(from:'2017-03-15T17:49:42-0600',mode:absolute,to:'2017-03-15T20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7" s="187" t="str">
        <f t="shared" si="139"/>
        <v>N</v>
      </c>
      <c r="X197" s="187">
        <f t="shared" si="145"/>
        <v>1</v>
      </c>
      <c r="Y197" s="62">
        <f t="shared" si="140"/>
        <v>0.1027</v>
      </c>
      <c r="Z197" s="62">
        <f t="shared" si="141"/>
        <v>5.8921999999999999</v>
      </c>
      <c r="AA197" s="62">
        <f t="shared" si="142"/>
        <v>5.7895000000000003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43"/>
        <v>0839-15</v>
      </c>
      <c r="AE197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97" s="82" t="str">
        <f t="shared" si="130"/>
        <v>"C:\Program Files (x86)\AstroGrep\AstroGrep.exe" /e /r /s /spath="%USERPROFILE%\AppData\Local\Temp\OnboardLogs" /stypes="app*4046*20170316*" /stext=" 01:.+((SYSTEM_STATE.+slice.+state.+changed )|(ment ac)|(multiple cpu faults)|(system.+state.+changed )|(\[timeout)|(PRM\|1\|D)|(kpr)|(kdp)|(\|lc)|(penalty))"</v>
      </c>
      <c r="AG197" s="1" t="str">
        <f t="shared" si="144"/>
        <v>NW</v>
      </c>
      <c r="AH197" s="86" t="str">
        <f t="shared" si="131"/>
        <v>"%USERPROFILE%\Documents\GitHub\eaglep3\Utilities\RefineRTDCRunTimes.py" --tripid 839-15 --locoid 4046 --swversion DE.1.0.9.0 --startMP 204:1027 --initTime 2017-03-15T18:49:42 --startdatetime 2017-03-15T18:51:26 --delay 1 --endMP 300:58922 --enddatetime 2017-03-15T19:05:31 --enforcementcount 0 &gt;&gt;C:\Users\stu\Documents\GitHub\eaglep3-reporting\EC\2017-03-15-refined-times.txt</v>
      </c>
      <c r="AI19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{"issue":{"subject":"","project_id":79,"tracker_id":40,"status_id":1,"priority_id":2,"assigned_to_id":23,"start_date":"2017-03-15","description":"","custom_fields":[{"id":1,"name":"Subdivision","value":"NW"},{"id":4,"name":"Milepost","value":"5.8922"},{"id":17,"name":"Train ID","value":"839-15"},{"id":16,"name":"Locomotive ID","value":"4046"},{"id":130,"name":"Impact","value":""},{"id":150,"name":"Time of Event (Mountain Time)","value":"19:05:31"},{"id":151,"name":"Denver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33"/>
        <v>start /low /b %USERPROFILE%\Documents\GitHub\eaglep3\Utilities\DownloadLogsFromS3.py --loco 4046 --day 2017-03-15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2017-03-15-UncaughtWiMAX.txt</v>
      </c>
    </row>
    <row r="198" spans="1:40" x14ac:dyDescent="0.25">
      <c r="A198" s="33" t="s">
        <v>793</v>
      </c>
      <c r="B198" s="7">
        <v>4015</v>
      </c>
      <c r="C198" s="21" t="s">
        <v>230</v>
      </c>
      <c r="D198" s="21" t="s">
        <v>979</v>
      </c>
      <c r="E198" s="13">
        <v>42809.817569444444</v>
      </c>
      <c r="F198" s="13">
        <v>42809.81925925926</v>
      </c>
      <c r="G198" s="7">
        <v>1</v>
      </c>
      <c r="H198" s="21" t="s">
        <v>943</v>
      </c>
      <c r="I198" s="13">
        <v>42809.831018518518</v>
      </c>
      <c r="J198" s="7">
        <v>0</v>
      </c>
      <c r="K198" s="98" t="str">
        <f t="shared" si="135"/>
        <v>4015/4016</v>
      </c>
      <c r="L198" s="21" t="str">
        <f>VLOOKUP(A198,'Trips&amp;Operators'!$C$1:$G$99999,5,FALSE)</f>
        <v>BRUDER RICHARD</v>
      </c>
      <c r="M198" s="6">
        <f t="shared" si="136"/>
        <v>1.1759259257814847E-2</v>
      </c>
      <c r="N198" s="7">
        <f t="shared" si="137"/>
        <v>16.93333333125338</v>
      </c>
      <c r="O198" s="7"/>
      <c r="P198" s="7"/>
      <c r="Q198" s="22"/>
      <c r="R198" s="22"/>
      <c r="S198" s="31">
        <f t="shared" ref="S198:S229" si="146">SUM(U198:U198)/IF(AG198="EC",12,1)</f>
        <v>1</v>
      </c>
      <c r="T198" s="46" t="str">
        <f t="shared" si="13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128"/>
        <v>https://d0f6bd738d7f1b3e5a7ca70fe4ff75f0.us-east-1.aws.found.io/app/kibana#/discover/Steve-Slow-Train-Analysis-(2080s-and-2083s)?_g=(refreshInterval:(display:Off,pause:!f,section:0,value:0),time:(from:'2017-03-15T18:37:18-0600',mode:absolute,to:'2017-03-15T20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87" t="str">
        <f t="shared" si="139"/>
        <v>N</v>
      </c>
      <c r="X198" s="187">
        <f t="shared" si="145"/>
        <v>1</v>
      </c>
      <c r="Y198" s="62">
        <f t="shared" si="140"/>
        <v>5.8628</v>
      </c>
      <c r="Z198" s="62">
        <f t="shared" si="141"/>
        <v>6.7100000000000007E-2</v>
      </c>
      <c r="AA198" s="62">
        <f t="shared" si="142"/>
        <v>5.7957000000000001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43"/>
        <v>0840-15</v>
      </c>
      <c r="AE19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8" s="82" t="str">
        <f t="shared" si="130"/>
        <v>"C:\Program Files (x86)\AstroGrep\AstroGrep.exe" /e /r /s /spath="%USERPROFILE%\AppData\Local\Temp\OnboardLogs" /stypes="app*4015*20170316*" /stext=" 01:.+((SYSTEM_STATE.+slice.+state.+changed )|(ment ac)|(multiple cpu faults)|(system.+state.+changed )|(\[timeout)|(PRM\|1\|D)|(kpr)|(kdp)|(\|lc)|(penalty))"</v>
      </c>
      <c r="AG198" s="1" t="str">
        <f t="shared" si="144"/>
        <v>NW</v>
      </c>
      <c r="AH198" s="86" t="str">
        <f t="shared" si="131"/>
        <v>"%USERPROFILE%\Documents\GitHub\eaglep3\Utilities\RefineRTDCRunTimes.py" --tripid 840-15 --locoid 4015 --swversion DE.1.0.9.0 --startMP 300:58628 --initTime 2017-03-15T19:37:18 --startdatetime 2017-03-15T19:39:44 --delay 1 --endMP 204:671 --enddatetime 2017-03-15T19:56:40 --enforcementcount 0 &gt;&gt;C:\Users\stu\Documents\GitHub\eaglep3-reporting\EC\2017-03-15-refined-times.txt</v>
      </c>
      <c r="AI19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{"issue":{"subject":"","project_id":79,"tracker_id":40,"status_id":1,"priority_id":2,"assigned_to_id":23,"start_date":"2017-03-15","description":"","custom_fields":[{"id":1,"name":"Subdivision","value":"NW"},{"id":4,"name":"Milepost","value":"0.0671"},{"id":17,"name":"Train ID","value":"840-15"},{"id":16,"name":"Locomotive ID","value":"4015"},{"id":130,"name":"Impact","value":""},{"id":150,"name":"Time of Event (Mountain Time)","value":"19:56:40"},{"id":151,"name":"Denver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33"/>
        <v>start /low /b %USERPROFILE%\Documents\GitHub\eaglep3\Utilities\DownloadLogsFromS3.py --loco 4015 --day 2017-03-15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199" spans="1:40" x14ac:dyDescent="0.25">
      <c r="A199" s="33" t="s">
        <v>791</v>
      </c>
      <c r="B199" s="7">
        <v>4016</v>
      </c>
      <c r="C199" s="21" t="s">
        <v>230</v>
      </c>
      <c r="D199" s="21" t="s">
        <v>970</v>
      </c>
      <c r="E199" s="13">
        <v>42809.801990740743</v>
      </c>
      <c r="F199" s="13">
        <v>42809.806458333333</v>
      </c>
      <c r="G199" s="7">
        <v>1</v>
      </c>
      <c r="H199" s="21" t="s">
        <v>465</v>
      </c>
      <c r="I199" s="13">
        <v>42809.816053240742</v>
      </c>
      <c r="J199" s="7">
        <v>0</v>
      </c>
      <c r="K199" s="98" t="str">
        <f t="shared" si="135"/>
        <v>4015/4016</v>
      </c>
      <c r="L199" s="21" t="str">
        <f>VLOOKUP(A199,'Trips&amp;Operators'!$C$1:$G$99999,5,FALSE)</f>
        <v>BRUDER RICHARD</v>
      </c>
      <c r="M199" s="6">
        <f t="shared" si="136"/>
        <v>9.5949074093368836E-3</v>
      </c>
      <c r="N199" s="7">
        <f t="shared" si="137"/>
        <v>13.816666669445112</v>
      </c>
      <c r="O199" s="7"/>
      <c r="P199" s="7"/>
      <c r="Q199" s="22"/>
      <c r="R199" s="22"/>
      <c r="S199" s="31">
        <f t="shared" si="146"/>
        <v>1</v>
      </c>
      <c r="T199" s="46" t="str">
        <f t="shared" si="13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128"/>
        <v>https://d0f6bd738d7f1b3e5a7ca70fe4ff75f0.us-east-1.aws.found.io/app/kibana#/discover/Steve-Slow-Train-Analysis-(2080s-and-2083s)?_g=(refreshInterval:(display:Off,pause:!f,section:0,value:0),time:(from:'2017-03-15T18:14:52-0600',mode:absolute,to:'2017-03-15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187" t="str">
        <f t="shared" si="139"/>
        <v>N</v>
      </c>
      <c r="X199" s="187">
        <f t="shared" si="145"/>
        <v>1</v>
      </c>
      <c r="Y199" s="62">
        <f t="shared" si="140"/>
        <v>9.7799999999999998E-2</v>
      </c>
      <c r="Z199" s="62">
        <f t="shared" si="141"/>
        <v>5.8939000000000004</v>
      </c>
      <c r="AA199" s="62">
        <f t="shared" si="142"/>
        <v>5.7961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43"/>
        <v>0841-15</v>
      </c>
      <c r="AE19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9" s="82" t="str">
        <f t="shared" si="130"/>
        <v>"C:\Program Files (x86)\AstroGrep\AstroGrep.exe" /e /r /s /spath="%USERPROFILE%\AppData\Local\Temp\OnboardLogs" /stypes="app*4016*20170316*" /stext=" 01:.+((SYSTEM_STATE.+slice.+state.+changed )|(ment ac)|(multiple cpu faults)|(system.+state.+changed )|(\[timeout)|(PRM\|1\|D)|(kpr)|(kdp)|(\|lc)|(penalty))"</v>
      </c>
      <c r="AG199" s="1" t="str">
        <f t="shared" si="144"/>
        <v>NW</v>
      </c>
      <c r="AH199" s="86" t="str">
        <f t="shared" si="131"/>
        <v>"%USERPROFILE%\Documents\GitHub\eaglep3\Utilities\RefineRTDCRunTimes.py" --tripid 841-15 --locoid 4016 --swversion DE.1.0.9.0 --startMP 204:978 --initTime 2017-03-15T19:14:52 --startdatetime 2017-03-15T19:21:18 --delay 1 --endMP 300:58939 --enddatetime 2017-03-15T19:35:07 --enforcementcount 0 &gt;&gt;C:\Users\stu\Documents\GitHub\eaglep3-reporting\EC\2017-03-15-refined-times.txt</v>
      </c>
      <c r="AI19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{"issue":{"subject":"","project_id":79,"tracker_id":40,"status_id":1,"priority_id":2,"assigned_to_id":23,"start_date":"2017-03-15","description":"","custom_fields":[{"id":1,"name":"Subdivision","value":"NW"},{"id":4,"name":"Milepost","value":"5.8939"},{"id":17,"name":"Train ID","value":"841-15"},{"id":16,"name":"Locomotive ID","value":"4016"},{"id":130,"name":"Impact","value":""},{"id":150,"name":"Time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33"/>
        <v>start /low /b %USERPROFILE%\Documents\GitHub\eaglep3\Utilities\DownloadLogsFromS3.py --loco 4016 --day 2017-03-15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0" spans="1:40" x14ac:dyDescent="0.25">
      <c r="A200" s="33" t="s">
        <v>799</v>
      </c>
      <c r="B200" s="7">
        <v>4015</v>
      </c>
      <c r="C200" s="21" t="s">
        <v>230</v>
      </c>
      <c r="D200" s="21" t="s">
        <v>570</v>
      </c>
      <c r="E200" s="13">
        <v>42809.859826388885</v>
      </c>
      <c r="F200" s="13">
        <v>42809.861516203702</v>
      </c>
      <c r="G200" s="7">
        <v>1</v>
      </c>
      <c r="H200" s="21" t="s">
        <v>947</v>
      </c>
      <c r="I200" s="13">
        <v>42809.871238425927</v>
      </c>
      <c r="J200" s="7">
        <v>0</v>
      </c>
      <c r="K200" s="98" t="str">
        <f t="shared" si="135"/>
        <v>4015/4016</v>
      </c>
      <c r="L200" s="21" t="str">
        <f>VLOOKUP(A200,'Trips&amp;Operators'!$C$1:$G$99999,5,FALSE)</f>
        <v>BRUDER RICHARD</v>
      </c>
      <c r="M200" s="6">
        <f t="shared" si="136"/>
        <v>9.7222222248092294E-3</v>
      </c>
      <c r="N200" s="7">
        <f t="shared" si="137"/>
        <v>14.00000000372529</v>
      </c>
      <c r="O200" s="7"/>
      <c r="P200" s="7"/>
      <c r="Q200" s="22"/>
      <c r="R200" s="22"/>
      <c r="S200" s="31">
        <f t="shared" si="146"/>
        <v>1</v>
      </c>
      <c r="T200" s="46" t="str">
        <f t="shared" si="13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128"/>
        <v>https://d0f6bd738d7f1b3e5a7ca70fe4ff75f0.us-east-1.aws.found.io/app/kibana#/discover/Steve-Slow-Train-Analysis-(2080s-and-2083s)?_g=(refreshInterval:(display:Off,pause:!f,section:0,value:0),time:(from:'2017-03-15T19:38:09-0600',mode:absolute,to:'2017-03-15T21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87" t="str">
        <f t="shared" si="139"/>
        <v>N</v>
      </c>
      <c r="X200" s="187">
        <f t="shared" si="145"/>
        <v>1</v>
      </c>
      <c r="Y200" s="62">
        <f t="shared" si="140"/>
        <v>5.8616999999999999</v>
      </c>
      <c r="Z200" s="62">
        <f t="shared" si="141"/>
        <v>6.8000000000000005E-2</v>
      </c>
      <c r="AA200" s="62">
        <f t="shared" si="142"/>
        <v>5.7937000000000003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43"/>
        <v>0842-15</v>
      </c>
      <c r="AE20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00" s="82" t="str">
        <f t="shared" si="130"/>
        <v>"C:\Program Files (x86)\AstroGrep\AstroGrep.exe" /e /r /s /spath="%USERPROFILE%\AppData\Local\Temp\OnboardLogs" /stypes="app*4015*20170316*" /stext=" 02:.+((SYSTEM_STATE.+slice.+state.+changed )|(ment ac)|(multiple cpu faults)|(system.+state.+changed )|(\[timeout)|(PRM\|1\|D)|(kpr)|(kdp)|(\|lc)|(penalty))"</v>
      </c>
      <c r="AG200" s="1" t="str">
        <f t="shared" si="144"/>
        <v>NW</v>
      </c>
      <c r="AH200" s="86" t="str">
        <f t="shared" si="131"/>
        <v>"%USERPROFILE%\Documents\GitHub\eaglep3\Utilities\RefineRTDCRunTimes.py" --tripid 842-15 --locoid 4015 --swversion DE.1.0.9.0 --startMP 300:58617 --initTime 2017-03-15T20:38:09 --startdatetime 2017-03-15T20:40:35 --delay 1 --endMP 204:680 --enddatetime 2017-03-15T20:54:35 --enforcementcount 0 &gt;&gt;C:\Users\stu\Documents\GitHub\eaglep3-reporting\EC\2017-03-15-refined-times.txt</v>
      </c>
      <c r="AI20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ID","value":"842-15"},{"id":16,"name":"Locomotive ID","value":"4015"},{"id":130,"name":"Impact","value":""},{"id":150,"name":"Time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33"/>
        <v>start /low /b %USERPROFILE%\Documents\GitHub\eaglep3\Utilities\DownloadLogsFromS3.py --loco 4015 --day 2017-03-15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01" spans="1:40" x14ac:dyDescent="0.25">
      <c r="A201" s="33" t="s">
        <v>619</v>
      </c>
      <c r="B201" s="7">
        <v>4016</v>
      </c>
      <c r="C201" s="21" t="s">
        <v>230</v>
      </c>
      <c r="D201" s="21" t="s">
        <v>944</v>
      </c>
      <c r="E201" s="13">
        <v>42809.844456018516</v>
      </c>
      <c r="F201" s="13">
        <v>42809.848657407405</v>
      </c>
      <c r="G201" s="7">
        <v>1</v>
      </c>
      <c r="H201" s="21" t="s">
        <v>443</v>
      </c>
      <c r="I201" s="13">
        <v>42809.858761574076</v>
      </c>
      <c r="J201" s="7">
        <v>0</v>
      </c>
      <c r="K201" s="98" t="str">
        <f t="shared" si="135"/>
        <v>4015/4016</v>
      </c>
      <c r="L201" s="21" t="str">
        <f>VLOOKUP(A201,'Trips&amp;Operators'!$C$1:$G$99999,5,FALSE)</f>
        <v>BRUDER RICHARD</v>
      </c>
      <c r="M201" s="6">
        <f t="shared" si="136"/>
        <v>1.0104166671226267E-2</v>
      </c>
      <c r="N201" s="7">
        <f t="shared" si="137"/>
        <v>14.550000006565824</v>
      </c>
      <c r="O201" s="7"/>
      <c r="P201" s="7"/>
      <c r="Q201" s="22"/>
      <c r="R201" s="22"/>
      <c r="S201" s="31">
        <f t="shared" si="146"/>
        <v>1</v>
      </c>
      <c r="T201" s="46" t="str">
        <f t="shared" si="13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128"/>
        <v>https://d0f6bd738d7f1b3e5a7ca70fe4ff75f0.us-east-1.aws.found.io/app/kibana#/discover/Steve-Slow-Train-Analysis-(2080s-and-2083s)?_g=(refreshInterval:(display:Off,pause:!f,section:0,value:0),time:(from:'2017-03-15T19:16:01-0600',mode:absolute,to:'2017-03-15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187" t="str">
        <f t="shared" si="139"/>
        <v>N</v>
      </c>
      <c r="X201" s="187">
        <f t="shared" si="145"/>
        <v>1</v>
      </c>
      <c r="Y201" s="62">
        <f t="shared" si="140"/>
        <v>9.7199999999999995E-2</v>
      </c>
      <c r="Z201" s="62">
        <f t="shared" si="141"/>
        <v>5.8929</v>
      </c>
      <c r="AA201" s="62">
        <f t="shared" si="142"/>
        <v>5.7957000000000001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43"/>
        <v>0843-15</v>
      </c>
      <c r="AE20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1" s="82" t="str">
        <f t="shared" si="130"/>
        <v>"C:\Program Files (x86)\AstroGrep\AstroGrep.exe" /e /r /s /spath="%USERPROFILE%\AppData\Local\Temp\OnboardLogs" /stypes="app*4016*20170316*" /stext=" 02:.+((SYSTEM_STATE.+slice.+state.+changed )|(ment ac)|(multiple cpu faults)|(system.+state.+changed )|(\[timeout)|(PRM\|1\|D)|(kpr)|(kdp)|(\|lc)|(penalty))"</v>
      </c>
      <c r="AG201" s="1" t="str">
        <f t="shared" si="144"/>
        <v>NW</v>
      </c>
      <c r="AH201" s="86" t="str">
        <f t="shared" si="131"/>
        <v>"%USERPROFILE%\Documents\GitHub\eaglep3\Utilities\RefineRTDCRunTimes.py" --tripid 843-15 --locoid 4016 --swversion DE.1.0.9.0 --startMP 204:972 --initTime 2017-03-15T20:16:01 --startdatetime 2017-03-15T20:22:04 --delay 1 --endMP 300:58929 --enddatetime 2017-03-15T20:36:37 --enforcementcount 0 &gt;&gt;C:\Users\stu\Documents\GitHub\eaglep3-reporting\EC\2017-03-15-refined-times.txt</v>
      </c>
      <c r="AI20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{"issue":{"subject":"","project_id":79,"tracker_id":40,"status_id":1,"priority_id":2,"assigned_to_id":23,"start_date":"2017-03-15","description":"","custom_fields":[{"id":1,"name":"Subdivision","value":"NW"},{"id":4,"name":"Milepost","value":"5.8929"},{"id":17,"name":"Train ID","value":"843-15"},{"id":16,"name":"Locomotive ID","value":"4016"},{"id":130,"name":"Impact","value":""},{"id":150,"name":"Time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33"/>
        <v>start /low /b %USERPROFILE%\Documents\GitHub\eaglep3\Utilities\DownloadLogsFromS3.py --loco 4016 --day 2017-03-15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2" spans="1:40" x14ac:dyDescent="0.25">
      <c r="A202" s="33" t="s">
        <v>621</v>
      </c>
      <c r="B202" s="7">
        <v>4015</v>
      </c>
      <c r="C202" s="21" t="s">
        <v>230</v>
      </c>
      <c r="D202" s="21" t="s">
        <v>972</v>
      </c>
      <c r="E202" s="13">
        <v>42809.901747685188</v>
      </c>
      <c r="F202" s="13">
        <v>42809.903171296297</v>
      </c>
      <c r="G202" s="7">
        <v>1</v>
      </c>
      <c r="H202" s="21" t="s">
        <v>961</v>
      </c>
      <c r="I202" s="13">
        <v>42809.913634259261</v>
      </c>
      <c r="J202" s="7">
        <v>0</v>
      </c>
      <c r="K202" s="98" t="str">
        <f t="shared" si="135"/>
        <v>4015/4016</v>
      </c>
      <c r="L202" s="21" t="str">
        <f>VLOOKUP(A202,'Trips&amp;Operators'!$C$1:$G$99999,5,FALSE)</f>
        <v>CHANDLER KELVIN</v>
      </c>
      <c r="M202" s="6">
        <f t="shared" si="136"/>
        <v>1.0462962964083999E-2</v>
      </c>
      <c r="N202" s="7">
        <f t="shared" si="137"/>
        <v>15.066666668280959</v>
      </c>
      <c r="O202" s="7"/>
      <c r="P202" s="7"/>
      <c r="Q202" s="22"/>
      <c r="R202" s="22"/>
      <c r="S202" s="31">
        <f t="shared" si="146"/>
        <v>1</v>
      </c>
      <c r="T202" s="46" t="str">
        <f t="shared" si="13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128"/>
        <v>https://d0f6bd738d7f1b3e5a7ca70fe4ff75f0.us-east-1.aws.found.io/app/kibana#/discover/Steve-Slow-Train-Analysis-(2080s-and-2083s)?_g=(refreshInterval:(display:Off,pause:!f,section:0,value:0),time:(from:'2017-03-15T20:38:31-0600',mode:absolute,to:'2017-03-15T22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87" t="str">
        <f t="shared" si="139"/>
        <v>N</v>
      </c>
      <c r="X202" s="187">
        <f t="shared" si="145"/>
        <v>1</v>
      </c>
      <c r="Y202" s="62">
        <f t="shared" si="140"/>
        <v>5.8589000000000002</v>
      </c>
      <c r="Z202" s="62">
        <f t="shared" si="141"/>
        <v>6.9599999999999995E-2</v>
      </c>
      <c r="AA202" s="62">
        <f t="shared" si="142"/>
        <v>5.7892999999999999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43"/>
        <v>0844-15</v>
      </c>
      <c r="AE20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02" s="82" t="str">
        <f t="shared" si="130"/>
        <v>"C:\Program Files (x86)\AstroGrep\AstroGrep.exe" /e /r /s /spath="%USERPROFILE%\AppData\Local\Temp\OnboardLogs" /stypes="app*4015*20170316*" /stext=" 03:.+((SYSTEM_STATE.+slice.+state.+changed )|(ment ac)|(multiple cpu faults)|(system.+state.+changed )|(\[timeout)|(PRM\|1\|D)|(kpr)|(kdp)|(\|lc)|(penalty))"</v>
      </c>
      <c r="AG202" s="1" t="str">
        <f t="shared" si="144"/>
        <v>NW</v>
      </c>
      <c r="AH202" s="86" t="str">
        <f t="shared" si="131"/>
        <v>"%USERPROFILE%\Documents\GitHub\eaglep3\Utilities\RefineRTDCRunTimes.py" --tripid 844-15 --locoid 4015 --swversion DE.1.0.9.0 --startMP 300:58589 --initTime 2017-03-15T21:38:31 --startdatetime 2017-03-15T21:40:34 --delay 1 --endMP 204:696 --enddatetime 2017-03-15T21:55:38 --enforcementcount 0 &gt;&gt;C:\Users\stu\Documents\GitHub\eaglep3-reporting\EC\2017-03-15-refined-times.txt</v>
      </c>
      <c r="AI20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{"issue":{"subject":"","project_id":79,"tracker_id":40,"status_id":1,"priority_id":2,"assigned_to_id":23,"start_date":"2017-03-15","description":"","custom_fields":[{"id":1,"name":"Subdivision","value":"NW"},{"id":4,"name":"Milepost","value":"0.0696"},{"id":17,"name":"Train ID","value":"844-15"},{"id":16,"name":"Locomotive ID","value":"4015"},{"id":130,"name":"Impact","value":""},{"id":150,"name":"Time of Event (Mountain Time)","value":"21:55:38"},{"id":151,"name":"Denver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33"/>
        <v>start /low /b %USERPROFILE%\Documents\GitHub\eaglep3\Utilities\DownloadLogsFromS3.py --loco 4015 --day 2017-03-15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03" spans="1:40" x14ac:dyDescent="0.25">
      <c r="A203" s="33" t="s">
        <v>801</v>
      </c>
      <c r="B203" s="7">
        <v>4016</v>
      </c>
      <c r="C203" s="21" t="s">
        <v>230</v>
      </c>
      <c r="D203" s="21" t="s">
        <v>970</v>
      </c>
      <c r="E203" s="13">
        <v>42809.884675925925</v>
      </c>
      <c r="F203" s="13">
        <v>42809.890046296299</v>
      </c>
      <c r="G203" s="7">
        <v>1</v>
      </c>
      <c r="H203" s="21" t="s">
        <v>974</v>
      </c>
      <c r="I203" s="13">
        <v>42809.899988425925</v>
      </c>
      <c r="J203" s="7">
        <v>0</v>
      </c>
      <c r="K203" s="98" t="str">
        <f t="shared" si="135"/>
        <v>4015/4016</v>
      </c>
      <c r="L203" s="21" t="str">
        <f>VLOOKUP(A203,'Trips&amp;Operators'!$C$1:$G$99999,5,FALSE)</f>
        <v>CHANDLER KELVIN</v>
      </c>
      <c r="M203" s="6">
        <f t="shared" si="136"/>
        <v>9.9421296254149638E-3</v>
      </c>
      <c r="N203" s="7">
        <f t="shared" si="137"/>
        <v>14.316666660597548</v>
      </c>
      <c r="O203" s="7"/>
      <c r="P203" s="7"/>
      <c r="Q203" s="22"/>
      <c r="R203" s="22"/>
      <c r="S203" s="31">
        <f t="shared" si="146"/>
        <v>1</v>
      </c>
      <c r="T203" s="46" t="str">
        <f t="shared" si="13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128"/>
        <v>https://d0f6bd738d7f1b3e5a7ca70fe4ff75f0.us-east-1.aws.found.io/app/kibana#/discover/Steve-Slow-Train-Analysis-(2080s-and-2083s)?_g=(refreshInterval:(display:Off,pause:!f,section:0,value:0),time:(from:'2017-03-15T20:13:56-0600',mode:absolute,to:'2017-03-15T22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87" t="str">
        <f t="shared" si="139"/>
        <v>N</v>
      </c>
      <c r="X203" s="187">
        <f t="shared" si="145"/>
        <v>1</v>
      </c>
      <c r="Y203" s="62">
        <f t="shared" si="140"/>
        <v>9.7799999999999998E-2</v>
      </c>
      <c r="Z203" s="62">
        <f t="shared" si="141"/>
        <v>5.8898999999999999</v>
      </c>
      <c r="AA203" s="62">
        <f t="shared" si="142"/>
        <v>5.7920999999999996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43"/>
        <v>0845-15</v>
      </c>
      <c r="AE20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3" s="82" t="str">
        <f t="shared" si="130"/>
        <v>"C:\Program Files (x86)\AstroGrep\AstroGrep.exe" /e /r /s /spath="%USERPROFILE%\AppData\Local\Temp\OnboardLogs" /stypes="app*4016*20170316*" /stext=" 03:.+((SYSTEM_STATE.+slice.+state.+changed )|(ment ac)|(multiple cpu faults)|(system.+state.+changed )|(\[timeout)|(PRM\|1\|D)|(kpr)|(kdp)|(\|lc)|(penalty))"</v>
      </c>
      <c r="AG203" s="1" t="str">
        <f t="shared" si="144"/>
        <v>NW</v>
      </c>
      <c r="AH203" s="86" t="str">
        <f t="shared" si="131"/>
        <v>"%USERPROFILE%\Documents\GitHub\eaglep3\Utilities\RefineRTDCRunTimes.py" --tripid 845-15 --locoid 4016 --swversion DE.1.0.9.0 --startMP 204:978 --initTime 2017-03-15T21:13:56 --startdatetime 2017-03-15T21:21:40 --delay 1 --endMP 300:58899 --enddatetime 2017-03-15T21:35:59 --enforcementcount 0 &gt;&gt;C:\Users\stu\Documents\GitHub\eaglep3-reporting\EC\2017-03-15-refined-times.txt</v>
      </c>
      <c r="AI20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{"issue":{"subject":"","project_id":79,"tracker_id":40,"status_id":1,"priority_id":2,"assigned_to_id":23,"start_date":"2017-03-15","description":"","custom_fields":[{"id":1,"name":"Subdivision","value":"NW"},{"id":4,"name":"Milepost","value":"5.8899"},{"id":17,"name":"Train ID","value":"845-15"},{"id":16,"name":"Locomotive ID","value":"4016"},{"id":130,"name":"Impact","value":""},{"id":150,"name":"Time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33"/>
        <v>start /low /b %USERPROFILE%\Documents\GitHub\eaglep3\Utilities\DownloadLogsFromS3.py --loco 4016 --day 2017-03-15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4" spans="1:40" x14ac:dyDescent="0.25">
      <c r="A204" s="33" t="s">
        <v>806</v>
      </c>
      <c r="B204" s="7">
        <v>4016</v>
      </c>
      <c r="C204" s="21" t="s">
        <v>230</v>
      </c>
      <c r="D204" s="21" t="s">
        <v>970</v>
      </c>
      <c r="E204" s="13">
        <v>42809.927071759259</v>
      </c>
      <c r="F204" s="13">
        <v>42809.931504629632</v>
      </c>
      <c r="G204" s="7">
        <v>1</v>
      </c>
      <c r="H204" s="21" t="s">
        <v>980</v>
      </c>
      <c r="I204" s="13">
        <v>42809.941134259258</v>
      </c>
      <c r="J204" s="7">
        <v>0</v>
      </c>
      <c r="K204" s="98" t="str">
        <f t="shared" ref="K204:K236" si="147">IF(ISEVEN(B204),(B204-1)&amp;"/"&amp;B204,B204&amp;"/"&amp;(B204+1))</f>
        <v>4015/4016</v>
      </c>
      <c r="L204" s="21" t="str">
        <f>VLOOKUP(A204,'Trips&amp;Operators'!$C$1:$G$99999,5,FALSE)</f>
        <v>CHANDLER KELVIN</v>
      </c>
      <c r="M204" s="6">
        <f t="shared" ref="M204:M236" si="148">I204-F204</f>
        <v>9.6296296251239255E-3</v>
      </c>
      <c r="N204" s="7">
        <f t="shared" ref="N204:N236" si="149">24*60*SUM($M204:$M204)</f>
        <v>13.866666660178453</v>
      </c>
      <c r="O204" s="7"/>
      <c r="P204" s="7"/>
      <c r="Q204" s="22"/>
      <c r="R204" s="22"/>
      <c r="S204" s="31">
        <f t="shared" si="146"/>
        <v>1</v>
      </c>
      <c r="T204" s="46" t="str">
        <f t="shared" ref="T204:T236" si="150">IF(ISEVEN(LEFT(AD204,4)),"Southbound","NorthBound")</f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128"/>
        <v>https://d0f6bd738d7f1b3e5a7ca70fe4ff75f0.us-east-1.aws.found.io/app/kibana#/discover/Steve-Slow-Train-Analysis-(2080s-and-2083s)?_g=(refreshInterval:(display:Off,pause:!f,section:0,value:0),time:(from:'2017-03-15T21:14:59-0600',mode:absolute,to:'2017-03-15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187" t="str">
        <f t="shared" ref="W204:W236" si="151">IF(AA204&lt;IF(AG204="EC",23,5.65),"Y","N")</f>
        <v>N</v>
      </c>
      <c r="X204" s="187">
        <f t="shared" si="145"/>
        <v>2</v>
      </c>
      <c r="Y204" s="62">
        <f t="shared" ref="Y204:Y236" si="152">RIGHT(D204,LEN(D204)-4)/10000</f>
        <v>9.7799999999999998E-2</v>
      </c>
      <c r="Z204" s="62">
        <f t="shared" ref="Z204:Z236" si="153">RIGHT(H204,LEN(H204)-4)/10000</f>
        <v>5.8882000000000003</v>
      </c>
      <c r="AA204" s="62">
        <f t="shared" ref="AA204:AA235" si="154">ABS(Z204-Y204)</f>
        <v>5.7904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36" si="155">IF(LEN(A204)=6,"0"&amp;A204,A204)</f>
        <v>0847-15</v>
      </c>
      <c r="AE204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4" s="82" t="str">
        <f t="shared" si="130"/>
        <v>"C:\Program Files (x86)\AstroGrep\AstroGrep.exe" /e /r /s /spath="%USERPROFILE%\AppData\Local\Temp\OnboardLogs" /stypes="app*4016*20170316*" /stext=" 04:.+((SYSTEM_STATE.+slice.+state.+changed )|(ment ac)|(multiple cpu faults)|(system.+state.+changed )|(\[timeout)|(PRM\|1\|D)|(kpr)|(kdp)|(\|lc)|(penalty))"</v>
      </c>
      <c r="AG204" s="1" t="str">
        <f t="shared" ref="AG204:AG236" si="156">IFERROR(IF(VALUE(LEFT(AD204,2))&lt;=2,"EC",IF(OR(VALUE(LEFT(AD204,2))=8,VALUE(LEFT(AD204,2))=18),"NW","Other")),"Other")</f>
        <v>NW</v>
      </c>
      <c r="AH204" s="86" t="str">
        <f t="shared" si="131"/>
        <v>"%USERPROFILE%\Documents\GitHub\eaglep3\Utilities\RefineRTDCRunTimes.py" --tripid 847-15 --locoid 4016 --swversion DE.1.0.9.0 --startMP 204:978 --initTime 2017-03-15T22:14:59 --startdatetime 2017-03-15T22:21:22 --delay 1 --endMP 300:58882 --enddatetime 2017-03-15T22:35:14 --enforcementcount 0 &gt;&gt;C:\Users\stu\Documents\GitHub\eaglep3-reporting\EC\2017-03-15-refined-times.txt</v>
      </c>
      <c r="AI20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{"issue":{"subject":"","project_id":79,"tracker_id":40,"status_id":1,"priority_id":2,"assigned_to_id":23,"start_date":"2017-03-15","description":"","custom_fields":[{"id":1,"name":"Subdivision","value":"NW"},{"id":4,"name":"Milepost","value":"5.8882"},{"id":17,"name":"Train ID","value":"847-15"},{"id":16,"name":"Locomotive ID","value":"4016"},{"id":130,"name":"Impact","value":""},{"id":150,"name":"Time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33"/>
        <v>start /low /b %USERPROFILE%\Documents\GitHub\eaglep3\Utilities\DownloadLogsFromS3.py --loco 4016 --day 2017-03-15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5" spans="1:40" x14ac:dyDescent="0.25">
      <c r="A205" s="33" t="s">
        <v>527</v>
      </c>
      <c r="B205" s="7">
        <v>4039</v>
      </c>
      <c r="C205" s="21" t="s">
        <v>230</v>
      </c>
      <c r="D205" s="21" t="s">
        <v>915</v>
      </c>
      <c r="E205" s="13">
        <v>42809.118564814817</v>
      </c>
      <c r="F205" s="13">
        <v>42809.119687500002</v>
      </c>
      <c r="G205" s="7">
        <v>1</v>
      </c>
      <c r="H205" s="21" t="s">
        <v>218</v>
      </c>
      <c r="I205" s="13">
        <v>42809.1253125</v>
      </c>
      <c r="J205" s="7">
        <v>0</v>
      </c>
      <c r="K205" s="98" t="str">
        <f t="shared" si="147"/>
        <v>4039/4040</v>
      </c>
      <c r="L205" s="21" t="str">
        <f>VLOOKUP(A205,'Trips&amp;Operators'!$C$1:$G$99999,5,FALSE)</f>
        <v>BADERTSCHER DIANE</v>
      </c>
      <c r="M205" s="6">
        <f t="shared" si="148"/>
        <v>5.6249999979627319E-3</v>
      </c>
      <c r="N205" s="7">
        <f t="shared" si="149"/>
        <v>8.0999999970663339</v>
      </c>
      <c r="O205" s="7"/>
      <c r="P205" s="7"/>
      <c r="Q205" s="22"/>
      <c r="R205" s="22"/>
      <c r="S205" s="31">
        <f t="shared" si="146"/>
        <v>1</v>
      </c>
      <c r="T205" s="46" t="str">
        <f t="shared" si="150"/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128"/>
        <v>https://d0f6bd738d7f1b3e5a7ca70fe4ff75f0.us-east-1.aws.found.io/app/kibana#/discover/Steve-Slow-Train-Analysis-(2080s-and-2083s)?_g=(refreshInterval:(display:Off,pause:!f,section:0,value:0),time:(from:'2017-03-15T01:50:44-0600',mode:absolute,to:'2017-03-15T04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5" s="187" t="str">
        <f t="shared" si="151"/>
        <v>Y</v>
      </c>
      <c r="X205" s="187">
        <f t="shared" ref="X205:X236" si="157">VALUE(LEFT(AD205,4))-VALUE(LEFT(AD204,4))</f>
        <v>-545</v>
      </c>
      <c r="Y205" s="62">
        <f t="shared" si="152"/>
        <v>2.2153</v>
      </c>
      <c r="Z205" s="62">
        <f t="shared" si="153"/>
        <v>1.3899999999999999E-2</v>
      </c>
      <c r="AA205" s="62">
        <f t="shared" si="154"/>
        <v>2.2014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55"/>
        <v>0302-15</v>
      </c>
      <c r="AE205" s="85" t="str">
        <f t="shared" si="129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05" s="82" t="str">
        <f t="shared" si="130"/>
        <v>"C:\Program Files (x86)\AstroGrep\AstroGrep.exe" /e /r /s /spath="%USERPROFILE%\AppData\Local\Temp\OnboardLogs" /stypes="app*4039*20170315*" /stext=" 09:.+((SYSTEM_STATE.+slice.+state.+changed )|(ment ac)|(multiple cpu faults)|(system.+state.+changed )|(\[timeout)|(PRM\|1\|D)|(kpr)|(kdp)|(\|lc)|(penalty))"</v>
      </c>
      <c r="AG205" s="1" t="str">
        <f t="shared" si="156"/>
        <v>Other</v>
      </c>
      <c r="AH205" s="86" t="str">
        <f t="shared" si="131"/>
        <v>"%USERPROFILE%\Documents\GitHub\eaglep3\Utilities\RefineRTDCRunTimes.py" --tripid 302-15 --locoid 4039 --swversion DE.1.0.9.0 --startMP 300:22153 --initTime 2017-03-15T02:50:44 --startdatetime 2017-03-15T02:52:21 --delay 1 --endMP 204:139 --enddatetime 2017-03-15T03:00:27 --enforcementcount 0 &gt;&gt;C:\Users\stu\Documents\GitHub\eaglep3-reporting\EC\2017-03-15-refined-times.txt</v>
      </c>
      <c r="AI205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{"issue":{"subject":"","project_id":79,"tracker_id":40,"status_id":1,"priority_id":2,"assigned_to_id":23,"start_date":"2017-03-15","description":"","custom_fields":[{"id":1,"name":"Subdivision","value":"Other"},{"id":4,"name":"Milepost","value":"0.0139"},{"id":17,"name":"Train ID","value":"302-15"},{"id":16,"name":"Locomotive ID","value":"4039"},{"id":130,"name":"Impact","value":""},{"id":150,"name":"Time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33"/>
        <v>start /low /b %USERPROFILE%\Documents\GitHub\eaglep3\Utilities\DownloadLogsFromS3.py --loco 4039 --day 2017-03-15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</row>
    <row r="206" spans="1:40" x14ac:dyDescent="0.25">
      <c r="A206" s="33" t="s">
        <v>527</v>
      </c>
      <c r="B206" s="7">
        <v>4039</v>
      </c>
      <c r="C206" s="21" t="s">
        <v>230</v>
      </c>
      <c r="D206" s="21" t="s">
        <v>550</v>
      </c>
      <c r="E206" s="13">
        <v>42809.111724537041</v>
      </c>
      <c r="F206" s="13">
        <v>42809.119687500002</v>
      </c>
      <c r="G206" s="7">
        <v>9</v>
      </c>
      <c r="H206" s="21" t="s">
        <v>218</v>
      </c>
      <c r="I206" s="13">
        <v>42809.1253125</v>
      </c>
      <c r="J206" s="7">
        <v>0</v>
      </c>
      <c r="K206" s="98" t="str">
        <f t="shared" si="147"/>
        <v>4039/4040</v>
      </c>
      <c r="L206" s="21" t="str">
        <f>VLOOKUP(A206,'Trips&amp;Operators'!$C$1:$G$99999,5,FALSE)</f>
        <v>BADERTSCHER DIANE</v>
      </c>
      <c r="M206" s="6">
        <f t="shared" si="148"/>
        <v>5.6249999979627319E-3</v>
      </c>
      <c r="N206" s="7">
        <f t="shared" si="149"/>
        <v>8.0999999970663339</v>
      </c>
      <c r="O206" s="7"/>
      <c r="P206" s="7"/>
      <c r="Q206" s="22"/>
      <c r="R206" s="22"/>
      <c r="S206" s="31">
        <f t="shared" si="146"/>
        <v>1</v>
      </c>
      <c r="T206" s="46" t="str">
        <f t="shared" si="150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ref="V206:V236" si="15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-15T01:40:53-0600',mode:absolute,to:'2017-03-15T04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87" t="str">
        <f t="shared" si="151"/>
        <v>Y</v>
      </c>
      <c r="X206" s="187">
        <f t="shared" si="157"/>
        <v>0</v>
      </c>
      <c r="Y206" s="62">
        <f t="shared" si="152"/>
        <v>2.3100999999999998</v>
      </c>
      <c r="Z206" s="62">
        <f t="shared" si="153"/>
        <v>1.3899999999999999E-2</v>
      </c>
      <c r="AA206" s="62">
        <f t="shared" si="154"/>
        <v>2.2961999999999998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55"/>
        <v>0302-15</v>
      </c>
      <c r="AE206" s="85" t="str">
        <f t="shared" ref="AE206:AE236" si="159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06" s="82" t="str">
        <f t="shared" ref="AF206:AF236" si="160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/stypes="app*4039*20170315*" /stext=" 09:.+((SYSTEM_STATE.+slice.+state.+changed )|(ment ac)|(multiple cpu faults)|(system.+state.+changed )|(\[timeout)|(PRM\|1\|D)|(kpr)|(kdp)|(\|lc)|(penalty))"</v>
      </c>
      <c r="AG206" s="1" t="str">
        <f t="shared" si="156"/>
        <v>Other</v>
      </c>
      <c r="AH206" s="86" t="str">
        <f t="shared" si="131"/>
        <v>"%USERPROFILE%\Documents\GitHub\eaglep3\Utilities\RefineRTDCRunTimes.py" --tripid 302-15 --locoid 4039 --swversion DE.1.0.9.0 --startMP 300:23101 --initTime 2017-03-15T02:40:53 --startdatetime 2017-03-15T02:52:21 --delay 9 --endMP 204:139 --enddatetime 2017-03-15T03:00:27 --enforcementcount 0 &gt;&gt;C:\Users\stu\Documents\GitHub\eaglep3-reporting\EC\2017-03-15-refined-times.txt</v>
      </c>
      <c r="AI206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{"issue":{"subject":"","project_id":79,"tracker_id":40,"status_id":1,"priority_id":2,"assigned_to_id":23,"start_date":"2017-03-15","description":"","custom_fields":[{"id":1,"name":"Subdivision","value":"Other"},{"id":4,"name":"Milepost","value":"0.0139"},{"id":17,"name":"Train ID","value":"302-15"},{"id":16,"name":"Locomotive ID","value":"4039"},{"id":130,"name":"Impact","value":""},{"id":150,"name":"Time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33"/>
        <v>start /low /b %USERPROFILE%\Documents\GitHub\eaglep3\Utilities\DownloadLogsFromS3.py --loco 4039 --day 2017-03-15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</row>
    <row r="207" spans="1:40" x14ac:dyDescent="0.25">
      <c r="A207" s="33" t="s">
        <v>629</v>
      </c>
      <c r="B207" s="7">
        <v>4054</v>
      </c>
      <c r="C207" s="21" t="s">
        <v>230</v>
      </c>
      <c r="D207" s="21" t="s">
        <v>916</v>
      </c>
      <c r="E207" s="13">
        <v>42809.139293981483</v>
      </c>
      <c r="F207" s="13">
        <v>42809.1565162037</v>
      </c>
      <c r="G207" s="7">
        <v>4</v>
      </c>
      <c r="H207" s="21" t="s">
        <v>192</v>
      </c>
      <c r="I207" s="13">
        <v>42809.181747685187</v>
      </c>
      <c r="J207" s="7">
        <v>0</v>
      </c>
      <c r="K207" s="98" t="str">
        <f t="shared" si="147"/>
        <v>4053/4054</v>
      </c>
      <c r="L207" s="21" t="str">
        <f>VLOOKUP(A207,'Trips&amp;Operators'!$C$1:$G$99999,5,FALSE)</f>
        <v>MAELZER KURT</v>
      </c>
      <c r="M207" s="6">
        <f t="shared" si="148"/>
        <v>2.5231481486116536E-2</v>
      </c>
      <c r="N207" s="7">
        <f t="shared" si="149"/>
        <v>36.333333340007812</v>
      </c>
      <c r="O207" s="7"/>
      <c r="P207" s="7"/>
      <c r="Q207" s="22"/>
      <c r="R207" s="22"/>
      <c r="S207" s="31">
        <f t="shared" si="146"/>
        <v>1</v>
      </c>
      <c r="T207" s="46" t="str">
        <f t="shared" si="150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20:35-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7" t="str">
        <f t="shared" si="151"/>
        <v>Y</v>
      </c>
      <c r="X207" s="187">
        <f t="shared" si="157"/>
        <v>2</v>
      </c>
      <c r="Y207" s="62">
        <f t="shared" si="152"/>
        <v>2.1825000000000001</v>
      </c>
      <c r="Z207" s="62">
        <f t="shared" si="153"/>
        <v>1.4999999999999999E-2</v>
      </c>
      <c r="AA207" s="62">
        <f t="shared" si="154"/>
        <v>2.1675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55"/>
        <v>0304-15</v>
      </c>
      <c r="AE207" s="85" t="str">
        <f t="shared" si="15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207" s="82" t="str">
        <f t="shared" si="160"/>
        <v>"C:\Program Files (x86)\AstroGrep\AstroGrep.exe" /e /r /s /spath="%USERPROFILE%\AppData\Local\Temp\OnboardLogs" /stypes="app*4054*20170315*" /stext=" 10:.+((SYSTEM_STATE.+slice.+state.+changed )|(ment ac)|(multiple cpu faults)|(system.+state.+changed )|(\[timeout)|(PRM\|1\|D)|(kpr)|(kdp)|(\|lc)|(penalty))"</v>
      </c>
      <c r="AG207" s="1" t="str">
        <f t="shared" si="156"/>
        <v>Other</v>
      </c>
      <c r="AH207" s="86" t="str">
        <f t="shared" si="131"/>
        <v>"%USERPROFILE%\Documents\GitHub\eaglep3\Utilities\RefineRTDCRunTimes.py" --tripid 304-15 --locoid 4054 --swversion DE.1.0.9.0 --startMP 300:21825 --initTime 2017-03-15T03:20:35 --startdatetime 2017-03-15T03:45:23 --delay 4 --endMP 204:150 --enddatetime 2017-03-15T04:21:43 --enforcementcount 0 &gt;&gt;C:\Users\stu\Documents\GitHub\eaglep3-reporting\EC\2017-03-15-refined-times.txt</v>
      </c>
      <c r="AI207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{"issue":{"subject":"","project_id":79,"tracker_id":40,"status_id":1,"priority_id":2,"assigned_to_id":23,"start_date":"2017-03-15","description":"","custom_fields":[{"id":1,"name":"Subdivision","value":"Other"},{"id":4,"name":"Milepost","value":"0.015"},{"id":17,"name":"Train ID","value":"304-15"},{"id":16,"name":"Locomotive ID","value":"4054"},{"id":130,"name":"Impact","value":""},{"id":150,"name":"Time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33"/>
        <v>start /low /b %USERPROFILE%\Documents\GitHub\eaglep3\Utilities\DownloadLogsFromS3.py --loco 4054 --day 2017-03-15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</row>
    <row r="208" spans="1:40" x14ac:dyDescent="0.25">
      <c r="A208" s="33" t="s">
        <v>629</v>
      </c>
      <c r="B208" s="7">
        <v>4054</v>
      </c>
      <c r="C208" s="21" t="s">
        <v>230</v>
      </c>
      <c r="D208" s="21" t="s">
        <v>917</v>
      </c>
      <c r="E208" s="13">
        <v>42809.139293981483</v>
      </c>
      <c r="F208" s="13">
        <v>42809.1565162037</v>
      </c>
      <c r="G208" s="7">
        <v>3</v>
      </c>
      <c r="H208" s="21" t="s">
        <v>192</v>
      </c>
      <c r="I208" s="13">
        <v>42809.181747685187</v>
      </c>
      <c r="J208" s="7">
        <v>0</v>
      </c>
      <c r="K208" s="98" t="str">
        <f t="shared" si="147"/>
        <v>4053/4054</v>
      </c>
      <c r="L208" s="21" t="str">
        <f>VLOOKUP(A208,'Trips&amp;Operators'!$C$1:$G$99999,5,FALSE)</f>
        <v>MAELZER KURT</v>
      </c>
      <c r="M208" s="6">
        <f t="shared" si="148"/>
        <v>2.5231481486116536E-2</v>
      </c>
      <c r="N208" s="7">
        <f t="shared" si="149"/>
        <v>36.333333340007812</v>
      </c>
      <c r="O208" s="7"/>
      <c r="P208" s="7"/>
      <c r="Q208" s="22"/>
      <c r="R208" s="22"/>
      <c r="S208" s="31">
        <f t="shared" si="146"/>
        <v>1</v>
      </c>
      <c r="T208" s="46" t="str">
        <f t="shared" si="150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20:35-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7" t="str">
        <f t="shared" si="151"/>
        <v>Y</v>
      </c>
      <c r="X208" s="187">
        <f t="shared" si="157"/>
        <v>0</v>
      </c>
      <c r="Y208" s="62">
        <f t="shared" si="152"/>
        <v>2.3201000000000001</v>
      </c>
      <c r="Z208" s="62">
        <f t="shared" si="153"/>
        <v>1.4999999999999999E-2</v>
      </c>
      <c r="AA208" s="62">
        <f t="shared" si="154"/>
        <v>2.3050999999999999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55"/>
        <v>0304-15</v>
      </c>
      <c r="AE208" s="85" t="str">
        <f t="shared" si="15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208" s="82" t="str">
        <f t="shared" si="160"/>
        <v>"C:\Program Files (x86)\AstroGrep\AstroGrep.exe" /e /r /s /spath="%USERPROFILE%\AppData\Local\Temp\OnboardLogs" /stypes="app*4054*20170315*" /stext=" 10:.+((SYSTEM_STATE.+slice.+state.+changed )|(ment ac)|(multiple cpu faults)|(system.+state.+changed )|(\[timeout)|(PRM\|1\|D)|(kpr)|(kdp)|(\|lc)|(penalty))"</v>
      </c>
      <c r="AG208" s="1" t="str">
        <f t="shared" si="156"/>
        <v>Other</v>
      </c>
      <c r="AH208" s="86" t="str">
        <f t="shared" si="131"/>
        <v>"%USERPROFILE%\Documents\GitHub\eaglep3\Utilities\RefineRTDCRunTimes.py" --tripid 304-15 --locoid 4054 --swversion DE.1.0.9.0 --startMP 300:23201 --initTime 2017-03-15T03:20:35 --startdatetime 2017-03-15T03:45:23 --delay 3 --endMP 204:150 --enddatetime 2017-03-15T04:21:43 --enforcementcount 0 &gt;&gt;C:\Users\stu\Documents\GitHub\eaglep3-reporting\EC\2017-03-15-refined-times.txt</v>
      </c>
      <c r="AI208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{"issue":{"subject":"","project_id":79,"tracker_id":40,"status_id":1,"priority_id":2,"assigned_to_id":23,"start_date":"2017-03-15","description":"","custom_fields":[{"id":1,"name":"Subdivision","value":"Other"},{"id":4,"name":"Milepost","value":"0.015"},{"id":17,"name":"Train ID","value":"304-15"},{"id":16,"name":"Locomotive ID","value":"4054"},{"id":130,"name":"Impact","value":""},{"id":150,"name":"Time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33"/>
        <v>start /low /b %USERPROFILE%\Documents\GitHub\eaglep3\Utilities\DownloadLogsFromS3.py --loco 4054 --day 2017-03-15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</row>
    <row r="209" spans="1:40" x14ac:dyDescent="0.25">
      <c r="A209" s="33" t="s">
        <v>789</v>
      </c>
      <c r="B209" s="7">
        <v>4002</v>
      </c>
      <c r="C209" s="21" t="s">
        <v>230</v>
      </c>
      <c r="D209" s="21" t="s">
        <v>918</v>
      </c>
      <c r="E209" s="13">
        <v>42809.798611111109</v>
      </c>
      <c r="F209" s="13">
        <v>42809.799884259257</v>
      </c>
      <c r="G209" s="7">
        <v>1</v>
      </c>
      <c r="H209" s="21" t="s">
        <v>442</v>
      </c>
      <c r="I209" s="13">
        <v>42809.807337962964</v>
      </c>
      <c r="J209" s="7">
        <v>0</v>
      </c>
      <c r="K209" s="98" t="str">
        <f t="shared" si="147"/>
        <v>4001/4002</v>
      </c>
      <c r="L209" s="21" t="str">
        <f>VLOOKUP(A209,'Trips&amp;Operators'!$C$1:$G$99999,5,FALSE)</f>
        <v>MOSES BRADLEY</v>
      </c>
      <c r="M209" s="6">
        <f t="shared" si="148"/>
        <v>7.4537037071422674E-3</v>
      </c>
      <c r="N209" s="7">
        <f t="shared" si="149"/>
        <v>10.733333338284865</v>
      </c>
      <c r="O209" s="7"/>
      <c r="P209" s="7"/>
      <c r="Q209" s="22"/>
      <c r="R209" s="22"/>
      <c r="S209" s="31">
        <f t="shared" si="146"/>
        <v>1</v>
      </c>
      <c r="T209" s="46" t="str">
        <f t="shared" si="150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158"/>
        <v>https://d0f6bd738d7f1b3e5a7ca70fe4ff75f0.us-east-1.aws.found.io/app/kibana#/discover/Steve-Slow-Train-Analysis-(2080s-and-2083s)?_g=(refreshInterval:(display:Off,pause:!f,section:0,value:0),time:(from:'2017-03-15T18:10:00-0600',mode:absolute,to:'2017-03-15T20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87" t="str">
        <f t="shared" si="151"/>
        <v>Y</v>
      </c>
      <c r="X209" s="187">
        <f t="shared" si="157"/>
        <v>1</v>
      </c>
      <c r="Y209" s="62">
        <f t="shared" si="152"/>
        <v>4.8899999999999999E-2</v>
      </c>
      <c r="Z209" s="62">
        <f t="shared" si="153"/>
        <v>2.3346</v>
      </c>
      <c r="AA209" s="62">
        <f t="shared" si="154"/>
        <v>2.2856999999999998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55"/>
        <v>0305-15</v>
      </c>
      <c r="AE209" s="85" t="str">
        <f t="shared" si="159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209" s="82" t="str">
        <f t="shared" si="160"/>
        <v>"C:\Program Files (x86)\AstroGrep\AstroGrep.exe" /e /r /s /spath="%USERPROFILE%\AppData\Local\Temp\OnboardLogs" /stypes="app*4002*20170316*" /stext=" 01:.+((SYSTEM_STATE.+slice.+state.+changed )|(ment ac)|(multiple cpu faults)|(system.+state.+changed )|(\[timeout)|(PRM\|1\|D)|(kpr)|(kdp)|(\|lc)|(penalty))"</v>
      </c>
      <c r="AG209" s="1" t="str">
        <f t="shared" si="156"/>
        <v>Other</v>
      </c>
      <c r="AH209" s="86" t="str">
        <f t="shared" si="131"/>
        <v>"%USERPROFILE%\Documents\GitHub\eaglep3\Utilities\RefineRTDCRunTimes.py" --tripid 305-15 --locoid 4002 --swversion DE.1.0.9.0 --startMP 204:489 --initTime 2017-03-15T19:10:00 --startdatetime 2017-03-15T19:11:50 --delay 1 --endMP 300:23346 --enddatetime 2017-03-15T19:22:34 --enforcementcount 0 &gt;&gt;C:\Users\stu\Documents\GitHub\eaglep3-reporting\EC\2017-03-15-refined-times.txt</v>
      </c>
      <c r="AI209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{"issue":{"subject":"","project_id":79,"tracker_id":40,"status_id":1,"priority_id":2,"assigned_to_id":23,"start_date":"2017-03-15","description":"","custom_fields":[{"id":1,"name":"Subdivision","value":"Other"},{"id":4,"name":"Milepost","value":"2.3346"},{"id":17,"name":"Train ID","value":"305-15"},{"id":16,"name":"Locomotive ID","value":"4002"},{"id":130,"name":"Impact","value":""},{"id":150,"name":"Time of Event (Mountain Time)","value":"19:22:34"},{"id":151,"name":"Denver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33"/>
        <v>start /low /b %USERPROFILE%\Documents\GitHub\eaglep3\Utilities\DownloadLogsFromS3.py --loco 4002 --day 2017-03-15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2017-03-15-UncaughtWiMAX.txt</v>
      </c>
    </row>
    <row r="210" spans="1:40" x14ac:dyDescent="0.25">
      <c r="A210" s="33" t="s">
        <v>633</v>
      </c>
      <c r="B210" s="7">
        <v>4001</v>
      </c>
      <c r="C210" s="21" t="s">
        <v>230</v>
      </c>
      <c r="D210" s="21" t="s">
        <v>919</v>
      </c>
      <c r="E210" s="13">
        <v>42809.16337962963</v>
      </c>
      <c r="F210" s="13">
        <v>42809.167025462964</v>
      </c>
      <c r="G210" s="7">
        <v>5</v>
      </c>
      <c r="H210" s="21" t="s">
        <v>828</v>
      </c>
      <c r="I210" s="13">
        <v>42809.172002314815</v>
      </c>
      <c r="J210" s="7">
        <v>0</v>
      </c>
      <c r="K210" s="98" t="str">
        <f t="shared" si="147"/>
        <v>4001/4002</v>
      </c>
      <c r="L210" s="21" t="str">
        <f>VLOOKUP(A210,'Trips&amp;Operators'!$C$1:$G$99999,5,FALSE)</f>
        <v>GEBRETEKLE DAGNEW</v>
      </c>
      <c r="M210" s="6">
        <f t="shared" si="148"/>
        <v>4.9768518510973081E-3</v>
      </c>
      <c r="N210" s="7">
        <f t="shared" si="149"/>
        <v>7.1666666655801237</v>
      </c>
      <c r="O210" s="7"/>
      <c r="P210" s="7"/>
      <c r="Q210" s="22"/>
      <c r="R210" s="22"/>
      <c r="S210" s="31">
        <f t="shared" si="146"/>
        <v>1</v>
      </c>
      <c r="T210" s="46" t="str">
        <f t="shared" si="150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158"/>
        <v>https://d0f6bd738d7f1b3e5a7ca70fe4ff75f0.us-east-1.aws.found.io/app/kibana#/discover/Steve-Slow-Train-Analysis-(2080s-and-2083s)?_g=(refreshInterval:(display:Off,pause:!f,section:0,value:0),time:(from:'2017-03-15T02:55:16-0600',mode:absolute,to:'2017-03-15T05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0" s="187" t="str">
        <f t="shared" si="151"/>
        <v>Y</v>
      </c>
      <c r="X210" s="187">
        <f t="shared" si="157"/>
        <v>1</v>
      </c>
      <c r="Y210" s="62">
        <f t="shared" si="152"/>
        <v>2.3531</v>
      </c>
      <c r="Z210" s="62">
        <f t="shared" si="153"/>
        <v>1.14E-2</v>
      </c>
      <c r="AA210" s="62">
        <f t="shared" si="154"/>
        <v>2.3416999999999999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55"/>
        <v>0306-15</v>
      </c>
      <c r="AE210" s="85" t="str">
        <f t="shared" si="159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210" s="82" t="str">
        <f t="shared" si="160"/>
        <v>"C:\Program Files (x86)\AstroGrep\AstroGrep.exe" /e /r /s /spath="%USERPROFILE%\AppData\Local\Temp\OnboardLogs" /stypes="app*4001*20170315*" /stext=" 10:.+((SYSTEM_STATE.+slice.+state.+changed )|(ment ac)|(multiple cpu faults)|(system.+state.+changed )|(\[timeout)|(PRM\|1\|D)|(kpr)|(kdp)|(\|lc)|(penalty))"</v>
      </c>
      <c r="AG210" s="1" t="str">
        <f t="shared" si="156"/>
        <v>Other</v>
      </c>
      <c r="AH210" s="86" t="str">
        <f t="shared" ref="AH210:AH236" si="161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306-15 --locoid 4001 --swversion DE.1.0.9.0 --startMP 300:23531 --initTime 2017-03-15T03:55:16 --startdatetime 2017-03-15T04:00:31 --delay 5 --endMP 204:114 --enddatetime 2017-03-15T04:07:41 --enforcementcount 0 &gt;&gt;C:\Users\stu\Documents\GitHub\eaglep3-reporting\EC\2017-03-15-refined-times.txt</v>
      </c>
      <c r="AI210" s="108" t="str">
        <f t="shared" ref="AI210:AI236" si="162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{"issue":{"subject":"","project_id":79,"tracker_id":40,"status_id":1,"priority_id":2,"assigned_to_id":23,"start_date":"2017-03-15","description":"","custom_fields":[{"id":1,"name":"Subdivision","value":"Other"},{"id":4,"name":"Milepost","value":"0.0114"},{"id":17,"name":"Train ID","value":"306-15"},{"id":16,"name":"Locomotive ID","value":"4001"},{"id":130,"name":"Impact","value":""},{"id":150,"name":"Time of Event (Mountain Time)","value":"04:07:41"},{"id":151,"name":"Denver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ref="AM210:AM236" si="163">"start /low /b "&amp;dls3logs&amp;" --loco "&amp;B210&amp;" --day "&amp;TEXT(F210,"YYYY-MM-DD")</f>
        <v>start /low /b %USERPROFILE%\Documents\GitHub\eaglep3\Utilities\DownloadLogsFromS3.py --loco 4001 --day 2017-03-15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</row>
    <row r="211" spans="1:40" x14ac:dyDescent="0.25">
      <c r="A211" s="33" t="s">
        <v>794</v>
      </c>
      <c r="B211" s="7">
        <v>4040</v>
      </c>
      <c r="C211" s="21" t="s">
        <v>230</v>
      </c>
      <c r="D211" s="21" t="s">
        <v>429</v>
      </c>
      <c r="E211" s="13">
        <v>42809.819490740738</v>
      </c>
      <c r="F211" s="13">
        <v>42809.820706018516</v>
      </c>
      <c r="G211" s="7">
        <v>1</v>
      </c>
      <c r="H211" s="21" t="s">
        <v>562</v>
      </c>
      <c r="I211" s="13">
        <v>42809.827268518522</v>
      </c>
      <c r="J211" s="7">
        <v>0</v>
      </c>
      <c r="K211" s="98" t="str">
        <f t="shared" si="147"/>
        <v>4039/4040</v>
      </c>
      <c r="L211" s="21" t="str">
        <f>VLOOKUP(A211,'Trips&amp;Operators'!$C$1:$G$99999,5,FALSE)</f>
        <v>DELGADO DIANAH</v>
      </c>
      <c r="M211" s="6">
        <f t="shared" si="148"/>
        <v>6.5625000061118044E-3</v>
      </c>
      <c r="N211" s="7">
        <f t="shared" si="149"/>
        <v>9.4500000088009983</v>
      </c>
      <c r="O211" s="7"/>
      <c r="P211" s="7"/>
      <c r="Q211" s="22"/>
      <c r="R211" s="22"/>
      <c r="S211" s="31">
        <f t="shared" si="146"/>
        <v>1</v>
      </c>
      <c r="T211" s="46" t="str">
        <f t="shared" si="150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158"/>
        <v>https://d0f6bd738d7f1b3e5a7ca70fe4ff75f0.us-east-1.aws.found.io/app/kibana#/discover/Steve-Slow-Train-Analysis-(2080s-and-2083s)?_g=(refreshInterval:(display:Off,pause:!f,section:0,value:0),time:(from:'2017-03-15T18:40:04-0600',mode:absolute,to:'2017-03-15T20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7" t="str">
        <f t="shared" si="151"/>
        <v>Y</v>
      </c>
      <c r="X211" s="187">
        <f t="shared" si="157"/>
        <v>1</v>
      </c>
      <c r="Y211" s="62">
        <f t="shared" si="152"/>
        <v>4.6399999999999997E-2</v>
      </c>
      <c r="Z211" s="62">
        <f t="shared" si="153"/>
        <v>2.331</v>
      </c>
      <c r="AA211" s="62">
        <f t="shared" si="154"/>
        <v>2.2846000000000002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55"/>
        <v>0307-15</v>
      </c>
      <c r="AE211" s="85" t="str">
        <f t="shared" si="159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211" s="82" t="str">
        <f t="shared" si="160"/>
        <v>"C:\Program Files (x86)\AstroGrep\AstroGrep.exe" /e /r /s /spath="%USERPROFILE%\AppData\Local\Temp\OnboardLogs" /stypes="app*4040*20170316*" /stext=" 01:.+((SYSTEM_STATE.+slice.+state.+changed )|(ment ac)|(multiple cpu faults)|(system.+state.+changed )|(\[timeout)|(PRM\|1\|D)|(kpr)|(kdp)|(\|lc)|(penalty))"</v>
      </c>
      <c r="AG211" s="1" t="str">
        <f t="shared" si="156"/>
        <v>Other</v>
      </c>
      <c r="AH211" s="86" t="str">
        <f t="shared" si="161"/>
        <v>"%USERPROFILE%\Documents\GitHub\eaglep3\Utilities\RefineRTDCRunTimes.py" --tripid 307-15 --locoid 4040 --swversion DE.1.0.9.0 --startMP 204:464 --initTime 2017-03-15T19:40:04 --startdatetime 2017-03-15T19:41:49 --delay 1 --endMP 300:23310 --enddatetime 2017-03-15T19:51:16 --enforcementcount 0 &gt;&gt;C:\Users\stu\Documents\GitHub\eaglep3-reporting\EC\2017-03-15-refined-times.txt</v>
      </c>
      <c r="AI21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{"issue":{"subject":"","project_id":79,"tracker_id":40,"status_id":1,"priority_id":2,"assigned_to_id":23,"start_date":"2017-03-15","description":"","custom_fields":[{"id":1,"name":"Subdivision","value":"Other"},{"id":4,"name":"Milepost","value":"2.331"},{"id":17,"name":"Train ID","value":"307-15"},{"id":16,"name":"Locomotive ID","value":"4040"},{"id":130,"name":"Impact","value":""},{"id":150,"name":"Time of Event (Mountain Time)","value":"19:51:16"},{"id":151,"name":"Denver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63"/>
        <v>start /low /b %USERPROFILE%\Documents\GitHub\eaglep3\Utilities\DownloadLogsFromS3.py --loco 4040 --day 2017-03-15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2017-03-15-UncaughtWiMAX.txt</v>
      </c>
    </row>
    <row r="212" spans="1:40" x14ac:dyDescent="0.25">
      <c r="A212" s="33" t="s">
        <v>637</v>
      </c>
      <c r="B212" s="7">
        <v>4012</v>
      </c>
      <c r="C212" s="21" t="s">
        <v>230</v>
      </c>
      <c r="D212" s="21" t="s">
        <v>920</v>
      </c>
      <c r="E212" s="13">
        <v>42809.174074074072</v>
      </c>
      <c r="F212" s="13">
        <v>42809.177129629628</v>
      </c>
      <c r="G212" s="7">
        <v>4</v>
      </c>
      <c r="H212" s="21" t="s">
        <v>201</v>
      </c>
      <c r="I212" s="13">
        <v>42809.182870370372</v>
      </c>
      <c r="J212" s="7">
        <v>0</v>
      </c>
      <c r="K212" s="98" t="str">
        <f t="shared" si="147"/>
        <v>4011/4012</v>
      </c>
      <c r="L212" s="21" t="str">
        <f>VLOOKUP(A212,'Trips&amp;Operators'!$C$1:$G$99999,5,FALSE)</f>
        <v>GUZMAN DANNY</v>
      </c>
      <c r="M212" s="6">
        <f t="shared" si="148"/>
        <v>5.7407407439313829E-3</v>
      </c>
      <c r="N212" s="7">
        <f t="shared" si="149"/>
        <v>8.2666666712611914</v>
      </c>
      <c r="O212" s="7"/>
      <c r="P212" s="7"/>
      <c r="Q212" s="22"/>
      <c r="R212" s="22"/>
      <c r="S212" s="31">
        <f t="shared" si="146"/>
        <v>1</v>
      </c>
      <c r="T212" s="46" t="str">
        <f t="shared" si="150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158"/>
        <v>https://d0f6bd738d7f1b3e5a7ca70fe4ff75f0.us-east-1.aws.found.io/app/kibana#/discover/Steve-Slow-Train-Analysis-(2080s-and-2083s)?_g=(refreshInterval:(display:Off,pause:!f,section:0,value:0),time:(from:'2017-03-15T03:10:40-0600',mode:absolute,to:'2017-03-15T05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7" t="str">
        <f t="shared" si="151"/>
        <v>Y</v>
      </c>
      <c r="X212" s="187">
        <f t="shared" si="157"/>
        <v>1</v>
      </c>
      <c r="Y212" s="62">
        <f t="shared" si="152"/>
        <v>2.3626999999999998</v>
      </c>
      <c r="Z212" s="62">
        <f t="shared" si="153"/>
        <v>1.52E-2</v>
      </c>
      <c r="AA212" s="62">
        <f t="shared" si="154"/>
        <v>2.3474999999999997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55"/>
        <v>0308-15</v>
      </c>
      <c r="AE212" s="85" t="str">
        <f t="shared" si="15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212" s="82" t="str">
        <f t="shared" si="160"/>
        <v>"C:\Program Files (x86)\AstroGrep\AstroGrep.exe" /e /r /s /spath="%USERPROFILE%\AppData\Local\Temp\OnboardLogs" /stypes="app*4012*20170315*" /stext=" 10:.+((SYSTEM_STATE.+slice.+state.+changed )|(ment ac)|(multiple cpu faults)|(system.+state.+changed )|(\[timeout)|(PRM\|1\|D)|(kpr)|(kdp)|(\|lc)|(penalty))"</v>
      </c>
      <c r="AG212" s="1" t="str">
        <f t="shared" si="156"/>
        <v>Other</v>
      </c>
      <c r="AH212" s="86" t="str">
        <f t="shared" si="161"/>
        <v>"%USERPROFILE%\Documents\GitHub\eaglep3\Utilities\RefineRTDCRunTimes.py" --tripid 308-15 --locoid 4012 --swversion DE.1.0.9.0 --startMP 300:23627 --initTime 2017-03-15T04:10:40 --startdatetime 2017-03-15T04:15:04 --delay 4 --endMP 204:152 --enddatetime 2017-03-15T04:23:20 --enforcementcount 0 &gt;&gt;C:\Users\stu\Documents\GitHub\eaglep3-reporting\EC\2017-03-15-refined-times.txt</v>
      </c>
      <c r="AI21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{"issue":{"subject":"","project_id":79,"tracker_id":40,"status_id":1,"priority_id":2,"assigned_to_id":23,"start_date":"2017-03-15","description":"","custom_fields":[{"id":1,"name":"Subdivision","value":"Other"},{"id":4,"name":"Milepost","value":"0.0152"},{"id":17,"name":"Train ID","value":"308-15"},{"id":16,"name":"Locomotive ID","value":"4012"},{"id":130,"name":"Impact","value":""},{"id":150,"name":"Time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63"/>
        <v>start /low /b %USERPROFILE%\Documents\GitHub\eaglep3\Utilities\DownloadLogsFromS3.py --loco 4012 --day 2017-03-15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</row>
    <row r="213" spans="1:40" x14ac:dyDescent="0.25">
      <c r="A213" s="33" t="s">
        <v>624</v>
      </c>
      <c r="B213" s="7">
        <v>4051</v>
      </c>
      <c r="C213" s="21" t="s">
        <v>230</v>
      </c>
      <c r="D213" s="21" t="s">
        <v>921</v>
      </c>
      <c r="E213" s="13">
        <v>42810.048437500001</v>
      </c>
      <c r="F213" s="13">
        <v>42810.05027777778</v>
      </c>
      <c r="G213" s="7">
        <v>1</v>
      </c>
      <c r="H213" s="21" t="s">
        <v>922</v>
      </c>
      <c r="I213" s="13">
        <v>42810.059513888889</v>
      </c>
      <c r="J213" s="7">
        <v>0</v>
      </c>
      <c r="K213" s="98" t="str">
        <f t="shared" si="147"/>
        <v>4051/4052</v>
      </c>
      <c r="L213" s="21" t="str">
        <f>VLOOKUP(A213,'Trips&amp;Operators'!$C$1:$G$99999,5,FALSE)</f>
        <v>MENGES BRAD</v>
      </c>
      <c r="M213" s="6">
        <f t="shared" si="148"/>
        <v>9.2361111092031933E-3</v>
      </c>
      <c r="N213" s="7">
        <f t="shared" si="149"/>
        <v>13.299999997252598</v>
      </c>
      <c r="O213" s="7"/>
      <c r="P213" s="7"/>
      <c r="Q213" s="22"/>
      <c r="R213" s="22"/>
      <c r="S213" s="31">
        <f t="shared" si="146"/>
        <v>1</v>
      </c>
      <c r="T213" s="46" t="str">
        <f t="shared" si="150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158"/>
        <v>https://d0f6bd738d7f1b3e5a7ca70fe4ff75f0.us-east-1.aws.found.io/app/kibana#/discover/Steve-Slow-Train-Analysis-(2080s-and-2083s)?_g=(refreshInterval:(display:Off,pause:!f,section:0,value:0),time:(from:'2017-03-16T00:09:45-0600',mode:absolute,to:'2017-03-16T02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187" t="str">
        <f t="shared" si="151"/>
        <v>Y</v>
      </c>
      <c r="X213" s="187">
        <f t="shared" si="157"/>
        <v>1</v>
      </c>
      <c r="Y213" s="62">
        <f t="shared" si="152"/>
        <v>4.9500000000000002E-2</v>
      </c>
      <c r="Z213" s="62">
        <f t="shared" si="153"/>
        <v>2.3313999999999999</v>
      </c>
      <c r="AA213" s="62">
        <f t="shared" si="154"/>
        <v>2.2818999999999998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55"/>
        <v>0309-15</v>
      </c>
      <c r="AE213" s="85" t="str">
        <f t="shared" si="159"/>
        <v>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 &amp; aws s3 cp s3://rtdc.mdm.uploadarchive.raw/RTDC4051/ "%USERPROFILE%\AppData\Local\Temp\OnboardLogs"\RTDC4051\2017-03-17 --exclude "*" --recursive --include "*20170317*" &amp; "%USERPROFILE%\Documents\GitHub\mrs-test-scripts\Headless Mode &amp; Sideloading\WalkAndUnGZ.bat" "%USERPROFILE%\AppData\Local\Temp\OnboardLogs"\RTDC4051\2017-03-17</v>
      </c>
      <c r="AF213" s="82" t="str">
        <f t="shared" si="160"/>
        <v>"C:\Program Files (x86)\AstroGrep\AstroGrep.exe" /e /r /s /spath="%USERPROFILE%\AppData\Local\Temp\OnboardLogs" /stypes="app*4051*20170316*" /stext=" 07:.+((SYSTEM_STATE.+slice.+state.+changed )|(ment ac)|(multiple cpu faults)|(system.+state.+changed )|(\[timeout)|(PRM\|1\|D)|(kpr)|(kdp)|(\|lc)|(penalty))"</v>
      </c>
      <c r="AG213" s="1" t="str">
        <f t="shared" si="156"/>
        <v>Other</v>
      </c>
      <c r="AH213" s="86" t="str">
        <f t="shared" si="161"/>
        <v>"%USERPROFILE%\Documents\GitHub\eaglep3\Utilities\RefineRTDCRunTimes.py" --tripid 309-15 --locoid 4051 --swversion DE.1.0.9.0 --startMP 204:495 --initTime 2017-03-16T01:09:45 --startdatetime 2017-03-16T01:12:24 --delay 1 --endMP 300:23314 --enddatetime 2017-03-16T01:25:42 --enforcementcount 0 &gt;&gt;C:\Users\stu\Documents\GitHub\eaglep3-reporting\EC\2017-03-15-refined-times.txt</v>
      </c>
      <c r="AI213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{"issue":{"subject":"","project_id":79,"tracker_id":40,"status_id":1,"priority_id":2,"assigned_to_id":23,"start_date":"2017-03-16","description":"","custom_fields":[{"id":1,"name":"Subdivision","value":"Other"},{"id":4,"name":"Milepost","value":"2.3314"},{"id":17,"name":"Train ID","value":"309-15"},{"id":16,"name":"Locomotive ID","value":"4051"},{"id":130,"name":"Impact","value":""},{"id":150,"name":"Time of Event (Mountain Time)","value":"01:25:42"},{"id":151,"name":"Denver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63"/>
        <v>start /low /b %USERPROFILE%\Documents\GitHub\eaglep3\Utilities\DownloadLogsFromS3.py --loco 4051 --day 2017-03-16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</row>
    <row r="214" spans="1:40" x14ac:dyDescent="0.25">
      <c r="A214" s="33" t="s">
        <v>640</v>
      </c>
      <c r="B214" s="7">
        <v>4052</v>
      </c>
      <c r="C214" s="21" t="s">
        <v>230</v>
      </c>
      <c r="D214" s="21" t="s">
        <v>923</v>
      </c>
      <c r="E214" s="13">
        <v>42809.185428240744</v>
      </c>
      <c r="F214" s="13">
        <v>42809.189016203702</v>
      </c>
      <c r="G214" s="7">
        <v>4</v>
      </c>
      <c r="H214" s="21" t="s">
        <v>549</v>
      </c>
      <c r="I214" s="13">
        <v>42809.193287037036</v>
      </c>
      <c r="J214" s="7">
        <v>0</v>
      </c>
      <c r="K214" s="98" t="str">
        <f t="shared" si="147"/>
        <v>4051/4052</v>
      </c>
      <c r="L214" s="21" t="str">
        <f>VLOOKUP(A214,'Trips&amp;Operators'!$C$1:$G$99999,5,FALSE)</f>
        <v>SANTIZO D. EDY</v>
      </c>
      <c r="M214" s="6">
        <f t="shared" si="148"/>
        <v>4.2708333348855376E-3</v>
      </c>
      <c r="N214" s="7">
        <f t="shared" si="149"/>
        <v>6.1500000022351742</v>
      </c>
      <c r="O214" s="7"/>
      <c r="P214" s="7"/>
      <c r="Q214" s="22"/>
      <c r="R214" s="22"/>
      <c r="S214" s="31">
        <f t="shared" si="146"/>
        <v>1</v>
      </c>
      <c r="T214" s="46" t="str">
        <f t="shared" si="150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158"/>
        <v>https://d0f6bd738d7f1b3e5a7ca70fe4ff75f0.us-east-1.aws.found.io/app/kibana#/discover/Steve-Slow-Train-Analysis-(2080s-and-2083s)?_g=(refreshInterval:(display:Off,pause:!f,section:0,value:0),time:(from:'2017-03-15T03:27:01-0600',mode:absolute,to:'2017-03-15T05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4" s="187" t="str">
        <f t="shared" si="151"/>
        <v>Y</v>
      </c>
      <c r="X214" s="187">
        <f t="shared" si="157"/>
        <v>1</v>
      </c>
      <c r="Y214" s="62">
        <f t="shared" si="152"/>
        <v>1.9314</v>
      </c>
      <c r="Z214" s="62">
        <f t="shared" si="153"/>
        <v>1.67E-2</v>
      </c>
      <c r="AA214" s="62">
        <f t="shared" si="154"/>
        <v>1.9147000000000001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55"/>
        <v>0310-15</v>
      </c>
      <c r="AE214" s="85" t="str">
        <f t="shared" si="159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214" s="82" t="str">
        <f t="shared" si="160"/>
        <v>"C:\Program Files (x86)\AstroGrep\AstroGrep.exe" /e /r /s /spath="%USERPROFILE%\AppData\Local\Temp\OnboardLogs" /stypes="app*4052*20170315*" /stext=" 10:.+((SYSTEM_STATE.+slice.+state.+changed )|(ment ac)|(multiple cpu faults)|(system.+state.+changed )|(\[timeout)|(PRM\|1\|D)|(kpr)|(kdp)|(\|lc)|(penalty))"</v>
      </c>
      <c r="AG214" s="1" t="str">
        <f t="shared" si="156"/>
        <v>Other</v>
      </c>
      <c r="AH214" s="86" t="str">
        <f t="shared" si="161"/>
        <v>"%USERPROFILE%\Documents\GitHub\eaglep3\Utilities\RefineRTDCRunTimes.py" --tripid 310-15 --locoid 4052 --swversion DE.1.0.9.0 --startMP 300:19314 --initTime 2017-03-15T04:27:01 --startdatetime 2017-03-15T04:32:11 --delay 4 --endMP 204:167 --enddatetime 2017-03-15T04:38:20 --enforcementcount 0 &gt;&gt;C:\Users\stu\Documents\GitHub\eaglep3-reporting\EC\2017-03-15-refined-times.txt</v>
      </c>
      <c r="AI21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{"issue":{"subject":"","project_id":79,"tracker_id":40,"status_id":1,"priority_id":2,"assigned_to_id":23,"start_date":"2017-03-15","description":"","custom_fields":[{"id":1,"name":"Subdivision","value":"Other"},{"id":4,"name":"Milepost","value":"0.0167"},{"id":17,"name":"Train ID","value":"310-15"},{"id":16,"name":"Locomotive ID","value":"4052"},{"id":130,"name":"Impact","value":""},{"id":150,"name":"Time of Event (Mountain Time)","value":"04:38:20"},{"id":151,"name":"Denver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63"/>
        <v>start /low /b %USERPROFILE%\Documents\GitHub\eaglep3\Utilities\DownloadLogsFromS3.py --loco 4052 --day 2017-03-15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</row>
    <row r="215" spans="1:40" x14ac:dyDescent="0.25">
      <c r="A215" s="33" t="s">
        <v>821</v>
      </c>
      <c r="B215" s="7">
        <v>4020</v>
      </c>
      <c r="C215" s="21" t="s">
        <v>230</v>
      </c>
      <c r="D215" s="21" t="s">
        <v>210</v>
      </c>
      <c r="E215" s="13">
        <v>42810.068472222221</v>
      </c>
      <c r="F215" s="13">
        <v>42810.07402777778</v>
      </c>
      <c r="G215" s="7">
        <v>3</v>
      </c>
      <c r="H215" s="21" t="s">
        <v>442</v>
      </c>
      <c r="I215" s="13">
        <v>25568.708333333332</v>
      </c>
      <c r="J215" s="7">
        <v>0</v>
      </c>
      <c r="K215" s="98" t="str">
        <f t="shared" si="147"/>
        <v>4019/4020</v>
      </c>
      <c r="L215" s="21" t="str">
        <f>VLOOKUP(A215,'Trips&amp;Operators'!$C$1:$G$99999,5,FALSE)</f>
        <v>BROWN JACOB</v>
      </c>
      <c r="M215" s="6">
        <f t="shared" si="148"/>
        <v>-17241.365694444448</v>
      </c>
      <c r="N215" s="7">
        <f t="shared" si="149"/>
        <v>-24827566.600000005</v>
      </c>
      <c r="O215" s="7"/>
      <c r="P215" s="7"/>
      <c r="Q215" s="22"/>
      <c r="R215" s="22"/>
      <c r="S215" s="31">
        <f t="shared" si="146"/>
        <v>1</v>
      </c>
      <c r="T215" s="46" t="str">
        <f t="shared" si="150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158"/>
        <v>https://d0f6bd738d7f1b3e5a7ca70fe4ff75f0.us-east-1.aws.found.io/app/kibana#/discover/Steve-Slow-Train-Analysis-(2080s-and-2083s)?_g=(refreshInterval:(display:Off,pause:!f,section:0,value:0),time:(from:'2017-03-16T00:38:36-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7" t="str">
        <f t="shared" si="151"/>
        <v>Y</v>
      </c>
      <c r="X215" s="187">
        <f t="shared" si="157"/>
        <v>1</v>
      </c>
      <c r="Y215" s="62">
        <f t="shared" si="152"/>
        <v>4.5699999999999998E-2</v>
      </c>
      <c r="Z215" s="62">
        <f t="shared" si="153"/>
        <v>2.3346</v>
      </c>
      <c r="AA215" s="62">
        <f t="shared" si="154"/>
        <v>2.2888999999999999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55"/>
        <v>0311-15</v>
      </c>
      <c r="AE215" s="85" t="str">
        <f t="shared" si="159"/>
        <v>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 &amp; 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</v>
      </c>
      <c r="AF215" s="82" t="str">
        <f t="shared" si="160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15" s="1" t="str">
        <f t="shared" si="156"/>
        <v>Other</v>
      </c>
      <c r="AH215" s="86" t="str">
        <f t="shared" si="161"/>
        <v>"%USERPROFILE%\Documents\GitHub\eaglep3\Utilities\RefineRTDCRunTimes.py" --tripid 311-15 --locoid 4020 --swversion DE.1.0.9.0 --startMP 204:457 --initTime 2017-03-16T01:38:36 --startdatetime 2017-03-16T01:46:36 --delay 3 --endMP 300:23346 --enddatetime 1969-12-31T17:00:00 --enforcementcount 0 &gt;&gt;C:\Users\stu\Documents\GitHub\eaglep3-reporting\EC\2017-03-15-refined-times.txt</v>
      </c>
      <c r="AI215" s="108" t="str">
        <f t="shared" si="16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63"/>
        <v>start /low /b %USERPROFILE%\Documents\GitHub\eaglep3\Utilities\DownloadLogsFromS3.py --loco 4020 --day 2017-03-16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"%USERPROFILE%\AppData\Local\Temp\OnboardLogs"\RTDC4020\*4020*19930808* | grep -SE "(Enforcement Action)|(\[TIMEOUT)|(CHR.+\|PRM\|1\|D.+(SWITCH|SIGNAL).+UNKNOWN)" - &gt;&gt; 2017-03-15-UncaughtWiMAX.txt</v>
      </c>
    </row>
    <row r="216" spans="1:40" x14ac:dyDescent="0.25">
      <c r="A216" s="33" t="s">
        <v>526</v>
      </c>
      <c r="B216" s="7">
        <v>4031</v>
      </c>
      <c r="C216" s="21" t="s">
        <v>230</v>
      </c>
      <c r="D216" s="21" t="s">
        <v>553</v>
      </c>
      <c r="E216" s="13">
        <v>42809.088449074072</v>
      </c>
      <c r="F216" s="13">
        <v>42809.090914351851</v>
      </c>
      <c r="G216" s="7">
        <v>2</v>
      </c>
      <c r="H216" s="21" t="s">
        <v>442</v>
      </c>
      <c r="I216" s="13">
        <v>25568.708333333332</v>
      </c>
      <c r="J216" s="7">
        <v>0</v>
      </c>
      <c r="K216" s="98" t="str">
        <f t="shared" si="147"/>
        <v>4031/4032</v>
      </c>
      <c r="L216" s="21" t="str">
        <f>VLOOKUP(A216,'Trips&amp;Operators'!$C$1:$G$99999,5,FALSE)</f>
        <v>STAMBAUGH JAMES</v>
      </c>
      <c r="M216" s="6">
        <f t="shared" si="148"/>
        <v>-17240.382581018519</v>
      </c>
      <c r="N216" s="7">
        <f t="shared" si="149"/>
        <v>-24826150.916666668</v>
      </c>
      <c r="O216" s="7"/>
      <c r="P216" s="7"/>
      <c r="Q216" s="22"/>
      <c r="R216" s="22"/>
      <c r="S216" s="31">
        <f t="shared" si="146"/>
        <v>1</v>
      </c>
      <c r="T216" s="46" t="str">
        <f t="shared" si="150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158"/>
        <v>https://d0f6bd738d7f1b3e5a7ca70fe4ff75f0.us-east-1.aws.found.io/app/kibana#/discover/Steve-Slow-Train-Analysis-(2080s-and-2083s)?_g=(refreshInterval:(display:Off,pause:!f,section:0,value:0),time:(from:'2017-03-15T01:07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7" t="str">
        <f t="shared" si="151"/>
        <v>Y</v>
      </c>
      <c r="X216" s="187">
        <f t="shared" si="157"/>
        <v>2</v>
      </c>
      <c r="Y216" s="62">
        <f t="shared" si="152"/>
        <v>0.12859999999999999</v>
      </c>
      <c r="Z216" s="62">
        <f t="shared" si="153"/>
        <v>2.3346</v>
      </c>
      <c r="AA216" s="62">
        <f t="shared" si="154"/>
        <v>2.206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55"/>
        <v>0313-14</v>
      </c>
      <c r="AE216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16" s="82" t="str">
        <f t="shared" si="160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)|(\[timeout)|(PRM\|1\|D)|(kpr)|(kdp)|(\|lc)|(penalty))"</v>
      </c>
      <c r="AG216" s="1" t="str">
        <f t="shared" si="156"/>
        <v>Other</v>
      </c>
      <c r="AH216" s="86" t="str">
        <f t="shared" si="161"/>
        <v>"%USERPROFILE%\Documents\GitHub\eaglep3\Utilities\RefineRTDCRunTimes.py" --tripid 313-14 --locoid 4031 --swversion DE.1.0.9.0 --startMP 204:1286 --initTime 2017-03-15T02:07:22 --startdatetime 2017-03-15T02:10:55 --delay 2 --endMP 300:23346 --enddatetime 1969-12-31T17:00:00 --enforcementcount 0 &gt;&gt;C:\Users\stu\Documents\GitHub\eaglep3-reporting\EC\2017-03-15-refined-times.txt</v>
      </c>
      <c r="AI216" s="108" t="str">
        <f t="shared" si="16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63"/>
        <v>start /low /b %USERPROFILE%\Documents\GitHub\eaglep3\Utilities\DownloadLogsFromS3.py --loco 4031 --day 2017-03-15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"%USERPROFILE%\AppData\Local\Temp\OnboardLogs"\RTDC4031\*4031*19930808* | grep -SE "(Enforcement Action)|(\[TIMEOUT)|(CHR.+\|PRM\|1\|D.+(SWITCH|SIGNAL).+UNKNOWN)" - &gt;&gt; 2017-03-15-UncaughtWiMAX.txt</v>
      </c>
    </row>
    <row r="217" spans="1:40" x14ac:dyDescent="0.25">
      <c r="A217" s="33" t="s">
        <v>822</v>
      </c>
      <c r="B217" s="7">
        <v>4053</v>
      </c>
      <c r="C217" s="21" t="s">
        <v>230</v>
      </c>
      <c r="D217" s="21" t="s">
        <v>441</v>
      </c>
      <c r="E217" s="13">
        <v>42810.090960648151</v>
      </c>
      <c r="F217" s="13">
        <v>42810.092175925929</v>
      </c>
      <c r="G217" s="7">
        <v>1</v>
      </c>
      <c r="H217" s="21" t="s">
        <v>552</v>
      </c>
      <c r="I217" s="13">
        <v>42810.097800925927</v>
      </c>
      <c r="J217" s="7">
        <v>0</v>
      </c>
      <c r="K217" s="98" t="str">
        <f t="shared" si="147"/>
        <v>4053/4054</v>
      </c>
      <c r="L217" s="21" t="str">
        <f>VLOOKUP(A217,'Trips&amp;Operators'!$C$1:$G$99999,5,FALSE)</f>
        <v>NEWELL JAMES</v>
      </c>
      <c r="M217" s="6">
        <f t="shared" si="148"/>
        <v>5.6249999979627319E-3</v>
      </c>
      <c r="N217" s="7">
        <f t="shared" si="149"/>
        <v>8.0999999970663339</v>
      </c>
      <c r="O217" s="7"/>
      <c r="P217" s="7"/>
      <c r="Q217" s="22"/>
      <c r="R217" s="22"/>
      <c r="S217" s="31">
        <f t="shared" si="146"/>
        <v>1</v>
      </c>
      <c r="T217" s="46" t="str">
        <f t="shared" si="150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158"/>
        <v>https://d0f6bd738d7f1b3e5a7ca70fe4ff75f0.us-east-1.aws.found.io/app/kibana#/discover/Steve-Slow-Train-Analysis-(2080s-and-2083s)?_g=(refreshInterval:(display:Off,pause:!f,section:0,value:0),time:(from:'2017-03-16T01:10:59-0600',mode:absolute,to:'2017-03-16T03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87" t="str">
        <f t="shared" si="151"/>
        <v>Y</v>
      </c>
      <c r="X217" s="187">
        <f t="shared" si="157"/>
        <v>0</v>
      </c>
      <c r="Y217" s="62">
        <f t="shared" si="152"/>
        <v>4.6199999999999998E-2</v>
      </c>
      <c r="Z217" s="62">
        <f t="shared" si="153"/>
        <v>2.3308</v>
      </c>
      <c r="AA217" s="62">
        <f t="shared" si="154"/>
        <v>2.2846000000000002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55"/>
        <v>0313-15</v>
      </c>
      <c r="AE217" s="85" t="str">
        <f t="shared" si="159"/>
        <v>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 &amp; 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</v>
      </c>
      <c r="AF217" s="82" t="str">
        <f t="shared" si="160"/>
        <v>"C:\Program Files (x86)\AstroGrep\AstroGrep.exe" /e /r /s /spath="%USERPROFILE%\AppData\Local\Temp\OnboardLogs" /stypes="app*4053*20170316*" /stext=" 08:.+((SYSTEM_STATE.+slice.+state.+changed )|(ment ac)|(multiple cpu faults)|(system.+state.+changed )|(\[timeout)|(PRM\|1\|D)|(kpr)|(kdp)|(\|lc)|(penalty))"</v>
      </c>
      <c r="AG217" s="1" t="str">
        <f t="shared" si="156"/>
        <v>Other</v>
      </c>
      <c r="AH217" s="86" t="str">
        <f t="shared" si="161"/>
        <v>"%USERPROFILE%\Documents\GitHub\eaglep3\Utilities\RefineRTDCRunTimes.py" --tripid 313-15 --locoid 4053 --swversion DE.1.0.9.0 --startMP 204:462 --initTime 2017-03-16T02:10:59 --startdatetime 2017-03-16T02:12:44 --delay 1 --endMP 300:23308 --enddatetime 2017-03-16T02:20:50 --enforcementcount 0 &gt;&gt;C:\Users\stu\Documents\GitHub\eaglep3-reporting\EC\2017-03-15-refined-times.txt</v>
      </c>
      <c r="AI217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ID","value":"313-15"},{"id":16,"name":"Locomotive ID","value":"4053"},{"id":130,"name":"Impact","value":""},{"id":150,"name":"Time of Event (Mountain Time)","value":"02:20:50"},{"id":151,"name":"Denver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63"/>
        <v>start /low /b %USERPROFILE%\Documents\GitHub\eaglep3\Utilities\DownloadLogsFromS3.py --loco 4053 --day 2017-03-16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</row>
    <row r="218" spans="1:40" x14ac:dyDescent="0.25">
      <c r="A218" s="33" t="s">
        <v>818</v>
      </c>
      <c r="B218" s="7">
        <v>4011</v>
      </c>
      <c r="C218" s="21" t="s">
        <v>230</v>
      </c>
      <c r="D218" s="21" t="s">
        <v>246</v>
      </c>
      <c r="E218" s="13">
        <v>42810.02921296296</v>
      </c>
      <c r="F218" s="13">
        <v>42810.031840277778</v>
      </c>
      <c r="G218" s="7">
        <v>1</v>
      </c>
      <c r="H218" s="21" t="s">
        <v>442</v>
      </c>
      <c r="I218" s="13">
        <v>42810.040185185186</v>
      </c>
      <c r="J218" s="7">
        <v>0</v>
      </c>
      <c r="K218" s="98" t="str">
        <f t="shared" si="147"/>
        <v>4011/4012</v>
      </c>
      <c r="L218" s="21" t="str">
        <f>VLOOKUP(A218,'Trips&amp;Operators'!$C$1:$G$99999,5,FALSE)</f>
        <v>SWANSON BRYCE</v>
      </c>
      <c r="M218" s="6">
        <f t="shared" si="148"/>
        <v>8.3449074081727304E-3</v>
      </c>
      <c r="N218" s="7">
        <f t="shared" si="149"/>
        <v>12.016666667768732</v>
      </c>
      <c r="O218" s="7"/>
      <c r="P218" s="7"/>
      <c r="Q218" s="22"/>
      <c r="R218" s="22"/>
      <c r="S218" s="31">
        <f t="shared" si="146"/>
        <v>1</v>
      </c>
      <c r="T218" s="46" t="str">
        <f t="shared" si="150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158"/>
        <v>https://d0f6bd738d7f1b3e5a7ca70fe4ff75f0.us-east-1.aws.found.io/app/kibana#/discover/Steve-Slow-Train-Analysis-(2080s-and-2083s)?_g=(refreshInterval:(display:Off,pause:!f,section:0,value:0),time:(from:'2017-03-15T23:42:04-0600',mode:absolute,to:'2017-03-16T01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87" t="str">
        <f t="shared" si="151"/>
        <v>Y</v>
      </c>
      <c r="X218" s="187">
        <f t="shared" si="157"/>
        <v>2</v>
      </c>
      <c r="Y218" s="62">
        <f t="shared" si="152"/>
        <v>4.6899999999999997E-2</v>
      </c>
      <c r="Z218" s="62">
        <f t="shared" si="153"/>
        <v>2.3346</v>
      </c>
      <c r="AA218" s="62">
        <f t="shared" si="154"/>
        <v>2.2877000000000001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55"/>
        <v>0315-15</v>
      </c>
      <c r="AE218" s="85" t="str">
        <f t="shared" si="159"/>
        <v>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 &amp; 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</v>
      </c>
      <c r="AF218" s="82" t="str">
        <f t="shared" si="160"/>
        <v>"C:\Program Files (x86)\AstroGrep\AstroGrep.exe" /e /r /s /spath="%USERPROFILE%\AppData\Local\Temp\OnboardLogs" /stypes="app*4011*20170316*" /stext=" 06:.+((SYSTEM_STATE.+slice.+state.+changed )|(ment ac)|(multiple cpu faults)|(system.+state.+changed )|(\[timeout)|(PRM\|1\|D)|(kpr)|(kdp)|(\|lc)|(penalty))"</v>
      </c>
      <c r="AG218" s="1" t="str">
        <f t="shared" si="156"/>
        <v>Other</v>
      </c>
      <c r="AH218" s="86" t="str">
        <f t="shared" si="161"/>
        <v>"%USERPROFILE%\Documents\GitHub\eaglep3\Utilities\RefineRTDCRunTimes.py" --tripid 315-15 --locoid 4011 --swversion DE.1.0.9.0 --startMP 204:469 --initTime 2017-03-16T00:42:04 --startdatetime 2017-03-16T00:45:51 --delay 1 --endMP 300:23346 --enddatetime 2017-03-16T00:57:52 --enforcementcount 0 &gt;&gt;C:\Users\stu\Documents\GitHub\eaglep3-reporting\EC\2017-03-15-refined-times.txt</v>
      </c>
      <c r="AI218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{"issue":{"subject":"","project_id":79,"tracker_id":40,"status_id":1,"priority_id":2,"assigned_to_id":23,"start_date":"2017-03-16","description":"","custom_fields":[{"id":1,"name":"Subdivision","value":"Other"},{"id":4,"name":"Milepost","value":"2.3346"},{"id":17,"name":"Train ID","value":"315-15"},{"id":16,"name":"Locomotive ID","value":"4011"},{"id":130,"name":"Impact","value":""},{"id":150,"name":"Time of Event (Mountain Time)","value":"00:57:52"},{"id":151,"name":"Denver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63"/>
        <v>start /low /b %USERPROFILE%\Documents\GitHub\eaglep3\Utilities\DownloadLogsFromS3.py --loco 4011 --day 2017-03-16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</row>
    <row r="219" spans="1:40" x14ac:dyDescent="0.25">
      <c r="A219" s="33" t="s">
        <v>644</v>
      </c>
      <c r="B219" s="7">
        <v>4046</v>
      </c>
      <c r="C219" s="21" t="s">
        <v>230</v>
      </c>
      <c r="D219" s="21" t="s">
        <v>981</v>
      </c>
      <c r="E219" s="13">
        <v>42809.20071759259</v>
      </c>
      <c r="F219" s="13">
        <v>42809.205300925925</v>
      </c>
      <c r="G219" s="7">
        <v>6</v>
      </c>
      <c r="H219" s="21" t="s">
        <v>982</v>
      </c>
      <c r="I219" s="13">
        <v>42809.211608796293</v>
      </c>
      <c r="J219" s="7">
        <v>0</v>
      </c>
      <c r="K219" s="98" t="str">
        <f t="shared" si="147"/>
        <v>4045/4046</v>
      </c>
      <c r="L219" s="21" t="str">
        <f>VLOOKUP(A219,'Trips&amp;Operators'!$C$1:$G$99999,5,FALSE)</f>
        <v>COOLAHAN JOHN</v>
      </c>
      <c r="M219" s="6">
        <f t="shared" si="148"/>
        <v>6.3078703678911552E-3</v>
      </c>
      <c r="N219" s="7">
        <f t="shared" si="149"/>
        <v>9.0833333297632635</v>
      </c>
      <c r="O219" s="7"/>
      <c r="P219" s="7"/>
      <c r="Q219" s="22"/>
      <c r="R219" s="22"/>
      <c r="S219" s="31">
        <f t="shared" si="146"/>
        <v>0</v>
      </c>
      <c r="T219" s="46" t="str">
        <f t="shared" si="150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158"/>
        <v>https://d0f6bd738d7f1b3e5a7ca70fe4ff75f0.us-east-1.aws.found.io/app/kibana#/discover/Steve-Slow-Train-Analysis-(2080s-and-2083s)?_g=(refreshInterval:(display:Off,pause:!f,section:0,value:0),time:(from:'2017-03-15T03:49:02-0600',mode:absolute,to:'2017-03-15T06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87" t="str">
        <f t="shared" si="151"/>
        <v>Y</v>
      </c>
      <c r="X219" s="187">
        <f t="shared" si="157"/>
        <v>586</v>
      </c>
      <c r="Y219" s="62">
        <f t="shared" si="152"/>
        <v>2.9914999999999998</v>
      </c>
      <c r="Z219" s="62">
        <f t="shared" si="153"/>
        <v>5.8982000000000001</v>
      </c>
      <c r="AA219" s="62">
        <f t="shared" si="154"/>
        <v>2.9067000000000003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55"/>
        <v>0901-15</v>
      </c>
      <c r="AE219" s="85" t="str">
        <f t="shared" si="15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219" s="82" t="str">
        <f t="shared" si="160"/>
        <v>"C:\Program Files (x86)\AstroGrep\AstroGrep.exe" /e /r /s /spath="%USERPROFILE%\AppData\Local\Temp\OnboardLogs" /stypes="app*4046*20170315*" /stext=" 11:.+((SYSTEM_STATE.+slice.+state.+changed )|(ment ac)|(multiple cpu faults)|(system.+state.+changed )|(\[timeout)|(PRM\|1\|D)|(kpr)|(kdp)|(\|lc)|(penalty))"</v>
      </c>
      <c r="AG219" s="1" t="str">
        <f t="shared" si="156"/>
        <v>Other</v>
      </c>
      <c r="AH219" s="86" t="str">
        <f t="shared" si="161"/>
        <v>"%USERPROFILE%\Documents\GitHub\eaglep3\Utilities\RefineRTDCRunTimes.py" --tripid 901-15 --locoid 4046 --swversion DE.1.0.9.0 --startMP 300:29915 --initTime 2017-03-15T04:49:02 --startdatetime 2017-03-15T04:55:38 --delay 6 --endMP 300:58982 --enddatetime 2017-03-15T05:04:43 --enforcementcount 0 &gt;&gt;C:\Users\stu\Documents\GitHub\eaglep3-reporting\EC\2017-03-15-refined-times.txt</v>
      </c>
      <c r="AI219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{"issue":{"subject":"","project_id":79,"tracker_id":40,"status_id":1,"priority_id":2,"assigned_to_id":23,"start_date":"2017-03-15","description":"","custom_fields":[{"id":1,"name":"Subdivision","value":"Other"},{"id":4,"name":"Milepost","value":"5.8982"},{"id":17,"name":"Train ID","value":"901-15"},{"id":16,"name":"Locomotive ID","value":"4046"},{"id":130,"name":"Impact","value":""},{"id":150,"name":"Time of Event (Mountain Time)","value":"05:04:43"},{"id":151,"name":"Denver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63"/>
        <v>start /low /b %USERPROFILE%\Documents\GitHub\eaglep3\Utilities\DownloadLogsFromS3.py --loco 4046 --day 2017-03-15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220" spans="1:40" x14ac:dyDescent="0.25">
      <c r="A220" s="33" t="s">
        <v>659</v>
      </c>
      <c r="B220" s="7">
        <v>4015</v>
      </c>
      <c r="C220" s="21" t="s">
        <v>230</v>
      </c>
      <c r="D220" s="21" t="s">
        <v>983</v>
      </c>
      <c r="E220" s="13">
        <v>42809.254050925927</v>
      </c>
      <c r="F220" s="13">
        <v>42809.256863425922</v>
      </c>
      <c r="G220" s="7">
        <v>3</v>
      </c>
      <c r="H220" s="21" t="s">
        <v>491</v>
      </c>
      <c r="I220" s="13">
        <v>42809.262048611112</v>
      </c>
      <c r="J220" s="7">
        <v>0</v>
      </c>
      <c r="K220" s="98" t="str">
        <f t="shared" si="147"/>
        <v>4015/4016</v>
      </c>
      <c r="L220" s="21" t="str">
        <f>VLOOKUP(A220,'Trips&amp;Operators'!$C$1:$G$99999,5,FALSE)</f>
        <v>LOZA FIDEL</v>
      </c>
      <c r="M220" s="6">
        <f t="shared" si="148"/>
        <v>5.1851851894753054E-3</v>
      </c>
      <c r="N220" s="7">
        <f t="shared" si="149"/>
        <v>7.4666666728444397</v>
      </c>
      <c r="O220" s="7"/>
      <c r="P220" s="7"/>
      <c r="Q220" s="22"/>
      <c r="R220" s="22"/>
      <c r="S220" s="31">
        <f t="shared" si="146"/>
        <v>1</v>
      </c>
      <c r="T220" s="46" t="str">
        <f t="shared" si="150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158"/>
        <v>https://d0f6bd738d7f1b3e5a7ca70fe4ff75f0.us-east-1.aws.found.io/app/kibana#/discover/Steve-Slow-Train-Analysis-(2080s-and-2083s)?_g=(refreshInterval:(display:Off,pause:!f,section:0,value:0),time:(from:'2017-03-15T05:05:50-0600',mode:absolute,to:'2017-03-15T07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0" s="187" t="str">
        <f t="shared" si="151"/>
        <v>Y</v>
      </c>
      <c r="X220" s="187">
        <f t="shared" si="157"/>
        <v>1</v>
      </c>
      <c r="Y220" s="62">
        <f t="shared" si="152"/>
        <v>2.3296000000000001</v>
      </c>
      <c r="Z220" s="62">
        <f t="shared" si="153"/>
        <v>6.8699999999999997E-2</v>
      </c>
      <c r="AA220" s="62">
        <f t="shared" si="154"/>
        <v>2.2608999999999999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55"/>
        <v>0902-15</v>
      </c>
      <c r="AE220" s="85" t="str">
        <f t="shared" si="15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20" s="82" t="str">
        <f t="shared" si="160"/>
        <v>"C:\Program Files (x86)\AstroGrep\AstroGrep.exe" /e /r /s /spath="%USERPROFILE%\AppData\Local\Temp\OnboardLogs" /stypes="app*4015*20170315*" /stext=" 12:.+((SYSTEM_STATE.+slice.+state.+changed )|(ment ac)|(multiple cpu faults)|(system.+state.+changed )|(\[timeout)|(PRM\|1\|D)|(kpr)|(kdp)|(\|lc)|(penalty))"</v>
      </c>
      <c r="AG220" s="1" t="str">
        <f t="shared" si="156"/>
        <v>Other</v>
      </c>
      <c r="AH220" s="86" t="str">
        <f t="shared" si="161"/>
        <v>"%USERPROFILE%\Documents\GitHub\eaglep3\Utilities\RefineRTDCRunTimes.py" --tripid 902-15 --locoid 4015 --swversion DE.1.0.9.0 --startMP 300:23296 --initTime 2017-03-15T06:05:50 --startdatetime 2017-03-15T06:09:53 --delay 3 --endMP 204:687 --enddatetime 2017-03-15T06:17:21 --enforcementcount 0 &gt;&gt;C:\Users\stu\Documents\GitHub\eaglep3-reporting\EC\2017-03-15-refined-times.txt</v>
      </c>
      <c r="AI220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{"issue":{"subject":"","project_id":79,"tracker_id":40,"status_id":1,"priority_id":2,"assigned_to_id":23,"start_date":"2017-03-15","description":"","custom_fields":[{"id":1,"name":"Subdivision","value":"Other"},{"id":4,"name":"Milepost","value":"0.0687"},{"id":17,"name":"Train ID","value":"902-15"},{"id":16,"name":"Locomotive ID","value":"4015"},{"id":130,"name":"Impact","value":""},{"id":150,"name":"Time of Event (Mountain Time)","value":"06:17:21"},{"id":151,"name":"Denver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63"/>
        <v>start /low /b %USERPROFILE%\Documents\GitHub\eaglep3\Utilities\DownloadLogsFromS3.py --loco 4015 --day 2017-03-15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221" spans="1:40" x14ac:dyDescent="0.25">
      <c r="A221" s="33" t="s">
        <v>681</v>
      </c>
      <c r="B221" s="7">
        <v>4046</v>
      </c>
      <c r="C221" s="21" t="s">
        <v>230</v>
      </c>
      <c r="D221" s="21" t="s">
        <v>984</v>
      </c>
      <c r="E221" s="13">
        <v>42809.353692129633</v>
      </c>
      <c r="F221" s="13">
        <v>42809.355439814812</v>
      </c>
      <c r="G221" s="7">
        <v>2</v>
      </c>
      <c r="H221" s="21" t="s">
        <v>985</v>
      </c>
      <c r="I221" s="13">
        <v>42809.363587962966</v>
      </c>
      <c r="J221" s="7">
        <v>0</v>
      </c>
      <c r="K221" s="98" t="str">
        <f t="shared" si="147"/>
        <v>4045/4046</v>
      </c>
      <c r="L221" s="21" t="str">
        <f>VLOOKUP(A221,'Trips&amp;Operators'!$C$1:$G$99999,5,FALSE)</f>
        <v>COOLAHAN JOHN</v>
      </c>
      <c r="M221" s="6">
        <f t="shared" si="148"/>
        <v>8.1481481538503431E-3</v>
      </c>
      <c r="N221" s="7">
        <f t="shared" si="149"/>
        <v>11.733333341544494</v>
      </c>
      <c r="O221" s="7"/>
      <c r="P221" s="7"/>
      <c r="Q221" s="22"/>
      <c r="R221" s="22"/>
      <c r="S221" s="31">
        <f t="shared" si="146"/>
        <v>1</v>
      </c>
      <c r="T221" s="46" t="str">
        <f t="shared" si="150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158"/>
        <v>https://d0f6bd738d7f1b3e5a7ca70fe4ff75f0.us-east-1.aws.found.io/app/kibana#/discover/Steve-Slow-Train-Analysis-(2080s-and-2083s)?_g=(refreshInterval:(display:Off,pause:!f,section:0,value:0),time:(from:'2017-03-15T07:29:19-0600',mode:absolute,to:'2017-03-15T09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187" t="str">
        <f t="shared" si="151"/>
        <v>Y</v>
      </c>
      <c r="X221" s="187">
        <f t="shared" si="157"/>
        <v>1</v>
      </c>
      <c r="Y221" s="62">
        <f t="shared" si="152"/>
        <v>0.1084</v>
      </c>
      <c r="Z221" s="62">
        <f t="shared" si="153"/>
        <v>2.4190999999999998</v>
      </c>
      <c r="AA221" s="62">
        <f t="shared" si="154"/>
        <v>2.3106999999999998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55"/>
        <v>0903-15</v>
      </c>
      <c r="AE221" s="85" t="str">
        <f t="shared" si="15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221" s="82" t="str">
        <f t="shared" si="160"/>
        <v>"C:\Program Files (x86)\AstroGrep\AstroGrep.exe" /e /r /s /spath="%USERPROFILE%\AppData\Local\Temp\OnboardLogs" /stypes="app*4046*20170315*" /stext=" 14:.+((SYSTEM_STATE.+slice.+state.+changed )|(ment ac)|(multiple cpu faults)|(system.+state.+changed )|(\[timeout)|(PRM\|1\|D)|(kpr)|(kdp)|(\|lc)|(penalty))"</v>
      </c>
      <c r="AG221" s="1" t="str">
        <f t="shared" si="156"/>
        <v>Other</v>
      </c>
      <c r="AH221" s="86" t="str">
        <f t="shared" si="161"/>
        <v>"%USERPROFILE%\Documents\GitHub\eaglep3\Utilities\RefineRTDCRunTimes.py" --tripid 903-15 --locoid 4046 --swversion DE.1.0.9.0 --startMP 204:1084 --initTime 2017-03-15T08:29:19 --startdatetime 2017-03-15T08:31:50 --delay 2 --endMP 300:24191 --enddatetime 2017-03-15T08:43:34 --enforcementcount 0 &gt;&gt;C:\Users\stu\Documents\GitHub\eaglep3-reporting\EC\2017-03-15-refined-times.txt</v>
      </c>
      <c r="AI22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{"issue":{"subject":"","project_id":79,"tracker_id":40,"status_id":1,"priority_id":2,"assigned_to_id":23,"start_date":"2017-03-15","description":"","custom_fields":[{"id":1,"name":"Subdivision","value":"Other"},{"id":4,"name":"Milepost","value":"2.4191"},{"id":17,"name":"Train ID","value":"903-15"},{"id":16,"name":"Locomotive ID","value":"4046"},{"id":130,"name":"Impact","value":""},{"id":150,"name":"Time of Event (Mountain Time)","value":"08:43:34"},{"id":151,"name":"Denver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63"/>
        <v>start /low /b %USERPROFILE%\Documents\GitHub\eaglep3\Utilities\DownloadLogsFromS3.py --loco 4046 --day 2017-03-15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222" spans="1:40" x14ac:dyDescent="0.25">
      <c r="A222" s="33" t="s">
        <v>605</v>
      </c>
      <c r="B222" s="7">
        <v>4045</v>
      </c>
      <c r="C222" s="21" t="s">
        <v>230</v>
      </c>
      <c r="D222" s="21" t="s">
        <v>986</v>
      </c>
      <c r="E222" s="13">
        <v>42809.642395833333</v>
      </c>
      <c r="F222" s="13">
        <v>42809.644108796296</v>
      </c>
      <c r="G222" s="7">
        <v>1</v>
      </c>
      <c r="H222" s="21" t="s">
        <v>987</v>
      </c>
      <c r="I222" s="13">
        <v>42809.644270833334</v>
      </c>
      <c r="J222" s="7">
        <v>0</v>
      </c>
      <c r="K222" s="98" t="str">
        <f t="shared" si="147"/>
        <v>4045/4046</v>
      </c>
      <c r="L222" s="21" t="str">
        <f>VLOOKUP(A222,'Trips&amp;Operators'!$C$1:$G$99999,5,FALSE)</f>
        <v>CHANDLER KELVIN</v>
      </c>
      <c r="M222" s="6">
        <f t="shared" si="148"/>
        <v>1.6203703853534535E-4</v>
      </c>
      <c r="N222" s="7">
        <f t="shared" si="149"/>
        <v>0.2333333354908973</v>
      </c>
      <c r="O222" s="7"/>
      <c r="P222" s="7"/>
      <c r="Q222" s="22"/>
      <c r="R222" s="22"/>
      <c r="S222" s="31">
        <f t="shared" si="146"/>
        <v>1</v>
      </c>
      <c r="T222" s="46" t="str">
        <f t="shared" si="150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158"/>
        <v>https://d0f6bd738d7f1b3e5a7ca70fe4ff75f0.us-east-1.aws.found.io/app/kibana#/discover/Steve-Slow-Train-Analysis-(2080s-and-2083s)?_g=(refreshInterval:(display:Off,pause:!f,section:0,value:0),time:(from:'2017-03-15T14:25:03-0600',mode:absolute,to:'2017-03-15T16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187" t="str">
        <f t="shared" si="151"/>
        <v>Y</v>
      </c>
      <c r="X222" s="187">
        <f t="shared" si="157"/>
        <v>1</v>
      </c>
      <c r="Y222" s="62">
        <f t="shared" si="152"/>
        <v>2.5131000000000001</v>
      </c>
      <c r="Z222" s="62">
        <f t="shared" si="153"/>
        <v>6.5199999999999994E-2</v>
      </c>
      <c r="AA222" s="62">
        <f t="shared" si="154"/>
        <v>2.4479000000000002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55"/>
        <v>0904-15</v>
      </c>
      <c r="AE222" s="85" t="str">
        <f t="shared" si="15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222" s="82" t="str">
        <f t="shared" si="160"/>
        <v>"C:\Program Files (x86)\AstroGrep\AstroGrep.exe" /e /r /s /spath="%USERPROFILE%\AppData\Local\Temp\OnboardLogs" /stypes="app*4045*20170315*" /stext=" 21:.+((SYSTEM_STATE.+slice.+state.+changed )|(ment ac)|(multiple cpu faults)|(system.+state.+changed )|(\[timeout)|(PRM\|1\|D)|(kpr)|(kdp)|(\|lc)|(penalty))"</v>
      </c>
      <c r="AG222" s="1" t="str">
        <f t="shared" si="156"/>
        <v>Other</v>
      </c>
      <c r="AH222" s="86" t="str">
        <f t="shared" si="161"/>
        <v>"%USERPROFILE%\Documents\GitHub\eaglep3\Utilities\RefineRTDCRunTimes.py" --tripid 904-15 --locoid 4045 --swversion DE.1.0.9.0 --startMP 300:25131 --initTime 2017-03-15T15:25:03 --startdatetime 2017-03-15T15:27:31 --delay 1 --endMP 204:652 --enddatetime 2017-03-15T15:27:45 --enforcementcount 0 &gt;&gt;C:\Users\stu\Documents\GitHub\eaglep3-reporting\EC\2017-03-15-refined-times.txt</v>
      </c>
      <c r="AI22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{"issue":{"subject":"","project_id":79,"tracker_id":40,"status_id":1,"priority_id":2,"assigned_to_id":23,"start_date":"2017-03-15","description":"","custom_fields":[{"id":1,"name":"Subdivision","value":"Other"},{"id":4,"name":"Milepost","value":"0.0652"},{"id":17,"name":"Train ID","value":"904-15"},{"id":16,"name":"Locomotive ID","value":"4045"},{"id":130,"name":"Impact","value":""},{"id":150,"name":"Time of Event (Mountain Time)","value":"15:27:45"},{"id":151,"name":"Denver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63"/>
        <v>start /low /b %USERPROFILE%\Documents\GitHub\eaglep3\Utilities\DownloadLogsFromS3.py --loco 4045 --day 2017-03-15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223" spans="1:40" x14ac:dyDescent="0.25">
      <c r="A223" s="33" t="s">
        <v>788</v>
      </c>
      <c r="B223" s="7">
        <v>4045</v>
      </c>
      <c r="C223" s="21" t="s">
        <v>230</v>
      </c>
      <c r="D223" s="21" t="s">
        <v>566</v>
      </c>
      <c r="E223" s="13">
        <v>42809.797326388885</v>
      </c>
      <c r="F223" s="13">
        <v>42809.798356481479</v>
      </c>
      <c r="G223" s="7">
        <v>1</v>
      </c>
      <c r="H223" s="21" t="s">
        <v>988</v>
      </c>
      <c r="I223" s="13">
        <v>42809.804224537038</v>
      </c>
      <c r="J223" s="7">
        <v>0</v>
      </c>
      <c r="K223" s="98" t="str">
        <f t="shared" si="147"/>
        <v>4045/4046</v>
      </c>
      <c r="L223" s="21" t="str">
        <f>VLOOKUP(A223,'Trips&amp;Operators'!$C$1:$G$99999,5,FALSE)</f>
        <v>CHANDLER KELVIN</v>
      </c>
      <c r="M223" s="6">
        <f t="shared" si="148"/>
        <v>5.8680555594037287E-3</v>
      </c>
      <c r="N223" s="7">
        <f t="shared" si="149"/>
        <v>8.4500000055413693</v>
      </c>
      <c r="O223" s="7"/>
      <c r="P223" s="7"/>
      <c r="Q223" s="22"/>
      <c r="R223" s="22"/>
      <c r="S223" s="31">
        <f t="shared" si="146"/>
        <v>0</v>
      </c>
      <c r="T223" s="46" t="str">
        <f t="shared" si="150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158"/>
        <v>https://d0f6bd738d7f1b3e5a7ca70fe4ff75f0.us-east-1.aws.found.io/app/kibana#/discover/Steve-Slow-Train-Analysis-(2080s-and-2083s)?_g=(refreshInterval:(display:Off,pause:!f,section:0,value:0),time:(from:'2017-03-15T18:08:09-0600',mode:absolute,to:'2017-03-15T20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3" s="187" t="str">
        <f t="shared" si="151"/>
        <v>Y</v>
      </c>
      <c r="X223" s="187">
        <f t="shared" si="157"/>
        <v>2</v>
      </c>
      <c r="Y223" s="62">
        <f t="shared" si="152"/>
        <v>5.8604000000000003</v>
      </c>
      <c r="Z223" s="62">
        <f t="shared" si="153"/>
        <v>2.8795000000000002</v>
      </c>
      <c r="AA223" s="62">
        <f t="shared" si="154"/>
        <v>2.9809000000000001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55"/>
        <v>0906-15</v>
      </c>
      <c r="AE223" s="85" t="str">
        <f t="shared" si="15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223" s="82" t="str">
        <f t="shared" si="160"/>
        <v>"C:\Program Files (x86)\AstroGrep\AstroGrep.exe" /e /r /s /spath="%USERPROFILE%\AppData\Local\Temp\OnboardLogs" /stypes="app*4045*20170316*" /stext=" 01:.+((SYSTEM_STATE.+slice.+state.+changed )|(ment ac)|(multiple cpu faults)|(system.+state.+changed )|(\[timeout)|(PRM\|1\|D)|(kpr)|(kdp)|(\|lc)|(penalty))"</v>
      </c>
      <c r="AG223" s="1" t="str">
        <f t="shared" si="156"/>
        <v>Other</v>
      </c>
      <c r="AH223" s="86" t="str">
        <f t="shared" si="161"/>
        <v>"%USERPROFILE%\Documents\GitHub\eaglep3\Utilities\RefineRTDCRunTimes.py" --tripid 906-15 --locoid 4045 --swversion DE.1.0.9.0 --startMP 300:58604 --initTime 2017-03-15T19:08:09 --startdatetime 2017-03-15T19:09:38 --delay 1 --endMP 300:28795 --enddatetime 2017-03-15T19:18:05 --enforcementcount 0 &gt;&gt;C:\Users\stu\Documents\GitHub\eaglep3-reporting\EC\2017-03-15-refined-times.txt</v>
      </c>
      <c r="AI223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{"issue":{"subject":"","project_id":79,"tracker_id":40,"status_id":1,"priority_id":2,"assigned_to_id":23,"start_date":"2017-03-15","description":"","custom_fields":[{"id":1,"name":"Subdivision","value":"Other"},{"id":4,"name":"Milepost","value":"2.8795"},{"id":17,"name":"Train ID","value":"906-15"},{"id":16,"name":"Locomotive ID","value":"4045"},{"id":130,"name":"Impact","value":""},{"id":150,"name":"Time of Event (Mountain Time)","value":"19:18:05"},{"id":151,"name":"Denver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63"/>
        <v>start /low /b %USERPROFILE%\Documents\GitHub\eaglep3\Utilities\DownloadLogsFromS3.py --loco 4045 --day 2017-03-15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2017-03-15-UncaughtWiMAX.txt</v>
      </c>
    </row>
    <row r="224" spans="1:40" x14ac:dyDescent="0.25">
      <c r="A224" s="33" t="s">
        <v>811</v>
      </c>
      <c r="B224" s="7">
        <v>4015</v>
      </c>
      <c r="C224" s="21" t="s">
        <v>230</v>
      </c>
      <c r="D224" s="21" t="s">
        <v>989</v>
      </c>
      <c r="E224" s="13">
        <v>42809.942662037036</v>
      </c>
      <c r="F224" s="13">
        <v>42809.943854166668</v>
      </c>
      <c r="G224" s="7">
        <v>1</v>
      </c>
      <c r="H224" s="21" t="s">
        <v>990</v>
      </c>
      <c r="I224" s="13">
        <v>42809.950046296297</v>
      </c>
      <c r="J224" s="7">
        <v>0</v>
      </c>
      <c r="K224" s="98" t="str">
        <f t="shared" si="147"/>
        <v>4015/4016</v>
      </c>
      <c r="L224" s="21" t="str">
        <f>VLOOKUP(A224,'Trips&amp;Operators'!$C$1:$G$99999,5,FALSE)</f>
        <v>CHANDLER KELVIN</v>
      </c>
      <c r="M224" s="6">
        <f t="shared" si="148"/>
        <v>6.1921296291984618E-3</v>
      </c>
      <c r="N224" s="7">
        <f t="shared" si="149"/>
        <v>8.916666666045785</v>
      </c>
      <c r="O224" s="7"/>
      <c r="P224" s="7"/>
      <c r="Q224" s="22"/>
      <c r="R224" s="22"/>
      <c r="S224" s="31">
        <f t="shared" si="146"/>
        <v>0</v>
      </c>
      <c r="T224" s="46" t="str">
        <f t="shared" si="150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158"/>
        <v>https://d0f6bd738d7f1b3e5a7ca70fe4ff75f0.us-east-1.aws.found.io/app/kibana#/discover/Steve-Slow-Train-Analysis-(2080s-and-2083s)?_g=(refreshInterval:(display:Off,pause:!f,section:0,value:0),time:(from:'2017-03-15T21:37:26-0600',mode:absolute,to:'2017-03-15T23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187" t="str">
        <f t="shared" si="151"/>
        <v>Y</v>
      </c>
      <c r="X224" s="187">
        <f t="shared" si="157"/>
        <v>2</v>
      </c>
      <c r="Y224" s="62">
        <f t="shared" si="152"/>
        <v>5.8566000000000003</v>
      </c>
      <c r="Z224" s="62">
        <f t="shared" si="153"/>
        <v>2.1400999999999999</v>
      </c>
      <c r="AA224" s="62">
        <f t="shared" si="154"/>
        <v>3.7165000000000004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55"/>
        <v>0908-15</v>
      </c>
      <c r="AE224" s="85" t="str">
        <f t="shared" si="15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24" s="82" t="str">
        <f t="shared" si="160"/>
        <v>"C:\Program Files (x86)\AstroGrep\AstroGrep.exe" /e /r /s /spath="%USERPROFILE%\AppData\Local\Temp\OnboardLogs" /stypes="app*4015*20170316*" /stext=" 04:.+((SYSTEM_STATE.+slice.+state.+changed )|(ment ac)|(multiple cpu faults)|(system.+state.+changed )|(\[timeout)|(PRM\|1\|D)|(kpr)|(kdp)|(\|lc)|(penalty))"</v>
      </c>
      <c r="AG224" s="1" t="str">
        <f t="shared" si="156"/>
        <v>Other</v>
      </c>
      <c r="AH224" s="86" t="str">
        <f t="shared" si="161"/>
        <v>"%USERPROFILE%\Documents\GitHub\eaglep3\Utilities\RefineRTDCRunTimes.py" --tripid 908-15 --locoid 4015 --swversion DE.1.0.9.0 --startMP 300:58566 --initTime 2017-03-15T22:37:26 --startdatetime 2017-03-15T22:39:09 --delay 1 --endMP 300:21401 --enddatetime 2017-03-15T22:48:04 --enforcementcount 0 &gt;&gt;C:\Users\stu\Documents\GitHub\eaglep3-reporting\EC\2017-03-15-refined-times.txt</v>
      </c>
      <c r="AI22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{"issue":{"subject":"","project_id":79,"tracker_id":40,"status_id":1,"priority_id":2,"assigned_to_id":23,"start_date":"2017-03-15","description":"","custom_fields":[{"id":1,"name":"Subdivision","value":"Other"},{"id":4,"name":"Milepost","value":"2.1401"},{"id":17,"name":"Train ID","value":"908-15"},{"id":16,"name":"Locomotive ID","value":"4015"},{"id":130,"name":"Impact","value":""},{"id":150,"name":"Time of Event (Mountain Time)","value":"22:48:04"},{"id":151,"name":"Denver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63"/>
        <v>start /low /b %USERPROFILE%\Documents\GitHub\eaglep3\Utilities\DownloadLogsFromS3.py --loco 4015 --day 2017-03-15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25" spans="1:40" x14ac:dyDescent="0.25">
      <c r="A225" s="33" t="s">
        <v>630</v>
      </c>
      <c r="B225" s="7">
        <v>4030</v>
      </c>
      <c r="C225" s="21" t="s">
        <v>230</v>
      </c>
      <c r="D225" s="21" t="s">
        <v>924</v>
      </c>
      <c r="E225" s="13">
        <v>42809.141817129632</v>
      </c>
      <c r="F225" s="13">
        <v>42809.143252314818</v>
      </c>
      <c r="G225" s="7">
        <v>1</v>
      </c>
      <c r="H225" s="21" t="s">
        <v>492</v>
      </c>
      <c r="I225" s="13">
        <v>42809.164143518516</v>
      </c>
      <c r="J225" s="7">
        <v>0</v>
      </c>
      <c r="K225" s="98" t="str">
        <f t="shared" si="147"/>
        <v>4029/4030</v>
      </c>
      <c r="L225" s="21" t="str">
        <f>VLOOKUP(A225,'Trips&amp;Operators'!$C$1:$G$99999,5,FALSE)</f>
        <v>YOUNG ELIZABETH</v>
      </c>
      <c r="M225" s="6">
        <f t="shared" si="148"/>
        <v>2.0891203697829042E-2</v>
      </c>
      <c r="N225" s="7">
        <f t="shared" si="149"/>
        <v>30.08333332487382</v>
      </c>
      <c r="O225" s="7"/>
      <c r="P225" s="7"/>
      <c r="Q225" s="22"/>
      <c r="R225" s="22"/>
      <c r="S225" s="31">
        <f t="shared" si="146"/>
        <v>0</v>
      </c>
      <c r="T225" s="46" t="e">
        <f t="shared" si="150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24:13-0600',mode:absolute,to:'2017-03-15T04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5" s="187" t="str">
        <f t="shared" si="151"/>
        <v>N</v>
      </c>
      <c r="X225" s="187" t="e">
        <f t="shared" si="157"/>
        <v>#VALUE!</v>
      </c>
      <c r="Y225" s="62">
        <f t="shared" si="152"/>
        <v>10.6617</v>
      </c>
      <c r="Z225" s="62">
        <f t="shared" si="153"/>
        <v>9.64E-2</v>
      </c>
      <c r="AA225" s="62">
        <f t="shared" si="154"/>
        <v>10.565300000000001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55"/>
        <v>50-15</v>
      </c>
      <c r="AE225" s="85" t="str">
        <f t="shared" si="159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225" s="82" t="str">
        <f t="shared" si="160"/>
        <v>"C:\Program Files (x86)\AstroGrep\AstroGrep.exe" /e /r /s /spath="%USERPROFILE%\AppData\Local\Temp\OnboardLogs" /stypes="app*4030*20170315*" /stext=" 09:.+((SYSTEM_STATE.+slice.+state.+changed )|(ment ac)|(multiple cpu faults)|(system.+state.+changed )|(\[timeout)|(PRM\|1\|D)|(kpr)|(kdp)|(\|lc)|(penalty))"</v>
      </c>
      <c r="AG225" s="1" t="str">
        <f t="shared" si="156"/>
        <v>Other</v>
      </c>
      <c r="AH225" s="86" t="str">
        <f t="shared" si="161"/>
        <v>"%USERPROFILE%\Documents\GitHub\eaglep3\Utilities\RefineRTDCRunTimes.py" --tripid 50-15 --locoid 4030 --swversion DE.1.0.9.0 --startMP 204:106617 --initTime 2017-03-15T03:24:13 --startdatetime 2017-03-15T03:26:17 --delay 1 --endMP 204:964 --enddatetime 2017-03-15T03:56:22 --enforcementcount 0 &gt;&gt;C:\Users\stu\Documents\GitHub\eaglep3-reporting\EC\2017-03-15-refined-times.txt</v>
      </c>
      <c r="AI225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{"issue":{"subject":"","project_id":79,"tracker_id":40,"status_id":1,"priority_id":2,"assigned_to_id":23,"start_date":"2017-03-15","description":"","custom_fields":[{"id":1,"name":"Subdivision","value":"Other"},{"id":4,"name":"Milepost","value":"0.0964"},{"id":17,"name":"Train ID","value":"50-15"},{"id":16,"name":"Locomotive ID","value":"4030"},{"id":130,"name":"Impact","value":""},{"id":150,"name":"Time of Event (Mountain Time)","value":"03:56:22"},{"id":151,"name":"Denver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63"/>
        <v>start /low /b %USERPROFILE%\Documents\GitHub\eaglep3\Utilities\DownloadLogsFromS3.py --loco 4030 --day 2017-03-15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</row>
    <row r="226" spans="1:40" x14ac:dyDescent="0.25">
      <c r="A226" s="33" t="s">
        <v>625</v>
      </c>
      <c r="B226" s="7">
        <v>4029</v>
      </c>
      <c r="C226" s="21" t="s">
        <v>230</v>
      </c>
      <c r="D226" s="21" t="s">
        <v>925</v>
      </c>
      <c r="E226" s="13">
        <v>42809.115428240744</v>
      </c>
      <c r="F226" s="13">
        <v>42809.117719907408</v>
      </c>
      <c r="G226" s="7">
        <v>2</v>
      </c>
      <c r="H226" s="21" t="s">
        <v>926</v>
      </c>
      <c r="I226" s="13">
        <v>42809.140486111108</v>
      </c>
      <c r="J226" s="7">
        <v>0</v>
      </c>
      <c r="K226" s="98" t="str">
        <f t="shared" si="147"/>
        <v>4029/4030</v>
      </c>
      <c r="L226" s="21" t="str">
        <f>VLOOKUP(A226,'Trips&amp;Operators'!$C$1:$G$99999,5,FALSE)</f>
        <v>YOUNG ELIZABETH</v>
      </c>
      <c r="M226" s="6">
        <f t="shared" si="148"/>
        <v>2.2766203699575271E-2</v>
      </c>
      <c r="N226" s="7">
        <f t="shared" si="149"/>
        <v>32.783333327388391</v>
      </c>
      <c r="O226" s="7"/>
      <c r="P226" s="7"/>
      <c r="Q226" s="22"/>
      <c r="R226" s="22"/>
      <c r="S226" s="31">
        <f t="shared" si="146"/>
        <v>0</v>
      </c>
      <c r="T226" s="46" t="e">
        <f t="shared" si="150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158"/>
        <v>https://d0f6bd738d7f1b3e5a7ca70fe4ff75f0.us-east-1.aws.found.io/app/kibana#/discover/Steve-Slow-Train-Analysis-(2080s-and-2083s)?_g=(refreshInterval:(display:Off,pause:!f,section:0,value:0),time:(from:'2017-03-15T01:46:13-0600',mode:absolute,to:'2017-03-15T04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187" t="str">
        <f t="shared" si="151"/>
        <v>N</v>
      </c>
      <c r="X226" s="187" t="e">
        <f t="shared" si="157"/>
        <v>#VALUE!</v>
      </c>
      <c r="Y226" s="62">
        <f t="shared" si="152"/>
        <v>0.1169</v>
      </c>
      <c r="Z226" s="62">
        <f t="shared" si="153"/>
        <v>10.694599999999999</v>
      </c>
      <c r="AA226" s="62">
        <f t="shared" si="154"/>
        <v>10.5777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55"/>
        <v>51-15</v>
      </c>
      <c r="AE226" s="85" t="str">
        <f t="shared" si="159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226" s="82" t="str">
        <f t="shared" si="160"/>
        <v>"C:\Program Files (x86)\AstroGrep\AstroGrep.exe" /e /r /s /spath="%USERPROFILE%\AppData\Local\Temp\OnboardLogs" /stypes="app*4029*20170315*" /stext=" 09:.+((SYSTEM_STATE.+slice.+state.+changed )|(ment ac)|(multiple cpu faults)|(system.+state.+changed )|(\[timeout)|(PRM\|1\|D)|(kpr)|(kdp)|(\|lc)|(penalty))"</v>
      </c>
      <c r="AG226" s="1" t="str">
        <f t="shared" si="156"/>
        <v>Other</v>
      </c>
      <c r="AH226" s="86" t="str">
        <f t="shared" si="161"/>
        <v>"%USERPROFILE%\Documents\GitHub\eaglep3\Utilities\RefineRTDCRunTimes.py" --tripid 51-15 --locoid 4029 --swversion DE.1.0.9.0 --startMP 204:1169 --initTime 2017-03-15T02:46:13 --startdatetime 2017-03-15T02:49:31 --delay 2 --endMP 204:106946 --enddatetime 2017-03-15T03:22:18 --enforcementcount 0 &gt;&gt;C:\Users\stu\Documents\GitHub\eaglep3-reporting\EC\2017-03-15-refined-times.txt</v>
      </c>
      <c r="AI226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{"issue":{"subject":"","project_id":79,"tracker_id":40,"status_id":1,"priority_id":2,"assigned_to_id":23,"start_date":"2017-03-15","description":"","custom_fields":[{"id":1,"name":"Subdivision","value":"Other"},{"id":4,"name":"Milepost","value":"10.6946"},{"id":17,"name":"Train ID","value":"51-15"},{"id":16,"name":"Locomotive ID","value":"4029"},{"id":130,"name":"Impact","value":""},{"id":150,"name":"Time of Event (Mountain Time)","value":"03:22:18"},{"id":151,"name":"Denver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63"/>
        <v>start /low /b %USERPROFILE%\Documents\GitHub\eaglep3\Utilities\DownloadLogsFromS3.py --loco 4029 --day 2017-03-15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</row>
    <row r="227" spans="1:40" x14ac:dyDescent="0.25">
      <c r="A227" s="33" t="s">
        <v>594</v>
      </c>
      <c r="B227" s="7">
        <v>4032</v>
      </c>
      <c r="C227" s="21" t="s">
        <v>230</v>
      </c>
      <c r="D227" s="21" t="s">
        <v>490</v>
      </c>
      <c r="E227" s="13">
        <v>42809.434212962966</v>
      </c>
      <c r="F227" s="13">
        <v>42809.438634259262</v>
      </c>
      <c r="G227" s="7">
        <v>2</v>
      </c>
      <c r="H227" s="21" t="s">
        <v>927</v>
      </c>
      <c r="I227" s="13">
        <v>42809.446458333332</v>
      </c>
      <c r="J227" s="7">
        <v>0</v>
      </c>
      <c r="K227" s="98" t="str">
        <f t="shared" si="147"/>
        <v>4031/4032</v>
      </c>
      <c r="L227" s="21" t="str">
        <f>VLOOKUP(A227,'Trips&amp;Operators'!$C$1:$G$99999,5,FALSE)</f>
        <v>STRICKLAND EVAN</v>
      </c>
      <c r="M227" s="6">
        <f t="shared" si="148"/>
        <v>7.8240740695036948E-3</v>
      </c>
      <c r="N227" s="7">
        <f t="shared" si="149"/>
        <v>11.26666666008532</v>
      </c>
      <c r="O227" s="7"/>
      <c r="P227" s="7"/>
      <c r="Q227" s="22"/>
      <c r="R227" s="22"/>
      <c r="S227" s="31">
        <f t="shared" si="146"/>
        <v>0</v>
      </c>
      <c r="T227" s="46" t="e">
        <f t="shared" si="150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158"/>
        <v>https://d0f6bd738d7f1b3e5a7ca70fe4ff75f0.us-east-1.aws.found.io/app/kibana#/discover/Steve-Slow-Train-Analysis-(2080s-and-2083s)?_g=(refreshInterval:(display:Off,pause:!f,section:0,value:0),time:(from:'2017-03-15T09:25:16-0600',mode:absolute,to:'2017-03-15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187" t="str">
        <f t="shared" si="151"/>
        <v>Y</v>
      </c>
      <c r="X227" s="187" t="e">
        <f t="shared" si="157"/>
        <v>#VALUE!</v>
      </c>
      <c r="Y227" s="62">
        <f t="shared" si="152"/>
        <v>2.3304</v>
      </c>
      <c r="Z227" s="62">
        <f t="shared" si="153"/>
        <v>1.7399999999999999E-2</v>
      </c>
      <c r="AA227" s="62">
        <f t="shared" si="154"/>
        <v>2.3130000000000002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55"/>
        <v>52-15</v>
      </c>
      <c r="AE227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27" s="82" t="str">
        <f t="shared" si="160"/>
        <v>"C:\Program Files (x86)\AstroGrep\AstroGrep.exe" /e /r /s /spath="%USERPROFILE%\AppData\Local\Temp\OnboardLogs" /stypes="app*4032*20170315*" /stext=" 16:.+((SYSTEM_STATE.+slice.+state.+changed )|(ment ac)|(multiple cpu faults)|(system.+state.+changed )|(\[timeout)|(PRM\|1\|D)|(kpr)|(kdp)|(\|lc)|(penalty))"</v>
      </c>
      <c r="AG227" s="1" t="str">
        <f t="shared" si="156"/>
        <v>Other</v>
      </c>
      <c r="AH227" s="86" t="str">
        <f t="shared" si="161"/>
        <v>"%USERPROFILE%\Documents\GitHub\eaglep3\Utilities\RefineRTDCRunTimes.py" --tripid 52-15 --locoid 4032 --swversion DE.1.0.9.0 --startMP 300:23304 --initTime 2017-03-15T10:25:16 --startdatetime 2017-03-15T10:31:38 --delay 2 --endMP 204:174 --enddatetime 2017-03-15T10:42:54 --enforcementcount 0 &gt;&gt;C:\Users\stu\Documents\GitHub\eaglep3-reporting\EC\2017-03-15-refined-times.txt</v>
      </c>
      <c r="AI227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{"issue":{"subject":"","project_id":79,"tracker_id":40,"status_id":1,"priority_id":2,"assigned_to_id":23,"start_date":"2017-03-15","description":"","custom_fields":[{"id":1,"name":"Subdivision","value":"Other"},{"id":4,"name":"Milepost","value":"0.0174"},{"id":17,"name":"Train ID","value":"52-15"},{"id":16,"name":"Locomotive ID","value":"4032"},{"id":130,"name":"Impact","value":""},{"id":150,"name":"Time of Event (Mountain Time)","value":"10:42:54"},{"id":151,"name":"Denver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63"/>
        <v>start /low /b %USERPROFILE%\Documents\GitHub\eaglep3\Utilities\DownloadLogsFromS3.py --loco 4032 --day 2017-03-15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28" spans="1:40" x14ac:dyDescent="0.25">
      <c r="A228" s="33" t="s">
        <v>669</v>
      </c>
      <c r="B228" s="7">
        <v>4002</v>
      </c>
      <c r="C228" s="21" t="s">
        <v>230</v>
      </c>
      <c r="D228" s="21" t="s">
        <v>928</v>
      </c>
      <c r="E228" s="13">
        <v>42809.309027777781</v>
      </c>
      <c r="F228" s="13">
        <v>42809.313877314817</v>
      </c>
      <c r="G228" s="7">
        <v>2</v>
      </c>
      <c r="H228" s="21" t="s">
        <v>430</v>
      </c>
      <c r="I228" s="13">
        <v>42809.337824074071</v>
      </c>
      <c r="J228" s="7">
        <v>0</v>
      </c>
      <c r="K228" s="98" t="str">
        <f t="shared" si="147"/>
        <v>4001/4002</v>
      </c>
      <c r="L228" s="21" t="str">
        <f>VLOOKUP(A228,'Trips&amp;Operators'!$C$1:$G$99999,5,FALSE)</f>
        <v>YANAI IAN</v>
      </c>
      <c r="M228" s="6">
        <f t="shared" si="148"/>
        <v>2.3946759254613426E-2</v>
      </c>
      <c r="N228" s="7">
        <f t="shared" si="149"/>
        <v>34.483333326643333</v>
      </c>
      <c r="O228" s="7"/>
      <c r="P228" s="7"/>
      <c r="Q228" s="22"/>
      <c r="R228" s="22"/>
      <c r="S228" s="31">
        <f t="shared" si="146"/>
        <v>0</v>
      </c>
      <c r="T228" s="46" t="e">
        <f t="shared" si="150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158"/>
        <v>https://d0f6bd738d7f1b3e5a7ca70fe4ff75f0.us-east-1.aws.found.io/app/kibana#/discover/Steve-Slow-Train-Analysis-(2080s-and-2083s)?_g=(refreshInterval:(display:Off,pause:!f,section:0,value:0),time:(from:'2017-03-15T06:25:00-0600',mode:absolute,to:'2017-03-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187" t="str">
        <f t="shared" si="151"/>
        <v>N</v>
      </c>
      <c r="X228" s="187" t="e">
        <f t="shared" si="157"/>
        <v>#VALUE!</v>
      </c>
      <c r="Y228" s="62">
        <f t="shared" si="152"/>
        <v>0.14749999999999999</v>
      </c>
      <c r="Z228" s="62">
        <f t="shared" si="153"/>
        <v>23.3306</v>
      </c>
      <c r="AA228" s="62">
        <f t="shared" si="154"/>
        <v>23.1831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55"/>
        <v>53-15</v>
      </c>
      <c r="AE228" s="85" t="str">
        <f t="shared" si="159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228" s="82" t="str">
        <f t="shared" si="160"/>
        <v>"C:\Program Files (x86)\AstroGrep\AstroGrep.exe" /e /r /s /spath="%USERPROFILE%\AppData\Local\Temp\OnboardLogs" /stypes="app*4002*20170315*" /stext=" 14:.+((SYSTEM_STATE.+slice.+state.+changed )|(ment ac)|(multiple cpu faults)|(system.+state.+changed )|(\[timeout)|(PRM\|1\|D)|(kpr)|(kdp)|(\|lc)|(penalty))"</v>
      </c>
      <c r="AG228" s="1" t="str">
        <f t="shared" si="156"/>
        <v>Other</v>
      </c>
      <c r="AH228" s="86" t="str">
        <f t="shared" si="161"/>
        <v>"%USERPROFILE%\Documents\GitHub\eaglep3\Utilities\RefineRTDCRunTimes.py" --tripid 53-15 --locoid 4002 --swversion DE.1.0.9.0 --startMP 204:1475 --initTime 2017-03-15T07:25:00 --startdatetime 2017-03-15T07:31:59 --delay 2 --endMP 204:233306 --enddatetime 2017-03-15T08:06:28 --enforcementcount 0 &gt;&gt;C:\Users\stu\Documents\GitHub\eaglep3-reporting\EC\2017-03-15-refined-times.txt</v>
      </c>
      <c r="AI228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{"issue":{"subject":"","project_id":79,"tracker_id":40,"status_id":1,"priority_id":2,"assigned_to_id":23,"start_date":"2017-03-15","description":"","custom_fields":[{"id":1,"name":"Subdivision","value":"Other"},{"id":4,"name":"Milepost","value":"23.3306"},{"id":17,"name":"Train ID","value":"53-15"},{"id":16,"name":"Locomotive ID","value":"4002"},{"id":130,"name":"Impact","value":""},{"id":150,"name":"Time of Event (Mountain Time)","value":"08:06:28"},{"id":151,"name":"Denver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63"/>
        <v>start /low /b %USERPROFILE%\Documents\GitHub\eaglep3\Utilities\DownloadLogsFromS3.py --loco 4002 --day 2017-03-15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</row>
    <row r="229" spans="1:40" x14ac:dyDescent="0.25">
      <c r="A229" s="33" t="s">
        <v>595</v>
      </c>
      <c r="B229" s="7">
        <v>4031</v>
      </c>
      <c r="C229" s="21" t="s">
        <v>230</v>
      </c>
      <c r="D229" s="21" t="s">
        <v>929</v>
      </c>
      <c r="E229" s="13">
        <v>42809.451469907406</v>
      </c>
      <c r="F229" s="13">
        <v>42809.501087962963</v>
      </c>
      <c r="G229" s="7">
        <v>2</v>
      </c>
      <c r="H229" s="21" t="s">
        <v>536</v>
      </c>
      <c r="I229" s="13">
        <v>42809.544895833336</v>
      </c>
      <c r="J229" s="7">
        <v>0</v>
      </c>
      <c r="K229" s="98" t="str">
        <f t="shared" si="147"/>
        <v>4031/4032</v>
      </c>
      <c r="L229" s="21" t="str">
        <f>VLOOKUP(A229,'Trips&amp;Operators'!$C$1:$G$99999,5,FALSE)</f>
        <v>STRICKLAND EVAN</v>
      </c>
      <c r="M229" s="6">
        <f t="shared" si="148"/>
        <v>4.3807870373711921E-2</v>
      </c>
      <c r="N229" s="7">
        <f t="shared" si="149"/>
        <v>63.083333338145167</v>
      </c>
      <c r="O229" s="7"/>
      <c r="P229" s="7"/>
      <c r="Q229" s="22"/>
      <c r="R229" s="22"/>
      <c r="S229" s="31">
        <f t="shared" si="146"/>
        <v>0</v>
      </c>
      <c r="T229" s="46" t="e">
        <f t="shared" si="150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158"/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9" s="187" t="str">
        <f t="shared" si="151"/>
        <v>N</v>
      </c>
      <c r="X229" s="187" t="e">
        <f t="shared" si="157"/>
        <v>#VALUE!</v>
      </c>
      <c r="Y229" s="62">
        <f t="shared" si="152"/>
        <v>3.2399999999999998E-2</v>
      </c>
      <c r="Z229" s="62">
        <f t="shared" si="153"/>
        <v>23.325500000000002</v>
      </c>
      <c r="AA229" s="62">
        <f t="shared" si="154"/>
        <v>23.293100000000003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55"/>
        <v>55-15</v>
      </c>
      <c r="AE229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29" s="82" t="str">
        <f t="shared" si="160"/>
        <v>"C:\Program Files (x86)\AstroGrep\AstroGrep.exe" /e /r /s /spath="%USERPROFILE%\AppData\Local\Temp\OnboardLogs" /stypes="app*4031*20170315*" /stext=" 19:.+((SYSTEM_STATE.+slice.+state.+changed )|(ment ac)|(multiple cpu faults)|(system.+state.+changed )|(\[timeout)|(PRM\|1\|D)|(kpr)|(kdp)|(\|lc)|(penalty))"</v>
      </c>
      <c r="AG229" s="1" t="str">
        <f t="shared" si="156"/>
        <v>Other</v>
      </c>
      <c r="AH229" s="86" t="str">
        <f t="shared" si="161"/>
        <v>"%USERPROFILE%\Documents\GitHub\eaglep3\Utilities\RefineRTDCRunTimes.py" --tripid 55-15 --locoid 4031 --swversion DE.1.0.9.0 --startMP 204:324 --initTime 2017-03-15T10:50:07 --startdatetime 2017-03-15T12:01:34 --delay 2 --endMP 204:233255 --enddatetime 2017-03-15T13:04:39 --enforcementcount 0 &gt;&gt;C:\Users\stu\Documents\GitHub\eaglep3-reporting\EC\2017-03-15-refined-times.txt</v>
      </c>
      <c r="AI229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{"issue":{"subject":"","project_id":79,"tracker_id":40,"status_id":1,"priority_id":2,"assigned_to_id":23,"start_date":"2017-03-15","description":"","custom_fields":[{"id":1,"name":"Subdivision","value":"Other"},{"id":4,"name":"Milepost","value":"23.3255"},{"id":17,"name":"Train ID","value":"55-15"},{"id":16,"name":"Locomotive ID","value":"4031"},{"id":130,"name":"Impact","value":""},{"id":150,"name":"Time of Event (Mountain Time)","value":"13:04:39"},{"id":151,"name":"Denver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63"/>
        <v>start /low /b %USERPROFILE%\Documents\GitHub\eaglep3\Utilities\DownloadLogsFromS3.py --loco 4031 --day 2017-03-15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2017-03-15-UncaughtWiMAX.txt</v>
      </c>
    </row>
    <row r="230" spans="1:40" x14ac:dyDescent="0.25">
      <c r="A230" s="33" t="s">
        <v>595</v>
      </c>
      <c r="B230" s="7">
        <v>4031</v>
      </c>
      <c r="C230" s="21" t="s">
        <v>230</v>
      </c>
      <c r="D230" s="21" t="s">
        <v>930</v>
      </c>
      <c r="E230" s="13">
        <v>42809.558287037034</v>
      </c>
      <c r="F230" s="13">
        <v>42809.568923611114</v>
      </c>
      <c r="G230" s="7">
        <v>2</v>
      </c>
      <c r="H230" s="21" t="s">
        <v>552</v>
      </c>
      <c r="I230" s="13">
        <v>42809.580810185187</v>
      </c>
      <c r="J230" s="7">
        <v>0</v>
      </c>
      <c r="K230" s="98" t="str">
        <f t="shared" si="147"/>
        <v>4031/4032</v>
      </c>
      <c r="L230" s="21" t="str">
        <f>VLOOKUP(A230,'Trips&amp;Operators'!$C$1:$G$99999,5,FALSE)</f>
        <v>STRICKLAND EVAN</v>
      </c>
      <c r="M230" s="6">
        <f t="shared" si="148"/>
        <v>1.1886574073287193E-2</v>
      </c>
      <c r="N230" s="7">
        <f t="shared" si="149"/>
        <v>17.116666665533558</v>
      </c>
      <c r="O230" s="7"/>
      <c r="P230" s="7"/>
      <c r="Q230" s="22"/>
      <c r="R230" s="22"/>
      <c r="S230" s="31">
        <f t="shared" ref="S230:S236" si="164">SUM(U230:U230)/IF(AG230="EC",12,1)</f>
        <v>0</v>
      </c>
      <c r="T230" s="46" t="e">
        <f t="shared" si="150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158"/>
        <v>https://d0f6bd738d7f1b3e5a7ca70fe4ff75f0.us-east-1.aws.found.io/app/kibana#/discover/Steve-Slow-Train-Analysis-(2080s-and-2083s)?_g=(refreshInterval:(display:Off,pause:!f,section:0,value:0),time:(from:'2017-03-15T12:23:56-0600',mode:absolute,to:'2017-03-15T14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0" s="187" t="str">
        <f t="shared" si="151"/>
        <v>Y</v>
      </c>
      <c r="X230" s="187" t="e">
        <f t="shared" si="157"/>
        <v>#VALUE!</v>
      </c>
      <c r="Y230" s="62">
        <f t="shared" si="152"/>
        <v>3.3599999999999998E-2</v>
      </c>
      <c r="Z230" s="62">
        <f t="shared" si="153"/>
        <v>2.3308</v>
      </c>
      <c r="AA230" s="62">
        <f t="shared" si="154"/>
        <v>2.2972000000000001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55"/>
        <v>55-15</v>
      </c>
      <c r="AE230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30" s="82" t="str">
        <f t="shared" si="160"/>
        <v>"C:\Program Files (x86)\AstroGrep\AstroGrep.exe" /e /r /s /spath="%USERPROFILE%\AppData\Local\Temp\OnboardLogs" /stypes="app*4031*20170315*" /stext=" 19:.+((SYSTEM_STATE.+slice.+state.+changed )|(ment ac)|(multiple cpu faults)|(system.+state.+changed )|(\[timeout)|(PRM\|1\|D)|(kpr)|(kdp)|(\|lc)|(penalty))"</v>
      </c>
      <c r="AG230" s="1" t="str">
        <f t="shared" si="156"/>
        <v>Other</v>
      </c>
      <c r="AH230" s="86" t="str">
        <f t="shared" si="161"/>
        <v>"%USERPROFILE%\Documents\GitHub\eaglep3\Utilities\RefineRTDCRunTimes.py" --tripid 55-15 --locoid 4031 --swversion DE.1.0.9.0 --startMP 204:336 --initTime 2017-03-15T13:23:56 --startdatetime 2017-03-15T13:39:15 --delay 2 --endMP 300:23308 --enddatetime 2017-03-15T13:56:22 --enforcementcount 0 &gt;&gt;C:\Users\stu\Documents\GitHub\eaglep3-reporting\EC\2017-03-15-refined-times.txt</v>
      </c>
      <c r="AI230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{"issue":{"subject":"","project_id":79,"tracker_id":40,"status_id":1,"priority_id":2,"assigned_to_id":23,"start_date":"2017-03-15","description":"","custom_fields":[{"id":1,"name":"Subdivision","value":"Other"},{"id":4,"name":"Milepost","value":"2.3308"},{"id":17,"name":"Train ID","value":"55-15"},{"id":16,"name":"Locomotive ID","value":"4031"},{"id":130,"name":"Impact","value":""},{"id":150,"name":"Time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63"/>
        <v>start /low /b %USERPROFILE%\Documents\GitHub\eaglep3\Utilities\DownloadLogsFromS3.py --loco 4031 --day 2017-03-15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2017-03-15-UncaughtWiMAX.txt</v>
      </c>
    </row>
    <row r="231" spans="1:40" x14ac:dyDescent="0.25">
      <c r="A231" s="33" t="s">
        <v>595</v>
      </c>
      <c r="B231" s="7">
        <v>4032</v>
      </c>
      <c r="C231" s="21" t="s">
        <v>230</v>
      </c>
      <c r="D231" s="21" t="s">
        <v>861</v>
      </c>
      <c r="E231" s="13">
        <v>42809.496898148151</v>
      </c>
      <c r="F231" s="13">
        <v>42809.568923611114</v>
      </c>
      <c r="G231" s="7">
        <v>1</v>
      </c>
      <c r="H231" s="21" t="s">
        <v>931</v>
      </c>
      <c r="I231" s="13">
        <v>42809.580810185187</v>
      </c>
      <c r="J231" s="7">
        <v>0</v>
      </c>
      <c r="K231" s="98" t="str">
        <f t="shared" si="147"/>
        <v>4031/4032</v>
      </c>
      <c r="L231" s="21" t="str">
        <f>VLOOKUP(A231,'Trips&amp;Operators'!$C$1:$G$99999,5,FALSE)</f>
        <v>STRICKLAND EVAN</v>
      </c>
      <c r="M231" s="6">
        <f t="shared" si="148"/>
        <v>1.1886574073287193E-2</v>
      </c>
      <c r="N231" s="7">
        <f t="shared" si="149"/>
        <v>17.116666665533558</v>
      </c>
      <c r="O231" s="7"/>
      <c r="P231" s="7"/>
      <c r="Q231" s="22"/>
      <c r="R231" s="22"/>
      <c r="S231" s="31">
        <f t="shared" si="164"/>
        <v>0</v>
      </c>
      <c r="T231" s="46" t="e">
        <f t="shared" si="150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158"/>
        <v>https://d0f6bd738d7f1b3e5a7ca70fe4ff75f0.us-east-1.aws.found.io/app/kibana#/discover/Steve-Slow-Train-Analysis-(2080s-and-2083s)?_g=(refreshInterval:(display:Off,pause:!f,section:0,value:0),time:(from:'2017-03-15T10:55:32-0600',mode:absolute,to:'2017-03-15T14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1" s="187" t="str">
        <f t="shared" si="151"/>
        <v>N</v>
      </c>
      <c r="X231" s="187" t="e">
        <f t="shared" si="157"/>
        <v>#VALUE!</v>
      </c>
      <c r="Y231" s="62">
        <f t="shared" si="152"/>
        <v>23.2959</v>
      </c>
      <c r="Z231" s="62">
        <f t="shared" si="153"/>
        <v>3.0300000000000001E-2</v>
      </c>
      <c r="AA231" s="62">
        <f t="shared" si="154"/>
        <v>23.265599999999999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55"/>
        <v>55-15</v>
      </c>
      <c r="AE231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31" s="82" t="str">
        <f t="shared" si="160"/>
        <v>"C:\Program Files (x86)\AstroGrep\AstroGrep.exe" /e /r /s /spath="%USERPROFILE%\AppData\Local\Temp\OnboardLogs" /stypes="app*4032*20170315*" /stext=" 19:.+((SYSTEM_STATE.+slice.+state.+changed )|(ment ac)|(multiple cpu faults)|(system.+state.+changed )|(\[timeout)|(PRM\|1\|D)|(kpr)|(kdp)|(\|lc)|(penalty))"</v>
      </c>
      <c r="AG231" s="1" t="str">
        <f t="shared" si="156"/>
        <v>Other</v>
      </c>
      <c r="AH231" s="86" t="str">
        <f t="shared" si="161"/>
        <v>"%USERPROFILE%\Documents\GitHub\eaglep3\Utilities\RefineRTDCRunTimes.py" --tripid 55-15 --locoid 4032 --swversion DE.1.0.9.0 --startMP 204:232959 --initTime 2017-03-15T11:55:32 --startdatetime 2017-03-15T13:39:15 --delay 1 --endMP 204:303 --enddatetime 2017-03-15T13:56:22 --enforcementcount 0 &gt;&gt;C:\Users\stu\Documents\GitHub\eaglep3-reporting\EC\2017-03-15-refined-times.txt</v>
      </c>
      <c r="AI23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{"issue":{"subject":"","project_id":79,"tracker_id":40,"status_id":1,"priority_id":2,"assigned_to_id":23,"start_date":"2017-03-15","description":"","custom_fields":[{"id":1,"name":"Subdivision","value":"Other"},{"id":4,"name":"Milepost","value":"0.0303"},{"id":17,"name":"Train ID","value":"55-15"},{"id":16,"name":"Locomotive ID","value":"4032"},{"id":130,"name":"Impact","value":""},{"id":150,"name":"Time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63"/>
        <v>start /low /b %USERPROFILE%\Documents\GitHub\eaglep3\Utilities\DownloadLogsFromS3.py --loco 4032 --day 2017-03-15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32" spans="1:40" x14ac:dyDescent="0.25">
      <c r="A232" s="33" t="s">
        <v>764</v>
      </c>
      <c r="B232" s="7">
        <v>4028</v>
      </c>
      <c r="C232" s="21" t="s">
        <v>230</v>
      </c>
      <c r="D232" s="21" t="s">
        <v>932</v>
      </c>
      <c r="E232" s="13">
        <v>42809.726678240739</v>
      </c>
      <c r="F232" s="13">
        <v>42809.729722222219</v>
      </c>
      <c r="G232" s="7">
        <v>4</v>
      </c>
      <c r="H232" s="21" t="s">
        <v>933</v>
      </c>
      <c r="I232" s="13">
        <v>42809.735393518517</v>
      </c>
      <c r="J232" s="7">
        <v>0</v>
      </c>
      <c r="K232" s="98" t="str">
        <f t="shared" si="147"/>
        <v>4027/4028</v>
      </c>
      <c r="L232" s="21" t="str">
        <f>VLOOKUP(A232,'Trips&amp;Operators'!$C$1:$G$99999,5,FALSE)</f>
        <v>BROWN JACOB</v>
      </c>
      <c r="M232" s="6">
        <f t="shared" si="148"/>
        <v>5.6712962978053838E-3</v>
      </c>
      <c r="N232" s="7">
        <f t="shared" si="149"/>
        <v>8.1666666688397527</v>
      </c>
      <c r="O232" s="7"/>
      <c r="P232" s="7"/>
      <c r="Q232" s="22"/>
      <c r="R232" s="22"/>
      <c r="S232" s="31">
        <f t="shared" si="164"/>
        <v>0</v>
      </c>
      <c r="T232" s="46" t="e">
        <f t="shared" si="150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158"/>
        <v>https://d0f6bd738d7f1b3e5a7ca70fe4ff75f0.us-east-1.aws.found.io/app/kibana#/discover/Steve-Slow-Train-Analysis-(2080s-and-2083s)?_g=(refreshInterval:(display:Off,pause:!f,section:0,value:0),time:(from:'2017-03-15T16:26:25-0600',mode:absolute,to:'2017-03-15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187" t="str">
        <f t="shared" si="151"/>
        <v>Y</v>
      </c>
      <c r="X232" s="187" t="e">
        <f t="shared" si="157"/>
        <v>#VALUE!</v>
      </c>
      <c r="Y232" s="62">
        <f t="shared" si="152"/>
        <v>2.3332999999999999</v>
      </c>
      <c r="Z232" s="62">
        <f t="shared" si="153"/>
        <v>1.44E-2</v>
      </c>
      <c r="AA232" s="62">
        <f t="shared" si="154"/>
        <v>2.3188999999999997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55"/>
        <v>70-15</v>
      </c>
      <c r="AE232" s="85" t="str">
        <f t="shared" si="159"/>
        <v>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 &amp; 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</v>
      </c>
      <c r="AF232" s="82" t="str">
        <f t="shared" si="160"/>
        <v>"C:\Program Files (x86)\AstroGrep\AstroGrep.exe" /e /r /s /spath="%USERPROFILE%\AppData\Local\Temp\OnboardLogs" /stypes="app*4028*20170315*" /stext=" 23:.+((SYSTEM_STATE.+slice.+state.+changed )|(ment ac)|(multiple cpu faults)|(system.+state.+changed )|(\[timeout)|(PRM\|1\|D)|(kpr)|(kdp)|(\|lc)|(penalty))"</v>
      </c>
      <c r="AG232" s="1" t="str">
        <f t="shared" si="156"/>
        <v>Other</v>
      </c>
      <c r="AH232" s="86" t="str">
        <f t="shared" si="161"/>
        <v>"%USERPROFILE%\Documents\GitHub\eaglep3\Utilities\RefineRTDCRunTimes.py" --tripid 70-15 --locoid 4028 --swversion DE.1.0.9.0 --startMP 300:23333 --initTime 2017-03-15T17:26:25 --startdatetime 2017-03-15T17:30:48 --delay 4 --endMP 204:144 --enddatetime 2017-03-15T17:38:58 --enforcementcount 0 &gt;&gt;C:\Users\stu\Documents\GitHub\eaglep3-reporting\EC\2017-03-15-refined-times.txt</v>
      </c>
      <c r="AI23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{"issue":{"subject":"","project_id":79,"tracker_id":40,"status_id":1,"priority_id":2,"assigned_to_id":23,"start_date":"2017-03-15","description":"","custom_fields":[{"id":1,"name":"Subdivision","value":"Other"},{"id":4,"name":"Milepost","value":"0.0144"},{"id":17,"name":"Train ID","value":"70-15"},{"id":16,"name":"Locomotive ID","value":"4028"},{"id":130,"name":"Impact","value":""},{"id":150,"name":"Time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63"/>
        <v>start /low /b %USERPROFILE%\Documents\GitHub\eaglep3\Utilities\DownloadLogsFromS3.py --loco 4028 --day 2017-03-15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2017-03-15-UncaughtWiMAX.txt</v>
      </c>
    </row>
    <row r="233" spans="1:40" x14ac:dyDescent="0.25">
      <c r="A233" s="33" t="s">
        <v>776</v>
      </c>
      <c r="B233" s="7">
        <v>4027</v>
      </c>
      <c r="C233" s="21" t="s">
        <v>230</v>
      </c>
      <c r="D233" s="21" t="s">
        <v>239</v>
      </c>
      <c r="E233" s="13">
        <v>42809.757708333331</v>
      </c>
      <c r="F233" s="13">
        <v>42809.76966435185</v>
      </c>
      <c r="G233" s="7">
        <v>4</v>
      </c>
      <c r="H233" s="21" t="s">
        <v>934</v>
      </c>
      <c r="I233" s="13">
        <v>42809.775601851848</v>
      </c>
      <c r="J233" s="7">
        <v>0</v>
      </c>
      <c r="K233" s="98" t="str">
        <f t="shared" si="147"/>
        <v>4027/4028</v>
      </c>
      <c r="L233" s="21" t="str">
        <f>VLOOKUP(A233,'Trips&amp;Operators'!$C$1:$G$99999,5,FALSE)</f>
        <v>LEVERE CRAIG</v>
      </c>
      <c r="M233" s="6">
        <f t="shared" si="148"/>
        <v>5.9374999982537702E-3</v>
      </c>
      <c r="N233" s="7">
        <f t="shared" si="149"/>
        <v>8.549999997485429</v>
      </c>
      <c r="O233" s="7"/>
      <c r="P233" s="7"/>
      <c r="Q233" s="22"/>
      <c r="R233" s="22"/>
      <c r="S233" s="31">
        <f t="shared" si="164"/>
        <v>0</v>
      </c>
      <c r="T233" s="46" t="e">
        <f t="shared" si="150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158"/>
        <v>https://d0f6bd738d7f1b3e5a7ca70fe4ff75f0.us-east-1.aws.found.io/app/kibana#/discover/Steve-Slow-Train-Analysis-(2080s-and-2083s)?_g=(refreshInterval:(display:Off,pause:!f,section:0,value:0),time:(from:'2017-03-15T17:11:06-0600',mode:absolute,to:'2017-03-15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7" t="str">
        <f t="shared" si="151"/>
        <v>Y</v>
      </c>
      <c r="X233" s="187" t="e">
        <f t="shared" si="157"/>
        <v>#VALUE!</v>
      </c>
      <c r="Y233" s="62">
        <f t="shared" si="152"/>
        <v>4.4200000000000003E-2</v>
      </c>
      <c r="Z233" s="62">
        <f t="shared" si="153"/>
        <v>2.2824</v>
      </c>
      <c r="AA233" s="62">
        <f t="shared" si="154"/>
        <v>2.2382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55"/>
        <v>71-15</v>
      </c>
      <c r="AE233" s="85" t="str">
        <f t="shared" si="159"/>
        <v>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 &amp; 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</v>
      </c>
      <c r="AF233" s="82" t="str">
        <f t="shared" si="160"/>
        <v>"C:\Program Files (x86)\AstroGrep\AstroGrep.exe" /e /r /s /spath="%USERPROFILE%\AppData\Local\Temp\OnboardLogs" /stypes="app*4027*20170316*" /stext=" 00:.+((SYSTEM_STATE.+slice.+state.+changed )|(ment ac)|(multiple cpu faults)|(system.+state.+changed )|(\[timeout)|(PRM\|1\|D)|(kpr)|(kdp)|(\|lc)|(penalty))"</v>
      </c>
      <c r="AG233" s="1" t="str">
        <f t="shared" si="156"/>
        <v>Other</v>
      </c>
      <c r="AH233" s="86" t="str">
        <f t="shared" si="161"/>
        <v>"%USERPROFILE%\Documents\GitHub\eaglep3\Utilities\RefineRTDCRunTimes.py" --tripid 71-15 --locoid 4027 --swversion DE.1.0.9.0 --startMP 204:442 --initTime 2017-03-15T18:11:06 --startdatetime 2017-03-15T18:28:19 --delay 4 --endMP 300:22824 --enddatetime 2017-03-15T18:36:52 --enforcementcount 0 &gt;&gt;C:\Users\stu\Documents\GitHub\eaglep3-reporting\EC\2017-03-15-refined-times.txt</v>
      </c>
      <c r="AI233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{"issue":{"subject":"","project_id":79,"tracker_id":40,"status_id":1,"priority_id":2,"assigned_to_id":23,"start_date":"2017-03-15","description":"","custom_fields":[{"id":1,"name":"Subdivision","value":"Other"},{"id":4,"name":"Milepost","value":"2.2824"},{"id":17,"name":"Train ID","value":"71-15"},{"id":16,"name":"Locomotive ID","value":"4027"},{"id":130,"name":"Impact","value":""},{"id":150,"name":"Time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63"/>
        <v>start /low /b %USERPROFILE%\Documents\GitHub\eaglep3\Utilities\DownloadLogsFromS3.py --loco 4027 --day 2017-03-15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2017-03-15-UncaughtWiMAX.txt</v>
      </c>
    </row>
    <row r="234" spans="1:40" x14ac:dyDescent="0.25">
      <c r="A234" s="33" t="s">
        <v>615</v>
      </c>
      <c r="B234" s="7">
        <v>4032</v>
      </c>
      <c r="C234" s="21" t="s">
        <v>230</v>
      </c>
      <c r="D234" s="21" t="s">
        <v>935</v>
      </c>
      <c r="E234" s="13">
        <v>42809.740636574075</v>
      </c>
      <c r="F234" s="13">
        <v>42809.74391203704</v>
      </c>
      <c r="G234" s="7">
        <v>4</v>
      </c>
      <c r="H234" s="21" t="s">
        <v>936</v>
      </c>
      <c r="I234" s="13">
        <v>42809.743969907409</v>
      </c>
      <c r="J234" s="7">
        <v>0</v>
      </c>
      <c r="K234" s="98" t="str">
        <f t="shared" si="147"/>
        <v>4031/4032</v>
      </c>
      <c r="L234" s="21" t="str">
        <f>VLOOKUP(A234,'Trips&amp;Operators'!$C$1:$G$99999,5,FALSE)</f>
        <v>NELSON ARIANE</v>
      </c>
      <c r="M234" s="6">
        <f t="shared" si="148"/>
        <v>5.7870369346346706E-5</v>
      </c>
      <c r="N234" s="7">
        <f t="shared" si="149"/>
        <v>8.3333331858739257E-2</v>
      </c>
      <c r="O234" s="7"/>
      <c r="P234" s="7"/>
      <c r="Q234" s="22"/>
      <c r="R234" s="22"/>
      <c r="S234" s="31">
        <f t="shared" si="164"/>
        <v>0</v>
      </c>
      <c r="T234" s="46" t="e">
        <f t="shared" si="150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158"/>
        <v>https://d0f6bd738d7f1b3e5a7ca70fe4ff75f0.us-east-1.aws.found.io/app/kibana#/discover/Steve-Slow-Train-Analysis-(2080s-and-2083s)?_g=(refreshInterval:(display:Off,pause:!f,section:0,value:0),time:(from:'2017-03-15T16:46:31-0600',mode:absolute,to:'2017-03-15T18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4" s="187" t="str">
        <f t="shared" si="151"/>
        <v>Y</v>
      </c>
      <c r="X234" s="187" t="e">
        <f t="shared" si="157"/>
        <v>#VALUE!</v>
      </c>
      <c r="Y234" s="62">
        <f t="shared" si="152"/>
        <v>2.3218999999999999</v>
      </c>
      <c r="Z234" s="62">
        <f t="shared" si="153"/>
        <v>8.8099999999999998E-2</v>
      </c>
      <c r="AA234" s="62">
        <f t="shared" si="154"/>
        <v>2.2338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55"/>
        <v>72-15</v>
      </c>
      <c r="AE234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34" s="82" t="str">
        <f t="shared" si="160"/>
        <v>"C:\Program Files (x86)\AstroGrep\AstroGrep.exe" /e /r /s /spath="%USERPROFILE%\AppData\Local\Temp\OnboardLogs" /stypes="app*4032*20170315*" /stext=" 23:.+((SYSTEM_STATE.+slice.+state.+changed )|(ment ac)|(multiple cpu faults)|(system.+state.+changed )|(\[timeout)|(PRM\|1\|D)|(kpr)|(kdp)|(\|lc)|(penalty))"</v>
      </c>
      <c r="AG234" s="1" t="str">
        <f t="shared" si="156"/>
        <v>Other</v>
      </c>
      <c r="AH234" s="86" t="str">
        <f t="shared" si="161"/>
        <v>"%USERPROFILE%\Documents\GitHub\eaglep3\Utilities\RefineRTDCRunTimes.py" --tripid 72-15 --locoid 4032 --swversion DE.1.0.9.0 --startMP 300:23219 --initTime 2017-03-15T17:46:31 --startdatetime 2017-03-15T17:51:14 --delay 4 --endMP 204:881 --enddatetime 2017-03-15T17:51:19 --enforcementcount 0 &gt;&gt;C:\Users\stu\Documents\GitHub\eaglep3-reporting\EC\2017-03-15-refined-times.txt</v>
      </c>
      <c r="AI23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{"issue":{"subject":"","project_id":79,"tracker_id":40,"status_id":1,"priority_id":2,"assigned_to_id":23,"start_date":"2017-03-15","description":"","custom_fields":[{"id":1,"name":"Subdivision","value":"Other"},{"id":4,"name":"Milepost","value":"0.0881"},{"id":17,"name":"Train ID","value":"72-15"},{"id":16,"name":"Locomotive ID","value":"4032"},{"id":130,"name":"Impact","value":""},{"id":150,"name":"Time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63"/>
        <v>start /low /b %USERPROFILE%\Documents\GitHub\eaglep3\Utilities\DownloadLogsFromS3.py --loco 4032 --day 2017-03-15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35" spans="1:40" x14ac:dyDescent="0.25">
      <c r="A235" s="33" t="s">
        <v>778</v>
      </c>
      <c r="B235" s="7">
        <v>4029</v>
      </c>
      <c r="C235" s="21" t="s">
        <v>230</v>
      </c>
      <c r="D235" s="21" t="s">
        <v>937</v>
      </c>
      <c r="E235" s="13">
        <v>42809.762511574074</v>
      </c>
      <c r="F235" s="13">
        <v>42809.772083333337</v>
      </c>
      <c r="G235" s="7">
        <v>1</v>
      </c>
      <c r="H235" s="21" t="s">
        <v>922</v>
      </c>
      <c r="I235" s="13">
        <v>42809.778622685182</v>
      </c>
      <c r="J235" s="7">
        <v>0</v>
      </c>
      <c r="K235" s="98" t="str">
        <f t="shared" si="147"/>
        <v>4029/4030</v>
      </c>
      <c r="L235" s="21" t="str">
        <f>VLOOKUP(A235,'Trips&amp;Operators'!$C$1:$G$99999,5,FALSE)</f>
        <v>BEAM ROSS</v>
      </c>
      <c r="M235" s="6">
        <f t="shared" si="148"/>
        <v>6.539351845276542E-3</v>
      </c>
      <c r="N235" s="7">
        <f t="shared" si="149"/>
        <v>9.4166666571982205</v>
      </c>
      <c r="O235" s="7"/>
      <c r="P235" s="7"/>
      <c r="Q235" s="22"/>
      <c r="R235" s="22"/>
      <c r="S235" s="31">
        <f t="shared" si="164"/>
        <v>0</v>
      </c>
      <c r="T235" s="46" t="e">
        <f t="shared" si="150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158"/>
        <v>https://d0f6bd738d7f1b3e5a7ca70fe4ff75f0.us-east-1.aws.found.io/app/kibana#/discover/Steve-Slow-Train-Analysis-(2080s-and-2083s)?_g=(refreshInterval:(display:Off,pause:!f,section:0,value:0),time:(from:'2017-03-15T17:18:01-0600',mode:absolute,to:'2017-03-15T19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5" s="187" t="str">
        <f t="shared" si="151"/>
        <v>Y</v>
      </c>
      <c r="X235" s="187" t="e">
        <f t="shared" si="157"/>
        <v>#VALUE!</v>
      </c>
      <c r="Y235" s="62">
        <f t="shared" si="152"/>
        <v>0.15210000000000001</v>
      </c>
      <c r="Z235" s="62">
        <f t="shared" si="153"/>
        <v>2.3313999999999999</v>
      </c>
      <c r="AA235" s="62">
        <f t="shared" si="154"/>
        <v>2.1793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55"/>
        <v>75-15</v>
      </c>
      <c r="AE235" s="85" t="str">
        <f t="shared" si="159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235" s="82" t="str">
        <f t="shared" si="160"/>
        <v>"C:\Program Files (x86)\AstroGrep\AstroGrep.exe" /e /r /s /spath="%USERPROFILE%\AppData\Local\Temp\OnboardLogs" /stypes="app*4029*20170316*" /stext=" 00:.+((SYSTEM_STATE.+slice.+state.+changed )|(ment ac)|(multiple cpu faults)|(system.+state.+changed )|(\[timeout)|(PRM\|1\|D)|(kpr)|(kdp)|(\|lc)|(penalty))"</v>
      </c>
      <c r="AG235" s="1" t="str">
        <f t="shared" si="156"/>
        <v>Other</v>
      </c>
      <c r="AH235" s="86" t="str">
        <f t="shared" si="161"/>
        <v>"%USERPROFILE%\Documents\GitHub\eaglep3\Utilities\RefineRTDCRunTimes.py" --tripid 75-15 --locoid 4029 --swversion DE.1.0.9.0 --startMP 204:1521 --initTime 2017-03-15T18:18:01 --startdatetime 2017-03-15T18:31:48 --delay 1 --endMP 300:23314 --enddatetime 2017-03-15T18:41:13 --enforcementcount 0 &gt;&gt;C:\Users\stu\Documents\GitHub\eaglep3-reporting\EC\2017-03-15-refined-times.txt</v>
      </c>
      <c r="AI235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{"issue":{"subject":"","project_id":79,"tracker_id":40,"status_id":1,"priority_id":2,"assigned_to_id":23,"start_date":"2017-03-15","description":"","custom_fields":[{"id":1,"name":"Subdivision","value":"Other"},{"id":4,"name":"Milepost","value":"2.3314"},{"id":17,"name":"Train ID","value":"75-15"},{"id":16,"name":"Locomotive ID","value":"4029"},{"id":130,"name":"Impact","value":""},{"id":150,"name":"Time of Event (Mountain Time)","value":"18:41:13"},{"id":151,"name":"Denver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63"/>
        <v>start /low /b %USERPROFILE%\Documents\GitHub\eaglep3\Utilities\DownloadLogsFromS3.py --loco 4029 --day 2017-03-15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2017-03-15-UncaughtWiMAX.txt</v>
      </c>
    </row>
    <row r="236" spans="1:40" x14ac:dyDescent="0.25">
      <c r="A236" s="33" t="s">
        <v>780</v>
      </c>
      <c r="B236" s="7">
        <v>4042</v>
      </c>
      <c r="C236" s="21" t="s">
        <v>230</v>
      </c>
      <c r="D236" s="21" t="s">
        <v>938</v>
      </c>
      <c r="E236" s="13">
        <v>42809.764027777775</v>
      </c>
      <c r="F236" s="13">
        <v>42809.774571759262</v>
      </c>
      <c r="G236" s="7">
        <v>1</v>
      </c>
      <c r="H236" s="21" t="s">
        <v>490</v>
      </c>
      <c r="I236" s="13">
        <v>42809.780532407407</v>
      </c>
      <c r="J236" s="7">
        <v>0</v>
      </c>
      <c r="K236" s="98" t="str">
        <f t="shared" si="147"/>
        <v>4041/4042</v>
      </c>
      <c r="L236" s="21" t="str">
        <f>VLOOKUP(A236,'Trips&amp;Operators'!$C$1:$G$99999,5,FALSE)</f>
        <v>MAYBERRY BILL</v>
      </c>
      <c r="M236" s="6">
        <f t="shared" si="148"/>
        <v>5.9606481445371173E-3</v>
      </c>
      <c r="N236" s="7">
        <f t="shared" si="149"/>
        <v>8.583333328133449</v>
      </c>
      <c r="O236" s="7"/>
      <c r="P236" s="7"/>
      <c r="Q236" s="22"/>
      <c r="R236" s="22"/>
      <c r="S236" s="31">
        <f t="shared" si="164"/>
        <v>0</v>
      </c>
      <c r="T236" s="46" t="e">
        <f t="shared" si="150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158"/>
        <v>https://d0f6bd738d7f1b3e5a7ca70fe4ff75f0.us-east-1.aws.found.io/app/kibana#/discover/Steve-Slow-Train-Analysis-(2080s-and-2083s)?_g=(refreshInterval:(display:Off,pause:!f,section:0,value:0),time:(from:'2017-03-15T17:20:12-0600',mode:absolute,to:'2017-03-15T19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187" t="str">
        <f t="shared" si="151"/>
        <v>Y</v>
      </c>
      <c r="X236" s="187" t="e">
        <f t="shared" si="157"/>
        <v>#VALUE!</v>
      </c>
      <c r="Y236" s="62">
        <f t="shared" si="152"/>
        <v>0.11940000000000001</v>
      </c>
      <c r="Z236" s="62">
        <f t="shared" si="153"/>
        <v>2.3304</v>
      </c>
      <c r="AA236" s="62">
        <f t="shared" ref="AA236" si="165">ABS(Z236-Y236)</f>
        <v>2.2109999999999999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55"/>
        <v>77-15</v>
      </c>
      <c r="AE236" s="85" t="str">
        <f t="shared" si="159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236" s="82" t="str">
        <f t="shared" si="160"/>
        <v>"C:\Program Files (x86)\AstroGrep\AstroGrep.exe" /e /r /s /spath="%USERPROFILE%\AppData\Local\Temp\OnboardLogs" /stypes="app*4042*20170316*" /stext=" 00:.+((SYSTEM_STATE.+slice.+state.+changed )|(ment ac)|(multiple cpu faults)|(system.+state.+changed )|(\[timeout)|(PRM\|1\|D)|(kpr)|(kdp)|(\|lc)|(penalty))"</v>
      </c>
      <c r="AG236" s="1" t="str">
        <f t="shared" si="156"/>
        <v>Other</v>
      </c>
      <c r="AH236" s="86" t="str">
        <f t="shared" si="161"/>
        <v>"%USERPROFILE%\Documents\GitHub\eaglep3\Utilities\RefineRTDCRunTimes.py" --tripid 77-15 --locoid 4042 --swversion DE.1.0.9.0 --startMP 204:1194 --initTime 2017-03-15T18:20:12 --startdatetime 2017-03-15T18:35:23 --delay 1 --endMP 300:23304 --enddatetime 2017-03-15T18:43:58 --enforcementcount 0 &gt;&gt;C:\Users\stu\Documents\GitHub\eaglep3-reporting\EC\2017-03-15-refined-times.txt</v>
      </c>
      <c r="AI236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{"issue":{"subject":"","project_id":79,"tracker_id":40,"status_id":1,"priority_id":2,"assigned_to_id":23,"start_date":"2017-03-15","description":"","custom_fields":[{"id":1,"name":"Subdivision","value":"Other"},{"id":4,"name":"Milepost","value":"2.3304"},{"id":17,"name":"Train ID","value":"77-15"},{"id":16,"name":"Locomotive ID","value":"4042"},{"id":130,"name":"Impact","value":""},{"id":150,"name":"Time of Event (Mountain Time)","value":"18:43:58"},{"id":151,"name":"Denver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63"/>
        <v>start /low /b %USERPROFILE%\Documents\GitHub\eaglep3\Utilities\DownloadLogsFromS3.py --loco 4042 --day 2017-03-15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"%USERPROFILE%\AppData\Local\Temp\OnboardLogs"\RTDC4042\*4042*20170316* | grep -SE "(Enforcement Action)|(\[TIMEOUT)|(CHR.+\|PRM\|1\|D.+(SWITCH|SIGNAL).+UNKNOWN)" - &gt;&gt; 2017-03-15-UncaughtWiMAX.txt</v>
      </c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3"/>
  <sortState ref="A13:AH200">
    <sortCondition ref="AG13:AG200"/>
    <sortCondition ref="AD13:AD200"/>
  </sortState>
  <mergeCells count="1">
    <mergeCell ref="A11:P11"/>
  </mergeCells>
  <conditionalFormatting sqref="W11:W12 W280:X1048576 W13:X236">
    <cfRule type="cellIs" dxfId="10" priority="370" operator="equal">
      <formula>"Y"</formula>
    </cfRule>
  </conditionalFormatting>
  <conditionalFormatting sqref="X280:X1048576 X13:X236">
    <cfRule type="cellIs" dxfId="9" priority="353" operator="greaterThan">
      <formula>1</formula>
    </cfRule>
  </conditionalFormatting>
  <conditionalFormatting sqref="X280:X1048576 X12:X236">
    <cfRule type="cellIs" dxfId="8" priority="350" operator="equal">
      <formula>0</formula>
    </cfRule>
  </conditionalFormatting>
  <conditionalFormatting sqref="A13:S23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2" workbookViewId="0">
      <selection activeCell="S25" sqref="S2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49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- 2017-03-15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42809.28570601852</v>
      </c>
      <c r="B7" s="30" t="s">
        <v>243</v>
      </c>
      <c r="C7" s="30" t="s">
        <v>578</v>
      </c>
      <c r="D7" s="30" t="s">
        <v>49</v>
      </c>
      <c r="E7" s="30" t="s">
        <v>194</v>
      </c>
      <c r="F7" s="43">
        <v>0</v>
      </c>
      <c r="G7" s="43">
        <v>157</v>
      </c>
      <c r="H7" s="43">
        <v>26991</v>
      </c>
      <c r="I7" s="43">
        <v>27154</v>
      </c>
      <c r="J7" s="30" t="s">
        <v>195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-53.328000000000003</v>
      </c>
      <c r="N7" s="145" t="str">
        <f>VLOOKUP(C7,'Trips&amp;Operators'!$C$1:$G$99999,5,FALSE)</f>
        <v>ROCHA YAOTL</v>
      </c>
      <c r="O7" s="194" t="s">
        <v>185</v>
      </c>
      <c r="P7" s="146" t="s">
        <v>1026</v>
      </c>
      <c r="Q7" s="30"/>
      <c r="R7" s="89" t="str">
        <f>IF(VLOOKUP(C7,'Train Runs'!$A$13:$AE$9949,1,1)=C7,VLOOKUP(C7,'Train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7" s="92" t="str">
        <f>VLOOKUP(C7,'Train Runs'!$A$13:$AE$9949,22,0)</f>
        <v>https://d0f6bd738d7f1b3e5a7ca70fe4ff75f0.us-east-1.aws.found.io/app/kibana#/discover/Steve-Slow-Train-Analysis-(2080s-and-2083s)?_g=(refreshInterval:(display:Off,pause:!f,section:0,value:0),time:(from:'2017-03-15T05:40:12-0600',mode:absolute,to:'2017-03-15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/stypes="*4020*201703151*" /stext=" 12:.+((SYSTEM_STATE.+slice.+state.+changed )|(ment ac)|(multiple cpu faults)|(system.+state.+changed )|(\[timeout)|(PRM\|1\|D)|(kpr)|(kdp)|(\|lc)|(penalty))"</v>
      </c>
      <c r="U7" s="9" t="str">
        <f t="shared" ref="U7:U38" si="2">MID(B7,13,4)</f>
        <v>4020</v>
      </c>
      <c r="V7" s="32">
        <f t="shared" ref="V7:V38" si="3">A7-utc_offset/24</f>
        <v>42809.53570601852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arrival","project_id":79,"tracker_id":40,"status_id":1,"priority_id":2,"assigned_to_id":23,"start_date":"2017-03-15","description":"","custom_fields":[{"id":1,"name":"Subdivision","value":"EC"},{"id":4,"name":"Milepost","value":"2.7053"},{"id":17,"name":"Train ID","value":"125-15"},{"id":16,"name":"Locomotive ID","value":"4020"},{"id":130,"name":"Impact","value":""},{"id":150,"name":"Time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"%USERPROFILE%\AppData\Local\Temp\OnboardLogs"\RTDC4020\*4020*201703151*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"%USERPROFILE%\AppData\Local\Temp\OnboardLogs"\RTDC4020\*4020*201703151* &gt;&gt; 2017-03-15-SliceDisagreementCheck.txt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2017-03-15</v>
      </c>
    </row>
    <row r="8" spans="1:32" s="1" customFormat="1" x14ac:dyDescent="0.25">
      <c r="A8" s="32">
        <v>42809.433020833334</v>
      </c>
      <c r="B8" s="30" t="s">
        <v>391</v>
      </c>
      <c r="C8" s="30" t="s">
        <v>590</v>
      </c>
      <c r="D8" s="30" t="s">
        <v>49</v>
      </c>
      <c r="E8" s="30" t="s">
        <v>194</v>
      </c>
      <c r="F8" s="43">
        <v>0</v>
      </c>
      <c r="G8" s="43">
        <v>162</v>
      </c>
      <c r="H8" s="43">
        <v>30703</v>
      </c>
      <c r="I8" s="43">
        <v>30877</v>
      </c>
      <c r="J8" s="30" t="s">
        <v>195</v>
      </c>
      <c r="K8" s="43">
        <v>30830</v>
      </c>
      <c r="L8" s="143" t="s">
        <v>50</v>
      </c>
      <c r="M8" s="144">
        <f t="shared" si="0"/>
        <v>-24.815999999999999</v>
      </c>
      <c r="N8" s="145" t="str">
        <f>VLOOKUP(C8,'Trips&amp;Operators'!$C$1:$G$99999,5,FALSE)</f>
        <v>SANTIZO D. EDY</v>
      </c>
      <c r="O8" s="194" t="s">
        <v>185</v>
      </c>
      <c r="P8" s="146" t="s">
        <v>1026</v>
      </c>
      <c r="Q8" s="30"/>
      <c r="R8" s="89" t="str">
        <f>IF(VLOOKUP(C8,'Train Runs'!$A$13:$AE$9949,1,1)=C8,VLOOKUP(C8,'Train Runs'!$A$13:$AE$9949,31,1),NA())</f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S8" s="92" t="str">
        <f>VLOOKUP(C8,'Train Runs'!$A$13:$AE$9949,22,0)</f>
        <v>https://d0f6bd738d7f1b3e5a7ca70fe4ff75f0.us-east-1.aws.found.io/app/kibana#/discover/Steve-Slow-Train-Analysis-(2080s-and-2083s)?_g=(refreshInterval:(display:Off,pause:!f,section:0,value:0),time:(from:'2017-03-15T09:11:36-0600',mode:absolute,to:'2017-03-15T11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94" t="str">
        <f t="shared" si="1"/>
        <v>"C:\Program Files (x86)\AstroGrep\AstroGrep.exe" /e /r /s /spath="%USERPROFILE%\AppData\Local\Temp\OnboardLogs" /stypes="*4051*201703151*" /stext=" 16:.+((SYSTEM_STATE.+slice.+state.+changed )|(ment ac)|(multiple cpu faults)|(system.+state.+changed )|(\[timeout)|(PRM\|1\|D)|(kpr)|(kdp)|(\|lc)|(penalty))"</v>
      </c>
      <c r="U8" s="9" t="str">
        <f t="shared" si="2"/>
        <v>4051</v>
      </c>
      <c r="V8" s="32">
        <f t="shared" si="3"/>
        <v>42809.683020833334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arrival","project_id":79,"tracker_id":40,"status_id":1,"priority_id":2,"assigned_to_id":23,"start_date":"2017-03-15","description":"","custom_fields":[{"id":1,"name":"Subdivision","value":"EC"},{"id":4,"name":"Milepost","value":"3.083"},{"id":17,"name":"Train ID","value":"153-15"},{"id":16,"name":"Locomotive ID","value":"4051"},{"id":130,"name":"Impact","value":""},{"id":150,"name":"Time of Event (Mountain Time)","value":"10:23:33"},{"id":151,"name":"Denver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"%USERPROFILE%\AppData\Local\Temp\OnboardLogs"\RTDC4051\*4051*201703151*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"%USERPROFILE%\AppData\Local\Temp\OnboardLogs"\RTDC4051\*4051*201703151* &gt;&gt; 2017-03-15-SliceDisagreementCheck.txt</v>
      </c>
      <c r="AE8" s="157" t="str">
        <f t="shared" ref="AE8:AE59" si="9">"start /low /b "&amp;dls3logs&amp;" --loco "&amp;U8&amp;" --day "&amp;TEXT(V8,"YYYY-MM-DD")</f>
        <v>start /low /b %USERPROFILE%\Documents\GitHub\eaglep3\Utilities\DownloadLogsFromS3.py --loco 4051 --day 2017-03-15</v>
      </c>
    </row>
    <row r="9" spans="1:32" s="1" customFormat="1" x14ac:dyDescent="0.25">
      <c r="A9" s="32">
        <v>42809.696192129632</v>
      </c>
      <c r="B9" s="30" t="s">
        <v>243</v>
      </c>
      <c r="C9" s="30" t="s">
        <v>612</v>
      </c>
      <c r="D9" s="30" t="s">
        <v>49</v>
      </c>
      <c r="E9" s="30" t="s">
        <v>194</v>
      </c>
      <c r="F9" s="43">
        <v>280</v>
      </c>
      <c r="G9" s="43">
        <v>330</v>
      </c>
      <c r="H9" s="43">
        <v>31526</v>
      </c>
      <c r="I9" s="43">
        <v>32224</v>
      </c>
      <c r="J9" s="30" t="s">
        <v>195</v>
      </c>
      <c r="K9" s="43">
        <v>33137</v>
      </c>
      <c r="L9" s="143" t="s">
        <v>50</v>
      </c>
      <c r="M9" s="144">
        <f t="shared" si="0"/>
        <v>482.06400000000002</v>
      </c>
      <c r="N9" s="145" t="str">
        <f>VLOOKUP(C9,'Trips&amp;Operators'!$C$1:$G$99999,5,FALSE)</f>
        <v>CLARK KATHLEEN</v>
      </c>
      <c r="O9" s="194" t="s">
        <v>185</v>
      </c>
      <c r="P9" s="146" t="s">
        <v>1026</v>
      </c>
      <c r="Q9" s="30"/>
      <c r="R9" s="89" t="str">
        <f>IF(VLOOKUP(C9,'Train Runs'!$A$13:$AE$9949,1,1)=C9,VLOOKUP(C9,'Train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9" s="92" t="str">
        <f>VLOOKUP(C9,'Train Runs'!$A$13:$AE$9949,22,0)</f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/e /r /s /spath="%USERPROFILE%\AppData\Local\Temp\OnboardLogs" /stypes="*4020*201703152*" /stext=" 22:.+((SYSTEM_STATE.+slice.+state.+changed )|(ment ac)|(multiple cpu faults)|(system.+state.+changed )|(\[timeout)|(PRM\|1\|D)|(kpr)|(kdp)|(\|lc)|(penalty))"</v>
      </c>
      <c r="U9" s="9" t="str">
        <f t="shared" si="2"/>
        <v>4020</v>
      </c>
      <c r="V9" s="32">
        <f t="shared" si="3"/>
        <v>42809.946192129632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arrival","project_id":79,"tracker_id":40,"status_id":1,"priority_id":2,"assigned_to_id":23,"start_date":"2017-03-15","description":"","custom_fields":[{"id":1,"name":"Subdivision","value":"EC"},{"id":4,"name":"Milepost","value":"3.3137"},{"id":17,"name":"Train ID","value":"203-15"},{"id":16,"name":"Locomotive ID","value":"4020"},{"id":130,"name":"Impact","value":""},{"id":150,"name":"Time of Event (Mountain Time)","value":"16:42:31"},{"id":151,"name":"Denver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"%USERPROFILE%\AppData\Local\Temp\OnboardLogs"\RTDC4020\*4020*201703152*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"%USERPROFILE%\AppData\Local\Temp\OnboardLogs"\RTDC4020\*4020*201703152* &gt;&gt; 2017-03-15-SliceDisagreementCheck.txt</v>
      </c>
      <c r="AE9" s="157" t="str">
        <f t="shared" si="9"/>
        <v>start /low /b %USERPROFILE%\Documents\GitHub\eaglep3\Utilities\DownloadLogsFromS3.py --loco 4020 --day 2017-03-15</v>
      </c>
    </row>
    <row r="10" spans="1:32" s="1" customFormat="1" x14ac:dyDescent="0.25">
      <c r="A10" s="32">
        <v>42809.537314814814</v>
      </c>
      <c r="B10" s="30" t="s">
        <v>499</v>
      </c>
      <c r="C10" s="30" t="s">
        <v>597</v>
      </c>
      <c r="D10" s="30" t="s">
        <v>49</v>
      </c>
      <c r="E10" s="30" t="s">
        <v>194</v>
      </c>
      <c r="F10" s="43">
        <v>0</v>
      </c>
      <c r="G10" s="43">
        <v>457</v>
      </c>
      <c r="H10" s="43">
        <v>58859</v>
      </c>
      <c r="I10" s="43">
        <v>57677</v>
      </c>
      <c r="J10" s="30" t="s">
        <v>195</v>
      </c>
      <c r="K10" s="43">
        <v>58301</v>
      </c>
      <c r="L10" s="143" t="s">
        <v>51</v>
      </c>
      <c r="M10" s="144">
        <f t="shared" si="0"/>
        <v>-329.47199999999998</v>
      </c>
      <c r="N10" s="145" t="str">
        <f>VLOOKUP(C10,'Trips&amp;Operators'!$C$1:$G$99999,5,FALSE)</f>
        <v>LEVERE CRAIG</v>
      </c>
      <c r="O10" s="194" t="s">
        <v>185</v>
      </c>
      <c r="P10" s="146" t="s">
        <v>1026</v>
      </c>
      <c r="Q10" s="30"/>
      <c r="R10" s="89" t="str">
        <f>IF(VLOOKUP(C10,'Train Runs'!$A$13:$AE$9949,1,1)=C10,VLOOKUP(C10,'Train Runs'!$A$13:$AE$9949,31,1),NA())</f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S10" s="92" t="str">
        <f>VLOOKUP(C10,'Train Runs'!$A$13:$AE$9949,22,0)</f>
        <v>https://d0f6bd738d7f1b3e5a7ca70fe4ff75f0.us-east-1.aws.found.io/app/kibana#/discover/Steve-Slow-Train-Analysis-(2080s-and-2083s)?_g=(refreshInterval:(display:Off,pause:!f,section:0,value:0),time:(from:'2017-03-15T11:24:10-0600',mode:absolute,to:'2017-03-15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94" t="str">
        <f t="shared" si="1"/>
        <v>"C:\Program Files (x86)\AstroGrep\AstroGrep.exe" /e /r /s /spath="%USERPROFILE%\AppData\Local\Temp\OnboardLogs" /stypes="*4026*201703151*" /stext=" 18:.+((SYSTEM_STATE.+slice.+state.+changed )|(ment ac)|(multiple cpu faults)|(system.+state.+changed )|(\[timeout)|(PRM\|1\|D)|(kpr)|(kdp)|(\|lc)|(penalty))"</v>
      </c>
      <c r="U10" s="9" t="str">
        <f t="shared" si="2"/>
        <v>4026</v>
      </c>
      <c r="V10" s="32">
        <f t="shared" si="3"/>
        <v>42809.787314814814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arrival","project_id":79,"tracker_id":40,"status_id":1,"priority_id":2,"assigned_to_id":23,"start_date":"2017-03-15","description":"","custom_fields":[{"id":1,"name":"Subdivision","value":"EC"},{"id":4,"name":"Milepost","value":"5.8301"},{"id":17,"name":"Train ID","value":"164-15"},{"id":16,"name":"Locomotive ID","value":"4026"},{"id":130,"name":"Impact","value":""},{"id":150,"name":"Time of Event (Mountain Time)","value":"12:53:44"},{"id":151,"name":"Denver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"%USERPROFILE%\AppData\Local\Temp\OnboardLogs"\RTDC4026\*4026*201703151*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"%USERPROFILE%\AppData\Local\Temp\OnboardLogs"\RTDC4026\*4026*201703151* &gt;&gt; 2017-03-15-SliceDisagreementCheck.txt</v>
      </c>
      <c r="AE10" s="157" t="str">
        <f t="shared" si="9"/>
        <v>start /low /b %USERPROFILE%\Documents\GitHub\eaglep3\Utilities\DownloadLogsFromS3.py --loco 4026 --day 2017-03-15</v>
      </c>
    </row>
    <row r="11" spans="1:32" s="1" customFormat="1" x14ac:dyDescent="0.25">
      <c r="A11" s="32">
        <v>42809.317407407405</v>
      </c>
      <c r="B11" s="30" t="s">
        <v>221</v>
      </c>
      <c r="C11" s="30" t="s">
        <v>583</v>
      </c>
      <c r="D11" s="30" t="s">
        <v>49</v>
      </c>
      <c r="E11" s="30" t="s">
        <v>194</v>
      </c>
      <c r="F11" s="43">
        <v>310</v>
      </c>
      <c r="G11" s="43">
        <v>361</v>
      </c>
      <c r="H11" s="43">
        <v>58808</v>
      </c>
      <c r="I11" s="43">
        <v>57663</v>
      </c>
      <c r="J11" s="30" t="s">
        <v>195</v>
      </c>
      <c r="K11" s="43">
        <v>58301</v>
      </c>
      <c r="L11" s="143" t="s">
        <v>51</v>
      </c>
      <c r="M11" s="144">
        <f t="shared" si="0"/>
        <v>-336.86399999999998</v>
      </c>
      <c r="N11" s="145" t="str">
        <f>VLOOKUP(C11,'Trips&amp;Operators'!$C$1:$G$99999,5,FALSE)</f>
        <v>GUZMAN DANNY</v>
      </c>
      <c r="O11" s="194" t="s">
        <v>185</v>
      </c>
      <c r="P11" s="146" t="s">
        <v>1026</v>
      </c>
      <c r="Q11" s="30"/>
      <c r="R11" s="89" t="str">
        <f>IF(VLOOKUP(C11,'Train Runs'!$A$13:$AE$9949,1,1)=C11,VLOOKUP(C11,'Train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11" s="92" t="str">
        <f>VLOOKUP(C11,'Train Runs'!$A$13:$AE$9949,22,0)</f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/e /r /s /spath="%USERPROFILE%\AppData\Local\Temp\OnboardLogs" /stypes="*4012*201703151*" /stext=" 13:.+((SYSTEM_STATE.+slice.+state.+changed )|(ment ac)|(multiple cpu faults)|(system.+state.+changed )|(\[timeout)|(PRM\|1\|D)|(kpr)|(kdp)|(\|lc)|(penalty))"</v>
      </c>
      <c r="U11" s="9" t="str">
        <f t="shared" si="2"/>
        <v>4012</v>
      </c>
      <c r="V11" s="32">
        <f t="shared" si="3"/>
        <v>42809.567407407405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arrival","project_id":79,"tracker_id":40,"status_id":1,"priority_id":2,"assigned_to_id":23,"start_date":"2017-03-15","description":"","custom_fields":[{"id":1,"name":"Subdivision","value":"EC"},{"id":4,"name":"Milepost","value":"5.8301"},{"id":17,"name":"Train ID","value":"122-15"},{"id":16,"name":"Locomotive ID","value":"4012"},{"id":130,"name":"Impact","value":""},{"id":150,"name":"Time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"%USERPROFILE%\AppData\Local\Temp\OnboardLogs"\RTDC4012\*4012*201703151*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"%USERPROFILE%\AppData\Local\Temp\OnboardLogs"\RTDC4012\*4012*201703151* &gt;&gt; 2017-03-15-SliceDisagreementCheck.txt</v>
      </c>
      <c r="AE11" s="157" t="str">
        <f t="shared" si="9"/>
        <v>start /low /b %USERPROFILE%\Documents\GitHub\eaglep3\Utilities\DownloadLogsFromS3.py --loco 4012 --day 2017-03-15</v>
      </c>
    </row>
    <row r="12" spans="1:32" s="1" customFormat="1" x14ac:dyDescent="0.25">
      <c r="A12" s="32">
        <v>42809.446180555555</v>
      </c>
      <c r="B12" s="30" t="s">
        <v>243</v>
      </c>
      <c r="C12" s="30" t="s">
        <v>593</v>
      </c>
      <c r="D12" s="30" t="s">
        <v>49</v>
      </c>
      <c r="E12" s="30" t="s">
        <v>194</v>
      </c>
      <c r="F12" s="43">
        <v>270</v>
      </c>
      <c r="G12" s="43">
        <v>374</v>
      </c>
      <c r="H12" s="43">
        <v>58101</v>
      </c>
      <c r="I12" s="43">
        <v>58857</v>
      </c>
      <c r="J12" s="30" t="s">
        <v>195</v>
      </c>
      <c r="K12" s="43">
        <v>58783</v>
      </c>
      <c r="L12" s="143" t="s">
        <v>50</v>
      </c>
      <c r="M12" s="144">
        <f t="shared" si="0"/>
        <v>-39.072000000000003</v>
      </c>
      <c r="N12" s="145" t="str">
        <f>VLOOKUP(C12,'Trips&amp;Operators'!$C$1:$G$99999,5,FALSE)</f>
        <v>ROCHA YAOTL</v>
      </c>
      <c r="O12" s="194" t="s">
        <v>185</v>
      </c>
      <c r="P12" s="146" t="s">
        <v>1026</v>
      </c>
      <c r="Q12" s="30"/>
      <c r="R12" s="89" t="str">
        <f>IF(VLOOKUP(C12,'Train Runs'!$A$13:$AE$9949,1,1)=C12,VLOOKUP(C12,'Train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12" s="92" t="str">
        <f>VLOOKUP(C12,'Train Runs'!$A$13:$AE$9949,22,0)</f>
        <v>https://d0f6bd738d7f1b3e5a7ca70fe4ff75f0.us-east-1.aws.found.io/app/kibana#/discover/Steve-Slow-Train-Analysis-(2080s-and-2083s)?_g=(refreshInterval:(display:Off,pause:!f,section:0,value:0),time:(from:'2017-03-15T09:26:43-0600',mode:absolute,to:'2017-03-15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/e /r /s /spath="%USERPROFILE%\AppData\Local\Temp\OnboardLogs" /stypes="*4020*201703151*" /stext=" 16:.+((SYSTEM_STATE.+slice.+state.+changed )|(ment ac)|(multiple cpu faults)|(system.+state.+changed )|(\[timeout)|(PRM\|1\|D)|(kpr)|(kdp)|(\|lc)|(penalty))"</v>
      </c>
      <c r="U12" s="9" t="str">
        <f t="shared" si="2"/>
        <v>4020</v>
      </c>
      <c r="V12" s="32">
        <f t="shared" si="3"/>
        <v>42809.696180555555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arrival","project_id":79,"tracker_id":40,"status_id":1,"priority_id":2,"assigned_to_id":23,"start_date":"2017-03-15","description":"","custom_fields":[{"id":1,"name":"Subdivision","value":"EC"},{"id":4,"name":"Milepost","value":"5.8783"},{"id":17,"name":"Train ID","value":"155-15"},{"id":16,"name":"Locomotive ID","value":"4020"},{"id":130,"name":"Impact","value":""},{"id":150,"name":"Time of Event (Mountain Time)","value":"10:42:30"},{"id":151,"name":"Denver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"%USERPROFILE%\AppData\Local\Temp\OnboardLogs"\RTDC4020\*4020*201703151*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"%USERPROFILE%\AppData\Local\Temp\OnboardLogs"\RTDC4020\*4020*201703151* &gt;&gt; 2017-03-15-SliceDisagreementCheck.txt</v>
      </c>
      <c r="AE12" s="157" t="str">
        <f t="shared" si="9"/>
        <v>start /low /b %USERPROFILE%\Documents\GitHub\eaglep3\Utilities\DownloadLogsFromS3.py --loco 4020 --day 2017-03-15</v>
      </c>
    </row>
    <row r="13" spans="1:32" s="1" customFormat="1" x14ac:dyDescent="0.25">
      <c r="A13" s="32">
        <v>42810.035543981481</v>
      </c>
      <c r="B13" s="30" t="s">
        <v>504</v>
      </c>
      <c r="C13" s="30" t="s">
        <v>623</v>
      </c>
      <c r="D13" s="30" t="s">
        <v>49</v>
      </c>
      <c r="E13" s="30" t="s">
        <v>194</v>
      </c>
      <c r="F13" s="43">
        <v>70</v>
      </c>
      <c r="G13" s="43">
        <v>127</v>
      </c>
      <c r="H13" s="43">
        <v>64028</v>
      </c>
      <c r="I13" s="43">
        <v>63892</v>
      </c>
      <c r="J13" s="30" t="s">
        <v>195</v>
      </c>
      <c r="K13" s="43">
        <v>63309</v>
      </c>
      <c r="L13" s="143" t="s">
        <v>51</v>
      </c>
      <c r="M13" s="144">
        <f t="shared" si="0"/>
        <v>307.82400000000001</v>
      </c>
      <c r="N13" s="145" t="str">
        <f>VLOOKUP(C13,'Trips&amp;Operators'!$C$1:$G$99999,5,FALSE)</f>
        <v>MENGES BRAD</v>
      </c>
      <c r="O13" s="194" t="s">
        <v>185</v>
      </c>
      <c r="P13" s="146" t="s">
        <v>1026</v>
      </c>
      <c r="Q13" s="30"/>
      <c r="R13" s="89" t="str">
        <f>IF(VLOOKUP(C13,'Train Runs'!$A$13:$AE$9949,1,1)=C13,VLOOKUP(C13,'Train Runs'!$A$13:$AE$9949,31,1),NA())</f>
        <v>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 &amp; aws s3 cp s3://rtdc.mdm.uploadarchive.raw/RTDC4052/ "%USERPROFILE%\AppData\Local\Temp\OnboardLogs"\RTDC4052\2017-03-17 --exclude "*" --recursive --include "*20170317*" &amp; "%USERPROFILE%\Documents\GitHub\mrs-test-scripts\Headless Mode &amp; Sideloading\WalkAndUnGZ.bat" "%USERPROFILE%\AppData\Local\Temp\OnboardLogs"\RTDC4052\2017-03-17</v>
      </c>
      <c r="S13" s="92" t="str">
        <f>VLOOKUP(C13,'Train Runs'!$A$13:$AE$9949,22,0)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94" t="str">
        <f t="shared" si="1"/>
        <v>"C:\Program Files (x86)\AstroGrep\AstroGrep.exe" /e /r /s /spath="%USERPROFILE%\AppData\Local\Temp\OnboardLogs" /stypes="*4052*201703160*" /stext=" 06:.+((SYSTEM_STATE.+slice.+state.+changed )|(ment ac)|(multiple cpu faults)|(system.+state.+changed )|(\[timeout)|(PRM\|1\|D)|(kpr)|(kdp)|(\|lc)|(penalty))"</v>
      </c>
      <c r="U13" s="9" t="str">
        <f t="shared" si="2"/>
        <v>4052</v>
      </c>
      <c r="V13" s="32">
        <f t="shared" si="3"/>
        <v>42810.285543981481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arrival","project_id":79,"tracker_id":40,"status_id":1,"priority_id":2,"assigned_to_id":23,"start_date":"2017-03-16","description":"","custom_fields":[{"id":1,"name":"Subdivision","value":"EC"},{"id":4,"name":"Milepost","value":"6.3309"},{"id":17,"name":"Train ID","value":"240-15"},{"id":16,"name":"Locomotive ID","value":"4052"},{"id":130,"name":"Impact","value":""},{"id":150,"name":"Time of Event (Mountain Time)","value":"00:51:11"},{"id":151,"name":"Denver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"%USERPROFILE%\AppData\Local\Temp\OnboardLogs"\RTDC4052\*4052*201703160*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"%USERPROFILE%\AppData\Local\Temp\OnboardLogs"\RTDC4052\*4052*201703160* &gt;&gt; 2017-03-15-SliceDisagreementCheck.txt</v>
      </c>
      <c r="AE13" s="157" t="str">
        <f t="shared" si="9"/>
        <v>start /low /b %USERPROFILE%\Documents\GitHub\eaglep3\Utilities\DownloadLogsFromS3.py --loco 4052 --day 2017-03-16</v>
      </c>
    </row>
    <row r="14" spans="1:32" x14ac:dyDescent="0.25">
      <c r="A14" s="32">
        <v>42809.555023148147</v>
      </c>
      <c r="B14" s="30" t="s">
        <v>424</v>
      </c>
      <c r="C14" s="30" t="s">
        <v>600</v>
      </c>
      <c r="D14" s="30" t="s">
        <v>49</v>
      </c>
      <c r="E14" s="30" t="s">
        <v>194</v>
      </c>
      <c r="F14" s="43">
        <v>110</v>
      </c>
      <c r="G14" s="43">
        <v>356</v>
      </c>
      <c r="H14" s="43">
        <v>64990</v>
      </c>
      <c r="I14" s="43">
        <v>64289</v>
      </c>
      <c r="J14" s="30" t="s">
        <v>195</v>
      </c>
      <c r="K14" s="43">
        <v>63309</v>
      </c>
      <c r="L14" s="143" t="s">
        <v>51</v>
      </c>
      <c r="M14" s="144">
        <f t="shared" si="0"/>
        <v>517.44000000000005</v>
      </c>
      <c r="N14" s="145" t="str">
        <f>VLOOKUP(C14,'Trips&amp;Operators'!$C$1:$G$99999,5,FALSE)</f>
        <v>MOSES BRADLEY</v>
      </c>
      <c r="O14" s="194" t="s">
        <v>185</v>
      </c>
      <c r="P14" s="146" t="s">
        <v>1026</v>
      </c>
      <c r="Q14" s="30"/>
      <c r="R14" s="89" t="str">
        <f>IF(VLOOKUP(C14,'Train Runs'!$A$13:$AE$9949,1,1)=C14,VLOOKUP(C14,'Train Runs'!$A$13:$AE$9949,31,1),NA())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S14" s="92" t="str">
        <f>VLOOKUP(C14,'Train Runs'!$A$13:$AE$9949,22,0)</f>
        <v>https://d0f6bd738d7f1b3e5a7ca70fe4ff75f0.us-east-1.aws.found.io/app/kibana#/discover/Steve-Slow-Train-Analysis-(2080s-and-2083s)?_g=(refreshInterval:(display:Off,pause:!f,section:0,value:0),time:(from:'2017-03-15T11:53:13-0600',mode:absolute,to:'2017-03-15T14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/e /r /s /spath="%USERPROFILE%\AppData\Local\Temp\OnboardLogs" /stypes="*4039*201703151*" /stext=" 19:.+((SYSTEM_STATE.+slice.+state.+changed )|(ment ac)|(multiple cpu faults)|(system.+state.+changed )|(\[timeout)|(PRM\|1\|D)|(kpr)|(kdp)|(\|lc)|(penalty))"</v>
      </c>
      <c r="U14" s="9" t="str">
        <f t="shared" si="2"/>
        <v>4039</v>
      </c>
      <c r="V14" s="32">
        <f t="shared" si="3"/>
        <v>42809.805023148147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arrival","project_id":79,"tracker_id":40,"status_id":1,"priority_id":2,"assigned_to_id":23,"start_date":"2017-03-15","description":"","custom_fields":[{"id":1,"name":"Subdivision","value":"EC"},{"id":4,"name":"Milepost","value":"6.3309"},{"id":17,"name":"Train ID","value":"168-15"},{"id":16,"name":"Locomotive ID","value":"4039"},{"id":130,"name":"Impact","value":""},{"id":150,"name":"Time of Event (Mountain Time)","value":"13:19:14"},{"id":151,"name":"Denver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"%USERPROFILE%\AppData\Local\Temp\OnboardLogs"\RTDC4039\*4039*201703151*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"%USERPROFILE%\AppData\Local\Temp\OnboardLogs"\RTDC4039\*4039*201703151* &gt;&gt; 2017-03-15-SliceDisagreementCheck.txt</v>
      </c>
      <c r="AE14" s="157" t="str">
        <f t="shared" si="9"/>
        <v>start /low /b %USERPROFILE%\Documents\GitHub\eaglep3\Utilities\DownloadLogsFromS3.py --loco 4039 --day 2017-03-15</v>
      </c>
      <c r="AF14" s="1"/>
    </row>
    <row r="15" spans="1:32" x14ac:dyDescent="0.25">
      <c r="A15" s="32">
        <v>42809.593541666669</v>
      </c>
      <c r="B15" s="30" t="s">
        <v>379</v>
      </c>
      <c r="C15" s="30" t="s">
        <v>603</v>
      </c>
      <c r="D15" s="30" t="s">
        <v>49</v>
      </c>
      <c r="E15" s="30" t="s">
        <v>194</v>
      </c>
      <c r="F15" s="43">
        <v>470</v>
      </c>
      <c r="G15" s="43">
        <v>558</v>
      </c>
      <c r="H15" s="43">
        <v>79470</v>
      </c>
      <c r="I15" s="43">
        <v>77805</v>
      </c>
      <c r="J15" s="30" t="s">
        <v>195</v>
      </c>
      <c r="K15" s="43">
        <v>78469</v>
      </c>
      <c r="L15" s="143" t="s">
        <v>51</v>
      </c>
      <c r="M15" s="144">
        <f t="shared" si="0"/>
        <v>-350.59199999999998</v>
      </c>
      <c r="N15" s="145" t="str">
        <f>VLOOKUP(C15,'Trips&amp;Operators'!$C$1:$G$99999,5,FALSE)</f>
        <v>MAYBERRY BILL</v>
      </c>
      <c r="O15" s="194" t="s">
        <v>185</v>
      </c>
      <c r="P15" s="146" t="s">
        <v>1026</v>
      </c>
      <c r="Q15" s="30"/>
      <c r="R15" s="89" t="str">
        <f>IF(VLOOKUP(C15,'Train Runs'!$A$13:$AE$9949,1,1)=C15,VLOOKUP(C15,'Train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15" s="92" t="str">
        <f>VLOOKUP(C15,'Train Runs'!$A$13:$AE$9949,22,0)</f>
        <v>https://d0f6bd738d7f1b3e5a7ca70fe4ff75f0.us-east-1.aws.found.io/app/kibana#/discover/Steve-Slow-Train-Analysis-(2080s-and-2083s)?_g=(refreshInterval:(display:Off,pause:!f,section:0,value:0),time:(from:'2017-03-15T12:25:42-0600',mode:absolute,to:'2017-03-15T15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/e /r /s /spath="%USERPROFILE%\AppData\Local\Temp\OnboardLogs" /stypes="*4019*201703152*" /stext=" 20:.+((SYSTEM_STATE.+slice.+state.+changed )|(ment ac)|(multiple cpu faults)|(system.+state.+changed )|(\[timeout)|(PRM\|1\|D)|(kpr)|(kdp)|(\|lc)|(penalty))"</v>
      </c>
      <c r="U15" s="9" t="str">
        <f t="shared" si="2"/>
        <v>4019</v>
      </c>
      <c r="V15" s="32">
        <f t="shared" si="3"/>
        <v>42809.843541666669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arrival","project_id":79,"tracker_id":40,"status_id":1,"priority_id":2,"assigned_to_id":23,"start_date":"2017-03-15","description":"","custom_fields":[{"id":1,"name":"Subdivision","value":"EC"},{"id":4,"name":"Milepost","value":"7.8469"},{"id":17,"name":"Train ID","value":"174-15"},{"id":16,"name":"Locomotive ID","value":"4019"},{"id":130,"name":"Impact","value":""},{"id":150,"name":"Time of Event (Mountain Time)","value":"14:14:42"},{"id":151,"name":"Denver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"%USERPROFILE%\AppData\Local\Temp\OnboardLogs"\RTDC4019\*4019*201703152*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"%USERPROFILE%\AppData\Local\Temp\OnboardLogs"\RTDC4019\*4019*201703152* &gt;&gt; 2017-03-15-SliceDisagreementCheck.txt</v>
      </c>
      <c r="AE15" s="157" t="str">
        <f t="shared" si="9"/>
        <v>start /low /b %USERPROFILE%\Documents\GitHub\eaglep3\Utilities\DownloadLogsFromS3.py --loco 4019 --day 2017-03-15</v>
      </c>
      <c r="AF15" s="1"/>
    </row>
    <row r="16" spans="1:32" x14ac:dyDescent="0.25">
      <c r="A16" s="32">
        <v>42809.885115740741</v>
      </c>
      <c r="B16" s="30" t="s">
        <v>379</v>
      </c>
      <c r="C16" s="30" t="s">
        <v>620</v>
      </c>
      <c r="D16" s="30" t="s">
        <v>49</v>
      </c>
      <c r="E16" s="30" t="s">
        <v>194</v>
      </c>
      <c r="F16" s="43">
        <v>620</v>
      </c>
      <c r="G16" s="43">
        <v>670</v>
      </c>
      <c r="H16" s="43">
        <v>104383</v>
      </c>
      <c r="I16" s="43">
        <v>101694</v>
      </c>
      <c r="J16" s="30" t="s">
        <v>195</v>
      </c>
      <c r="K16" s="43">
        <v>103800</v>
      </c>
      <c r="L16" s="143" t="s">
        <v>51</v>
      </c>
      <c r="M16" s="144">
        <f t="shared" si="0"/>
        <v>-1111.9680000000001</v>
      </c>
      <c r="N16" s="145" t="str">
        <f>VLOOKUP(C16,'Trips&amp;Operators'!$C$1:$G$99999,5,FALSE)</f>
        <v>BROWN JACOB</v>
      </c>
      <c r="O16" s="194" t="s">
        <v>185</v>
      </c>
      <c r="P16" s="146" t="s">
        <v>1026</v>
      </c>
      <c r="Q16" s="30"/>
      <c r="R16" s="89" t="str">
        <f>IF(VLOOKUP(C16,'Train Runs'!$A$13:$AE$9949,1,1)=C16,VLOOKUP(C16,'Train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16" s="92" t="str">
        <f>VLOOKUP(C16,'Train Runs'!$A$13:$AE$9949,22,0)</f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94" t="str">
        <f t="shared" si="1"/>
        <v>"C:\Program Files (x86)\AstroGrep\AstroGrep.exe" /e /r /s /spath="%USERPROFILE%\AppData\Local\Temp\OnboardLogs" /stypes="*4019*201703160*" /stext=" 03:.+((SYSTEM_STATE.+slice.+state.+changed )|(ment ac)|(multiple cpu faults)|(system.+state.+changed )|(\[timeout)|(PRM\|1\|D)|(kpr)|(kdp)|(\|lc)|(penalty))"</v>
      </c>
      <c r="U16" s="9" t="str">
        <f t="shared" si="2"/>
        <v>4019</v>
      </c>
      <c r="V16" s="32">
        <f t="shared" si="3"/>
        <v>42810.135115740741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arrival","project_id":79,"tracker_id":40,"status_id":1,"priority_id":2,"assigned_to_id":23,"start_date":"2017-03-15","description":"","custom_fields":[{"id":1,"name":"Subdivision","value":"EC"},{"id":4,"name":"Milepost","value":"10.38"},{"id":17,"name":"Train ID","value":"226-15"},{"id":16,"name":"Locomotive ID","value":"4019"},{"id":130,"name":"Impact","value":""},{"id":150,"name":"Time of Event (Mountain Time)","value":"21:14:34"},{"id":151,"name":"Denver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"%USERPROFILE%\AppData\Local\Temp\OnboardLogs"\RTDC4019\*4019*201703160*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"%USERPROFILE%\AppData\Local\Temp\OnboardLogs"\RTDC4019\*4019*201703160* &gt;&gt; 2017-03-15-SliceDisagreementCheck.txt</v>
      </c>
      <c r="AE16" s="157" t="str">
        <f t="shared" si="9"/>
        <v>start /low /b %USERPROFILE%\Documents\GitHub\eaglep3\Utilities\DownloadLogsFromS3.py --loco 4019 --day 2017-03-16</v>
      </c>
      <c r="AF16" s="1"/>
    </row>
    <row r="17" spans="1:32" x14ac:dyDescent="0.25">
      <c r="A17" s="32">
        <v>42809.437175925923</v>
      </c>
      <c r="B17" s="30" t="s">
        <v>591</v>
      </c>
      <c r="C17" s="30" t="s">
        <v>592</v>
      </c>
      <c r="D17" s="30" t="s">
        <v>49</v>
      </c>
      <c r="E17" s="30" t="s">
        <v>194</v>
      </c>
      <c r="F17" s="43">
        <v>0</v>
      </c>
      <c r="G17" s="43">
        <v>373</v>
      </c>
      <c r="H17" s="43">
        <v>109233</v>
      </c>
      <c r="I17" s="43">
        <v>108821</v>
      </c>
      <c r="J17" s="30" t="s">
        <v>195</v>
      </c>
      <c r="K17" s="43">
        <v>109135</v>
      </c>
      <c r="L17" s="143" t="s">
        <v>51</v>
      </c>
      <c r="M17" s="144">
        <f t="shared" si="0"/>
        <v>-165.79199999999997</v>
      </c>
      <c r="N17" s="145" t="str">
        <f>VLOOKUP(C17,'Trips&amp;Operators'!$C$1:$G$99999,5,FALSE)</f>
        <v>STARKS ANGELINA</v>
      </c>
      <c r="O17" s="194" t="s">
        <v>185</v>
      </c>
      <c r="P17" s="146" t="s">
        <v>1026</v>
      </c>
      <c r="Q17" s="30"/>
      <c r="R17" s="89" t="str">
        <f>IF(VLOOKUP(C17,'Train Runs'!$A$13:$AE$9949,1,1)=C17,VLOOKUP(C17,'Train Runs'!$A$13:$AE$9949,31,1),NA())</f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S17" s="92" t="str">
        <f>VLOOKUP(C17,'Train Runs'!$A$13:$AE$9949,22,0)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/stypes="*4041*201703151*" /stext=" 16:.+((SYSTEM_STATE.+slice.+state.+changed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42809.687175925923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arrival","project_id":79,"tracker_id":40,"status_id":1,"priority_id":2,"assigned_to_id":23,"start_date":"2017-03-15","description":"","custom_fields":[{"id":1,"name":"Subdivision","value":"EC"},{"id":4,"name":"Milepost","value":"10.9135"},{"id":17,"name":"Train ID","value":"146-15"},{"id":16,"name":"Locomotive ID","value":"4041"},{"id":130,"name":"Impact","value":""},{"id":150,"name":"Time of Event (Mountain Time)","value":"10:29:32"},{"id":151,"name":"Denver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"%USERPROFILE%\AppData\Local\Temp\OnboardLogs"\RTDC4041\*4041*201703151*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"%USERPROFILE%\AppData\Local\Temp\OnboardLogs"\RTDC4041\*4041*201703151* &gt;&gt; 2017-03-15-SliceDisagreementCheck.txt</v>
      </c>
      <c r="AE17" s="157" t="str">
        <f t="shared" si="9"/>
        <v>start /low /b %USERPROFILE%\Documents\GitHub\eaglep3\Utilities\DownloadLogsFromS3.py --loco 4041 --day 2017-03-15</v>
      </c>
      <c r="AF17" s="1"/>
    </row>
    <row r="18" spans="1:32" ht="15" customHeight="1" x14ac:dyDescent="0.25">
      <c r="A18" s="32">
        <v>42809.69122685185</v>
      </c>
      <c r="B18" s="30" t="s">
        <v>243</v>
      </c>
      <c r="C18" s="30" t="s">
        <v>612</v>
      </c>
      <c r="D18" s="30" t="s">
        <v>98</v>
      </c>
      <c r="E18" s="30" t="s">
        <v>226</v>
      </c>
      <c r="F18" s="43">
        <v>150</v>
      </c>
      <c r="G18" s="43">
        <v>210</v>
      </c>
      <c r="H18" s="43">
        <v>3219</v>
      </c>
      <c r="I18" s="43">
        <v>3586</v>
      </c>
      <c r="J18" s="30" t="s">
        <v>227</v>
      </c>
      <c r="K18" s="43">
        <v>0</v>
      </c>
      <c r="L18" s="143" t="s">
        <v>50</v>
      </c>
      <c r="M18" s="144">
        <f t="shared" si="0"/>
        <v>-1893.4079999999999</v>
      </c>
      <c r="N18" s="145" t="str">
        <f>VLOOKUP(C18,'Trips&amp;Operators'!$C$1:$G$99999,5,FALSE)</f>
        <v>CLARK KATHLEEN</v>
      </c>
      <c r="O18" s="194" t="s">
        <v>185</v>
      </c>
      <c r="P18" s="146"/>
      <c r="Q18" s="30"/>
      <c r="R18" s="89" t="str">
        <f>IF(VLOOKUP(C18,'Train Runs'!$A$13:$AE$9949,1,1)=C18,VLOOKUP(C18,'Train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18" s="92" t="str">
        <f>VLOOKUP(C18,'Train Runs'!$A$13:$AE$9949,22,0)</f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94" t="str">
        <f t="shared" si="1"/>
        <v>"C:\Program Files (x86)\AstroGrep\AstroGrep.exe" /e /r /s /spath="%USERPROFILE%\AppData\Local\Temp\OnboardLogs" /stypes="*4020*201703152*" /stext=" 22:.+((SYSTEM_STATE.+slice.+state.+changed )|(ment ac)|(multiple cpu faults)|(system.+state.+changed )|(\[timeout)|(PRM\|1\|D)|(kpr)|(kdp)|(\|lc)|(penalty))"</v>
      </c>
      <c r="U18" s="9" t="str">
        <f t="shared" si="2"/>
        <v>4020</v>
      </c>
      <c r="V18" s="32">
        <f t="shared" si="3"/>
        <v>42809.94122685185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{"issue":{"subject":"","project_id":79,"tracker_id":40,"status_id":1,"priority_id":2,"assigned_to_id":23,"start_date":"2017-03-15","description":"","custom_fields":[{"id":1,"name":"Subdivision","value":"EC"},{"id":4,"name":"Milepost","value":"0"},{"id":17,"name":"Train ID","value":"203-15"},{"id":16,"name":"Locomotive ID","value":"4020"},{"id":130,"name":"Impact","value":""},{"id":150,"name":"Time of Event (Mountain Time)","value":"16:35:22"},{"id":151,"name":"Denver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"%USERPROFILE%\AppData\Local\Temp\OnboardLogs"\RTDC4020\*4020*201703152*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"%USERPROFILE%\AppData\Local\Temp\OnboardLogs"\RTDC4020\*4020*201703152* &gt;&gt; 2017-03-15-SliceDisagreementCheck.txt</v>
      </c>
      <c r="AE18" s="157" t="str">
        <f t="shared" si="9"/>
        <v>start /low /b %USERPROFILE%\Documents\GitHub\eaglep3\Utilities\DownloadLogsFromS3.py --loco 4020 --day 2017-03-15</v>
      </c>
      <c r="AF18" s="1"/>
    </row>
    <row r="19" spans="1:32" x14ac:dyDescent="0.25">
      <c r="A19" s="32">
        <v>42809.795300925929</v>
      </c>
      <c r="B19" s="30" t="s">
        <v>190</v>
      </c>
      <c r="C19" s="30" t="s">
        <v>618</v>
      </c>
      <c r="D19" s="30" t="s">
        <v>98</v>
      </c>
      <c r="E19" s="30" t="s">
        <v>226</v>
      </c>
      <c r="F19" s="43">
        <v>200</v>
      </c>
      <c r="G19" s="43">
        <v>254</v>
      </c>
      <c r="H19" s="43">
        <v>5374</v>
      </c>
      <c r="I19" s="43">
        <v>5817</v>
      </c>
      <c r="J19" s="30" t="s">
        <v>227</v>
      </c>
      <c r="K19" s="43">
        <v>4677</v>
      </c>
      <c r="L19" s="143" t="s">
        <v>50</v>
      </c>
      <c r="M19" s="144">
        <f t="shared" si="0"/>
        <v>-601.91999999999996</v>
      </c>
      <c r="N19" s="145" t="str">
        <f>VLOOKUP(C19,'Trips&amp;Operators'!$C$1:$G$99999,5,FALSE)</f>
        <v>JACKSON WILLIAM</v>
      </c>
      <c r="O19" s="194" t="s">
        <v>185</v>
      </c>
      <c r="P19" s="146"/>
      <c r="Q19" s="30"/>
      <c r="R19" s="89" t="str">
        <f>IF(VLOOKUP(C19,'Train Runs'!$A$13:$AE$9949,1,1)=C19,VLOOKUP(C19,'Train Runs'!$A$13:$AE$9949,31,1),NA())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S19" s="92" t="str">
        <f>VLOOKUP(C19,'Train Runs'!$A$13:$AE$9949,22,0)</f>
        <v>https://d0f6bd738d7f1b3e5a7ca70fe4ff75f0.us-east-1.aws.found.io/app/kibana#/discover/Steve-Slow-Train-Analysis-(2080s-and-2083s)?_g=(refreshInterval:(display:Off,pause:!f,section:0,value:0),time:(from:'2017-03-15T18:00:18-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94" t="str">
        <f t="shared" si="1"/>
        <v>"C:\Program Files (x86)\AstroGrep\AstroGrep.exe" /e /r /s /spath="%USERPROFILE%\AppData\Local\Temp\OnboardLogs" /stypes="*4011*201703160*" /stext=" 01:.+((SYSTEM_STATE.+slice.+state.+changed )|(ment ac)|(multiple cpu faults)|(system.+state.+changed )|(\[timeout)|(PRM\|1\|D)|(kpr)|(kdp)|(\|lc)|(penalty))"</v>
      </c>
      <c r="U19" s="9" t="str">
        <f t="shared" si="2"/>
        <v>4011</v>
      </c>
      <c r="V19" s="32">
        <f t="shared" si="3"/>
        <v>42810.045300925929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{"issue":{"subject":"","project_id":79,"tracker_id":40,"status_id":1,"priority_id":2,"assigned_to_id":23,"start_date":"2017-03-15","description":"","custom_fields":[{"id":1,"name":"Subdivision","value":"EC"},{"id":4,"name":"Milepost","value":"0.4677"},{"id":17,"name":"Train ID","value":"221-15"},{"id":16,"name":"Locomotive ID","value":"4011"},{"id":130,"name":"Impact","value":""},{"id":150,"name":"Time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"%USERPROFILE%\AppData\Local\Temp\OnboardLogs"\RTDC4011\*4011*201703160*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"%USERPROFILE%\AppData\Local\Temp\OnboardLogs"\RTDC4011\*4011*201703160* &gt;&gt; 2017-03-15-SliceDisagreementCheck.txt</v>
      </c>
      <c r="AE19" s="157" t="str">
        <f t="shared" si="9"/>
        <v>start /low /b %USERPROFILE%\Documents\GitHub\eaglep3\Utilities\DownloadLogsFromS3.py --loco 4011 --day 2017-03-16</v>
      </c>
      <c r="AF19" s="1"/>
    </row>
    <row r="20" spans="1:32" x14ac:dyDescent="0.25">
      <c r="A20" s="32">
        <v>42809.448171296295</v>
      </c>
      <c r="B20" s="30" t="s">
        <v>591</v>
      </c>
      <c r="C20" s="30" t="s">
        <v>592</v>
      </c>
      <c r="D20" s="30" t="s">
        <v>49</v>
      </c>
      <c r="E20" s="30" t="s">
        <v>226</v>
      </c>
      <c r="F20" s="43">
        <v>300</v>
      </c>
      <c r="G20" s="43">
        <v>372</v>
      </c>
      <c r="H20" s="43">
        <v>22937</v>
      </c>
      <c r="I20" s="43">
        <v>21911</v>
      </c>
      <c r="J20" s="30" t="s">
        <v>227</v>
      </c>
      <c r="K20" s="43">
        <v>21848</v>
      </c>
      <c r="L20" s="143" t="s">
        <v>51</v>
      </c>
      <c r="M20" s="144">
        <f t="shared" si="0"/>
        <v>33.264000000000003</v>
      </c>
      <c r="N20" s="145" t="str">
        <f>VLOOKUP(C20,'Trips&amp;Operators'!$C$1:$G$99999,5,FALSE)</f>
        <v>STARKS ANGELINA</v>
      </c>
      <c r="O20" s="194" t="s">
        <v>185</v>
      </c>
      <c r="P20" s="146"/>
      <c r="Q20" s="30"/>
      <c r="R20" s="89" t="str">
        <f>IF(VLOOKUP(C20,'Train Runs'!$A$13:$AE$9949,1,1)=C20,VLOOKUP(C20,'Train Runs'!$A$13:$AE$9949,31,1),NA())</f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S20" s="92" t="str">
        <f>VLOOKUP(C20,'Train Runs'!$A$13:$AE$9949,22,0)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94" t="str">
        <f t="shared" si="1"/>
        <v>"C:\Program Files (x86)\AstroGrep\AstroGrep.exe" /e /r /s /spath="%USERPROFILE%\AppData\Local\Temp\OnboardLogs" /stypes="*4041*201703151*" /stext=" 16:.+((SYSTEM_STATE.+slice.+state.+changed )|(ment ac)|(multiple cpu faults)|(system.+state.+changed )|(\[timeout)|(PRM\|1\|D)|(kpr)|(kdp)|(\|lc)|(penalty))"</v>
      </c>
      <c r="U20" s="9" t="str">
        <f t="shared" si="2"/>
        <v>4041</v>
      </c>
      <c r="V20" s="32">
        <f t="shared" si="3"/>
        <v>42809.698171296295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{"issue":{"subject":"","project_id":79,"tracker_id":40,"status_id":1,"priority_id":2,"assigned_to_id":23,"start_date":"2017-03-15","description":"","custom_fields":[{"id":1,"name":"Subdivision","value":"EC"},{"id":4,"name":"Milepost","value":"2.1848"},{"id":17,"name":"Train ID","value":"146-15"},{"id":16,"name":"Locomotive ID","value":"4041"},{"id":130,"name":"Impact","value":""},{"id":150,"name":"Time of Event (Mountain Time)","value":"10:45:22"},{"id":151,"name":"Denver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"%USERPROFILE%\AppData\Local\Temp\OnboardLogs"\RTDC4041\*4041*201703151*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"%USERPROFILE%\AppData\Local\Temp\OnboardLogs"\RTDC4041\*4041*201703151* &gt;&gt; 2017-03-15-SliceDisagreementCheck.txt</v>
      </c>
      <c r="AE20" s="157" t="str">
        <f t="shared" si="9"/>
        <v>start /low /b %USERPROFILE%\Documents\GitHub\eaglep3\Utilities\DownloadLogsFromS3.py --loco 4041 --day 2017-03-15</v>
      </c>
      <c r="AF20" s="1"/>
    </row>
    <row r="21" spans="1:32" x14ac:dyDescent="0.25">
      <c r="A21" s="32">
        <v>42809.504803240743</v>
      </c>
      <c r="B21" s="30" t="s">
        <v>504</v>
      </c>
      <c r="C21" s="30" t="s">
        <v>596</v>
      </c>
      <c r="D21" s="30" t="s">
        <v>49</v>
      </c>
      <c r="E21" s="30" t="s">
        <v>226</v>
      </c>
      <c r="F21" s="43">
        <v>300</v>
      </c>
      <c r="G21" s="43">
        <v>367</v>
      </c>
      <c r="H21" s="43">
        <v>22841</v>
      </c>
      <c r="I21" s="43">
        <v>21953</v>
      </c>
      <c r="J21" s="30" t="s">
        <v>227</v>
      </c>
      <c r="K21" s="43">
        <v>21848</v>
      </c>
      <c r="L21" s="143" t="s">
        <v>51</v>
      </c>
      <c r="M21" s="144">
        <f t="shared" si="0"/>
        <v>55.44</v>
      </c>
      <c r="N21" s="145" t="str">
        <f>VLOOKUP(C21,'Trips&amp;Operators'!$C$1:$G$99999,5,FALSE)</f>
        <v>SANTIZO D. EDY</v>
      </c>
      <c r="O21" s="194" t="s">
        <v>185</v>
      </c>
      <c r="P21" s="146"/>
      <c r="Q21" s="30"/>
      <c r="R21" s="89" t="str">
        <f>IF(VLOOKUP(C21,'Train Runs'!$A$13:$AE$9949,1,1)=C21,VLOOKUP(C21,'Train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1" s="92" t="str">
        <f>VLOOKUP(C21,'Train Runs'!$A$13:$AE$9949,22,0)</f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/e /r /s /spath="%USERPROFILE%\AppData\Local\Temp\OnboardLogs" /stypes="*4052*201703151*" /stext=" 18:.+((SYSTEM_STATE.+slice.+state.+changed )|(ment ac)|(multiple cpu faults)|(system.+state.+changed )|(\[timeout)|(PRM\|1\|D)|(kpr)|(kdp)|(\|lc)|(penalty))"</v>
      </c>
      <c r="U21" s="9" t="str">
        <f t="shared" si="2"/>
        <v>4052</v>
      </c>
      <c r="V21" s="32">
        <f t="shared" si="3"/>
        <v>42809.754803240743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{"issue":{"subject":"","project_id":79,"tracker_id":40,"status_id":1,"priority_id":2,"assigned_to_id":23,"start_date":"2017-03-15","description":"","custom_fields":[{"id":1,"name":"Subdivision","value":"EC"},{"id":4,"name":"Milepost","value":"2.1848"},{"id":17,"name":"Train ID","value":"154-15"},{"id":16,"name":"Locomotive ID","value":"4052"},{"id":130,"name":"Impact","value":""},{"id":150,"name":"Time of Event (Mountain Time)","value":"12:06:55"},{"id":151,"name":"Denver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"%USERPROFILE%\AppData\Local\Temp\OnboardLogs"\RTDC4052\*4052*201703151*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1" s="157" t="str">
        <f t="shared" si="9"/>
        <v>start /low /b %USERPROFILE%\Documents\GitHub\eaglep3\Utilities\DownloadLogsFromS3.py --loco 4052 --day 2017-03-15</v>
      </c>
      <c r="AF21" s="1"/>
    </row>
    <row r="22" spans="1:32" x14ac:dyDescent="0.25">
      <c r="A22" s="32">
        <v>42809.633472222224</v>
      </c>
      <c r="B22" s="30" t="s">
        <v>203</v>
      </c>
      <c r="C22" s="30" t="s">
        <v>604</v>
      </c>
      <c r="D22" s="30" t="s">
        <v>49</v>
      </c>
      <c r="E22" s="30" t="s">
        <v>226</v>
      </c>
      <c r="F22" s="43">
        <v>400</v>
      </c>
      <c r="G22" s="43">
        <v>581</v>
      </c>
      <c r="H22" s="43">
        <v>122396</v>
      </c>
      <c r="I22" s="43">
        <v>120015</v>
      </c>
      <c r="J22" s="30" t="s">
        <v>227</v>
      </c>
      <c r="K22" s="43">
        <v>119716</v>
      </c>
      <c r="L22" s="143" t="s">
        <v>51</v>
      </c>
      <c r="M22" s="144">
        <f t="shared" si="0"/>
        <v>157.87200000000001</v>
      </c>
      <c r="N22" s="145" t="str">
        <f>VLOOKUP(C22,'Trips&amp;Operators'!$C$1:$G$99999,5,FALSE)</f>
        <v>LEVIN SCOTT</v>
      </c>
      <c r="O22" s="194" t="s">
        <v>185</v>
      </c>
      <c r="P22" s="146"/>
      <c r="Q22" s="30"/>
      <c r="R22" s="89" t="str">
        <f>IF(VLOOKUP(C22,'Train Runs'!$A$13:$AE$9949,1,1)=C22,VLOOKUP(C22,'Train Runs'!$A$13:$AE$9949,31,1),NA())</f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S22" s="92" t="str">
        <f>VLOOKUP(C22,'Train Runs'!$A$13:$AE$9949,22,0)</f>
        <v>https://d0f6bd738d7f1b3e5a7ca70fe4ff75f0.us-east-1.aws.found.io/app/kibana#/discover/Steve-Slow-Train-Analysis-(2080s-and-2083s)?_g=(refreshInterval:(display:Off,pause:!f,section:0,value:0),time:(from:'2017-03-15T13:51:16-0600',mode:absolute,to:'2017-03-15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/stypes="*4030*201703152*" /stext=" 21:.+((SYSTEM_STATE.+slice.+state.+changed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42809.883472222224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{"issue":{"subject":"","project_id":79,"tracker_id":40,"status_id":1,"priority_id":2,"assigned_to_id":23,"start_date":"2017-03-15","description":"","custom_fields":[{"id":1,"name":"Subdivision","value":"EC"},{"id":4,"name":"Milepost","value":"11.9716"},{"id":17,"name":"Train ID","value":"184-15"},{"id":16,"name":"Locomotive ID","value":"4030"},{"id":130,"name":"Impact","value":""},{"id":150,"name":"Time of Event (Mountain Time)","value":"15:12:12"},{"id":151,"name":"Denver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"%USERPROFILE%\AppData\Local\Temp\OnboardLogs"\RTDC4030\*4030*201703152*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"%USERPROFILE%\AppData\Local\Temp\OnboardLogs"\RTDC4030\*4030*201703152* &gt;&gt; 2017-03-15-SliceDisagreementCheck.txt</v>
      </c>
      <c r="AE22" s="157" t="str">
        <f t="shared" si="9"/>
        <v>start /low /b %USERPROFILE%\Documents\GitHub\eaglep3\Utilities\DownloadLogsFromS3.py --loco 4030 --day 2017-03-15</v>
      </c>
      <c r="AF22" s="1"/>
    </row>
    <row r="23" spans="1:32" x14ac:dyDescent="0.25">
      <c r="A23" s="32">
        <v>42809.577418981484</v>
      </c>
      <c r="B23" s="30" t="s">
        <v>504</v>
      </c>
      <c r="C23" s="30" t="s">
        <v>601</v>
      </c>
      <c r="D23" s="30" t="s">
        <v>49</v>
      </c>
      <c r="E23" s="30" t="s">
        <v>389</v>
      </c>
      <c r="F23" s="43">
        <v>0</v>
      </c>
      <c r="G23" s="43">
        <v>46</v>
      </c>
      <c r="H23" s="43">
        <v>64094</v>
      </c>
      <c r="I23" s="43">
        <v>64061</v>
      </c>
      <c r="J23" s="30" t="s">
        <v>390</v>
      </c>
      <c r="K23" s="43">
        <v>64008</v>
      </c>
      <c r="L23" s="143" t="s">
        <v>51</v>
      </c>
      <c r="M23" s="144">
        <f t="shared" si="0"/>
        <v>27.984000000000002</v>
      </c>
      <c r="N23" s="145" t="str">
        <f>VLOOKUP(C23,'Trips&amp;Operators'!$C$1:$G$99999,5,FALSE)</f>
        <v>DELGADO DIANAH</v>
      </c>
      <c r="O23" s="194" t="s">
        <v>392</v>
      </c>
      <c r="P23" s="146" t="s">
        <v>1027</v>
      </c>
      <c r="Q23" s="30"/>
      <c r="R23" s="89" t="str">
        <f>IF(VLOOKUP(C23,'Train Runs'!$A$13:$AE$9949,1,1)=C23,VLOOKUP(C23,'Train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3" s="92" t="str">
        <f>VLOOKUP(C23,'Train Runs'!$A$13:$AE$9949,22,0)</f>
        <v>https://d0f6bd738d7f1b3e5a7ca70fe4ff75f0.us-east-1.aws.found.io/app/kibana#/discover/Steve-Slow-Train-Analysis-(2080s-and-2083s)?_g=(refreshInterval:(display:Off,pause:!f,section:0,value:0),time:(from:'2017-03-15T12:17:46-0600',mode:absolute,to:'2017-03-15T15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/e /r /s /spath="%USERPROFILE%\AppData\Local\Temp\OnboardLogs" /stypes="*4052*201703151*" /stext=" 19:.+((SYSTEM_STATE.+slice.+state.+changed )|(ment ac)|(multiple cpu faults)|(system.+state.+changed )|(\[timeout)|(PRM\|1\|D)|(kpr)|(kdp)|(\|lc)|(penalty))"</v>
      </c>
      <c r="U23" s="9" t="str">
        <f t="shared" si="2"/>
        <v>4052</v>
      </c>
      <c r="V23" s="32">
        <f t="shared" si="3"/>
        <v>42809.827418981484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drop","project_id":79,"tracker_id":40,"status_id":1,"priority_id":2,"assigned_to_id":23,"start_date":"2017-03-15","description":"","custom_fields":[{"id":1,"name":"Subdivision","value":"EC"},{"id":4,"name":"Milepost","value":"6.4008"},{"id":17,"name":"Train ID","value":"172-15"},{"id":16,"name":"Locomotive ID","value":"4052"},{"id":130,"name":"Impact","value":""},{"id":150,"name":"Time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"%USERPROFILE%\AppData\Local\Temp\OnboardLogs"\RTDC4052\*4052*201703151*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3" s="157" t="str">
        <f t="shared" si="9"/>
        <v>start /low /b %USERPROFILE%\Documents\GitHub\eaglep3\Utilities\DownloadLogsFromS3.py --loco 4052 --day 2017-03-15</v>
      </c>
      <c r="AF23" s="1"/>
    </row>
    <row r="24" spans="1:32" x14ac:dyDescent="0.25">
      <c r="A24" s="32">
        <v>42809.292615740742</v>
      </c>
      <c r="B24" s="30" t="s">
        <v>426</v>
      </c>
      <c r="C24" s="30" t="s">
        <v>579</v>
      </c>
      <c r="D24" s="30" t="s">
        <v>49</v>
      </c>
      <c r="E24" s="30" t="s">
        <v>449</v>
      </c>
      <c r="F24" s="43">
        <v>0</v>
      </c>
      <c r="G24" s="43">
        <v>138</v>
      </c>
      <c r="H24" s="43">
        <v>1688</v>
      </c>
      <c r="I24" s="43">
        <v>1912</v>
      </c>
      <c r="J24" s="30" t="s">
        <v>450</v>
      </c>
      <c r="K24" s="43">
        <v>1692</v>
      </c>
      <c r="L24" s="143" t="s">
        <v>50</v>
      </c>
      <c r="M24" s="144">
        <f t="shared" si="0"/>
        <v>-116.16</v>
      </c>
      <c r="N24" s="145" t="str">
        <f>VLOOKUP(C24,'Trips&amp;Operators'!$C$1:$G$99999,5,FALSE)</f>
        <v>BADERTSCHER DIANE</v>
      </c>
      <c r="O24" s="194" t="s">
        <v>392</v>
      </c>
      <c r="P24" s="146" t="s">
        <v>468</v>
      </c>
      <c r="Q24" s="30"/>
      <c r="R24" s="89" t="str">
        <f>IF(VLOOKUP(C24,'Train Runs'!$A$13:$AE$9949,1,1)=C24,VLOOKUP(C24,'Train Runs'!$A$13:$AE$9949,31,1),NA())</f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S24" s="92" t="str">
        <f>VLOOKUP(C24,'Train Runs'!$A$13:$AE$9949,22,0)</f>
        <v>https://d0f6bd738d7f1b3e5a7ca70fe4ff75f0.us-east-1.aws.found.io/app/kibana#/discover/Steve-Slow-Train-Analysis-(2080s-and-2083s)?_g=(refreshInterval:(display:Off,pause:!f,section:0,value:0),time:(from:'2017-03-15T06:38:07-0600',mode:absolute,to:'2017-03-15T08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94" t="str">
        <f t="shared" si="1"/>
        <v>"C:\Program Files (x86)\AstroGrep\AstroGrep.exe" /e /r /s /spath="%USERPROFILE%\AppData\Local\Temp\OnboardLogs" /stypes="*4040*201703151*" /stext=" 13:.+((SYSTEM_STATE.+slice.+state.+changed )|(ment ac)|(multiple cpu faults)|(system.+state.+changed )|(\[timeout)|(PRM\|1\|D)|(kpr)|(kdp)|(\|lc)|(penalty))"</v>
      </c>
      <c r="U24" s="9" t="str">
        <f t="shared" si="2"/>
        <v>4040</v>
      </c>
      <c r="V24" s="32">
        <f t="shared" si="3"/>
        <v>42809.542615740742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{"issue":{"subject":"Onboard in-route failure","project_id":79,"tracker_id":40,"status_id":1,"priority_id":2,"assigned_to_id":23,"start_date":"2017-03-15","description":"","custom_fields":[{"id":1,"name":"Subdivision","value":"EC"},{"id":4,"name":"Milepost","value":"0.1692"},{"id":17,"name":"Train ID","value":"127-15"},{"id":16,"name":"Locomotive ID","value":"4040"},{"id":130,"name":"Impact","value":""},{"id":150,"name":"Time of Event (Mountain Time)","value":"07:01:22"},{"id":151,"name":"Denver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"%USERPROFILE%\AppData\Local\Temp\OnboardLogs"\RTDC4040\*4040*201703151*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"%USERPROFILE%\AppData\Local\Temp\OnboardLogs"\RTDC4040\*4040*201703151* &gt;&gt; 2017-03-15-SliceDisagreementCheck.txt</v>
      </c>
      <c r="AE24" s="157" t="str">
        <f t="shared" si="9"/>
        <v>start /low /b %USERPROFILE%\Documents\GitHub\eaglep3\Utilities\DownloadLogsFromS3.py --loco 4040 --day 2017-03-15</v>
      </c>
      <c r="AF24" s="1"/>
    </row>
    <row r="25" spans="1:32" x14ac:dyDescent="0.25">
      <c r="A25" s="32">
        <v>42809.667754629627</v>
      </c>
      <c r="B25" s="30" t="s">
        <v>446</v>
      </c>
      <c r="C25" s="30" t="s">
        <v>608</v>
      </c>
      <c r="D25" s="30" t="s">
        <v>49</v>
      </c>
      <c r="E25" s="30" t="s">
        <v>449</v>
      </c>
      <c r="F25" s="43">
        <v>0</v>
      </c>
      <c r="G25" s="43">
        <v>123</v>
      </c>
      <c r="H25" s="43">
        <v>232181</v>
      </c>
      <c r="I25" s="43">
        <v>232003</v>
      </c>
      <c r="J25" s="30" t="s">
        <v>450</v>
      </c>
      <c r="K25" s="43">
        <v>231650</v>
      </c>
      <c r="L25" s="143" t="s">
        <v>51</v>
      </c>
      <c r="M25" s="144">
        <f t="shared" si="0"/>
        <v>186.38399999999999</v>
      </c>
      <c r="N25" s="145" t="str">
        <f>VLOOKUP(C25,'Trips&amp;Operators'!$C$1:$G$99999,5,FALSE)</f>
        <v>DAVIS MICHAEL</v>
      </c>
      <c r="O25" s="194" t="s">
        <v>392</v>
      </c>
      <c r="P25" s="146" t="s">
        <v>1028</v>
      </c>
      <c r="Q25" s="30"/>
      <c r="R25" s="89" t="str">
        <f>IF(VLOOKUP(C25,'Train Runs'!$A$13:$AE$9949,1,1)=C25,VLOOKUP(C25,'Train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5" s="92" t="str">
        <f>VLOOKUP(C25,'Train Runs'!$A$13:$AE$9949,22,0)</f>
        <v>https://d0f6bd738d7f1b3e5a7ca70fe4ff75f0.us-east-1.aws.found.io/app/kibana#/discover/Steve-Slow-Train-Analysis-(2080s-and-2083s)?_g=(refreshInterval:(display:Off,pause:!f,section:0,value:0),time:(from:'2017-03-15T14:57:54-0600',mode:absolute,to:'2017-03-15T17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/stypes="*4054*201703152*" /stext=" 22:.+((SYSTEM_STATE.+slice.+state.+changed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42809.917754629627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{"issue":{"subject":"DIA 4S dropped to STOP","project_id":79,"tracker_id":40,"status_id":1,"priority_id":2,"assigned_to_id":23,"start_date":"2017-03-15","description":"At approx 16:01, DIA 4S dropped from PROCEED CAB to STOP, anything in logs that say why?","custom_fields":[{"id":1,"name":"Subdivision","value":"EC"},{"id":4,"name":"Milepost","value":"23.165"},{"id":17,"name":"Train ID","value":"192-15"},{"id":16,"name":"Locomotive ID","value":"4054"},{"id":130,"name":"Impact","value":"Enforcement"},{"id":150,"name":"Time of Event (Mountain Time)","value":"16:01:34"},{"id":151,"name":"Denver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48" t="s">
        <v>1029</v>
      </c>
      <c r="AA25" s="48" t="s">
        <v>124</v>
      </c>
      <c r="AB25" s="48" t="s">
        <v>129</v>
      </c>
      <c r="AC25" s="127" t="str">
        <f t="shared" si="7"/>
        <v>grep -hSE -A400 "Enforcement Action" "%USERPROFILE%\AppData\Local\Temp\OnboardLogs"\RTDC4054\*4054*201703152*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"%USERPROFILE%\AppData\Local\Temp\OnboardLogs"\RTDC4054\*4054*201703152* &gt;&gt; 2017-03-15-SliceDisagreementCheck.txt</v>
      </c>
      <c r="AE25" s="157" t="str">
        <f t="shared" si="9"/>
        <v>start /low /b %USERPROFILE%\Documents\GitHub\eaglep3\Utilities\DownloadLogsFromS3.py --loco 4054 --day 2017-03-15</v>
      </c>
      <c r="AF25" s="1"/>
    </row>
    <row r="26" spans="1:32" x14ac:dyDescent="0.25">
      <c r="A26" s="32">
        <v>42809.328425925924</v>
      </c>
      <c r="B26" s="30" t="s">
        <v>221</v>
      </c>
      <c r="C26" s="30" t="s">
        <v>583</v>
      </c>
      <c r="D26" s="30" t="s">
        <v>49</v>
      </c>
      <c r="E26" s="30" t="s">
        <v>186</v>
      </c>
      <c r="F26" s="43">
        <v>0</v>
      </c>
      <c r="G26" s="43">
        <v>63</v>
      </c>
      <c r="H26" s="43">
        <v>231</v>
      </c>
      <c r="I26" s="43">
        <v>169</v>
      </c>
      <c r="J26" s="30" t="s">
        <v>187</v>
      </c>
      <c r="K26" s="43">
        <v>1</v>
      </c>
      <c r="L26" s="143" t="s">
        <v>51</v>
      </c>
      <c r="M26" s="144">
        <f t="shared" si="0"/>
        <v>88.703999999999994</v>
      </c>
      <c r="N26" s="145" t="str">
        <f>VLOOKUP(C26,'Trips&amp;Operators'!$C$1:$G$99999,5,FALSE)</f>
        <v>GUZMAN DANNY</v>
      </c>
      <c r="O26" s="194" t="s">
        <v>185</v>
      </c>
      <c r="P26" s="146"/>
      <c r="Q26" s="30"/>
      <c r="R26" s="89" t="str">
        <f>IF(VLOOKUP(C26,'Train Runs'!$A$13:$AE$9949,1,1)=C26,VLOOKUP(C26,'Train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26" s="92" t="str">
        <f>VLOOKUP(C26,'Train Runs'!$A$13:$AE$9949,22,0)</f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94" t="str">
        <f t="shared" si="1"/>
        <v>"C:\Program Files (x86)\AstroGrep\AstroGrep.exe" /e /r /s /spath="%USERPROFILE%\AppData\Local\Temp\OnboardLogs" /stypes="*4012*201703151*" /stext=" 13:.+((SYSTEM_STATE.+slice.+state.+changed )|(ment ac)|(multiple cpu faults)|(system.+state.+changed )|(\[timeout)|(PRM\|1\|D)|(kpr)|(kdp)|(\|lc)|(penalty))"</v>
      </c>
      <c r="U26" s="9" t="str">
        <f t="shared" si="2"/>
        <v>4012</v>
      </c>
      <c r="V26" s="32">
        <f t="shared" si="3"/>
        <v>42809.578425925924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ID","value":"122-15"},{"id":16,"name":"Locomotive ID","value":"4012"},{"id":130,"name":"Impact","value":""},{"id":150,"name":"Time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"%USERPROFILE%\AppData\Local\Temp\OnboardLogs"\RTDC4012\*4012*201703151*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"%USERPROFILE%\AppData\Local\Temp\OnboardLogs"\RTDC4012\*4012*201703151* &gt;&gt; 2017-03-15-SliceDisagreementCheck.txt</v>
      </c>
      <c r="AE26" s="157" t="str">
        <f t="shared" si="9"/>
        <v>start /low /b %USERPROFILE%\Documents\GitHub\eaglep3\Utilities\DownloadLogsFromS3.py --loco 4012 --day 2017-03-15</v>
      </c>
      <c r="AF26" s="1"/>
    </row>
    <row r="27" spans="1:32" x14ac:dyDescent="0.25">
      <c r="A27" s="32">
        <v>42809.509884259256</v>
      </c>
      <c r="B27" s="30" t="s">
        <v>504</v>
      </c>
      <c r="C27" s="30" t="s">
        <v>596</v>
      </c>
      <c r="D27" s="30" t="s">
        <v>49</v>
      </c>
      <c r="E27" s="30" t="s">
        <v>186</v>
      </c>
      <c r="F27" s="43">
        <v>0</v>
      </c>
      <c r="G27" s="43">
        <v>88</v>
      </c>
      <c r="H27" s="43">
        <v>311</v>
      </c>
      <c r="I27" s="43">
        <v>212</v>
      </c>
      <c r="J27" s="30" t="s">
        <v>187</v>
      </c>
      <c r="K27" s="43">
        <v>1</v>
      </c>
      <c r="L27" s="143" t="s">
        <v>51</v>
      </c>
      <c r="M27" s="144">
        <f t="shared" si="0"/>
        <v>111.408</v>
      </c>
      <c r="N27" s="145" t="str">
        <f>VLOOKUP(C27,'Trips&amp;Operators'!$C$1:$G$99999,5,FALSE)</f>
        <v>SANTIZO D. EDY</v>
      </c>
      <c r="O27" s="194" t="s">
        <v>185</v>
      </c>
      <c r="P27" s="146"/>
      <c r="Q27" s="30"/>
      <c r="R27" s="89" t="str">
        <f>IF(VLOOKUP(C27,'Train Runs'!$A$13:$AE$9949,1,1)=C27,VLOOKUP(C27,'Train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7" s="92" t="str">
        <f>VLOOKUP(C27,'Train Runs'!$A$13:$AE$9949,22,0)</f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94" t="str">
        <f t="shared" si="1"/>
        <v>"C:\Program Files (x86)\AstroGrep\AstroGrep.exe" /e /r /s /spath="%USERPROFILE%\AppData\Local\Temp\OnboardLogs" /stypes="*4052*201703151*" /stext=" 18:.+((SYSTEM_STATE.+slice.+state.+changed )|(ment ac)|(multiple cpu faults)|(system.+state.+changed )|(\[timeout)|(PRM\|1\|D)|(kpr)|(kdp)|(\|lc)|(penalty))"</v>
      </c>
      <c r="U27" s="9" t="str">
        <f t="shared" si="2"/>
        <v>4052</v>
      </c>
      <c r="V27" s="32">
        <f t="shared" si="3"/>
        <v>42809.759884259256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"%USERPROFILE%\AppData\Local\Temp\OnboardLogs"\RTDC4052\*4052*201703151*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7" s="157" t="str">
        <f t="shared" si="9"/>
        <v>start /low /b %USERPROFILE%\Documents\GitHub\eaglep3\Utilities\DownloadLogsFromS3.py --loco 4052 --day 2017-03-15</v>
      </c>
      <c r="AF27" s="1"/>
    </row>
    <row r="28" spans="1:32" x14ac:dyDescent="0.25">
      <c r="A28" s="32">
        <v>42809.541134259256</v>
      </c>
      <c r="B28" s="30" t="s">
        <v>446</v>
      </c>
      <c r="C28" s="30" t="s">
        <v>599</v>
      </c>
      <c r="D28" s="30" t="s">
        <v>49</v>
      </c>
      <c r="E28" s="30" t="s">
        <v>186</v>
      </c>
      <c r="F28" s="43">
        <v>0</v>
      </c>
      <c r="G28" s="43">
        <v>29</v>
      </c>
      <c r="H28" s="43">
        <v>87</v>
      </c>
      <c r="I28" s="43">
        <v>54</v>
      </c>
      <c r="J28" s="30" t="s">
        <v>187</v>
      </c>
      <c r="K28" s="43">
        <v>1</v>
      </c>
      <c r="L28" s="143" t="s">
        <v>51</v>
      </c>
      <c r="M28" s="144">
        <f t="shared" si="0"/>
        <v>27.984000000000002</v>
      </c>
      <c r="N28" s="145" t="str">
        <f>VLOOKUP(C28,'Trips&amp;Operators'!$C$1:$G$99999,5,FALSE)</f>
        <v>DAVIS MICHAEL</v>
      </c>
      <c r="O28" s="194" t="s">
        <v>185</v>
      </c>
      <c r="P28" s="146"/>
      <c r="Q28" s="30"/>
      <c r="R28" s="89" t="str">
        <f>IF(VLOOKUP(C28,'Train Runs'!$A$13:$AE$9949,1,1)=C28,VLOOKUP(C28,'Train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8" s="92" t="str">
        <f>VLOOKUP(C28,'Train Runs'!$A$13:$AE$9949,22,0)</f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94" t="str">
        <f t="shared" si="1"/>
        <v>"C:\Program Files (x86)\AstroGrep\AstroGrep.exe" /e /r /s /spath="%USERPROFILE%\AppData\Local\Temp\OnboardLogs" /stypes="*4054*201703151*" /stext=" 18:.+((SYSTEM_STATE.+slice.+state.+changed )|(ment ac)|(multiple cpu faults)|(system.+state.+changed )|(\[timeout)|(PRM\|1\|D)|(kpr)|(kdp)|(\|lc)|(penalty))"</v>
      </c>
      <c r="U28" s="9" t="str">
        <f t="shared" si="2"/>
        <v>4054</v>
      </c>
      <c r="V28" s="32">
        <f t="shared" si="3"/>
        <v>42809.791134259256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ID","value":"162-15"},{"id":16,"name":"Locomotive ID","value":"4054"},{"id":130,"name":"Impact","value":""},{"id":150,"name":"Time of Event (Mountain Time)","value":"12:59:14"},{"id":151,"name":"Denver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"%USERPROFILE%\AppData\Local\Temp\OnboardLogs"\RTDC4054\*4054*201703151*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"%USERPROFILE%\AppData\Local\Temp\OnboardLogs"\RTDC4054\*4054*201703151* &gt;&gt; 2017-03-15-SliceDisagreementCheck.txt</v>
      </c>
      <c r="AE28" s="157" t="str">
        <f t="shared" si="9"/>
        <v>start /low /b %USERPROFILE%\Documents\GitHub\eaglep3\Utilities\DownloadLogsFromS3.py --loco 4054 --day 2017-03-15</v>
      </c>
      <c r="AF28" s="1"/>
    </row>
    <row r="29" spans="1:32" x14ac:dyDescent="0.25">
      <c r="A29" s="32">
        <v>42809.541527777779</v>
      </c>
      <c r="B29" s="30" t="s">
        <v>446</v>
      </c>
      <c r="C29" s="30" t="s">
        <v>599</v>
      </c>
      <c r="D29" s="30" t="s">
        <v>49</v>
      </c>
      <c r="E29" s="30" t="s">
        <v>186</v>
      </c>
      <c r="F29" s="43">
        <v>0</v>
      </c>
      <c r="G29" s="43">
        <v>29</v>
      </c>
      <c r="H29" s="43">
        <v>14</v>
      </c>
      <c r="I29" s="43">
        <v>0</v>
      </c>
      <c r="J29" s="30" t="s">
        <v>187</v>
      </c>
      <c r="K29" s="43">
        <v>1</v>
      </c>
      <c r="L29" s="143" t="s">
        <v>51</v>
      </c>
      <c r="M29" s="144">
        <f t="shared" si="0"/>
        <v>-0.52800000000000002</v>
      </c>
      <c r="N29" s="145" t="str">
        <f>VLOOKUP(C29,'Trips&amp;Operators'!$C$1:$G$99999,5,FALSE)</f>
        <v>DAVIS MICHAEL</v>
      </c>
      <c r="O29" s="194" t="s">
        <v>185</v>
      </c>
      <c r="P29" s="146"/>
      <c r="Q29" s="30"/>
      <c r="R29" s="89" t="str">
        <f>IF(VLOOKUP(C29,'Train Runs'!$A$13:$AE$9949,1,1)=C29,VLOOKUP(C29,'Train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9" s="92" t="str">
        <f>VLOOKUP(C29,'Train Runs'!$A$13:$AE$9949,22,0)</f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9" s="94" t="str">
        <f t="shared" si="1"/>
        <v>"C:\Program Files (x86)\AstroGrep\AstroGrep.exe" /e /r /s /spath="%USERPROFILE%\AppData\Local\Temp\OnboardLogs" /stypes="*4054*201703151*" /stext=" 18:.+((SYSTEM_STATE.+slice.+state.+changed )|(ment ac)|(multiple cpu faults)|(system.+state.+changed )|(\[timeout)|(PRM\|1\|D)|(kpr)|(kdp)|(\|lc)|(penalty))"</v>
      </c>
      <c r="U29" s="9" t="str">
        <f t="shared" si="2"/>
        <v>4054</v>
      </c>
      <c r="V29" s="32">
        <f t="shared" si="3"/>
        <v>42809.791527777779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ID","value":"162-15"},{"id":16,"name":"Locomotive ID","value":"4054"},{"id":130,"name":"Impact","value":""},{"id":150,"name":"Time of Event (Mountain Time)","value":"12:59:48"},{"id":151,"name":"Denver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"%USERPROFILE%\AppData\Local\Temp\OnboardLogs"\RTDC4054\*4054*201703151*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"%USERPROFILE%\AppData\Local\Temp\OnboardLogs"\RTDC4054\*4054*201703151* &gt;&gt; 2017-03-15-SliceDisagreementCheck.txt</v>
      </c>
      <c r="AE29" s="157" t="str">
        <f t="shared" si="9"/>
        <v>start /low /b %USERPROFILE%\Documents\GitHub\eaglep3\Utilities\DownloadLogsFromS3.py --loco 4054 --day 2017-03-15</v>
      </c>
      <c r="AF29" s="1"/>
    </row>
    <row r="30" spans="1:32" x14ac:dyDescent="0.25">
      <c r="A30" s="32">
        <v>42809.659560185188</v>
      </c>
      <c r="B30" s="30" t="s">
        <v>504</v>
      </c>
      <c r="C30" s="30" t="s">
        <v>606</v>
      </c>
      <c r="D30" s="30" t="s">
        <v>49</v>
      </c>
      <c r="E30" s="30" t="s">
        <v>186</v>
      </c>
      <c r="F30" s="43">
        <v>0</v>
      </c>
      <c r="G30" s="43">
        <v>41</v>
      </c>
      <c r="H30" s="43">
        <v>143</v>
      </c>
      <c r="I30" s="43">
        <v>116</v>
      </c>
      <c r="J30" s="30" t="s">
        <v>187</v>
      </c>
      <c r="K30" s="43">
        <v>1</v>
      </c>
      <c r="L30" s="143" t="s">
        <v>51</v>
      </c>
      <c r="M30" s="144">
        <f t="shared" si="0"/>
        <v>60.72</v>
      </c>
      <c r="N30" s="145" t="str">
        <f>VLOOKUP(C30,'Trips&amp;Operators'!$C$1:$G$99999,5,FALSE)</f>
        <v>DELGADO DIANAH</v>
      </c>
      <c r="O30" s="194" t="s">
        <v>185</v>
      </c>
      <c r="P30" s="146"/>
      <c r="Q30" s="30"/>
      <c r="R30" s="89" t="str">
        <f>IF(VLOOKUP(C30,'Train Runs'!$A$13:$AE$9949,1,1)=C30,VLOOKUP(C30,'Train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30" s="92" t="str">
        <f>VLOOKUP(C30,'Train Runs'!$A$13:$AE$9949,22,0)</f>
        <v>https://d0f6bd738d7f1b3e5a7ca70fe4ff75f0.us-east-1.aws.found.io/app/kibana#/discover/Steve-Slow-Train-Analysis-(2080s-and-2083s)?_g=(refreshInterval:(display:Off,pause:!f,section:0,value:0),time:(from:'2017-03-15T14:06:04-0600',mode:absolute,to:'2017-03-15T16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0" s="94" t="str">
        <f t="shared" si="1"/>
        <v>"C:\Program Files (x86)\AstroGrep\AstroGrep.exe" /e /r /s /spath="%USERPROFILE%\AppData\Local\Temp\OnboardLogs" /stypes="*4052*201703152*" /stext=" 21:.+((SYSTEM_STATE.+slice.+state.+changed )|(ment ac)|(multiple cpu faults)|(system.+state.+changed )|(\[timeout)|(PRM\|1\|D)|(kpr)|(kdp)|(\|lc)|(penalty))"</v>
      </c>
      <c r="U30" s="9" t="str">
        <f t="shared" si="2"/>
        <v>4052</v>
      </c>
      <c r="V30" s="32">
        <f t="shared" si="3"/>
        <v>42809.909560185188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ID","value":"186-15"},{"id":16,"name":"Locomotive ID","value":"4052"},{"id":130,"name":"Impact","value":""},{"id":150,"name":"Time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"%USERPROFILE%\AppData\Local\Temp\OnboardLogs"\RTDC4052\*4052*201703152*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"%USERPROFILE%\AppData\Local\Temp\OnboardLogs"\RTDC4052\*4052*201703152* &gt;&gt; 2017-03-15-SliceDisagreementCheck.txt</v>
      </c>
      <c r="AE30" s="157" t="str">
        <f t="shared" si="9"/>
        <v>start /low /b %USERPROFILE%\Documents\GitHub\eaglep3\Utilities\DownloadLogsFromS3.py --loco 4052 --day 2017-03-15</v>
      </c>
      <c r="AF30" s="1"/>
    </row>
    <row r="31" spans="1:32" x14ac:dyDescent="0.25">
      <c r="A31" s="32">
        <v>42809.685810185183</v>
      </c>
      <c r="B31" s="30" t="s">
        <v>379</v>
      </c>
      <c r="C31" s="30" t="s">
        <v>611</v>
      </c>
      <c r="D31" s="30" t="s">
        <v>49</v>
      </c>
      <c r="E31" s="30" t="s">
        <v>186</v>
      </c>
      <c r="F31" s="43">
        <v>0</v>
      </c>
      <c r="G31" s="43">
        <v>56</v>
      </c>
      <c r="H31" s="43">
        <v>174</v>
      </c>
      <c r="I31" s="43">
        <v>119</v>
      </c>
      <c r="J31" s="30" t="s">
        <v>187</v>
      </c>
      <c r="K31" s="43">
        <v>1</v>
      </c>
      <c r="L31" s="143" t="s">
        <v>51</v>
      </c>
      <c r="M31" s="144">
        <f t="shared" si="0"/>
        <v>62.304000000000002</v>
      </c>
      <c r="N31" s="145" t="str">
        <f>VLOOKUP(C31,'Trips&amp;Operators'!$C$1:$G$99999,5,FALSE)</f>
        <v>MAYBERRY BILL</v>
      </c>
      <c r="O31" s="194" t="s">
        <v>185</v>
      </c>
      <c r="P31" s="146"/>
      <c r="Q31" s="30"/>
      <c r="R31" s="89" t="str">
        <f>IF(VLOOKUP(C31,'Train Runs'!$A$13:$AE$9949,1,1)=C31,VLOOKUP(C31,'Train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31" s="92" t="str">
        <f>VLOOKUP(C31,'Train Runs'!$A$13:$AE$9949,22,0)</f>
        <v>https://d0f6bd738d7f1b3e5a7ca70fe4ff75f0.us-east-1.aws.found.io/app/kibana#/discover/Steve-Slow-Train-Analysis-(2080s-and-2083s)?_g=(refreshInterval:(display:Off,pause:!f,section:0,value:0),time:(from:'2017-03-15T14:28:20-0600',mode:absolute,to:'2017-03-15T17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/stypes="*4019*201703152*" /stext=" 22:.+((SYSTEM_STATE.+slice.+state.+changed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42809.935810185183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ID","value":"190-15"},{"id":16,"name":"Locomotive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"%USERPROFILE%\AppData\Local\Temp\OnboardLogs"\RTDC4019\*4019*201703152*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"%USERPROFILE%\AppData\Local\Temp\OnboardLogs"\RTDC4019\*4019*201703152* &gt;&gt; 2017-03-15-SliceDisagreementCheck.txt</v>
      </c>
      <c r="AE31" s="157" t="str">
        <f t="shared" si="9"/>
        <v>start /low /b %USERPROFILE%\Documents\GitHub\eaglep3\Utilities\DownloadLogsFromS3.py --loco 4019 --day 2017-03-15</v>
      </c>
      <c r="AF31" s="1"/>
    </row>
    <row r="32" spans="1:32" x14ac:dyDescent="0.25">
      <c r="A32" s="32">
        <v>42809.713275462964</v>
      </c>
      <c r="B32" s="30" t="s">
        <v>221</v>
      </c>
      <c r="C32" s="30" t="s">
        <v>613</v>
      </c>
      <c r="D32" s="30" t="s">
        <v>49</v>
      </c>
      <c r="E32" s="30" t="s">
        <v>186</v>
      </c>
      <c r="F32" s="43">
        <v>0</v>
      </c>
      <c r="G32" s="43">
        <v>68</v>
      </c>
      <c r="H32" s="43">
        <v>236</v>
      </c>
      <c r="I32" s="43">
        <v>170</v>
      </c>
      <c r="J32" s="30" t="s">
        <v>187</v>
      </c>
      <c r="K32" s="43">
        <v>1</v>
      </c>
      <c r="L32" s="143" t="s">
        <v>51</v>
      </c>
      <c r="M32" s="144">
        <f t="shared" si="0"/>
        <v>89.231999999999985</v>
      </c>
      <c r="N32" s="145" t="str">
        <f>VLOOKUP(C32,'Trips&amp;Operators'!$C$1:$G$99999,5,FALSE)</f>
        <v>MOSES BRADLEY</v>
      </c>
      <c r="O32" s="194" t="s">
        <v>185</v>
      </c>
      <c r="P32" s="146"/>
      <c r="Q32" s="30"/>
      <c r="R32" s="89" t="str">
        <f>IF(VLOOKUP(C32,'Train Runs'!$A$13:$AE$9949,1,1)=C32,VLOOKUP(C32,'Train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32" s="92" t="str">
        <f>VLOOKUP(C32,'Train Runs'!$A$13:$AE$9949,22,0)</f>
        <v>https://d0f6bd738d7f1b3e5a7ca70fe4ff75f0.us-east-1.aws.found.io/app/kibana#/discover/Steve-Slow-Train-Analysis-(2080s-and-2083s)?_g=(refreshInterval:(display:Off,pause:!f,section:0,value:0),time:(from:'2017-03-15T15:21:30-0600',mode:absolute,to:'2017-03-15T18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94" t="str">
        <f t="shared" si="1"/>
        <v>"C:\Program Files (x86)\AstroGrep\AstroGrep.exe" /e /r /s /spath="%USERPROFILE%\AppData\Local\Temp\OnboardLogs" /stypes="*4012*201703152*" /stext=" 23:.+((SYSTEM_STATE.+slice.+state.+changed )|(ment ac)|(multiple cpu faults)|(system.+state.+changed )|(\[timeout)|(PRM\|1\|D)|(kpr)|(kdp)|(\|lc)|(penalty))"</v>
      </c>
      <c r="U32" s="9" t="str">
        <f t="shared" si="2"/>
        <v>4012</v>
      </c>
      <c r="V32" s="32">
        <f t="shared" si="3"/>
        <v>42809.963275462964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ID","value":"196-15"},{"id":16,"name":"Locomotive ID","value":"4012"},{"id":130,"name":"Impact","value":""},{"id":150,"name":"Time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"%USERPROFILE%\AppData\Local\Temp\OnboardLogs"\RTDC4012\*4012*201703152*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"%USERPROFILE%\AppData\Local\Temp\OnboardLogs"\RTDC4012\*4012*201703152* &gt;&gt; 2017-03-15-SliceDisagreementCheck.txt</v>
      </c>
      <c r="AE32" s="157" t="str">
        <f t="shared" si="9"/>
        <v>start /low /b %USERPROFILE%\Documents\GitHub\eaglep3\Utilities\DownloadLogsFromS3.py --loco 4012 --day 2017-03-15</v>
      </c>
      <c r="AF32" s="1"/>
    </row>
    <row r="33" spans="1:32" x14ac:dyDescent="0.25">
      <c r="A33" s="32">
        <v>42809.984594907408</v>
      </c>
      <c r="B33" s="30" t="s">
        <v>379</v>
      </c>
      <c r="C33" s="30" t="s">
        <v>622</v>
      </c>
      <c r="D33" s="30" t="s">
        <v>49</v>
      </c>
      <c r="E33" s="30" t="s">
        <v>186</v>
      </c>
      <c r="F33" s="43">
        <v>0</v>
      </c>
      <c r="G33" s="43">
        <v>60</v>
      </c>
      <c r="H33" s="43">
        <v>221</v>
      </c>
      <c r="I33" s="43">
        <v>160</v>
      </c>
      <c r="J33" s="30" t="s">
        <v>187</v>
      </c>
      <c r="K33" s="43">
        <v>1</v>
      </c>
      <c r="L33" s="143" t="s">
        <v>51</v>
      </c>
      <c r="M33" s="144">
        <f t="shared" si="0"/>
        <v>83.951999999999998</v>
      </c>
      <c r="N33" s="145" t="str">
        <f>VLOOKUP(C33,'Trips&amp;Operators'!$C$1:$G$99999,5,FALSE)</f>
        <v>BROWN JACOB</v>
      </c>
      <c r="O33" s="194" t="s">
        <v>185</v>
      </c>
      <c r="P33" s="146"/>
      <c r="Q33" s="30"/>
      <c r="R33" s="89" t="str">
        <f>IF(VLOOKUP(C33,'Train Runs'!$A$13:$AE$9949,1,1)=C33,VLOOKUP(C33,'Train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33" s="92" t="str">
        <f>VLOOKUP(C33,'Train Runs'!$A$13:$AE$9949,22,0)</f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3" s="94" t="str">
        <f t="shared" si="1"/>
        <v>"C:\Program Files (x86)\AstroGrep\AstroGrep.exe" /e /r /s /spath="%USERPROFILE%\AppData\Local\Temp\OnboardLogs" /stypes="*4019*201703160*" /stext=" 05:.+((SYSTEM_STATE.+slice.+state.+changed )|(ment ac)|(multiple cpu faults)|(system.+state.+changed )|(\[timeout)|(PRM\|1\|D)|(kpr)|(kdp)|(\|lc)|(penalty))"</v>
      </c>
      <c r="U33" s="9" t="str">
        <f t="shared" si="2"/>
        <v>4019</v>
      </c>
      <c r="V33" s="32">
        <f t="shared" si="3"/>
        <v>42810.234594907408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ID","value":"234-15"},{"id":16,"name":"Locomotive ID","value":"4019"},{"id":130,"name":"Impact","value":""},{"id":150,"name":"Time of Event (Mountain Time)","value":"23:37:49"},{"id":151,"name":"Denver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"%USERPROFILE%\AppData\Local\Temp\OnboardLogs"\RTDC4019\*4019*201703160*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"%USERPROFILE%\AppData\Local\Temp\OnboardLogs"\RTDC4019\*4019*201703160* &gt;&gt; 2017-03-15-SliceDisagreementCheck.txt</v>
      </c>
      <c r="AE33" s="157" t="str">
        <f t="shared" si="9"/>
        <v>start /low /b %USERPROFILE%\Documents\GitHub\eaglep3\Utilities\DownloadLogsFromS3.py --loco 4019 --day 2017-03-16</v>
      </c>
      <c r="AF33" s="1"/>
    </row>
    <row r="34" spans="1:32" x14ac:dyDescent="0.25">
      <c r="A34" s="32">
        <v>42809.202731481484</v>
      </c>
      <c r="B34" s="30" t="s">
        <v>448</v>
      </c>
      <c r="C34" s="30" t="s">
        <v>573</v>
      </c>
      <c r="D34" s="30" t="s">
        <v>49</v>
      </c>
      <c r="E34" s="30" t="s">
        <v>186</v>
      </c>
      <c r="F34" s="43">
        <v>0</v>
      </c>
      <c r="G34" s="43">
        <v>44</v>
      </c>
      <c r="H34" s="43">
        <v>233314</v>
      </c>
      <c r="I34" s="43">
        <v>233340</v>
      </c>
      <c r="J34" s="30" t="s">
        <v>187</v>
      </c>
      <c r="K34" s="43">
        <v>233491</v>
      </c>
      <c r="L34" s="143" t="s">
        <v>50</v>
      </c>
      <c r="M34" s="144">
        <f t="shared" si="0"/>
        <v>79.727999999999994</v>
      </c>
      <c r="N34" s="145" t="str">
        <f>VLOOKUP(C34,'Trips&amp;Operators'!$C$1:$G$99999,5,FALSE)</f>
        <v>GEBRETEKLE DAGNEW</v>
      </c>
      <c r="O34" s="194" t="s">
        <v>185</v>
      </c>
      <c r="P34" s="146"/>
      <c r="Q34" s="30"/>
      <c r="R34" s="89" t="str">
        <f>IF(VLOOKUP(C34,'Train Runs'!$A$13:$AE$9949,1,1)=C34,VLOOKUP(C34,'Train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4" s="92" t="str">
        <f>VLOOKUP(C34,'Train Runs'!$A$13:$AE$9949,22,0)</f>
        <v>https://d0f6bd738d7f1b3e5a7ca70fe4ff75f0.us-east-1.aws.found.io/app/kibana#/discover/Steve-Slow-Train-Analysis-(2080s-and-2083s)?_g=(refreshInterval:(display:Off,pause:!f,section:0,value:0),time:(from:'2017-03-15T03:12:07-0600',mode:absolute,to:'2017-03-15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94" t="str">
        <f t="shared" si="1"/>
        <v>"C:\Program Files (x86)\AstroGrep\AstroGrep.exe" /e /r /s /spath="%USERPROFILE%\AppData\Local\Temp\OnboardLogs" /stypes="*4025*201703151*" /stext=" 10:.+((SYSTEM_STATE.+slice.+state.+changed )|(ment ac)|(multiple cpu faults)|(system.+state.+changed )|(\[timeout)|(PRM\|1\|D)|(kpr)|(kdp)|(\|lc)|(penalty))"</v>
      </c>
      <c r="U34" s="9" t="str">
        <f t="shared" si="2"/>
        <v>4025</v>
      </c>
      <c r="V34" s="32">
        <f t="shared" si="3"/>
        <v>42809.452731481484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ID","value":"105-15"},{"id":16,"name":"Locomotive ID","value":"4025"},{"id":130,"name":"Impact","value":""},{"id":150,"name":"Time of Event (Mountain Time)","value":"04:51:56"},{"id":151,"name":"Denver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"%USERPROFILE%\AppData\Local\Temp\OnboardLogs"\RTDC4025\*4025*201703151*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"%USERPROFILE%\AppData\Local\Temp\OnboardLogs"\RTDC4025\*4025*201703151* &gt;&gt; 2017-03-15-SliceDisagreementCheck.txt</v>
      </c>
      <c r="AE34" s="157" t="str">
        <f t="shared" si="9"/>
        <v>start /low /b %USERPROFILE%\Documents\GitHub\eaglep3\Utilities\DownloadLogsFromS3.py --loco 4025 --day 2017-03-15</v>
      </c>
      <c r="AF34" s="1"/>
    </row>
    <row r="35" spans="1:32" x14ac:dyDescent="0.25">
      <c r="A35" s="32">
        <v>42809.344641203701</v>
      </c>
      <c r="B35" s="30" t="s">
        <v>584</v>
      </c>
      <c r="C35" s="30" t="s">
        <v>585</v>
      </c>
      <c r="D35" s="30" t="s">
        <v>49</v>
      </c>
      <c r="E35" s="30" t="s">
        <v>186</v>
      </c>
      <c r="F35" s="43">
        <v>0</v>
      </c>
      <c r="G35" s="43">
        <v>55</v>
      </c>
      <c r="H35" s="43">
        <v>233314</v>
      </c>
      <c r="I35" s="43">
        <v>233351</v>
      </c>
      <c r="J35" s="30" t="s">
        <v>187</v>
      </c>
      <c r="K35" s="43">
        <v>233491</v>
      </c>
      <c r="L35" s="143" t="s">
        <v>50</v>
      </c>
      <c r="M35" s="144">
        <f t="shared" si="0"/>
        <v>73.92</v>
      </c>
      <c r="N35" s="145" t="str">
        <f>VLOOKUP(C35,'Trips&amp;Operators'!$C$1:$G$99999,5,FALSE)</f>
        <v>STARKS ANGELINA</v>
      </c>
      <c r="O35" s="194" t="s">
        <v>185</v>
      </c>
      <c r="P35" s="146"/>
      <c r="Q35" s="30"/>
      <c r="R35" s="89" t="str">
        <f>IF(VLOOKUP(C35,'Train Runs'!$A$13:$AE$9949,1,1)=C35,VLOOKUP(C35,'Train Runs'!$A$13:$AE$9949,31,1),NA())</f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S35" s="92" t="str">
        <f>VLOOKUP(C35,'Train Runs'!$A$13:$AE$9949,22,0)</f>
        <v>https://d0f6bd738d7f1b3e5a7ca70fe4ff75f0.us-east-1.aws.found.io/app/kibana#/discover/Steve-Slow-Train-Analysis-(2080s-and-2083s)?_g=(refreshInterval:(display:Off,pause:!f,section:0,value:0),time:(from:'2017-03-15T06:34:09-0600',mode:absolute,to:'2017-03-15T09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94" t="str">
        <f t="shared" si="1"/>
        <v>"C:\Program Files (x86)\AstroGrep\AstroGrep.exe" /e /r /s /spath="%USERPROFILE%\AppData\Local\Temp\OnboardLogs" /stypes="*4042*201703151*" /stext=" 14:.+((SYSTEM_STATE.+slice.+state.+changed )|(ment ac)|(multiple cpu faults)|(system.+state.+changed )|(\[timeout)|(PRM\|1\|D)|(kpr)|(kdp)|(\|lc)|(penalty))"</v>
      </c>
      <c r="U35" s="9" t="str">
        <f t="shared" si="2"/>
        <v>4042</v>
      </c>
      <c r="V35" s="32">
        <f t="shared" si="3"/>
        <v>42809.594641203701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ID","value":"131-15"},{"id":16,"name":"Locomotive ID","value":"4042"},{"id":130,"name":"Impact","value":""},{"id":150,"name":"Time of Event (Mountain Time)","value":"08:16:17"},{"id":151,"name":"Denver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"%USERPROFILE%\AppData\Local\Temp\OnboardLogs"\RTDC4042\*4042*201703151*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"%USERPROFILE%\AppData\Local\Temp\OnboardLogs"\RTDC4042\*4042*201703151* &gt;&gt; 2017-03-15-SliceDisagreementCheck.txt</v>
      </c>
      <c r="AE35" s="157" t="str">
        <f t="shared" si="9"/>
        <v>start /low /b %USERPROFILE%\Documents\GitHub\eaglep3\Utilities\DownloadLogsFromS3.py --loco 4042 --day 2017-03-15</v>
      </c>
      <c r="AF35" s="1"/>
    </row>
    <row r="36" spans="1:32" x14ac:dyDescent="0.25">
      <c r="A36" s="32">
        <v>42809.371689814812</v>
      </c>
      <c r="B36" s="30" t="s">
        <v>190</v>
      </c>
      <c r="C36" s="30" t="s">
        <v>589</v>
      </c>
      <c r="D36" s="30" t="s">
        <v>49</v>
      </c>
      <c r="E36" s="30" t="s">
        <v>186</v>
      </c>
      <c r="F36" s="43">
        <v>0</v>
      </c>
      <c r="G36" s="43">
        <v>59</v>
      </c>
      <c r="H36" s="43">
        <v>233283</v>
      </c>
      <c r="I36" s="43">
        <v>233332</v>
      </c>
      <c r="J36" s="30" t="s">
        <v>187</v>
      </c>
      <c r="K36" s="43">
        <v>233491</v>
      </c>
      <c r="L36" s="143" t="s">
        <v>50</v>
      </c>
      <c r="M36" s="144">
        <f t="shared" si="0"/>
        <v>83.951999999999998</v>
      </c>
      <c r="N36" s="145" t="str">
        <f>VLOOKUP(C36,'Trips&amp;Operators'!$C$1:$G$99999,5,FALSE)</f>
        <v>GUZMAN DANNY</v>
      </c>
      <c r="O36" s="194" t="s">
        <v>185</v>
      </c>
      <c r="P36" s="146"/>
      <c r="Q36" s="30"/>
      <c r="R36" s="89" t="str">
        <f>IF(VLOOKUP(C36,'Train Runs'!$A$13:$AE$9949,1,1)=C36,VLOOKUP(C36,'Train Runs'!$A$13:$AE$9949,31,1),NA())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S36" s="92" t="str">
        <f>VLOOKUP(C36,'Train Runs'!$A$13:$AE$9949,22,0)</f>
        <v>https://d0f6bd738d7f1b3e5a7ca70fe4ff75f0.us-east-1.aws.found.io/app/kibana#/discover/Steve-Slow-Train-Analysis-(2080s-and-2083s)?_g=(refreshInterval:(display:Off,pause:!f,section:0,value:0),time:(from:'2017-03-15T07:00:16-0600',mode:absolute,to:'2017-03-15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94" t="str">
        <f t="shared" si="1"/>
        <v>"C:\Program Files (x86)\AstroGrep\AstroGrep.exe" /e /r /s /spath="%USERPROFILE%\AppData\Local\Temp\OnboardLogs" /stypes="*4011*201703151*" /stext=" 14:.+((SYSTEM_STATE.+slice.+state.+changed )|(ment ac)|(multiple cpu faults)|(system.+state.+changed )|(\[timeout)|(PRM\|1\|D)|(kpr)|(kdp)|(\|lc)|(penalty))"</v>
      </c>
      <c r="U36" s="9" t="str">
        <f t="shared" si="2"/>
        <v>4011</v>
      </c>
      <c r="V36" s="32">
        <f t="shared" si="3"/>
        <v>42809.621689814812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ID","value":"137-15"},{"id":16,"name":"Locomotive ID","value":"4011"},{"id":130,"name":"Impact","value":""},{"id":150,"name":"Time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"%USERPROFILE%\AppData\Local\Temp\OnboardLogs"\RTDC4011\*4011*201703151*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"%USERPROFILE%\AppData\Local\Temp\OnboardLogs"\RTDC4011\*4011*201703151* &gt;&gt; 2017-03-15-SliceDisagreementCheck.txt</v>
      </c>
      <c r="AE36" s="157" t="str">
        <f t="shared" si="9"/>
        <v>start /low /b %USERPROFILE%\Documents\GitHub\eaglep3\Utilities\DownloadLogsFromS3.py --loco 4011 --day 2017-03-15</v>
      </c>
      <c r="AF36" s="1"/>
    </row>
    <row r="37" spans="1:32" x14ac:dyDescent="0.25">
      <c r="A37" s="32">
        <v>42809.592939814815</v>
      </c>
      <c r="B37" s="30" t="s">
        <v>448</v>
      </c>
      <c r="C37" s="30" t="s">
        <v>602</v>
      </c>
      <c r="D37" s="30" t="s">
        <v>49</v>
      </c>
      <c r="E37" s="30" t="s">
        <v>186</v>
      </c>
      <c r="F37" s="43">
        <v>0</v>
      </c>
      <c r="G37" s="43">
        <v>82</v>
      </c>
      <c r="H37" s="43">
        <v>233181</v>
      </c>
      <c r="I37" s="43">
        <v>233255</v>
      </c>
      <c r="J37" s="30" t="s">
        <v>187</v>
      </c>
      <c r="K37" s="43">
        <v>233491</v>
      </c>
      <c r="L37" s="143" t="s">
        <v>50</v>
      </c>
      <c r="M37" s="144">
        <f t="shared" si="0"/>
        <v>124.608</v>
      </c>
      <c r="N37" s="145" t="str">
        <f>VLOOKUP(C37,'Trips&amp;Operators'!$C$1:$G$99999,5,FALSE)</f>
        <v>LEVERE CRAIG</v>
      </c>
      <c r="O37" s="194" t="s">
        <v>185</v>
      </c>
      <c r="P37" s="146"/>
      <c r="Q37" s="30"/>
      <c r="R37" s="89" t="str">
        <f>IF(VLOOKUP(C37,'Train Runs'!$A$13:$AE$9949,1,1)=C37,VLOOKUP(C37,'Train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7" s="92" t="str">
        <f>VLOOKUP(C37,'Train Runs'!$A$13:$AE$9949,22,0)</f>
        <v>https://d0f6bd738d7f1b3e5a7ca70fe4ff75f0.us-east-1.aws.found.io/app/kibana#/discover/Steve-Slow-Train-Analysis-(2080s-and-2083s)?_g=(refreshInterval:(display:Off,pause:!f,section:0,value:0),time:(from:'2017-03-15T12:22:29-0600',mode:absolute,to:'2017-03-15T15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94" t="str">
        <f t="shared" si="1"/>
        <v>"C:\Program Files (x86)\AstroGrep\AstroGrep.exe" /e /r /s /spath="%USERPROFILE%\AppData\Local\Temp\OnboardLogs" /stypes="*4025*201703152*" /stext=" 20:.+((SYSTEM_STATE.+slice.+state.+changed )|(ment ac)|(multiple cpu faults)|(system.+state.+changed )|(\[timeout)|(PRM\|1\|D)|(kpr)|(kdp)|(\|lc)|(penalty))"</v>
      </c>
      <c r="U37" s="9" t="str">
        <f t="shared" si="2"/>
        <v>4025</v>
      </c>
      <c r="V37" s="32">
        <f t="shared" si="3"/>
        <v>42809.842939814815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ID","value":"179-15"},{"id":16,"name":"Locomotive ID","value":"4025"},{"id":130,"name":"Impact","value":""},{"id":150,"name":"Time of Event (Mountain Time)","value":"14:13:50"},{"id":151,"name":"Denver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"%USERPROFILE%\AppData\Local\Temp\OnboardLogs"\RTDC4025\*4025*201703152*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"%USERPROFILE%\AppData\Local\Temp\OnboardLogs"\RTDC4025\*4025*201703152* &gt;&gt; 2017-03-15-SliceDisagreementCheck.txt</v>
      </c>
      <c r="AE37" s="157" t="str">
        <f t="shared" si="9"/>
        <v>start /low /b %USERPROFILE%\Documents\GitHub\eaglep3\Utilities\DownloadLogsFromS3.py --loco 4025 --day 2017-03-15</v>
      </c>
      <c r="AF37" s="1"/>
    </row>
    <row r="38" spans="1:32" x14ac:dyDescent="0.25">
      <c r="A38" s="32">
        <v>42809.666180555556</v>
      </c>
      <c r="B38" s="30" t="s">
        <v>448</v>
      </c>
      <c r="C38" s="30" t="s">
        <v>607</v>
      </c>
      <c r="D38" s="30" t="s">
        <v>49</v>
      </c>
      <c r="E38" s="30" t="s">
        <v>186</v>
      </c>
      <c r="F38" s="43">
        <v>0</v>
      </c>
      <c r="G38" s="43">
        <v>54</v>
      </c>
      <c r="H38" s="43">
        <v>233282</v>
      </c>
      <c r="I38" s="43">
        <v>233312</v>
      </c>
      <c r="J38" s="30" t="s">
        <v>187</v>
      </c>
      <c r="K38" s="43">
        <v>233491</v>
      </c>
      <c r="L38" s="143" t="s">
        <v>50</v>
      </c>
      <c r="M38" s="144">
        <f t="shared" si="0"/>
        <v>94.512</v>
      </c>
      <c r="N38" s="145" t="str">
        <f>VLOOKUP(C38,'Trips&amp;Operators'!$C$1:$G$99999,5,FALSE)</f>
        <v>LEVERE CRAIG</v>
      </c>
      <c r="O38" s="194" t="s">
        <v>185</v>
      </c>
      <c r="P38" s="146"/>
      <c r="Q38" s="30"/>
      <c r="R38" s="89" t="str">
        <f>IF(VLOOKUP(C38,'Train Runs'!$A$13:$AE$9949,1,1)=C38,VLOOKUP(C38,'Train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8" s="92" t="str">
        <f>VLOOKUP(C38,'Train Runs'!$A$13:$AE$9949,22,0)</f>
        <v>https://d0f6bd738d7f1b3e5a7ca70fe4ff75f0.us-east-1.aws.found.io/app/kibana#/discover/Steve-Slow-Train-Analysis-(2080s-and-2083s)?_g=(refreshInterval:(display:Off,pause:!f,section:0,value:0),time:(from:'2017-03-15T14:13:27-0600',mode:absolute,to:'2017-03-15T16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8" s="94" t="str">
        <f t="shared" si="1"/>
        <v>"C:\Program Files (x86)\AstroGrep\AstroGrep.exe" /e /r /s /spath="%USERPROFILE%\AppData\Local\Temp\OnboardLogs" /stypes="*4025*201703152*" /stext=" 21:.+((SYSTEM_STATE.+slice.+state.+changed )|(ment ac)|(multiple cpu faults)|(system.+state.+changed )|(\[timeout)|(PRM\|1\|D)|(kpr)|(kdp)|(\|lc)|(penalty))"</v>
      </c>
      <c r="U38" s="9" t="str">
        <f t="shared" si="2"/>
        <v>4025</v>
      </c>
      <c r="V38" s="32">
        <f t="shared" si="3"/>
        <v>42809.916180555556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ID","value":"193-15"},{"id":16,"name":"Locomotive ID","value":"4025"},{"id":130,"name":"Impact","value":""},{"id":150,"name":"Time of Event (Mountain Time)","value":"15:59:18"},{"id":151,"name":"Denver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"%USERPROFILE%\AppData\Local\Temp\OnboardLogs"\RTDC4025\*4025*201703152*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"%USERPROFILE%\AppData\Local\Temp\OnboardLogs"\RTDC4025\*4025*201703152* &gt;&gt; 2017-03-15-SliceDisagreementCheck.txt</v>
      </c>
      <c r="AE38" s="157" t="str">
        <f t="shared" si="9"/>
        <v>start /low /b %USERPROFILE%\Documents\GitHub\eaglep3\Utilities\DownloadLogsFromS3.py --loco 4025 --day 2017-03-15</v>
      </c>
      <c r="AF38" s="1"/>
    </row>
    <row r="39" spans="1:32" x14ac:dyDescent="0.25">
      <c r="A39" s="32">
        <v>42809.683749999997</v>
      </c>
      <c r="B39" s="30" t="s">
        <v>381</v>
      </c>
      <c r="C39" s="30" t="s">
        <v>610</v>
      </c>
      <c r="D39" s="30" t="s">
        <v>49</v>
      </c>
      <c r="E39" s="30" t="s">
        <v>186</v>
      </c>
      <c r="F39" s="43">
        <v>0</v>
      </c>
      <c r="G39" s="43">
        <v>47</v>
      </c>
      <c r="H39" s="43">
        <v>233316</v>
      </c>
      <c r="I39" s="43">
        <v>233357</v>
      </c>
      <c r="J39" s="30" t="s">
        <v>187</v>
      </c>
      <c r="K39" s="43">
        <v>233491</v>
      </c>
      <c r="L39" s="143" t="s">
        <v>50</v>
      </c>
      <c r="M39" s="144">
        <f t="shared" ref="M39:M59" si="10">CONVERT((I39-K39)/10000,"mi","ft")*IF(L39="Increasing Mileposts (1)",-1,1)</f>
        <v>70.751999999999995</v>
      </c>
      <c r="N39" s="145" t="str">
        <f>VLOOKUP(C39,'Trips&amp;Operators'!$C$1:$G$99999,5,FALSE)</f>
        <v>LEVIN SCOTT</v>
      </c>
      <c r="O39" s="194" t="s">
        <v>185</v>
      </c>
      <c r="P39" s="146"/>
      <c r="Q39" s="30"/>
      <c r="R39" s="89" t="str">
        <f>IF(VLOOKUP(C39,'Train Runs'!$A$13:$AE$9949,1,1)=C39,VLOOKUP(C39,'Train Runs'!$A$13:$AE$9949,31,1),NA())</f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S39" s="92" t="str">
        <f>VLOOKUP(C39,'Train Runs'!$A$13:$AE$9949,22,0)</f>
        <v>https://d0f6bd738d7f1b3e5a7ca70fe4ff75f0.us-east-1.aws.found.io/app/kibana#/discover/Steve-Slow-Train-Analysis-(2080s-and-2083s)?_g=(refreshInterval:(display:Off,pause:!f,section:0,value:0),time:(from:'2017-03-15T14:38:34-0600',mode:absolute,to:'2017-03-15T17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9" s="94" t="str">
        <f t="shared" ref="T39:T59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/stypes="*4029*201703152*" /stext=" 22:.+((SYSTEM_STATE.+slice.+state.+changed )|(ment ac)|(multiple cpu faults)|(system.+state.+changed )|(\[timeout)|(PRM\|1\|D)|(kpr)|(kdp)|(\|lc)|(penalty))"</v>
      </c>
      <c r="U39" s="9" t="str">
        <f t="shared" ref="U39:U59" si="12">MID(B39,13,4)</f>
        <v>4029</v>
      </c>
      <c r="V39" s="32">
        <f t="shared" ref="V39:V59" si="13">A39-utc_offset/24</f>
        <v>42809.933749999997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8" t="str">
        <f t="shared" ref="Y39:Y59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ID","value":"197-15"},{"id":16,"name":"Locomotive ID","value":"4029"},{"id":130,"name":"Impact","value":""},{"id":150,"name":"Time of Event (Mountain Time)","value":"16:24:36"},{"id":151,"name":"Denver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9" si="17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"%USERPROFILE%\AppData\Local\Temp\OnboardLogs"\RTDC4029\*4029*201703152*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"%USERPROFILE%\AppData\Local\Temp\OnboardLogs"\RTDC4029\*4029*201703152* &gt;&gt; 2017-03-15-SliceDisagreementCheck.txt</v>
      </c>
      <c r="AE39" s="157" t="str">
        <f t="shared" si="9"/>
        <v>start /low /b %USERPROFILE%\Documents\GitHub\eaglep3\Utilities\DownloadLogsFromS3.py --loco 4029 --day 2017-03-15</v>
      </c>
      <c r="AF39" s="1"/>
    </row>
    <row r="40" spans="1:32" x14ac:dyDescent="0.25">
      <c r="A40" s="32">
        <v>42809.786979166667</v>
      </c>
      <c r="B40" s="30" t="s">
        <v>243</v>
      </c>
      <c r="C40" s="30" t="s">
        <v>617</v>
      </c>
      <c r="D40" s="30" t="s">
        <v>49</v>
      </c>
      <c r="E40" s="30" t="s">
        <v>186</v>
      </c>
      <c r="F40" s="43">
        <v>0</v>
      </c>
      <c r="G40" s="43">
        <v>53</v>
      </c>
      <c r="H40" s="43">
        <v>233309</v>
      </c>
      <c r="I40" s="43">
        <v>233353</v>
      </c>
      <c r="J40" s="30" t="s">
        <v>187</v>
      </c>
      <c r="K40" s="43">
        <v>233491</v>
      </c>
      <c r="L40" s="143" t="s">
        <v>50</v>
      </c>
      <c r="M40" s="144">
        <f t="shared" si="10"/>
        <v>72.864000000000004</v>
      </c>
      <c r="N40" s="145" t="str">
        <f>VLOOKUP(C40,'Trips&amp;Operators'!$C$1:$G$99999,5,FALSE)</f>
        <v>BROWN JACOB</v>
      </c>
      <c r="O40" s="194" t="s">
        <v>185</v>
      </c>
      <c r="P40" s="146"/>
      <c r="Q40" s="30"/>
      <c r="R40" s="89" t="str">
        <f>IF(VLOOKUP(C40,'Train Runs'!$A$13:$AE$9949,1,1)=C40,VLOOKUP(C40,'Train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40" s="92" t="str">
        <f>VLOOKUP(C40,'Train Runs'!$A$13:$AE$9949,22,0)</f>
        <v>https://d0f6bd738d7f1b3e5a7ca70fe4ff75f0.us-east-1.aws.found.io/app/kibana#/discover/Steve-Slow-Train-Analysis-(2080s-and-2083s)?_g=(refreshInterval:(display:Off,pause:!f,section:0,value:0),time:(from:'2017-03-15T17:09:36-0600',mode:absolute,to:'2017-03-15T19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94" t="str">
        <f t="shared" si="11"/>
        <v>"C:\Program Files (x86)\AstroGrep\AstroGrep.exe" /e /r /s /spath="%USERPROFILE%\AppData\Local\Temp\OnboardLogs" /stypes="*4020*201703160*" /stext=" 00:.+((SYSTEM_STATE.+slice.+state.+changed )|(ment ac)|(multiple cpu faults)|(system.+state.+changed )|(\[timeout)|(PRM\|1\|D)|(kpr)|(kdp)|(\|lc)|(penalty))"</v>
      </c>
      <c r="U40" s="9" t="str">
        <f t="shared" si="12"/>
        <v>4020</v>
      </c>
      <c r="V40" s="32">
        <f t="shared" si="13"/>
        <v>42810.036979166667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ID","value":"217-15"},{"id":16,"name":"Locomotive ID","value":"4020"},{"id":130,"name":"Impact","value":""},{"id":150,"name":"Time of Event (Mountain Time)","value":"18:53:15"},{"id":151,"name":"Denver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"%USERPROFILE%\AppData\Local\Temp\OnboardLogs"\RTDC4020\*4020*201703160*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"%USERPROFILE%\AppData\Local\Temp\OnboardLogs"\RTDC4020\*4020*201703160* &gt;&gt; 2017-03-15-SliceDisagreementCheck.txt</v>
      </c>
      <c r="AE40" s="157" t="str">
        <f t="shared" si="9"/>
        <v>start /low /b %USERPROFILE%\Documents\GitHub\eaglep3\Utilities\DownloadLogsFromS3.py --loco 4020 --day 2017-03-16</v>
      </c>
      <c r="AF40" s="1"/>
    </row>
    <row r="41" spans="1:32" x14ac:dyDescent="0.25">
      <c r="A41" s="32">
        <v>42809.267627314817</v>
      </c>
      <c r="B41" s="30" t="s">
        <v>576</v>
      </c>
      <c r="C41" s="30" t="s">
        <v>577</v>
      </c>
      <c r="D41" s="30" t="s">
        <v>49</v>
      </c>
      <c r="E41" s="30" t="s">
        <v>194</v>
      </c>
      <c r="F41" s="43">
        <v>350</v>
      </c>
      <c r="G41" s="43">
        <v>404</v>
      </c>
      <c r="H41" s="43">
        <v>9690</v>
      </c>
      <c r="I41" s="43">
        <v>10585</v>
      </c>
      <c r="J41" s="30" t="s">
        <v>195</v>
      </c>
      <c r="K41" s="43">
        <v>10714</v>
      </c>
      <c r="L41" s="143" t="s">
        <v>50</v>
      </c>
      <c r="M41" s="144">
        <f t="shared" si="10"/>
        <v>68.111999999999995</v>
      </c>
      <c r="N41" s="145" t="str">
        <f>VLOOKUP(C41,'Trips&amp;Operators'!$C$1:$G$99999,5,FALSE)</f>
        <v>LOZA FIDEL</v>
      </c>
      <c r="O41" s="194" t="s">
        <v>185</v>
      </c>
      <c r="P41" s="146" t="s">
        <v>1026</v>
      </c>
      <c r="Q41" s="30"/>
      <c r="R41" s="89" t="str">
        <f>IF(VLOOKUP(C41,'Train Runs'!$A$13:$AE$9949,1,1)=C41,VLOOKUP(C41,'Train Runs'!$A$13:$AE$9949,31,1),NA())</f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S41" s="92" t="str">
        <f>VLOOKUP(C41,'Train Runs'!$A$13:$AE$9949,22,0)</f>
        <v>https://d0f6bd738d7f1b3e5a7ca70fe4ff75f0.us-east-1.aws.found.io/app/kibana#/discover/Steve-Slow-Train-Analysis-(2080s-and-2083s)?_g=(refreshInterval:(display:Off,pause:!f,section:0,value:0),time:(from:'2017-03-15T05:20:08-0600',mode:absolute,to:'2017-03-15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94" t="str">
        <f t="shared" si="11"/>
        <v>"C:\Program Files (x86)\AstroGrep\AstroGrep.exe" /e /r /s /spath="%USERPROFILE%\AppData\Local\Temp\OnboardLogs" /stypes="*4016*201703151*" /stext=" 12:.+((SYSTEM_STATE.+slice.+state.+changed )|(ment ac)|(multiple cpu faults)|(system.+state.+changed )|(\[timeout)|(PRM\|1\|D)|(kpr)|(kdp)|(\|lc)|(penalty))"</v>
      </c>
      <c r="U41" s="9" t="str">
        <f t="shared" si="12"/>
        <v>4016</v>
      </c>
      <c r="V41" s="32">
        <f t="shared" si="13"/>
        <v>42809.517627314817</v>
      </c>
      <c r="W41" s="46" t="str">
        <f t="shared" si="14"/>
        <v>NW</v>
      </c>
      <c r="X41" s="46" t="str">
        <f t="shared" si="15"/>
        <v>KEEP</v>
      </c>
      <c r="Y41" s="108" t="str">
        <f t="shared" si="16"/>
        <v>echo {"issue":{"subject":"Early arrival","project_id":79,"tracker_id":40,"status_id":1,"priority_id":2,"assigned_to_id":23,"start_date":"2017-03-15","description":"","custom_fields":[{"id":1,"name":"Subdivision","value":"NW"},{"id":4,"name":"Milepost","value":"1.0714"},{"id":17,"name":"Train ID","value":"803-15"},{"id":16,"name":"Locomotive ID","value":"4016"},{"id":130,"name":"Impact","value":""},{"id":150,"name":"Time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"%USERPROFILE%\AppData\Local\Temp\OnboardLogs"\RTDC4016\*4016*201703151*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"%USERPROFILE%\AppData\Local\Temp\OnboardLogs"\RTDC4016\*4016*201703151* &gt;&gt; 2017-03-15-SliceDisagreementCheck.txt</v>
      </c>
      <c r="AE41" s="157" t="str">
        <f t="shared" si="9"/>
        <v>start /low /b %USERPROFILE%\Documents\GitHub\eaglep3\Utilities\DownloadLogsFromS3.py --loco 4016 --day 2017-03-15</v>
      </c>
      <c r="AF41" s="1"/>
    </row>
    <row r="42" spans="1:32" x14ac:dyDescent="0.25">
      <c r="A42" s="32">
        <v>42809.85019675926</v>
      </c>
      <c r="B42" s="30" t="s">
        <v>576</v>
      </c>
      <c r="C42" s="30" t="s">
        <v>619</v>
      </c>
      <c r="D42" s="30" t="s">
        <v>49</v>
      </c>
      <c r="E42" s="30" t="s">
        <v>389</v>
      </c>
      <c r="F42" s="43">
        <v>0</v>
      </c>
      <c r="G42" s="43">
        <v>156</v>
      </c>
      <c r="H42" s="43">
        <v>6260</v>
      </c>
      <c r="I42" s="43">
        <v>6400</v>
      </c>
      <c r="J42" s="30" t="s">
        <v>390</v>
      </c>
      <c r="K42" s="43">
        <v>6798</v>
      </c>
      <c r="L42" s="143" t="s">
        <v>50</v>
      </c>
      <c r="M42" s="144">
        <f t="shared" si="10"/>
        <v>210.14400000000001</v>
      </c>
      <c r="N42" s="145" t="str">
        <f>VLOOKUP(C42,'Trips&amp;Operators'!$C$1:$G$99999,5,FALSE)</f>
        <v>BRUDER RICHARD</v>
      </c>
      <c r="O42" s="194" t="s">
        <v>392</v>
      </c>
      <c r="P42" s="146" t="s">
        <v>1032</v>
      </c>
      <c r="Q42" s="30"/>
      <c r="R42" s="89" t="e">
        <f>IF(VLOOKUP(C42,'Train Runs'!$A$13:$AE$9949,1,1)=C42,VLOOKUP(C42,'Train Runs'!$A$13:$AE$9949,31,1),NA())</f>
        <v>#N/A</v>
      </c>
      <c r="S42" s="92" t="str">
        <f>VLOOKUP(C42,'Train Runs'!$A$13:$AE$9949,22,0)</f>
        <v>https://d0f6bd738d7f1b3e5a7ca70fe4ff75f0.us-east-1.aws.found.io/app/kibana#/discover/Steve-Slow-Train-Analysis-(2080s-and-2083s)?_g=(refreshInterval:(display:Off,pause:!f,section:0,value:0),time:(from:'2017-03-15T19:16:01-0600',mode:absolute,to:'2017-03-15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94" t="str">
        <f t="shared" si="11"/>
        <v>"C:\Program Files (x86)\AstroGrep\AstroGrep.exe" /e /r /s /spath="%USERPROFILE%\AppData\Local\Temp\OnboardLogs" /stypes="*4016*201703160*" /stext=" 02:.+((SYSTEM_STATE.+slice.+state.+changed )|(ment ac)|(multiple cpu faults)|(system.+state.+changed )|(\[timeout)|(PRM\|1\|D)|(kpr)|(kdp)|(\|lc)|(penalty))"</v>
      </c>
      <c r="U42" s="9" t="str">
        <f t="shared" si="12"/>
        <v>4016</v>
      </c>
      <c r="V42" s="32">
        <f t="shared" si="13"/>
        <v>42810.10019675926</v>
      </c>
      <c r="W42" s="46" t="str">
        <f t="shared" si="14"/>
        <v>NW</v>
      </c>
      <c r="X42" s="46" t="str">
        <f t="shared" si="15"/>
        <v>KEEP</v>
      </c>
      <c r="Y42" s="108" t="str">
        <f t="shared" si="16"/>
        <v>echo {"issue":{"subject":"Minor onboard in-route failure (CPU switch right after init)","project_id":79,"tracker_id":40,"status_id":1,"priority_id":2,"assigned_to_id":23,"start_date":"2017-03-15","description":"","custom_fields":[{"id":1,"name":"Subdivision","value":"NW"},{"id":4,"name":"Milepost","value":"0.6798"},{"id":17,"name":"Train ID","value":"843-15"},{"id":16,"name":"Locomotive ID","value":"4016"},{"id":130,"name":"Impact","value":""},{"id":150,"name":"Time of Event (Mountain Time)","value":"20:24:17"},{"id":151,"name":"Denver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"%USERPROFILE%\AppData\Local\Temp\OnboardLogs"\RTDC4016\*4016*201703160*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"%USERPROFILE%\AppData\Local\Temp\OnboardLogs"\RTDC4016\*4016*201703160* &gt;&gt; 2017-03-15-SliceDisagreementCheck.txt</v>
      </c>
      <c r="AE42" s="157" t="str">
        <f t="shared" si="9"/>
        <v>start /low /b %USERPROFILE%\Documents\GitHub\eaglep3\Utilities\DownloadLogsFromS3.py --loco 4016 --day 2017-03-16</v>
      </c>
      <c r="AF42" s="1"/>
    </row>
    <row r="43" spans="1:32" x14ac:dyDescent="0.25">
      <c r="A43" s="32">
        <v>42809.225682870368</v>
      </c>
      <c r="B43" s="30" t="s">
        <v>574</v>
      </c>
      <c r="C43" s="30" t="s">
        <v>575</v>
      </c>
      <c r="D43" s="30" t="s">
        <v>49</v>
      </c>
      <c r="E43" s="30" t="s">
        <v>186</v>
      </c>
      <c r="F43" s="43">
        <v>0</v>
      </c>
      <c r="G43" s="43">
        <v>42</v>
      </c>
      <c r="H43" s="43">
        <v>680</v>
      </c>
      <c r="I43" s="43">
        <v>657</v>
      </c>
      <c r="J43" s="30" t="s">
        <v>187</v>
      </c>
      <c r="K43" s="43">
        <v>575</v>
      </c>
      <c r="L43" s="143" t="s">
        <v>51</v>
      </c>
      <c r="M43" s="144">
        <f t="shared" si="10"/>
        <v>43.296000000000006</v>
      </c>
      <c r="N43" s="145" t="str">
        <f>VLOOKUP(C43,'Trips&amp;Operators'!$C$1:$G$99999,5,FALSE)</f>
        <v>COOLAHAN JOHN</v>
      </c>
      <c r="O43" s="194" t="s">
        <v>185</v>
      </c>
      <c r="P43" s="146"/>
      <c r="Q43" s="30"/>
      <c r="R43" s="89" t="str">
        <f>IF(VLOOKUP(C43,'Train Runs'!$A$13:$AE$9949,1,1)=C43,VLOOKUP(C43,'Train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43" s="92" t="str">
        <f>VLOOKUP(C43,'Train Runs'!$A$13:$AE$9949,22,0)</f>
        <v>https://d0f6bd738d7f1b3e5a7ca70fe4ff75f0.us-east-1.aws.found.io/app/kibana#/discover/Steve-Slow-Train-Analysis-(2080s-and-2083s)?_g=(refreshInterval:(display:Off,pause:!f,section:0,value:0),time:(from:'2017-03-15T04:07:10-0600',mode:absolute,to:'2017-03-15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1"/>
        <v>"C:\Program Files (x86)\AstroGrep\AstroGrep.exe" /e /r /s /spath="%USERPROFILE%\AppData\Local\Temp\OnboardLogs" /stypes="*4045*201703151*" /stext=" 11:.+((SYSTEM_STATE.+slice.+state.+changed )|(ment ac)|(multiple cpu faults)|(system.+state.+changed )|(\[timeout)|(PRM\|1\|D)|(kpr)|(kdp)|(\|lc)|(penalty))"</v>
      </c>
      <c r="U43" s="9" t="str">
        <f t="shared" si="12"/>
        <v>4045</v>
      </c>
      <c r="V43" s="32">
        <f t="shared" si="13"/>
        <v>42809.475682870368</v>
      </c>
      <c r="W43" s="46" t="str">
        <f t="shared" si="14"/>
        <v>NW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ID","value":"800-15"},{"id":16,"name":"Locomotive ID","value":"4045"},{"id":130,"name":"Impact","value":""},{"id":150,"name":"Time of Event (Mountain Time)","value":"05:24:59"},{"id":151,"name":"Denver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"%USERPROFILE%\AppData\Local\Temp\OnboardLogs"\RTDC4045\*4045*201703151*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"%USERPROFILE%\AppData\Local\Temp\OnboardLogs"\RTDC4045\*4045*201703151* &gt;&gt; 2017-03-15-SliceDisagreementCheck.txt</v>
      </c>
      <c r="AE43" s="157" t="str">
        <f t="shared" si="9"/>
        <v>start /low /b %USERPROFILE%\Documents\GitHub\eaglep3\Utilities\DownloadLogsFromS3.py --loco 4045 --day 2017-03-15</v>
      </c>
      <c r="AF43" s="1"/>
    </row>
    <row r="44" spans="1:32" x14ac:dyDescent="0.25">
      <c r="A44" s="32">
        <v>42809.30945601852</v>
      </c>
      <c r="B44" s="30" t="s">
        <v>574</v>
      </c>
      <c r="C44" s="30" t="s">
        <v>582</v>
      </c>
      <c r="D44" s="30" t="s">
        <v>49</v>
      </c>
      <c r="E44" s="30" t="s">
        <v>186</v>
      </c>
      <c r="F44" s="43">
        <v>0</v>
      </c>
      <c r="G44" s="43">
        <v>51</v>
      </c>
      <c r="H44" s="43">
        <v>724</v>
      </c>
      <c r="I44" s="43">
        <v>684</v>
      </c>
      <c r="J44" s="30" t="s">
        <v>187</v>
      </c>
      <c r="K44" s="43">
        <v>575</v>
      </c>
      <c r="L44" s="143" t="s">
        <v>51</v>
      </c>
      <c r="M44" s="144">
        <f t="shared" si="10"/>
        <v>57.552</v>
      </c>
      <c r="N44" s="145" t="str">
        <f>VLOOKUP(C44,'Trips&amp;Operators'!$C$1:$G$99999,5,FALSE)</f>
        <v>COOLAHAN JOHN</v>
      </c>
      <c r="O44" s="194" t="s">
        <v>185</v>
      </c>
      <c r="P44" s="146"/>
      <c r="Q44" s="30"/>
      <c r="R44" s="89" t="str">
        <f>IF(VLOOKUP(C44,'Train Runs'!$A$13:$AE$9949,1,1)=C44,VLOOKUP(C44,'Train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44" s="92" t="str">
        <f>VLOOKUP(C44,'Train Runs'!$A$13:$AE$9949,22,0)</f>
        <v>https://d0f6bd738d7f1b3e5a7ca70fe4ff75f0.us-east-1.aws.found.io/app/kibana#/discover/Steve-Slow-Train-Analysis-(2080s-and-2083s)?_g=(refreshInterval:(display:Off,pause:!f,section:0,value:0),time:(from:'2017-03-15T06:08:06-0600',mode:absolute,to:'2017-03-15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4" s="94" t="str">
        <f t="shared" si="11"/>
        <v>"C:\Program Files (x86)\AstroGrep\AstroGrep.exe" /e /r /s /spath="%USERPROFILE%\AppData\Local\Temp\OnboardLogs" /stypes="*4045*201703151*" /stext=" 13:.+((SYSTEM_STATE.+slice.+state.+changed )|(ment ac)|(multiple cpu faults)|(system.+state.+changed )|(\[timeout)|(PRM\|1\|D)|(kpr)|(kdp)|(\|lc)|(penalty))"</v>
      </c>
      <c r="U44" s="9" t="str">
        <f t="shared" si="12"/>
        <v>4045</v>
      </c>
      <c r="V44" s="32">
        <f t="shared" si="13"/>
        <v>42809.55945601852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ID","value":"806-15"},{"id":16,"name":"Locomotive ID","value":"4045"},{"id":130,"name":"Impact","value":""},{"id":150,"name":"Time of Event (Mountain Time)","value":"07:25:37"},{"id":151,"name":"Denver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"%USERPROFILE%\AppData\Local\Temp\OnboardLogs"\RTDC4045\*4045*201703151*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"%USERPROFILE%\AppData\Local\Temp\OnboardLogs"\RTDC4045\*4045*201703151* &gt;&gt; 2017-03-15-SliceDisagreementCheck.txt</v>
      </c>
      <c r="AE44" s="157" t="str">
        <f t="shared" si="9"/>
        <v>start /low /b %USERPROFILE%\Documents\GitHub\eaglep3\Utilities\DownloadLogsFromS3.py --loco 4045 --day 2017-03-15</v>
      </c>
      <c r="AF44" s="1"/>
    </row>
    <row r="45" spans="1:32" x14ac:dyDescent="0.25">
      <c r="A45" s="32">
        <v>42809.365081018521</v>
      </c>
      <c r="B45" s="30" t="s">
        <v>587</v>
      </c>
      <c r="C45" s="30" t="s">
        <v>588</v>
      </c>
      <c r="D45" s="30" t="s">
        <v>49</v>
      </c>
      <c r="E45" s="30" t="s">
        <v>186</v>
      </c>
      <c r="F45" s="43">
        <v>0</v>
      </c>
      <c r="G45" s="43">
        <v>28</v>
      </c>
      <c r="H45" s="43">
        <v>57802</v>
      </c>
      <c r="I45" s="43">
        <v>57726</v>
      </c>
      <c r="J45" s="30" t="s">
        <v>187</v>
      </c>
      <c r="K45" s="43">
        <v>575</v>
      </c>
      <c r="L45" s="143" t="s">
        <v>51</v>
      </c>
      <c r="M45" s="144">
        <f t="shared" si="10"/>
        <v>30175.727999999999</v>
      </c>
      <c r="N45" s="145" t="str">
        <f>VLOOKUP(C45,'Trips&amp;Operators'!$C$1:$G$99999,5,FALSE)</f>
        <v>WILLIAMS DONTE</v>
      </c>
      <c r="O45" s="194" t="s">
        <v>185</v>
      </c>
      <c r="P45" s="146"/>
      <c r="Q45" s="30"/>
      <c r="R45" s="89" t="e">
        <f>IF(VLOOKUP(C45,'Train Runs'!$A$13:$AE$9949,1,1)=C45,VLOOKUP(C45,'Train Runs'!$A$13:$AE$9949,31,1),NA())</f>
        <v>#N/A</v>
      </c>
      <c r="S45" s="92" t="str">
        <f>VLOOKUP(C45,'Train Runs'!$A$13:$AE$9949,22,0)</f>
        <v>https://d0f6bd738d7f1b3e5a7ca70fe4ff75f0.us-east-1.aws.found.io/app/kibana#/discover/Steve-Slow-Train-Analysis-(2080s-and-2083s)?_g=(refreshInterval:(display:Off,pause:!f,section:0,value:0),time:(from:'2017-03-15T07:41:17-0600',mode:absolute,to:'2017-03-15T10:01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5" s="94" t="str">
        <f t="shared" si="11"/>
        <v>"C:\Program Files (x86)\AstroGrep\AstroGrep.exe" /e /r /s /spath="%USERPROFILE%\AppData\Local\Temp\OnboardLogs" /stypes="*4015*201703151*" /stext=" 14:.+((SYSTEM_STATE.+slice.+state.+changed )|(ment ac)|(multiple cpu faults)|(system.+state.+changed )|(\[timeout)|(PRM\|1\|D)|(kpr)|(kdp)|(\|lc)|(penalty))"</v>
      </c>
      <c r="U45" s="9" t="str">
        <f t="shared" si="12"/>
        <v>4015</v>
      </c>
      <c r="V45" s="32">
        <f t="shared" si="13"/>
        <v>42809.615081018521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ID","value":"812-15"},{"id":16,"name":"Locomotive ID","value":"4015"},{"id":130,"name":"Impact","value":""},{"id":150,"name":"Time of Event (Mountain Time)","value":"08:45:43"},{"id":151,"name":"Denver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"%USERPROFILE%\AppData\Local\Temp\OnboardLogs"\RTDC4015\*4015*201703151*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5" s="157" t="str">
        <f t="shared" si="9"/>
        <v>start /low /b %USERPROFILE%\Documents\GitHub\eaglep3\Utilities\DownloadLogsFromS3.py --loco 4015 --day 2017-03-15</v>
      </c>
      <c r="AF45" s="1"/>
    </row>
    <row r="46" spans="1:32" x14ac:dyDescent="0.25">
      <c r="A46" s="32">
        <v>42809.539236111108</v>
      </c>
      <c r="B46" s="30" t="s">
        <v>587</v>
      </c>
      <c r="C46" s="30" t="s">
        <v>598</v>
      </c>
      <c r="D46" s="30" t="s">
        <v>49</v>
      </c>
      <c r="E46" s="30" t="s">
        <v>186</v>
      </c>
      <c r="F46" s="43">
        <v>0</v>
      </c>
      <c r="G46" s="43">
        <v>145</v>
      </c>
      <c r="H46" s="43">
        <v>1380</v>
      </c>
      <c r="I46" s="43">
        <v>1193</v>
      </c>
      <c r="J46" s="30" t="s">
        <v>187</v>
      </c>
      <c r="K46" s="43">
        <v>575</v>
      </c>
      <c r="L46" s="143" t="s">
        <v>51</v>
      </c>
      <c r="M46" s="144">
        <f t="shared" si="10"/>
        <v>326.30399999999997</v>
      </c>
      <c r="N46" s="145" t="str">
        <f>VLOOKUP(C46,'Trips&amp;Operators'!$C$1:$G$99999,5,FALSE)</f>
        <v>WILLIAMS DONTE</v>
      </c>
      <c r="O46" s="194" t="s">
        <v>185</v>
      </c>
      <c r="P46" s="146"/>
      <c r="Q46" s="30"/>
      <c r="R46" s="89" t="e">
        <f>IF(VLOOKUP(C46,'Train Runs'!$A$13:$AE$9949,1,1)=C46,VLOOKUP(C46,'Train Runs'!$A$13:$AE$9949,31,1),NA())</f>
        <v>#N/A</v>
      </c>
      <c r="S46" s="92" t="str">
        <f>VLOOKUP(C46,'Train Runs'!$A$13:$AE$9949,22,0)</f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94" t="str">
        <f t="shared" si="11"/>
        <v>"C:\Program Files (x86)\AstroGrep\AstroGrep.exe" /e /r /s /spath="%USERPROFILE%\AppData\Local\Temp\OnboardLogs" /stypes="*4015*201703151*" /stext=" 18:.+((SYSTEM_STATE.+slice.+state.+changed )|(ment ac)|(multiple cpu faults)|(system.+state.+changed )|(\[timeout)|(PRM\|1\|D)|(kpr)|(kdp)|(\|lc)|(penalty))"</v>
      </c>
      <c r="U46" s="9" t="str">
        <f t="shared" si="12"/>
        <v>4015</v>
      </c>
      <c r="V46" s="32">
        <f t="shared" si="13"/>
        <v>42809.789236111108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ID","value":"820-15"},{"id":16,"name":"Locomotive ID","value":"4015"},{"id":130,"name":"Impact","value":""},{"id":150,"name":"Time of Event (Mountain Time)","value":"12:56:30"},{"id":151,"name":"Denver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"%USERPROFILE%\AppData\Local\Temp\OnboardLogs"\RTDC4015\*4015*201703151*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6" s="157" t="str">
        <f t="shared" si="9"/>
        <v>start /low /b %USERPROFILE%\Documents\GitHub\eaglep3\Utilities\DownloadLogsFromS3.py --loco 4015 --day 2017-03-15</v>
      </c>
      <c r="AF46" s="1"/>
    </row>
    <row r="47" spans="1:32" x14ac:dyDescent="0.25">
      <c r="A47" s="32">
        <v>42809.53974537037</v>
      </c>
      <c r="B47" s="30" t="s">
        <v>587</v>
      </c>
      <c r="C47" s="30" t="s">
        <v>598</v>
      </c>
      <c r="D47" s="30" t="s">
        <v>49</v>
      </c>
      <c r="E47" s="30" t="s">
        <v>186</v>
      </c>
      <c r="F47" s="43">
        <v>0</v>
      </c>
      <c r="G47" s="43">
        <v>83</v>
      </c>
      <c r="H47" s="43">
        <v>1002</v>
      </c>
      <c r="I47" s="43">
        <v>920</v>
      </c>
      <c r="J47" s="30" t="s">
        <v>187</v>
      </c>
      <c r="K47" s="43">
        <v>575</v>
      </c>
      <c r="L47" s="143" t="s">
        <v>51</v>
      </c>
      <c r="M47" s="144">
        <f t="shared" si="10"/>
        <v>182.16</v>
      </c>
      <c r="N47" s="145" t="str">
        <f>VLOOKUP(C47,'Trips&amp;Operators'!$C$1:$G$99999,5,FALSE)</f>
        <v>WILLIAMS DONTE</v>
      </c>
      <c r="O47" s="194" t="s">
        <v>185</v>
      </c>
      <c r="P47" s="146"/>
      <c r="Q47" s="30"/>
      <c r="R47" s="89" t="e">
        <f>IF(VLOOKUP(C47,'Train Runs'!$A$13:$AE$9949,1,1)=C47,VLOOKUP(C47,'Train Runs'!$A$13:$AE$9949,31,1),NA())</f>
        <v>#N/A</v>
      </c>
      <c r="S47" s="92" t="str">
        <f>VLOOKUP(C47,'Train Runs'!$A$13:$AE$9949,22,0)</f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7" s="94" t="str">
        <f t="shared" si="11"/>
        <v>"C:\Program Files (x86)\AstroGrep\AstroGrep.exe" /e /r /s /spath="%USERPROFILE%\AppData\Local\Temp\OnboardLogs" /stypes="*4015*201703151*" /stext=" 18:.+((SYSTEM_STATE.+slice.+state.+changed )|(ment ac)|(multiple cpu faults)|(system.+state.+changed )|(\[timeout)|(PRM\|1\|D)|(kpr)|(kdp)|(\|lc)|(penalty))"</v>
      </c>
      <c r="U47" s="9" t="str">
        <f t="shared" si="12"/>
        <v>4015</v>
      </c>
      <c r="V47" s="32">
        <f t="shared" si="13"/>
        <v>42809.78974537037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ID","value":"820-15"},{"id":16,"name":"Locomotive ID","value":"4015"},{"id":130,"name":"Impact","value":""},{"id":150,"name":"Time of Event (Mountain Time)","value":"12:57:14"},{"id":151,"name":"Denver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"%USERPROFILE%\AppData\Local\Temp\OnboardLogs"\RTDC4015\*4015*201703151*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7" s="157" t="str">
        <f t="shared" si="9"/>
        <v>start /low /b %USERPROFILE%\Documents\GitHub\eaglep3\Utilities\DownloadLogsFromS3.py --loco 4015 --day 2017-03-15</v>
      </c>
      <c r="AF47" s="1"/>
    </row>
    <row r="48" spans="1:32" x14ac:dyDescent="0.25">
      <c r="A48" s="32">
        <v>42809.726388888892</v>
      </c>
      <c r="B48" s="30" t="s">
        <v>574</v>
      </c>
      <c r="C48" s="30" t="s">
        <v>614</v>
      </c>
      <c r="D48" s="30" t="s">
        <v>49</v>
      </c>
      <c r="E48" s="30" t="s">
        <v>186</v>
      </c>
      <c r="F48" s="43">
        <v>0</v>
      </c>
      <c r="G48" s="43">
        <v>41</v>
      </c>
      <c r="H48" s="43">
        <v>708</v>
      </c>
      <c r="I48" s="43">
        <v>668</v>
      </c>
      <c r="J48" s="30" t="s">
        <v>187</v>
      </c>
      <c r="K48" s="43">
        <v>575</v>
      </c>
      <c r="L48" s="143" t="s">
        <v>51</v>
      </c>
      <c r="M48" s="144">
        <f t="shared" si="10"/>
        <v>49.103999999999999</v>
      </c>
      <c r="N48" s="145" t="str">
        <f>VLOOKUP(C48,'Trips&amp;Operators'!$C$1:$G$99999,5,FALSE)</f>
        <v>CHANDLER KELVIN</v>
      </c>
      <c r="O48" s="194" t="s">
        <v>185</v>
      </c>
      <c r="P48" s="146"/>
      <c r="Q48" s="30"/>
      <c r="R48" s="89" t="e">
        <f>IF(VLOOKUP(C48,'Train Runs'!$A$13:$AE$9949,1,1)=C48,VLOOKUP(C48,'Train Runs'!$A$13:$AE$9949,31,1),NA())</f>
        <v>#N/A</v>
      </c>
      <c r="S48" s="92" t="str">
        <f>VLOOKUP(C48,'Train Runs'!$A$13:$AE$9949,22,0)</f>
        <v>https://d0f6bd738d7f1b3e5a7ca70fe4ff75f0.us-east-1.aws.found.io/app/kibana#/discover/Steve-Slow-Train-Analysis-(2080s-and-2083s)?_g=(refreshInterval:(display:Off,pause:!f,section:0,value:0),time:(from:'2017-03-15T16:07:54-0600',mode:absolute,to:'2017-03-15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94" t="str">
        <f t="shared" si="11"/>
        <v>"C:\Program Files (x86)\AstroGrep\AstroGrep.exe" /e /r /s /spath="%USERPROFILE%\AppData\Local\Temp\OnboardLogs" /stypes="*4045*201703152*" /stext=" 23:.+((SYSTEM_STATE.+slice.+state.+changed )|(ment ac)|(multiple cpu faults)|(system.+state.+changed )|(\[timeout)|(PRM\|1\|D)|(kpr)|(kdp)|(\|lc)|(penalty))"</v>
      </c>
      <c r="U48" s="9" t="str">
        <f t="shared" si="12"/>
        <v>4045</v>
      </c>
      <c r="V48" s="32">
        <f t="shared" si="13"/>
        <v>42809.976388888892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ID","value":"832-15"},{"id":16,"name":"Locomotive ID","value":"4045"},{"id":130,"name":"Impact","value":""},{"id":150,"name":"Time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"%USERPROFILE%\AppData\Local\Temp\OnboardLogs"\RTDC4045\*4045*201703152*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"%USERPROFILE%\AppData\Local\Temp\OnboardLogs"\RTDC4045\*4045*201703152* &gt;&gt; 2017-03-15-SliceDisagreementCheck.txt</v>
      </c>
      <c r="AE48" s="157" t="str">
        <f t="shared" si="9"/>
        <v>start /low /b %USERPROFILE%\Documents\GitHub\eaglep3\Utilities\DownloadLogsFromS3.py --loco 4045 --day 2017-03-15</v>
      </c>
      <c r="AF48" s="1"/>
    </row>
    <row r="49" spans="1:32" x14ac:dyDescent="0.25">
      <c r="A49" s="32">
        <v>42809.769409722219</v>
      </c>
      <c r="B49" s="30" t="s">
        <v>574</v>
      </c>
      <c r="C49" s="30" t="s">
        <v>616</v>
      </c>
      <c r="D49" s="30" t="s">
        <v>49</v>
      </c>
      <c r="E49" s="30" t="s">
        <v>186</v>
      </c>
      <c r="F49" s="43">
        <v>0</v>
      </c>
      <c r="G49" s="43">
        <v>53</v>
      </c>
      <c r="H49" s="43">
        <v>759</v>
      </c>
      <c r="I49" s="43">
        <v>722</v>
      </c>
      <c r="J49" s="30" t="s">
        <v>187</v>
      </c>
      <c r="K49" s="43">
        <v>575</v>
      </c>
      <c r="L49" s="143" t="s">
        <v>51</v>
      </c>
      <c r="M49" s="144">
        <f t="shared" si="10"/>
        <v>77.616</v>
      </c>
      <c r="N49" s="145" t="str">
        <f>VLOOKUP(C49,'Trips&amp;Operators'!$C$1:$G$99999,5,FALSE)</f>
        <v>CHANDLER KELVIN</v>
      </c>
      <c r="O49" s="194" t="s">
        <v>185</v>
      </c>
      <c r="P49" s="146"/>
      <c r="Q49" s="30"/>
      <c r="R49" s="89" t="e">
        <f>IF(VLOOKUP(C49,'Train Runs'!$A$13:$AE$9949,1,1)=C49,VLOOKUP(C49,'Train Runs'!$A$13:$AE$9949,31,1),NA())</f>
        <v>#N/A</v>
      </c>
      <c r="S49" s="92" t="str">
        <f>VLOOKUP(C49,'Train Runs'!$A$13:$AE$9949,22,0)</f>
        <v>https://d0f6bd738d7f1b3e5a7ca70fe4ff75f0.us-east-1.aws.found.io/app/kibana#/discover/Steve-Slow-Train-Analysis-(2080s-and-2083s)?_g=(refreshInterval:(display:Off,pause:!f,section:0,value:0),time:(from:'2017-03-15T17:08:01-0600',mode:absolute,to:'2017-03-15T19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94" t="str">
        <f t="shared" si="11"/>
        <v>"C:\Program Files (x86)\AstroGrep\AstroGrep.exe" /e /r /s /spath="%USERPROFILE%\AppData\Local\Temp\OnboardLogs" /stypes="*4045*201703160*" /stext=" 00:.+((SYSTEM_STATE.+slice.+state.+changed )|(ment ac)|(multiple cpu faults)|(system.+state.+changed )|(\[timeout)|(PRM\|1\|D)|(kpr)|(kdp)|(\|lc)|(penalty))"</v>
      </c>
      <c r="U49" s="9" t="str">
        <f t="shared" si="12"/>
        <v>4045</v>
      </c>
      <c r="V49" s="32">
        <f t="shared" si="13"/>
        <v>42810.019409722219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ID","value":"836-15"},{"id":16,"name":"Locomotive ID","value":"4045"},{"id":130,"name":"Impact","value":""},{"id":150,"name":"Time of Event (Mountain Time)","value":"18:27:57"},{"id":151,"name":"Denver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"%USERPROFILE%\AppData\Local\Temp\OnboardLogs"\RTDC4045\*4045*201703160*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"%USERPROFILE%\AppData\Local\Temp\OnboardLogs"\RTDC4045\*4045*201703160* &gt;&gt; 2017-03-15-SliceDisagreementCheck.txt</v>
      </c>
      <c r="AE49" s="157" t="str">
        <f t="shared" si="9"/>
        <v>start /low /b %USERPROFILE%\Documents\GitHub\eaglep3\Utilities\DownloadLogsFromS3.py --loco 4045 --day 2017-03-16</v>
      </c>
      <c r="AF49" s="1"/>
    </row>
    <row r="50" spans="1:32" x14ac:dyDescent="0.25">
      <c r="A50" s="32">
        <v>42809.913622685184</v>
      </c>
      <c r="B50" s="30" t="s">
        <v>587</v>
      </c>
      <c r="C50" s="30" t="s">
        <v>621</v>
      </c>
      <c r="D50" s="30" t="s">
        <v>49</v>
      </c>
      <c r="E50" s="30" t="s">
        <v>186</v>
      </c>
      <c r="F50" s="43">
        <v>0</v>
      </c>
      <c r="G50" s="43">
        <v>39</v>
      </c>
      <c r="H50" s="43">
        <v>696</v>
      </c>
      <c r="I50" s="43">
        <v>668</v>
      </c>
      <c r="J50" s="30" t="s">
        <v>187</v>
      </c>
      <c r="K50" s="43">
        <v>575</v>
      </c>
      <c r="L50" s="143" t="s">
        <v>51</v>
      </c>
      <c r="M50" s="144">
        <f t="shared" si="10"/>
        <v>49.103999999999999</v>
      </c>
      <c r="N50" s="145" t="str">
        <f>VLOOKUP(C50,'Trips&amp;Operators'!$C$1:$G$99999,5,FALSE)</f>
        <v>CHANDLER KELVIN</v>
      </c>
      <c r="O50" s="194" t="s">
        <v>185</v>
      </c>
      <c r="P50" s="146"/>
      <c r="Q50" s="30"/>
      <c r="R50" s="89" t="e">
        <f>IF(VLOOKUP(C50,'Train Runs'!$A$13:$AE$9949,1,1)=C50,VLOOKUP(C50,'Train Runs'!$A$13:$AE$9949,31,1),NA())</f>
        <v>#N/A</v>
      </c>
      <c r="S50" s="92" t="str">
        <f>VLOOKUP(C50,'Train Runs'!$A$13:$AE$9949,22,0)</f>
        <v>https://d0f6bd738d7f1b3e5a7ca70fe4ff75f0.us-east-1.aws.found.io/app/kibana#/discover/Steve-Slow-Train-Analysis-(2080s-and-2083s)?_g=(refreshInterval:(display:Off,pause:!f,section:0,value:0),time:(from:'2017-03-15T20:38:31-0600',mode:absolute,to:'2017-03-15T22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0" s="94" t="str">
        <f t="shared" si="11"/>
        <v>"C:\Program Files (x86)\AstroGrep\AstroGrep.exe" /e /r /s /spath="%USERPROFILE%\AppData\Local\Temp\OnboardLogs" /stypes="*4015*201703160*" /stext=" 03:.+((SYSTEM_STATE.+slice.+state.+changed )|(ment ac)|(multiple cpu faults)|(system.+state.+changed )|(\[timeout)|(PRM\|1\|D)|(kpr)|(kdp)|(\|lc)|(penalty))"</v>
      </c>
      <c r="U50" s="9" t="str">
        <f t="shared" si="12"/>
        <v>4015</v>
      </c>
      <c r="V50" s="32">
        <f t="shared" si="13"/>
        <v>42810.163622685184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ID","value":"844-15"},{"id":16,"name":"Locomotive ID","value":"4015"},{"id":130,"name":"Impact","value":""},{"id":150,"name":"Time of Event (Mountain Time)","value":"21:55:37"},{"id":151,"name":"Denver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"%USERPROFILE%\AppData\Local\Temp\OnboardLogs"\RTDC4015\*4015*201703160*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"%USERPROFILE%\AppData\Local\Temp\OnboardLogs"\RTDC4015\*4015*201703160* &gt;&gt; 2017-03-15-SliceDisagreementCheck.txt</v>
      </c>
      <c r="AE50" s="157" t="str">
        <f t="shared" si="9"/>
        <v>start /low /b %USERPROFILE%\Documents\GitHub\eaglep3\Utilities\DownloadLogsFromS3.py --loco 4015 --day 2017-03-16</v>
      </c>
      <c r="AF50" s="1"/>
    </row>
    <row r="51" spans="1:32" x14ac:dyDescent="0.25">
      <c r="A51" s="32">
        <v>42809.295891203707</v>
      </c>
      <c r="B51" s="30" t="s">
        <v>580</v>
      </c>
      <c r="C51" s="30" t="s">
        <v>581</v>
      </c>
      <c r="D51" s="30" t="s">
        <v>49</v>
      </c>
      <c r="E51" s="30" t="s">
        <v>186</v>
      </c>
      <c r="F51" s="43">
        <v>0</v>
      </c>
      <c r="G51" s="43">
        <v>72</v>
      </c>
      <c r="H51" s="43">
        <v>58830</v>
      </c>
      <c r="I51" s="43">
        <v>58880</v>
      </c>
      <c r="J51" s="30" t="s">
        <v>187</v>
      </c>
      <c r="K51" s="43">
        <v>59048</v>
      </c>
      <c r="L51" s="143" t="s">
        <v>50</v>
      </c>
      <c r="M51" s="144">
        <f t="shared" si="10"/>
        <v>88.703999999999994</v>
      </c>
      <c r="N51" s="145" t="str">
        <f>VLOOKUP(C51,'Trips&amp;Operators'!$C$1:$G$99999,5,FALSE)</f>
        <v>COOLAHAN JOHN</v>
      </c>
      <c r="O51" s="194" t="s">
        <v>185</v>
      </c>
      <c r="P51" s="146"/>
      <c r="Q51" s="30"/>
      <c r="R51" s="89" t="str">
        <f>IF(VLOOKUP(C51,'Train Runs'!$A$13:$AE$9949,1,1)=C51,VLOOKUP(C51,'Train Runs'!$A$13:$AE$9949,31,1),NA())</f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S51" s="92" t="str">
        <f>VLOOKUP(C51,'Train Runs'!$A$13:$AE$9949,22,0)</f>
        <v>https://d0f6bd738d7f1b3e5a7ca70fe4ff75f0.us-east-1.aws.found.io/app/kibana#/discover/Steve-Slow-Train-Analysis-(2080s-and-2083s)?_g=(refreshInterval:(display:Off,pause:!f,section:0,value:0),time:(from:'2017-03-15T05:44:42-0600',mode:absolute,to:'2017-03-15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1" s="94" t="str">
        <f t="shared" si="11"/>
        <v>"C:\Program Files (x86)\AstroGrep\AstroGrep.exe" /e /r /s /spath="%USERPROFILE%\AppData\Local\Temp\OnboardLogs" /stypes="*4046*201703151*" /stext=" 13:.+((SYSTEM_STATE.+slice.+state.+changed )|(ment ac)|(multiple cpu faults)|(system.+state.+changed )|(\[timeout)|(PRM\|1\|D)|(kpr)|(kdp)|(\|lc)|(penalty))"</v>
      </c>
      <c r="U51" s="9" t="str">
        <f t="shared" si="12"/>
        <v>4046</v>
      </c>
      <c r="V51" s="32">
        <f t="shared" si="13"/>
        <v>42809.545891203707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ID","value":"805-15"},{"id":16,"name":"Locomotive ID","value":"4046"},{"id":130,"name":"Impact","value":""},{"id":150,"name":"Time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"%USERPROFILE%\AppData\Local\Temp\OnboardLogs"\RTDC4046\*4046*201703151*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"%USERPROFILE%\AppData\Local\Temp\OnboardLogs"\RTDC4046\*4046*201703151* &gt;&gt; 2017-03-15-SliceDisagreementCheck.txt</v>
      </c>
      <c r="AE51" s="157" t="str">
        <f t="shared" si="9"/>
        <v>start /low /b %USERPROFILE%\Documents\GitHub\eaglep3\Utilities\DownloadLogsFromS3.py --loco 4046 --day 2017-03-15</v>
      </c>
      <c r="AF51" s="1"/>
    </row>
    <row r="52" spans="1:32" x14ac:dyDescent="0.25">
      <c r="A52" s="32">
        <v>42809.3594212963</v>
      </c>
      <c r="B52" s="30" t="s">
        <v>576</v>
      </c>
      <c r="C52" s="30" t="s">
        <v>586</v>
      </c>
      <c r="D52" s="30" t="s">
        <v>49</v>
      </c>
      <c r="E52" s="30" t="s">
        <v>186</v>
      </c>
      <c r="F52" s="43">
        <v>0</v>
      </c>
      <c r="G52" s="43">
        <v>54</v>
      </c>
      <c r="H52" s="43">
        <v>58882</v>
      </c>
      <c r="I52" s="43">
        <v>58916</v>
      </c>
      <c r="J52" s="30" t="s">
        <v>187</v>
      </c>
      <c r="K52" s="43">
        <v>59048</v>
      </c>
      <c r="L52" s="143" t="s">
        <v>50</v>
      </c>
      <c r="M52" s="144">
        <f t="shared" si="10"/>
        <v>69.695999999999998</v>
      </c>
      <c r="N52" s="145" t="str">
        <f>VLOOKUP(C52,'Trips&amp;Operators'!$C$1:$G$99999,5,FALSE)</f>
        <v>WILLIAMS DONTE</v>
      </c>
      <c r="O52" s="194" t="s">
        <v>185</v>
      </c>
      <c r="P52" s="146"/>
      <c r="Q52" s="30"/>
      <c r="R52" s="89" t="e">
        <f>IF(VLOOKUP(C52,'Train Runs'!$A$13:$AE$9949,1,1)=C52,VLOOKUP(C52,'Train Runs'!$A$13:$AE$9949,31,1),NA())</f>
        <v>#N/A</v>
      </c>
      <c r="S52" s="92" t="str">
        <f>VLOOKUP(C52,'Train Runs'!$A$13:$AE$9949,22,0)</f>
        <v>https://d0f6bd738d7f1b3e5a7ca70fe4ff75f0.us-east-1.aws.found.io/app/kibana#/discover/Steve-Slow-Train-Analysis-(2080s-and-2083s)?_g=(refreshInterval:(display:Off,pause:!f,section:0,value:0),time:(from:'2017-03-15T07:19:32-0600',mode:absolute,to:'2017-03-15T09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2" s="94" t="str">
        <f t="shared" si="11"/>
        <v>"C:\Program Files (x86)\AstroGrep\AstroGrep.exe" /e /r /s /spath="%USERPROFILE%\AppData\Local\Temp\OnboardLogs" /stypes="*4016*201703151*" /stext=" 14:.+((SYSTEM_STATE.+slice.+state.+changed )|(ment ac)|(multiple cpu faults)|(system.+state.+changed )|(\[timeout)|(PRM\|1\|D)|(kpr)|(kdp)|(\|lc)|(penalty))"</v>
      </c>
      <c r="U52" s="9" t="str">
        <f t="shared" si="12"/>
        <v>4016</v>
      </c>
      <c r="V52" s="32">
        <f t="shared" si="13"/>
        <v>42809.6094212963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ID","value":"811-15"},{"id":16,"name":"Locomotive ID","value":"4016"},{"id":130,"name":"Impact","value":""},{"id":150,"name":"Time of Event (Mountain Time)","value":"08:37:34"},{"id":151,"name":"Denver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"%USERPROFILE%\AppData\Local\Temp\OnboardLogs"\RTDC4016\*4016*201703151*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"%USERPROFILE%\AppData\Local\Temp\OnboardLogs"\RTDC4016\*4016*201703151* &gt;&gt; 2017-03-15-SliceDisagreementCheck.txt</v>
      </c>
      <c r="AE52" s="157" t="str">
        <f t="shared" si="9"/>
        <v>start /low /b %USERPROFILE%\Documents\GitHub\eaglep3\Utilities\DownloadLogsFromS3.py --loco 4016 --day 2017-03-15</v>
      </c>
      <c r="AF52" s="1"/>
    </row>
    <row r="53" spans="1:32" x14ac:dyDescent="0.25">
      <c r="A53" s="32">
        <v>42809.670231481483</v>
      </c>
      <c r="B53" s="30" t="s">
        <v>580</v>
      </c>
      <c r="C53" s="30" t="s">
        <v>609</v>
      </c>
      <c r="D53" s="30" t="s">
        <v>49</v>
      </c>
      <c r="E53" s="30" t="s">
        <v>186</v>
      </c>
      <c r="F53" s="43">
        <v>0</v>
      </c>
      <c r="G53" s="43">
        <v>97</v>
      </c>
      <c r="H53" s="43">
        <v>58602</v>
      </c>
      <c r="I53" s="43">
        <v>58681</v>
      </c>
      <c r="J53" s="30" t="s">
        <v>187</v>
      </c>
      <c r="K53" s="43">
        <v>59048</v>
      </c>
      <c r="L53" s="143" t="s">
        <v>50</v>
      </c>
      <c r="M53" s="144">
        <f t="shared" si="10"/>
        <v>193.77600000000001</v>
      </c>
      <c r="N53" s="145" t="str">
        <f>VLOOKUP(C53,'Trips&amp;Operators'!$C$1:$G$99999,5,FALSE)</f>
        <v>CHANDLER KELVIN</v>
      </c>
      <c r="O53" s="194" t="s">
        <v>185</v>
      </c>
      <c r="P53" s="146"/>
      <c r="Q53" s="30"/>
      <c r="R53" s="89" t="e">
        <f>IF(VLOOKUP(C53,'Train Runs'!$A$13:$AE$9949,1,1)=C53,VLOOKUP(C53,'Train Runs'!$A$13:$AE$9949,31,1),NA())</f>
        <v>#N/A</v>
      </c>
      <c r="S53" s="92" t="str">
        <f>VLOOKUP(C53,'Train Runs'!$A$13:$AE$9949,22,0)</f>
        <v>https://d0f6bd738d7f1b3e5a7ca70fe4ff75f0.us-east-1.aws.found.io/app/kibana#/discover/Steve-Slow-Train-Analysis-(2080s-and-2083s)?_g=(refreshInterval:(display:Off,pause:!f,section:0,value:0),time:(from:'2017-03-15T14:49:02-0600',mode:absolute,to:'2017-03-15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3" s="94" t="str">
        <f t="shared" si="11"/>
        <v>"C:\Program Files (x86)\AstroGrep\AstroGrep.exe" /e /r /s /spath="%USERPROFILE%\AppData\Local\Temp\OnboardLogs" /stypes="*4046*201703152*" /stext=" 22:.+((SYSTEM_STATE.+slice.+state.+changed )|(ment ac)|(multiple cpu faults)|(system.+state.+changed )|(\[timeout)|(PRM\|1\|D)|(kpr)|(kdp)|(\|lc)|(penalty))"</v>
      </c>
      <c r="U53" s="9" t="str">
        <f t="shared" si="12"/>
        <v>4046</v>
      </c>
      <c r="V53" s="32">
        <f t="shared" si="13"/>
        <v>42809.920231481483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ID","value":"827-15"},{"id":16,"name":"Locomotive ID","value":"4046"},{"id":130,"name":"Impact","value":""},{"id":150,"name":"Time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"%USERPROFILE%\AppData\Local\Temp\OnboardLogs"\RTDC4046\*4046*201703152*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"%USERPROFILE%\AppData\Local\Temp\OnboardLogs"\RTDC4046\*4046*201703152* &gt;&gt; 2017-03-15-SliceDisagreementCheck.txt</v>
      </c>
      <c r="AE53" s="157" t="str">
        <f t="shared" si="9"/>
        <v>start /low /b %USERPROFILE%\Documents\GitHub\eaglep3\Utilities\DownloadLogsFromS3.py --loco 4046 --day 2017-03-15</v>
      </c>
      <c r="AF53" s="1"/>
    </row>
    <row r="54" spans="1:32" x14ac:dyDescent="0.25">
      <c r="A54" s="32">
        <v>42810.052465277775</v>
      </c>
      <c r="B54" s="30" t="s">
        <v>391</v>
      </c>
      <c r="C54" s="30" t="s">
        <v>624</v>
      </c>
      <c r="D54" s="30" t="s">
        <v>49</v>
      </c>
      <c r="E54" s="30" t="s">
        <v>194</v>
      </c>
      <c r="F54" s="43">
        <v>340</v>
      </c>
      <c r="G54" s="43">
        <v>407</v>
      </c>
      <c r="H54" s="43">
        <v>8233</v>
      </c>
      <c r="I54" s="43">
        <v>9707</v>
      </c>
      <c r="J54" s="30" t="s">
        <v>195</v>
      </c>
      <c r="K54" s="43">
        <v>10716</v>
      </c>
      <c r="L54" s="143" t="s">
        <v>50</v>
      </c>
      <c r="M54" s="144">
        <f t="shared" si="10"/>
        <v>532.75199999999995</v>
      </c>
      <c r="N54" s="145" t="str">
        <f>VLOOKUP(C54,'Trips&amp;Operators'!$C$1:$G$99999,5,FALSE)</f>
        <v>MENGES BRAD</v>
      </c>
      <c r="O54" s="194" t="s">
        <v>185</v>
      </c>
      <c r="P54" s="146"/>
      <c r="Q54" s="30"/>
      <c r="R54" s="89" t="e">
        <f>IF(VLOOKUP(C54,'Train Runs'!$A$13:$AE$9949,1,1)=C54,VLOOKUP(C54,'Train Runs'!$A$13:$AE$9949,31,1),NA())</f>
        <v>#N/A</v>
      </c>
      <c r="S54" s="92" t="str">
        <f>VLOOKUP(C54,'Train Runs'!$A$13:$AE$9949,22,0)</f>
        <v>https://d0f6bd738d7f1b3e5a7ca70fe4ff75f0.us-east-1.aws.found.io/app/kibana#/discover/Steve-Slow-Train-Analysis-(2080s-and-2083s)?_g=(refreshInterval:(display:Off,pause:!f,section:0,value:0),time:(from:'2017-03-16T00:09:45-0600',mode:absolute,to:'2017-03-16T02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54" s="94" t="str">
        <f t="shared" si="11"/>
        <v>"C:\Program Files (x86)\AstroGrep\AstroGrep.exe" /e /r /s /spath="%USERPROFILE%\AppData\Local\Temp\OnboardLogs" /stypes="*4051*201703160*" /stext=" 07:.+((SYSTEM_STATE.+slice.+state.+changed )|(ment ac)|(multiple cpu faults)|(system.+state.+changed )|(\[timeout)|(PRM\|1\|D)|(kpr)|(kdp)|(\|lc)|(penalty))"</v>
      </c>
      <c r="U54" s="9" t="str">
        <f t="shared" si="12"/>
        <v>4051</v>
      </c>
      <c r="V54" s="32">
        <f t="shared" si="13"/>
        <v>42810.302465277775</v>
      </c>
      <c r="W54" s="46" t="str">
        <f t="shared" si="14"/>
        <v>Other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{"issue":{"subject":"","project_id":79,"tracker_id":40,"status_id":1,"priority_id":2,"assigned_to_id":23,"start_date":"2017-03-16","description":"","custom_fields":[{"id":1,"name":"Subdivision","value":"Other"},{"id":4,"name":"Milepost","value":"1.0716"},{"id":17,"name":"Train ID","value":"309-15"},{"id":16,"name":"Locomotive ID","value":"4051"},{"id":130,"name":"Impact","value":""},{"id":150,"name":"Time of Event (Mountain Time)","value":"01:15:33"},{"id":151,"name":"Denver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"%USERPROFILE%\AppData\Local\Temp\OnboardLogs"\RTDC4051\*4051*201703160*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"%USERPROFILE%\AppData\Local\Temp\OnboardLogs"\RTDC4051\*4051*201703160* &gt;&gt; 2017-03-15-SliceDisagreementCheck.txt</v>
      </c>
      <c r="AE54" s="157" t="str">
        <f t="shared" si="9"/>
        <v>start /low /b %USERPROFILE%\Documents\GitHub\eaglep3\Utilities\DownloadLogsFromS3.py --loco 4051 --day 2017-03-16</v>
      </c>
      <c r="AF54" s="1"/>
    </row>
    <row r="55" spans="1:32" x14ac:dyDescent="0.25">
      <c r="A55" s="32">
        <v>42809.502071759256</v>
      </c>
      <c r="B55" s="30" t="s">
        <v>495</v>
      </c>
      <c r="C55" s="30" t="s">
        <v>595</v>
      </c>
      <c r="D55" s="30" t="s">
        <v>98</v>
      </c>
      <c r="E55" s="30" t="s">
        <v>226</v>
      </c>
      <c r="F55" s="43">
        <v>350</v>
      </c>
      <c r="G55" s="43">
        <v>400</v>
      </c>
      <c r="H55" s="43">
        <v>228517</v>
      </c>
      <c r="I55" s="43">
        <v>227577</v>
      </c>
      <c r="J55" s="30" t="s">
        <v>227</v>
      </c>
      <c r="K55" s="43">
        <v>232107</v>
      </c>
      <c r="L55" s="143" t="s">
        <v>51</v>
      </c>
      <c r="M55" s="144">
        <f t="shared" si="10"/>
        <v>-2391.84</v>
      </c>
      <c r="N55" s="145" t="str">
        <f>VLOOKUP(C55,'Trips&amp;Operators'!$C$1:$G$99999,5,FALSE)</f>
        <v>STRICKLAND EVAN</v>
      </c>
      <c r="O55" s="194" t="s">
        <v>185</v>
      </c>
      <c r="P55" s="146"/>
      <c r="Q55" s="30"/>
      <c r="R55" s="89" t="e">
        <f>IF(VLOOKUP(C55,'Train Runs'!$A$13:$AE$9949,1,1)=C55,VLOOKUP(C55,'Train Runs'!$A$13:$AE$9949,31,1),NA())</f>
        <v>#N/A</v>
      </c>
      <c r="S55" s="92" t="str">
        <f>VLOOKUP(C55,'Train Runs'!$A$13:$AE$9949,22,0)</f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5" s="94" t="str">
        <f t="shared" si="11"/>
        <v>"C:\Program Files (x86)\AstroGrep\AstroGrep.exe" /e /r /s /spath="%USERPROFILE%\AppData\Local\Temp\OnboardLogs" /stypes="*4032*201703151*" /stext=" 18:.+((SYSTEM_STATE.+slice.+state.+changed )|(ment ac)|(multiple cpu faults)|(system.+state.+changed )|(\[timeout)|(PRM\|1\|D)|(kpr)|(kdp)|(\|lc)|(penalty))"</v>
      </c>
      <c r="U55" s="9" t="str">
        <f t="shared" si="12"/>
        <v>4032</v>
      </c>
      <c r="V55" s="32">
        <f t="shared" si="13"/>
        <v>42809.752071759256</v>
      </c>
      <c r="W55" s="46" t="str">
        <f t="shared" si="14"/>
        <v>Other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{"issue":{"subject":"","project_id":79,"tracker_id":40,"status_id":1,"priority_id":2,"assigned_to_id":23,"start_date":"2017-03-15","description":"","custom_fields":[{"id":1,"name":"Subdivision","value":"Other"},{"id":4,"name":"Milepost","value":"23.2107"},{"id":17,"name":"Train ID","value":"55-15"},{"id":16,"name":"Locomotive ID","value":"4032"},{"id":130,"name":"Impact","value":""},{"id":150,"name":"Time of Event (Mountain Time)","value":"12:02:59"},{"id":151,"name":"Denver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"%USERPROFILE%\AppData\Local\Temp\OnboardLogs"\RTDC4032\*4032*201703151*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"%USERPROFILE%\AppData\Local\Temp\OnboardLogs"\RTDC4032\*4032*201703151* &gt;&gt; 2017-03-15-SliceDisagreementCheck.txt</v>
      </c>
      <c r="AE55" s="157" t="str">
        <f t="shared" si="9"/>
        <v>start /low /b %USERPROFILE%\Documents\GitHub\eaglep3\Utilities\DownloadLogsFromS3.py --loco 4032 --day 2017-03-15</v>
      </c>
      <c r="AF55" s="1"/>
    </row>
    <row r="56" spans="1:32" x14ac:dyDescent="0.25">
      <c r="A56" s="32">
        <v>42809.644756944443</v>
      </c>
      <c r="B56" s="30" t="s">
        <v>574</v>
      </c>
      <c r="C56" s="30" t="s">
        <v>605</v>
      </c>
      <c r="D56" s="30" t="s">
        <v>49</v>
      </c>
      <c r="E56" s="30" t="s">
        <v>389</v>
      </c>
      <c r="F56" s="43">
        <v>0</v>
      </c>
      <c r="G56" s="43">
        <v>60</v>
      </c>
      <c r="H56" s="43">
        <v>24464</v>
      </c>
      <c r="I56" s="43">
        <v>24389</v>
      </c>
      <c r="J56" s="30" t="s">
        <v>390</v>
      </c>
      <c r="K56" s="43">
        <v>24199</v>
      </c>
      <c r="L56" s="143" t="s">
        <v>51</v>
      </c>
      <c r="M56" s="144">
        <f t="shared" si="10"/>
        <v>100.32</v>
      </c>
      <c r="N56" s="145" t="str">
        <f>VLOOKUP(C56,'Trips&amp;Operators'!$C$1:$G$99999,5,FALSE)</f>
        <v>CHANDLER KELVIN</v>
      </c>
      <c r="O56" s="194" t="s">
        <v>185</v>
      </c>
      <c r="P56" s="146"/>
      <c r="Q56" s="30"/>
      <c r="R56" s="89" t="str">
        <f>IF(VLOOKUP(C56,'Train Runs'!$A$13:$AE$9949,1,1)=C56,VLOOKUP(C56,'Train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56" s="92" t="str">
        <f>VLOOKUP(C56,'Train Runs'!$A$13:$AE$9949,22,0)</f>
        <v>https://d0f6bd738d7f1b3e5a7ca70fe4ff75f0.us-east-1.aws.found.io/app/kibana#/discover/Steve-Slow-Train-Analysis-(2080s-and-2083s)?_g=(refreshInterval:(display:Off,pause:!f,section:0,value:0),time:(from:'2017-03-15T14:25:03-0600',mode:absolute,to:'2017-03-15T16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6" s="94" t="str">
        <f t="shared" si="11"/>
        <v>"C:\Program Files (x86)\AstroGrep\AstroGrep.exe" /e /r /s /spath="%USERPROFILE%\AppData\Local\Temp\OnboardLogs" /stypes="*4045*201703152*" /stext=" 21:.+((SYSTEM_STATE.+slice.+state.+changed )|(ment ac)|(multiple cpu faults)|(system.+state.+changed )|(\[timeout)|(PRM\|1\|D)|(kpr)|(kdp)|(\|lc)|(penalty))"</v>
      </c>
      <c r="U56" s="9" t="str">
        <f t="shared" si="12"/>
        <v>4045</v>
      </c>
      <c r="V56" s="32">
        <f t="shared" si="13"/>
        <v>42809.894756944443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{"issue":{"subject":"","project_id":79,"tracker_id":40,"status_id":1,"priority_id":2,"assigned_to_id":23,"start_date":"2017-03-15","description":"","custom_fields":[{"id":1,"name":"Subdivision","value":"Other"},{"id":4,"name":"Milepost","value":"2.4199"},{"id":17,"name":"Train ID","value":"904-15"},{"id":16,"name":"Locomotive ID","value":"4045"},{"id":130,"name":"Impact","value":""},{"id":150,"name":"Time of Event (Mountain Time)","value":"15:28:27"},{"id":151,"name":"Denver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"%USERPROFILE%\AppData\Local\Temp\OnboardLogs"\RTDC4045\*4045*201703152*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"%USERPROFILE%\AppData\Local\Temp\OnboardLogs"\RTDC4045\*4045*201703152* &gt;&gt; 2017-03-15-SliceDisagreementCheck.txt</v>
      </c>
      <c r="AE56" s="157" t="str">
        <f t="shared" si="9"/>
        <v>start /low /b %USERPROFILE%\Documents\GitHub\eaglep3\Utilities\DownloadLogsFromS3.py --loco 4045 --day 2017-03-15</v>
      </c>
      <c r="AF56" s="1"/>
    </row>
    <row r="57" spans="1:32" x14ac:dyDescent="0.25">
      <c r="A57" s="32">
        <v>42809.446458333332</v>
      </c>
      <c r="B57" s="30" t="s">
        <v>495</v>
      </c>
      <c r="C57" s="30" t="s">
        <v>594</v>
      </c>
      <c r="D57" s="30" t="s">
        <v>49</v>
      </c>
      <c r="E57" s="30" t="s">
        <v>186</v>
      </c>
      <c r="F57" s="43">
        <v>0</v>
      </c>
      <c r="G57" s="43">
        <v>56</v>
      </c>
      <c r="H57" s="43">
        <v>187</v>
      </c>
      <c r="I57" s="43">
        <v>145</v>
      </c>
      <c r="J57" s="30" t="s">
        <v>187</v>
      </c>
      <c r="K57" s="43">
        <v>1</v>
      </c>
      <c r="L57" s="143" t="s">
        <v>51</v>
      </c>
      <c r="M57" s="144">
        <f t="shared" si="10"/>
        <v>76.031999999999996</v>
      </c>
      <c r="N57" s="145" t="str">
        <f>VLOOKUP(C57,'Trips&amp;Operators'!$C$1:$G$99999,5,FALSE)</f>
        <v>STRICKLAND EVAN</v>
      </c>
      <c r="O57" s="194" t="s">
        <v>185</v>
      </c>
      <c r="P57" s="146"/>
      <c r="Q57" s="30"/>
      <c r="R57" s="89" t="e">
        <f>IF(VLOOKUP(C57,'Train Runs'!$A$13:$AE$9949,1,1)=C57,VLOOKUP(C57,'Train Runs'!$A$13:$AE$9949,31,1),NA())</f>
        <v>#N/A</v>
      </c>
      <c r="S57" s="92" t="str">
        <f>VLOOKUP(C57,'Train Runs'!$A$13:$AE$9949,22,0)</f>
        <v>https://d0f6bd738d7f1b3e5a7ca70fe4ff75f0.us-east-1.aws.found.io/app/kibana#/discover/Steve-Slow-Train-Analysis-(2080s-and-2083s)?_g=(refreshInterval:(display:Off,pause:!f,section:0,value:0),time:(from:'2017-03-15T09:25:16-0600',mode:absolute,to:'2017-03-15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7" s="94" t="str">
        <f t="shared" si="11"/>
        <v>"C:\Program Files (x86)\AstroGrep\AstroGrep.exe" /e /r /s /spath="%USERPROFILE%\AppData\Local\Temp\OnboardLogs" /stypes="*4032*201703151*" /stext=" 16:.+((SYSTEM_STATE.+slice.+state.+changed )|(ment ac)|(multiple cpu faults)|(system.+state.+changed )|(\[timeout)|(PRM\|1\|D)|(kpr)|(kdp)|(\|lc)|(penalty))"</v>
      </c>
      <c r="U57" s="9" t="str">
        <f t="shared" si="12"/>
        <v>4032</v>
      </c>
      <c r="V57" s="32">
        <f t="shared" si="13"/>
        <v>42809.696458333332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{"issue":{"subject":"","project_id":79,"tracker_id":40,"status_id":1,"priority_id":2,"assigned_to_id":23,"start_date":"2017-03-15","description":"","custom_fields":[{"id":1,"name":"Subdivision","value":"Other"},{"id":4,"name":"Milepost","value":"0.0001"},{"id":17,"name":"Train ID","value":"52-15"},{"id":16,"name":"Locomotive ID","value":"4032"},{"id":130,"name":"Impact","value":""},{"id":150,"name":"Time of Event (Mountain Time)","value":"10:42:54"},{"id":151,"name":"Denver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"%USERPROFILE%\AppData\Local\Temp\OnboardLogs"\RTDC4032\*4032*201703151*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"%USERPROFILE%\AppData\Local\Temp\OnboardLogs"\RTDC4032\*4032*201703151* &gt;&gt; 2017-03-15-SliceDisagreementCheck.txt</v>
      </c>
      <c r="AE57" s="157" t="str">
        <f t="shared" si="9"/>
        <v>start /low /b %USERPROFILE%\Documents\GitHub\eaglep3\Utilities\DownloadLogsFromS3.py --loco 4032 --day 2017-03-15</v>
      </c>
      <c r="AF57" s="1"/>
    </row>
    <row r="58" spans="1:32" x14ac:dyDescent="0.25">
      <c r="A58" s="32">
        <v>42809.757187499999</v>
      </c>
      <c r="B58" s="30" t="s">
        <v>495</v>
      </c>
      <c r="C58" s="30" t="s">
        <v>615</v>
      </c>
      <c r="D58" s="30" t="s">
        <v>49</v>
      </c>
      <c r="E58" s="30" t="s">
        <v>186</v>
      </c>
      <c r="F58" s="43">
        <v>0</v>
      </c>
      <c r="G58" s="43">
        <v>10</v>
      </c>
      <c r="H58" s="43">
        <v>860</v>
      </c>
      <c r="I58" s="43">
        <v>848</v>
      </c>
      <c r="J58" s="30" t="s">
        <v>187</v>
      </c>
      <c r="K58" s="43">
        <v>839</v>
      </c>
      <c r="L58" s="143" t="s">
        <v>51</v>
      </c>
      <c r="M58" s="144">
        <f t="shared" si="10"/>
        <v>4.7519999999999998</v>
      </c>
      <c r="N58" s="145" t="str">
        <f>VLOOKUP(C58,'Trips&amp;Operators'!$C$1:$G$99999,5,FALSE)</f>
        <v>NELSON ARIANE</v>
      </c>
      <c r="O58" s="194" t="s">
        <v>185</v>
      </c>
      <c r="P58" s="146"/>
      <c r="Q58" s="30"/>
      <c r="R58" s="89" t="e">
        <f>IF(VLOOKUP(C58,'Train Runs'!$A$13:$AE$9949,1,1)=C58,VLOOKUP(C58,'Train Runs'!$A$13:$AE$9949,31,1),NA())</f>
        <v>#N/A</v>
      </c>
      <c r="S58" s="92" t="str">
        <f>VLOOKUP(C58,'Train Runs'!$A$13:$AE$9949,22,0)</f>
        <v>https://d0f6bd738d7f1b3e5a7ca70fe4ff75f0.us-east-1.aws.found.io/app/kibana#/discover/Steve-Slow-Train-Analysis-(2080s-and-2083s)?_g=(refreshInterval:(display:Off,pause:!f,section:0,value:0),time:(from:'2017-03-15T16:46:31-0600',mode:absolute,to:'2017-03-15T18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8" s="94" t="str">
        <f t="shared" si="11"/>
        <v>"C:\Program Files (x86)\AstroGrep\AstroGrep.exe" /e /r /s /spath="%USERPROFILE%\AppData\Local\Temp\OnboardLogs" /stypes="*4032*201703160*" /stext=" 00:.+((SYSTEM_STATE.+slice.+state.+changed )|(ment ac)|(multiple cpu faults)|(system.+state.+changed )|(\[timeout)|(PRM\|1\|D)|(kpr)|(kdp)|(\|lc)|(penalty))"</v>
      </c>
      <c r="U58" s="9" t="str">
        <f t="shared" si="12"/>
        <v>4032</v>
      </c>
      <c r="V58" s="32">
        <f t="shared" si="13"/>
        <v>42810.007187499999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{"issue":{"subject":"","project_id":79,"tracker_id":40,"status_id":1,"priority_id":2,"assigned_to_id":23,"start_date":"2017-03-15","description":"","custom_fields":[{"id":1,"name":"Subdivision","value":"Other"},{"id":4,"name":"Milepost","value":"0.0839"},{"id":17,"name":"Train ID","value":"72-15"},{"id":16,"name":"Locomotive ID","value":"4032"},{"id":130,"name":"Impact","value":""},{"id":150,"name":"Time of Event (Mountain Time)","value":"18:10:21"},{"id":151,"name":"Denver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"%USERPROFILE%\AppData\Local\Temp\OnboardLogs"\RTDC4032\*4032*201703160*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"%USERPROFILE%\AppData\Local\Temp\OnboardLogs"\RTDC4032\*4032*201703160* &gt;&gt; 2017-03-15-SliceDisagreementCheck.txt</v>
      </c>
      <c r="AE58" s="157" t="str">
        <f t="shared" si="9"/>
        <v>start /low /b %USERPROFILE%\Documents\GitHub\eaglep3\Utilities\DownloadLogsFromS3.py --loco 4032 --day 2017-03-16</v>
      </c>
      <c r="AF58" s="1"/>
    </row>
    <row r="59" spans="1:32" x14ac:dyDescent="0.25">
      <c r="A59" s="32">
        <v>42809.495138888888</v>
      </c>
      <c r="B59" s="30" t="s">
        <v>496</v>
      </c>
      <c r="C59" s="30" t="s">
        <v>595</v>
      </c>
      <c r="D59" s="30" t="s">
        <v>49</v>
      </c>
      <c r="E59" s="30" t="s">
        <v>186</v>
      </c>
      <c r="F59" s="43">
        <v>0</v>
      </c>
      <c r="G59" s="43">
        <v>78</v>
      </c>
      <c r="H59" s="43">
        <v>233247</v>
      </c>
      <c r="I59" s="43">
        <v>233304</v>
      </c>
      <c r="J59" s="30" t="s">
        <v>187</v>
      </c>
      <c r="K59" s="43">
        <v>233491</v>
      </c>
      <c r="L59" s="143" t="s">
        <v>50</v>
      </c>
      <c r="M59" s="144">
        <f t="shared" si="10"/>
        <v>98.736000000000004</v>
      </c>
      <c r="N59" s="145" t="str">
        <f>VLOOKUP(C59,'Trips&amp;Operators'!$C$1:$G$99999,5,FALSE)</f>
        <v>STRICKLAND EVAN</v>
      </c>
      <c r="O59" s="194" t="s">
        <v>185</v>
      </c>
      <c r="P59" s="146"/>
      <c r="Q59" s="30"/>
      <c r="R59" s="89" t="e">
        <f>IF(VLOOKUP(C59,'Train Runs'!$A$13:$AE$9949,1,1)=C59,VLOOKUP(C59,'Train Runs'!$A$13:$AE$9949,31,1),NA())</f>
        <v>#N/A</v>
      </c>
      <c r="S59" s="92" t="str">
        <f>VLOOKUP(C59,'Train Runs'!$A$13:$AE$9949,22,0)</f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9" s="94" t="str">
        <f t="shared" si="11"/>
        <v>"C:\Program Files (x86)\AstroGrep\AstroGrep.exe" /e /r /s /spath="%USERPROFILE%\AppData\Local\Temp\OnboardLogs" /stypes="*4031*201703151*" /stext=" 17:.+((SYSTEM_STATE.+slice.+state.+changed )|(ment ac)|(multiple cpu faults)|(system.+state.+changed )|(\[timeout)|(PRM\|1\|D)|(kpr)|(kdp)|(\|lc)|(penalty))"</v>
      </c>
      <c r="U59" s="9" t="str">
        <f t="shared" si="12"/>
        <v>4031</v>
      </c>
      <c r="V59" s="32">
        <f t="shared" si="13"/>
        <v>42809.745138888888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{"issue":{"subject":"","project_id":79,"tracker_id":40,"status_id":1,"priority_id":2,"assigned_to_id":23,"start_date":"2017-03-15","description":"","custom_fields":[{"id":1,"name":"Subdivision","value":"Other"},{"id":4,"name":"Milepost","value":"23.3491"},{"id":17,"name":"Train ID","value":"55-15"},{"id":16,"name":"Locomotive ID","value":"4031"},{"id":130,"name":"Impact","value":""},{"id":150,"name":"Time of Event (Mountain Time)","value":"11:53:00"},{"id":151,"name":"Denver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"%USERPROFILE%\AppData\Local\Temp\OnboardLogs"\RTDC4031\*4031*201703151*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"%USERPROFILE%\AppData\Local\Temp\OnboardLogs"\RTDC4031\*4031*201703151* &gt;&gt; 2017-03-15-SliceDisagreementCheck.txt</v>
      </c>
      <c r="AE59" s="157" t="str">
        <f t="shared" si="9"/>
        <v>start /low /b %USERPROFILE%\Documents\GitHub\eaglep3\Utilities\DownloadLogsFromS3.py --loco 4031 --day 2017-03-15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59"/>
      <sortCondition ref="E7:E59"/>
      <sortCondition ref="K7:K59"/>
      <sortCondition ref="F7:F59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2017-03-15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129</v>
      </c>
      <c r="B3" s="43" t="str">
        <f>A3&amp;"-"&amp;IF(DAY(Variables!$A$2)&lt;10,0,"")&amp;DAY(Variables!$A$2)</f>
        <v>129-15</v>
      </c>
      <c r="C3" s="147"/>
      <c r="D3" s="165"/>
      <c r="E3" s="30" t="s">
        <v>1022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-15%22)),sort:!(Time.ISO8601,asc))</v>
      </c>
      <c r="J3" s="30" t="e">
        <f>VLOOKUP(B3,'Train Runs'!$A$13:$A$99946,1,FALSE)</f>
        <v>#N/A</v>
      </c>
    </row>
    <row r="4" spans="1:10" x14ac:dyDescent="0.25">
      <c r="A4" s="185"/>
      <c r="B4" s="43" t="str">
        <f>A4&amp;"-"&amp;IF(DAY(Variables!$A$2)&lt;10,0,"")&amp;DAY(Variables!$A$2)</f>
        <v>-15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Runs'!$A$13:$A$99946,1,FALSE)</f>
        <v>#N/A</v>
      </c>
    </row>
    <row r="5" spans="1:10" x14ac:dyDescent="0.25">
      <c r="A5" s="185"/>
      <c r="B5" s="43" t="str">
        <f>A5&amp;"-"&amp;IF(DAY(Variables!$A$2)&lt;10,0,"")&amp;DAY(Variables!$A$2)</f>
        <v>-15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Runs'!$A$13:$A$99946,1,FALSE)</f>
        <v>#N/A</v>
      </c>
    </row>
    <row r="6" spans="1:10" x14ac:dyDescent="0.25">
      <c r="A6" s="185"/>
      <c r="B6" s="43" t="str">
        <f>A6&amp;"-"&amp;IF(DAY(Variables!$A$2)&lt;10,0,"")&amp;DAY(Variables!$A$2)</f>
        <v>-15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Runs'!$A$13:$A$99946,1,FALSE)</f>
        <v>#N/A</v>
      </c>
    </row>
    <row r="7" spans="1:10" x14ac:dyDescent="0.25">
      <c r="A7" s="185"/>
      <c r="B7" s="43" t="str">
        <f>A7&amp;"-"&amp;IF(DAY(Variables!$A$2)&lt;10,0,"")&amp;DAY(Variables!$A$2)</f>
        <v>-15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Runs'!$A$13:$A$99946,1,FALSE)</f>
        <v>#N/A</v>
      </c>
    </row>
    <row r="8" spans="1:10" x14ac:dyDescent="0.25">
      <c r="A8" s="185"/>
      <c r="B8" s="43" t="str">
        <f>A8&amp;"-"&amp;IF(DAY(Variables!$A$2)&lt;10,0,"")&amp;DAY(Variables!$A$2)</f>
        <v>-15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Runs'!$A$13:$A$99946,1,FALSE)</f>
        <v>#N/A</v>
      </c>
    </row>
    <row r="9" spans="1:10" x14ac:dyDescent="0.25">
      <c r="A9" s="185"/>
      <c r="B9" s="43" t="str">
        <f>A9&amp;"-"&amp;IF(DAY(Variables!$A$2)&lt;10,0,"")&amp;DAY(Variables!$A$2)</f>
        <v>-15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Runs'!$A$13:$A$99946,1,FALSE)</f>
        <v>#N/A</v>
      </c>
    </row>
    <row r="10" spans="1:10" x14ac:dyDescent="0.25">
      <c r="A10" s="185"/>
      <c r="B10" s="43" t="str">
        <f>A10&amp;"-"&amp;IF(DAY(Variables!$A$2)&lt;10,0,"")&amp;DAY(Variables!$A$2)</f>
        <v>-15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ref="I10:I4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Runs'!$A$13:$A$99946,1,FALSE)</f>
        <v>#N/A</v>
      </c>
    </row>
    <row r="11" spans="1:10" x14ac:dyDescent="0.25">
      <c r="A11" s="185"/>
      <c r="B11" s="43" t="str">
        <f>A11&amp;"-"&amp;IF(DAY(Variables!$A$2)&lt;10,0,"")&amp;DAY(Variables!$A$2)</f>
        <v>-15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Runs'!$A$13:$A$99946,1,FALSE)</f>
        <v>#N/A</v>
      </c>
    </row>
    <row r="12" spans="1:10" x14ac:dyDescent="0.25">
      <c r="A12" s="185"/>
      <c r="B12" s="43" t="str">
        <f>A12&amp;"-"&amp;IF(DAY(Variables!$A$2)&lt;10,0,"")&amp;DAY(Variables!$A$2)</f>
        <v>-15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Runs'!$A$13:$A$99946,1,FALSE)</f>
        <v>#N/A</v>
      </c>
    </row>
    <row r="13" spans="1:10" x14ac:dyDescent="0.25">
      <c r="A13" s="185"/>
      <c r="B13" s="43" t="str">
        <f>A13&amp;"-"&amp;IF(DAY(Variables!$A$2)&lt;10,0,"")&amp;DAY(Variables!$A$2)</f>
        <v>-15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Runs'!$A$13:$A$99946,1,FALSE)</f>
        <v>#N/A</v>
      </c>
    </row>
    <row r="14" spans="1:10" x14ac:dyDescent="0.25">
      <c r="A14" s="185"/>
      <c r="B14" s="43" t="str">
        <f>A14&amp;"-"&amp;IF(DAY(Variables!$A$2)&lt;10,0,"")&amp;DAY(Variables!$A$2)</f>
        <v>-15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Runs'!$A$13:$A$99946,1,FALSE)</f>
        <v>#N/A</v>
      </c>
    </row>
    <row r="15" spans="1:10" x14ac:dyDescent="0.25">
      <c r="A15" s="185"/>
      <c r="B15" s="43" t="str">
        <f>A15&amp;"-"&amp;IF(DAY(Variables!$A$2)&lt;10,0,"")&amp;DAY(Variables!$A$2)</f>
        <v>-15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Runs'!$A$13:$A$99946,1,FALSE)</f>
        <v>#N/A</v>
      </c>
    </row>
    <row r="16" spans="1:10" x14ac:dyDescent="0.25">
      <c r="A16" s="185"/>
      <c r="B16" s="43" t="str">
        <f>A16&amp;"-"&amp;IF(DAY(Variables!$A$2)&lt;10,0,"")&amp;DAY(Variables!$A$2)</f>
        <v>-15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Runs'!$A$13:$A$99946,1,FALSE)</f>
        <v>#N/A</v>
      </c>
    </row>
    <row r="17" spans="1:10" x14ac:dyDescent="0.25">
      <c r="A17" s="185"/>
      <c r="B17" s="43" t="str">
        <f>A17&amp;"-"&amp;IF(DAY(Variables!$A$2)&lt;10,0,"")&amp;DAY(Variables!$A$2)</f>
        <v>-15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Runs'!$A$13:$A$99946,1,FALSE)</f>
        <v>#N/A</v>
      </c>
    </row>
    <row r="18" spans="1:10" x14ac:dyDescent="0.25">
      <c r="A18" s="185"/>
      <c r="B18" s="43" t="str">
        <f>A18&amp;"-"&amp;IF(DAY(Variables!$A$2)&lt;10,0,"")&amp;DAY(Variables!$A$2)</f>
        <v>-15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Runs'!$A$13:$A$99946,1,FALSE)</f>
        <v>#N/A</v>
      </c>
    </row>
    <row r="19" spans="1:10" x14ac:dyDescent="0.25">
      <c r="A19" s="185"/>
      <c r="B19" s="43" t="str">
        <f>A19&amp;"-"&amp;IF(DAY(Variables!$A$2)&lt;10,0,"")&amp;DAY(Variables!$A$2)</f>
        <v>-15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Runs'!$A$13:$A$99946,1,FALSE)</f>
        <v>#N/A</v>
      </c>
    </row>
    <row r="20" spans="1:10" x14ac:dyDescent="0.25">
      <c r="A20" s="185"/>
      <c r="B20" s="43" t="str">
        <f>A20&amp;"-"&amp;IF(DAY(Variables!$A$2)&lt;10,0,"")&amp;DAY(Variables!$A$2)</f>
        <v>-15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Runs'!$A$13:$A$99946,1,FALSE)</f>
        <v>#N/A</v>
      </c>
    </row>
    <row r="21" spans="1:10" x14ac:dyDescent="0.25">
      <c r="A21" s="185"/>
      <c r="B21" s="43" t="str">
        <f>A21&amp;"-"&amp;IF(DAY(Variables!$A$2)&lt;10,0,"")&amp;DAY(Variables!$A$2)</f>
        <v>-15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Runs'!$A$13:$A$99946,1,FALSE)</f>
        <v>#N/A</v>
      </c>
    </row>
    <row r="22" spans="1:10" x14ac:dyDescent="0.25">
      <c r="A22" s="185"/>
      <c r="B22" s="43" t="str">
        <f>A22&amp;"-"&amp;IF(DAY(Variables!$A$2)&lt;10,0,"")&amp;DAY(Variables!$A$2)</f>
        <v>-15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Runs'!$A$13:$A$99946,1,FALSE)</f>
        <v>#N/A</v>
      </c>
    </row>
    <row r="23" spans="1:10" x14ac:dyDescent="0.25">
      <c r="A23" s="185"/>
      <c r="B23" s="43" t="str">
        <f>A23&amp;"-"&amp;IF(DAY(Variables!$A$2)&lt;10,0,"")&amp;DAY(Variables!$A$2)</f>
        <v>-15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Runs'!$A$13:$A$99946,1,FALSE)</f>
        <v>#N/A</v>
      </c>
    </row>
    <row r="24" spans="1:10" x14ac:dyDescent="0.25">
      <c r="A24" s="185"/>
      <c r="B24" s="43" t="str">
        <f>A24&amp;"-"&amp;IF(DAY(Variables!$A$2)&lt;10,0,"")&amp;DAY(Variables!$A$2)</f>
        <v>-15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Runs'!$A$13:$A$99946,1,FALSE)</f>
        <v>#N/A</v>
      </c>
    </row>
    <row r="25" spans="1:10" x14ac:dyDescent="0.25">
      <c r="A25" s="185"/>
      <c r="B25" s="43" t="str">
        <f>A25&amp;"-"&amp;IF(DAY(Variables!$A$2)&lt;10,0,"")&amp;DAY(Variables!$A$2)</f>
        <v>-15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Runs'!$A$13:$A$99946,1,FALSE)</f>
        <v>#N/A</v>
      </c>
    </row>
    <row r="26" spans="1:10" x14ac:dyDescent="0.25">
      <c r="A26" s="185"/>
      <c r="B26" s="43" t="str">
        <f>A26&amp;"-"&amp;IF(DAY(Variables!$A$2)&lt;10,0,"")&amp;DAY(Variables!$A$2)</f>
        <v>-15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Runs'!$A$13:$A$99946,1,FALSE)</f>
        <v>#N/A</v>
      </c>
    </row>
    <row r="27" spans="1:10" x14ac:dyDescent="0.25">
      <c r="A27" s="185"/>
      <c r="B27" s="43" t="str">
        <f>A27&amp;"-"&amp;IF(DAY(Variables!$A$2)&lt;10,0,"")&amp;DAY(Variables!$A$2)</f>
        <v>-15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Runs'!$A$13:$A$99946,1,FALSE)</f>
        <v>#N/A</v>
      </c>
    </row>
    <row r="28" spans="1:10" x14ac:dyDescent="0.25">
      <c r="A28" s="185"/>
      <c r="B28" s="43" t="str">
        <f>A28&amp;"-"&amp;IF(DAY(Variables!$A$2)&lt;10,0,"")&amp;DAY(Variables!$A$2)</f>
        <v>-15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Runs'!$A$13:$A$99946,1,FALSE)</f>
        <v>#N/A</v>
      </c>
    </row>
    <row r="29" spans="1:10" x14ac:dyDescent="0.25">
      <c r="A29" s="185"/>
      <c r="B29" s="43" t="str">
        <f>A29&amp;"-"&amp;IF(DAY(Variables!$A$2)&lt;10,0,"")&amp;DAY(Variables!$A$2)</f>
        <v>-15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Runs'!$A$13:$A$99946,1,FALSE)</f>
        <v>#N/A</v>
      </c>
    </row>
    <row r="30" spans="1:10" x14ac:dyDescent="0.25">
      <c r="A30" s="185"/>
      <c r="B30" s="43" t="str">
        <f>A30&amp;"-"&amp;IF(DAY(Variables!$A$2)&lt;10,0,"")&amp;DAY(Variables!$A$2)</f>
        <v>-15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Runs'!$A$13:$A$99946,1,FALSE)</f>
        <v>#N/A</v>
      </c>
    </row>
    <row r="31" spans="1:10" x14ac:dyDescent="0.25">
      <c r="A31" s="185"/>
      <c r="B31" s="43" t="str">
        <f>A31&amp;"-"&amp;IF(DAY(Variables!$A$2)&lt;10,0,"")&amp;DAY(Variables!$A$2)</f>
        <v>-15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Runs'!$A$13:$A$99946,1,FALSE)</f>
        <v>#N/A</v>
      </c>
    </row>
    <row r="32" spans="1:10" x14ac:dyDescent="0.25">
      <c r="A32" s="185"/>
      <c r="B32" s="43" t="str">
        <f>A32&amp;"-"&amp;IF(DAY(Variables!$A$2)&lt;10,0,"")&amp;DAY(Variables!$A$2)</f>
        <v>-15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Runs'!$A$13:$A$99946,1,FALSE)</f>
        <v>#N/A</v>
      </c>
    </row>
    <row r="33" spans="1:10" x14ac:dyDescent="0.25">
      <c r="A33" s="185"/>
      <c r="B33" s="43" t="str">
        <f>A33&amp;"-"&amp;IF(DAY(Variables!$A$2)&lt;10,0,"")&amp;DAY(Variables!$A$2)</f>
        <v>-15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Runs'!$A$13:$A$99946,1,FALSE)</f>
        <v>#N/A</v>
      </c>
    </row>
    <row r="34" spans="1:10" x14ac:dyDescent="0.25">
      <c r="A34" s="185"/>
      <c r="B34" s="43" t="str">
        <f>A34&amp;"-"&amp;IF(DAY(Variables!$A$2)&lt;10,0,"")&amp;DAY(Variables!$A$2)</f>
        <v>-15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Runs'!$A$13:$A$99946,1,FALSE)</f>
        <v>#N/A</v>
      </c>
    </row>
    <row r="35" spans="1:10" x14ac:dyDescent="0.25">
      <c r="A35" s="185"/>
      <c r="B35" s="43" t="str">
        <f>A35&amp;"-"&amp;IF(DAY(Variables!$A$2)&lt;10,0,"")&amp;DAY(Variables!$A$2)</f>
        <v>-15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Runs'!$A$13:$A$99946,1,FALSE)</f>
        <v>#N/A</v>
      </c>
    </row>
    <row r="36" spans="1:10" x14ac:dyDescent="0.25">
      <c r="A36" s="185"/>
      <c r="B36" s="43" t="str">
        <f>A36&amp;"-"&amp;IF(DAY(Variables!$A$2)&lt;10,0,"")&amp;DAY(Variables!$A$2)</f>
        <v>-15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Runs'!$A$13:$A$99946,1,FALSE)</f>
        <v>#N/A</v>
      </c>
    </row>
    <row r="37" spans="1:10" x14ac:dyDescent="0.25">
      <c r="A37" s="185"/>
      <c r="B37" s="43" t="str">
        <f>A37&amp;"-"&amp;IF(DAY(Variables!$A$2)&lt;10,0,"")&amp;DAY(Variables!$A$2)</f>
        <v>-15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Runs'!$A$13:$A$99946,1,FALSE)</f>
        <v>#N/A</v>
      </c>
    </row>
    <row r="38" spans="1:10" x14ac:dyDescent="0.25">
      <c r="A38" s="185"/>
      <c r="B38" s="43" t="str">
        <f>A38&amp;"-"&amp;IF(DAY(Variables!$A$2)&lt;10,0,"")&amp;DAY(Variables!$A$2)</f>
        <v>-15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Runs'!$A$13:$A$99946,1,FALSE)</f>
        <v>#N/A</v>
      </c>
    </row>
    <row r="39" spans="1:10" x14ac:dyDescent="0.25">
      <c r="A39" s="185"/>
      <c r="B39" s="43" t="str">
        <f>A39&amp;"-"&amp;IF(DAY(Variables!$A$2)&lt;10,0,"")&amp;DAY(Variables!$A$2)</f>
        <v>-15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Runs'!$A$13:$A$99946,1,FALSE)</f>
        <v>#N/A</v>
      </c>
    </row>
    <row r="40" spans="1:10" x14ac:dyDescent="0.25">
      <c r="A40" s="185"/>
      <c r="B40" s="43" t="str">
        <f>A40&amp;"-"&amp;IF(DAY(Variables!$A$2)&lt;10,0,"")&amp;DAY(Variables!$A$2)</f>
        <v>-15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Runs'!$A$13:$A$99946,1,FALSE)</f>
        <v>#N/A</v>
      </c>
    </row>
    <row r="41" spans="1:10" x14ac:dyDescent="0.25">
      <c r="A41" s="185"/>
      <c r="B41" s="43" t="str">
        <f>A41&amp;"-"&amp;IF(DAY(Variables!$A$2)&lt;10,0,"")&amp;DAY(Variables!$A$2)</f>
        <v>-15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Runs'!$A$13:$A$99946,1,FALSE)</f>
        <v>#N/A</v>
      </c>
    </row>
    <row r="42" spans="1:10" x14ac:dyDescent="0.25">
      <c r="A42" s="185"/>
      <c r="B42" s="43" t="str">
        <f>A42&amp;"-"&amp;IF(DAY(Variables!$A$2)&lt;10,0,"")&amp;DAY(Variables!$A$2)</f>
        <v>-15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ref="I42:I7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Runs'!$A$13:$A$99946,1,FALSE)</f>
        <v>#N/A</v>
      </c>
    </row>
    <row r="43" spans="1:10" x14ac:dyDescent="0.25">
      <c r="A43" s="185"/>
      <c r="B43" s="43" t="str">
        <f>A43&amp;"-"&amp;IF(DAY(Variables!$A$2)&lt;10,0,"")&amp;DAY(Variables!$A$2)</f>
        <v>-15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Runs'!$A$13:$A$99946,1,FALSE)</f>
        <v>#N/A</v>
      </c>
    </row>
    <row r="44" spans="1:10" x14ac:dyDescent="0.25">
      <c r="A44" s="185"/>
      <c r="B44" s="43" t="str">
        <f>A44&amp;"-"&amp;IF(DAY(Variables!$A$2)&lt;10,0,"")&amp;DAY(Variables!$A$2)</f>
        <v>-15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Runs'!$A$13:$A$99946,1,FALSE)</f>
        <v>#N/A</v>
      </c>
    </row>
    <row r="45" spans="1:10" x14ac:dyDescent="0.25">
      <c r="A45" s="185"/>
      <c r="B45" s="43" t="str">
        <f>A45&amp;"-"&amp;IF(DAY(Variables!$A$2)&lt;10,0,"")&amp;DAY(Variables!$A$2)</f>
        <v>-15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Runs'!$A$13:$A$99946,1,FALSE)</f>
        <v>#N/A</v>
      </c>
    </row>
    <row r="46" spans="1:10" x14ac:dyDescent="0.25">
      <c r="A46" s="185"/>
      <c r="B46" s="43" t="str">
        <f>A46&amp;"-"&amp;IF(DAY(Variables!$A$2)&lt;10,0,"")&amp;DAY(Variables!$A$2)</f>
        <v>-15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Runs'!$A$13:$A$99946,1,FALSE)</f>
        <v>#N/A</v>
      </c>
    </row>
    <row r="47" spans="1:10" x14ac:dyDescent="0.25">
      <c r="A47" s="185"/>
      <c r="B47" s="43" t="str">
        <f>A47&amp;"-"&amp;IF(DAY(Variables!$A$2)&lt;10,0,"")&amp;DAY(Variables!$A$2)</f>
        <v>-15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Runs'!$A$13:$A$99946,1,FALSE)</f>
        <v>#N/A</v>
      </c>
    </row>
    <row r="48" spans="1:10" x14ac:dyDescent="0.25">
      <c r="A48" s="185"/>
      <c r="B48" s="43" t="str">
        <f>A48&amp;"-"&amp;IF(DAY(Variables!$A$2)&lt;10,0,"")&amp;DAY(Variables!$A$2)</f>
        <v>-15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Runs'!$A$13:$A$99946,1,FALSE)</f>
        <v>#N/A</v>
      </c>
    </row>
    <row r="49" spans="1:10" x14ac:dyDescent="0.25">
      <c r="A49" s="185"/>
      <c r="B49" s="43" t="str">
        <f>A49&amp;"-"&amp;IF(DAY(Variables!$A$2)&lt;10,0,"")&amp;DAY(Variables!$A$2)</f>
        <v>-15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Runs'!$A$13:$A$99946,1,FALSE)</f>
        <v>#N/A</v>
      </c>
    </row>
    <row r="50" spans="1:10" x14ac:dyDescent="0.25">
      <c r="A50" s="185"/>
      <c r="B50" s="43" t="str">
        <f>A50&amp;"-"&amp;IF(DAY(Variables!$A$2)&lt;10,0,"")&amp;DAY(Variables!$A$2)</f>
        <v>-15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Runs'!$A$13:$A$99946,1,FALSE)</f>
        <v>#N/A</v>
      </c>
    </row>
    <row r="51" spans="1:10" x14ac:dyDescent="0.25">
      <c r="A51" s="185"/>
      <c r="B51" s="43" t="str">
        <f>A51&amp;"-"&amp;IF(DAY(Variables!$A$2)&lt;10,0,"")&amp;DAY(Variables!$A$2)</f>
        <v>-15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Runs'!$A$13:$A$99946,1,FALSE)</f>
        <v>#N/A</v>
      </c>
    </row>
    <row r="52" spans="1:10" x14ac:dyDescent="0.25">
      <c r="A52" s="185"/>
      <c r="B52" s="43" t="str">
        <f>A52&amp;"-"&amp;IF(DAY(Variables!$A$2)&lt;10,0,"")&amp;DAY(Variables!$A$2)</f>
        <v>-15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Runs'!$A$13:$A$99946,1,FALSE)</f>
        <v>#N/A</v>
      </c>
    </row>
    <row r="53" spans="1:10" x14ac:dyDescent="0.25">
      <c r="A53" s="185"/>
      <c r="B53" s="43" t="str">
        <f>A53&amp;"-"&amp;IF(DAY(Variables!$A$2)&lt;10,0,"")&amp;DAY(Variables!$A$2)</f>
        <v>-15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Runs'!$A$13:$A$99946,1,FALSE)</f>
        <v>#N/A</v>
      </c>
    </row>
    <row r="54" spans="1:10" x14ac:dyDescent="0.25">
      <c r="A54" s="185"/>
      <c r="B54" s="43" t="str">
        <f>A54&amp;"-"&amp;IF(DAY(Variables!$A$2)&lt;10,0,"")&amp;DAY(Variables!$A$2)</f>
        <v>-15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Runs'!$A$13:$A$99946,1,FALSE)</f>
        <v>#N/A</v>
      </c>
    </row>
    <row r="55" spans="1:10" x14ac:dyDescent="0.25">
      <c r="A55" s="185"/>
      <c r="B55" s="43" t="str">
        <f>A55&amp;"-"&amp;IF(DAY(Variables!$A$2)&lt;10,0,"")&amp;DAY(Variables!$A$2)</f>
        <v>-15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Runs'!$A$13:$A$99946,1,FALSE)</f>
        <v>#N/A</v>
      </c>
    </row>
    <row r="56" spans="1:10" x14ac:dyDescent="0.25">
      <c r="A56" s="185"/>
      <c r="B56" s="43" t="str">
        <f>A56&amp;"-"&amp;IF(DAY(Variables!$A$2)&lt;10,0,"")&amp;DAY(Variables!$A$2)</f>
        <v>-15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Runs'!$A$13:$A$99946,1,FALSE)</f>
        <v>#N/A</v>
      </c>
    </row>
    <row r="57" spans="1:10" x14ac:dyDescent="0.25">
      <c r="A57" s="185"/>
      <c r="B57" s="43" t="str">
        <f>A57&amp;"-"&amp;IF(DAY(Variables!$A$2)&lt;10,0,"")&amp;DAY(Variables!$A$2)</f>
        <v>-15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Runs'!$A$13:$A$99946,1,FALSE)</f>
        <v>#N/A</v>
      </c>
    </row>
    <row r="58" spans="1:10" x14ac:dyDescent="0.25">
      <c r="A58" s="185"/>
      <c r="B58" s="43" t="str">
        <f>A58&amp;"-"&amp;IF(DAY(Variables!$A$2)&lt;10,0,"")&amp;DAY(Variables!$A$2)</f>
        <v>-15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Runs'!$A$13:$A$99946,1,FALSE)</f>
        <v>#N/A</v>
      </c>
    </row>
    <row r="59" spans="1:10" x14ac:dyDescent="0.25">
      <c r="A59" s="185"/>
      <c r="B59" s="43" t="str">
        <f>A59&amp;"-"&amp;IF(DAY(Variables!$A$2)&lt;10,0,"")&amp;DAY(Variables!$A$2)</f>
        <v>-15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Runs'!$A$13:$A$99946,1,FALSE)</f>
        <v>#N/A</v>
      </c>
    </row>
    <row r="60" spans="1:10" x14ac:dyDescent="0.25">
      <c r="A60" s="185"/>
      <c r="B60" s="43" t="str">
        <f>A60&amp;"-"&amp;IF(DAY(Variables!$A$2)&lt;10,0,"")&amp;DAY(Variables!$A$2)</f>
        <v>-15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Runs'!$A$13:$A$99946,1,FALSE)</f>
        <v>#N/A</v>
      </c>
    </row>
    <row r="61" spans="1:10" x14ac:dyDescent="0.25">
      <c r="A61" s="185"/>
      <c r="B61" s="43" t="str">
        <f>A61&amp;"-"&amp;IF(DAY(Variables!$A$2)&lt;10,0,"")&amp;DAY(Variables!$A$2)</f>
        <v>-15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Runs'!$A$13:$A$99946,1,FALSE)</f>
        <v>#N/A</v>
      </c>
    </row>
    <row r="62" spans="1:10" x14ac:dyDescent="0.25">
      <c r="A62" s="185"/>
      <c r="B62" s="43" t="str">
        <f>A62&amp;"-"&amp;IF(DAY(Variables!$A$2)&lt;10,0,"")&amp;DAY(Variables!$A$2)</f>
        <v>-15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Runs'!$A$13:$A$99946,1,FALSE)</f>
        <v>#N/A</v>
      </c>
    </row>
    <row r="63" spans="1:10" x14ac:dyDescent="0.25">
      <c r="A63" s="185"/>
      <c r="B63" s="43" t="str">
        <f>A63&amp;"-"&amp;IF(DAY(Variables!$A$2)&lt;10,0,"")&amp;DAY(Variables!$A$2)</f>
        <v>-15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Runs'!$A$13:$A$99946,1,FALSE)</f>
        <v>#N/A</v>
      </c>
    </row>
    <row r="64" spans="1:10" x14ac:dyDescent="0.25">
      <c r="A64" s="185"/>
      <c r="B64" s="43" t="str">
        <f>A64&amp;"-"&amp;IF(DAY(Variables!$A$2)&lt;10,0,"")&amp;DAY(Variables!$A$2)</f>
        <v>-15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Runs'!$A$13:$A$99946,1,FALSE)</f>
        <v>#N/A</v>
      </c>
    </row>
    <row r="65" spans="1:10" x14ac:dyDescent="0.25">
      <c r="A65" s="185"/>
      <c r="B65" s="43" t="str">
        <f>A65&amp;"-"&amp;IF(DAY(Variables!$A$2)&lt;10,0,"")&amp;DAY(Variables!$A$2)</f>
        <v>-15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Runs'!$A$13:$A$99946,1,FALSE)</f>
        <v>#N/A</v>
      </c>
    </row>
    <row r="66" spans="1:10" x14ac:dyDescent="0.25">
      <c r="A66" s="185"/>
      <c r="B66" s="43" t="str">
        <f>A66&amp;"-"&amp;IF(DAY(Variables!$A$2)&lt;10,0,"")&amp;DAY(Variables!$A$2)</f>
        <v>-15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Runs'!$A$13:$A$99946,1,FALSE)</f>
        <v>#N/A</v>
      </c>
    </row>
    <row r="67" spans="1:10" x14ac:dyDescent="0.25">
      <c r="A67" s="185"/>
      <c r="B67" s="43" t="str">
        <f>A67&amp;"-"&amp;IF(DAY(Variables!$A$2)&lt;10,0,"")&amp;DAY(Variables!$A$2)</f>
        <v>-15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Runs'!$A$13:$A$99946,1,FALSE)</f>
        <v>#N/A</v>
      </c>
    </row>
    <row r="68" spans="1:10" x14ac:dyDescent="0.25">
      <c r="A68" s="185"/>
      <c r="B68" s="43" t="str">
        <f>A68&amp;"-"&amp;IF(DAY(Variables!$A$2)&lt;10,0,"")&amp;DAY(Variables!$A$2)</f>
        <v>-15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Runs'!$A$13:$A$99946,1,FALSE)</f>
        <v>#N/A</v>
      </c>
    </row>
    <row r="69" spans="1:10" x14ac:dyDescent="0.25">
      <c r="A69" s="185"/>
      <c r="B69" s="43" t="str">
        <f>A69&amp;"-"&amp;IF(DAY(Variables!$A$2)&lt;10,0,"")&amp;DAY(Variables!$A$2)</f>
        <v>-15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9" s="30" t="e">
        <f>VLOOKUP(B69,'Train Runs'!$A$13:$A$99946,1,FALSE)</f>
        <v>#N/A</v>
      </c>
    </row>
    <row r="70" spans="1:10" x14ac:dyDescent="0.25">
      <c r="A70" s="185"/>
      <c r="B70" s="43" t="str">
        <f>A70&amp;"-"&amp;IF(DAY(Variables!$A$2)&lt;10,0,"")&amp;DAY(Variables!$A$2)</f>
        <v>-15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0" s="30" t="e">
        <f>VLOOKUP(B70,'Train Runs'!$A$13:$A$99946,1,FALSE)</f>
        <v>#N/A</v>
      </c>
    </row>
    <row r="71" spans="1:10" x14ac:dyDescent="0.25">
      <c r="A71" s="185"/>
      <c r="B71" s="43" t="str">
        <f>A71&amp;"-"&amp;IF(DAY(Variables!$A$2)&lt;10,0,"")&amp;DAY(Variables!$A$2)</f>
        <v>-15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1" s="30" t="e">
        <f>VLOOKUP(B71,'Train Runs'!$A$13:$A$99946,1,FALSE)</f>
        <v>#N/A</v>
      </c>
    </row>
    <row r="72" spans="1:10" x14ac:dyDescent="0.25">
      <c r="A72" s="185"/>
      <c r="B72" s="43" t="str">
        <f>A72&amp;"-"&amp;IF(DAY(Variables!$A$2)&lt;10,0,"")&amp;DAY(Variables!$A$2)</f>
        <v>-15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2" s="30" t="e">
        <f>VLOOKUP(B72,'Train Runs'!$A$13:$A$99946,1,FALSE)</f>
        <v>#N/A</v>
      </c>
    </row>
    <row r="73" spans="1:10" x14ac:dyDescent="0.25">
      <c r="A73" s="185"/>
      <c r="B73" s="43" t="str">
        <f>A73&amp;"-"&amp;IF(DAY(Variables!$A$2)&lt;10,0,"")&amp;DAY(Variables!$A$2)</f>
        <v>-15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3" s="30" t="e">
        <f>VLOOKUP(B73,'Train Runs'!$A$13:$A$99946,1,FALSE)</f>
        <v>#N/A</v>
      </c>
    </row>
    <row r="74" spans="1:10" x14ac:dyDescent="0.25">
      <c r="A74" s="185"/>
      <c r="B74" s="43" t="str">
        <f>A74&amp;"-"&amp;IF(DAY(Variables!$A$2)&lt;10,0,"")&amp;DAY(Variables!$A$2)</f>
        <v>-15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ref="I74:I9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4" s="30" t="e">
        <f>VLOOKUP(B74,'Train Runs'!$A$13:$A$99946,1,FALSE)</f>
        <v>#N/A</v>
      </c>
    </row>
    <row r="75" spans="1:10" x14ac:dyDescent="0.25">
      <c r="A75" s="185"/>
      <c r="B75" s="43" t="str">
        <f>A75&amp;"-"&amp;IF(DAY(Variables!$A$2)&lt;10,0,"")&amp;DAY(Variables!$A$2)</f>
        <v>-15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5" s="30" t="e">
        <f>VLOOKUP(B75,'Train Runs'!$A$13:$A$99946,1,FALSE)</f>
        <v>#N/A</v>
      </c>
    </row>
    <row r="76" spans="1:10" x14ac:dyDescent="0.25">
      <c r="A76" s="185"/>
      <c r="B76" s="43" t="str">
        <f>A76&amp;"-"&amp;IF(DAY(Variables!$A$2)&lt;10,0,"")&amp;DAY(Variables!$A$2)</f>
        <v>-15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6" s="30" t="e">
        <f>VLOOKUP(B76,'Train Runs'!$A$13:$A$99946,1,FALSE)</f>
        <v>#N/A</v>
      </c>
    </row>
    <row r="77" spans="1:10" x14ac:dyDescent="0.25">
      <c r="A77" s="185"/>
      <c r="B77" s="43" t="str">
        <f>A77&amp;"-"&amp;IF(DAY(Variables!$A$2)&lt;10,0,"")&amp;DAY(Variables!$A$2)</f>
        <v>-15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7" s="30" t="e">
        <f>VLOOKUP(B77,'Train Runs'!$A$13:$A$99946,1,FALSE)</f>
        <v>#N/A</v>
      </c>
    </row>
    <row r="78" spans="1:10" x14ac:dyDescent="0.25">
      <c r="A78" s="185"/>
      <c r="B78" s="43" t="str">
        <f>A78&amp;"-"&amp;IF(DAY(Variables!$A$2)&lt;10,0,"")&amp;DAY(Variables!$A$2)</f>
        <v>-15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8" s="30" t="e">
        <f>VLOOKUP(B78,'Train Runs'!$A$13:$A$99946,1,FALSE)</f>
        <v>#N/A</v>
      </c>
    </row>
    <row r="79" spans="1:10" x14ac:dyDescent="0.25">
      <c r="A79" s="185"/>
      <c r="B79" s="43" t="str">
        <f>A79&amp;"-"&amp;IF(DAY(Variables!$A$2)&lt;10,0,"")&amp;DAY(Variables!$A$2)</f>
        <v>-15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9" s="30" t="e">
        <f>VLOOKUP(B79,'Train Runs'!$A$13:$A$99946,1,FALSE)</f>
        <v>#N/A</v>
      </c>
    </row>
    <row r="80" spans="1:10" x14ac:dyDescent="0.25">
      <c r="A80" s="185"/>
      <c r="B80" s="43" t="str">
        <f>A80&amp;"-"&amp;IF(DAY(Variables!$A$2)&lt;10,0,"")&amp;DAY(Variables!$A$2)</f>
        <v>-15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0" s="30" t="e">
        <f>VLOOKUP(B80,'Train Runs'!$A$13:$A$99946,1,FALSE)</f>
        <v>#N/A</v>
      </c>
    </row>
    <row r="81" spans="1:10" x14ac:dyDescent="0.25">
      <c r="A81" s="185"/>
      <c r="B81" s="43" t="str">
        <f>A81&amp;"-"&amp;IF(DAY(Variables!$A$2)&lt;10,0,"")&amp;DAY(Variables!$A$2)</f>
        <v>-15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1" s="30" t="e">
        <f>VLOOKUP(B81,'Train Runs'!$A$13:$A$99946,1,FALSE)</f>
        <v>#N/A</v>
      </c>
    </row>
    <row r="82" spans="1:10" x14ac:dyDescent="0.25">
      <c r="A82" s="185"/>
      <c r="B82" s="43" t="str">
        <f>A82&amp;"-"&amp;IF(DAY(Variables!$A$2)&lt;10,0,"")&amp;DAY(Variables!$A$2)</f>
        <v>-15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2" s="30" t="e">
        <f>VLOOKUP(B82,'Train Runs'!$A$13:$A$99946,1,FALSE)</f>
        <v>#N/A</v>
      </c>
    </row>
    <row r="83" spans="1:10" x14ac:dyDescent="0.25">
      <c r="A83" s="185"/>
      <c r="B83" s="43" t="str">
        <f>A83&amp;"-"&amp;IF(DAY(Variables!$A$2)&lt;10,0,"")&amp;DAY(Variables!$A$2)</f>
        <v>-15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3" s="30" t="e">
        <f>VLOOKUP(B83,'Train Runs'!$A$13:$A$99946,1,FALSE)</f>
        <v>#N/A</v>
      </c>
    </row>
    <row r="84" spans="1:10" x14ac:dyDescent="0.25">
      <c r="A84" s="185"/>
      <c r="B84" s="43" t="str">
        <f>A84&amp;"-"&amp;IF(DAY(Variables!$A$2)&lt;10,0,"")&amp;DAY(Variables!$A$2)</f>
        <v>-15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4" s="30" t="e">
        <f>VLOOKUP(B84,'Train Runs'!$A$13:$A$99946,1,FALSE)</f>
        <v>#N/A</v>
      </c>
    </row>
    <row r="85" spans="1:10" x14ac:dyDescent="0.25">
      <c r="A85" s="185"/>
      <c r="B85" s="43" t="str">
        <f>A85&amp;"-"&amp;IF(DAY(Variables!$A$2)&lt;10,0,"")&amp;DAY(Variables!$A$2)</f>
        <v>-15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5" s="30" t="e">
        <f>VLOOKUP(B85,'Train Runs'!$A$13:$A$99946,1,FALSE)</f>
        <v>#N/A</v>
      </c>
    </row>
    <row r="86" spans="1:10" x14ac:dyDescent="0.25">
      <c r="A86" s="185"/>
      <c r="B86" s="43" t="str">
        <f>A86&amp;"-"&amp;IF(DAY(Variables!$A$2)&lt;10,0,"")&amp;DAY(Variables!$A$2)</f>
        <v>-15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6" s="30" t="e">
        <f>VLOOKUP(B86,'Train Runs'!$A$13:$A$99946,1,FALSE)</f>
        <v>#N/A</v>
      </c>
    </row>
    <row r="87" spans="1:10" x14ac:dyDescent="0.25">
      <c r="A87" s="185"/>
      <c r="B87" s="43" t="str">
        <f>A87&amp;"-"&amp;IF(DAY(Variables!$A$2)&lt;10,0,"")&amp;DAY(Variables!$A$2)</f>
        <v>-15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7" s="30" t="e">
        <f>VLOOKUP(B87,'Train Runs'!$A$13:$A$99946,1,FALSE)</f>
        <v>#N/A</v>
      </c>
    </row>
    <row r="88" spans="1:10" x14ac:dyDescent="0.25">
      <c r="A88" s="185"/>
      <c r="B88" s="43" t="str">
        <f>A88&amp;"-"&amp;IF(DAY(Variables!$A$2)&lt;10,0,"")&amp;DAY(Variables!$A$2)</f>
        <v>-15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8" s="30" t="e">
        <f>VLOOKUP(B88,'Train Runs'!$A$13:$A$99946,1,FALSE)</f>
        <v>#N/A</v>
      </c>
    </row>
    <row r="89" spans="1:10" x14ac:dyDescent="0.25">
      <c r="A89" s="185"/>
      <c r="B89" s="43" t="str">
        <f>A89&amp;"-"&amp;IF(DAY(Variables!$A$2)&lt;10,0,"")&amp;DAY(Variables!$A$2)</f>
        <v>-15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9" s="30" t="e">
        <f>VLOOKUP(B89,'Train Runs'!$A$13:$A$99946,1,FALSE)</f>
        <v>#N/A</v>
      </c>
    </row>
    <row r="90" spans="1:10" x14ac:dyDescent="0.25">
      <c r="A90" s="185"/>
      <c r="B90" s="43" t="str">
        <f>A90&amp;"-"&amp;IF(DAY(Variables!$A$2)&lt;10,0,"")&amp;DAY(Variables!$A$2)</f>
        <v>-15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0" s="30" t="e">
        <f>VLOOKUP(B90,'Train Runs'!$A$13:$A$99946,1,FALSE)</f>
        <v>#N/A</v>
      </c>
    </row>
    <row r="91" spans="1:10" x14ac:dyDescent="0.25">
      <c r="A91" s="185"/>
      <c r="B91" s="43" t="str">
        <f>A91&amp;"-"&amp;IF(DAY(Variables!$A$2)&lt;10,0,"")&amp;DAY(Variables!$A$2)</f>
        <v>-15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1" s="30" t="e">
        <f>VLOOKUP(B91,'Train Runs'!$A$13:$A$99946,1,FALSE)</f>
        <v>#N/A</v>
      </c>
    </row>
    <row r="92" spans="1:10" x14ac:dyDescent="0.25">
      <c r="A92" s="185"/>
      <c r="B92" s="43" t="str">
        <f>A92&amp;"-"&amp;IF(DAY(Variables!$A$2)&lt;10,0,"")&amp;DAY(Variables!$A$2)</f>
        <v>-15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2" s="30" t="e">
        <f>VLOOKUP(B92,'Train Runs'!$A$13:$A$99946,1,FALSE)</f>
        <v>#N/A</v>
      </c>
    </row>
    <row r="93" spans="1:10" x14ac:dyDescent="0.25">
      <c r="A93" s="185"/>
      <c r="B93" s="43" t="str">
        <f>A93&amp;"-"&amp;IF(DAY(Variables!$A$2)&lt;10,0,"")&amp;DAY(Variables!$A$2)</f>
        <v>-15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3" s="30" t="e">
        <f>VLOOKUP(B93,'Train Runs'!$A$13:$A$99946,1,FALSE)</f>
        <v>#N/A</v>
      </c>
    </row>
    <row r="94" spans="1:10" x14ac:dyDescent="0.25">
      <c r="A94" s="185"/>
      <c r="B94" s="43" t="str">
        <f>A94&amp;"-"&amp;IF(DAY(Variables!$A$2)&lt;10,0,"")&amp;DAY(Variables!$A$2)</f>
        <v>-15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4" s="30" t="e">
        <f>VLOOKUP(B94,'Train Runs'!$A$13:$A$99946,1,FALSE)</f>
        <v>#N/A</v>
      </c>
    </row>
    <row r="95" spans="1:10" x14ac:dyDescent="0.25">
      <c r="A95" s="185"/>
      <c r="B95" s="43" t="str">
        <f>A95&amp;"-"&amp;IF(DAY(Variables!$A$2)&lt;10,0,"")&amp;DAY(Variables!$A$2)</f>
        <v>-15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5" s="30" t="e">
        <f>VLOOKUP(B95,'Train Runs'!$A$13:$A$99946,1,FALSE)</f>
        <v>#N/A</v>
      </c>
    </row>
  </sheetData>
  <autoFilter ref="A2:J9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400</v>
      </c>
      <c r="B1" s="207" t="s">
        <v>401</v>
      </c>
      <c r="C1" s="199" t="s">
        <v>409</v>
      </c>
      <c r="D1" s="211" t="s">
        <v>58</v>
      </c>
      <c r="E1" s="196" t="s">
        <v>24</v>
      </c>
      <c r="F1" s="211" t="s">
        <v>415</v>
      </c>
      <c r="G1" s="215" t="s">
        <v>94</v>
      </c>
      <c r="H1" s="217" t="s">
        <v>419</v>
      </c>
      <c r="I1" s="213" t="s">
        <v>418</v>
      </c>
      <c r="J1" s="209" t="s">
        <v>84</v>
      </c>
      <c r="K1" s="209" t="s">
        <v>414</v>
      </c>
      <c r="L1" s="204" t="s">
        <v>411</v>
      </c>
      <c r="M1" s="204" t="s">
        <v>402</v>
      </c>
      <c r="N1" s="204" t="s">
        <v>404</v>
      </c>
      <c r="O1" s="204" t="s">
        <v>405</v>
      </c>
      <c r="P1" s="204" t="s">
        <v>406</v>
      </c>
      <c r="Q1" s="203" t="s">
        <v>403</v>
      </c>
    </row>
    <row r="2" spans="1:17" x14ac:dyDescent="0.25">
      <c r="A2" s="201">
        <v>42800.21875</v>
      </c>
      <c r="B2" s="208" t="s">
        <v>408</v>
      </c>
      <c r="C2" s="198" t="s">
        <v>410</v>
      </c>
      <c r="D2" s="212">
        <v>104</v>
      </c>
      <c r="E2" s="30" t="s">
        <v>413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/stypes="*4054*201703061*"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"%USERPROFILE%\AppData\Local\Temp\OnboardLogs"\RTDC4054\*4054*201703061*</v>
      </c>
      <c r="I2" s="214" t="str">
        <f>IF(VLOOKUP(K2,'Train Runs'!$A$13:$V$1002,1,TRUE)=K2,VLOOKUP(K2,'Train Runs'!$A$13:$V$1002,22,TRUE),NA())</f>
        <v>https://d0f6bd738d7f1b3e5a7ca70fe4ff75f0.us-east-1.aws.found.io/app/kibana#/discover/Steve-Slow-Train-Analysis-(2080s-and-2083s)?_g=(refreshInterval:(display:Off,pause:!f,section:0,value:0),time:(from:'2017-03-15T03:29:57-0600',mode:absolute,to:'2017-03-15T06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104-15</v>
      </c>
      <c r="L2" s="206">
        <f>IF(VLOOKUP(K2,'Train Runs'!$A$12:$B$1002,1,TRUE)=K2,VLOOKUP(K2,'Train Runs'!$A$12:$B$1002,2,TRUE),NA())</f>
        <v>4054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408</v>
      </c>
      <c r="C3" s="198" t="s">
        <v>410</v>
      </c>
      <c r="D3" s="212">
        <v>126</v>
      </c>
      <c r="E3" s="30" t="s">
        <v>412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"%USERPROFILE%\AppData\Local\Temp\OnboardLogs"\RTDC4019\*4019*201703061*</v>
      </c>
      <c r="I3" s="214" t="str">
        <f>IF(VLOOKUP(K3,'Train Runs'!$A$13:$V$1002,1,TRUE)=K3,VLOOKUP(K3,'Train Runs'!$A$13:$V$1002,22,TRUE),NA())</f>
        <v>https://d0f6bd738d7f1b3e5a7ca70fe4ff75f0.us-east-1.aws.found.io/app/kibana#/discover/Steve-Slow-Train-Analysis-(2080s-and-2083s)?_g=(refreshInterval:(display:Off,pause:!f,section:0,value:0),time:(from:'2017-03-15T06:38:07-0600',mode:absolute,to:'2017-03-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126-15</v>
      </c>
      <c r="L3" s="206">
        <f>IF(VLOOKUP(K3,'Train Runs'!$A$12:$B$1002,1,TRUE)=K3,VLOOKUP(K3,'Train Runs'!$A$12:$B$1002,2,TRUE),NA())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408</v>
      </c>
      <c r="C4" s="198" t="s">
        <v>410</v>
      </c>
      <c r="D4" s="212">
        <v>128</v>
      </c>
      <c r="E4" s="30" t="s">
        <v>412</v>
      </c>
      <c r="F4" s="212" t="b">
        <v>1</v>
      </c>
      <c r="G4" s="216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"%USERPROFILE%\AppData\Local\Temp\OnboardLogs"\RTDC4039\*4039*201703061*</v>
      </c>
      <c r="I4" s="214" t="str">
        <f>IF(VLOOKUP(K4,'Train Runs'!$A$13:$V$1002,1,TRUE)=K4,VLOOKUP(K4,'Train Runs'!$A$13:$V$1002,22,TRUE),NA())</f>
        <v>https://d0f6bd738d7f1b3e5a7ca70fe4ff75f0.us-east-1.aws.found.io/app/kibana#/discover/Steve-Slow-Train-Analysis-(2080s-and-2083s)?_g=(refreshInterval:(display:Off,pause:!f,section:0,value:0),time:(from:'2017-03-15T06:38:07-0600',mode:absolute,to:'2017-03-15T09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128-15</v>
      </c>
      <c r="L4" s="206">
        <f>IF(VLOOKUP(K4,'Train Runs'!$A$12:$B$1002,1,TRUE)=K4,VLOOKUP(K4,'Train Runs'!$A$12:$B$1002,2,TRUE),NA())</f>
        <v>4039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408</v>
      </c>
      <c r="C5" s="198" t="s">
        <v>410</v>
      </c>
      <c r="D5" s="212">
        <f>D4+2</f>
        <v>130</v>
      </c>
      <c r="E5" s="30" t="s">
        <v>412</v>
      </c>
      <c r="F5" s="212" t="b">
        <v>1</v>
      </c>
      <c r="G5" s="216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"%USERPROFILE%\AppData\Local\Temp\OnboardLogs"\RTDC4001\*4001*201703061*</v>
      </c>
      <c r="I5" s="214" t="str">
        <f>IF(VLOOKUP(K5,'Train Runs'!$A$13:$V$1002,1,TRUE)=K5,VLOOKUP(K5,'Train Runs'!$A$13:$V$1002,22,TRUE),NA())</f>
        <v>https://d0f6bd738d7f1b3e5a7ca70fe4ff75f0.us-east-1.aws.found.io/app/kibana#/discover/Steve-Slow-Train-Analysis-(2080s-and-2083s)?_g=(refreshInterval:(display:Off,pause:!f,section:0,value:0),time:(from:'2017-03-15T07:08:30-0600',mode:absolute,to:'2017-03-15T09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130-15</v>
      </c>
      <c r="L5" s="206">
        <f>IF(VLOOKUP(K5,'Train Runs'!$A$12:$B$1002,1,TRUE)=K5,VLOOKUP(K5,'Train Runs'!$A$12:$B$1002,2,TRUE),NA())</f>
        <v>4001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408</v>
      </c>
      <c r="C6" s="198" t="s">
        <v>410</v>
      </c>
      <c r="D6" s="212">
        <f>D5+2</f>
        <v>132</v>
      </c>
      <c r="E6" s="30" t="s">
        <v>412</v>
      </c>
      <c r="F6" s="212" t="b">
        <v>1</v>
      </c>
      <c r="G6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"%USERPROFILE%\AppData\Local\Temp\OnboardLogs"\RTDC4041\*4041*201703061*</v>
      </c>
      <c r="I6" s="214" t="str">
        <f>IF(VLOOKUP(K6,'Train Runs'!$A$13:$V$1002,1,TRUE)=K6,VLOOKUP(K6,'Train Runs'!$A$13:$V$1002,22,TRUE),NA())</f>
        <v>https://d0f6bd738d7f1b3e5a7ca70fe4ff75f0.us-east-1.aws.found.io/app/kibana#/discover/Steve-Slow-Train-Analysis-(2080s-and-2083s)?_g=(refreshInterval:(display:Off,pause:!f,section:0,value:0),time:(from:'2017-03-15T07:24:08-0600',mode:absolute,to:'2017-03-15T10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10">
        <f t="shared" si="2"/>
        <v>42800.625</v>
      </c>
      <c r="K6" s="210" t="str">
        <f>D6&amp;"-"&amp;IF(DAY(Variables!$A$2)&lt;10,0,"")&amp;DAY(Variables!$A$2)</f>
        <v>132-15</v>
      </c>
      <c r="L6" s="206">
        <f>IF(VLOOKUP(K6,'Train Runs'!$A$12:$B$1002,1,TRUE)=K6,VLOOKUP(K6,'Train Runs'!$A$12:$B$1002,2,TRUE),NA())</f>
        <v>4041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408</v>
      </c>
      <c r="C7" s="198" t="s">
        <v>410</v>
      </c>
      <c r="D7" s="212">
        <f t="shared" ref="D7:D11" si="4">D6+2</f>
        <v>134</v>
      </c>
      <c r="E7" s="30" t="s">
        <v>412</v>
      </c>
      <c r="F7" s="212" t="b">
        <v>1</v>
      </c>
      <c r="G7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"%USERPROFILE%\AppData\Local\Temp\OnboardLogs"\RTDC4054\*4054*201703061*</v>
      </c>
      <c r="I7" s="214" t="str">
        <f>IF(VLOOKUP(K7,'Train Runs'!$A$13:$V$1002,1,TRUE)=K7,VLOOKUP(K7,'Train Runs'!$A$13:$V$1002,22,TRUE),NA())</f>
        <v>https://d0f6bd738d7f1b3e5a7ca70fe4ff75f0.us-east-1.aws.found.io/app/kibana#/discover/Steve-Slow-Train-Analysis-(2080s-and-2083s)?_g=(refreshInterval:(display:Off,pause:!f,section:0,value:0),time:(from:'2017-03-15T07:33:44-0600',mode:absolute,to:'2017-03-15T10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134-15</v>
      </c>
      <c r="L7" s="206">
        <f>IF(VLOOKUP(K7,'Train Runs'!$A$12:$B$1002,1,TRUE)=K7,VLOOKUP(K7,'Train Runs'!$A$12:$B$1002,2,TRUE),NA())</f>
        <v>4054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408</v>
      </c>
      <c r="C8" s="198" t="s">
        <v>410</v>
      </c>
      <c r="D8" s="212">
        <f t="shared" si="4"/>
        <v>136</v>
      </c>
      <c r="E8" s="30" t="s">
        <v>412</v>
      </c>
      <c r="F8" s="212" t="b">
        <v>1</v>
      </c>
      <c r="G8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"%USERPROFILE%\AppData\Local\Temp\OnboardLogs"\RTDC4026\*4026*201703061*</v>
      </c>
      <c r="I8" s="214" t="str">
        <f>IF(VLOOKUP(K8,'Train Runs'!$A$13:$V$1002,1,TRUE)=K8,VLOOKUP(K8,'Train Runs'!$A$13:$V$1002,22,TRUE),NA())</f>
        <v>https://d0f6bd738d7f1b3e5a7ca70fe4ff75f0.us-east-1.aws.found.io/app/kibana#/discover/Steve-Slow-Train-Analysis-(2080s-and-2083s)?_g=(refreshInterval:(display:Off,pause:!f,section:0,value:0),time:(from:'2017-03-15T07:41:41-0600',mode:absolute,to:'2017-03-15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136-15</v>
      </c>
      <c r="L8" s="206">
        <f>IF(VLOOKUP(K8,'Train Runs'!$A$12:$B$1002,1,TRUE)=K8,VLOOKUP(K8,'Train Runs'!$A$12:$B$1002,2,TRUE),NA())</f>
        <v>4026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408</v>
      </c>
      <c r="C9" s="198" t="s">
        <v>410</v>
      </c>
      <c r="D9" s="212">
        <f t="shared" si="4"/>
        <v>138</v>
      </c>
      <c r="E9" s="30" t="s">
        <v>412</v>
      </c>
      <c r="F9" s="212" t="b">
        <v>1</v>
      </c>
      <c r="G9" s="216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"%USERPROFILE%\AppData\Local\Temp\OnboardLogs"\RTDC4012\*4012*201703061*</v>
      </c>
      <c r="I9" s="214" t="str">
        <f>IF(VLOOKUP(K9,'Train Runs'!$A$13:$V$1002,1,TRUE)=K9,VLOOKUP(K9,'Train Runs'!$A$13:$V$1002,22,TRUE),NA())</f>
        <v>https://d0f6bd738d7f1b3e5a7ca70fe4ff75f0.us-east-1.aws.found.io/app/kibana#/discover/Steve-Slow-Train-Analysis-(2080s-and-2083s)?_g=(refreshInterval:(display:Off,pause:!f,section:0,value:0),time:(from:'2017-03-15T08:05:16-0600',mode:absolute,to:'2017-03-15T10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138-15</v>
      </c>
      <c r="L9" s="206">
        <f>IF(VLOOKUP(K9,'Train Runs'!$A$12:$B$1002,1,TRUE)=K9,VLOOKUP(K9,'Train Runs'!$A$12:$B$1002,2,TRUE),NA())</f>
        <v>4012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408</v>
      </c>
      <c r="C10" s="198" t="s">
        <v>410</v>
      </c>
      <c r="D10" s="212">
        <f t="shared" si="4"/>
        <v>140</v>
      </c>
      <c r="E10" s="30" t="s">
        <v>412</v>
      </c>
      <c r="F10" s="212" t="b">
        <v>1</v>
      </c>
      <c r="G10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"%USERPROFILE%\AppData\Local\Temp\OnboardLogs"\RTDC4052\*4052*201703061*</v>
      </c>
      <c r="I10" s="214" t="str">
        <f>IF(VLOOKUP(K10,'Train Runs'!$A$13:$V$1002,1,TRUE)=K10,VLOOKUP(K10,'Train Runs'!$A$13:$V$1002,22,TRUE),NA())</f>
        <v>https://d0f6bd738d7f1b3e5a7ca70fe4ff75f0.us-east-1.aws.found.io/app/kibana#/discover/Steve-Slow-Train-Analysis-(2080s-and-2083s)?_g=(refreshInterval:(display:Off,pause:!f,section:0,value:0),time:(from:'2017-03-15T08:11:16-0600',mode:absolute,to:'2017-03-15T11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140-15</v>
      </c>
      <c r="L10" s="206">
        <f>IF(VLOOKUP(K10,'Train Runs'!$A$12:$B$1002,1,TRUE)=K10,VLOOKUP(K10,'Train Runs'!$A$12:$B$1002,2,TRUE),NA())</f>
        <v>4052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408</v>
      </c>
      <c r="C11" s="198" t="s">
        <v>410</v>
      </c>
      <c r="D11" s="212">
        <f t="shared" si="4"/>
        <v>142</v>
      </c>
      <c r="E11" s="30" t="s">
        <v>412</v>
      </c>
      <c r="F11" s="212" t="b">
        <v>1</v>
      </c>
      <c r="G11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"%USERPROFILE%\AppData\Local\Temp\OnboardLogs"\RTDC4019\*4019*201703061*</v>
      </c>
      <c r="I11" s="214" t="str">
        <f>IF(VLOOKUP(K11,'Train Runs'!$A$13:$V$1002,1,TRUE)=K11,VLOOKUP(K11,'Train Runs'!$A$13:$V$1002,22,TRUE),NA())</f>
        <v>https://d0f6bd738d7f1b3e5a7ca70fe4ff75f0.us-east-1.aws.found.io/app/kibana#/discover/Steve-Slow-Train-Analysis-(2080s-and-2083s)?_g=(refreshInterval:(display:Off,pause:!f,section:0,value:0),time:(from:'2017-03-15T08:40:46-0600',mode:absolute,to:'2017-03-15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142-15</v>
      </c>
      <c r="L11" s="206">
        <f>IF(VLOOKUP(K11,'Train Runs'!$A$12:$B$1002,1,TRUE)=K11,VLOOKUP(K11,'Train Runs'!$A$12:$B$1002,2,TRUE),NA())</f>
        <v>4019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408</v>
      </c>
      <c r="C12" s="198" t="s">
        <v>410</v>
      </c>
      <c r="D12" s="212">
        <v>144</v>
      </c>
      <c r="E12" s="30" t="s">
        <v>412</v>
      </c>
      <c r="F12" s="212" t="b">
        <v>1</v>
      </c>
      <c r="G12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"%USERPROFILE%\AppData\Local\Temp\OnboardLogs"\RTDC4001\*4001*201703061*</v>
      </c>
      <c r="I12" s="214" t="str">
        <f>IF(VLOOKUP(K12,'Train Runs'!$A$13:$V$1002,1,TRUE)=K12,VLOOKUP(K12,'Train Runs'!$A$13:$V$1002,22,TRUE),NA())</f>
        <v>https://d0f6bd738d7f1b3e5a7ca70fe4ff75f0.us-east-1.aws.found.io/app/kibana#/discover/Steve-Slow-Train-Analysis-(2080s-and-2083s)?_g=(refreshInterval:(display:Off,pause:!f,section:0,value:0),time:(from:'2017-03-15T08:50:55-0600',mode:absolute,to:'2017-03-15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144-15</v>
      </c>
      <c r="L12" s="206">
        <f>IF(VLOOKUP(K12,'Train Runs'!$A$12:$B$1002,1,TRUE)=K12,VLOOKUP(K12,'Train Runs'!$A$12:$B$1002,2,TRUE),NA())</f>
        <v>4001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408</v>
      </c>
      <c r="C13" s="198" t="s">
        <v>410</v>
      </c>
      <c r="D13" s="212">
        <v>146</v>
      </c>
      <c r="E13" s="30" t="s">
        <v>412</v>
      </c>
      <c r="F13" s="212" t="b">
        <v>1</v>
      </c>
      <c r="G13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"%USERPROFILE%\AppData\Local\Temp\OnboardLogs"\RTDC4041\*4041*201703061*</v>
      </c>
      <c r="I13" s="214" t="str">
        <f>IF(VLOOKUP(K13,'Train Runs'!$A$13:$V$1002,1,TRUE)=K13,VLOOKUP(K13,'Train Runs'!$A$13:$V$1002,22,TRUE),NA())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146-15</v>
      </c>
      <c r="L13" s="206">
        <f>IF(VLOOKUP(K13,'Train Runs'!$A$12:$B$1002,1,TRUE)=K13,VLOOKUP(K13,'Train Runs'!$A$12:$B$1002,2,TRUE),NA())</f>
        <v>4041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408</v>
      </c>
      <c r="C14" s="198" t="s">
        <v>410</v>
      </c>
      <c r="D14" s="212">
        <v>148</v>
      </c>
      <c r="E14" s="30" t="s">
        <v>416</v>
      </c>
      <c r="F14" s="212" t="b">
        <v>1</v>
      </c>
      <c r="G14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"%USERPROFILE%\AppData\Local\Temp\OnboardLogs"\RTDC4054\*4054*201703061*</v>
      </c>
      <c r="I14" s="214" t="str">
        <f>IF(VLOOKUP(K14,'Train Runs'!$A$13:$V$1002,1,TRUE)=K14,VLOOKUP(K14,'Train Runs'!$A$13:$V$1002,22,TRUE),NA())</f>
        <v>https://d0f6bd738d7f1b3e5a7ca70fe4ff75f0.us-east-1.aws.found.io/app/kibana#/discover/Steve-Slow-Train-Analysis-(2080s-and-2083s)?_g=(refreshInterval:(display:Off,pause:!f,section:0,value:0),time:(from:'2017-03-15T09:14:24-0600',mode:absolute,to:'2017-03-15T12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148-15</v>
      </c>
      <c r="L14" s="206">
        <f>IF(VLOOKUP(K14,'Train Runs'!$A$12:$B$1002,1,TRUE)=K14,VLOOKUP(K14,'Train Runs'!$A$12:$B$1002,2,TRUE),NA())</f>
        <v>4054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408</v>
      </c>
      <c r="C15" s="198" t="s">
        <v>410</v>
      </c>
      <c r="D15" s="212">
        <v>178</v>
      </c>
      <c r="E15" s="30" t="s">
        <v>417</v>
      </c>
      <c r="F15" s="212" t="b">
        <v>1</v>
      </c>
      <c r="G15" s="216" t="str">
        <f t="shared" si="0"/>
        <v>"C:\Program Files (x86)\AstroGrep\AstroGrep.exe" /e /r /s /spath="%USERPROFILE%\AppData\Local\Temp\OnboardLogs" /stypes="*4054*201703062*"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"%USERPROFILE%\AppData\Local\Temp\OnboardLogs"\RTDC4054\*4054*201703062*</v>
      </c>
      <c r="I15" s="214" t="str">
        <f>IF(VLOOKUP(K15,'Train Runs'!$A$13:$V$1002,1,TRUE)=K15,VLOOKUP(K15,'Train Runs'!$A$13:$V$1002,22,TRUE),NA())</f>
        <v>https://d0f6bd738d7f1b3e5a7ca70fe4ff75f0.us-east-1.aws.found.io/app/kibana#/discover/Steve-Slow-Train-Analysis-(2080s-and-2083s)?_g=(refreshInterval:(display:Off,pause:!f,section:0,value:0),time:(from:'2017-03-15T13:10:18-0600',mode:absolute,to:'2017-03-15T15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178-15</v>
      </c>
      <c r="L15" s="206">
        <f>IF(VLOOKUP(K15,'Train Runs'!$A$12:$B$1002,1,TRUE)=K15,VLOOKUP(K15,'Train Runs'!$A$12:$B$1002,2,TRUE),NA())</f>
        <v>4054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408</v>
      </c>
      <c r="C16" s="198" t="s">
        <v>410</v>
      </c>
      <c r="D16" s="212">
        <v>194</v>
      </c>
      <c r="E16" s="30" t="s">
        <v>417</v>
      </c>
      <c r="F16" s="212" t="b">
        <v>1</v>
      </c>
      <c r="G16" s="216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"%USERPROFILE%\AppData\Local\Temp\OnboardLogs"\RTDC4026\*4026*201703062*</v>
      </c>
      <c r="I16" s="214" t="str">
        <f>IF(VLOOKUP(K16,'Train Runs'!$A$13:$V$1002,1,TRUE)=K16,VLOOKUP(K16,'Train Runs'!$A$13:$V$1002,22,TRUE),NA())</f>
        <v>https://d0f6bd738d7f1b3e5a7ca70fe4ff75f0.us-east-1.aws.found.io/app/kibana#/discover/Steve-Slow-Train-Analysis-(2080s-and-2083s)?_g=(refreshInterval:(display:Off,pause:!f,section:0,value:0),time:(from:'2017-03-15T15:06:09-0600',mode:absolute,to:'2017-03-15T17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194-15</v>
      </c>
      <c r="L16" s="206">
        <f>IF(VLOOKUP(K16,'Train Runs'!$A$12:$B$1002,1,TRUE)=K16,VLOOKUP(K16,'Train Runs'!$A$12:$B$1002,2,TRUE),NA())</f>
        <v>4026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408</v>
      </c>
      <c r="C17" s="198" t="s">
        <v>410</v>
      </c>
      <c r="D17" s="212">
        <v>206</v>
      </c>
      <c r="E17" s="30" t="s">
        <v>412</v>
      </c>
      <c r="F17" s="212" t="b">
        <v>1</v>
      </c>
      <c r="G17" s="216" t="str">
        <f t="shared" si="0"/>
        <v>"C:\Program Files (x86)\AstroGrep\AstroGrep.exe" /e /r /s /spath="%USERPROFILE%\AppData\Local\Temp\OnboardLogs" /stypes="*4054*201703070*"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"%USERPROFILE%\AppData\Local\Temp\OnboardLogs"\RTDC4054\*4054*201703070*</v>
      </c>
      <c r="I17" s="214" t="str">
        <f>IF(VLOOKUP(K17,'Train Runs'!$A$13:$V$1002,1,TRUE)=K17,VLOOKUP(K17,'Train Runs'!$A$13:$V$1002,22,TRUE),NA())</f>
        <v>https://d0f6bd738d7f1b3e5a7ca70fe4ff75f0.us-east-1.aws.found.io/app/kibana#/discover/Steve-Slow-Train-Analysis-(2080s-and-2083s)?_g=(refreshInterval:(display:Off,pause:!f,section:0,value:0),time:(from:'2017-03-15T16:32:42-0600',mode:absolute,to:'2017-03-15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206-15</v>
      </c>
      <c r="L17" s="206">
        <f>IF(VLOOKUP(K17,'Train Runs'!$A$12:$B$1002,1,TRUE)=K17,VLOOKUP(K17,'Train Runs'!$A$12:$B$1002,2,TRUE),NA())</f>
        <v>4054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408</v>
      </c>
      <c r="C18" s="198" t="s">
        <v>410</v>
      </c>
      <c r="D18" s="212">
        <v>210</v>
      </c>
      <c r="E18" s="30" t="s">
        <v>412</v>
      </c>
      <c r="F18" s="212" t="b">
        <v>1</v>
      </c>
      <c r="G18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"%USERPROFILE%\AppData\Local\Temp\OnboardLogs"\RTDC4012\*4012*201703070*</v>
      </c>
      <c r="I18" s="214" t="str">
        <f>IF(VLOOKUP(K18,'Train Runs'!$A$13:$V$1002,1,TRUE)=K18,VLOOKUP(K18,'Train Runs'!$A$13:$V$1002,22,TRUE),NA())</f>
        <v>https://d0f6bd738d7f1b3e5a7ca70fe4ff75f0.us-east-1.aws.found.io/app/kibana#/discover/Steve-Slow-Train-Analysis-(2080s-and-2083s)?_g=(refreshInterval:(display:Off,pause:!f,section:0,value:0),time:(from:'2017-03-15T16:57:47-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210-15</v>
      </c>
      <c r="L18" s="206">
        <f>IF(VLOOKUP(K18,'Train Runs'!$A$12:$B$1002,1,TRUE)=K18,VLOOKUP(K18,'Train Runs'!$A$12:$B$1002,2,TRUE),NA())</f>
        <v>4012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408</v>
      </c>
      <c r="C19" s="198" t="s">
        <v>410</v>
      </c>
      <c r="D19" s="212">
        <f>D18+2</f>
        <v>212</v>
      </c>
      <c r="E19" s="30" t="s">
        <v>412</v>
      </c>
      <c r="F19" s="212" t="b">
        <v>1</v>
      </c>
      <c r="G19" s="216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"%USERPROFILE%\AppData\Local\Temp\OnboardLogs"\RTDC4001\*4001*201703070*</v>
      </c>
      <c r="I19" s="214" t="str">
        <f>IF(VLOOKUP(K19,'Train Runs'!$A$13:$V$1002,1,TRUE)=K19,VLOOKUP(K19,'Train Runs'!$A$13:$V$1002,22,TRUE),NA())</f>
        <v>https://d0f6bd738d7f1b3e5a7ca70fe4ff75f0.us-east-1.aws.found.io/app/kibana#/discover/Steve-Slow-Train-Analysis-(2080s-and-2083s)?_g=(refreshInterval:(display:Off,pause:!f,section:0,value:0),time:(from:'2017-03-15T17:17:48-0600',mode:absolute,to:'2017-03-15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212-15</v>
      </c>
      <c r="L19" s="206">
        <f>IF(VLOOKUP(K19,'Train Runs'!$A$12:$B$1002,1,TRUE)=K19,VLOOKUP(K19,'Train Runs'!$A$12:$B$1002,2,TRUE),NA())</f>
        <v>4001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408</v>
      </c>
      <c r="C20" s="198" t="s">
        <v>410</v>
      </c>
      <c r="D20" s="212">
        <v>214</v>
      </c>
      <c r="E20" s="30" t="s">
        <v>412</v>
      </c>
      <c r="F20" s="212" t="b">
        <v>1</v>
      </c>
      <c r="G20" s="216" t="str">
        <f t="shared" si="0"/>
        <v>"C:\Program Files (x86)\AstroGrep\AstroGrep.exe" /e /r /s /spath="%USERPROFILE%\AppData\Local\Temp\OnboardLogs" /stypes="*4052*201703070*"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"%USERPROFILE%\AppData\Local\Temp\OnboardLogs"\RTDC4052\*4052*201703070*</v>
      </c>
      <c r="I20" s="214" t="str">
        <f>IF(VLOOKUP(K20,'Train Runs'!$A$13:$V$1002,1,TRUE)=K20,VLOOKUP(K20,'Train Runs'!$A$13:$V$1002,22,TRUE),NA())</f>
        <v>https://d0f6bd738d7f1b3e5a7ca70fe4ff75f0.us-east-1.aws.found.io/app/kibana#/discover/Steve-Slow-Train-Analysis-(2080s-and-2083s)?_g=(refreshInterval:(display:Off,pause:!f,section:0,value:0),time:(from:'2017-03-15T17:35:59-0600',mode:absolute,to:'2017-03-15T20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214-15</v>
      </c>
      <c r="L20" s="206">
        <f>IF(VLOOKUP(K20,'Train Runs'!$A$12:$B$1002,1,TRUE)=K20,VLOOKUP(K20,'Train Runs'!$A$12:$B$1002,2,TRUE),NA())</f>
        <v>4052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408</v>
      </c>
      <c r="C21" s="198" t="s">
        <v>410</v>
      </c>
      <c r="D21" s="212">
        <v>216</v>
      </c>
      <c r="E21" s="30" t="s">
        <v>412</v>
      </c>
      <c r="F21" s="212" t="b">
        <v>1</v>
      </c>
      <c r="G21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"%USERPROFILE%\AppData\Local\Temp\OnboardLogs"\RTDC4039\*4039*201703070*</v>
      </c>
      <c r="I21" s="214" t="str">
        <f>IF(VLOOKUP(K21,'Train Runs'!$A$13:$V$1002,1,TRUE)=K21,VLOOKUP(K21,'Train Runs'!$A$13:$V$1002,22,TRUE),NA())</f>
        <v>https://d0f6bd738d7f1b3e5a7ca70fe4ff75f0.us-east-1.aws.found.io/app/kibana#/discover/Steve-Slow-Train-Analysis-(2080s-and-2083s)?_g=(refreshInterval:(display:Off,pause:!f,section:0,value:0),time:(from:'2017-03-15T17:42:15-0600',mode:absolute,to:'2017-03-15T20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216-15</v>
      </c>
      <c r="L21" s="206">
        <f>IF(VLOOKUP(K21,'Train Runs'!$A$12:$B$1002,1,TRUE)=K21,VLOOKUP(K21,'Train Runs'!$A$12:$B$1002,2,TRUE),NA())</f>
        <v>4039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408</v>
      </c>
      <c r="C22" s="198" t="s">
        <v>410</v>
      </c>
      <c r="D22" s="212">
        <f>D21+2</f>
        <v>218</v>
      </c>
      <c r="E22" s="30" t="s">
        <v>412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Runs'!$A$13:$V$1002,1,TRUE)=K22,VLOOKUP(K22,'Train Runs'!$A$13:$V$1002,22,TRUE),NA())</f>
        <v>https://d0f6bd738d7f1b3e5a7ca70fe4ff75f0.us-east-1.aws.found.io/app/kibana#/discover/Steve-Slow-Train-Analysis-(2080s-and-2083s)?_g=(refreshInterval:(display:Off,pause:!f,section:0,value:0),time:(from:'2017-03-15T18:06:08-0600',mode:absolute,to:'2017-03-15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218-15</v>
      </c>
      <c r="L22" s="206">
        <f>IF(VLOOKUP(K22,'Train Runs'!$A$12:$B$1002,1,TRUE)=K22,VLOOKUP(K22,'Train Runs'!$A$12:$B$1002,2,TRUE),NA())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408</v>
      </c>
      <c r="C23" s="198" t="s">
        <v>410</v>
      </c>
      <c r="D23" s="212">
        <f>D22+2</f>
        <v>220</v>
      </c>
      <c r="E23" s="30" t="s">
        <v>412</v>
      </c>
      <c r="F23" s="212" t="b">
        <v>1</v>
      </c>
      <c r="G23" s="216" t="str">
        <f t="shared" si="0"/>
        <v>"C:\Program Files (x86)\AstroGrep\AstroGrep.exe" /e /r /s /spath="%USERPROFILE%\AppData\Local\Temp\OnboardLogs" /stypes="*4054*201703070*"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"%USERPROFILE%\AppData\Local\Temp\OnboardLogs"\RTDC4054\*4054*201703070*</v>
      </c>
      <c r="I23" s="214" t="str">
        <f>IF(VLOOKUP(K23,'Train Runs'!$A$13:$V$1002,1,TRUE)=K23,VLOOKUP(K23,'Train Runs'!$A$13:$V$1002,22,TRUE),NA())</f>
        <v>https://d0f6bd738d7f1b3e5a7ca70fe4ff75f0.us-east-1.aws.found.io/app/kibana#/discover/Steve-Slow-Train-Analysis-(2080s-and-2083s)?_g=(refreshInterval:(display:Off,pause:!f,section:0,value:0),time:(from:'2017-03-15T18:12:46-0600',mode:absolute,to:'2017-03-15T21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220-15</v>
      </c>
      <c r="L23" s="206">
        <f>IF(VLOOKUP(K23,'Train Runs'!$A$12:$B$1002,1,TRUE)=K23,VLOOKUP(K23,'Train Runs'!$A$12:$B$1002,2,TRUE),NA())</f>
        <v>4054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408</v>
      </c>
      <c r="C24" s="198" t="s">
        <v>410</v>
      </c>
      <c r="D24" s="212">
        <f>D23+2</f>
        <v>222</v>
      </c>
      <c r="E24" s="30" t="s">
        <v>412</v>
      </c>
      <c r="F24" s="212" t="b">
        <v>1</v>
      </c>
      <c r="G24" s="216" t="str">
        <f t="shared" si="0"/>
        <v>"C:\Program Files (x86)\AstroGrep\AstroGrep.exe" /e /r /s /spath="%USERPROFILE%\AppData\Local\Temp\OnboardLogs" /stypes="*4012*201703070*"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"%USERPROFILE%\AppData\Local\Temp\OnboardLogs"\RTDC4012\*4012*201703070*</v>
      </c>
      <c r="I24" s="214" t="str">
        <f>IF(VLOOKUP(K24,'Train Runs'!$A$13:$V$1002,1,TRUE)=K24,VLOOKUP(K24,'Train Runs'!$A$13:$V$1002,22,TRUE),NA())</f>
        <v>https://d0f6bd738d7f1b3e5a7ca70fe4ff75f0.us-east-1.aws.found.io/app/kibana#/discover/Steve-Slow-Train-Analysis-(2080s-and-2083s)?_g=(refreshInterval:(display:Off,pause:!f,section:0,value:0),time:(from:'2017-03-15T18:50:48-0600',mode:absolute,to:'2017-03-15T21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222-15</v>
      </c>
      <c r="L24" s="206">
        <f>IF(VLOOKUP(K24,'Train Runs'!$A$12:$B$1002,1,TRUE)=K24,VLOOKUP(K24,'Train Runs'!$A$12:$B$1002,2,TRUE),NA())</f>
        <v>4012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408</v>
      </c>
      <c r="C25" s="198" t="s">
        <v>410</v>
      </c>
      <c r="D25" s="212">
        <f>D24+2</f>
        <v>224</v>
      </c>
      <c r="E25" s="30" t="s">
        <v>412</v>
      </c>
      <c r="F25" s="212" t="b">
        <v>1</v>
      </c>
      <c r="G25" s="216" t="str">
        <f t="shared" si="0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"%USERPROFILE%\AppData\Local\Temp\OnboardLogs"\RTDC4052\*4052*201703070*</v>
      </c>
      <c r="I25" s="214" t="str">
        <f>IF(VLOOKUP(K25,'Train Runs'!$A$13:$V$1002,1,TRUE)=K25,VLOOKUP(K25,'Train Runs'!$A$13:$V$1002,22,TRUE),NA())</f>
        <v>https://d0f6bd738d7f1b3e5a7ca70fe4ff75f0.us-east-1.aws.found.io/app/kibana#/discover/Steve-Slow-Train-Analysis-(2080s-and-2083s)?_g=(refreshInterval:(display:Off,pause:!f,section:0,value:0),time:(from:'2017-03-15T19:18:43-0600',mode:absolute,to:'2017-03-15T22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224-15</v>
      </c>
      <c r="L25" s="206">
        <f>IF(VLOOKUP(K25,'Train Runs'!$A$12:$B$1002,1,TRUE)=K25,VLOOKUP(K25,'Train Runs'!$A$12:$B$1002,2,TRUE),NA())</f>
        <v>4052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408</v>
      </c>
      <c r="C26" s="198" t="s">
        <v>410</v>
      </c>
      <c r="D26" s="212">
        <f>D25+2</f>
        <v>226</v>
      </c>
      <c r="E26" s="30" t="s">
        <v>412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Runs'!$A$13:$V$1002,1,TRUE)=K26,VLOOKUP(K26,'Train Runs'!$A$13:$V$1002,22,TRUE),NA())</f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226-15</v>
      </c>
      <c r="L26" s="206">
        <f>IF(VLOOKUP(K26,'Train Runs'!$A$12:$B$1002,1,TRUE)=K26,VLOOKUP(K26,'Train Runs'!$A$12:$B$1002,2,TRUE),NA())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408</v>
      </c>
      <c r="C27" s="198" t="s">
        <v>410</v>
      </c>
      <c r="D27" s="212">
        <f t="shared" ref="D27:D33" si="5">D26+2</f>
        <v>228</v>
      </c>
      <c r="E27" s="30" t="s">
        <v>412</v>
      </c>
      <c r="F27" s="212" t="b">
        <v>1</v>
      </c>
      <c r="G27" s="216" t="str">
        <f t="shared" si="0"/>
        <v>"C:\Program Files (x86)\AstroGrep\AstroGrep.exe" /e /r /s /spath="%USERPROFILE%\AppData\Local\Temp\OnboardLogs" /stypes="*4054*201703070*"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"%USERPROFILE%\AppData\Local\Temp\OnboardLogs"\RTDC4054\*4054*201703070*</v>
      </c>
      <c r="I27" s="214" t="str">
        <f>IF(VLOOKUP(K27,'Train Runs'!$A$13:$V$1002,1,TRUE)=K27,VLOOKUP(K27,'Train Runs'!$A$13:$V$1002,22,TRUE),NA())</f>
        <v>https://d0f6bd738d7f1b3e5a7ca70fe4ff75f0.us-east-1.aws.found.io/app/kibana#/discover/Steve-Slow-Train-Analysis-(2080s-and-2083s)?_g=(refreshInterval:(display:Off,pause:!f,section:0,value:0),time:(from:'2017-03-15T20:14:32-0600',mode:absolute,to:'2017-03-15T23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228-15</v>
      </c>
      <c r="L27" s="206">
        <f>IF(VLOOKUP(K27,'Train Runs'!$A$12:$B$1002,1,TRUE)=K27,VLOOKUP(K27,'Train Runs'!$A$12:$B$1002,2,TRUE),NA())</f>
        <v>4054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408</v>
      </c>
      <c r="C28" s="198" t="s">
        <v>410</v>
      </c>
      <c r="D28" s="212">
        <f t="shared" si="5"/>
        <v>230</v>
      </c>
      <c r="E28" s="30" t="s">
        <v>412</v>
      </c>
      <c r="F28" s="212" t="b">
        <v>1</v>
      </c>
      <c r="G28" s="216" t="str">
        <f t="shared" si="0"/>
        <v>"C:\Program Files (x86)\AstroGrep\AstroGrep.exe" /e /r /s /spath="%USERPROFILE%\AppData\Local\Temp\OnboardLogs" /stypes="*4012*201703070*"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"%USERPROFILE%\AppData\Local\Temp\OnboardLogs"\RTDC4012\*4012*201703070*</v>
      </c>
      <c r="I28" s="214" t="str">
        <f>IF(VLOOKUP(K28,'Train Runs'!$A$13:$V$1002,1,TRUE)=K28,VLOOKUP(K28,'Train Runs'!$A$13:$V$1002,22,TRUE),NA())</f>
        <v>https://d0f6bd738d7f1b3e5a7ca70fe4ff75f0.us-east-1.aws.found.io/app/kibana#/discover/Steve-Slow-Train-Analysis-(2080s-and-2083s)?_g=(refreshInterval:(display:Off,pause:!f,section:0,value:0),time:(from:'2017-03-15T20:49:16-0600',mode:absolute,to:'2017-03-15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230-15</v>
      </c>
      <c r="L28" s="206">
        <f>IF(VLOOKUP(K28,'Train Runs'!$A$12:$B$1002,1,TRUE)=K28,VLOOKUP(K28,'Train Runs'!$A$12:$B$1002,2,TRUE),NA())</f>
        <v>4012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408</v>
      </c>
      <c r="C29" s="198" t="s">
        <v>410</v>
      </c>
      <c r="D29" s="212">
        <f t="shared" si="5"/>
        <v>232</v>
      </c>
      <c r="E29" s="30" t="s">
        <v>412</v>
      </c>
      <c r="F29" s="212" t="b">
        <v>1</v>
      </c>
      <c r="G29" s="216" t="str">
        <f t="shared" si="0"/>
        <v>"C:\Program Files (x86)\AstroGrep\AstroGrep.exe" /e /r /s /spath="%USERPROFILE%\AppData\Local\Temp\OnboardLogs" /stypes="*4052*201703070*"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"%USERPROFILE%\AppData\Local\Temp\OnboardLogs"\RTDC4052\*4052*201703070*</v>
      </c>
      <c r="I29" s="214" t="str">
        <f>IF(VLOOKUP(K29,'Train Runs'!$A$13:$V$1002,1,TRUE)=K29,VLOOKUP(K29,'Train Runs'!$A$13:$V$1002,22,TRUE),NA())</f>
        <v>https://d0f6bd738d7f1b3e5a7ca70fe4ff75f0.us-east-1.aws.found.io/app/kibana#/discover/Steve-Slow-Train-Analysis-(2080s-and-2083s)?_g=(refreshInterval:(display:Off,pause:!f,section:0,value:0),time:(from:'2017-03-15T21:20:27-0600',mode:absolute,to:'2017-03-16T00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232-15</v>
      </c>
      <c r="L29" s="206">
        <f>IF(VLOOKUP(K29,'Train Runs'!$A$12:$B$1002,1,TRUE)=K29,VLOOKUP(K29,'Train Runs'!$A$12:$B$1002,2,TRUE),NA())</f>
        <v>4052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408</v>
      </c>
      <c r="C30" s="198" t="s">
        <v>410</v>
      </c>
      <c r="D30" s="212">
        <f t="shared" si="5"/>
        <v>234</v>
      </c>
      <c r="E30" s="30" t="s">
        <v>412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Runs'!$A$13:$V$1002,1,TRUE)=K30,VLOOKUP(K30,'Train Runs'!$A$13:$V$1002,22,TRUE),NA())</f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234-15</v>
      </c>
      <c r="L30" s="206">
        <f>IF(VLOOKUP(K30,'Train Runs'!$A$12:$B$1002,1,TRUE)=K30,VLOOKUP(K30,'Train Runs'!$A$12:$B$1002,2,TRUE),NA())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408</v>
      </c>
      <c r="C31" s="198" t="s">
        <v>410</v>
      </c>
      <c r="D31" s="212">
        <f t="shared" si="5"/>
        <v>236</v>
      </c>
      <c r="E31" s="30" t="s">
        <v>412</v>
      </c>
      <c r="F31" s="212" t="b">
        <v>1</v>
      </c>
      <c r="G31" s="216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"%USERPROFILE%\AppData\Local\Temp\OnboardLogs"\RTDC4054\*4054*201703070*</v>
      </c>
      <c r="I31" s="214" t="str">
        <f>IF(VLOOKUP(K31,'Train Runs'!$A$13:$V$1002,1,TRUE)=K31,VLOOKUP(K31,'Train Runs'!$A$13:$V$1002,22,TRUE),NA())</f>
        <v>https://d0f6bd738d7f1b3e5a7ca70fe4ff75f0.us-east-1.aws.found.io/app/kibana#/discover/Steve-Slow-Train-Analysis-(2080s-and-2083s)?_g=(refreshInterval:(display:Off,pause:!f,section:0,value:0),time:(from:'2017-03-15T22:18:06-0600',mode:absolute,to:'2017-03-16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236-15</v>
      </c>
      <c r="L31" s="206">
        <f>IF(VLOOKUP(K31,'Train Runs'!$A$12:$B$1002,1,TRUE)=K31,VLOOKUP(K31,'Train Runs'!$A$12:$B$1002,2,TRUE),NA())</f>
        <v>4054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408</v>
      </c>
      <c r="C32" s="198" t="s">
        <v>410</v>
      </c>
      <c r="D32" s="212">
        <f t="shared" si="5"/>
        <v>238</v>
      </c>
      <c r="E32" s="30" t="s">
        <v>412</v>
      </c>
      <c r="F32" s="212" t="b">
        <v>1</v>
      </c>
      <c r="G32" s="216" t="str">
        <f t="shared" si="0"/>
        <v>"C:\Program Files (x86)\AstroGrep\AstroGrep.exe" /e /r /s /spath="%USERPROFILE%\AppData\Local\Temp\OnboardLogs" /stypes="*4012*201703070*"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"%USERPROFILE%\AppData\Local\Temp\OnboardLogs"\RTDC4012\*4012*201703070*</v>
      </c>
      <c r="I32" s="214" t="str">
        <f>IF(VLOOKUP(K32,'Train Runs'!$A$13:$V$1002,1,TRUE)=K32,VLOOKUP(K32,'Train Runs'!$A$13:$V$1002,22,TRUE),NA())</f>
        <v>https://d0f6bd738d7f1b3e5a7ca70fe4ff75f0.us-east-1.aws.found.io/app/kibana#/discover/Steve-Slow-Train-Analysis-(2080s-and-2083s)?_g=(refreshInterval:(display:Off,pause:!f,section:0,value:0),time:(from:'2017-03-15T22:48:25-0600',mode:absolute,to:'2017-03-16T01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238-15</v>
      </c>
      <c r="L32" s="206">
        <f>IF(VLOOKUP(K32,'Train Runs'!$A$12:$B$1002,1,TRUE)=K32,VLOOKUP(K32,'Train Runs'!$A$12:$B$1002,2,TRUE),NA())</f>
        <v>4012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408</v>
      </c>
      <c r="C33" s="198" t="s">
        <v>410</v>
      </c>
      <c r="D33" s="212">
        <f t="shared" si="5"/>
        <v>240</v>
      </c>
      <c r="E33" s="30" t="s">
        <v>412</v>
      </c>
      <c r="F33" s="212" t="b">
        <v>1</v>
      </c>
      <c r="G33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"%USERPROFILE%\AppData\Local\Temp\OnboardLogs"\RTDC4052\*4052*201703070*</v>
      </c>
      <c r="I33" s="214" t="str">
        <f>IF(VLOOKUP(K33,'Train Runs'!$A$13:$V$1002,1,TRUE)=K33,VLOOKUP(K33,'Train Runs'!$A$13:$V$1002,22,TRUE),NA())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240-15</v>
      </c>
      <c r="L33" s="206">
        <f>IF(VLOOKUP(K33,'Train Runs'!$A$12:$B$1002,1,TRUE)=K33,VLOOKUP(K33,'Train Runs'!$A$12:$B$1002,2,TRUE),NA())</f>
        <v>4052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408</v>
      </c>
      <c r="C34" s="198" t="s">
        <v>410</v>
      </c>
      <c r="D34" s="212">
        <v>240</v>
      </c>
      <c r="E34" s="30" t="s">
        <v>412</v>
      </c>
      <c r="F34" s="212" t="b">
        <v>1</v>
      </c>
      <c r="G34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"%USERPROFILE%\AppData\Local\Temp\OnboardLogs"\RTDC4052\*4052*201703070*</v>
      </c>
      <c r="I34" s="214" t="str">
        <f>IF(VLOOKUP(K34,'Train Runs'!$A$13:$V$1002,1,TRUE)=K34,VLOOKUP(K34,'Train Runs'!$A$13:$V$1002,22,TRUE),NA())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240-15</v>
      </c>
      <c r="L34" s="206">
        <f>IF(VLOOKUP(K34,'Train Runs'!$A$12:$B$1002,1,TRUE)=K34,VLOOKUP(K34,'Train Runs'!$A$12:$B$1002,2,TRUE),NA())</f>
        <v>4052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408</v>
      </c>
      <c r="C35" s="198" t="s">
        <v>410</v>
      </c>
      <c r="D35" s="212">
        <v>242</v>
      </c>
      <c r="E35" s="30" t="s">
        <v>412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Runs'!$A$13:$V$1002,1,TRUE)=K35,VLOOKUP(K35,'Train Runs'!$A$13:$V$1002,22,TRUE),NA())</f>
        <v>https://d0f6bd738d7f1b3e5a7ca70fe4ff75f0.us-east-1.aws.found.io/app/kibana#/discover/Steve-Slow-Train-Analysis-(2080s-and-2083s)?_g=(refreshInterval:(display:Off,pause:!f,section:0,value:0),time:(from:'2017-03-15T23:50:18-0600',mode:absolute,to:'2017-03-16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242-15</v>
      </c>
      <c r="L35" s="206">
        <f>IF(VLOOKUP(K35,'Train Runs'!$A$12:$B$1002,1,TRUE)=K35,VLOOKUP(K35,'Train Runs'!$A$12:$B$1002,2,TRUE),NA())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198</v>
      </c>
      <c r="G1" s="8" t="s">
        <v>197</v>
      </c>
    </row>
    <row r="2" spans="1:7" x14ac:dyDescent="0.25">
      <c r="A2" s="8">
        <v>42809.041238425925</v>
      </c>
      <c r="B2" s="20" t="s">
        <v>425</v>
      </c>
      <c r="C2" s="20" t="s">
        <v>513</v>
      </c>
      <c r="D2" s="150">
        <v>2730000</v>
      </c>
      <c r="E2" s="20" t="s">
        <v>228</v>
      </c>
      <c r="F2" s="20" t="s">
        <v>229</v>
      </c>
      <c r="G2" s="8" t="str">
        <f>E2&amp;" "&amp;F2</f>
        <v>YANG JAN</v>
      </c>
    </row>
    <row r="3" spans="1:7" x14ac:dyDescent="0.25">
      <c r="A3" s="8">
        <v>42809.048750000002</v>
      </c>
      <c r="B3" s="20" t="s">
        <v>453</v>
      </c>
      <c r="C3" s="20" t="s">
        <v>524</v>
      </c>
      <c r="D3" s="150">
        <v>1810000</v>
      </c>
      <c r="E3" s="20" t="s">
        <v>200</v>
      </c>
      <c r="F3" s="20" t="s">
        <v>196</v>
      </c>
      <c r="G3" s="8" t="str">
        <f t="shared" ref="G3:G66" si="0">E3&amp;" "&amp;F3</f>
        <v>NEWELL JAMES</v>
      </c>
    </row>
    <row r="4" spans="1:7" x14ac:dyDescent="0.25">
      <c r="A4" s="8">
        <v>42809.057754629626</v>
      </c>
      <c r="B4" s="20" t="s">
        <v>495</v>
      </c>
      <c r="C4" s="20" t="s">
        <v>498</v>
      </c>
      <c r="D4" s="150">
        <v>2000000</v>
      </c>
      <c r="E4" s="20" t="s">
        <v>459</v>
      </c>
      <c r="F4" s="20" t="s">
        <v>196</v>
      </c>
      <c r="G4" s="8" t="str">
        <f t="shared" si="0"/>
        <v>STAMBAUGH JAMES</v>
      </c>
    </row>
    <row r="5" spans="1:7" x14ac:dyDescent="0.25">
      <c r="A5" s="8">
        <v>42809.067384259259</v>
      </c>
      <c r="B5" s="20" t="s">
        <v>382</v>
      </c>
      <c r="C5" s="20" t="s">
        <v>525</v>
      </c>
      <c r="D5" s="150">
        <v>1740000</v>
      </c>
      <c r="E5" s="20" t="s">
        <v>393</v>
      </c>
      <c r="F5" s="20" t="s">
        <v>394</v>
      </c>
      <c r="G5" s="8" t="str">
        <f t="shared" si="0"/>
        <v>STORY SAMANTHA</v>
      </c>
    </row>
    <row r="6" spans="1:7" x14ac:dyDescent="0.25">
      <c r="A6" s="8">
        <v>42809.088877314818</v>
      </c>
      <c r="B6" s="20" t="s">
        <v>496</v>
      </c>
      <c r="C6" s="20" t="s">
        <v>526</v>
      </c>
      <c r="D6" s="150">
        <v>2000000</v>
      </c>
      <c r="E6" s="20" t="s">
        <v>459</v>
      </c>
      <c r="F6" s="20" t="s">
        <v>196</v>
      </c>
      <c r="G6" s="8" t="str">
        <f t="shared" si="0"/>
        <v>STAMBAUGH JAMES</v>
      </c>
    </row>
    <row r="7" spans="1:7" x14ac:dyDescent="0.25">
      <c r="A7" s="8">
        <v>42809.112395833334</v>
      </c>
      <c r="B7" s="20" t="s">
        <v>424</v>
      </c>
      <c r="C7" s="20" t="s">
        <v>527</v>
      </c>
      <c r="D7" s="150">
        <v>2550000</v>
      </c>
      <c r="E7" s="20" t="s">
        <v>528</v>
      </c>
      <c r="F7" s="20" t="s">
        <v>529</v>
      </c>
      <c r="G7" s="8" t="str">
        <f t="shared" si="0"/>
        <v>BADERTSCHER DIANE</v>
      </c>
    </row>
    <row r="8" spans="1:7" x14ac:dyDescent="0.25">
      <c r="A8" s="8">
        <v>42809.116770833331</v>
      </c>
      <c r="B8" s="20" t="s">
        <v>381</v>
      </c>
      <c r="C8" s="20" t="s">
        <v>625</v>
      </c>
      <c r="D8" s="150">
        <v>1140000</v>
      </c>
      <c r="E8" s="20" t="s">
        <v>626</v>
      </c>
      <c r="F8" s="20" t="s">
        <v>627</v>
      </c>
      <c r="G8" s="8" t="str">
        <f t="shared" si="0"/>
        <v>YOUNG ELIZABETH</v>
      </c>
    </row>
    <row r="9" spans="1:7" ht="15.75" thickBot="1" x14ac:dyDescent="0.3">
      <c r="A9" s="24">
        <v>42809.11886574074</v>
      </c>
      <c r="B9" s="20" t="s">
        <v>424</v>
      </c>
      <c r="C9" s="20" t="s">
        <v>527</v>
      </c>
      <c r="D9" s="150">
        <v>2550000</v>
      </c>
      <c r="E9" s="20" t="s">
        <v>528</v>
      </c>
      <c r="F9" s="20" t="s">
        <v>529</v>
      </c>
      <c r="G9" s="8" t="str">
        <f t="shared" si="0"/>
        <v>BADERTSCHER DIANE</v>
      </c>
    </row>
    <row r="10" spans="1:7" x14ac:dyDescent="0.25">
      <c r="A10" s="8">
        <v>42809.128275462965</v>
      </c>
      <c r="B10" s="20" t="s">
        <v>243</v>
      </c>
      <c r="C10" s="20" t="s">
        <v>628</v>
      </c>
      <c r="D10" s="150">
        <v>2550000</v>
      </c>
      <c r="E10" s="20" t="s">
        <v>528</v>
      </c>
      <c r="F10" s="20" t="s">
        <v>529</v>
      </c>
      <c r="G10" s="8" t="str">
        <f t="shared" si="0"/>
        <v>BADERTSCHER DIANE</v>
      </c>
    </row>
    <row r="11" spans="1:7" x14ac:dyDescent="0.25">
      <c r="A11" s="8">
        <v>42809.139826388891</v>
      </c>
      <c r="B11" s="20" t="s">
        <v>446</v>
      </c>
      <c r="C11" s="20" t="s">
        <v>629</v>
      </c>
      <c r="D11" s="150">
        <v>2010000</v>
      </c>
      <c r="E11" s="20" t="s">
        <v>455</v>
      </c>
      <c r="F11" s="20" t="s">
        <v>456</v>
      </c>
      <c r="G11" s="8" t="str">
        <f t="shared" si="0"/>
        <v>MAELZER KURT</v>
      </c>
    </row>
    <row r="12" spans="1:7" x14ac:dyDescent="0.25">
      <c r="A12" s="8">
        <v>42809.142314814817</v>
      </c>
      <c r="B12" s="20" t="s">
        <v>203</v>
      </c>
      <c r="C12" s="20" t="s">
        <v>630</v>
      </c>
      <c r="D12" s="150">
        <v>1140000</v>
      </c>
      <c r="E12" s="20" t="s">
        <v>626</v>
      </c>
      <c r="F12" s="20" t="s">
        <v>627</v>
      </c>
      <c r="G12" s="8" t="str">
        <f t="shared" si="0"/>
        <v>YOUNG ELIZABETH</v>
      </c>
    </row>
    <row r="13" spans="1:7" x14ac:dyDescent="0.25">
      <c r="A13" s="8">
        <v>42809.151608796295</v>
      </c>
      <c r="B13" s="20" t="s">
        <v>584</v>
      </c>
      <c r="C13" s="20" t="s">
        <v>629</v>
      </c>
      <c r="D13" s="150">
        <v>2010000</v>
      </c>
      <c r="E13" s="20" t="s">
        <v>455</v>
      </c>
      <c r="F13" s="20" t="s">
        <v>456</v>
      </c>
      <c r="G13" s="8" t="str">
        <f t="shared" si="0"/>
        <v>MAELZER KURT</v>
      </c>
    </row>
    <row r="14" spans="1:7" x14ac:dyDescent="0.25">
      <c r="A14" s="8">
        <v>42809.152812499997</v>
      </c>
      <c r="B14" s="20" t="s">
        <v>584</v>
      </c>
      <c r="C14" s="20" t="s">
        <v>631</v>
      </c>
      <c r="D14" s="150">
        <v>2010000</v>
      </c>
      <c r="E14" s="20" t="s">
        <v>455</v>
      </c>
      <c r="F14" s="20" t="s">
        <v>456</v>
      </c>
      <c r="G14" s="8" t="str">
        <f t="shared" si="0"/>
        <v>MAELZER KURT</v>
      </c>
    </row>
    <row r="15" spans="1:7" x14ac:dyDescent="0.25">
      <c r="A15" s="8">
        <v>42809.164710648147</v>
      </c>
      <c r="B15" s="20" t="s">
        <v>632</v>
      </c>
      <c r="C15" s="20" t="s">
        <v>633</v>
      </c>
      <c r="D15" s="150">
        <v>1100000</v>
      </c>
      <c r="E15" s="20" t="s">
        <v>634</v>
      </c>
      <c r="F15" s="20" t="s">
        <v>635</v>
      </c>
      <c r="G15" s="8" t="str">
        <f t="shared" si="0"/>
        <v>GEBRETEKLE DAGNEW</v>
      </c>
    </row>
    <row r="16" spans="1:7" x14ac:dyDescent="0.25">
      <c r="A16" s="8">
        <v>42809.169907407406</v>
      </c>
      <c r="B16" s="20" t="s">
        <v>424</v>
      </c>
      <c r="C16" s="20" t="s">
        <v>636</v>
      </c>
      <c r="D16" s="150">
        <v>2550000</v>
      </c>
      <c r="E16" s="20" t="s">
        <v>528</v>
      </c>
      <c r="F16" s="20" t="s">
        <v>529</v>
      </c>
      <c r="G16" s="8" t="str">
        <f t="shared" si="0"/>
        <v>BADERTSCHER DIANE</v>
      </c>
    </row>
    <row r="17" spans="1:7" x14ac:dyDescent="0.25">
      <c r="A17" s="8">
        <v>42809.175555555557</v>
      </c>
      <c r="B17" s="20" t="s">
        <v>221</v>
      </c>
      <c r="C17" s="20" t="s">
        <v>637</v>
      </c>
      <c r="D17" s="150">
        <v>2970000</v>
      </c>
      <c r="E17" s="20" t="s">
        <v>638</v>
      </c>
      <c r="F17" s="20" t="s">
        <v>639</v>
      </c>
      <c r="G17" s="8" t="str">
        <f t="shared" si="0"/>
        <v>GUZMAN DANNY</v>
      </c>
    </row>
    <row r="18" spans="1:7" x14ac:dyDescent="0.25">
      <c r="A18" s="8">
        <v>42809.175578703704</v>
      </c>
      <c r="B18" s="20" t="s">
        <v>448</v>
      </c>
      <c r="C18" s="20" t="s">
        <v>573</v>
      </c>
      <c r="D18" s="150">
        <v>1100000</v>
      </c>
      <c r="E18" s="20" t="s">
        <v>634</v>
      </c>
      <c r="F18" s="20" t="s">
        <v>635</v>
      </c>
      <c r="G18" s="8" t="str">
        <f t="shared" si="0"/>
        <v>GEBRETEKLE DAGNEW</v>
      </c>
    </row>
    <row r="19" spans="1:7" x14ac:dyDescent="0.25">
      <c r="A19" s="8">
        <v>42809.185925925929</v>
      </c>
      <c r="B19" s="20" t="s">
        <v>504</v>
      </c>
      <c r="C19" s="20" t="s">
        <v>640</v>
      </c>
      <c r="D19" s="150">
        <v>1360000</v>
      </c>
      <c r="E19" s="20" t="s">
        <v>451</v>
      </c>
      <c r="F19" s="20" t="s">
        <v>452</v>
      </c>
      <c r="G19" s="8" t="str">
        <f t="shared" si="0"/>
        <v>SANTIZO D. EDY</v>
      </c>
    </row>
    <row r="20" spans="1:7" x14ac:dyDescent="0.25">
      <c r="A20" s="8">
        <v>42809.186585648145</v>
      </c>
      <c r="B20" s="20" t="s">
        <v>190</v>
      </c>
      <c r="C20" s="20" t="s">
        <v>641</v>
      </c>
      <c r="D20" s="150">
        <v>940000</v>
      </c>
      <c r="E20" s="20" t="s">
        <v>470</v>
      </c>
      <c r="F20" s="20" t="s">
        <v>471</v>
      </c>
      <c r="G20" s="8" t="str">
        <f t="shared" si="0"/>
        <v>BONDS REYNALDO</v>
      </c>
    </row>
    <row r="21" spans="1:7" x14ac:dyDescent="0.25">
      <c r="A21" s="8">
        <v>42809.187754629631</v>
      </c>
      <c r="B21" s="20" t="s">
        <v>446</v>
      </c>
      <c r="C21" s="20" t="s">
        <v>642</v>
      </c>
      <c r="D21" s="150">
        <v>2010000</v>
      </c>
      <c r="E21" s="20" t="s">
        <v>455</v>
      </c>
      <c r="F21" s="20" t="s">
        <v>456</v>
      </c>
      <c r="G21" s="8" t="str">
        <f t="shared" si="0"/>
        <v>MAELZER KURT</v>
      </c>
    </row>
    <row r="22" spans="1:7" x14ac:dyDescent="0.25">
      <c r="A22" s="26">
        <v>42809.1952662037</v>
      </c>
      <c r="B22" s="20" t="s">
        <v>391</v>
      </c>
      <c r="C22" s="20" t="s">
        <v>643</v>
      </c>
      <c r="D22" s="150">
        <v>1360000</v>
      </c>
      <c r="E22" s="20" t="s">
        <v>451</v>
      </c>
      <c r="F22" s="20" t="s">
        <v>452</v>
      </c>
      <c r="G22" s="8" t="str">
        <f t="shared" si="0"/>
        <v>SANTIZO D. EDY</v>
      </c>
    </row>
    <row r="23" spans="1:7" x14ac:dyDescent="0.25">
      <c r="A23" s="8">
        <v>42809.201226851852</v>
      </c>
      <c r="B23" s="20" t="s">
        <v>580</v>
      </c>
      <c r="C23" s="20" t="s">
        <v>644</v>
      </c>
      <c r="D23" s="150">
        <v>1290000</v>
      </c>
      <c r="E23" s="20" t="s">
        <v>645</v>
      </c>
      <c r="F23" s="20" t="s">
        <v>646</v>
      </c>
      <c r="G23" s="8" t="str">
        <f t="shared" si="0"/>
        <v>COOLAHAN JOHN</v>
      </c>
    </row>
    <row r="24" spans="1:7" x14ac:dyDescent="0.25">
      <c r="A24" s="8">
        <v>42809.206585648149</v>
      </c>
      <c r="B24" s="20" t="s">
        <v>243</v>
      </c>
      <c r="C24" s="20" t="s">
        <v>647</v>
      </c>
      <c r="D24" s="150">
        <v>900000</v>
      </c>
      <c r="E24" s="20" t="s">
        <v>472</v>
      </c>
      <c r="F24" s="20" t="s">
        <v>473</v>
      </c>
      <c r="G24" s="8" t="str">
        <f t="shared" si="0"/>
        <v>ROCHA YAOTL</v>
      </c>
    </row>
    <row r="25" spans="1:7" x14ac:dyDescent="0.25">
      <c r="A25" s="8">
        <v>42809.209270833337</v>
      </c>
      <c r="B25" s="20" t="s">
        <v>426</v>
      </c>
      <c r="C25" s="20" t="s">
        <v>648</v>
      </c>
      <c r="D25" s="150">
        <v>2550000</v>
      </c>
      <c r="E25" s="20" t="s">
        <v>528</v>
      </c>
      <c r="F25" s="20" t="s">
        <v>529</v>
      </c>
      <c r="G25" s="8" t="str">
        <f t="shared" si="0"/>
        <v>BADERTSCHER DIANE</v>
      </c>
    </row>
    <row r="26" spans="1:7" x14ac:dyDescent="0.25">
      <c r="A26" s="8">
        <v>42809.210659722223</v>
      </c>
      <c r="B26" s="20" t="s">
        <v>426</v>
      </c>
      <c r="C26" s="20" t="s">
        <v>648</v>
      </c>
      <c r="D26" s="150">
        <v>2550000</v>
      </c>
      <c r="E26" s="20" t="s">
        <v>528</v>
      </c>
      <c r="F26" s="20" t="s">
        <v>529</v>
      </c>
      <c r="G26" s="8" t="str">
        <f t="shared" si="0"/>
        <v>BADERTSCHER DIANE</v>
      </c>
    </row>
    <row r="27" spans="1:7" x14ac:dyDescent="0.25">
      <c r="A27" s="8">
        <v>42809.213888888888</v>
      </c>
      <c r="B27" s="20" t="s">
        <v>574</v>
      </c>
      <c r="C27" s="20" t="s">
        <v>575</v>
      </c>
      <c r="D27" s="150">
        <v>1290000</v>
      </c>
      <c r="E27" s="20" t="s">
        <v>645</v>
      </c>
      <c r="F27" s="20" t="s">
        <v>646</v>
      </c>
      <c r="G27" s="8" t="str">
        <f t="shared" si="0"/>
        <v>COOLAHAN JOHN</v>
      </c>
    </row>
    <row r="28" spans="1:7" x14ac:dyDescent="0.25">
      <c r="A28" s="8">
        <v>42809.214085648149</v>
      </c>
      <c r="B28" s="20" t="s">
        <v>632</v>
      </c>
      <c r="C28" s="20" t="s">
        <v>649</v>
      </c>
      <c r="D28" s="150">
        <v>1100000</v>
      </c>
      <c r="E28" s="20" t="s">
        <v>634</v>
      </c>
      <c r="F28" s="20" t="s">
        <v>635</v>
      </c>
      <c r="G28" s="8" t="str">
        <f t="shared" si="0"/>
        <v>GEBRETEKLE DAGNEW</v>
      </c>
    </row>
    <row r="29" spans="1:7" x14ac:dyDescent="0.25">
      <c r="A29" s="8">
        <v>42809.214930555558</v>
      </c>
      <c r="B29" s="20" t="s">
        <v>632</v>
      </c>
      <c r="C29" s="20" t="s">
        <v>649</v>
      </c>
      <c r="D29" s="150">
        <v>1100000</v>
      </c>
      <c r="E29" s="20" t="s">
        <v>634</v>
      </c>
      <c r="F29" s="20" t="s">
        <v>635</v>
      </c>
      <c r="G29" s="8" t="str">
        <f t="shared" si="0"/>
        <v>GEBRETEKLE DAGNEW</v>
      </c>
    </row>
    <row r="30" spans="1:7" x14ac:dyDescent="0.25">
      <c r="A30" s="8">
        <v>42809.222418981481</v>
      </c>
      <c r="B30" s="20" t="s">
        <v>221</v>
      </c>
      <c r="C30" s="20" t="s">
        <v>650</v>
      </c>
      <c r="D30" s="150">
        <v>2970000</v>
      </c>
      <c r="E30" s="20" t="s">
        <v>638</v>
      </c>
      <c r="F30" s="20" t="s">
        <v>639</v>
      </c>
      <c r="G30" s="8" t="str">
        <f t="shared" si="0"/>
        <v>GUZMAN DANNY</v>
      </c>
    </row>
    <row r="31" spans="1:7" x14ac:dyDescent="0.25">
      <c r="A31" s="8">
        <v>42809.22625</v>
      </c>
      <c r="B31" s="20" t="s">
        <v>504</v>
      </c>
      <c r="C31" s="20" t="s">
        <v>651</v>
      </c>
      <c r="D31" s="150">
        <v>1360000</v>
      </c>
      <c r="E31" s="20" t="s">
        <v>451</v>
      </c>
      <c r="F31" s="20" t="s">
        <v>452</v>
      </c>
      <c r="G31" s="8" t="str">
        <f t="shared" si="0"/>
        <v>SANTIZO D. EDY</v>
      </c>
    </row>
    <row r="32" spans="1:7" x14ac:dyDescent="0.25">
      <c r="A32" s="8">
        <v>42809.226342592592</v>
      </c>
      <c r="B32" s="20" t="s">
        <v>584</v>
      </c>
      <c r="C32" s="20" t="s">
        <v>652</v>
      </c>
      <c r="D32" s="150">
        <v>1110000</v>
      </c>
      <c r="E32" s="20" t="s">
        <v>500</v>
      </c>
      <c r="F32" s="20" t="s">
        <v>501</v>
      </c>
      <c r="G32" s="8" t="str">
        <f t="shared" si="0"/>
        <v>STARKS ANGELINA</v>
      </c>
    </row>
    <row r="33" spans="1:7" x14ac:dyDescent="0.25">
      <c r="A33" s="8">
        <v>42809.227268518516</v>
      </c>
      <c r="B33" s="20" t="s">
        <v>445</v>
      </c>
      <c r="C33" s="20" t="s">
        <v>653</v>
      </c>
      <c r="D33" s="150">
        <v>2010000</v>
      </c>
      <c r="E33" s="20" t="s">
        <v>455</v>
      </c>
      <c r="F33" s="20" t="s">
        <v>456</v>
      </c>
      <c r="G33" s="8" t="str">
        <f t="shared" si="0"/>
        <v>MAELZER KURT</v>
      </c>
    </row>
    <row r="34" spans="1:7" x14ac:dyDescent="0.25">
      <c r="A34" s="8">
        <v>42809.23883101852</v>
      </c>
      <c r="B34" s="20" t="s">
        <v>580</v>
      </c>
      <c r="C34" s="20" t="s">
        <v>654</v>
      </c>
      <c r="D34" s="150">
        <v>1290000</v>
      </c>
      <c r="E34" s="20" t="s">
        <v>645</v>
      </c>
      <c r="F34" s="20" t="s">
        <v>646</v>
      </c>
      <c r="G34" s="8" t="str">
        <f t="shared" si="0"/>
        <v>COOLAHAN JOHN</v>
      </c>
    </row>
    <row r="35" spans="1:7" x14ac:dyDescent="0.25">
      <c r="A35" s="8">
        <v>42809.243530092594</v>
      </c>
      <c r="B35" s="20" t="s">
        <v>445</v>
      </c>
      <c r="C35" s="20" t="s">
        <v>653</v>
      </c>
      <c r="D35" s="150">
        <v>2010000</v>
      </c>
      <c r="E35" s="20" t="s">
        <v>455</v>
      </c>
      <c r="F35" s="20" t="s">
        <v>456</v>
      </c>
      <c r="G35" s="8" t="str">
        <f t="shared" si="0"/>
        <v>MAELZER KURT</v>
      </c>
    </row>
    <row r="36" spans="1:7" x14ac:dyDescent="0.25">
      <c r="A36" s="8">
        <v>42809.246504629627</v>
      </c>
      <c r="B36" s="20" t="s">
        <v>379</v>
      </c>
      <c r="C36" s="20" t="s">
        <v>655</v>
      </c>
      <c r="D36" s="150">
        <v>900000</v>
      </c>
      <c r="E36" s="20" t="s">
        <v>472</v>
      </c>
      <c r="F36" s="20" t="s">
        <v>473</v>
      </c>
      <c r="G36" s="8" t="str">
        <f t="shared" si="0"/>
        <v>ROCHA YAOTL</v>
      </c>
    </row>
    <row r="37" spans="1:7" x14ac:dyDescent="0.25">
      <c r="A37" s="8">
        <v>42809.246608796297</v>
      </c>
      <c r="B37" s="20" t="s">
        <v>448</v>
      </c>
      <c r="C37" s="20" t="s">
        <v>656</v>
      </c>
      <c r="D37" s="150">
        <v>1100000</v>
      </c>
      <c r="E37" s="20" t="s">
        <v>634</v>
      </c>
      <c r="F37" s="20" t="s">
        <v>635</v>
      </c>
      <c r="G37" s="8" t="str">
        <f t="shared" si="0"/>
        <v>GEBRETEKLE DAGNEW</v>
      </c>
    </row>
    <row r="38" spans="1:7" x14ac:dyDescent="0.25">
      <c r="A38" s="8">
        <v>42809.249664351853</v>
      </c>
      <c r="B38" s="20" t="s">
        <v>424</v>
      </c>
      <c r="C38" s="20" t="s">
        <v>657</v>
      </c>
      <c r="D38" s="150">
        <v>2550000</v>
      </c>
      <c r="E38" s="20" t="s">
        <v>528</v>
      </c>
      <c r="F38" s="20" t="s">
        <v>529</v>
      </c>
      <c r="G38" s="8" t="str">
        <f t="shared" si="0"/>
        <v>BADERTSCHER DIANE</v>
      </c>
    </row>
    <row r="39" spans="1:7" x14ac:dyDescent="0.25">
      <c r="A39" s="8">
        <v>42809.254756944443</v>
      </c>
      <c r="B39" s="20" t="s">
        <v>574</v>
      </c>
      <c r="C39" s="20" t="s">
        <v>658</v>
      </c>
      <c r="D39" s="150">
        <v>1290000</v>
      </c>
      <c r="E39" s="20" t="s">
        <v>645</v>
      </c>
      <c r="F39" s="20" t="s">
        <v>646</v>
      </c>
      <c r="G39" s="8" t="str">
        <f t="shared" si="0"/>
        <v>COOLAHAN JOHN</v>
      </c>
    </row>
    <row r="40" spans="1:7" x14ac:dyDescent="0.25">
      <c r="A40" s="8">
        <v>42809.254756944443</v>
      </c>
      <c r="B40" s="25" t="s">
        <v>587</v>
      </c>
      <c r="C40" s="20" t="s">
        <v>659</v>
      </c>
      <c r="D40" s="150">
        <v>890000</v>
      </c>
      <c r="E40" s="20" t="s">
        <v>502</v>
      </c>
      <c r="F40" s="20" t="s">
        <v>503</v>
      </c>
      <c r="G40" s="8" t="str">
        <f t="shared" si="0"/>
        <v>LOZA FIDEL</v>
      </c>
    </row>
    <row r="41" spans="1:7" x14ac:dyDescent="0.25">
      <c r="A41" s="8">
        <v>42809.258472222224</v>
      </c>
      <c r="B41" s="20" t="s">
        <v>190</v>
      </c>
      <c r="C41" s="20" t="s">
        <v>660</v>
      </c>
      <c r="D41" s="150">
        <v>2970000</v>
      </c>
      <c r="E41" s="20" t="s">
        <v>638</v>
      </c>
      <c r="F41" s="20" t="s">
        <v>639</v>
      </c>
      <c r="G41" s="8" t="str">
        <f t="shared" si="0"/>
        <v>GUZMAN DANNY</v>
      </c>
    </row>
    <row r="42" spans="1:7" x14ac:dyDescent="0.25">
      <c r="A42" s="8">
        <v>42809.264386574076</v>
      </c>
      <c r="B42" s="20" t="s">
        <v>576</v>
      </c>
      <c r="C42" s="20" t="s">
        <v>577</v>
      </c>
      <c r="D42" s="150">
        <v>890000</v>
      </c>
      <c r="E42" s="20" t="s">
        <v>502</v>
      </c>
      <c r="F42" s="20" t="s">
        <v>503</v>
      </c>
      <c r="G42" s="8" t="str">
        <f t="shared" si="0"/>
        <v>LOZA FIDEL</v>
      </c>
    </row>
    <row r="43" spans="1:7" x14ac:dyDescent="0.25">
      <c r="A43" s="8">
        <v>42809.266747685186</v>
      </c>
      <c r="B43" s="20" t="s">
        <v>391</v>
      </c>
      <c r="C43" s="20" t="s">
        <v>661</v>
      </c>
      <c r="D43" s="150">
        <v>1360000</v>
      </c>
      <c r="E43" s="20" t="s">
        <v>451</v>
      </c>
      <c r="F43" s="20" t="s">
        <v>452</v>
      </c>
      <c r="G43" s="8" t="str">
        <f t="shared" si="0"/>
        <v>SANTIZO D. EDY</v>
      </c>
    </row>
    <row r="44" spans="1:7" x14ac:dyDescent="0.25">
      <c r="A44" s="8">
        <v>42809.267210648148</v>
      </c>
      <c r="B44" s="20" t="s">
        <v>591</v>
      </c>
      <c r="C44" s="20" t="s">
        <v>662</v>
      </c>
      <c r="D44" s="150">
        <v>1110000</v>
      </c>
      <c r="E44" s="20" t="s">
        <v>500</v>
      </c>
      <c r="F44" s="20" t="s">
        <v>501</v>
      </c>
      <c r="G44" s="8" t="str">
        <f t="shared" si="0"/>
        <v>STARKS ANGELINA</v>
      </c>
    </row>
    <row r="45" spans="1:7" x14ac:dyDescent="0.25">
      <c r="A45" s="8">
        <v>42809.274513888886</v>
      </c>
      <c r="B45" s="20" t="s">
        <v>446</v>
      </c>
      <c r="C45" s="20" t="s">
        <v>663</v>
      </c>
      <c r="D45" s="150">
        <v>2010000</v>
      </c>
      <c r="E45" s="20" t="s">
        <v>455</v>
      </c>
      <c r="F45" s="20" t="s">
        <v>456</v>
      </c>
      <c r="G45" s="8" t="str">
        <f t="shared" si="0"/>
        <v>MAELZER KURT</v>
      </c>
    </row>
    <row r="46" spans="1:7" x14ac:dyDescent="0.25">
      <c r="A46" s="8">
        <v>42809.277662037035</v>
      </c>
      <c r="B46" s="20" t="s">
        <v>587</v>
      </c>
      <c r="C46" s="20" t="s">
        <v>664</v>
      </c>
      <c r="D46" s="150">
        <v>890000</v>
      </c>
      <c r="E46" s="20" t="s">
        <v>502</v>
      </c>
      <c r="F46" s="20" t="s">
        <v>503</v>
      </c>
      <c r="G46" s="8" t="str">
        <f t="shared" si="0"/>
        <v>LOZA FIDEL</v>
      </c>
    </row>
    <row r="47" spans="1:7" x14ac:dyDescent="0.25">
      <c r="A47" s="8">
        <v>42809.278506944444</v>
      </c>
      <c r="B47" s="20" t="s">
        <v>243</v>
      </c>
      <c r="C47" s="20" t="s">
        <v>578</v>
      </c>
      <c r="D47" s="150">
        <v>900000</v>
      </c>
      <c r="E47" s="20" t="s">
        <v>472</v>
      </c>
      <c r="F47" s="20" t="s">
        <v>473</v>
      </c>
      <c r="G47" s="8" t="str">
        <f t="shared" si="0"/>
        <v>ROCHA YAOTL</v>
      </c>
    </row>
    <row r="48" spans="1:7" x14ac:dyDescent="0.25">
      <c r="A48" s="8">
        <v>42809.281481481485</v>
      </c>
      <c r="B48" s="20" t="s">
        <v>580</v>
      </c>
      <c r="C48" s="20" t="s">
        <v>581</v>
      </c>
      <c r="D48" s="150">
        <v>1290000</v>
      </c>
      <c r="E48" s="20" t="s">
        <v>645</v>
      </c>
      <c r="F48" s="20" t="s">
        <v>646</v>
      </c>
      <c r="G48" s="8" t="str">
        <f t="shared" si="0"/>
        <v>COOLAHAN JOHN</v>
      </c>
    </row>
    <row r="49" spans="1:7" x14ac:dyDescent="0.25">
      <c r="A49" s="8">
        <v>42809.286689814813</v>
      </c>
      <c r="B49" s="20" t="s">
        <v>499</v>
      </c>
      <c r="C49" s="20" t="s">
        <v>665</v>
      </c>
      <c r="D49" s="150">
        <v>1100000</v>
      </c>
      <c r="E49" s="20" t="s">
        <v>634</v>
      </c>
      <c r="F49" s="20" t="s">
        <v>635</v>
      </c>
      <c r="G49" s="8" t="str">
        <f t="shared" si="0"/>
        <v>GEBRETEKLE DAGNEW</v>
      </c>
    </row>
    <row r="50" spans="1:7" x14ac:dyDescent="0.25">
      <c r="A50" s="8">
        <v>42809.287743055553</v>
      </c>
      <c r="B50" s="20" t="s">
        <v>499</v>
      </c>
      <c r="C50" s="20" t="s">
        <v>665</v>
      </c>
      <c r="D50" s="150">
        <v>1100000</v>
      </c>
      <c r="E50" s="20" t="s">
        <v>634</v>
      </c>
      <c r="F50" s="20" t="s">
        <v>635</v>
      </c>
      <c r="G50" s="8" t="str">
        <f t="shared" si="0"/>
        <v>GEBRETEKLE DAGNEW</v>
      </c>
    </row>
    <row r="51" spans="1:7" x14ac:dyDescent="0.25">
      <c r="A51" s="8">
        <v>42809.289930555555</v>
      </c>
      <c r="B51" s="20" t="s">
        <v>426</v>
      </c>
      <c r="C51" s="20" t="s">
        <v>579</v>
      </c>
      <c r="D51" s="150">
        <v>2550000</v>
      </c>
      <c r="E51" s="20" t="s">
        <v>528</v>
      </c>
      <c r="F51" s="20" t="s">
        <v>529</v>
      </c>
      <c r="G51" s="8" t="str">
        <f t="shared" si="0"/>
        <v>BADERTSCHER DIANE</v>
      </c>
    </row>
    <row r="52" spans="1:7" x14ac:dyDescent="0.25">
      <c r="A52" s="8">
        <v>42809.297465277778</v>
      </c>
      <c r="B52" s="20" t="s">
        <v>221</v>
      </c>
      <c r="C52" s="20" t="s">
        <v>583</v>
      </c>
      <c r="D52" s="150">
        <v>2970000</v>
      </c>
      <c r="E52" s="20" t="s">
        <v>638</v>
      </c>
      <c r="F52" s="20" t="s">
        <v>639</v>
      </c>
      <c r="G52" s="8" t="str">
        <f t="shared" si="0"/>
        <v>GUZMAN DANNY</v>
      </c>
    </row>
    <row r="53" spans="1:7" x14ac:dyDescent="0.25">
      <c r="A53" s="8">
        <v>42809.297638888886</v>
      </c>
      <c r="B53" s="20" t="s">
        <v>574</v>
      </c>
      <c r="C53" s="20" t="s">
        <v>582</v>
      </c>
      <c r="D53" s="150">
        <v>1290000</v>
      </c>
      <c r="E53" s="20" t="s">
        <v>645</v>
      </c>
      <c r="F53" s="20" t="s">
        <v>646</v>
      </c>
      <c r="G53" s="8" t="str">
        <f t="shared" si="0"/>
        <v>COOLAHAN JOHN</v>
      </c>
    </row>
    <row r="54" spans="1:7" x14ac:dyDescent="0.25">
      <c r="A54" s="8">
        <v>42809.302118055559</v>
      </c>
      <c r="B54" s="20" t="s">
        <v>504</v>
      </c>
      <c r="C54" s="20" t="s">
        <v>666</v>
      </c>
      <c r="D54" s="150">
        <v>1360000</v>
      </c>
      <c r="E54" s="20" t="s">
        <v>451</v>
      </c>
      <c r="F54" s="20" t="s">
        <v>452</v>
      </c>
      <c r="G54" s="8" t="str">
        <f t="shared" si="0"/>
        <v>SANTIZO D. EDY</v>
      </c>
    </row>
    <row r="55" spans="1:7" x14ac:dyDescent="0.25">
      <c r="A55" s="8">
        <v>42809.305451388886</v>
      </c>
      <c r="B55" s="20" t="s">
        <v>576</v>
      </c>
      <c r="C55" s="20" t="s">
        <v>667</v>
      </c>
      <c r="D55" s="150">
        <v>890000</v>
      </c>
      <c r="E55" s="20" t="s">
        <v>502</v>
      </c>
      <c r="F55" s="20" t="s">
        <v>503</v>
      </c>
      <c r="G55" s="8" t="str">
        <f t="shared" si="0"/>
        <v>LOZA FIDEL</v>
      </c>
    </row>
    <row r="56" spans="1:7" x14ac:dyDescent="0.25">
      <c r="A56" s="8">
        <v>42809.310624999998</v>
      </c>
      <c r="B56" s="20" t="s">
        <v>668</v>
      </c>
      <c r="C56" s="20" t="s">
        <v>669</v>
      </c>
      <c r="D56" s="150">
        <v>1230000</v>
      </c>
      <c r="E56" s="20" t="s">
        <v>474</v>
      </c>
      <c r="F56" s="20" t="s">
        <v>475</v>
      </c>
      <c r="G56" s="8" t="str">
        <f t="shared" si="0"/>
        <v>YANAI IAN</v>
      </c>
    </row>
    <row r="57" spans="1:7" x14ac:dyDescent="0.25">
      <c r="A57" s="8">
        <v>42809.314189814817</v>
      </c>
      <c r="B57" s="20" t="s">
        <v>584</v>
      </c>
      <c r="C57" s="20" t="s">
        <v>585</v>
      </c>
      <c r="D57" s="150">
        <v>1110000</v>
      </c>
      <c r="E57" s="20" t="s">
        <v>500</v>
      </c>
      <c r="F57" s="20" t="s">
        <v>501</v>
      </c>
      <c r="G57" s="8" t="str">
        <f t="shared" si="0"/>
        <v>STARKS ANGELINA</v>
      </c>
    </row>
    <row r="58" spans="1:7" x14ac:dyDescent="0.25">
      <c r="A58" s="8">
        <v>42809.315706018519</v>
      </c>
      <c r="B58" s="20" t="s">
        <v>584</v>
      </c>
      <c r="C58" s="20" t="s">
        <v>585</v>
      </c>
      <c r="D58" s="150">
        <v>1110000</v>
      </c>
      <c r="E58" s="20" t="s">
        <v>500</v>
      </c>
      <c r="F58" s="20" t="s">
        <v>501</v>
      </c>
      <c r="G58" s="8" t="str">
        <f t="shared" si="0"/>
        <v>STARKS ANGELINA</v>
      </c>
    </row>
    <row r="59" spans="1:7" x14ac:dyDescent="0.25">
      <c r="A59" s="8">
        <v>42809.316990740743</v>
      </c>
      <c r="B59" s="20" t="s">
        <v>445</v>
      </c>
      <c r="C59" s="20" t="s">
        <v>670</v>
      </c>
      <c r="D59" s="150">
        <v>2010000</v>
      </c>
      <c r="E59" s="20" t="s">
        <v>455</v>
      </c>
      <c r="F59" s="20" t="s">
        <v>456</v>
      </c>
      <c r="G59" s="8" t="str">
        <f t="shared" si="0"/>
        <v>MAELZER KURT</v>
      </c>
    </row>
    <row r="60" spans="1:7" x14ac:dyDescent="0.25">
      <c r="A60" s="8">
        <v>42809.318379629629</v>
      </c>
      <c r="B60" s="20" t="s">
        <v>587</v>
      </c>
      <c r="C60" s="20" t="s">
        <v>671</v>
      </c>
      <c r="D60" s="150">
        <v>890000</v>
      </c>
      <c r="E60" s="20" t="s">
        <v>502</v>
      </c>
      <c r="F60" s="20" t="s">
        <v>503</v>
      </c>
      <c r="G60" s="8" t="str">
        <f t="shared" si="0"/>
        <v>LOZA FIDEL</v>
      </c>
    </row>
    <row r="61" spans="1:7" x14ac:dyDescent="0.25">
      <c r="A61" s="8">
        <v>42809.318460648145</v>
      </c>
      <c r="B61" s="20" t="s">
        <v>379</v>
      </c>
      <c r="C61" s="20" t="s">
        <v>672</v>
      </c>
      <c r="D61" s="150">
        <v>900000</v>
      </c>
      <c r="E61" s="20" t="s">
        <v>472</v>
      </c>
      <c r="F61" s="20" t="s">
        <v>473</v>
      </c>
      <c r="G61" s="8" t="str">
        <f t="shared" si="0"/>
        <v>ROCHA YAOTL</v>
      </c>
    </row>
    <row r="62" spans="1:7" x14ac:dyDescent="0.25">
      <c r="A62" s="8">
        <v>42809.322777777779</v>
      </c>
      <c r="B62" s="20" t="s">
        <v>580</v>
      </c>
      <c r="C62" s="20" t="s">
        <v>673</v>
      </c>
      <c r="D62" s="150">
        <v>1290000</v>
      </c>
      <c r="E62" s="20" t="s">
        <v>645</v>
      </c>
      <c r="F62" s="20" t="s">
        <v>646</v>
      </c>
      <c r="G62" s="8" t="str">
        <f t="shared" si="0"/>
        <v>COOLAHAN JOHN</v>
      </c>
    </row>
    <row r="63" spans="1:7" x14ac:dyDescent="0.25">
      <c r="A63" s="8">
        <v>42809.325509259259</v>
      </c>
      <c r="B63" s="20" t="s">
        <v>448</v>
      </c>
      <c r="C63" s="20" t="s">
        <v>674</v>
      </c>
      <c r="D63" s="150">
        <v>1100000</v>
      </c>
      <c r="E63" s="20" t="s">
        <v>634</v>
      </c>
      <c r="F63" s="20" t="s">
        <v>635</v>
      </c>
      <c r="G63" s="8" t="str">
        <f t="shared" si="0"/>
        <v>GEBRETEKLE DAGNEW</v>
      </c>
    </row>
    <row r="64" spans="1:7" x14ac:dyDescent="0.25">
      <c r="A64" s="26">
        <v>42809.334618055553</v>
      </c>
      <c r="B64" s="20" t="s">
        <v>190</v>
      </c>
      <c r="C64" s="20" t="s">
        <v>589</v>
      </c>
      <c r="D64" s="150">
        <v>2970000</v>
      </c>
      <c r="E64" s="20" t="s">
        <v>638</v>
      </c>
      <c r="F64" s="20" t="s">
        <v>639</v>
      </c>
      <c r="G64" s="8" t="str">
        <f t="shared" si="0"/>
        <v>GUZMAN DANNY</v>
      </c>
    </row>
    <row r="65" spans="1:7" x14ac:dyDescent="0.25">
      <c r="A65" s="8">
        <v>42809.337384259263</v>
      </c>
      <c r="B65" s="20" t="s">
        <v>574</v>
      </c>
      <c r="C65" s="20" t="s">
        <v>675</v>
      </c>
      <c r="D65" s="150">
        <v>1290000</v>
      </c>
      <c r="E65" s="20" t="s">
        <v>645</v>
      </c>
      <c r="F65" s="20" t="s">
        <v>646</v>
      </c>
      <c r="G65" s="8" t="str">
        <f t="shared" si="0"/>
        <v>COOLAHAN JOHN</v>
      </c>
    </row>
    <row r="66" spans="1:7" x14ac:dyDescent="0.25">
      <c r="A66" s="8">
        <v>42809.33966435185</v>
      </c>
      <c r="B66" s="20" t="s">
        <v>632</v>
      </c>
      <c r="C66" s="20" t="s">
        <v>676</v>
      </c>
      <c r="D66" s="150">
        <v>1230000</v>
      </c>
      <c r="E66" s="20" t="s">
        <v>474</v>
      </c>
      <c r="F66" s="20" t="s">
        <v>475</v>
      </c>
      <c r="G66" s="8" t="str">
        <f t="shared" si="0"/>
        <v>YANAI IAN</v>
      </c>
    </row>
    <row r="67" spans="1:7" x14ac:dyDescent="0.25">
      <c r="A67" s="8">
        <v>42809.341435185182</v>
      </c>
      <c r="B67" s="20" t="s">
        <v>391</v>
      </c>
      <c r="C67" s="20" t="s">
        <v>677</v>
      </c>
      <c r="D67" s="150">
        <v>1360000</v>
      </c>
      <c r="E67" s="20" t="s">
        <v>451</v>
      </c>
      <c r="F67" s="20" t="s">
        <v>452</v>
      </c>
      <c r="G67" s="8" t="str">
        <f t="shared" ref="G67:G130" si="1">E67&amp;" "&amp;F67</f>
        <v>SANTIZO D. EDY</v>
      </c>
    </row>
    <row r="68" spans="1:7" x14ac:dyDescent="0.25">
      <c r="A68" s="8">
        <v>42809.347754629627</v>
      </c>
      <c r="B68" s="20" t="s">
        <v>576</v>
      </c>
      <c r="C68" s="20" t="s">
        <v>586</v>
      </c>
      <c r="D68" s="150">
        <v>3040000</v>
      </c>
      <c r="E68" s="20" t="s">
        <v>678</v>
      </c>
      <c r="F68" s="20" t="s">
        <v>679</v>
      </c>
      <c r="G68" s="8" t="str">
        <f t="shared" si="1"/>
        <v>WILLIAMS DONTE</v>
      </c>
    </row>
    <row r="69" spans="1:7" x14ac:dyDescent="0.25">
      <c r="A69" s="8">
        <v>42809.350543981483</v>
      </c>
      <c r="B69" s="20" t="s">
        <v>591</v>
      </c>
      <c r="C69" s="20" t="s">
        <v>680</v>
      </c>
      <c r="D69" s="150">
        <v>1110000</v>
      </c>
      <c r="E69" s="20" t="s">
        <v>500</v>
      </c>
      <c r="F69" s="20" t="s">
        <v>501</v>
      </c>
      <c r="G69" s="8" t="str">
        <f t="shared" si="1"/>
        <v>STARKS ANGELINA</v>
      </c>
    </row>
    <row r="70" spans="1:7" x14ac:dyDescent="0.25">
      <c r="A70" s="8">
        <v>42809.354097222225</v>
      </c>
      <c r="B70" s="20" t="s">
        <v>580</v>
      </c>
      <c r="C70" s="20" t="s">
        <v>681</v>
      </c>
      <c r="D70" s="150">
        <v>1290000</v>
      </c>
      <c r="E70" s="20" t="s">
        <v>645</v>
      </c>
      <c r="F70" s="20" t="s">
        <v>646</v>
      </c>
      <c r="G70" s="8" t="str">
        <f t="shared" si="1"/>
        <v>COOLAHAN JOHN</v>
      </c>
    </row>
    <row r="71" spans="1:7" x14ac:dyDescent="0.25">
      <c r="A71" s="8">
        <v>42809.357060185182</v>
      </c>
      <c r="B71" s="20" t="s">
        <v>446</v>
      </c>
      <c r="C71" s="20" t="s">
        <v>682</v>
      </c>
      <c r="D71" s="150">
        <v>2010000</v>
      </c>
      <c r="E71" s="20" t="s">
        <v>455</v>
      </c>
      <c r="F71" s="20" t="s">
        <v>456</v>
      </c>
      <c r="G71" s="8" t="str">
        <f t="shared" si="1"/>
        <v>MAELZER KURT</v>
      </c>
    </row>
    <row r="72" spans="1:7" x14ac:dyDescent="0.25">
      <c r="A72" s="8">
        <v>42809.36273148148</v>
      </c>
      <c r="B72" s="20" t="s">
        <v>499</v>
      </c>
      <c r="C72" s="20" t="s">
        <v>683</v>
      </c>
      <c r="D72" s="150">
        <v>1100000</v>
      </c>
      <c r="E72" s="20" t="s">
        <v>634</v>
      </c>
      <c r="F72" s="20" t="s">
        <v>635</v>
      </c>
      <c r="G72" s="8" t="str">
        <f t="shared" si="1"/>
        <v>GEBRETEKLE DAGNEW</v>
      </c>
    </row>
    <row r="73" spans="1:7" x14ac:dyDescent="0.25">
      <c r="A73" s="8">
        <v>42809.362870370373</v>
      </c>
      <c r="B73" s="20" t="s">
        <v>587</v>
      </c>
      <c r="C73" s="20" t="s">
        <v>588</v>
      </c>
      <c r="D73" s="150">
        <v>3040000</v>
      </c>
      <c r="E73" s="20" t="s">
        <v>678</v>
      </c>
      <c r="F73" s="20" t="s">
        <v>679</v>
      </c>
      <c r="G73" s="8" t="str">
        <f t="shared" si="1"/>
        <v>WILLIAMS DONTE</v>
      </c>
    </row>
    <row r="74" spans="1:7" x14ac:dyDescent="0.25">
      <c r="A74" s="8">
        <v>42809.364247685182</v>
      </c>
      <c r="B74" s="20" t="s">
        <v>243</v>
      </c>
      <c r="C74" s="20" t="s">
        <v>684</v>
      </c>
      <c r="D74" s="150">
        <v>900000</v>
      </c>
      <c r="E74" s="20" t="s">
        <v>472</v>
      </c>
      <c r="F74" s="20" t="s">
        <v>473</v>
      </c>
      <c r="G74" s="8" t="str">
        <f t="shared" si="1"/>
        <v>ROCHA YAOTL</v>
      </c>
    </row>
    <row r="75" spans="1:7" x14ac:dyDescent="0.25">
      <c r="A75" s="8">
        <v>42809.376597222225</v>
      </c>
      <c r="B75" s="20" t="s">
        <v>668</v>
      </c>
      <c r="C75" s="20" t="s">
        <v>685</v>
      </c>
      <c r="D75" s="150">
        <v>2550000</v>
      </c>
      <c r="E75" s="20" t="s">
        <v>528</v>
      </c>
      <c r="F75" s="20" t="s">
        <v>529</v>
      </c>
      <c r="G75" s="8" t="str">
        <f t="shared" si="1"/>
        <v>BADERTSCHER DIANE</v>
      </c>
    </row>
    <row r="76" spans="1:7" x14ac:dyDescent="0.25">
      <c r="A76" s="8">
        <v>42809.379062499997</v>
      </c>
      <c r="B76" s="20" t="s">
        <v>221</v>
      </c>
      <c r="C76" s="20" t="s">
        <v>686</v>
      </c>
      <c r="D76" s="150">
        <v>2970000</v>
      </c>
      <c r="E76" s="20" t="s">
        <v>638</v>
      </c>
      <c r="F76" s="20" t="s">
        <v>639</v>
      </c>
      <c r="G76" s="8" t="str">
        <f t="shared" si="1"/>
        <v>GUZMAN DANNY</v>
      </c>
    </row>
    <row r="77" spans="1:7" x14ac:dyDescent="0.25">
      <c r="A77" s="8">
        <v>42809.38108796296</v>
      </c>
      <c r="B77" s="20" t="s">
        <v>576</v>
      </c>
      <c r="C77" s="20" t="s">
        <v>687</v>
      </c>
      <c r="D77" s="150">
        <v>3040000</v>
      </c>
      <c r="E77" s="20" t="s">
        <v>678</v>
      </c>
      <c r="F77" s="20" t="s">
        <v>679</v>
      </c>
      <c r="G77" s="8" t="str">
        <f t="shared" si="1"/>
        <v>WILLIAMS DONTE</v>
      </c>
    </row>
    <row r="78" spans="1:7" x14ac:dyDescent="0.25">
      <c r="A78" s="8">
        <v>42809.381423611114</v>
      </c>
      <c r="B78" s="20" t="s">
        <v>504</v>
      </c>
      <c r="C78" s="20" t="s">
        <v>688</v>
      </c>
      <c r="D78" s="150">
        <v>1360000</v>
      </c>
      <c r="E78" s="20" t="s">
        <v>451</v>
      </c>
      <c r="F78" s="20" t="s">
        <v>452</v>
      </c>
      <c r="G78" s="8" t="str">
        <f t="shared" si="1"/>
        <v>SANTIZO D. EDY</v>
      </c>
    </row>
    <row r="79" spans="1:7" x14ac:dyDescent="0.25">
      <c r="A79" s="8">
        <v>42809.382245370369</v>
      </c>
      <c r="B79" s="20" t="s">
        <v>584</v>
      </c>
      <c r="C79" s="20" t="s">
        <v>689</v>
      </c>
      <c r="D79" s="150">
        <v>1110000</v>
      </c>
      <c r="E79" s="20" t="s">
        <v>500</v>
      </c>
      <c r="F79" s="20" t="s">
        <v>501</v>
      </c>
      <c r="G79" s="8" t="str">
        <f t="shared" si="1"/>
        <v>STARKS ANGELINA</v>
      </c>
    </row>
    <row r="80" spans="1:7" x14ac:dyDescent="0.25">
      <c r="A80" s="8">
        <v>42809.383159722223</v>
      </c>
      <c r="B80" s="20" t="s">
        <v>504</v>
      </c>
      <c r="C80" s="20" t="s">
        <v>688</v>
      </c>
      <c r="D80" s="150">
        <v>1360000</v>
      </c>
      <c r="E80" s="20" t="s">
        <v>451</v>
      </c>
      <c r="F80" s="20" t="s">
        <v>452</v>
      </c>
      <c r="G80" s="8" t="str">
        <f t="shared" si="1"/>
        <v>SANTIZO D. EDY</v>
      </c>
    </row>
    <row r="81" spans="1:7" x14ac:dyDescent="0.25">
      <c r="A81" s="8">
        <v>42809.39298611111</v>
      </c>
      <c r="B81" s="20" t="s">
        <v>445</v>
      </c>
      <c r="C81" s="20" t="s">
        <v>690</v>
      </c>
      <c r="D81" s="150">
        <v>2010000</v>
      </c>
      <c r="E81" s="20" t="s">
        <v>455</v>
      </c>
      <c r="F81" s="20" t="s">
        <v>456</v>
      </c>
      <c r="G81" s="8" t="str">
        <f t="shared" si="1"/>
        <v>MAELZER KURT</v>
      </c>
    </row>
    <row r="82" spans="1:7" x14ac:dyDescent="0.25">
      <c r="A82" s="8">
        <v>42809.401712962965</v>
      </c>
      <c r="B82" s="20" t="s">
        <v>448</v>
      </c>
      <c r="C82" s="20" t="s">
        <v>691</v>
      </c>
      <c r="D82" s="150">
        <v>1100000</v>
      </c>
      <c r="E82" s="20" t="s">
        <v>634</v>
      </c>
      <c r="F82" s="20" t="s">
        <v>635</v>
      </c>
      <c r="G82" s="8" t="str">
        <f t="shared" si="1"/>
        <v>GEBRETEKLE DAGNEW</v>
      </c>
    </row>
    <row r="83" spans="1:7" x14ac:dyDescent="0.25">
      <c r="A83" s="8">
        <v>42809.402488425927</v>
      </c>
      <c r="B83" s="20" t="s">
        <v>379</v>
      </c>
      <c r="C83" s="20" t="s">
        <v>692</v>
      </c>
      <c r="D83" s="150">
        <v>900000</v>
      </c>
      <c r="E83" s="20" t="s">
        <v>472</v>
      </c>
      <c r="F83" s="20" t="s">
        <v>473</v>
      </c>
      <c r="G83" s="8" t="str">
        <f t="shared" si="1"/>
        <v>ROCHA YAOTL</v>
      </c>
    </row>
    <row r="84" spans="1:7" x14ac:dyDescent="0.25">
      <c r="A84" s="8">
        <v>42809.403703703705</v>
      </c>
      <c r="B84" s="20" t="s">
        <v>379</v>
      </c>
      <c r="C84" s="20" t="s">
        <v>692</v>
      </c>
      <c r="D84" s="150">
        <v>900000</v>
      </c>
      <c r="E84" s="20" t="s">
        <v>472</v>
      </c>
      <c r="F84" s="20" t="s">
        <v>473</v>
      </c>
      <c r="G84" s="8" t="str">
        <f t="shared" si="1"/>
        <v>ROCHA YAOTL</v>
      </c>
    </row>
    <row r="85" spans="1:7" x14ac:dyDescent="0.25">
      <c r="A85" s="8">
        <v>42809.4059375</v>
      </c>
      <c r="B85" s="20" t="s">
        <v>587</v>
      </c>
      <c r="C85" s="20" t="s">
        <v>693</v>
      </c>
      <c r="D85" s="150">
        <v>3040000</v>
      </c>
      <c r="E85" s="20" t="s">
        <v>678</v>
      </c>
      <c r="F85" s="20" t="s">
        <v>679</v>
      </c>
      <c r="G85" s="8" t="str">
        <f t="shared" si="1"/>
        <v>WILLIAMS DONTE</v>
      </c>
    </row>
    <row r="86" spans="1:7" x14ac:dyDescent="0.25">
      <c r="A86" s="8">
        <v>42809.410891203705</v>
      </c>
      <c r="B86" s="20" t="s">
        <v>632</v>
      </c>
      <c r="C86" s="20" t="s">
        <v>694</v>
      </c>
      <c r="D86" s="150">
        <v>2550000</v>
      </c>
      <c r="E86" s="20" t="s">
        <v>528</v>
      </c>
      <c r="F86" s="20" t="s">
        <v>529</v>
      </c>
      <c r="G86" s="8" t="str">
        <f t="shared" si="1"/>
        <v>BADERTSCHER DIANE</v>
      </c>
    </row>
    <row r="87" spans="1:7" x14ac:dyDescent="0.25">
      <c r="A87" s="8">
        <v>42809.414363425924</v>
      </c>
      <c r="B87" s="20" t="s">
        <v>591</v>
      </c>
      <c r="C87" s="20" t="s">
        <v>592</v>
      </c>
      <c r="D87" s="150">
        <v>1110000</v>
      </c>
      <c r="E87" s="20" t="s">
        <v>500</v>
      </c>
      <c r="F87" s="20" t="s">
        <v>501</v>
      </c>
      <c r="G87" s="8" t="str">
        <f t="shared" si="1"/>
        <v>STARKS ANGELINA</v>
      </c>
    </row>
    <row r="88" spans="1:7" x14ac:dyDescent="0.25">
      <c r="A88" s="8">
        <v>42809.414525462962</v>
      </c>
      <c r="B88" s="20" t="s">
        <v>190</v>
      </c>
      <c r="C88" s="20" t="s">
        <v>695</v>
      </c>
      <c r="D88" s="150">
        <v>2970000</v>
      </c>
      <c r="E88" s="20" t="s">
        <v>638</v>
      </c>
      <c r="F88" s="20" t="s">
        <v>639</v>
      </c>
      <c r="G88" s="8" t="str">
        <f t="shared" si="1"/>
        <v>GUZMAN DANNY</v>
      </c>
    </row>
    <row r="89" spans="1:7" x14ac:dyDescent="0.25">
      <c r="A89" s="8">
        <v>42809.425173611111</v>
      </c>
      <c r="B89" s="20" t="s">
        <v>391</v>
      </c>
      <c r="C89" s="20" t="s">
        <v>590</v>
      </c>
      <c r="D89" s="150">
        <v>1360000</v>
      </c>
      <c r="E89" s="20" t="s">
        <v>451</v>
      </c>
      <c r="F89" s="20" t="s">
        <v>452</v>
      </c>
      <c r="G89" s="8" t="str">
        <f t="shared" si="1"/>
        <v>SANTIZO D. EDY</v>
      </c>
    </row>
    <row r="90" spans="1:7" x14ac:dyDescent="0.25">
      <c r="A90" s="8">
        <v>42809.426932870374</v>
      </c>
      <c r="B90" s="20" t="s">
        <v>446</v>
      </c>
      <c r="C90" s="20" t="s">
        <v>696</v>
      </c>
      <c r="D90" s="150">
        <v>2010000</v>
      </c>
      <c r="E90" s="20" t="s">
        <v>455</v>
      </c>
      <c r="F90" s="20" t="s">
        <v>456</v>
      </c>
      <c r="G90" s="8" t="str">
        <f t="shared" si="1"/>
        <v>MAELZER KURT</v>
      </c>
    </row>
    <row r="91" spans="1:7" x14ac:dyDescent="0.25">
      <c r="A91" s="8">
        <v>42809.428842592592</v>
      </c>
      <c r="B91" s="20" t="s">
        <v>495</v>
      </c>
      <c r="C91" s="20" t="s">
        <v>594</v>
      </c>
      <c r="D91" s="150">
        <v>1760000</v>
      </c>
      <c r="E91" s="20" t="s">
        <v>507</v>
      </c>
      <c r="F91" s="20" t="s">
        <v>508</v>
      </c>
      <c r="G91" s="8" t="str">
        <f t="shared" si="1"/>
        <v>STRICKLAND EVAN</v>
      </c>
    </row>
    <row r="92" spans="1:7" x14ac:dyDescent="0.25">
      <c r="A92" s="8">
        <v>42809.430613425924</v>
      </c>
      <c r="B92" s="20" t="s">
        <v>576</v>
      </c>
      <c r="C92" s="20" t="s">
        <v>697</v>
      </c>
      <c r="D92" s="150">
        <v>890000</v>
      </c>
      <c r="E92" s="20" t="s">
        <v>502</v>
      </c>
      <c r="F92" s="20" t="s">
        <v>503</v>
      </c>
      <c r="G92" s="8" t="str">
        <f t="shared" si="1"/>
        <v>LOZA FIDEL</v>
      </c>
    </row>
    <row r="93" spans="1:7" x14ac:dyDescent="0.25">
      <c r="A93" s="8">
        <v>42809.432627314818</v>
      </c>
      <c r="B93" s="20" t="s">
        <v>495</v>
      </c>
      <c r="C93" s="20" t="s">
        <v>594</v>
      </c>
      <c r="D93" s="150">
        <v>1760000</v>
      </c>
      <c r="E93" s="20" t="s">
        <v>507</v>
      </c>
      <c r="F93" s="20" t="s">
        <v>508</v>
      </c>
      <c r="G93" s="8" t="str">
        <f t="shared" si="1"/>
        <v>STRICKLAND EVAN</v>
      </c>
    </row>
    <row r="94" spans="1:7" x14ac:dyDescent="0.25">
      <c r="A94" s="8">
        <v>42809.433333333334</v>
      </c>
      <c r="B94" s="20" t="s">
        <v>495</v>
      </c>
      <c r="C94" s="20" t="s">
        <v>594</v>
      </c>
      <c r="D94" s="150">
        <v>1760000</v>
      </c>
      <c r="E94" s="20" t="s">
        <v>507</v>
      </c>
      <c r="F94" s="20" t="s">
        <v>508</v>
      </c>
      <c r="G94" s="8" t="str">
        <f t="shared" si="1"/>
        <v>STRICKLAND EVAN</v>
      </c>
    </row>
    <row r="95" spans="1:7" x14ac:dyDescent="0.25">
      <c r="A95" s="8">
        <v>42809.434594907405</v>
      </c>
      <c r="B95" s="20" t="s">
        <v>495</v>
      </c>
      <c r="C95" s="20" t="s">
        <v>594</v>
      </c>
      <c r="D95" s="150">
        <v>1760000</v>
      </c>
      <c r="E95" s="20" t="s">
        <v>507</v>
      </c>
      <c r="F95" s="20" t="s">
        <v>508</v>
      </c>
      <c r="G95" s="8" t="str">
        <f t="shared" si="1"/>
        <v>STRICKLAND EVAN</v>
      </c>
    </row>
    <row r="96" spans="1:7" x14ac:dyDescent="0.25">
      <c r="A96" s="8">
        <v>42809.435555555552</v>
      </c>
      <c r="B96" s="20" t="s">
        <v>243</v>
      </c>
      <c r="C96" s="20" t="s">
        <v>593</v>
      </c>
      <c r="D96" s="150">
        <v>900000</v>
      </c>
      <c r="E96" s="20" t="s">
        <v>472</v>
      </c>
      <c r="F96" s="20" t="s">
        <v>473</v>
      </c>
      <c r="G96" s="8" t="str">
        <f t="shared" si="1"/>
        <v>ROCHA YAOTL</v>
      </c>
    </row>
    <row r="97" spans="1:7" x14ac:dyDescent="0.25">
      <c r="A97" s="8">
        <v>42809.441365740742</v>
      </c>
      <c r="B97" s="20" t="s">
        <v>499</v>
      </c>
      <c r="C97" s="20" t="s">
        <v>698</v>
      </c>
      <c r="D97" s="150">
        <v>1100000</v>
      </c>
      <c r="E97" s="20" t="s">
        <v>634</v>
      </c>
      <c r="F97" s="20" t="s">
        <v>635</v>
      </c>
      <c r="G97" s="8" t="str">
        <f t="shared" si="1"/>
        <v>GEBRETEKLE DAGNEW</v>
      </c>
    </row>
    <row r="98" spans="1:7" x14ac:dyDescent="0.25">
      <c r="A98" s="8">
        <v>42809.442245370374</v>
      </c>
      <c r="B98" s="20" t="s">
        <v>587</v>
      </c>
      <c r="C98" s="20" t="s">
        <v>699</v>
      </c>
      <c r="D98" s="150">
        <v>890000</v>
      </c>
      <c r="E98" s="20" t="s">
        <v>502</v>
      </c>
      <c r="F98" s="20" t="s">
        <v>503</v>
      </c>
      <c r="G98" s="8" t="str">
        <f t="shared" si="1"/>
        <v>LOZA FIDEL</v>
      </c>
    </row>
    <row r="99" spans="1:7" x14ac:dyDescent="0.25">
      <c r="A99" s="8">
        <v>42809.445868055554</v>
      </c>
      <c r="B99" s="20" t="s">
        <v>668</v>
      </c>
      <c r="C99" s="20" t="s">
        <v>700</v>
      </c>
      <c r="D99" s="150">
        <v>1340000</v>
      </c>
      <c r="E99" s="20" t="s">
        <v>505</v>
      </c>
      <c r="F99" s="20" t="s">
        <v>506</v>
      </c>
      <c r="G99" s="8" t="str">
        <f t="shared" si="1"/>
        <v>BEAM ROSS</v>
      </c>
    </row>
    <row r="100" spans="1:7" x14ac:dyDescent="0.25">
      <c r="A100" s="8">
        <v>42809.450856481482</v>
      </c>
      <c r="B100" s="20" t="s">
        <v>221</v>
      </c>
      <c r="C100" s="20" t="s">
        <v>701</v>
      </c>
      <c r="D100" s="150">
        <v>2970000</v>
      </c>
      <c r="E100" s="20" t="s">
        <v>638</v>
      </c>
      <c r="F100" s="20" t="s">
        <v>639</v>
      </c>
      <c r="G100" s="8" t="str">
        <f t="shared" si="1"/>
        <v>GUZMAN DANNY</v>
      </c>
    </row>
    <row r="101" spans="1:7" x14ac:dyDescent="0.25">
      <c r="A101" s="8">
        <v>42809.452592592592</v>
      </c>
      <c r="B101" s="20" t="s">
        <v>496</v>
      </c>
      <c r="C101" s="20" t="s">
        <v>595</v>
      </c>
      <c r="D101" s="150">
        <v>1760000</v>
      </c>
      <c r="E101" s="20" t="s">
        <v>507</v>
      </c>
      <c r="F101" s="20" t="s">
        <v>508</v>
      </c>
      <c r="G101" s="8" t="str">
        <f t="shared" si="1"/>
        <v>STRICKLAND EVAN</v>
      </c>
    </row>
    <row r="102" spans="1:7" x14ac:dyDescent="0.25">
      <c r="A102" s="8">
        <v>42809.456250000003</v>
      </c>
      <c r="B102" s="20" t="s">
        <v>504</v>
      </c>
      <c r="C102" s="20" t="s">
        <v>596</v>
      </c>
      <c r="D102" s="150">
        <v>1360000</v>
      </c>
      <c r="E102" s="20" t="s">
        <v>451</v>
      </c>
      <c r="F102" s="20" t="s">
        <v>452</v>
      </c>
      <c r="G102" s="8" t="str">
        <f t="shared" si="1"/>
        <v>SANTIZO D. EDY</v>
      </c>
    </row>
    <row r="103" spans="1:7" x14ac:dyDescent="0.25">
      <c r="A103" s="8">
        <v>42809.457233796296</v>
      </c>
      <c r="B103" s="20" t="s">
        <v>584</v>
      </c>
      <c r="C103" s="20" t="s">
        <v>702</v>
      </c>
      <c r="D103" s="150">
        <v>930000</v>
      </c>
      <c r="E103" s="20" t="s">
        <v>476</v>
      </c>
      <c r="F103" s="20" t="s">
        <v>477</v>
      </c>
      <c r="G103" s="8" t="str">
        <f t="shared" si="1"/>
        <v>CLARK KATHLEEN</v>
      </c>
    </row>
    <row r="104" spans="1:7" x14ac:dyDescent="0.25">
      <c r="A104" s="8">
        <v>42809.465775462966</v>
      </c>
      <c r="B104" s="20" t="s">
        <v>445</v>
      </c>
      <c r="C104" s="20" t="s">
        <v>703</v>
      </c>
      <c r="D104" s="150">
        <v>920000</v>
      </c>
      <c r="E104" s="20" t="s">
        <v>454</v>
      </c>
      <c r="F104" s="20" t="s">
        <v>199</v>
      </c>
      <c r="G104" s="8" t="str">
        <f t="shared" si="1"/>
        <v>DAVIS MICHAEL</v>
      </c>
    </row>
    <row r="105" spans="1:7" x14ac:dyDescent="0.25">
      <c r="A105" s="8">
        <v>42809.469259259262</v>
      </c>
      <c r="B105" s="20" t="s">
        <v>576</v>
      </c>
      <c r="C105" s="20" t="s">
        <v>704</v>
      </c>
      <c r="D105" s="150">
        <v>3040000</v>
      </c>
      <c r="E105" s="20" t="s">
        <v>678</v>
      </c>
      <c r="F105" s="20" t="s">
        <v>679</v>
      </c>
      <c r="G105" s="8" t="str">
        <f t="shared" si="1"/>
        <v>WILLIAMS DONTE</v>
      </c>
    </row>
    <row r="106" spans="1:7" x14ac:dyDescent="0.25">
      <c r="A106" s="8">
        <v>42809.475451388891</v>
      </c>
      <c r="B106" s="20" t="s">
        <v>379</v>
      </c>
      <c r="C106" s="20" t="s">
        <v>705</v>
      </c>
      <c r="D106" s="150">
        <v>900000</v>
      </c>
      <c r="E106" s="20" t="s">
        <v>472</v>
      </c>
      <c r="F106" s="20" t="s">
        <v>473</v>
      </c>
      <c r="G106" s="8" t="str">
        <f t="shared" si="1"/>
        <v>ROCHA YAOTL</v>
      </c>
    </row>
    <row r="107" spans="1:7" x14ac:dyDescent="0.25">
      <c r="A107" s="8">
        <v>42809.479351851849</v>
      </c>
      <c r="B107" s="20" t="s">
        <v>448</v>
      </c>
      <c r="C107" s="20" t="s">
        <v>706</v>
      </c>
      <c r="D107" s="150">
        <v>1180000</v>
      </c>
      <c r="E107" s="20" t="s">
        <v>478</v>
      </c>
      <c r="F107" s="20" t="s">
        <v>479</v>
      </c>
      <c r="G107" s="8" t="str">
        <f t="shared" si="1"/>
        <v>LEVERE CRAIG</v>
      </c>
    </row>
    <row r="108" spans="1:7" x14ac:dyDescent="0.25">
      <c r="A108" s="8">
        <v>42809.48605324074</v>
      </c>
      <c r="B108" s="20" t="s">
        <v>632</v>
      </c>
      <c r="C108" s="20" t="s">
        <v>707</v>
      </c>
      <c r="D108" s="150">
        <v>1340000</v>
      </c>
      <c r="E108" s="20" t="s">
        <v>505</v>
      </c>
      <c r="F108" s="20" t="s">
        <v>506</v>
      </c>
      <c r="G108" s="8" t="str">
        <f t="shared" si="1"/>
        <v>BEAM ROSS</v>
      </c>
    </row>
    <row r="109" spans="1:7" x14ac:dyDescent="0.25">
      <c r="A109" s="8">
        <v>42809.48641203704</v>
      </c>
      <c r="B109" s="20" t="s">
        <v>587</v>
      </c>
      <c r="C109" s="20" t="s">
        <v>708</v>
      </c>
      <c r="D109" s="150">
        <v>3040000</v>
      </c>
      <c r="E109" s="20" t="s">
        <v>678</v>
      </c>
      <c r="F109" s="20" t="s">
        <v>679</v>
      </c>
      <c r="G109" s="8" t="str">
        <f t="shared" si="1"/>
        <v>WILLIAMS DONTE</v>
      </c>
    </row>
    <row r="110" spans="1:7" x14ac:dyDescent="0.25">
      <c r="A110" s="8">
        <v>42809.48678240741</v>
      </c>
      <c r="B110" s="20" t="s">
        <v>190</v>
      </c>
      <c r="C110" s="20" t="s">
        <v>709</v>
      </c>
      <c r="D110" s="150">
        <v>1540000</v>
      </c>
      <c r="E110" s="20" t="s">
        <v>710</v>
      </c>
      <c r="F110" s="20" t="s">
        <v>711</v>
      </c>
      <c r="G110" s="8" t="str">
        <f t="shared" si="1"/>
        <v>HELVIE ADAM</v>
      </c>
    </row>
    <row r="111" spans="1:7" x14ac:dyDescent="0.25">
      <c r="A111" s="8">
        <v>42809.487523148149</v>
      </c>
      <c r="B111" s="20" t="s">
        <v>504</v>
      </c>
      <c r="C111" s="20" t="s">
        <v>596</v>
      </c>
      <c r="D111" s="150">
        <v>1360000</v>
      </c>
      <c r="E111" s="20" t="s">
        <v>451</v>
      </c>
      <c r="F111" s="20" t="s">
        <v>452</v>
      </c>
      <c r="G111" s="8" t="str">
        <f t="shared" si="1"/>
        <v>SANTIZO D. EDY</v>
      </c>
    </row>
    <row r="112" spans="1:7" x14ac:dyDescent="0.25">
      <c r="A112" s="8">
        <v>42809.494108796294</v>
      </c>
      <c r="B112" s="20" t="s">
        <v>591</v>
      </c>
      <c r="C112" s="20" t="s">
        <v>712</v>
      </c>
      <c r="D112" s="150">
        <v>930000</v>
      </c>
      <c r="E112" s="20" t="s">
        <v>476</v>
      </c>
      <c r="F112" s="20" t="s">
        <v>477</v>
      </c>
      <c r="G112" s="8" t="str">
        <f t="shared" si="1"/>
        <v>CLARK KATHLEEN</v>
      </c>
    </row>
    <row r="113" spans="1:7" x14ac:dyDescent="0.25">
      <c r="A113" s="8">
        <v>42809.496296296296</v>
      </c>
      <c r="B113" s="20" t="s">
        <v>495</v>
      </c>
      <c r="C113" s="20" t="s">
        <v>595</v>
      </c>
      <c r="D113" s="150">
        <v>1760000</v>
      </c>
      <c r="E113" s="20" t="s">
        <v>507</v>
      </c>
      <c r="F113" s="20" t="s">
        <v>508</v>
      </c>
      <c r="G113" s="8" t="str">
        <f t="shared" si="1"/>
        <v>STRICKLAND EVAN</v>
      </c>
    </row>
    <row r="114" spans="1:7" x14ac:dyDescent="0.25">
      <c r="A114" s="8">
        <v>42809.497256944444</v>
      </c>
      <c r="B114" s="20" t="s">
        <v>495</v>
      </c>
      <c r="C114" s="20" t="s">
        <v>595</v>
      </c>
      <c r="D114" s="150">
        <v>1760000</v>
      </c>
      <c r="E114" s="20" t="s">
        <v>507</v>
      </c>
      <c r="F114" s="20" t="s">
        <v>508</v>
      </c>
      <c r="G114" s="8" t="str">
        <f t="shared" si="1"/>
        <v>STRICKLAND EVAN</v>
      </c>
    </row>
    <row r="115" spans="1:7" x14ac:dyDescent="0.25">
      <c r="A115" s="8">
        <v>42809.49795138889</v>
      </c>
      <c r="B115" s="20" t="s">
        <v>426</v>
      </c>
      <c r="C115" s="20" t="s">
        <v>713</v>
      </c>
      <c r="D115" s="150">
        <v>2040000</v>
      </c>
      <c r="E115" s="20" t="s">
        <v>244</v>
      </c>
      <c r="F115" s="20" t="s">
        <v>245</v>
      </c>
      <c r="G115" s="8" t="str">
        <f t="shared" si="1"/>
        <v>MOSES BRADLEY</v>
      </c>
    </row>
    <row r="116" spans="1:7" x14ac:dyDescent="0.25">
      <c r="A116" s="8">
        <v>42809.502905092595</v>
      </c>
      <c r="B116" s="20" t="s">
        <v>381</v>
      </c>
      <c r="C116" s="20" t="s">
        <v>714</v>
      </c>
      <c r="D116" s="150">
        <v>1300000</v>
      </c>
      <c r="E116" s="20" t="s">
        <v>457</v>
      </c>
      <c r="F116" s="20" t="s">
        <v>458</v>
      </c>
      <c r="G116" s="8" t="str">
        <f t="shared" si="1"/>
        <v>LEVIN SCOTT</v>
      </c>
    </row>
    <row r="117" spans="1:7" x14ac:dyDescent="0.25">
      <c r="A117" s="8">
        <v>42809.507372685184</v>
      </c>
      <c r="B117" s="20" t="s">
        <v>446</v>
      </c>
      <c r="C117" s="20" t="s">
        <v>599</v>
      </c>
      <c r="D117" s="150">
        <v>920000</v>
      </c>
      <c r="E117" s="20" t="s">
        <v>454</v>
      </c>
      <c r="F117" s="20" t="s">
        <v>199</v>
      </c>
      <c r="G117" s="8" t="str">
        <f t="shared" si="1"/>
        <v>DAVIS MICHAEL</v>
      </c>
    </row>
    <row r="118" spans="1:7" x14ac:dyDescent="0.25">
      <c r="A118" s="8">
        <v>42809.508344907408</v>
      </c>
      <c r="B118" s="20" t="s">
        <v>446</v>
      </c>
      <c r="C118" s="20" t="s">
        <v>599</v>
      </c>
      <c r="D118" s="150">
        <v>920000</v>
      </c>
      <c r="E118" s="20" t="s">
        <v>454</v>
      </c>
      <c r="F118" s="20" t="s">
        <v>199</v>
      </c>
      <c r="G118" s="8" t="str">
        <f t="shared" si="1"/>
        <v>DAVIS MICHAEL</v>
      </c>
    </row>
    <row r="119" spans="1:7" x14ac:dyDescent="0.25">
      <c r="A119" s="8">
        <v>42809.512615740743</v>
      </c>
      <c r="B119" s="20" t="s">
        <v>576</v>
      </c>
      <c r="C119" s="20" t="s">
        <v>715</v>
      </c>
      <c r="D119" s="150">
        <v>3040000</v>
      </c>
      <c r="E119" s="20" t="s">
        <v>678</v>
      </c>
      <c r="F119" s="20" t="s">
        <v>679</v>
      </c>
      <c r="G119" s="8" t="str">
        <f t="shared" si="1"/>
        <v>WILLIAMS DONTE</v>
      </c>
    </row>
    <row r="120" spans="1:7" x14ac:dyDescent="0.25">
      <c r="A120" s="8">
        <v>42809.515127314815</v>
      </c>
      <c r="B120" s="20" t="s">
        <v>391</v>
      </c>
      <c r="C120" s="20" t="s">
        <v>716</v>
      </c>
      <c r="D120" s="150">
        <v>2370000</v>
      </c>
      <c r="E120" s="20" t="s">
        <v>717</v>
      </c>
      <c r="F120" s="20" t="s">
        <v>718</v>
      </c>
      <c r="G120" s="8" t="str">
        <f t="shared" si="1"/>
        <v>DELGADO DIANAH</v>
      </c>
    </row>
    <row r="121" spans="1:7" x14ac:dyDescent="0.25">
      <c r="A121" s="8">
        <v>42809.517256944448</v>
      </c>
      <c r="B121" s="20" t="s">
        <v>499</v>
      </c>
      <c r="C121" s="20" t="s">
        <v>597</v>
      </c>
      <c r="D121" s="150">
        <v>1180000</v>
      </c>
      <c r="E121" s="20" t="s">
        <v>478</v>
      </c>
      <c r="F121" s="20" t="s">
        <v>479</v>
      </c>
      <c r="G121" s="8" t="str">
        <f t="shared" si="1"/>
        <v>LEVERE CRAIG</v>
      </c>
    </row>
    <row r="122" spans="1:7" x14ac:dyDescent="0.25">
      <c r="A122" s="8">
        <v>42809.521261574075</v>
      </c>
      <c r="B122" s="25" t="s">
        <v>243</v>
      </c>
      <c r="C122" s="20" t="s">
        <v>719</v>
      </c>
      <c r="D122" s="150">
        <v>1520000</v>
      </c>
      <c r="E122" s="20" t="s">
        <v>511</v>
      </c>
      <c r="F122" s="20" t="s">
        <v>512</v>
      </c>
      <c r="G122" s="8" t="str">
        <f t="shared" si="1"/>
        <v>MAYBERRY BILL</v>
      </c>
    </row>
    <row r="123" spans="1:7" x14ac:dyDescent="0.25">
      <c r="A123" s="8">
        <v>42809.527905092589</v>
      </c>
      <c r="B123" s="20" t="s">
        <v>587</v>
      </c>
      <c r="C123" s="20" t="s">
        <v>598</v>
      </c>
      <c r="D123" s="150">
        <v>3040000</v>
      </c>
      <c r="E123" s="20" t="s">
        <v>678</v>
      </c>
      <c r="F123" s="20" t="s">
        <v>679</v>
      </c>
      <c r="G123" s="8" t="str">
        <f t="shared" si="1"/>
        <v>WILLIAMS DONTE</v>
      </c>
    </row>
    <row r="124" spans="1:7" x14ac:dyDescent="0.25">
      <c r="A124" s="8">
        <v>42809.528020833335</v>
      </c>
      <c r="B124" s="20" t="s">
        <v>221</v>
      </c>
      <c r="C124" s="20" t="s">
        <v>720</v>
      </c>
      <c r="D124" s="150">
        <v>1540000</v>
      </c>
      <c r="E124" s="20" t="s">
        <v>710</v>
      </c>
      <c r="F124" s="20" t="s">
        <v>711</v>
      </c>
      <c r="G124" s="8" t="str">
        <f t="shared" si="1"/>
        <v>HELVIE ADAM</v>
      </c>
    </row>
    <row r="125" spans="1:7" x14ac:dyDescent="0.25">
      <c r="A125" s="8">
        <v>42809.537499999999</v>
      </c>
      <c r="B125" s="20" t="s">
        <v>424</v>
      </c>
      <c r="C125" s="20" t="s">
        <v>600</v>
      </c>
      <c r="D125" s="150">
        <v>2040000</v>
      </c>
      <c r="E125" s="20" t="s">
        <v>244</v>
      </c>
      <c r="F125" s="20" t="s">
        <v>245</v>
      </c>
      <c r="G125" s="8" t="str">
        <f t="shared" si="1"/>
        <v>MOSES BRADLEY</v>
      </c>
    </row>
    <row r="126" spans="1:7" x14ac:dyDescent="0.25">
      <c r="A126" s="8">
        <v>42809.537777777776</v>
      </c>
      <c r="B126" s="20" t="s">
        <v>584</v>
      </c>
      <c r="C126" s="20" t="s">
        <v>721</v>
      </c>
      <c r="D126" s="150">
        <v>930000</v>
      </c>
      <c r="E126" s="20" t="s">
        <v>476</v>
      </c>
      <c r="F126" s="20" t="s">
        <v>477</v>
      </c>
      <c r="G126" s="8" t="str">
        <f t="shared" si="1"/>
        <v>CLARK KATHLEEN</v>
      </c>
    </row>
    <row r="127" spans="1:7" x14ac:dyDescent="0.25">
      <c r="A127" s="8">
        <v>42809.544687499998</v>
      </c>
      <c r="B127" s="20" t="s">
        <v>203</v>
      </c>
      <c r="C127" s="20" t="s">
        <v>722</v>
      </c>
      <c r="D127" s="150">
        <v>1300000</v>
      </c>
      <c r="E127" s="20" t="s">
        <v>457</v>
      </c>
      <c r="F127" s="20" t="s">
        <v>458</v>
      </c>
      <c r="G127" s="8" t="str">
        <f t="shared" si="1"/>
        <v>LEVIN SCOTT</v>
      </c>
    </row>
    <row r="128" spans="1:7" x14ac:dyDescent="0.25">
      <c r="A128" s="8">
        <v>42809.547002314815</v>
      </c>
      <c r="B128" s="20" t="s">
        <v>496</v>
      </c>
      <c r="C128" s="20" t="s">
        <v>595</v>
      </c>
      <c r="D128" s="150">
        <v>1760000</v>
      </c>
      <c r="E128" s="20" t="s">
        <v>507</v>
      </c>
      <c r="F128" s="20" t="s">
        <v>508</v>
      </c>
      <c r="G128" s="8" t="str">
        <f t="shared" si="1"/>
        <v>STRICKLAND EVAN</v>
      </c>
    </row>
    <row r="129" spans="1:7" x14ac:dyDescent="0.25">
      <c r="A129" s="8">
        <v>42809.548587962963</v>
      </c>
      <c r="B129" s="20" t="s">
        <v>576</v>
      </c>
      <c r="C129" s="20" t="s">
        <v>723</v>
      </c>
      <c r="D129" s="150">
        <v>1770000</v>
      </c>
      <c r="E129" s="20" t="s">
        <v>724</v>
      </c>
      <c r="F129" s="20" t="s">
        <v>725</v>
      </c>
      <c r="G129" s="8" t="str">
        <f t="shared" si="1"/>
        <v>BRUDER RICHARD</v>
      </c>
    </row>
    <row r="130" spans="1:7" x14ac:dyDescent="0.25">
      <c r="A130" s="8">
        <v>42809.548622685186</v>
      </c>
      <c r="B130" s="20" t="s">
        <v>445</v>
      </c>
      <c r="C130" s="20" t="s">
        <v>726</v>
      </c>
      <c r="D130" s="150">
        <v>920000</v>
      </c>
      <c r="E130" s="20" t="s">
        <v>454</v>
      </c>
      <c r="F130" s="20" t="s">
        <v>199</v>
      </c>
      <c r="G130" s="8" t="str">
        <f t="shared" si="1"/>
        <v>DAVIS MICHAEL</v>
      </c>
    </row>
    <row r="131" spans="1:7" x14ac:dyDescent="0.25">
      <c r="A131" s="8">
        <v>42809.550115740742</v>
      </c>
      <c r="B131" s="20" t="s">
        <v>445</v>
      </c>
      <c r="C131" s="20" t="s">
        <v>726</v>
      </c>
      <c r="D131" s="150">
        <v>920000</v>
      </c>
      <c r="E131" s="20" t="s">
        <v>454</v>
      </c>
      <c r="F131" s="20" t="s">
        <v>199</v>
      </c>
      <c r="G131" s="8" t="str">
        <f t="shared" ref="G131:G194" si="2">E131&amp;" "&amp;F131</f>
        <v>DAVIS MICHAEL</v>
      </c>
    </row>
    <row r="132" spans="1:7" x14ac:dyDescent="0.25">
      <c r="A132" s="8">
        <v>42809.554652777777</v>
      </c>
      <c r="B132" s="20" t="s">
        <v>504</v>
      </c>
      <c r="C132" s="20" t="s">
        <v>601</v>
      </c>
      <c r="D132" s="150">
        <v>2370000</v>
      </c>
      <c r="E132" s="20" t="s">
        <v>717</v>
      </c>
      <c r="F132" s="20" t="s">
        <v>718</v>
      </c>
      <c r="G132" s="8" t="str">
        <f t="shared" si="2"/>
        <v>DELGADO DIANAH</v>
      </c>
    </row>
    <row r="133" spans="1:7" x14ac:dyDescent="0.25">
      <c r="A133" s="8">
        <v>42809.555613425924</v>
      </c>
      <c r="B133" s="20" t="s">
        <v>496</v>
      </c>
      <c r="C133" s="20" t="s">
        <v>595</v>
      </c>
      <c r="D133" s="150">
        <v>1760000</v>
      </c>
      <c r="E133" s="20" t="s">
        <v>507</v>
      </c>
      <c r="F133" s="20" t="s">
        <v>508</v>
      </c>
      <c r="G133" s="8" t="str">
        <f t="shared" si="2"/>
        <v>STRICKLAND EVAN</v>
      </c>
    </row>
    <row r="134" spans="1:7" x14ac:dyDescent="0.25">
      <c r="A134" s="8">
        <v>42809.557326388887</v>
      </c>
      <c r="B134" s="20" t="s">
        <v>496</v>
      </c>
      <c r="C134" s="20" t="s">
        <v>595</v>
      </c>
      <c r="D134" s="150">
        <v>1760000</v>
      </c>
      <c r="E134" s="20" t="s">
        <v>507</v>
      </c>
      <c r="F134" s="20" t="s">
        <v>508</v>
      </c>
      <c r="G134" s="8" t="str">
        <f t="shared" si="2"/>
        <v>STRICKLAND EVAN</v>
      </c>
    </row>
    <row r="135" spans="1:7" x14ac:dyDescent="0.25">
      <c r="A135" s="8">
        <v>42809.557789351849</v>
      </c>
      <c r="B135" s="20" t="s">
        <v>448</v>
      </c>
      <c r="C135" s="20" t="s">
        <v>602</v>
      </c>
      <c r="D135" s="150">
        <v>1180000</v>
      </c>
      <c r="E135" s="20" t="s">
        <v>478</v>
      </c>
      <c r="F135" s="20" t="s">
        <v>479</v>
      </c>
      <c r="G135" s="8" t="str">
        <f t="shared" si="2"/>
        <v>LEVERE CRAIG</v>
      </c>
    </row>
    <row r="136" spans="1:7" x14ac:dyDescent="0.25">
      <c r="A136" s="8">
        <v>42809.559432870374</v>
      </c>
      <c r="B136" s="20" t="s">
        <v>496</v>
      </c>
      <c r="C136" s="20" t="s">
        <v>595</v>
      </c>
      <c r="D136" s="150">
        <v>1760000</v>
      </c>
      <c r="E136" s="20" t="s">
        <v>507</v>
      </c>
      <c r="F136" s="20" t="s">
        <v>508</v>
      </c>
      <c r="G136" s="8" t="str">
        <f t="shared" si="2"/>
        <v>STRICKLAND EVAN</v>
      </c>
    </row>
    <row r="137" spans="1:7" x14ac:dyDescent="0.25">
      <c r="A137" s="8">
        <v>42809.559965277775</v>
      </c>
      <c r="B137" s="20" t="s">
        <v>190</v>
      </c>
      <c r="C137" s="20" t="s">
        <v>727</v>
      </c>
      <c r="D137" s="150">
        <v>1540000</v>
      </c>
      <c r="E137" s="20" t="s">
        <v>710</v>
      </c>
      <c r="F137" s="20" t="s">
        <v>711</v>
      </c>
      <c r="G137" s="8" t="str">
        <f t="shared" si="2"/>
        <v>HELVIE ADAM</v>
      </c>
    </row>
    <row r="138" spans="1:7" x14ac:dyDescent="0.25">
      <c r="A138" s="8">
        <v>42809.560300925928</v>
      </c>
      <c r="B138" s="20" t="s">
        <v>379</v>
      </c>
      <c r="C138" s="20" t="s">
        <v>603</v>
      </c>
      <c r="D138" s="150">
        <v>1520000</v>
      </c>
      <c r="E138" s="20" t="s">
        <v>511</v>
      </c>
      <c r="F138" s="20" t="s">
        <v>512</v>
      </c>
      <c r="G138" s="8" t="str">
        <f t="shared" si="2"/>
        <v>MAYBERRY BILL</v>
      </c>
    </row>
    <row r="139" spans="1:7" x14ac:dyDescent="0.25">
      <c r="A139" s="8">
        <v>42809.568090277775</v>
      </c>
      <c r="B139" s="20" t="s">
        <v>587</v>
      </c>
      <c r="C139" s="20" t="s">
        <v>728</v>
      </c>
      <c r="D139" s="150">
        <v>1770000</v>
      </c>
      <c r="E139" s="20" t="s">
        <v>724</v>
      </c>
      <c r="F139" s="20" t="s">
        <v>725</v>
      </c>
      <c r="G139" s="8" t="str">
        <f t="shared" si="2"/>
        <v>BRUDER RICHARD</v>
      </c>
    </row>
    <row r="140" spans="1:7" x14ac:dyDescent="0.25">
      <c r="A140" s="8">
        <v>42809.569236111114</v>
      </c>
      <c r="B140" s="20" t="s">
        <v>190</v>
      </c>
      <c r="C140" s="20" t="s">
        <v>727</v>
      </c>
      <c r="D140" s="150">
        <v>1540000</v>
      </c>
      <c r="E140" s="20" t="s">
        <v>710</v>
      </c>
      <c r="F140" s="20" t="s">
        <v>711</v>
      </c>
      <c r="G140" s="8" t="str">
        <f t="shared" si="2"/>
        <v>HELVIE ADAM</v>
      </c>
    </row>
    <row r="141" spans="1:7" x14ac:dyDescent="0.25">
      <c r="A141" s="8">
        <v>42809.570902777778</v>
      </c>
      <c r="B141" s="20" t="s">
        <v>190</v>
      </c>
      <c r="C141" s="20" t="s">
        <v>727</v>
      </c>
      <c r="D141" s="150">
        <v>1540000</v>
      </c>
      <c r="E141" s="20" t="s">
        <v>710</v>
      </c>
      <c r="F141" s="20" t="s">
        <v>711</v>
      </c>
      <c r="G141" s="8" t="str">
        <f t="shared" si="2"/>
        <v>HELVIE ADAM</v>
      </c>
    </row>
    <row r="142" spans="1:7" x14ac:dyDescent="0.25">
      <c r="A142" s="8">
        <v>42809.575358796297</v>
      </c>
      <c r="B142" s="20" t="s">
        <v>591</v>
      </c>
      <c r="C142" s="20" t="s">
        <v>729</v>
      </c>
      <c r="D142" s="150">
        <v>930000</v>
      </c>
      <c r="E142" s="20" t="s">
        <v>476</v>
      </c>
      <c r="F142" s="20" t="s">
        <v>477</v>
      </c>
      <c r="G142" s="8" t="str">
        <f t="shared" si="2"/>
        <v>CLARK KATHLEEN</v>
      </c>
    </row>
    <row r="143" spans="1:7" x14ac:dyDescent="0.25">
      <c r="A143" s="8">
        <v>42809.576018518521</v>
      </c>
      <c r="B143" s="20" t="s">
        <v>591</v>
      </c>
      <c r="C143" s="20" t="s">
        <v>729</v>
      </c>
      <c r="D143" s="150">
        <v>930000</v>
      </c>
      <c r="E143" s="20" t="s">
        <v>476</v>
      </c>
      <c r="F143" s="20" t="s">
        <v>477</v>
      </c>
      <c r="G143" s="8" t="str">
        <f t="shared" si="2"/>
        <v>CLARK KATHLEEN</v>
      </c>
    </row>
    <row r="144" spans="1:7" x14ac:dyDescent="0.25">
      <c r="A144" s="8">
        <v>42809.576574074075</v>
      </c>
      <c r="B144" s="20" t="s">
        <v>591</v>
      </c>
      <c r="C144" s="20" t="s">
        <v>729</v>
      </c>
      <c r="D144" s="150">
        <v>930000</v>
      </c>
      <c r="E144" s="20" t="s">
        <v>476</v>
      </c>
      <c r="F144" s="20" t="s">
        <v>477</v>
      </c>
      <c r="G144" s="8" t="str">
        <f t="shared" si="2"/>
        <v>CLARK KATHLEEN</v>
      </c>
    </row>
    <row r="145" spans="1:7" x14ac:dyDescent="0.25">
      <c r="A145" s="8">
        <v>42809.577384259261</v>
      </c>
      <c r="B145" s="20" t="s">
        <v>591</v>
      </c>
      <c r="C145" s="20" t="s">
        <v>729</v>
      </c>
      <c r="D145" s="150">
        <v>930000</v>
      </c>
      <c r="E145" s="20" t="s">
        <v>476</v>
      </c>
      <c r="F145" s="20" t="s">
        <v>477</v>
      </c>
      <c r="G145" s="8" t="str">
        <f t="shared" si="2"/>
        <v>CLARK KATHLEEN</v>
      </c>
    </row>
    <row r="146" spans="1:7" x14ac:dyDescent="0.25">
      <c r="A146" s="8">
        <v>42809.578136574077</v>
      </c>
      <c r="B146" s="20" t="s">
        <v>591</v>
      </c>
      <c r="C146" s="20" t="s">
        <v>729</v>
      </c>
      <c r="D146" s="150">
        <v>930000</v>
      </c>
      <c r="E146" s="20" t="s">
        <v>476</v>
      </c>
      <c r="F146" s="20" t="s">
        <v>477</v>
      </c>
      <c r="G146" s="8" t="str">
        <f t="shared" si="2"/>
        <v>CLARK KATHLEEN</v>
      </c>
    </row>
    <row r="147" spans="1:7" x14ac:dyDescent="0.25">
      <c r="A147" s="8">
        <v>42809.579224537039</v>
      </c>
      <c r="B147" s="20" t="s">
        <v>381</v>
      </c>
      <c r="C147" s="20" t="s">
        <v>730</v>
      </c>
      <c r="D147" s="150">
        <v>1300000</v>
      </c>
      <c r="E147" s="20" t="s">
        <v>457</v>
      </c>
      <c r="F147" s="20" t="s">
        <v>458</v>
      </c>
      <c r="G147" s="8" t="str">
        <f t="shared" si="2"/>
        <v>LEVIN SCOTT</v>
      </c>
    </row>
    <row r="148" spans="1:7" x14ac:dyDescent="0.25">
      <c r="A148" s="8">
        <v>42809.579525462963</v>
      </c>
      <c r="B148" s="20" t="s">
        <v>591</v>
      </c>
      <c r="C148" s="20" t="s">
        <v>729</v>
      </c>
      <c r="D148" s="150">
        <v>930000</v>
      </c>
      <c r="E148" s="20" t="s">
        <v>476</v>
      </c>
      <c r="F148" s="20" t="s">
        <v>477</v>
      </c>
      <c r="G148" s="8" t="str">
        <f t="shared" si="2"/>
        <v>CLARK KATHLEEN</v>
      </c>
    </row>
    <row r="149" spans="1:7" x14ac:dyDescent="0.25">
      <c r="A149" s="8">
        <v>42809.590868055559</v>
      </c>
      <c r="B149" s="20" t="s">
        <v>446</v>
      </c>
      <c r="C149" s="20" t="s">
        <v>731</v>
      </c>
      <c r="D149" s="150">
        <v>920000</v>
      </c>
      <c r="E149" s="20" t="s">
        <v>454</v>
      </c>
      <c r="F149" s="20" t="s">
        <v>199</v>
      </c>
      <c r="G149" s="8" t="str">
        <f t="shared" si="2"/>
        <v>DAVIS MICHAEL</v>
      </c>
    </row>
    <row r="150" spans="1:7" x14ac:dyDescent="0.25">
      <c r="A150" s="8">
        <v>42809.591296296298</v>
      </c>
      <c r="B150" s="20" t="s">
        <v>391</v>
      </c>
      <c r="C150" s="20" t="s">
        <v>732</v>
      </c>
      <c r="D150" s="150">
        <v>2370000</v>
      </c>
      <c r="E150" s="20" t="s">
        <v>717</v>
      </c>
      <c r="F150" s="20" t="s">
        <v>718</v>
      </c>
      <c r="G150" s="8" t="str">
        <f t="shared" si="2"/>
        <v>DELGADO DIANAH</v>
      </c>
    </row>
    <row r="151" spans="1:7" x14ac:dyDescent="0.25">
      <c r="A151" s="8">
        <v>42809.594085648147</v>
      </c>
      <c r="B151" s="20" t="s">
        <v>576</v>
      </c>
      <c r="C151" s="20" t="s">
        <v>733</v>
      </c>
      <c r="D151" s="150">
        <v>1770000</v>
      </c>
      <c r="E151" s="20" t="s">
        <v>724</v>
      </c>
      <c r="F151" s="20" t="s">
        <v>725</v>
      </c>
      <c r="G151" s="8" t="str">
        <f t="shared" si="2"/>
        <v>BRUDER RICHARD</v>
      </c>
    </row>
    <row r="152" spans="1:7" x14ac:dyDescent="0.25">
      <c r="A152" s="8">
        <v>42809.596944444442</v>
      </c>
      <c r="B152" s="20" t="s">
        <v>426</v>
      </c>
      <c r="C152" s="20" t="s">
        <v>734</v>
      </c>
      <c r="D152" s="150">
        <v>1780000</v>
      </c>
      <c r="E152" s="20" t="s">
        <v>735</v>
      </c>
      <c r="F152" s="20" t="s">
        <v>736</v>
      </c>
      <c r="G152" s="8" t="str">
        <f t="shared" si="2"/>
        <v>DE LA ROSA ALEX</v>
      </c>
    </row>
    <row r="153" spans="1:7" x14ac:dyDescent="0.25">
      <c r="A153" s="8">
        <v>42809.597245370373</v>
      </c>
      <c r="B153" s="20" t="s">
        <v>499</v>
      </c>
      <c r="C153" s="20" t="s">
        <v>737</v>
      </c>
      <c r="D153" s="150">
        <v>1180000</v>
      </c>
      <c r="E153" s="20" t="s">
        <v>478</v>
      </c>
      <c r="F153" s="20" t="s">
        <v>479</v>
      </c>
      <c r="G153" s="8" t="str">
        <f t="shared" si="2"/>
        <v>LEVERE CRAIG</v>
      </c>
    </row>
    <row r="154" spans="1:7" x14ac:dyDescent="0.25">
      <c r="A154" s="8">
        <v>42809.608923611115</v>
      </c>
      <c r="B154" s="20" t="s">
        <v>243</v>
      </c>
      <c r="C154" s="20" t="s">
        <v>738</v>
      </c>
      <c r="D154" s="150">
        <v>1520000</v>
      </c>
      <c r="E154" s="20" t="s">
        <v>511</v>
      </c>
      <c r="F154" s="20" t="s">
        <v>512</v>
      </c>
      <c r="G154" s="8" t="str">
        <f t="shared" si="2"/>
        <v>MAYBERRY BILL</v>
      </c>
    </row>
    <row r="155" spans="1:7" x14ac:dyDescent="0.25">
      <c r="A155" s="8">
        <v>42809.609525462962</v>
      </c>
      <c r="B155" s="20" t="s">
        <v>587</v>
      </c>
      <c r="C155" s="20" t="s">
        <v>739</v>
      </c>
      <c r="D155" s="150">
        <v>1770000</v>
      </c>
      <c r="E155" s="20" t="s">
        <v>724</v>
      </c>
      <c r="F155" s="20" t="s">
        <v>725</v>
      </c>
      <c r="G155" s="8" t="str">
        <f t="shared" si="2"/>
        <v>BRUDER RICHARD</v>
      </c>
    </row>
    <row r="156" spans="1:7" x14ac:dyDescent="0.25">
      <c r="A156" s="8">
        <v>42809.610092592593</v>
      </c>
      <c r="B156" s="20" t="s">
        <v>221</v>
      </c>
      <c r="C156" s="20" t="s">
        <v>740</v>
      </c>
      <c r="D156" s="150">
        <v>1540000</v>
      </c>
      <c r="E156" s="20" t="s">
        <v>710</v>
      </c>
      <c r="F156" s="20" t="s">
        <v>711</v>
      </c>
      <c r="G156" s="8" t="str">
        <f t="shared" si="2"/>
        <v>HELVIE ADAM</v>
      </c>
    </row>
    <row r="157" spans="1:7" x14ac:dyDescent="0.25">
      <c r="A157" s="8">
        <v>42809.619340277779</v>
      </c>
      <c r="B157" s="20" t="s">
        <v>203</v>
      </c>
      <c r="C157" s="20" t="s">
        <v>604</v>
      </c>
      <c r="D157" s="150">
        <v>1300000</v>
      </c>
      <c r="E157" s="20" t="s">
        <v>457</v>
      </c>
      <c r="F157" s="20" t="s">
        <v>458</v>
      </c>
      <c r="G157" s="8" t="str">
        <f t="shared" si="2"/>
        <v>LEVIN SCOTT</v>
      </c>
    </row>
    <row r="158" spans="1:7" x14ac:dyDescent="0.25">
      <c r="A158" s="8">
        <v>42809.629652777781</v>
      </c>
      <c r="B158" s="20" t="s">
        <v>504</v>
      </c>
      <c r="C158" s="20" t="s">
        <v>606</v>
      </c>
      <c r="D158" s="150">
        <v>2370000</v>
      </c>
      <c r="E158" s="20" t="s">
        <v>717</v>
      </c>
      <c r="F158" s="20" t="s">
        <v>718</v>
      </c>
      <c r="G158" s="8" t="str">
        <f t="shared" si="2"/>
        <v>DELGADO DIANAH</v>
      </c>
    </row>
    <row r="159" spans="1:7" x14ac:dyDescent="0.25">
      <c r="A159" s="8">
        <v>42809.634525462963</v>
      </c>
      <c r="B159" s="20" t="s">
        <v>445</v>
      </c>
      <c r="C159" s="20" t="s">
        <v>741</v>
      </c>
      <c r="D159" s="150">
        <v>920000</v>
      </c>
      <c r="E159" s="20" t="s">
        <v>454</v>
      </c>
      <c r="F159" s="20" t="s">
        <v>199</v>
      </c>
      <c r="G159" s="8" t="str">
        <f t="shared" si="2"/>
        <v>DAVIS MICHAEL</v>
      </c>
    </row>
    <row r="160" spans="1:7" x14ac:dyDescent="0.25">
      <c r="A160" s="8">
        <v>42809.63490740741</v>
      </c>
      <c r="B160" s="20" t="s">
        <v>448</v>
      </c>
      <c r="C160" s="20" t="s">
        <v>607</v>
      </c>
      <c r="D160" s="150">
        <v>1180000</v>
      </c>
      <c r="E160" s="20" t="s">
        <v>478</v>
      </c>
      <c r="F160" s="20" t="s">
        <v>479</v>
      </c>
      <c r="G160" s="8" t="str">
        <f t="shared" si="2"/>
        <v>LEVERE CRAIG</v>
      </c>
    </row>
    <row r="161" spans="1:7" x14ac:dyDescent="0.25">
      <c r="A161" s="8">
        <v>42809.635960648149</v>
      </c>
      <c r="B161" s="20" t="s">
        <v>576</v>
      </c>
      <c r="C161" s="20" t="s">
        <v>742</v>
      </c>
      <c r="D161" s="150">
        <v>1770000</v>
      </c>
      <c r="E161" s="20" t="s">
        <v>724</v>
      </c>
      <c r="F161" s="20" t="s">
        <v>725</v>
      </c>
      <c r="G161" s="8" t="str">
        <f t="shared" si="2"/>
        <v>BRUDER RICHARD</v>
      </c>
    </row>
    <row r="162" spans="1:7" x14ac:dyDescent="0.25">
      <c r="A162" s="8">
        <v>42809.639247685183</v>
      </c>
      <c r="B162" s="20" t="s">
        <v>424</v>
      </c>
      <c r="C162" s="20" t="s">
        <v>743</v>
      </c>
      <c r="D162" s="150">
        <v>1780000</v>
      </c>
      <c r="E162" s="20" t="s">
        <v>735</v>
      </c>
      <c r="F162" s="20" t="s">
        <v>736</v>
      </c>
      <c r="G162" s="8" t="str">
        <f t="shared" si="2"/>
        <v>DE LA ROSA ALEX</v>
      </c>
    </row>
    <row r="163" spans="1:7" x14ac:dyDescent="0.25">
      <c r="A163" s="8">
        <v>42809.642905092594</v>
      </c>
      <c r="B163" s="20" t="s">
        <v>574</v>
      </c>
      <c r="C163" s="20" t="s">
        <v>605</v>
      </c>
      <c r="D163" s="150">
        <v>1800000</v>
      </c>
      <c r="E163" s="20" t="s">
        <v>215</v>
      </c>
      <c r="F163" s="20" t="s">
        <v>216</v>
      </c>
      <c r="G163" s="8" t="str">
        <f t="shared" si="2"/>
        <v>CHANDLER KELVIN</v>
      </c>
    </row>
    <row r="164" spans="1:7" x14ac:dyDescent="0.25">
      <c r="A164" s="8">
        <v>42809.645092592589</v>
      </c>
      <c r="B164" s="20" t="s">
        <v>379</v>
      </c>
      <c r="C164" s="20" t="s">
        <v>611</v>
      </c>
      <c r="D164" s="150">
        <v>1520000</v>
      </c>
      <c r="E164" s="20" t="s">
        <v>511</v>
      </c>
      <c r="F164" s="20" t="s">
        <v>512</v>
      </c>
      <c r="G164" s="8" t="str">
        <f t="shared" si="2"/>
        <v>MAYBERRY BILL</v>
      </c>
    </row>
    <row r="165" spans="1:7" x14ac:dyDescent="0.25">
      <c r="A165" s="8">
        <v>42809.646145833336</v>
      </c>
      <c r="B165" s="20" t="s">
        <v>190</v>
      </c>
      <c r="C165" s="20" t="s">
        <v>744</v>
      </c>
      <c r="D165" s="150">
        <v>2040000</v>
      </c>
      <c r="E165" s="20" t="s">
        <v>244</v>
      </c>
      <c r="F165" s="20" t="s">
        <v>245</v>
      </c>
      <c r="G165" s="8" t="str">
        <f t="shared" si="2"/>
        <v>MOSES BRADLEY</v>
      </c>
    </row>
    <row r="166" spans="1:7" x14ac:dyDescent="0.25">
      <c r="A166" s="8">
        <v>42809.651944444442</v>
      </c>
      <c r="B166" s="20" t="s">
        <v>587</v>
      </c>
      <c r="C166" s="20" t="s">
        <v>745</v>
      </c>
      <c r="D166" s="150">
        <v>1770000</v>
      </c>
      <c r="E166" s="20" t="s">
        <v>724</v>
      </c>
      <c r="F166" s="20" t="s">
        <v>725</v>
      </c>
      <c r="G166" s="8" t="str">
        <f t="shared" si="2"/>
        <v>BRUDER RICHARD</v>
      </c>
    </row>
    <row r="167" spans="1:7" x14ac:dyDescent="0.25">
      <c r="A167" s="8">
        <v>42809.652129629627</v>
      </c>
      <c r="B167" s="20" t="s">
        <v>381</v>
      </c>
      <c r="C167" s="20" t="s">
        <v>610</v>
      </c>
      <c r="D167" s="150">
        <v>1300000</v>
      </c>
      <c r="E167" s="20" t="s">
        <v>457</v>
      </c>
      <c r="F167" s="20" t="s">
        <v>458</v>
      </c>
      <c r="G167" s="8" t="str">
        <f t="shared" si="2"/>
        <v>LEVIN SCOTT</v>
      </c>
    </row>
    <row r="168" spans="1:7" x14ac:dyDescent="0.25">
      <c r="A168" s="8">
        <v>42809.659629629627</v>
      </c>
      <c r="B168" s="20" t="s">
        <v>580</v>
      </c>
      <c r="C168" s="20" t="s">
        <v>609</v>
      </c>
      <c r="D168" s="150">
        <v>1800000</v>
      </c>
      <c r="E168" s="20" t="s">
        <v>215</v>
      </c>
      <c r="F168" s="20" t="s">
        <v>216</v>
      </c>
      <c r="G168" s="8" t="str">
        <f t="shared" si="2"/>
        <v>CHANDLER KELVIN</v>
      </c>
    </row>
    <row r="169" spans="1:7" x14ac:dyDescent="0.25">
      <c r="A169" s="8">
        <v>42809.663356481484</v>
      </c>
      <c r="B169" s="20" t="s">
        <v>391</v>
      </c>
      <c r="C169" s="20" t="s">
        <v>746</v>
      </c>
      <c r="D169" s="150">
        <v>2370000</v>
      </c>
      <c r="E169" s="20" t="s">
        <v>717</v>
      </c>
      <c r="F169" s="20" t="s">
        <v>718</v>
      </c>
      <c r="G169" s="8" t="str">
        <f t="shared" si="2"/>
        <v>DELGADO DIANAH</v>
      </c>
    </row>
    <row r="170" spans="1:7" x14ac:dyDescent="0.25">
      <c r="A170" s="8">
        <v>42809.665601851855</v>
      </c>
      <c r="B170" s="20" t="s">
        <v>446</v>
      </c>
      <c r="C170" s="20" t="s">
        <v>608</v>
      </c>
      <c r="D170" s="150">
        <v>920000</v>
      </c>
      <c r="E170" s="20" t="s">
        <v>454</v>
      </c>
      <c r="F170" s="20" t="s">
        <v>199</v>
      </c>
      <c r="G170" s="8" t="str">
        <f t="shared" si="2"/>
        <v>DAVIS MICHAEL</v>
      </c>
    </row>
    <row r="171" spans="1:7" x14ac:dyDescent="0.25">
      <c r="A171" s="8">
        <v>42809.671412037038</v>
      </c>
      <c r="B171" s="20" t="s">
        <v>499</v>
      </c>
      <c r="C171" s="20" t="s">
        <v>747</v>
      </c>
      <c r="D171" s="150">
        <v>1180000</v>
      </c>
      <c r="E171" s="20" t="s">
        <v>478</v>
      </c>
      <c r="F171" s="20" t="s">
        <v>479</v>
      </c>
      <c r="G171" s="8" t="str">
        <f t="shared" si="2"/>
        <v>LEVERE CRAIG</v>
      </c>
    </row>
    <row r="172" spans="1:7" x14ac:dyDescent="0.25">
      <c r="A172" s="8">
        <v>42809.673113425924</v>
      </c>
      <c r="B172" s="20" t="s">
        <v>574</v>
      </c>
      <c r="C172" s="20" t="s">
        <v>748</v>
      </c>
      <c r="D172" s="150">
        <v>1800000</v>
      </c>
      <c r="E172" s="20" t="s">
        <v>215</v>
      </c>
      <c r="F172" s="20" t="s">
        <v>216</v>
      </c>
      <c r="G172" s="8" t="str">
        <f t="shared" si="2"/>
        <v>CHANDLER KELVIN</v>
      </c>
    </row>
    <row r="173" spans="1:7" x14ac:dyDescent="0.25">
      <c r="A173" s="8">
        <v>42809.676469907405</v>
      </c>
      <c r="B173" s="20" t="s">
        <v>426</v>
      </c>
      <c r="C173" s="20" t="s">
        <v>612</v>
      </c>
      <c r="D173" s="150">
        <v>930000</v>
      </c>
      <c r="E173" s="20" t="s">
        <v>476</v>
      </c>
      <c r="F173" s="20" t="s">
        <v>477</v>
      </c>
      <c r="G173" s="8" t="str">
        <f t="shared" si="2"/>
        <v>CLARK KATHLEEN</v>
      </c>
    </row>
    <row r="174" spans="1:7" x14ac:dyDescent="0.25">
      <c r="A174" s="8">
        <v>42809.67732638889</v>
      </c>
      <c r="B174" s="20" t="s">
        <v>426</v>
      </c>
      <c r="C174" s="20" t="s">
        <v>749</v>
      </c>
      <c r="D174" s="150">
        <v>930000</v>
      </c>
      <c r="E174" s="20" t="s">
        <v>476</v>
      </c>
      <c r="F174" s="20" t="s">
        <v>477</v>
      </c>
      <c r="G174" s="8" t="str">
        <f t="shared" si="2"/>
        <v>CLARK KATHLEEN</v>
      </c>
    </row>
    <row r="175" spans="1:7" x14ac:dyDescent="0.25">
      <c r="A175" s="8">
        <v>42809.67796296296</v>
      </c>
      <c r="B175" s="20" t="s">
        <v>576</v>
      </c>
      <c r="C175" s="20" t="s">
        <v>750</v>
      </c>
      <c r="D175" s="150">
        <v>1770000</v>
      </c>
      <c r="E175" s="20" t="s">
        <v>724</v>
      </c>
      <c r="F175" s="20" t="s">
        <v>725</v>
      </c>
      <c r="G175" s="8" t="str">
        <f t="shared" si="2"/>
        <v>BRUDER RICHARD</v>
      </c>
    </row>
    <row r="176" spans="1:7" x14ac:dyDescent="0.25">
      <c r="A176" s="8">
        <v>42809.682106481479</v>
      </c>
      <c r="B176" s="20" t="s">
        <v>221</v>
      </c>
      <c r="C176" s="20" t="s">
        <v>613</v>
      </c>
      <c r="D176" s="150">
        <v>2040000</v>
      </c>
      <c r="E176" s="20" t="s">
        <v>244</v>
      </c>
      <c r="F176" s="20" t="s">
        <v>245</v>
      </c>
      <c r="G176" s="8" t="str">
        <f t="shared" si="2"/>
        <v>MOSES BRADLEY</v>
      </c>
    </row>
    <row r="177" spans="1:7" x14ac:dyDescent="0.25">
      <c r="A177" s="8">
        <v>42809.688958333332</v>
      </c>
      <c r="B177" s="20" t="s">
        <v>243</v>
      </c>
      <c r="C177" s="20" t="s">
        <v>612</v>
      </c>
      <c r="D177" s="150">
        <v>1520000</v>
      </c>
      <c r="E177" s="20" t="s">
        <v>511</v>
      </c>
      <c r="F177" s="20" t="s">
        <v>512</v>
      </c>
      <c r="G177" s="8" t="str">
        <f t="shared" si="2"/>
        <v>MAYBERRY BILL</v>
      </c>
    </row>
    <row r="178" spans="1:7" x14ac:dyDescent="0.25">
      <c r="A178" s="8">
        <v>42809.692893518521</v>
      </c>
      <c r="B178" s="20" t="s">
        <v>203</v>
      </c>
      <c r="C178" s="20" t="s">
        <v>751</v>
      </c>
      <c r="D178" s="150">
        <v>1300000</v>
      </c>
      <c r="E178" s="20" t="s">
        <v>457</v>
      </c>
      <c r="F178" s="20" t="s">
        <v>458</v>
      </c>
      <c r="G178" s="8" t="str">
        <f t="shared" si="2"/>
        <v>LEVIN SCOTT</v>
      </c>
    </row>
    <row r="179" spans="1:7" x14ac:dyDescent="0.25">
      <c r="A179" s="8">
        <v>42809.692986111113</v>
      </c>
      <c r="B179" s="20" t="s">
        <v>587</v>
      </c>
      <c r="C179" s="20" t="s">
        <v>752</v>
      </c>
      <c r="D179" s="150">
        <v>1770000</v>
      </c>
      <c r="E179" s="20" t="s">
        <v>724</v>
      </c>
      <c r="F179" s="20" t="s">
        <v>725</v>
      </c>
      <c r="G179" s="8" t="str">
        <f t="shared" si="2"/>
        <v>BRUDER RICHARD</v>
      </c>
    </row>
    <row r="180" spans="1:7" x14ac:dyDescent="0.25">
      <c r="A180" s="8">
        <v>42809.700208333335</v>
      </c>
      <c r="B180" s="20" t="s">
        <v>445</v>
      </c>
      <c r="C180" s="20" t="s">
        <v>753</v>
      </c>
      <c r="D180" s="150">
        <v>1780000</v>
      </c>
      <c r="E180" s="20" t="s">
        <v>735</v>
      </c>
      <c r="F180" s="20" t="s">
        <v>736</v>
      </c>
      <c r="G180" s="8" t="str">
        <f t="shared" si="2"/>
        <v>DE LA ROSA ALEX</v>
      </c>
    </row>
    <row r="181" spans="1:7" x14ac:dyDescent="0.25">
      <c r="A181" s="8">
        <v>42809.700266203705</v>
      </c>
      <c r="B181" s="20" t="s">
        <v>580</v>
      </c>
      <c r="C181" s="20" t="s">
        <v>754</v>
      </c>
      <c r="D181" s="150">
        <v>1800000</v>
      </c>
      <c r="E181" s="20" t="s">
        <v>215</v>
      </c>
      <c r="F181" s="20" t="s">
        <v>216</v>
      </c>
      <c r="G181" s="8" t="str">
        <f t="shared" si="2"/>
        <v>CHANDLER KELVIN</v>
      </c>
    </row>
    <row r="182" spans="1:7" x14ac:dyDescent="0.25">
      <c r="A182" s="8">
        <v>42809.701504629629</v>
      </c>
      <c r="B182" s="20" t="s">
        <v>504</v>
      </c>
      <c r="C182" s="20" t="s">
        <v>755</v>
      </c>
      <c r="D182" s="150">
        <v>2370000</v>
      </c>
      <c r="E182" s="20" t="s">
        <v>717</v>
      </c>
      <c r="F182" s="20" t="s">
        <v>718</v>
      </c>
      <c r="G182" s="8" t="str">
        <f t="shared" si="2"/>
        <v>DELGADO DIANAH</v>
      </c>
    </row>
    <row r="183" spans="1:7" x14ac:dyDescent="0.25">
      <c r="A183" s="8">
        <v>42809.707152777781</v>
      </c>
      <c r="B183" s="20" t="s">
        <v>448</v>
      </c>
      <c r="C183" s="20" t="s">
        <v>756</v>
      </c>
      <c r="D183" s="150">
        <v>1540000</v>
      </c>
      <c r="E183" s="20" t="s">
        <v>710</v>
      </c>
      <c r="F183" s="20" t="s">
        <v>711</v>
      </c>
      <c r="G183" s="8" t="str">
        <f t="shared" si="2"/>
        <v>HELVIE ADAM</v>
      </c>
    </row>
    <row r="184" spans="1:7" x14ac:dyDescent="0.25">
      <c r="A184" s="8">
        <v>42809.711782407408</v>
      </c>
      <c r="B184" s="20" t="s">
        <v>424</v>
      </c>
      <c r="C184" s="20" t="s">
        <v>757</v>
      </c>
      <c r="D184" s="150">
        <v>930000</v>
      </c>
      <c r="E184" s="20" t="s">
        <v>476</v>
      </c>
      <c r="F184" s="20" t="s">
        <v>477</v>
      </c>
      <c r="G184" s="8" t="str">
        <f t="shared" si="2"/>
        <v>CLARK KATHLEEN</v>
      </c>
    </row>
    <row r="185" spans="1:7" x14ac:dyDescent="0.25">
      <c r="A185" s="8">
        <v>42809.714375000003</v>
      </c>
      <c r="B185" s="20" t="s">
        <v>574</v>
      </c>
      <c r="C185" s="20" t="s">
        <v>614</v>
      </c>
      <c r="D185" s="150">
        <v>1800000</v>
      </c>
      <c r="E185" s="20" t="s">
        <v>215</v>
      </c>
      <c r="F185" s="20" t="s">
        <v>216</v>
      </c>
      <c r="G185" s="8" t="str">
        <f t="shared" si="2"/>
        <v>CHANDLER KELVIN</v>
      </c>
    </row>
    <row r="186" spans="1:7" x14ac:dyDescent="0.25">
      <c r="A186" s="8">
        <v>42809.716747685183</v>
      </c>
      <c r="B186" s="20" t="s">
        <v>190</v>
      </c>
      <c r="C186" s="20" t="s">
        <v>758</v>
      </c>
      <c r="D186" s="150">
        <v>970000</v>
      </c>
      <c r="E186" s="20" t="s">
        <v>759</v>
      </c>
      <c r="F186" s="20" t="s">
        <v>760</v>
      </c>
      <c r="G186" s="8" t="str">
        <f t="shared" si="2"/>
        <v>JACKSON WILLIAM</v>
      </c>
    </row>
    <row r="187" spans="1:7" x14ac:dyDescent="0.25">
      <c r="A187" s="8">
        <v>42809.718854166669</v>
      </c>
      <c r="B187" s="20" t="s">
        <v>576</v>
      </c>
      <c r="C187" s="20" t="s">
        <v>761</v>
      </c>
      <c r="D187" s="150">
        <v>1770000</v>
      </c>
      <c r="E187" s="20" t="s">
        <v>724</v>
      </c>
      <c r="F187" s="20" t="s">
        <v>725</v>
      </c>
      <c r="G187" s="8" t="str">
        <f t="shared" si="2"/>
        <v>BRUDER RICHARD</v>
      </c>
    </row>
    <row r="188" spans="1:7" x14ac:dyDescent="0.25">
      <c r="A188" s="8">
        <v>42809.722453703704</v>
      </c>
      <c r="B188" s="20" t="s">
        <v>379</v>
      </c>
      <c r="C188" s="20" t="s">
        <v>762</v>
      </c>
      <c r="D188" s="150">
        <v>1520000</v>
      </c>
      <c r="E188" s="20" t="s">
        <v>511</v>
      </c>
      <c r="F188" s="20" t="s">
        <v>512</v>
      </c>
      <c r="G188" s="8" t="str">
        <f t="shared" si="2"/>
        <v>MAYBERRY BILL</v>
      </c>
    </row>
    <row r="189" spans="1:7" x14ac:dyDescent="0.25">
      <c r="A189" s="8">
        <v>42809.726666666669</v>
      </c>
      <c r="B189" s="20" t="s">
        <v>668</v>
      </c>
      <c r="C189" s="20" t="s">
        <v>763</v>
      </c>
      <c r="D189" s="150">
        <v>2040000</v>
      </c>
      <c r="E189" s="20" t="s">
        <v>244</v>
      </c>
      <c r="F189" s="20" t="s">
        <v>245</v>
      </c>
      <c r="G189" s="8" t="str">
        <f t="shared" si="2"/>
        <v>MOSES BRADLEY</v>
      </c>
    </row>
    <row r="190" spans="1:7" x14ac:dyDescent="0.25">
      <c r="A190" s="8">
        <v>42809.727222222224</v>
      </c>
      <c r="B190" s="20" t="s">
        <v>447</v>
      </c>
      <c r="C190" s="20" t="s">
        <v>764</v>
      </c>
      <c r="D190" s="150">
        <v>2270000</v>
      </c>
      <c r="E190" s="20" t="s">
        <v>212</v>
      </c>
      <c r="F190" s="20" t="s">
        <v>213</v>
      </c>
      <c r="G190" s="8" t="str">
        <f t="shared" si="2"/>
        <v>BROWN JACOB</v>
      </c>
    </row>
    <row r="191" spans="1:7" x14ac:dyDescent="0.25">
      <c r="A191" s="8">
        <v>42809.731874999998</v>
      </c>
      <c r="B191" s="20" t="s">
        <v>446</v>
      </c>
      <c r="C191" s="20" t="s">
        <v>765</v>
      </c>
      <c r="D191" s="150">
        <v>1780000</v>
      </c>
      <c r="E191" s="20" t="s">
        <v>735</v>
      </c>
      <c r="F191" s="20" t="s">
        <v>736</v>
      </c>
      <c r="G191" s="8" t="str">
        <f t="shared" si="2"/>
        <v>DE LA ROSA ALEX</v>
      </c>
    </row>
    <row r="192" spans="1:7" x14ac:dyDescent="0.25">
      <c r="A192" s="8">
        <v>42809.734675925924</v>
      </c>
      <c r="B192" s="20" t="s">
        <v>587</v>
      </c>
      <c r="C192" s="20" t="s">
        <v>766</v>
      </c>
      <c r="D192" s="150">
        <v>1770000</v>
      </c>
      <c r="E192" s="20" t="s">
        <v>724</v>
      </c>
      <c r="F192" s="20" t="s">
        <v>725</v>
      </c>
      <c r="G192" s="8" t="str">
        <f t="shared" si="2"/>
        <v>BRUDER RICHARD</v>
      </c>
    </row>
    <row r="193" spans="1:7" x14ac:dyDescent="0.25">
      <c r="A193" s="8">
        <v>42809.737615740742</v>
      </c>
      <c r="B193" s="20" t="s">
        <v>495</v>
      </c>
      <c r="C193" s="20" t="s">
        <v>615</v>
      </c>
      <c r="D193" s="150">
        <v>2450000</v>
      </c>
      <c r="E193" s="20" t="s">
        <v>767</v>
      </c>
      <c r="F193" s="20" t="s">
        <v>768</v>
      </c>
      <c r="G193" s="8" t="str">
        <f t="shared" si="2"/>
        <v>NELSON ARIANE</v>
      </c>
    </row>
    <row r="194" spans="1:7" x14ac:dyDescent="0.25">
      <c r="A194" s="8">
        <v>42809.740949074076</v>
      </c>
      <c r="B194" s="20" t="s">
        <v>495</v>
      </c>
      <c r="C194" s="20" t="s">
        <v>615</v>
      </c>
      <c r="D194" s="150">
        <v>2450000</v>
      </c>
      <c r="E194" s="20" t="s">
        <v>767</v>
      </c>
      <c r="F194" s="20" t="s">
        <v>768</v>
      </c>
      <c r="G194" s="8" t="str">
        <f t="shared" si="2"/>
        <v>NELSON ARIANE</v>
      </c>
    </row>
    <row r="195" spans="1:7" x14ac:dyDescent="0.25">
      <c r="A195" s="8">
        <v>42809.741516203707</v>
      </c>
      <c r="B195" s="20" t="s">
        <v>580</v>
      </c>
      <c r="C195" s="20" t="s">
        <v>769</v>
      </c>
      <c r="D195" s="150">
        <v>1800000</v>
      </c>
      <c r="E195" s="20" t="s">
        <v>215</v>
      </c>
      <c r="F195" s="20" t="s">
        <v>216</v>
      </c>
      <c r="G195" s="8" t="str">
        <f t="shared" ref="G195:G258" si="3">E195&amp;" "&amp;F195</f>
        <v>CHANDLER KELVIN</v>
      </c>
    </row>
    <row r="196" spans="1:7" x14ac:dyDescent="0.25">
      <c r="A196" s="8">
        <v>42809.741886574076</v>
      </c>
      <c r="B196" s="20" t="s">
        <v>391</v>
      </c>
      <c r="C196" s="20" t="s">
        <v>770</v>
      </c>
      <c r="D196" s="150">
        <v>3020000</v>
      </c>
      <c r="E196" s="20" t="s">
        <v>771</v>
      </c>
      <c r="F196" s="20" t="s">
        <v>772</v>
      </c>
      <c r="G196" s="8" t="str">
        <f t="shared" si="3"/>
        <v>MENGES BRAD</v>
      </c>
    </row>
    <row r="197" spans="1:7" x14ac:dyDescent="0.25">
      <c r="A197" s="8">
        <v>42809.744745370372</v>
      </c>
      <c r="B197" s="20" t="s">
        <v>499</v>
      </c>
      <c r="C197" s="20" t="s">
        <v>773</v>
      </c>
      <c r="D197" s="150">
        <v>1540000</v>
      </c>
      <c r="E197" s="20" t="s">
        <v>710</v>
      </c>
      <c r="F197" s="20" t="s">
        <v>711</v>
      </c>
      <c r="G197" s="8" t="str">
        <f t="shared" si="3"/>
        <v>HELVIE ADAM</v>
      </c>
    </row>
    <row r="198" spans="1:7" x14ac:dyDescent="0.25">
      <c r="A198" s="8">
        <v>42809.749050925922</v>
      </c>
      <c r="B198" s="20" t="s">
        <v>221</v>
      </c>
      <c r="C198" s="20" t="s">
        <v>774</v>
      </c>
      <c r="D198" s="150">
        <v>970000</v>
      </c>
      <c r="E198" s="20" t="s">
        <v>759</v>
      </c>
      <c r="F198" s="20" t="s">
        <v>760</v>
      </c>
      <c r="G198" s="8" t="str">
        <f t="shared" si="3"/>
        <v>JACKSON WILLIAM</v>
      </c>
    </row>
    <row r="199" spans="1:7" x14ac:dyDescent="0.25">
      <c r="A199" s="8">
        <v>42809.749675925923</v>
      </c>
      <c r="B199" s="20" t="s">
        <v>426</v>
      </c>
      <c r="C199" s="20" t="s">
        <v>775</v>
      </c>
      <c r="D199" s="150">
        <v>2370000</v>
      </c>
      <c r="E199" s="20" t="s">
        <v>717</v>
      </c>
      <c r="F199" s="20" t="s">
        <v>718</v>
      </c>
      <c r="G199" s="8" t="str">
        <f t="shared" si="3"/>
        <v>DELGADO DIANAH</v>
      </c>
    </row>
    <row r="200" spans="1:7" x14ac:dyDescent="0.25">
      <c r="A200" s="8">
        <v>42809.755925925929</v>
      </c>
      <c r="B200" s="20" t="s">
        <v>574</v>
      </c>
      <c r="C200" s="20" t="s">
        <v>616</v>
      </c>
      <c r="D200" s="150">
        <v>1800000</v>
      </c>
      <c r="E200" s="20" t="s">
        <v>215</v>
      </c>
      <c r="F200" s="20" t="s">
        <v>216</v>
      </c>
      <c r="G200" s="8" t="str">
        <f t="shared" si="3"/>
        <v>CHANDLER KELVIN</v>
      </c>
    </row>
    <row r="201" spans="1:7" x14ac:dyDescent="0.25">
      <c r="A201" s="8">
        <v>42809.757291666669</v>
      </c>
      <c r="B201" s="20" t="s">
        <v>243</v>
      </c>
      <c r="C201" s="20" t="s">
        <v>617</v>
      </c>
      <c r="D201" s="150">
        <v>2270000</v>
      </c>
      <c r="E201" s="20" t="s">
        <v>212</v>
      </c>
      <c r="F201" s="20" t="s">
        <v>213</v>
      </c>
      <c r="G201" s="8" t="str">
        <f t="shared" si="3"/>
        <v>BROWN JACOB</v>
      </c>
    </row>
    <row r="202" spans="1:7" x14ac:dyDescent="0.25">
      <c r="A202" s="26">
        <v>42809.760138888887</v>
      </c>
      <c r="B202" s="20" t="s">
        <v>453</v>
      </c>
      <c r="C202" s="20" t="s">
        <v>776</v>
      </c>
      <c r="D202" s="150">
        <v>1180000</v>
      </c>
      <c r="E202" s="20" t="s">
        <v>478</v>
      </c>
      <c r="F202" s="20" t="s">
        <v>479</v>
      </c>
      <c r="G202" s="8" t="str">
        <f t="shared" si="3"/>
        <v>LEVERE CRAIG</v>
      </c>
    </row>
    <row r="203" spans="1:7" x14ac:dyDescent="0.25">
      <c r="A203" s="8">
        <v>42809.761111111111</v>
      </c>
      <c r="B203" s="20" t="s">
        <v>576</v>
      </c>
      <c r="C203" s="20" t="s">
        <v>777</v>
      </c>
      <c r="D203" s="150">
        <v>1770000</v>
      </c>
      <c r="E203" s="20" t="s">
        <v>724</v>
      </c>
      <c r="F203" s="20" t="s">
        <v>725</v>
      </c>
      <c r="G203" s="8" t="str">
        <f t="shared" si="3"/>
        <v>BRUDER RICHARD</v>
      </c>
    </row>
    <row r="204" spans="1:7" x14ac:dyDescent="0.25">
      <c r="A204" s="8">
        <v>42809.762870370374</v>
      </c>
      <c r="B204" s="20" t="s">
        <v>381</v>
      </c>
      <c r="C204" s="20" t="s">
        <v>778</v>
      </c>
      <c r="D204" s="150">
        <v>1340000</v>
      </c>
      <c r="E204" s="20" t="s">
        <v>505</v>
      </c>
      <c r="F204" s="20" t="s">
        <v>506</v>
      </c>
      <c r="G204" s="8" t="str">
        <f t="shared" si="3"/>
        <v>BEAM ROSS</v>
      </c>
    </row>
    <row r="205" spans="1:7" x14ac:dyDescent="0.25">
      <c r="A205" s="8">
        <v>42809.763055555559</v>
      </c>
      <c r="B205" s="20" t="s">
        <v>632</v>
      </c>
      <c r="C205" s="20" t="s">
        <v>779</v>
      </c>
      <c r="D205" s="150">
        <v>2040000</v>
      </c>
      <c r="E205" s="20" t="s">
        <v>244</v>
      </c>
      <c r="F205" s="20" t="s">
        <v>245</v>
      </c>
      <c r="G205" s="8" t="str">
        <f t="shared" si="3"/>
        <v>MOSES BRADLEY</v>
      </c>
    </row>
    <row r="206" spans="1:7" x14ac:dyDescent="0.25">
      <c r="A206" s="8">
        <v>42809.764525462961</v>
      </c>
      <c r="B206" s="20" t="s">
        <v>584</v>
      </c>
      <c r="C206" s="20" t="s">
        <v>780</v>
      </c>
      <c r="D206" s="150">
        <v>1520000</v>
      </c>
      <c r="E206" s="20" t="s">
        <v>511</v>
      </c>
      <c r="F206" s="20" t="s">
        <v>512</v>
      </c>
      <c r="G206" s="8" t="str">
        <f t="shared" si="3"/>
        <v>MAYBERRY BILL</v>
      </c>
    </row>
    <row r="207" spans="1:7" x14ac:dyDescent="0.25">
      <c r="A207" s="8">
        <v>42809.768310185187</v>
      </c>
      <c r="B207" s="20" t="s">
        <v>445</v>
      </c>
      <c r="C207" s="20" t="s">
        <v>781</v>
      </c>
      <c r="D207" s="150">
        <v>1810000</v>
      </c>
      <c r="E207" s="20" t="s">
        <v>200</v>
      </c>
      <c r="F207" s="20" t="s">
        <v>196</v>
      </c>
      <c r="G207" s="8" t="str">
        <f t="shared" si="3"/>
        <v>NEWELL JAMES</v>
      </c>
    </row>
    <row r="208" spans="1:7" x14ac:dyDescent="0.25">
      <c r="A208" s="8">
        <v>42809.775717592594</v>
      </c>
      <c r="B208" s="20" t="s">
        <v>504</v>
      </c>
      <c r="C208" s="20" t="s">
        <v>782</v>
      </c>
      <c r="D208" s="150">
        <v>3020000</v>
      </c>
      <c r="E208" s="20" t="s">
        <v>771</v>
      </c>
      <c r="F208" s="20" t="s">
        <v>772</v>
      </c>
      <c r="G208" s="8" t="str">
        <f t="shared" si="3"/>
        <v>MENGES BRAD</v>
      </c>
    </row>
    <row r="209" spans="1:7" x14ac:dyDescent="0.25">
      <c r="A209" s="8">
        <v>42809.77584490741</v>
      </c>
      <c r="B209" s="20" t="s">
        <v>587</v>
      </c>
      <c r="C209" s="20" t="s">
        <v>783</v>
      </c>
      <c r="D209" s="150">
        <v>1770000</v>
      </c>
      <c r="E209" s="20" t="s">
        <v>724</v>
      </c>
      <c r="F209" s="20" t="s">
        <v>725</v>
      </c>
      <c r="G209" s="8" t="str">
        <f t="shared" si="3"/>
        <v>BRUDER RICHARD</v>
      </c>
    </row>
    <row r="210" spans="1:7" x14ac:dyDescent="0.25">
      <c r="A210" s="8">
        <v>42809.777905092589</v>
      </c>
      <c r="B210" s="20" t="s">
        <v>448</v>
      </c>
      <c r="C210" s="20" t="s">
        <v>784</v>
      </c>
      <c r="D210" s="150">
        <v>1540000</v>
      </c>
      <c r="E210" s="20" t="s">
        <v>710</v>
      </c>
      <c r="F210" s="20" t="s">
        <v>711</v>
      </c>
      <c r="G210" s="8" t="str">
        <f t="shared" si="3"/>
        <v>HELVIE ADAM</v>
      </c>
    </row>
    <row r="211" spans="1:7" x14ac:dyDescent="0.25">
      <c r="A211" s="8">
        <v>42809.779907407406</v>
      </c>
      <c r="B211" s="20" t="s">
        <v>424</v>
      </c>
      <c r="C211" s="20" t="s">
        <v>785</v>
      </c>
      <c r="D211" s="150">
        <v>2370000</v>
      </c>
      <c r="E211" s="20" t="s">
        <v>717</v>
      </c>
      <c r="F211" s="20" t="s">
        <v>718</v>
      </c>
      <c r="G211" s="8" t="str">
        <f t="shared" si="3"/>
        <v>DELGADO DIANAH</v>
      </c>
    </row>
    <row r="212" spans="1:7" x14ac:dyDescent="0.25">
      <c r="A212" s="8">
        <v>42809.784814814811</v>
      </c>
      <c r="B212" s="20" t="s">
        <v>580</v>
      </c>
      <c r="C212" s="20" t="s">
        <v>786</v>
      </c>
      <c r="D212" s="150">
        <v>1800000</v>
      </c>
      <c r="E212" s="20" t="s">
        <v>215</v>
      </c>
      <c r="F212" s="20" t="s">
        <v>216</v>
      </c>
      <c r="G212" s="8" t="str">
        <f t="shared" si="3"/>
        <v>CHANDLER KELVIN</v>
      </c>
    </row>
    <row r="213" spans="1:7" x14ac:dyDescent="0.25">
      <c r="A213" s="8">
        <v>42809.791608796295</v>
      </c>
      <c r="B213" s="20" t="s">
        <v>190</v>
      </c>
      <c r="C213" s="20" t="s">
        <v>774</v>
      </c>
      <c r="D213" s="150">
        <v>970000</v>
      </c>
      <c r="E213" s="20" t="s">
        <v>759</v>
      </c>
      <c r="F213" s="20" t="s">
        <v>760</v>
      </c>
      <c r="G213" s="8" t="str">
        <f t="shared" si="3"/>
        <v>JACKSON WILLIAM</v>
      </c>
    </row>
    <row r="214" spans="1:7" x14ac:dyDescent="0.25">
      <c r="A214" s="8">
        <v>42809.792708333334</v>
      </c>
      <c r="B214" s="20" t="s">
        <v>190</v>
      </c>
      <c r="C214" s="20" t="s">
        <v>618</v>
      </c>
      <c r="D214" s="150">
        <v>970000</v>
      </c>
      <c r="E214" s="20" t="s">
        <v>759</v>
      </c>
      <c r="F214" s="20" t="s">
        <v>760</v>
      </c>
      <c r="G214" s="8" t="str">
        <f t="shared" si="3"/>
        <v>JACKSON WILLIAM</v>
      </c>
    </row>
    <row r="215" spans="1:7" x14ac:dyDescent="0.25">
      <c r="A215" s="8">
        <v>42809.796550925923</v>
      </c>
      <c r="B215" s="20" t="s">
        <v>379</v>
      </c>
      <c r="C215" s="20" t="s">
        <v>787</v>
      </c>
      <c r="D215" s="150">
        <v>2270000</v>
      </c>
      <c r="E215" s="20" t="s">
        <v>212</v>
      </c>
      <c r="F215" s="20" t="s">
        <v>213</v>
      </c>
      <c r="G215" s="8" t="str">
        <f t="shared" si="3"/>
        <v>BROWN JACOB</v>
      </c>
    </row>
    <row r="216" spans="1:7" x14ac:dyDescent="0.25">
      <c r="A216" s="8">
        <v>42809.797719907408</v>
      </c>
      <c r="B216" s="20" t="s">
        <v>574</v>
      </c>
      <c r="C216" s="20" t="s">
        <v>788</v>
      </c>
      <c r="D216" s="150">
        <v>1800000</v>
      </c>
      <c r="E216" s="20" t="s">
        <v>215</v>
      </c>
      <c r="F216" s="20" t="s">
        <v>216</v>
      </c>
      <c r="G216" s="8" t="str">
        <f t="shared" si="3"/>
        <v>CHANDLER KELVIN</v>
      </c>
    </row>
    <row r="217" spans="1:7" x14ac:dyDescent="0.25">
      <c r="A217" s="8">
        <v>42809.798888888887</v>
      </c>
      <c r="B217" s="20" t="s">
        <v>668</v>
      </c>
      <c r="C217" s="20" t="s">
        <v>789</v>
      </c>
      <c r="D217" s="150">
        <v>2040000</v>
      </c>
      <c r="E217" s="20" t="s">
        <v>244</v>
      </c>
      <c r="F217" s="20" t="s">
        <v>245</v>
      </c>
      <c r="G217" s="8" t="str">
        <f t="shared" si="3"/>
        <v>MOSES BRADLEY</v>
      </c>
    </row>
    <row r="218" spans="1:7" x14ac:dyDescent="0.25">
      <c r="A218" s="8">
        <v>42809.801087962966</v>
      </c>
      <c r="B218" s="20" t="s">
        <v>446</v>
      </c>
      <c r="C218" s="20" t="s">
        <v>790</v>
      </c>
      <c r="D218" s="150">
        <v>1810000</v>
      </c>
      <c r="E218" s="20" t="s">
        <v>200</v>
      </c>
      <c r="F218" s="20" t="s">
        <v>196</v>
      </c>
      <c r="G218" s="8" t="str">
        <f t="shared" si="3"/>
        <v>NEWELL JAMES</v>
      </c>
    </row>
    <row r="219" spans="1:7" x14ac:dyDescent="0.25">
      <c r="A219" s="8">
        <v>42809.802442129629</v>
      </c>
      <c r="B219" s="20" t="s">
        <v>576</v>
      </c>
      <c r="C219" s="20" t="s">
        <v>791</v>
      </c>
      <c r="D219" s="150">
        <v>1770000</v>
      </c>
      <c r="E219" s="20" t="s">
        <v>724</v>
      </c>
      <c r="F219" s="20" t="s">
        <v>725</v>
      </c>
      <c r="G219" s="8" t="str">
        <f t="shared" si="3"/>
        <v>BRUDER RICHARD</v>
      </c>
    </row>
    <row r="220" spans="1:7" x14ac:dyDescent="0.25">
      <c r="A220" s="8">
        <v>42809.808854166666</v>
      </c>
      <c r="B220" s="20" t="s">
        <v>391</v>
      </c>
      <c r="C220" s="20" t="s">
        <v>792</v>
      </c>
      <c r="D220" s="150">
        <v>3020000</v>
      </c>
      <c r="E220" s="20" t="s">
        <v>771</v>
      </c>
      <c r="F220" s="20" t="s">
        <v>772</v>
      </c>
      <c r="G220" s="8" t="str">
        <f t="shared" si="3"/>
        <v>MENGES BRAD</v>
      </c>
    </row>
    <row r="221" spans="1:7" x14ac:dyDescent="0.25">
      <c r="A221" s="8">
        <v>42809.817974537036</v>
      </c>
      <c r="B221" s="20" t="s">
        <v>587</v>
      </c>
      <c r="C221" s="20" t="s">
        <v>793</v>
      </c>
      <c r="D221" s="150">
        <v>1770000</v>
      </c>
      <c r="E221" s="20" t="s">
        <v>724</v>
      </c>
      <c r="F221" s="20" t="s">
        <v>725</v>
      </c>
      <c r="G221" s="8" t="str">
        <f t="shared" si="3"/>
        <v>BRUDER RICHARD</v>
      </c>
    </row>
    <row r="222" spans="1:7" x14ac:dyDescent="0.25">
      <c r="A222" s="8">
        <v>42809.819872685184</v>
      </c>
      <c r="B222" s="20" t="s">
        <v>426</v>
      </c>
      <c r="C222" s="20" t="s">
        <v>794</v>
      </c>
      <c r="D222" s="150">
        <v>2370000</v>
      </c>
      <c r="E222" s="20" t="s">
        <v>717</v>
      </c>
      <c r="F222" s="20" t="s">
        <v>718</v>
      </c>
      <c r="G222" s="8" t="str">
        <f t="shared" si="3"/>
        <v>DELGADO DIANAH</v>
      </c>
    </row>
    <row r="223" spans="1:7" x14ac:dyDescent="0.25">
      <c r="A223" s="8">
        <v>42809.827488425923</v>
      </c>
      <c r="B223" s="20" t="s">
        <v>221</v>
      </c>
      <c r="C223" s="20" t="s">
        <v>795</v>
      </c>
      <c r="D223" s="150">
        <v>970000</v>
      </c>
      <c r="E223" s="20" t="s">
        <v>759</v>
      </c>
      <c r="F223" s="20" t="s">
        <v>760</v>
      </c>
      <c r="G223" s="8" t="str">
        <f t="shared" si="3"/>
        <v>JACKSON WILLIAM</v>
      </c>
    </row>
    <row r="224" spans="1:7" x14ac:dyDescent="0.25">
      <c r="A224" s="8">
        <v>42809.830960648149</v>
      </c>
      <c r="B224" t="s">
        <v>243</v>
      </c>
      <c r="C224" t="s">
        <v>796</v>
      </c>
      <c r="D224" s="150">
        <v>2270000</v>
      </c>
      <c r="E224" t="s">
        <v>212</v>
      </c>
      <c r="F224" s="20" t="s">
        <v>213</v>
      </c>
      <c r="G224" s="8" t="str">
        <f t="shared" si="3"/>
        <v>BROWN JACOB</v>
      </c>
    </row>
    <row r="225" spans="1:7" x14ac:dyDescent="0.25">
      <c r="A225" s="8">
        <v>42809.844826388886</v>
      </c>
      <c r="B225" t="s">
        <v>576</v>
      </c>
      <c r="C225" t="s">
        <v>619</v>
      </c>
      <c r="D225" s="150">
        <v>1770000</v>
      </c>
      <c r="E225" t="s">
        <v>724</v>
      </c>
      <c r="F225" s="20" t="s">
        <v>725</v>
      </c>
      <c r="G225" s="8" t="str">
        <f t="shared" si="3"/>
        <v>BRUDER RICHARD</v>
      </c>
    </row>
    <row r="226" spans="1:7" x14ac:dyDescent="0.25">
      <c r="A226" s="8">
        <v>42809.847048611111</v>
      </c>
      <c r="B226" t="s">
        <v>504</v>
      </c>
      <c r="C226" t="s">
        <v>797</v>
      </c>
      <c r="D226" s="150">
        <v>3020000</v>
      </c>
      <c r="E226" t="s">
        <v>771</v>
      </c>
      <c r="F226" s="20" t="s">
        <v>772</v>
      </c>
      <c r="G226" s="8" t="str">
        <f t="shared" si="3"/>
        <v>MENGES BRAD</v>
      </c>
    </row>
    <row r="227" spans="1:7" x14ac:dyDescent="0.25">
      <c r="A227" s="8">
        <v>42809.852789351855</v>
      </c>
      <c r="B227" t="s">
        <v>445</v>
      </c>
      <c r="C227" t="s">
        <v>798</v>
      </c>
      <c r="D227" s="150">
        <v>2530000</v>
      </c>
      <c r="E227" t="s">
        <v>509</v>
      </c>
      <c r="F227" s="20" t="s">
        <v>510</v>
      </c>
      <c r="G227" s="8" t="str">
        <f t="shared" si="3"/>
        <v>LALONDE GREGORY</v>
      </c>
    </row>
    <row r="228" spans="1:7" x14ac:dyDescent="0.25">
      <c r="A228" s="8">
        <v>42809.860219907408</v>
      </c>
      <c r="B228" t="s">
        <v>587</v>
      </c>
      <c r="C228" t="s">
        <v>799</v>
      </c>
      <c r="D228" s="150">
        <v>1770000</v>
      </c>
      <c r="E228" t="s">
        <v>724</v>
      </c>
      <c r="F228" s="20" t="s">
        <v>725</v>
      </c>
      <c r="G228" s="8" t="str">
        <f t="shared" si="3"/>
        <v>BRUDER RICHARD</v>
      </c>
    </row>
    <row r="229" spans="1:7" x14ac:dyDescent="0.25">
      <c r="A229" s="8">
        <v>42809.869432870371</v>
      </c>
      <c r="B229" t="s">
        <v>190</v>
      </c>
      <c r="C229" t="s">
        <v>800</v>
      </c>
      <c r="D229" s="150">
        <v>2150000</v>
      </c>
      <c r="E229" t="s">
        <v>427</v>
      </c>
      <c r="F229" s="20" t="s">
        <v>428</v>
      </c>
      <c r="G229" s="8" t="str">
        <f t="shared" si="3"/>
        <v>SWANSON BRYCE</v>
      </c>
    </row>
    <row r="230" spans="1:7" x14ac:dyDescent="0.25">
      <c r="A230" s="8">
        <v>42809.870694444442</v>
      </c>
      <c r="B230" t="s">
        <v>379</v>
      </c>
      <c r="C230" t="s">
        <v>620</v>
      </c>
      <c r="D230" s="150">
        <v>2270000</v>
      </c>
      <c r="E230" t="s">
        <v>212</v>
      </c>
      <c r="F230" s="20" t="s">
        <v>213</v>
      </c>
      <c r="G230" s="8" t="str">
        <f t="shared" si="3"/>
        <v>BROWN JACOB</v>
      </c>
    </row>
    <row r="231" spans="1:7" x14ac:dyDescent="0.25">
      <c r="A231" s="8">
        <v>42809.885127314818</v>
      </c>
      <c r="B231" t="s">
        <v>576</v>
      </c>
      <c r="C231" t="s">
        <v>801</v>
      </c>
      <c r="D231" s="150">
        <v>1800000</v>
      </c>
      <c r="E231" t="s">
        <v>215</v>
      </c>
      <c r="F231" s="20" t="s">
        <v>216</v>
      </c>
      <c r="G231" s="8" t="str">
        <f t="shared" si="3"/>
        <v>CHANDLER KELVIN</v>
      </c>
    </row>
    <row r="232" spans="1:7" x14ac:dyDescent="0.25">
      <c r="A232" s="8">
        <v>42809.885798611111</v>
      </c>
      <c r="B232" t="s">
        <v>446</v>
      </c>
      <c r="C232" t="s">
        <v>802</v>
      </c>
      <c r="D232" s="150">
        <v>2530000</v>
      </c>
      <c r="E232" t="s">
        <v>509</v>
      </c>
      <c r="F232" s="20" t="s">
        <v>510</v>
      </c>
      <c r="G232" s="8" t="str">
        <f t="shared" si="3"/>
        <v>LALONDE GREGORY</v>
      </c>
    </row>
    <row r="233" spans="1:7" x14ac:dyDescent="0.25">
      <c r="A233" s="8">
        <v>42809.892777777779</v>
      </c>
      <c r="B233" t="s">
        <v>391</v>
      </c>
      <c r="C233" t="s">
        <v>803</v>
      </c>
      <c r="D233" s="150">
        <v>3020000</v>
      </c>
      <c r="E233" t="s">
        <v>771</v>
      </c>
      <c r="F233" s="20" t="s">
        <v>772</v>
      </c>
      <c r="G233" s="8" t="str">
        <f t="shared" si="3"/>
        <v>MENGES BRAD</v>
      </c>
    </row>
    <row r="234" spans="1:7" x14ac:dyDescent="0.25">
      <c r="A234" s="8">
        <v>42809.902372685188</v>
      </c>
      <c r="B234" t="s">
        <v>587</v>
      </c>
      <c r="C234" t="s">
        <v>621</v>
      </c>
      <c r="D234" s="150">
        <v>1800000</v>
      </c>
      <c r="E234" t="s">
        <v>215</v>
      </c>
      <c r="F234" s="20" t="s">
        <v>216</v>
      </c>
      <c r="G234" s="8" t="str">
        <f t="shared" si="3"/>
        <v>CHANDLER KELVIN</v>
      </c>
    </row>
    <row r="235" spans="1:7" x14ac:dyDescent="0.25">
      <c r="A235" s="8">
        <v>42809.909699074073</v>
      </c>
      <c r="B235" t="s">
        <v>221</v>
      </c>
      <c r="C235" t="s">
        <v>804</v>
      </c>
      <c r="D235" s="150">
        <v>2150000</v>
      </c>
      <c r="E235" t="s">
        <v>427</v>
      </c>
      <c r="F235" s="20" t="s">
        <v>428</v>
      </c>
      <c r="G235" s="8" t="str">
        <f t="shared" si="3"/>
        <v>SWANSON BRYCE</v>
      </c>
    </row>
    <row r="236" spans="1:7" x14ac:dyDescent="0.25">
      <c r="A236" s="8">
        <v>42809.911435185182</v>
      </c>
      <c r="B236" t="s">
        <v>243</v>
      </c>
      <c r="C236" t="s">
        <v>805</v>
      </c>
      <c r="D236" s="150">
        <v>2270000</v>
      </c>
      <c r="E236" t="s">
        <v>212</v>
      </c>
      <c r="F236" s="20" t="s">
        <v>213</v>
      </c>
      <c r="G236" s="8" t="str">
        <f t="shared" si="3"/>
        <v>BROWN JACOB</v>
      </c>
    </row>
    <row r="237" spans="1:7" x14ac:dyDescent="0.25">
      <c r="A237" s="8">
        <v>42809.927384259259</v>
      </c>
      <c r="B237" t="s">
        <v>576</v>
      </c>
      <c r="C237" t="s">
        <v>806</v>
      </c>
      <c r="D237" s="150">
        <v>1800000</v>
      </c>
      <c r="E237" t="s">
        <v>215</v>
      </c>
      <c r="F237" s="20" t="s">
        <v>216</v>
      </c>
      <c r="G237" s="8" t="str">
        <f t="shared" si="3"/>
        <v>CHANDLER KELVIN</v>
      </c>
    </row>
    <row r="238" spans="1:7" x14ac:dyDescent="0.25">
      <c r="A238" s="8">
        <v>42809.931215277778</v>
      </c>
      <c r="B238" t="s">
        <v>504</v>
      </c>
      <c r="C238" t="s">
        <v>807</v>
      </c>
      <c r="D238" s="150">
        <v>3020000</v>
      </c>
      <c r="E238" t="s">
        <v>771</v>
      </c>
      <c r="F238" s="20" t="s">
        <v>772</v>
      </c>
      <c r="G238" s="8" t="str">
        <f t="shared" si="3"/>
        <v>MENGES BRAD</v>
      </c>
    </row>
    <row r="239" spans="1:7" x14ac:dyDescent="0.25">
      <c r="A239" s="8">
        <v>42809.93546296296</v>
      </c>
      <c r="B239" t="s">
        <v>445</v>
      </c>
      <c r="C239" t="s">
        <v>808</v>
      </c>
      <c r="D239" s="150">
        <v>2480000</v>
      </c>
      <c r="E239" t="s">
        <v>809</v>
      </c>
      <c r="F239" s="20" t="s">
        <v>810</v>
      </c>
      <c r="G239" s="8" t="str">
        <f t="shared" si="3"/>
        <v>WHITED DUSTIN</v>
      </c>
    </row>
    <row r="240" spans="1:7" x14ac:dyDescent="0.25">
      <c r="A240" s="8">
        <v>42809.942962962959</v>
      </c>
      <c r="B240" t="s">
        <v>587</v>
      </c>
      <c r="C240" t="s">
        <v>811</v>
      </c>
      <c r="D240" s="150">
        <v>1800000</v>
      </c>
      <c r="E240" t="s">
        <v>215</v>
      </c>
      <c r="F240" s="20" t="s">
        <v>216</v>
      </c>
      <c r="G240" s="8" t="str">
        <f t="shared" si="3"/>
        <v>CHANDLER KELVIN</v>
      </c>
    </row>
    <row r="241" spans="1:7" x14ac:dyDescent="0.25">
      <c r="A241" s="8">
        <v>42809.94734953704</v>
      </c>
      <c r="B241" t="s">
        <v>190</v>
      </c>
      <c r="C241" t="s">
        <v>812</v>
      </c>
      <c r="D241" s="150">
        <v>2150000</v>
      </c>
      <c r="E241" t="s">
        <v>427</v>
      </c>
      <c r="F241" s="20" t="s">
        <v>428</v>
      </c>
      <c r="G241" s="8" t="str">
        <f t="shared" si="3"/>
        <v>SWANSON BRYCE</v>
      </c>
    </row>
    <row r="242" spans="1:7" x14ac:dyDescent="0.25">
      <c r="A242" s="8">
        <v>42809.95275462963</v>
      </c>
      <c r="B242" t="s">
        <v>379</v>
      </c>
      <c r="C242" t="s">
        <v>622</v>
      </c>
      <c r="D242" s="150">
        <v>2270000</v>
      </c>
      <c r="E242" t="s">
        <v>212</v>
      </c>
      <c r="F242" s="20" t="s">
        <v>213</v>
      </c>
      <c r="G242" s="8" t="str">
        <f t="shared" si="3"/>
        <v>BROWN JACOB</v>
      </c>
    </row>
    <row r="243" spans="1:7" x14ac:dyDescent="0.25">
      <c r="A243" s="8">
        <v>42809.971504629626</v>
      </c>
      <c r="B243" t="s">
        <v>446</v>
      </c>
      <c r="C243" t="s">
        <v>813</v>
      </c>
      <c r="D243" s="150">
        <v>2480000</v>
      </c>
      <c r="E243" t="s">
        <v>809</v>
      </c>
      <c r="F243" s="20" t="s">
        <v>810</v>
      </c>
      <c r="G243" s="8" t="str">
        <f t="shared" si="3"/>
        <v>WHITED DUSTIN</v>
      </c>
    </row>
    <row r="244" spans="1:7" x14ac:dyDescent="0.25">
      <c r="A244" s="8">
        <v>42809.972800925927</v>
      </c>
      <c r="B244" t="s">
        <v>391</v>
      </c>
      <c r="C244" t="s">
        <v>814</v>
      </c>
      <c r="D244" s="150">
        <v>3020000</v>
      </c>
      <c r="E244" t="s">
        <v>771</v>
      </c>
      <c r="F244" s="20" t="s">
        <v>772</v>
      </c>
      <c r="G244" s="8" t="str">
        <f t="shared" si="3"/>
        <v>MENGES BRAD</v>
      </c>
    </row>
    <row r="245" spans="1:7" x14ac:dyDescent="0.25">
      <c r="A245" s="8">
        <v>42809.992256944446</v>
      </c>
      <c r="B245" t="s">
        <v>221</v>
      </c>
      <c r="C245" t="s">
        <v>815</v>
      </c>
      <c r="D245" s="150">
        <v>2150000</v>
      </c>
      <c r="E245" t="s">
        <v>427</v>
      </c>
      <c r="F245" s="20" t="s">
        <v>428</v>
      </c>
      <c r="G245" s="8" t="str">
        <f t="shared" si="3"/>
        <v>SWANSON BRYCE</v>
      </c>
    </row>
    <row r="246" spans="1:7" x14ac:dyDescent="0.25">
      <c r="A246" s="8">
        <v>42809.995891203704</v>
      </c>
      <c r="B246" t="s">
        <v>243</v>
      </c>
      <c r="C246" t="s">
        <v>816</v>
      </c>
      <c r="D246" s="150">
        <v>2270000</v>
      </c>
      <c r="E246" t="s">
        <v>212</v>
      </c>
      <c r="F246" s="20" t="s">
        <v>213</v>
      </c>
      <c r="G246" s="8" t="str">
        <f t="shared" si="3"/>
        <v>BROWN JACOB</v>
      </c>
    </row>
    <row r="247" spans="1:7" x14ac:dyDescent="0.25">
      <c r="A247" s="8">
        <v>42810.01357638889</v>
      </c>
      <c r="B247" t="s">
        <v>504</v>
      </c>
      <c r="C247" t="s">
        <v>623</v>
      </c>
      <c r="D247" s="150">
        <v>3020000</v>
      </c>
      <c r="E247" t="s">
        <v>771</v>
      </c>
      <c r="F247" s="20" t="s">
        <v>772</v>
      </c>
      <c r="G247" s="8" t="str">
        <f t="shared" si="3"/>
        <v>MENGES BRAD</v>
      </c>
    </row>
    <row r="248" spans="1:7" x14ac:dyDescent="0.25">
      <c r="A248" s="8">
        <v>42810.019479166665</v>
      </c>
      <c r="B248" t="s">
        <v>445</v>
      </c>
      <c r="C248" t="s">
        <v>817</v>
      </c>
      <c r="D248" s="150">
        <v>1810000</v>
      </c>
      <c r="E248" t="s">
        <v>200</v>
      </c>
      <c r="F248" s="20" t="s">
        <v>196</v>
      </c>
      <c r="G248" s="8" t="str">
        <f t="shared" si="3"/>
        <v>NEWELL JAMES</v>
      </c>
    </row>
    <row r="249" spans="1:7" x14ac:dyDescent="0.25">
      <c r="A249" s="8">
        <v>42810.029629629629</v>
      </c>
      <c r="B249" t="s">
        <v>190</v>
      </c>
      <c r="C249" t="s">
        <v>818</v>
      </c>
      <c r="D249" s="150">
        <v>2150000</v>
      </c>
      <c r="E249" t="s">
        <v>427</v>
      </c>
      <c r="F249" s="20" t="s">
        <v>428</v>
      </c>
      <c r="G249" s="8" t="str">
        <f t="shared" si="3"/>
        <v>SWANSON BRYCE</v>
      </c>
    </row>
    <row r="250" spans="1:7" x14ac:dyDescent="0.25">
      <c r="A250" s="8">
        <v>42810.035486111112</v>
      </c>
      <c r="B250" t="s">
        <v>379</v>
      </c>
      <c r="C250" t="s">
        <v>819</v>
      </c>
      <c r="D250" s="150">
        <v>2270000</v>
      </c>
      <c r="E250" t="s">
        <v>212</v>
      </c>
      <c r="F250" s="20" t="s">
        <v>213</v>
      </c>
      <c r="G250" s="8" t="str">
        <f t="shared" si="3"/>
        <v>BROWN JACOB</v>
      </c>
    </row>
    <row r="251" spans="1:7" x14ac:dyDescent="0.25">
      <c r="A251" s="8">
        <v>42810.048784722225</v>
      </c>
      <c r="B251" t="s">
        <v>391</v>
      </c>
      <c r="C251" t="s">
        <v>624</v>
      </c>
      <c r="D251" s="150">
        <v>3020000</v>
      </c>
      <c r="E251" t="s">
        <v>771</v>
      </c>
      <c r="F251" s="20" t="s">
        <v>772</v>
      </c>
      <c r="G251" s="8" t="str">
        <f t="shared" si="3"/>
        <v>MENGES BRAD</v>
      </c>
    </row>
    <row r="252" spans="1:7" x14ac:dyDescent="0.25">
      <c r="A252" s="8">
        <v>42810.058125000003</v>
      </c>
      <c r="B252" t="s">
        <v>446</v>
      </c>
      <c r="C252" t="s">
        <v>820</v>
      </c>
      <c r="D252" s="150">
        <v>1810000</v>
      </c>
      <c r="E252" t="s">
        <v>200</v>
      </c>
      <c r="F252" s="20" t="s">
        <v>196</v>
      </c>
      <c r="G252" s="8" t="str">
        <f t="shared" si="3"/>
        <v>NEWELL JAMES</v>
      </c>
    </row>
    <row r="253" spans="1:7" x14ac:dyDescent="0.25">
      <c r="A253" s="8">
        <v>42810.068888888891</v>
      </c>
      <c r="B253" t="s">
        <v>243</v>
      </c>
      <c r="C253" t="s">
        <v>821</v>
      </c>
      <c r="D253" s="150">
        <v>2270000</v>
      </c>
      <c r="E253" t="s">
        <v>212</v>
      </c>
      <c r="F253" s="20" t="s">
        <v>213</v>
      </c>
      <c r="G253" s="8" t="str">
        <f t="shared" si="3"/>
        <v>BROWN JACOB</v>
      </c>
    </row>
    <row r="254" spans="1:7" x14ac:dyDescent="0.25">
      <c r="A254" s="8">
        <v>42810.091238425928</v>
      </c>
      <c r="B254" t="s">
        <v>445</v>
      </c>
      <c r="C254" t="s">
        <v>822</v>
      </c>
      <c r="D254" s="150">
        <v>1810000</v>
      </c>
      <c r="E254" t="s">
        <v>200</v>
      </c>
      <c r="F254" s="20" t="s">
        <v>196</v>
      </c>
      <c r="G254" s="8" t="str">
        <f t="shared" si="3"/>
        <v>NEWELL JAMES</v>
      </c>
    </row>
    <row r="255" spans="1:7" x14ac:dyDescent="0.25">
      <c r="A255" s="8">
        <v>42810.11451388889</v>
      </c>
      <c r="B255" t="s">
        <v>574</v>
      </c>
      <c r="C255" t="s">
        <v>823</v>
      </c>
      <c r="D255" s="150">
        <v>2550000</v>
      </c>
      <c r="E255" t="s">
        <v>528</v>
      </c>
      <c r="F255" s="20" t="s">
        <v>529</v>
      </c>
      <c r="G255" s="8" t="str">
        <f t="shared" si="3"/>
        <v>BADERTSCHER DIANE</v>
      </c>
    </row>
    <row r="256" spans="1:7" x14ac:dyDescent="0.25">
      <c r="A256" s="8">
        <v>42808.945451388892</v>
      </c>
      <c r="B256" t="s">
        <v>425</v>
      </c>
      <c r="C256" t="s">
        <v>513</v>
      </c>
      <c r="D256" s="150">
        <v>2730000</v>
      </c>
      <c r="E256" t="s">
        <v>228</v>
      </c>
      <c r="F256" s="20" t="s">
        <v>229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203</v>
      </c>
      <c r="C257" t="s">
        <v>515</v>
      </c>
      <c r="D257" s="150">
        <v>1740000</v>
      </c>
      <c r="E257" t="s">
        <v>393</v>
      </c>
      <c r="F257" s="20" t="s">
        <v>394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391</v>
      </c>
      <c r="C258" t="s">
        <v>516</v>
      </c>
      <c r="D258" s="150">
        <v>1800000</v>
      </c>
      <c r="E258" t="s">
        <v>215</v>
      </c>
      <c r="F258" s="20" t="s">
        <v>216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423</v>
      </c>
      <c r="C259" t="s">
        <v>514</v>
      </c>
      <c r="D259" s="150">
        <v>2730000</v>
      </c>
      <c r="E259" t="s">
        <v>228</v>
      </c>
      <c r="F259" s="20" t="s">
        <v>229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453</v>
      </c>
      <c r="C260" t="s">
        <v>517</v>
      </c>
      <c r="D260" s="150">
        <v>1810000</v>
      </c>
      <c r="E260" t="s">
        <v>200</v>
      </c>
      <c r="F260" s="20" t="s">
        <v>196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495</v>
      </c>
      <c r="C261" t="s">
        <v>497</v>
      </c>
      <c r="D261" s="150">
        <v>2000000</v>
      </c>
      <c r="E261" t="s">
        <v>459</v>
      </c>
      <c r="F261" s="20" t="s">
        <v>196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495</v>
      </c>
      <c r="C262" t="s">
        <v>497</v>
      </c>
      <c r="D262" s="150">
        <v>2000000</v>
      </c>
      <c r="E262" t="s">
        <v>459</v>
      </c>
      <c r="F262" s="20" t="s">
        <v>196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425</v>
      </c>
      <c r="C263" t="s">
        <v>513</v>
      </c>
      <c r="D263" s="150">
        <v>2730000</v>
      </c>
      <c r="E263" t="s">
        <v>228</v>
      </c>
      <c r="F263" s="20" t="s">
        <v>229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382</v>
      </c>
      <c r="C264" t="s">
        <v>518</v>
      </c>
      <c r="D264" s="150">
        <v>1740000</v>
      </c>
      <c r="E264" t="s">
        <v>393</v>
      </c>
      <c r="F264" s="20" t="s">
        <v>394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504</v>
      </c>
      <c r="C265" t="s">
        <v>519</v>
      </c>
      <c r="D265" s="150">
        <v>1800000</v>
      </c>
      <c r="E265" t="s">
        <v>215</v>
      </c>
      <c r="F265" s="20" t="s">
        <v>216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496</v>
      </c>
      <c r="C266" t="s">
        <v>520</v>
      </c>
      <c r="D266" s="150">
        <v>2000000</v>
      </c>
      <c r="E266" t="s">
        <v>459</v>
      </c>
      <c r="F266" s="20" t="s">
        <v>196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423</v>
      </c>
      <c r="C267" t="s">
        <v>514</v>
      </c>
      <c r="D267" s="150">
        <v>2730000</v>
      </c>
      <c r="E267" t="s">
        <v>228</v>
      </c>
      <c r="F267" s="20" t="s">
        <v>229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447</v>
      </c>
      <c r="C268" t="s">
        <v>521</v>
      </c>
      <c r="D268" s="150">
        <v>1810000</v>
      </c>
      <c r="E268" t="s">
        <v>200</v>
      </c>
      <c r="F268" s="20" t="s">
        <v>196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469</v>
      </c>
      <c r="C269" t="s">
        <v>522</v>
      </c>
      <c r="D269" s="150">
        <v>1740000</v>
      </c>
      <c r="E269" t="s">
        <v>393</v>
      </c>
      <c r="F269" s="20" t="s">
        <v>394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391</v>
      </c>
      <c r="C270" t="s">
        <v>523</v>
      </c>
      <c r="D270" s="150">
        <v>1800000</v>
      </c>
      <c r="E270" t="s">
        <v>215</v>
      </c>
      <c r="F270" s="20" t="s">
        <v>216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425</v>
      </c>
      <c r="C271" t="s">
        <v>513</v>
      </c>
      <c r="D271" s="150">
        <v>2730000</v>
      </c>
      <c r="E271" t="s">
        <v>228</v>
      </c>
      <c r="F271" s="20" t="s">
        <v>229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453</v>
      </c>
      <c r="C272" t="s">
        <v>524</v>
      </c>
      <c r="D272" s="150">
        <v>1810000</v>
      </c>
      <c r="E272" t="s">
        <v>200</v>
      </c>
      <c r="F272" s="20" t="s">
        <v>196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495</v>
      </c>
      <c r="C273" t="s">
        <v>498</v>
      </c>
      <c r="D273" s="150">
        <v>2000000</v>
      </c>
      <c r="E273" t="s">
        <v>459</v>
      </c>
      <c r="F273" s="20" t="s">
        <v>196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382</v>
      </c>
      <c r="C274" t="s">
        <v>525</v>
      </c>
      <c r="D274" s="150">
        <v>1740000</v>
      </c>
      <c r="E274" t="s">
        <v>393</v>
      </c>
      <c r="F274" s="20" t="s">
        <v>394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496</v>
      </c>
      <c r="C275" t="s">
        <v>526</v>
      </c>
      <c r="D275" s="150">
        <v>2000000</v>
      </c>
      <c r="E275" t="s">
        <v>459</v>
      </c>
      <c r="F275" s="20" t="s">
        <v>196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424</v>
      </c>
      <c r="C276" t="s">
        <v>527</v>
      </c>
      <c r="D276" s="150">
        <v>2550000</v>
      </c>
      <c r="E276" t="s">
        <v>528</v>
      </c>
      <c r="F276" s="20" t="s">
        <v>529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48.98</v>
      </c>
      <c r="B2" s="168">
        <v>0.21</v>
      </c>
      <c r="C2" s="168">
        <v>23.64</v>
      </c>
      <c r="D2" s="8">
        <v>42809</v>
      </c>
      <c r="E2" s="168">
        <v>0.36</v>
      </c>
      <c r="F2" s="168" t="s">
        <v>532</v>
      </c>
      <c r="G2" s="168">
        <v>314.45999999999998</v>
      </c>
      <c r="H2" s="168">
        <v>0</v>
      </c>
      <c r="I2" s="168">
        <v>0</v>
      </c>
      <c r="J2" s="168">
        <v>1019.52</v>
      </c>
      <c r="K2" s="168" t="s">
        <v>531</v>
      </c>
      <c r="L2" s="168">
        <v>49.69</v>
      </c>
      <c r="M2" s="168">
        <v>1489557600</v>
      </c>
      <c r="N2" s="168">
        <v>6.06</v>
      </c>
      <c r="O2" s="168">
        <v>256</v>
      </c>
      <c r="P2" s="168">
        <v>3.4</v>
      </c>
      <c r="Q2"/>
      <c r="R2"/>
    </row>
    <row r="3" spans="1:18" x14ac:dyDescent="0.25">
      <c r="A3" s="168">
        <v>48.11</v>
      </c>
      <c r="B3" s="168">
        <v>0.17</v>
      </c>
      <c r="C3" s="168">
        <v>23.62</v>
      </c>
      <c r="D3" s="8">
        <v>42809.041666666664</v>
      </c>
      <c r="E3" s="168">
        <v>0.38</v>
      </c>
      <c r="F3" s="168" t="s">
        <v>532</v>
      </c>
      <c r="G3" s="168">
        <v>312.93</v>
      </c>
      <c r="H3" s="168">
        <v>0</v>
      </c>
      <c r="I3" s="168">
        <v>0</v>
      </c>
      <c r="J3" s="168">
        <v>1020.19</v>
      </c>
      <c r="K3" s="168" t="s">
        <v>531</v>
      </c>
      <c r="L3" s="168">
        <v>48.11</v>
      </c>
      <c r="M3" s="168">
        <v>1489561200</v>
      </c>
      <c r="N3" s="168">
        <v>6.34</v>
      </c>
      <c r="O3" s="168">
        <v>251</v>
      </c>
      <c r="P3" s="168">
        <v>2.2799999999999998</v>
      </c>
      <c r="Q3"/>
      <c r="R3"/>
    </row>
    <row r="4" spans="1:18" x14ac:dyDescent="0.25">
      <c r="A4" s="168">
        <v>44.32</v>
      </c>
      <c r="B4" s="168">
        <v>0.15</v>
      </c>
      <c r="C4" s="168">
        <v>22.48</v>
      </c>
      <c r="D4" s="8">
        <v>42809.083333333336</v>
      </c>
      <c r="E4" s="168">
        <v>0.4</v>
      </c>
      <c r="F4" s="168" t="s">
        <v>532</v>
      </c>
      <c r="G4" s="168">
        <v>311.39999999999998</v>
      </c>
      <c r="H4" s="168">
        <v>0</v>
      </c>
      <c r="I4" s="168">
        <v>0</v>
      </c>
      <c r="J4" s="168">
        <v>1020.86</v>
      </c>
      <c r="K4" s="168" t="s">
        <v>531</v>
      </c>
      <c r="L4" s="168">
        <v>45.58</v>
      </c>
      <c r="M4" s="168">
        <v>1489564800</v>
      </c>
      <c r="N4" s="168">
        <v>6.43</v>
      </c>
      <c r="O4" s="168">
        <v>244</v>
      </c>
      <c r="P4" s="168">
        <v>3.36</v>
      </c>
      <c r="Q4"/>
      <c r="R4"/>
    </row>
    <row r="5" spans="1:18" x14ac:dyDescent="0.25">
      <c r="A5" s="168">
        <v>42.58</v>
      </c>
      <c r="B5" s="168">
        <v>0.16</v>
      </c>
      <c r="C5" s="168">
        <v>23.36</v>
      </c>
      <c r="D5" s="8">
        <v>42809.125</v>
      </c>
      <c r="E5" s="168">
        <v>0.44</v>
      </c>
      <c r="F5" s="168" t="s">
        <v>532</v>
      </c>
      <c r="G5" s="168">
        <v>309.87</v>
      </c>
      <c r="H5" s="168">
        <v>0</v>
      </c>
      <c r="I5" s="168">
        <v>0</v>
      </c>
      <c r="J5" s="168">
        <v>1021.39</v>
      </c>
      <c r="K5" s="168" t="s">
        <v>531</v>
      </c>
      <c r="L5" s="168">
        <v>44</v>
      </c>
      <c r="M5" s="168">
        <v>1489568400</v>
      </c>
      <c r="N5" s="168">
        <v>6.1</v>
      </c>
      <c r="O5" s="168">
        <v>238</v>
      </c>
      <c r="P5" s="168">
        <v>3.3</v>
      </c>
      <c r="Q5"/>
      <c r="R5"/>
    </row>
    <row r="6" spans="1:18" x14ac:dyDescent="0.25">
      <c r="A6" s="168">
        <v>39.57</v>
      </c>
      <c r="B6" s="168">
        <v>0.24</v>
      </c>
      <c r="C6" s="168">
        <v>22.06</v>
      </c>
      <c r="D6" s="8">
        <v>42809.166666666664</v>
      </c>
      <c r="E6" s="168">
        <v>0.45</v>
      </c>
      <c r="F6" s="168" t="s">
        <v>532</v>
      </c>
      <c r="G6" s="168">
        <v>310.49</v>
      </c>
      <c r="H6" s="168">
        <v>0</v>
      </c>
      <c r="I6" s="168">
        <v>0</v>
      </c>
      <c r="J6" s="168">
        <v>1021.03</v>
      </c>
      <c r="K6" s="168" t="s">
        <v>531</v>
      </c>
      <c r="L6" s="168">
        <v>42.04</v>
      </c>
      <c r="M6" s="168">
        <v>1489572000</v>
      </c>
      <c r="N6" s="168">
        <v>6.05</v>
      </c>
      <c r="O6" s="168">
        <v>228</v>
      </c>
      <c r="P6" s="168">
        <v>4.13</v>
      </c>
      <c r="Q6"/>
      <c r="R6"/>
    </row>
    <row r="7" spans="1:18" x14ac:dyDescent="0.25">
      <c r="A7" s="168">
        <v>38.83</v>
      </c>
      <c r="B7" s="168">
        <v>0.21</v>
      </c>
      <c r="C7" s="168">
        <v>20.51</v>
      </c>
      <c r="D7" s="8">
        <v>42809.208333333336</v>
      </c>
      <c r="E7" s="168">
        <v>0.43</v>
      </c>
      <c r="F7" s="168" t="s">
        <v>532</v>
      </c>
      <c r="G7" s="168">
        <v>311.95</v>
      </c>
      <c r="H7" s="168">
        <v>0</v>
      </c>
      <c r="I7" s="168">
        <v>0</v>
      </c>
      <c r="J7" s="168">
        <v>1020.29</v>
      </c>
      <c r="K7" s="168" t="s">
        <v>531</v>
      </c>
      <c r="L7" s="168">
        <v>41.32</v>
      </c>
      <c r="M7" s="168">
        <v>1489575600</v>
      </c>
      <c r="N7" s="168">
        <v>6.58</v>
      </c>
      <c r="O7" s="168">
        <v>224</v>
      </c>
      <c r="P7" s="168">
        <v>4.01</v>
      </c>
      <c r="Q7"/>
      <c r="R7"/>
    </row>
    <row r="8" spans="1:18" x14ac:dyDescent="0.25">
      <c r="A8" s="168">
        <v>39.99</v>
      </c>
      <c r="B8" s="168">
        <v>0.26</v>
      </c>
      <c r="C8" s="168">
        <v>21.02</v>
      </c>
      <c r="D8" s="8">
        <v>42809.25</v>
      </c>
      <c r="E8" s="168">
        <v>0.42</v>
      </c>
      <c r="F8" s="168" t="s">
        <v>383</v>
      </c>
      <c r="G8" s="168">
        <v>312.87</v>
      </c>
      <c r="H8" s="168">
        <v>0</v>
      </c>
      <c r="I8" s="168">
        <v>0</v>
      </c>
      <c r="J8" s="168">
        <v>1019.77</v>
      </c>
      <c r="K8" s="168" t="s">
        <v>384</v>
      </c>
      <c r="L8" s="168">
        <v>42.67</v>
      </c>
      <c r="M8" s="168">
        <v>1489579200</v>
      </c>
      <c r="N8" s="168">
        <v>8.06</v>
      </c>
      <c r="O8" s="168">
        <v>230</v>
      </c>
      <c r="P8" s="168">
        <v>4.49</v>
      </c>
      <c r="Q8"/>
      <c r="R8"/>
    </row>
    <row r="9" spans="1:18" x14ac:dyDescent="0.25">
      <c r="A9" s="168">
        <v>41.21</v>
      </c>
      <c r="B9" s="168">
        <v>0.32</v>
      </c>
      <c r="C9" s="168">
        <v>20.28</v>
      </c>
      <c r="D9" s="8">
        <v>42809.291666666664</v>
      </c>
      <c r="E9" s="168">
        <v>0.39</v>
      </c>
      <c r="F9" s="168" t="s">
        <v>383</v>
      </c>
      <c r="G9" s="168">
        <v>312.52999999999997</v>
      </c>
      <c r="H9" s="168">
        <v>0</v>
      </c>
      <c r="I9" s="168">
        <v>0</v>
      </c>
      <c r="J9" s="168">
        <v>1019.93</v>
      </c>
      <c r="K9" s="168" t="s">
        <v>384</v>
      </c>
      <c r="L9" s="168">
        <v>43.86</v>
      </c>
      <c r="M9" s="168">
        <v>1489582800</v>
      </c>
      <c r="N9" s="168">
        <v>6.99</v>
      </c>
      <c r="O9" s="168">
        <v>227</v>
      </c>
      <c r="P9" s="168">
        <v>4.71</v>
      </c>
      <c r="Q9"/>
      <c r="R9"/>
    </row>
    <row r="10" spans="1:18" x14ac:dyDescent="0.25">
      <c r="A10" s="168">
        <v>42.09</v>
      </c>
      <c r="B10" s="168">
        <v>0.37</v>
      </c>
      <c r="C10" s="168">
        <v>21.17</v>
      </c>
      <c r="D10" s="8">
        <v>42809.333333333336</v>
      </c>
      <c r="E10" s="168">
        <v>0.38</v>
      </c>
      <c r="F10" s="168" t="s">
        <v>385</v>
      </c>
      <c r="G10" s="168">
        <v>311.64999999999998</v>
      </c>
      <c r="H10" s="168">
        <v>0</v>
      </c>
      <c r="I10" s="168">
        <v>0</v>
      </c>
      <c r="J10" s="168">
        <v>1020.18</v>
      </c>
      <c r="K10" s="168" t="s">
        <v>384</v>
      </c>
      <c r="L10" s="168">
        <v>44.93</v>
      </c>
      <c r="M10" s="168">
        <v>1489586400</v>
      </c>
      <c r="N10" s="168">
        <v>6.28</v>
      </c>
      <c r="O10" s="168">
        <v>231</v>
      </c>
      <c r="P10" s="168">
        <v>5.25</v>
      </c>
      <c r="Q10"/>
      <c r="R10"/>
    </row>
    <row r="11" spans="1:18" x14ac:dyDescent="0.25">
      <c r="A11" s="168">
        <v>47.53</v>
      </c>
      <c r="B11" s="168">
        <v>0.37</v>
      </c>
      <c r="C11" s="168">
        <v>23.43</v>
      </c>
      <c r="D11" s="8">
        <v>42809.375</v>
      </c>
      <c r="E11" s="168">
        <v>0.36</v>
      </c>
      <c r="F11" s="168" t="s">
        <v>385</v>
      </c>
      <c r="G11" s="168">
        <v>311.06</v>
      </c>
      <c r="H11" s="168">
        <v>0</v>
      </c>
      <c r="I11" s="168">
        <v>0</v>
      </c>
      <c r="J11" s="168">
        <v>1020.15</v>
      </c>
      <c r="K11" s="168" t="s">
        <v>384</v>
      </c>
      <c r="L11" s="168">
        <v>49.34</v>
      </c>
      <c r="M11" s="168">
        <v>1489590000</v>
      </c>
      <c r="N11" s="168">
        <v>5.97</v>
      </c>
      <c r="O11" s="168">
        <v>233</v>
      </c>
      <c r="P11" s="168">
        <v>4.8499999999999996</v>
      </c>
      <c r="Q11"/>
      <c r="R11"/>
    </row>
    <row r="12" spans="1:18" x14ac:dyDescent="0.25">
      <c r="A12" s="168">
        <v>58.67</v>
      </c>
      <c r="B12" s="168">
        <v>0.39</v>
      </c>
      <c r="C12" s="168">
        <v>23.87</v>
      </c>
      <c r="D12" s="8">
        <v>42809.416666666664</v>
      </c>
      <c r="E12" s="168">
        <v>0.26</v>
      </c>
      <c r="F12" s="168" t="s">
        <v>385</v>
      </c>
      <c r="G12" s="168">
        <v>311.12</v>
      </c>
      <c r="H12" s="168">
        <v>0</v>
      </c>
      <c r="I12" s="168">
        <v>0</v>
      </c>
      <c r="J12" s="168">
        <v>1019.04</v>
      </c>
      <c r="K12" s="168" t="s">
        <v>384</v>
      </c>
      <c r="L12" s="168">
        <v>58.67</v>
      </c>
      <c r="M12" s="168">
        <v>1489593600</v>
      </c>
      <c r="N12" s="168">
        <v>5.89</v>
      </c>
      <c r="O12" s="168">
        <v>248</v>
      </c>
      <c r="P12" s="168">
        <v>5.39</v>
      </c>
      <c r="Q12"/>
      <c r="R12"/>
    </row>
    <row r="13" spans="1:18" x14ac:dyDescent="0.25">
      <c r="A13" s="168">
        <v>66.349999999999994</v>
      </c>
      <c r="B13" s="168">
        <v>0.35</v>
      </c>
      <c r="C13" s="168">
        <v>21.3</v>
      </c>
      <c r="D13" s="8">
        <v>42809.458333333336</v>
      </c>
      <c r="E13" s="168">
        <v>0.18</v>
      </c>
      <c r="F13" s="168" t="s">
        <v>385</v>
      </c>
      <c r="G13" s="168">
        <v>311.48</v>
      </c>
      <c r="H13" s="168">
        <v>0</v>
      </c>
      <c r="I13" s="168">
        <v>0</v>
      </c>
      <c r="J13" s="168">
        <v>1017.18</v>
      </c>
      <c r="K13" s="168" t="s">
        <v>384</v>
      </c>
      <c r="L13" s="168">
        <v>66.349999999999994</v>
      </c>
      <c r="M13" s="168">
        <v>1489597200</v>
      </c>
      <c r="N13" s="168">
        <v>5.99</v>
      </c>
      <c r="O13" s="168">
        <v>290</v>
      </c>
      <c r="P13" s="168">
        <v>6.12</v>
      </c>
      <c r="Q13"/>
      <c r="R13"/>
    </row>
    <row r="14" spans="1:18" x14ac:dyDescent="0.25">
      <c r="A14" s="168">
        <v>70.040000000000006</v>
      </c>
      <c r="B14" s="168">
        <v>0.35</v>
      </c>
      <c r="C14" s="168">
        <v>20.43</v>
      </c>
      <c r="D14" s="8">
        <v>42809.5</v>
      </c>
      <c r="E14" s="168">
        <v>0.15</v>
      </c>
      <c r="F14" s="168" t="s">
        <v>385</v>
      </c>
      <c r="G14" s="168">
        <v>311.85000000000002</v>
      </c>
      <c r="H14" s="168">
        <v>0</v>
      </c>
      <c r="I14" s="168">
        <v>0</v>
      </c>
      <c r="J14" s="168">
        <v>1015.99</v>
      </c>
      <c r="K14" s="168" t="s">
        <v>384</v>
      </c>
      <c r="L14" s="168">
        <v>70.040000000000006</v>
      </c>
      <c r="M14" s="168">
        <v>1489600800</v>
      </c>
      <c r="N14" s="168">
        <v>6.12</v>
      </c>
      <c r="O14" s="168">
        <v>295</v>
      </c>
      <c r="P14" s="168">
        <v>8.4499999999999993</v>
      </c>
      <c r="Q14"/>
      <c r="R14"/>
    </row>
    <row r="15" spans="1:18" x14ac:dyDescent="0.25">
      <c r="A15" s="168">
        <v>71.510000000000005</v>
      </c>
      <c r="B15" s="168">
        <v>0.4</v>
      </c>
      <c r="C15" s="168">
        <v>19.32</v>
      </c>
      <c r="D15" s="8">
        <v>42809.541666666664</v>
      </c>
      <c r="E15" s="168">
        <v>0.14000000000000001</v>
      </c>
      <c r="F15" s="168" t="s">
        <v>385</v>
      </c>
      <c r="G15" s="168">
        <v>312.52999999999997</v>
      </c>
      <c r="H15" s="168">
        <v>0</v>
      </c>
      <c r="I15" s="168">
        <v>0</v>
      </c>
      <c r="J15" s="168">
        <v>1015.33</v>
      </c>
      <c r="K15" s="168" t="s">
        <v>384</v>
      </c>
      <c r="L15" s="168">
        <v>71.510000000000005</v>
      </c>
      <c r="M15" s="168">
        <v>1489604400</v>
      </c>
      <c r="N15" s="168">
        <v>6.23</v>
      </c>
      <c r="O15" s="168">
        <v>299</v>
      </c>
      <c r="P15" s="168">
        <v>7.45</v>
      </c>
      <c r="Q15"/>
      <c r="R15"/>
    </row>
    <row r="16" spans="1:18" x14ac:dyDescent="0.25">
      <c r="A16" s="168">
        <v>73.180000000000007</v>
      </c>
      <c r="B16" s="168">
        <v>0.39</v>
      </c>
      <c r="C16" s="168">
        <v>19.53</v>
      </c>
      <c r="D16" s="8">
        <v>42809.583333333336</v>
      </c>
      <c r="E16" s="168">
        <v>0.13</v>
      </c>
      <c r="F16" s="168" t="s">
        <v>385</v>
      </c>
      <c r="G16" s="168">
        <v>313.23</v>
      </c>
      <c r="H16" s="168">
        <v>0</v>
      </c>
      <c r="I16" s="168">
        <v>0</v>
      </c>
      <c r="J16" s="168">
        <v>1014.89</v>
      </c>
      <c r="K16" s="168" t="s">
        <v>384</v>
      </c>
      <c r="L16" s="168">
        <v>73.180000000000007</v>
      </c>
      <c r="M16" s="168">
        <v>1489608000</v>
      </c>
      <c r="N16" s="168">
        <v>6.3</v>
      </c>
      <c r="O16" s="168">
        <v>306</v>
      </c>
      <c r="P16" s="168">
        <v>8.2100000000000009</v>
      </c>
      <c r="Q16"/>
      <c r="R16"/>
    </row>
    <row r="17" spans="1:18" x14ac:dyDescent="0.25">
      <c r="A17" s="168">
        <v>73.41</v>
      </c>
      <c r="B17" s="168">
        <v>0.28999999999999998</v>
      </c>
      <c r="C17" s="168">
        <v>19.98</v>
      </c>
      <c r="D17" s="8">
        <v>42809.625</v>
      </c>
      <c r="E17" s="168">
        <v>0.13</v>
      </c>
      <c r="F17" s="168" t="s">
        <v>385</v>
      </c>
      <c r="G17" s="168">
        <v>312.85000000000002</v>
      </c>
      <c r="H17" s="168">
        <v>0</v>
      </c>
      <c r="I17" s="168">
        <v>0</v>
      </c>
      <c r="J17" s="168">
        <v>1014.39</v>
      </c>
      <c r="K17" s="168" t="s">
        <v>384</v>
      </c>
      <c r="L17" s="168">
        <v>73.41</v>
      </c>
      <c r="M17" s="168">
        <v>1489611600</v>
      </c>
      <c r="N17" s="168">
        <v>10</v>
      </c>
      <c r="O17" s="168">
        <v>311</v>
      </c>
      <c r="P17" s="168">
        <v>8.7100000000000009</v>
      </c>
      <c r="Q17"/>
      <c r="R17"/>
    </row>
    <row r="18" spans="1:18" x14ac:dyDescent="0.25">
      <c r="A18" s="168">
        <v>73.709999999999994</v>
      </c>
      <c r="B18" s="168">
        <v>0.28999999999999998</v>
      </c>
      <c r="C18" s="168">
        <v>19.12</v>
      </c>
      <c r="D18" s="8">
        <v>42809.666666666664</v>
      </c>
      <c r="E18" s="168">
        <v>0.13</v>
      </c>
      <c r="F18" s="168" t="s">
        <v>385</v>
      </c>
      <c r="G18" s="168">
        <v>310.35000000000002</v>
      </c>
      <c r="H18" s="168">
        <v>0</v>
      </c>
      <c r="I18" s="168">
        <v>0</v>
      </c>
      <c r="J18" s="168">
        <v>1013.56</v>
      </c>
      <c r="K18" s="168" t="s">
        <v>384</v>
      </c>
      <c r="L18" s="168">
        <v>73.709999999999994</v>
      </c>
      <c r="M18" s="168">
        <v>1489615200</v>
      </c>
      <c r="N18" s="168">
        <v>7.66</v>
      </c>
      <c r="O18" s="168">
        <v>319</v>
      </c>
      <c r="P18" s="168">
        <v>8.07</v>
      </c>
      <c r="Q18"/>
      <c r="R18"/>
    </row>
    <row r="19" spans="1:18" x14ac:dyDescent="0.25">
      <c r="A19" s="168">
        <v>73.37</v>
      </c>
      <c r="B19" s="168">
        <v>0.28999999999999998</v>
      </c>
      <c r="C19" s="168">
        <v>18.02</v>
      </c>
      <c r="D19" s="8">
        <v>42809.708333333336</v>
      </c>
      <c r="E19" s="168">
        <v>0.12</v>
      </c>
      <c r="F19" s="168" t="s">
        <v>385</v>
      </c>
      <c r="G19" s="168">
        <v>306.77</v>
      </c>
      <c r="H19" s="168">
        <v>0</v>
      </c>
      <c r="I19" s="168">
        <v>0</v>
      </c>
      <c r="J19" s="168">
        <v>1012.73</v>
      </c>
      <c r="K19" s="168" t="s">
        <v>384</v>
      </c>
      <c r="L19" s="168">
        <v>73.37</v>
      </c>
      <c r="M19" s="168">
        <v>1489618800</v>
      </c>
      <c r="N19" s="168">
        <v>7.85</v>
      </c>
      <c r="O19" s="168">
        <v>327</v>
      </c>
      <c r="P19" s="168">
        <v>7.61</v>
      </c>
      <c r="Q19"/>
      <c r="R19"/>
    </row>
    <row r="20" spans="1:18" x14ac:dyDescent="0.25">
      <c r="A20" s="168">
        <v>72.25</v>
      </c>
      <c r="B20" s="168">
        <v>0.14000000000000001</v>
      </c>
      <c r="C20" s="168">
        <v>16.89</v>
      </c>
      <c r="D20" s="8">
        <v>42809.75</v>
      </c>
      <c r="E20" s="168">
        <v>0.12</v>
      </c>
      <c r="F20" s="168" t="s">
        <v>530</v>
      </c>
      <c r="G20" s="168">
        <v>304.07</v>
      </c>
      <c r="H20" s="168">
        <v>0</v>
      </c>
      <c r="I20" s="168">
        <v>0</v>
      </c>
      <c r="J20" s="168">
        <v>1012.43</v>
      </c>
      <c r="K20" s="168" t="s">
        <v>531</v>
      </c>
      <c r="L20" s="168">
        <v>72.25</v>
      </c>
      <c r="M20" s="168">
        <v>1489622400</v>
      </c>
      <c r="N20" s="168">
        <v>5.82</v>
      </c>
      <c r="O20" s="168">
        <v>340</v>
      </c>
      <c r="P20" s="168">
        <v>7.22</v>
      </c>
      <c r="Q20"/>
      <c r="R20"/>
    </row>
    <row r="21" spans="1:18" x14ac:dyDescent="0.25">
      <c r="A21" s="168">
        <v>68.59</v>
      </c>
      <c r="B21" s="168">
        <v>0.14000000000000001</v>
      </c>
      <c r="C21" s="168">
        <v>15.42</v>
      </c>
      <c r="D21" s="8">
        <v>42809.791666666664</v>
      </c>
      <c r="E21" s="168">
        <v>0.13</v>
      </c>
      <c r="F21" s="168" t="s">
        <v>530</v>
      </c>
      <c r="G21" s="168">
        <v>303.27</v>
      </c>
      <c r="H21" s="168">
        <v>0</v>
      </c>
      <c r="I21" s="168">
        <v>0</v>
      </c>
      <c r="J21" s="168">
        <v>1012.74</v>
      </c>
      <c r="K21" s="168" t="s">
        <v>531</v>
      </c>
      <c r="L21" s="168">
        <v>68.59</v>
      </c>
      <c r="M21" s="168">
        <v>1489626000</v>
      </c>
      <c r="N21" s="168">
        <v>6.35</v>
      </c>
      <c r="O21" s="168">
        <v>335</v>
      </c>
      <c r="P21" s="168">
        <v>5.61</v>
      </c>
      <c r="Q21"/>
      <c r="R21"/>
    </row>
    <row r="22" spans="1:18" x14ac:dyDescent="0.25">
      <c r="A22" s="168">
        <v>64.59</v>
      </c>
      <c r="B22" s="168">
        <v>0.08</v>
      </c>
      <c r="C22" s="168">
        <v>16.09</v>
      </c>
      <c r="D22" s="8">
        <v>42809.833333333336</v>
      </c>
      <c r="E22" s="168">
        <v>0.15</v>
      </c>
      <c r="F22" s="168" t="s">
        <v>532</v>
      </c>
      <c r="G22" s="168">
        <v>303.36</v>
      </c>
      <c r="H22" s="168">
        <v>0</v>
      </c>
      <c r="I22" s="168">
        <v>0</v>
      </c>
      <c r="J22" s="168">
        <v>1013.94</v>
      </c>
      <c r="K22" s="168" t="s">
        <v>531</v>
      </c>
      <c r="L22" s="168">
        <v>64.59</v>
      </c>
      <c r="M22" s="168">
        <v>1489629600</v>
      </c>
      <c r="N22" s="168">
        <v>10</v>
      </c>
      <c r="O22" s="168">
        <v>306</v>
      </c>
      <c r="P22" s="168">
        <v>3.19</v>
      </c>
      <c r="Q22"/>
      <c r="R22"/>
    </row>
    <row r="23" spans="1:18" x14ac:dyDescent="0.25">
      <c r="A23" s="168">
        <v>59.71</v>
      </c>
      <c r="B23" s="168">
        <v>0.06</v>
      </c>
      <c r="C23" s="168">
        <v>17.18</v>
      </c>
      <c r="D23" s="8">
        <v>42809.875</v>
      </c>
      <c r="E23" s="168">
        <v>0.19</v>
      </c>
      <c r="F23" s="168" t="s">
        <v>532</v>
      </c>
      <c r="G23" s="168">
        <v>303.23</v>
      </c>
      <c r="H23" s="168">
        <v>0</v>
      </c>
      <c r="I23" s="168">
        <v>0</v>
      </c>
      <c r="J23" s="168">
        <v>1015.1</v>
      </c>
      <c r="K23" s="168" t="s">
        <v>531</v>
      </c>
      <c r="L23" s="168">
        <v>59.71</v>
      </c>
      <c r="M23" s="168">
        <v>1489633200</v>
      </c>
      <c r="N23" s="168">
        <v>6.79</v>
      </c>
      <c r="O23" s="168">
        <v>288</v>
      </c>
      <c r="P23" s="168">
        <v>1.36</v>
      </c>
      <c r="Q23"/>
      <c r="R23"/>
    </row>
    <row r="24" spans="1:18" x14ac:dyDescent="0.25">
      <c r="A24" s="168">
        <v>56.19</v>
      </c>
      <c r="B24" s="168">
        <v>0.1</v>
      </c>
      <c r="C24" s="168">
        <v>15.22</v>
      </c>
      <c r="D24" s="8">
        <v>42809.916666666664</v>
      </c>
      <c r="E24" s="168">
        <v>0.2</v>
      </c>
      <c r="F24" s="168" t="s">
        <v>532</v>
      </c>
      <c r="G24" s="168">
        <v>302.41000000000003</v>
      </c>
      <c r="H24" s="168">
        <v>0</v>
      </c>
      <c r="I24" s="168">
        <v>0</v>
      </c>
      <c r="J24" s="168">
        <v>1015.47</v>
      </c>
      <c r="K24" s="168" t="s">
        <v>531</v>
      </c>
      <c r="L24" s="168">
        <v>56.19</v>
      </c>
      <c r="M24" s="168">
        <v>1489636800</v>
      </c>
      <c r="N24" s="168">
        <v>5.71</v>
      </c>
      <c r="O24" s="168">
        <v>273</v>
      </c>
      <c r="P24" s="168">
        <v>1.27</v>
      </c>
      <c r="Q24"/>
      <c r="R24"/>
    </row>
    <row r="25" spans="1:18" x14ac:dyDescent="0.25">
      <c r="A25" s="168">
        <v>54.07</v>
      </c>
      <c r="B25" s="168">
        <v>0.16</v>
      </c>
      <c r="C25" s="168">
        <v>13.25</v>
      </c>
      <c r="D25" s="8">
        <v>42809.958333333336</v>
      </c>
      <c r="E25" s="168">
        <v>0.19</v>
      </c>
      <c r="F25" s="168" t="s">
        <v>532</v>
      </c>
      <c r="G25" s="168">
        <v>301.37</v>
      </c>
      <c r="H25" s="168">
        <v>0</v>
      </c>
      <c r="I25" s="168">
        <v>0</v>
      </c>
      <c r="J25" s="168">
        <v>1015.5</v>
      </c>
      <c r="K25" s="168" t="s">
        <v>531</v>
      </c>
      <c r="L25" s="168">
        <v>54.07</v>
      </c>
      <c r="M25" s="168">
        <v>1489640400</v>
      </c>
      <c r="N25" s="168">
        <v>5.45</v>
      </c>
      <c r="O25" s="168">
        <v>247</v>
      </c>
      <c r="P25" s="168">
        <v>3.06</v>
      </c>
      <c r="Q25"/>
      <c r="R25"/>
    </row>
    <row r="26" spans="1:18" x14ac:dyDescent="0.25">
      <c r="A26" s="168">
        <v>51.58</v>
      </c>
      <c r="B26" s="168">
        <v>0.28999999999999998</v>
      </c>
      <c r="C26" s="168">
        <v>11.16</v>
      </c>
      <c r="D26" s="8">
        <v>42810</v>
      </c>
      <c r="E26" s="168">
        <v>0.19</v>
      </c>
      <c r="F26" s="168" t="s">
        <v>383</v>
      </c>
      <c r="G26" s="168">
        <v>300.43</v>
      </c>
      <c r="H26" s="168">
        <v>0</v>
      </c>
      <c r="I26" s="168">
        <v>0</v>
      </c>
      <c r="J26" s="168">
        <v>1015.58</v>
      </c>
      <c r="K26" s="168" t="s">
        <v>384</v>
      </c>
      <c r="L26" s="168">
        <v>51.58</v>
      </c>
      <c r="M26" s="168">
        <v>1489644000</v>
      </c>
      <c r="N26" s="168">
        <v>5.56</v>
      </c>
      <c r="O26" s="168">
        <v>223</v>
      </c>
      <c r="P26" s="168">
        <v>3.16</v>
      </c>
      <c r="Q26"/>
      <c r="R26"/>
    </row>
    <row r="27" spans="1:18" x14ac:dyDescent="0.25">
      <c r="A27" s="168">
        <v>49.07</v>
      </c>
      <c r="B27" s="168">
        <v>0.53</v>
      </c>
      <c r="C27" s="168">
        <v>13.28</v>
      </c>
      <c r="D27" s="8">
        <v>42810.041666666664</v>
      </c>
      <c r="E27" s="168">
        <v>0.23</v>
      </c>
      <c r="F27" s="168" t="s">
        <v>383</v>
      </c>
      <c r="G27" s="168">
        <v>299.77999999999997</v>
      </c>
      <c r="H27" s="168">
        <v>0</v>
      </c>
      <c r="I27" s="168">
        <v>0</v>
      </c>
      <c r="J27" s="168">
        <v>1015.93</v>
      </c>
      <c r="K27" s="168" t="s">
        <v>384</v>
      </c>
      <c r="L27" s="168">
        <v>49.68</v>
      </c>
      <c r="M27" s="168">
        <v>1489647600</v>
      </c>
      <c r="N27" s="168">
        <v>5.66</v>
      </c>
      <c r="O27" s="168">
        <v>223</v>
      </c>
      <c r="P27" s="168">
        <v>3.28</v>
      </c>
      <c r="Q27"/>
      <c r="R27"/>
    </row>
    <row r="28" spans="1:18" x14ac:dyDescent="0.25">
      <c r="A28" s="168">
        <v>49.93</v>
      </c>
      <c r="B28" s="168">
        <v>0.57999999999999996</v>
      </c>
      <c r="C28" s="168">
        <v>14.92</v>
      </c>
      <c r="D28" s="8">
        <v>42810.083333333336</v>
      </c>
      <c r="E28" s="168">
        <v>0.24</v>
      </c>
      <c r="F28" s="168" t="s">
        <v>383</v>
      </c>
      <c r="G28" s="168">
        <v>299.13</v>
      </c>
      <c r="H28" s="168">
        <v>0</v>
      </c>
      <c r="I28" s="168">
        <v>0</v>
      </c>
      <c r="J28" s="168">
        <v>1016.24</v>
      </c>
      <c r="K28" s="168" t="s">
        <v>384</v>
      </c>
      <c r="L28" s="168">
        <v>49.93</v>
      </c>
      <c r="M28" s="168">
        <v>1489651200</v>
      </c>
      <c r="N28" s="168">
        <v>5.53</v>
      </c>
      <c r="O28" s="168">
        <v>219</v>
      </c>
      <c r="P28" s="168">
        <v>2.62</v>
      </c>
      <c r="Q28"/>
      <c r="R28"/>
    </row>
    <row r="29" spans="1:18" x14ac:dyDescent="0.25">
      <c r="A29" s="168">
        <v>49.65</v>
      </c>
      <c r="B29" s="168">
        <v>0.65</v>
      </c>
      <c r="C29" s="168">
        <v>16.809999999999999</v>
      </c>
      <c r="D29" s="8">
        <v>42810.125</v>
      </c>
      <c r="E29" s="168">
        <v>0.27</v>
      </c>
      <c r="F29" s="168" t="s">
        <v>383</v>
      </c>
      <c r="G29" s="168">
        <v>298.47000000000003</v>
      </c>
      <c r="H29" s="168">
        <v>0</v>
      </c>
      <c r="I29" s="168">
        <v>0</v>
      </c>
      <c r="J29" s="168">
        <v>1016.51</v>
      </c>
      <c r="K29" s="168" t="s">
        <v>824</v>
      </c>
      <c r="L29" s="168">
        <v>49.65</v>
      </c>
      <c r="M29" s="168">
        <v>1489654800</v>
      </c>
      <c r="N29" s="168">
        <v>10</v>
      </c>
      <c r="O29" s="168">
        <v>258</v>
      </c>
      <c r="P29" s="168">
        <v>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4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407</v>
      </c>
      <c r="U1" s="219"/>
      <c r="V1" s="219"/>
      <c r="W1" s="219"/>
      <c r="X1" s="219"/>
    </row>
    <row r="2" spans="1:24" ht="15.75" thickBot="1" x14ac:dyDescent="0.3">
      <c r="A2" s="12">
        <v>42809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408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420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421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422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991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993</v>
      </c>
      <c r="J20" s="152" t="s">
        <v>87</v>
      </c>
      <c r="M20" s="168" t="s">
        <v>399</v>
      </c>
      <c r="N20" s="168" t="s">
        <v>399</v>
      </c>
      <c r="T20" s="197"/>
      <c r="U20" s="197"/>
      <c r="V20" s="197"/>
      <c r="W20" s="197"/>
      <c r="X20" s="197"/>
    </row>
    <row r="21" spans="3:24" x14ac:dyDescent="0.25">
      <c r="C21" t="s">
        <v>994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996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998</v>
      </c>
      <c r="J25" s="152" t="s">
        <v>150</v>
      </c>
      <c r="M25" s="168" t="b">
        <v>1</v>
      </c>
    </row>
    <row r="26" spans="3:24" x14ac:dyDescent="0.25">
      <c r="C26" t="s">
        <v>999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C:\Users\stu\Documents\GitHub\eaglep3-reporting\EC\2017-03-15-refined-times.txt</v>
      </c>
    </row>
    <row r="27" spans="3:24" x14ac:dyDescent="0.25">
      <c r="C27" t="s">
        <v>1000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C:\Users\stu\Documents\GitHub\eaglep3-reporting\EC\2017-03-15-Enforcements.txt</v>
      </c>
    </row>
    <row r="28" spans="3:24" x14ac:dyDescent="0.25">
      <c r="C28" t="s">
        <v>1001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C:\Users\stu\Documents\GitHub\eaglep3-reporting\EC\2017-03-15-Runs-refined.txt</v>
      </c>
    </row>
    <row r="29" spans="3:24" x14ac:dyDescent="0.25">
      <c r="C29" t="s">
        <v>1002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C:\Users\stu\Documents\GitHub\eaglep3-reporting\EC\2017-03-15-Trips.txt</v>
      </c>
    </row>
    <row r="30" spans="3:24" x14ac:dyDescent="0.25">
      <c r="C30" t="s">
        <v>1003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C:\Users\stu\Documents\GitHub\eaglep3-reporting\EC\2017-03-15-Weather.txt</v>
      </c>
    </row>
    <row r="31" spans="3:24" x14ac:dyDescent="0.25">
      <c r="C31" t="s">
        <v>1004</v>
      </c>
      <c r="J31" s="152" t="s">
        <v>205</v>
      </c>
      <c r="M31" s="168" t="s">
        <v>206</v>
      </c>
    </row>
    <row r="32" spans="3:24" x14ac:dyDescent="0.25">
      <c r="C32" t="s">
        <v>1005</v>
      </c>
    </row>
    <row r="33" spans="3:3" x14ac:dyDescent="0.25">
      <c r="C33" t="s">
        <v>1006</v>
      </c>
    </row>
    <row r="34" spans="3:3" x14ac:dyDescent="0.25">
      <c r="C34" t="s">
        <v>1007</v>
      </c>
    </row>
    <row r="35" spans="3:3" x14ac:dyDescent="0.25">
      <c r="C35" t="s">
        <v>1008</v>
      </c>
    </row>
    <row r="36" spans="3:3" x14ac:dyDescent="0.25">
      <c r="C36" t="s">
        <v>1009</v>
      </c>
    </row>
    <row r="37" spans="3:3" x14ac:dyDescent="0.25">
      <c r="C37" t="s">
        <v>1010</v>
      </c>
    </row>
    <row r="38" spans="3:3" x14ac:dyDescent="0.25">
      <c r="C38" t="s">
        <v>1011</v>
      </c>
    </row>
    <row r="39" spans="3:3" x14ac:dyDescent="0.25">
      <c r="C39" t="s">
        <v>1012</v>
      </c>
    </row>
    <row r="40" spans="3:3" x14ac:dyDescent="0.25">
      <c r="C40" t="s">
        <v>1013</v>
      </c>
    </row>
    <row r="41" spans="3:3" x14ac:dyDescent="0.25">
      <c r="C41" t="s">
        <v>1014</v>
      </c>
    </row>
    <row r="42" spans="3:3" x14ac:dyDescent="0.25">
      <c r="C42" t="s">
        <v>1015</v>
      </c>
    </row>
    <row r="43" spans="3:3" x14ac:dyDescent="0.25">
      <c r="C43" t="s">
        <v>1016</v>
      </c>
    </row>
    <row r="44" spans="3:3" x14ac:dyDescent="0.25">
      <c r="C44" t="s">
        <v>1017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249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250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251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252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253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254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255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256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257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258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259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260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261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262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263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264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265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266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267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268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269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270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271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272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273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274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275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276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277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278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279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280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281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282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283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284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285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286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287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288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289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290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291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292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293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294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295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296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297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298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299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300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301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302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303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304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305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306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307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308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309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310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311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312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313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314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315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316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317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318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319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320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321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322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323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324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325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326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327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328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329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330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331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332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333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334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335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336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337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338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339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340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341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342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343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344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345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346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347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348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349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350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351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352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353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354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355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356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357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358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359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360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361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362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363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364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365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366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367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368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369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370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371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372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373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374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375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376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377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378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2017-03-23T14:48:33Z</dcterms:modified>
</cp:coreProperties>
</file>