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Runs'!$A$12:$AG$543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23" i="1" l="1"/>
  <c r="X224" i="1"/>
  <c r="X225" i="1"/>
  <c r="X226" i="1"/>
  <c r="K225" i="1"/>
  <c r="L225" i="1"/>
  <c r="M225" i="1"/>
  <c r="N225" i="1"/>
  <c r="V225" i="1"/>
  <c r="AA225" i="1"/>
  <c r="AB225" i="1"/>
  <c r="AC225" i="1"/>
  <c r="AD225" i="1"/>
  <c r="T225" i="1" s="1"/>
  <c r="AE225" i="1"/>
  <c r="AF225" i="1"/>
  <c r="AH225" i="1"/>
  <c r="AM225" i="1"/>
  <c r="AN225" i="1"/>
  <c r="AO225" i="1"/>
  <c r="X198" i="1"/>
  <c r="X199" i="1"/>
  <c r="X200" i="1"/>
  <c r="X201" i="1"/>
  <c r="K198" i="1"/>
  <c r="L198" i="1"/>
  <c r="M198" i="1"/>
  <c r="N198" i="1"/>
  <c r="V198" i="1"/>
  <c r="AA198" i="1"/>
  <c r="AB198" i="1"/>
  <c r="AC198" i="1"/>
  <c r="AD198" i="1"/>
  <c r="T198" i="1" s="1"/>
  <c r="AE198" i="1"/>
  <c r="AF198" i="1"/>
  <c r="AH198" i="1"/>
  <c r="AM198" i="1"/>
  <c r="AN198" i="1"/>
  <c r="AO198" i="1"/>
  <c r="X195" i="1"/>
  <c r="K194" i="1"/>
  <c r="L194" i="1"/>
  <c r="M194" i="1"/>
  <c r="N194" i="1"/>
  <c r="V194" i="1"/>
  <c r="AA194" i="1"/>
  <c r="AB194" i="1"/>
  <c r="AC194" i="1"/>
  <c r="AD194" i="1"/>
  <c r="T194" i="1" s="1"/>
  <c r="AE194" i="1"/>
  <c r="AF194" i="1"/>
  <c r="AH194" i="1"/>
  <c r="AM194" i="1"/>
  <c r="AN194" i="1"/>
  <c r="AO194" i="1"/>
  <c r="X190" i="1"/>
  <c r="X191" i="1"/>
  <c r="X192" i="1"/>
  <c r="K190" i="1"/>
  <c r="L190" i="1"/>
  <c r="M190" i="1"/>
  <c r="N190" i="1"/>
  <c r="V190" i="1"/>
  <c r="AA190" i="1"/>
  <c r="AB190" i="1"/>
  <c r="AC190" i="1"/>
  <c r="AD190" i="1"/>
  <c r="T190" i="1" s="1"/>
  <c r="AE190" i="1"/>
  <c r="AF190" i="1"/>
  <c r="AH190" i="1"/>
  <c r="AM190" i="1"/>
  <c r="AN190" i="1"/>
  <c r="AO190" i="1"/>
  <c r="X187" i="1"/>
  <c r="X188" i="1"/>
  <c r="X189" i="1"/>
  <c r="K186" i="1"/>
  <c r="L186" i="1"/>
  <c r="M186" i="1"/>
  <c r="N186" i="1"/>
  <c r="V186" i="1"/>
  <c r="AA186" i="1"/>
  <c r="AB186" i="1"/>
  <c r="AC186" i="1"/>
  <c r="AD186" i="1"/>
  <c r="T186" i="1" s="1"/>
  <c r="AE186" i="1"/>
  <c r="AF186" i="1"/>
  <c r="AH186" i="1"/>
  <c r="AM186" i="1"/>
  <c r="AN186" i="1"/>
  <c r="AO186" i="1"/>
  <c r="P161" i="1"/>
  <c r="X153" i="1"/>
  <c r="X154" i="1"/>
  <c r="X155" i="1"/>
  <c r="X156" i="1"/>
  <c r="X157" i="1"/>
  <c r="X158" i="1"/>
  <c r="X159" i="1"/>
  <c r="X160" i="1"/>
  <c r="K158" i="1"/>
  <c r="L158" i="1"/>
  <c r="M158" i="1"/>
  <c r="N158" i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K156" i="1"/>
  <c r="L156" i="1"/>
  <c r="M156" i="1"/>
  <c r="N156" i="1"/>
  <c r="V156" i="1"/>
  <c r="AA156" i="1"/>
  <c r="AB156" i="1"/>
  <c r="AC156" i="1"/>
  <c r="AD156" i="1"/>
  <c r="T156" i="1" s="1"/>
  <c r="AE156" i="1"/>
  <c r="AF156" i="1"/>
  <c r="AH156" i="1"/>
  <c r="AM156" i="1"/>
  <c r="AN156" i="1"/>
  <c r="AO156" i="1"/>
  <c r="K154" i="1"/>
  <c r="L154" i="1"/>
  <c r="M154" i="1"/>
  <c r="N154" i="1"/>
  <c r="V154" i="1"/>
  <c r="AA154" i="1"/>
  <c r="AB154" i="1"/>
  <c r="AC154" i="1"/>
  <c r="AD154" i="1"/>
  <c r="T154" i="1" s="1"/>
  <c r="AE154" i="1"/>
  <c r="AF154" i="1"/>
  <c r="AH154" i="1"/>
  <c r="AM154" i="1"/>
  <c r="AN154" i="1"/>
  <c r="AO154" i="1"/>
  <c r="K152" i="1"/>
  <c r="L152" i="1"/>
  <c r="M152" i="1"/>
  <c r="N152" i="1"/>
  <c r="V152" i="1"/>
  <c r="AA152" i="1"/>
  <c r="AB152" i="1"/>
  <c r="AC152" i="1"/>
  <c r="AD152" i="1"/>
  <c r="T152" i="1" s="1"/>
  <c r="AE152" i="1"/>
  <c r="AF152" i="1"/>
  <c r="AH152" i="1"/>
  <c r="AM152" i="1"/>
  <c r="AN152" i="1"/>
  <c r="AO152" i="1"/>
  <c r="X148" i="1"/>
  <c r="X149" i="1"/>
  <c r="X150" i="1"/>
  <c r="K147" i="1"/>
  <c r="L147" i="1"/>
  <c r="M147" i="1"/>
  <c r="N147" i="1"/>
  <c r="V147" i="1"/>
  <c r="AA147" i="1"/>
  <c r="AB147" i="1"/>
  <c r="AC147" i="1"/>
  <c r="AD147" i="1"/>
  <c r="T147" i="1" s="1"/>
  <c r="AE147" i="1"/>
  <c r="AF147" i="1"/>
  <c r="AH147" i="1"/>
  <c r="AM147" i="1"/>
  <c r="AN147" i="1"/>
  <c r="AO147" i="1"/>
  <c r="X144" i="1"/>
  <c r="X145" i="1"/>
  <c r="K143" i="1"/>
  <c r="L143" i="1"/>
  <c r="M143" i="1"/>
  <c r="N143" i="1"/>
  <c r="V143" i="1"/>
  <c r="S18" i="3" s="1"/>
  <c r="AA143" i="1"/>
  <c r="AB143" i="1"/>
  <c r="AC143" i="1"/>
  <c r="AD143" i="1"/>
  <c r="T143" i="1" s="1"/>
  <c r="AE143" i="1"/>
  <c r="R18" i="3" s="1"/>
  <c r="AF143" i="1"/>
  <c r="AH143" i="1"/>
  <c r="AM143" i="1"/>
  <c r="AN143" i="1"/>
  <c r="AO143" i="1"/>
  <c r="X141" i="1"/>
  <c r="X137" i="1"/>
  <c r="X138" i="1"/>
  <c r="X139" i="1"/>
  <c r="X140" i="1"/>
  <c r="K140" i="1"/>
  <c r="L140" i="1"/>
  <c r="M140" i="1"/>
  <c r="N140" i="1"/>
  <c r="V140" i="1"/>
  <c r="AA140" i="1"/>
  <c r="AB140" i="1"/>
  <c r="AC140" i="1"/>
  <c r="AD140" i="1"/>
  <c r="T140" i="1" s="1"/>
  <c r="AE140" i="1"/>
  <c r="AF140" i="1"/>
  <c r="AH140" i="1"/>
  <c r="AM140" i="1"/>
  <c r="AN140" i="1"/>
  <c r="AO140" i="1"/>
  <c r="K138" i="1"/>
  <c r="L138" i="1"/>
  <c r="M138" i="1"/>
  <c r="N138" i="1"/>
  <c r="V138" i="1"/>
  <c r="AA138" i="1"/>
  <c r="AB138" i="1"/>
  <c r="AC138" i="1"/>
  <c r="AD138" i="1"/>
  <c r="T138" i="1" s="1"/>
  <c r="AE138" i="1"/>
  <c r="AF138" i="1"/>
  <c r="AH138" i="1"/>
  <c r="AM138" i="1"/>
  <c r="AN138" i="1"/>
  <c r="AO138" i="1"/>
  <c r="K136" i="1"/>
  <c r="L136" i="1"/>
  <c r="M136" i="1"/>
  <c r="N136" i="1"/>
  <c r="V136" i="1"/>
  <c r="AA136" i="1"/>
  <c r="AB136" i="1"/>
  <c r="AC136" i="1"/>
  <c r="AD136" i="1"/>
  <c r="T136" i="1" s="1"/>
  <c r="AE136" i="1"/>
  <c r="AF136" i="1"/>
  <c r="AH136" i="1"/>
  <c r="AM136" i="1"/>
  <c r="AN136" i="1"/>
  <c r="AO136" i="1"/>
  <c r="P25" i="1"/>
  <c r="P20" i="1"/>
  <c r="X20" i="1"/>
  <c r="X21" i="1"/>
  <c r="X22" i="1"/>
  <c r="AO20" i="1"/>
  <c r="AN20" i="1"/>
  <c r="AM20" i="1"/>
  <c r="AH20" i="1"/>
  <c r="AF20" i="1"/>
  <c r="AE20" i="1"/>
  <c r="R19" i="3" s="1"/>
  <c r="AD20" i="1"/>
  <c r="AC20" i="1"/>
  <c r="AB20" i="1"/>
  <c r="AA20" i="1"/>
  <c r="V20" i="1"/>
  <c r="T20" i="1"/>
  <c r="M20" i="1"/>
  <c r="L20" i="1"/>
  <c r="K20" i="1"/>
  <c r="K14" i="1"/>
  <c r="L14" i="1"/>
  <c r="M14" i="1"/>
  <c r="N14" i="1" s="1"/>
  <c r="V14" i="1"/>
  <c r="Y14" i="1"/>
  <c r="Z14" i="1"/>
  <c r="AA14" i="1" s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1" i="1"/>
  <c r="L21" i="1"/>
  <c r="M21" i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A23" i="1" s="1"/>
  <c r="AB23" i="1"/>
  <c r="AC23" i="1"/>
  <c r="AD23" i="1"/>
  <c r="AE23" i="1"/>
  <c r="AF23" i="1"/>
  <c r="AH23" i="1"/>
  <c r="AM23" i="1"/>
  <c r="AN23" i="1"/>
  <c r="AO23" i="1"/>
  <c r="K24" i="1"/>
  <c r="L24" i="1"/>
  <c r="M24" i="1"/>
  <c r="V24" i="1"/>
  <c r="S16" i="3" s="1"/>
  <c r="Y24" i="1"/>
  <c r="Z24" i="1"/>
  <c r="AB24" i="1"/>
  <c r="AC24" i="1"/>
  <c r="AD24" i="1"/>
  <c r="AE24" i="1"/>
  <c r="R16" i="3" s="1"/>
  <c r="AF24" i="1"/>
  <c r="AH24" i="1"/>
  <c r="AM24" i="1"/>
  <c r="AN24" i="1"/>
  <c r="AO24" i="1"/>
  <c r="K25" i="1"/>
  <c r="L25" i="1"/>
  <c r="M25" i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S13" i="3" s="1"/>
  <c r="Y26" i="1"/>
  <c r="Z26" i="1"/>
  <c r="AB26" i="1"/>
  <c r="AC26" i="1"/>
  <c r="AD26" i="1"/>
  <c r="AE26" i="1"/>
  <c r="R13" i="3" s="1"/>
  <c r="AF26" i="1"/>
  <c r="AH26" i="1"/>
  <c r="AM26" i="1"/>
  <c r="AN26" i="1"/>
  <c r="AO26" i="1"/>
  <c r="K27" i="1"/>
  <c r="L27" i="1"/>
  <c r="M27" i="1"/>
  <c r="N27" i="1" s="1"/>
  <c r="V27" i="1"/>
  <c r="Y27" i="1"/>
  <c r="Z27" i="1"/>
  <c r="AA27" i="1" s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/>
  <c r="V31" i="1"/>
  <c r="Y31" i="1"/>
  <c r="AA31" i="1" s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21" i="3" s="1"/>
  <c r="Y32" i="1"/>
  <c r="Z32" i="1"/>
  <c r="AB32" i="1"/>
  <c r="AC32" i="1"/>
  <c r="AD32" i="1"/>
  <c r="AE32" i="1"/>
  <c r="R21" i="3" s="1"/>
  <c r="AF32" i="1"/>
  <c r="AH32" i="1"/>
  <c r="AM32" i="1"/>
  <c r="AN32" i="1"/>
  <c r="AO32" i="1"/>
  <c r="K33" i="1"/>
  <c r="L33" i="1"/>
  <c r="M33" i="1"/>
  <c r="N33" i="1"/>
  <c r="V33" i="1"/>
  <c r="Y33" i="1"/>
  <c r="AA33" i="1" s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AA37" i="1" s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S14" i="3" s="1"/>
  <c r="Y39" i="1"/>
  <c r="Z39" i="1"/>
  <c r="AA39" i="1" s="1"/>
  <c r="AB39" i="1"/>
  <c r="AC39" i="1"/>
  <c r="AD39" i="1"/>
  <c r="AE39" i="1"/>
  <c r="R20" i="3" s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AA42" i="1" s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AA44" i="1" s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AA46" i="1" s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AA48" i="1" s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AA50" i="1" s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AA52" i="1" s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S7" i="3" s="1"/>
  <c r="Y53" i="1"/>
  <c r="Z53" i="1"/>
  <c r="AB53" i="1"/>
  <c r="AC53" i="1"/>
  <c r="AD53" i="1"/>
  <c r="AE53" i="1"/>
  <c r="R7" i="3" s="1"/>
  <c r="AF53" i="1"/>
  <c r="AH53" i="1"/>
  <c r="AM53" i="1"/>
  <c r="AN53" i="1"/>
  <c r="AO53" i="1"/>
  <c r="K54" i="1"/>
  <c r="L54" i="1"/>
  <c r="M54" i="1"/>
  <c r="N54" i="1" s="1"/>
  <c r="V54" i="1"/>
  <c r="Y54" i="1"/>
  <c r="AA54" i="1" s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A55" i="1" s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AA56" i="1" s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AA57" i="1" s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AA59" i="1" s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T60" i="1"/>
  <c r="V60" i="1"/>
  <c r="Y60" i="1"/>
  <c r="Z60" i="1"/>
  <c r="AB60" i="1"/>
  <c r="AC60" i="1"/>
  <c r="AD60" i="1"/>
  <c r="X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AA61" i="1" s="1"/>
  <c r="Z61" i="1"/>
  <c r="AB61" i="1"/>
  <c r="AC61" i="1"/>
  <c r="AD61" i="1"/>
  <c r="X61" i="1" s="1"/>
  <c r="AE61" i="1"/>
  <c r="AF61" i="1"/>
  <c r="AH61" i="1"/>
  <c r="AM61" i="1"/>
  <c r="AN61" i="1"/>
  <c r="AO61" i="1"/>
  <c r="K62" i="1"/>
  <c r="L62" i="1"/>
  <c r="M62" i="1"/>
  <c r="N62" i="1" s="1"/>
  <c r="T62" i="1"/>
  <c r="V62" i="1"/>
  <c r="S17" i="3" s="1"/>
  <c r="Y62" i="1"/>
  <c r="Z62" i="1"/>
  <c r="AB62" i="1"/>
  <c r="AC62" i="1"/>
  <c r="AD62" i="1"/>
  <c r="X62" i="1" s="1"/>
  <c r="AE62" i="1"/>
  <c r="R17" i="3" s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T64" i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T66" i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AO66" i="1"/>
  <c r="K67" i="1"/>
  <c r="L67" i="1"/>
  <c r="M67" i="1"/>
  <c r="N67" i="1" s="1"/>
  <c r="V67" i="1"/>
  <c r="S8" i="3" s="1"/>
  <c r="Y67" i="1"/>
  <c r="Z67" i="1"/>
  <c r="AB67" i="1"/>
  <c r="AC67" i="1"/>
  <c r="AD67" i="1"/>
  <c r="T67" i="1" s="1"/>
  <c r="AE67" i="1"/>
  <c r="R8" i="3" s="1"/>
  <c r="AF67" i="1"/>
  <c r="AH67" i="1"/>
  <c r="AM67" i="1"/>
  <c r="AN67" i="1"/>
  <c r="AO67" i="1"/>
  <c r="K68" i="1"/>
  <c r="L68" i="1"/>
  <c r="M68" i="1"/>
  <c r="N68" i="1" s="1"/>
  <c r="T68" i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T70" i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T72" i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A73" i="1"/>
  <c r="AB73" i="1"/>
  <c r="AC73" i="1"/>
  <c r="AD73" i="1"/>
  <c r="X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T76" i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/>
  <c r="AB78" i="1"/>
  <c r="AC78" i="1"/>
  <c r="AD78" i="1"/>
  <c r="X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AA79" i="1" s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T80" i="1"/>
  <c r="V80" i="1"/>
  <c r="Y80" i="1"/>
  <c r="Z80" i="1"/>
  <c r="AB80" i="1"/>
  <c r="AC80" i="1"/>
  <c r="AD80" i="1"/>
  <c r="X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A81" i="1"/>
  <c r="AB81" i="1"/>
  <c r="AC81" i="1"/>
  <c r="AD81" i="1"/>
  <c r="X81" i="1" s="1"/>
  <c r="AE81" i="1"/>
  <c r="AF81" i="1"/>
  <c r="AH81" i="1"/>
  <c r="AM81" i="1"/>
  <c r="AN81" i="1"/>
  <c r="AO81" i="1"/>
  <c r="K82" i="1"/>
  <c r="L82" i="1"/>
  <c r="M82" i="1"/>
  <c r="N82" i="1" s="1"/>
  <c r="V82" i="1"/>
  <c r="S9" i="3" s="1"/>
  <c r="X82" i="1"/>
  <c r="Y82" i="1"/>
  <c r="Z82" i="1"/>
  <c r="AB82" i="1"/>
  <c r="AC82" i="1"/>
  <c r="AD82" i="1"/>
  <c r="T82" i="1" s="1"/>
  <c r="AE82" i="1"/>
  <c r="R9" i="3" s="1"/>
  <c r="AF82" i="1"/>
  <c r="AH82" i="1"/>
  <c r="AM82" i="1"/>
  <c r="AN82" i="1"/>
  <c r="AO82" i="1"/>
  <c r="K83" i="1"/>
  <c r="L83" i="1"/>
  <c r="M83" i="1"/>
  <c r="N83" i="1" s="1"/>
  <c r="V83" i="1"/>
  <c r="Y83" i="1"/>
  <c r="AA83" i="1" s="1"/>
  <c r="Z83" i="1"/>
  <c r="AB83" i="1"/>
  <c r="AC83" i="1"/>
  <c r="AD83" i="1"/>
  <c r="X83" i="1" s="1"/>
  <c r="AE83" i="1"/>
  <c r="AF83" i="1"/>
  <c r="AH83" i="1"/>
  <c r="AM83" i="1"/>
  <c r="AN83" i="1"/>
  <c r="AO83" i="1"/>
  <c r="K84" i="1"/>
  <c r="L84" i="1"/>
  <c r="M84" i="1"/>
  <c r="N84" i="1" s="1"/>
  <c r="T84" i="1"/>
  <c r="V84" i="1"/>
  <c r="S11" i="3" s="1"/>
  <c r="X84" i="1"/>
  <c r="Y84" i="1"/>
  <c r="Z84" i="1"/>
  <c r="AB84" i="1"/>
  <c r="AC84" i="1"/>
  <c r="AD84" i="1"/>
  <c r="AE84" i="1"/>
  <c r="R11" i="3" s="1"/>
  <c r="AF84" i="1"/>
  <c r="AH84" i="1"/>
  <c r="AM84" i="1"/>
  <c r="AN84" i="1"/>
  <c r="AO84" i="1"/>
  <c r="K85" i="1"/>
  <c r="L85" i="1"/>
  <c r="M85" i="1"/>
  <c r="N85" i="1" s="1"/>
  <c r="V85" i="1"/>
  <c r="X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A86" i="1"/>
  <c r="AB86" i="1"/>
  <c r="AC86" i="1"/>
  <c r="AD86" i="1"/>
  <c r="X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AA87" i="1" s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T88" i="1"/>
  <c r="V88" i="1"/>
  <c r="X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/>
  <c r="AB89" i="1"/>
  <c r="AC89" i="1"/>
  <c r="AD89" i="1"/>
  <c r="X89" i="1" s="1"/>
  <c r="AE89" i="1"/>
  <c r="AF89" i="1"/>
  <c r="AH89" i="1"/>
  <c r="AM89" i="1"/>
  <c r="AN89" i="1"/>
  <c r="AO89" i="1"/>
  <c r="K90" i="1"/>
  <c r="L90" i="1"/>
  <c r="M90" i="1"/>
  <c r="N90" i="1" s="1"/>
  <c r="V90" i="1"/>
  <c r="X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AA91" i="1" s="1"/>
  <c r="Z91" i="1"/>
  <c r="AB91" i="1"/>
  <c r="AC91" i="1"/>
  <c r="AD91" i="1"/>
  <c r="X91" i="1" s="1"/>
  <c r="AE91" i="1"/>
  <c r="AF91" i="1"/>
  <c r="AH91" i="1"/>
  <c r="AM91" i="1"/>
  <c r="AN91" i="1"/>
  <c r="AO91" i="1"/>
  <c r="K92" i="1"/>
  <c r="L92" i="1"/>
  <c r="M92" i="1"/>
  <c r="N92" i="1" s="1"/>
  <c r="T92" i="1"/>
  <c r="V92" i="1"/>
  <c r="X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X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/>
  <c r="AB94" i="1"/>
  <c r="AC94" i="1"/>
  <c r="AD94" i="1"/>
  <c r="X94" i="1" s="1"/>
  <c r="AE94" i="1"/>
  <c r="AF94" i="1"/>
  <c r="AH94" i="1"/>
  <c r="AM94" i="1"/>
  <c r="AN94" i="1"/>
  <c r="AO94" i="1"/>
  <c r="K163" i="1"/>
  <c r="L163" i="1"/>
  <c r="M163" i="1"/>
  <c r="N163" i="1" s="1"/>
  <c r="V163" i="1"/>
  <c r="Y163" i="1"/>
  <c r="AA163" i="1" s="1"/>
  <c r="Z163" i="1"/>
  <c r="AB163" i="1"/>
  <c r="AC163" i="1"/>
  <c r="AD163" i="1"/>
  <c r="T163" i="1" s="1"/>
  <c r="AE163" i="1"/>
  <c r="AF163" i="1"/>
  <c r="AH95" i="1"/>
  <c r="AM95" i="1"/>
  <c r="AN95" i="1"/>
  <c r="AO95" i="1"/>
  <c r="K164" i="1"/>
  <c r="L164" i="1"/>
  <c r="M164" i="1"/>
  <c r="N164" i="1" s="1"/>
  <c r="T164" i="1"/>
  <c r="V164" i="1"/>
  <c r="X164" i="1"/>
  <c r="Y164" i="1"/>
  <c r="Z164" i="1"/>
  <c r="AB164" i="1"/>
  <c r="AC164" i="1"/>
  <c r="AD164" i="1"/>
  <c r="AE164" i="1"/>
  <c r="AF164" i="1"/>
  <c r="AH96" i="1"/>
  <c r="AM96" i="1"/>
  <c r="AN96" i="1"/>
  <c r="AO96" i="1"/>
  <c r="K165" i="1"/>
  <c r="L165" i="1"/>
  <c r="M165" i="1"/>
  <c r="N165" i="1" s="1"/>
  <c r="V165" i="1"/>
  <c r="Y165" i="1"/>
  <c r="Z165" i="1"/>
  <c r="AA165" i="1"/>
  <c r="AB165" i="1"/>
  <c r="AC165" i="1"/>
  <c r="AD165" i="1"/>
  <c r="X165" i="1" s="1"/>
  <c r="AE165" i="1"/>
  <c r="AF165" i="1"/>
  <c r="AH97" i="1"/>
  <c r="AM97" i="1"/>
  <c r="AN97" i="1"/>
  <c r="AO97" i="1"/>
  <c r="K166" i="1"/>
  <c r="L166" i="1"/>
  <c r="M166" i="1"/>
  <c r="N166" i="1" s="1"/>
  <c r="V166" i="1"/>
  <c r="X166" i="1"/>
  <c r="Y166" i="1"/>
  <c r="Z166" i="1"/>
  <c r="AB166" i="1"/>
  <c r="AC166" i="1"/>
  <c r="AD166" i="1"/>
  <c r="T166" i="1" s="1"/>
  <c r="AE166" i="1"/>
  <c r="AF166" i="1"/>
  <c r="AH98" i="1"/>
  <c r="AM98" i="1"/>
  <c r="AN98" i="1"/>
  <c r="AO98" i="1"/>
  <c r="K167" i="1"/>
  <c r="L167" i="1"/>
  <c r="M167" i="1"/>
  <c r="N167" i="1" s="1"/>
  <c r="V167" i="1"/>
  <c r="Y167" i="1"/>
  <c r="Z167" i="1"/>
  <c r="AA167" i="1"/>
  <c r="AB167" i="1"/>
  <c r="AC167" i="1"/>
  <c r="AD167" i="1"/>
  <c r="X167" i="1" s="1"/>
  <c r="AE167" i="1"/>
  <c r="AF167" i="1"/>
  <c r="AH99" i="1"/>
  <c r="AM99" i="1"/>
  <c r="AN99" i="1"/>
  <c r="AO99" i="1"/>
  <c r="K168" i="1"/>
  <c r="L168" i="1"/>
  <c r="M168" i="1"/>
  <c r="N168" i="1" s="1"/>
  <c r="V168" i="1"/>
  <c r="S28" i="3" s="1"/>
  <c r="X168" i="1"/>
  <c r="Y168" i="1"/>
  <c r="Z168" i="1"/>
  <c r="AB168" i="1"/>
  <c r="AC168" i="1"/>
  <c r="AD168" i="1"/>
  <c r="T168" i="1" s="1"/>
  <c r="AE168" i="1"/>
  <c r="R28" i="3" s="1"/>
  <c r="AF168" i="1"/>
  <c r="AH100" i="1"/>
  <c r="AM100" i="1"/>
  <c r="AN100" i="1"/>
  <c r="AO100" i="1"/>
  <c r="K169" i="1"/>
  <c r="L169" i="1"/>
  <c r="M169" i="1"/>
  <c r="N169" i="1" s="1"/>
  <c r="V169" i="1"/>
  <c r="Y169" i="1"/>
  <c r="Z169" i="1"/>
  <c r="AA169" i="1"/>
  <c r="AB169" i="1"/>
  <c r="AC169" i="1"/>
  <c r="AD169" i="1"/>
  <c r="X169" i="1" s="1"/>
  <c r="AE169" i="1"/>
  <c r="AF169" i="1"/>
  <c r="AH101" i="1"/>
  <c r="AM101" i="1"/>
  <c r="AN101" i="1"/>
  <c r="AO101" i="1"/>
  <c r="K170" i="1"/>
  <c r="L170" i="1"/>
  <c r="M170" i="1"/>
  <c r="N170" i="1" s="1"/>
  <c r="V170" i="1"/>
  <c r="X170" i="1"/>
  <c r="Y170" i="1"/>
  <c r="Z170" i="1"/>
  <c r="AB170" i="1"/>
  <c r="AC170" i="1"/>
  <c r="AD170" i="1"/>
  <c r="T170" i="1" s="1"/>
  <c r="AE170" i="1"/>
  <c r="AF170" i="1"/>
  <c r="AH102" i="1"/>
  <c r="AM102" i="1"/>
  <c r="AN102" i="1"/>
  <c r="AO102" i="1"/>
  <c r="K171" i="1"/>
  <c r="L171" i="1"/>
  <c r="M171" i="1"/>
  <c r="N171" i="1" s="1"/>
  <c r="V171" i="1"/>
  <c r="Y171" i="1"/>
  <c r="Z171" i="1"/>
  <c r="AA171" i="1"/>
  <c r="AB171" i="1"/>
  <c r="AC171" i="1"/>
  <c r="AD171" i="1"/>
  <c r="X171" i="1" s="1"/>
  <c r="AE171" i="1"/>
  <c r="AF171" i="1"/>
  <c r="AH103" i="1"/>
  <c r="AM103" i="1"/>
  <c r="AN103" i="1"/>
  <c r="AO103" i="1"/>
  <c r="K172" i="1"/>
  <c r="L172" i="1"/>
  <c r="M172" i="1"/>
  <c r="N172" i="1" s="1"/>
  <c r="V172" i="1"/>
  <c r="X172" i="1"/>
  <c r="Y172" i="1"/>
  <c r="Z172" i="1"/>
  <c r="AB172" i="1"/>
  <c r="AC172" i="1"/>
  <c r="AD172" i="1"/>
  <c r="T172" i="1" s="1"/>
  <c r="AE172" i="1"/>
  <c r="AF172" i="1"/>
  <c r="AH104" i="1"/>
  <c r="AM104" i="1"/>
  <c r="AN104" i="1"/>
  <c r="AO104" i="1"/>
  <c r="K95" i="1"/>
  <c r="L95" i="1"/>
  <c r="M95" i="1"/>
  <c r="N95" i="1" s="1"/>
  <c r="V95" i="1"/>
  <c r="Y95" i="1"/>
  <c r="Z95" i="1"/>
  <c r="AA95" i="1"/>
  <c r="AB95" i="1"/>
  <c r="AC95" i="1"/>
  <c r="AD95" i="1"/>
  <c r="X95" i="1" s="1"/>
  <c r="AE95" i="1"/>
  <c r="AF95" i="1"/>
  <c r="AH105" i="1"/>
  <c r="AM105" i="1"/>
  <c r="AN105" i="1"/>
  <c r="AO105" i="1"/>
  <c r="K173" i="1"/>
  <c r="L173" i="1"/>
  <c r="M173" i="1"/>
  <c r="N173" i="1" s="1"/>
  <c r="V173" i="1"/>
  <c r="X173" i="1"/>
  <c r="Y173" i="1"/>
  <c r="Z173" i="1"/>
  <c r="AB173" i="1"/>
  <c r="AC173" i="1"/>
  <c r="AD173" i="1"/>
  <c r="T173" i="1" s="1"/>
  <c r="AE173" i="1"/>
  <c r="AF173" i="1"/>
  <c r="AH106" i="1"/>
  <c r="AM106" i="1"/>
  <c r="AN106" i="1"/>
  <c r="AO106" i="1"/>
  <c r="K174" i="1"/>
  <c r="L174" i="1"/>
  <c r="M174" i="1"/>
  <c r="N174" i="1" s="1"/>
  <c r="V174" i="1"/>
  <c r="Y174" i="1"/>
  <c r="Z174" i="1"/>
  <c r="AA174" i="1"/>
  <c r="AB174" i="1"/>
  <c r="AC174" i="1"/>
  <c r="AD174" i="1"/>
  <c r="X174" i="1" s="1"/>
  <c r="AE174" i="1"/>
  <c r="AF174" i="1"/>
  <c r="AH107" i="1"/>
  <c r="AM107" i="1"/>
  <c r="AN107" i="1"/>
  <c r="AO107" i="1"/>
  <c r="K175" i="1"/>
  <c r="L175" i="1"/>
  <c r="M175" i="1"/>
  <c r="N175" i="1" s="1"/>
  <c r="V175" i="1"/>
  <c r="X175" i="1"/>
  <c r="Y175" i="1"/>
  <c r="Z175" i="1"/>
  <c r="AB175" i="1"/>
  <c r="AC175" i="1"/>
  <c r="AD175" i="1"/>
  <c r="T175" i="1" s="1"/>
  <c r="AE175" i="1"/>
  <c r="AF175" i="1"/>
  <c r="AH108" i="1"/>
  <c r="AM108" i="1"/>
  <c r="AN108" i="1"/>
  <c r="AO108" i="1"/>
  <c r="K176" i="1"/>
  <c r="L176" i="1"/>
  <c r="M176" i="1"/>
  <c r="N176" i="1" s="1"/>
  <c r="V176" i="1"/>
  <c r="Y176" i="1"/>
  <c r="AA176" i="1" s="1"/>
  <c r="Z176" i="1"/>
  <c r="AB176" i="1"/>
  <c r="AC176" i="1"/>
  <c r="AD176" i="1"/>
  <c r="X176" i="1" s="1"/>
  <c r="AE176" i="1"/>
  <c r="AF176" i="1"/>
  <c r="AH109" i="1"/>
  <c r="AM109" i="1"/>
  <c r="AN109" i="1"/>
  <c r="AO109" i="1"/>
  <c r="K177" i="1"/>
  <c r="L177" i="1"/>
  <c r="M177" i="1"/>
  <c r="N177" i="1" s="1"/>
  <c r="V177" i="1"/>
  <c r="X177" i="1"/>
  <c r="Y177" i="1"/>
  <c r="Z177" i="1"/>
  <c r="AA177" i="1"/>
  <c r="AB177" i="1"/>
  <c r="AC177" i="1"/>
  <c r="AD177" i="1"/>
  <c r="T177" i="1" s="1"/>
  <c r="AE177" i="1"/>
  <c r="AF177" i="1"/>
  <c r="AH110" i="1"/>
  <c r="AM110" i="1"/>
  <c r="AN110" i="1"/>
  <c r="AO110" i="1"/>
  <c r="K178" i="1"/>
  <c r="L178" i="1"/>
  <c r="M178" i="1"/>
  <c r="N178" i="1" s="1"/>
  <c r="V178" i="1"/>
  <c r="Y178" i="1"/>
  <c r="Z178" i="1"/>
  <c r="AB178" i="1"/>
  <c r="AC178" i="1"/>
  <c r="AD178" i="1"/>
  <c r="X178" i="1" s="1"/>
  <c r="AE178" i="1"/>
  <c r="AF178" i="1"/>
  <c r="AH111" i="1"/>
  <c r="AM111" i="1"/>
  <c r="AN111" i="1"/>
  <c r="AO11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2" i="1"/>
  <c r="AM112" i="1"/>
  <c r="AN112" i="1"/>
  <c r="AO112" i="1"/>
  <c r="K180" i="1"/>
  <c r="L180" i="1"/>
  <c r="M180" i="1"/>
  <c r="N180" i="1" s="1"/>
  <c r="T180" i="1"/>
  <c r="V180" i="1"/>
  <c r="X180" i="1"/>
  <c r="Y180" i="1"/>
  <c r="Z180" i="1"/>
  <c r="AA180" i="1" s="1"/>
  <c r="AB180" i="1"/>
  <c r="AC180" i="1"/>
  <c r="AD180" i="1"/>
  <c r="AE180" i="1"/>
  <c r="AF180" i="1"/>
  <c r="AH113" i="1"/>
  <c r="AM113" i="1"/>
  <c r="AN113" i="1"/>
  <c r="AO113" i="1"/>
  <c r="K181" i="1"/>
  <c r="L181" i="1"/>
  <c r="M181" i="1"/>
  <c r="N181" i="1" s="1"/>
  <c r="T181" i="1"/>
  <c r="V181" i="1"/>
  <c r="Y181" i="1"/>
  <c r="Z181" i="1"/>
  <c r="AA181" i="1" s="1"/>
  <c r="AB181" i="1"/>
  <c r="AC181" i="1"/>
  <c r="AD181" i="1"/>
  <c r="X181" i="1" s="1"/>
  <c r="AE181" i="1"/>
  <c r="AF181" i="1"/>
  <c r="AH114" i="1"/>
  <c r="AM114" i="1"/>
  <c r="AN114" i="1"/>
  <c r="AO114" i="1"/>
  <c r="K182" i="1"/>
  <c r="L182" i="1"/>
  <c r="M182" i="1"/>
  <c r="N182" i="1" s="1"/>
  <c r="V182" i="1"/>
  <c r="S23" i="3" s="1"/>
  <c r="Y182" i="1"/>
  <c r="AB182" i="1"/>
  <c r="AC182" i="1"/>
  <c r="AD182" i="1"/>
  <c r="X182" i="1" s="1"/>
  <c r="AE182" i="1"/>
  <c r="R23" i="3" s="1"/>
  <c r="AF182" i="1"/>
  <c r="AH115" i="1"/>
  <c r="AM115" i="1"/>
  <c r="AN115" i="1"/>
  <c r="AO115" i="1"/>
  <c r="K96" i="1"/>
  <c r="L96" i="1"/>
  <c r="M96" i="1"/>
  <c r="N96" i="1" s="1"/>
  <c r="V96" i="1"/>
  <c r="X96" i="1"/>
  <c r="Y96" i="1"/>
  <c r="Z96" i="1"/>
  <c r="AB96" i="1"/>
  <c r="AC96" i="1"/>
  <c r="AD96" i="1"/>
  <c r="T96" i="1" s="1"/>
  <c r="AE96" i="1"/>
  <c r="AF96" i="1"/>
  <c r="AH116" i="1"/>
  <c r="AM116" i="1"/>
  <c r="AN116" i="1"/>
  <c r="AO116" i="1"/>
  <c r="K183" i="1"/>
  <c r="L183" i="1"/>
  <c r="M183" i="1"/>
  <c r="N183" i="1" s="1"/>
  <c r="T183" i="1"/>
  <c r="V183" i="1"/>
  <c r="Y183" i="1"/>
  <c r="Z183" i="1"/>
  <c r="AA183" i="1" s="1"/>
  <c r="AB183" i="1"/>
  <c r="AC183" i="1"/>
  <c r="AD183" i="1"/>
  <c r="AE183" i="1"/>
  <c r="AF183" i="1"/>
  <c r="AH117" i="1"/>
  <c r="AM117" i="1"/>
  <c r="AN117" i="1"/>
  <c r="AO117" i="1"/>
  <c r="K184" i="1"/>
  <c r="L184" i="1"/>
  <c r="M184" i="1"/>
  <c r="N184" i="1" s="1"/>
  <c r="T184" i="1"/>
  <c r="V184" i="1"/>
  <c r="Y184" i="1"/>
  <c r="Z184" i="1"/>
  <c r="AA184" i="1" s="1"/>
  <c r="AB184" i="1"/>
  <c r="AC184" i="1"/>
  <c r="AD184" i="1"/>
  <c r="X184" i="1" s="1"/>
  <c r="AE184" i="1"/>
  <c r="AF184" i="1"/>
  <c r="AH118" i="1"/>
  <c r="AM118" i="1"/>
  <c r="AN118" i="1"/>
  <c r="AO118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AF185" i="1"/>
  <c r="AH119" i="1"/>
  <c r="AM119" i="1"/>
  <c r="AN119" i="1"/>
  <c r="AO119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0" i="1"/>
  <c r="AM120" i="1"/>
  <c r="AN120" i="1"/>
  <c r="AO12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1" i="1"/>
  <c r="AM121" i="1"/>
  <c r="AN121" i="1"/>
  <c r="AO121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2" i="1"/>
  <c r="AM122" i="1"/>
  <c r="AN122" i="1"/>
  <c r="AO122" i="1"/>
  <c r="K191" i="1"/>
  <c r="L191" i="1"/>
  <c r="M191" i="1"/>
  <c r="N191" i="1" s="1"/>
  <c r="V191" i="1"/>
  <c r="S24" i="3" s="1"/>
  <c r="Y191" i="1"/>
  <c r="Z191" i="1"/>
  <c r="AB191" i="1"/>
  <c r="AC191" i="1"/>
  <c r="AD191" i="1"/>
  <c r="T191" i="1" s="1"/>
  <c r="AE191" i="1"/>
  <c r="R24" i="3" s="1"/>
  <c r="AF191" i="1"/>
  <c r="AH123" i="1"/>
  <c r="AM123" i="1"/>
  <c r="AN123" i="1"/>
  <c r="AO123" i="1"/>
  <c r="K192" i="1"/>
  <c r="L192" i="1"/>
  <c r="M192" i="1"/>
  <c r="N192" i="1" s="1"/>
  <c r="T192" i="1"/>
  <c r="V192" i="1"/>
  <c r="Y192" i="1"/>
  <c r="Z192" i="1"/>
  <c r="AB192" i="1"/>
  <c r="AC192" i="1"/>
  <c r="AD192" i="1"/>
  <c r="AE192" i="1"/>
  <c r="AF192" i="1"/>
  <c r="AH124" i="1"/>
  <c r="AM124" i="1"/>
  <c r="AN124" i="1"/>
  <c r="AO124" i="1"/>
  <c r="K97" i="1"/>
  <c r="L97" i="1"/>
  <c r="M97" i="1"/>
  <c r="N97" i="1"/>
  <c r="V97" i="1"/>
  <c r="X97" i="1"/>
  <c r="Y97" i="1"/>
  <c r="Z97" i="1"/>
  <c r="AA97" i="1" s="1"/>
  <c r="AB97" i="1"/>
  <c r="AC97" i="1"/>
  <c r="AD97" i="1"/>
  <c r="T97" i="1" s="1"/>
  <c r="AE97" i="1"/>
  <c r="AF97" i="1"/>
  <c r="AH125" i="1"/>
  <c r="AM125" i="1"/>
  <c r="AN125" i="1"/>
  <c r="AO125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126" i="1"/>
  <c r="AM126" i="1"/>
  <c r="AN126" i="1"/>
  <c r="AO126" i="1"/>
  <c r="K195" i="1"/>
  <c r="L195" i="1"/>
  <c r="M195" i="1"/>
  <c r="N195" i="1"/>
  <c r="V195" i="1"/>
  <c r="Y195" i="1"/>
  <c r="Z195" i="1"/>
  <c r="AA195" i="1" s="1"/>
  <c r="AB195" i="1"/>
  <c r="AC195" i="1"/>
  <c r="AD195" i="1"/>
  <c r="T195" i="1" s="1"/>
  <c r="AE195" i="1"/>
  <c r="AF195" i="1"/>
  <c r="AH127" i="1"/>
  <c r="AM127" i="1"/>
  <c r="AN127" i="1"/>
  <c r="AO127" i="1"/>
  <c r="K196" i="1"/>
  <c r="L196" i="1"/>
  <c r="M196" i="1"/>
  <c r="N196" i="1" s="1"/>
  <c r="V196" i="1"/>
  <c r="S25" i="3" s="1"/>
  <c r="Y196" i="1"/>
  <c r="Z196" i="1"/>
  <c r="AB196" i="1"/>
  <c r="AC196" i="1"/>
  <c r="AD196" i="1"/>
  <c r="X196" i="1" s="1"/>
  <c r="AE196" i="1"/>
  <c r="R25" i="3" s="1"/>
  <c r="AF196" i="1"/>
  <c r="AH128" i="1"/>
  <c r="AM128" i="1"/>
  <c r="AN128" i="1"/>
  <c r="AO128" i="1"/>
  <c r="K197" i="1"/>
  <c r="L197" i="1"/>
  <c r="M197" i="1"/>
  <c r="N197" i="1" s="1"/>
  <c r="V197" i="1"/>
  <c r="X197" i="1"/>
  <c r="Y197" i="1"/>
  <c r="Z197" i="1"/>
  <c r="AA197" i="1" s="1"/>
  <c r="AB197" i="1"/>
  <c r="AC197" i="1"/>
  <c r="AD197" i="1"/>
  <c r="T197" i="1" s="1"/>
  <c r="AE197" i="1"/>
  <c r="AF197" i="1"/>
  <c r="AH129" i="1"/>
  <c r="AM129" i="1"/>
  <c r="AN129" i="1"/>
  <c r="AO129" i="1"/>
  <c r="K98" i="1"/>
  <c r="L98" i="1"/>
  <c r="M98" i="1"/>
  <c r="N98" i="1" s="1"/>
  <c r="T98" i="1"/>
  <c r="V98" i="1"/>
  <c r="Y98" i="1"/>
  <c r="Z98" i="1"/>
  <c r="AB98" i="1"/>
  <c r="AC98" i="1"/>
  <c r="AD98" i="1"/>
  <c r="X98" i="1" s="1"/>
  <c r="AE98" i="1"/>
  <c r="AF98" i="1"/>
  <c r="AH130" i="1"/>
  <c r="AM130" i="1"/>
  <c r="AN130" i="1"/>
  <c r="AO130" i="1"/>
  <c r="K99" i="1"/>
  <c r="L99" i="1"/>
  <c r="M99" i="1"/>
  <c r="N99" i="1"/>
  <c r="V99" i="1"/>
  <c r="Y99" i="1"/>
  <c r="Z99" i="1"/>
  <c r="AA99" i="1" s="1"/>
  <c r="AB99" i="1"/>
  <c r="AC99" i="1"/>
  <c r="AD99" i="1"/>
  <c r="T99" i="1" s="1"/>
  <c r="AE99" i="1"/>
  <c r="AF99" i="1"/>
  <c r="AH131" i="1"/>
  <c r="AM131" i="1"/>
  <c r="AN131" i="1"/>
  <c r="AO131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32" i="1"/>
  <c r="AM132" i="1"/>
  <c r="AN132" i="1"/>
  <c r="AO132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3" i="1"/>
  <c r="AM133" i="1"/>
  <c r="AN133" i="1"/>
  <c r="AO133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4" i="1"/>
  <c r="AM134" i="1"/>
  <c r="AN134" i="1"/>
  <c r="AO134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5" i="1"/>
  <c r="AM135" i="1"/>
  <c r="AN135" i="1"/>
  <c r="AO135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137" i="1"/>
  <c r="AM137" i="1"/>
  <c r="AN137" i="1"/>
  <c r="AO137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139" i="1"/>
  <c r="AM139" i="1"/>
  <c r="AN139" i="1"/>
  <c r="AO139" i="1"/>
  <c r="K104" i="1"/>
  <c r="L104" i="1"/>
  <c r="M104" i="1"/>
  <c r="N104" i="1" s="1"/>
  <c r="V104" i="1"/>
  <c r="Y104" i="1"/>
  <c r="Z104" i="1"/>
  <c r="AB104" i="1"/>
  <c r="AC104" i="1"/>
  <c r="AD104" i="1"/>
  <c r="X104" i="1" s="1"/>
  <c r="AE104" i="1"/>
  <c r="AF104" i="1"/>
  <c r="AH141" i="1"/>
  <c r="AM141" i="1"/>
  <c r="AN141" i="1"/>
  <c r="AO14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42" i="1"/>
  <c r="AM142" i="1"/>
  <c r="AN142" i="1"/>
  <c r="AO142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144" i="1"/>
  <c r="AM144" i="1"/>
  <c r="AN144" i="1"/>
  <c r="AO144" i="1"/>
  <c r="K212" i="1"/>
  <c r="L212" i="1"/>
  <c r="M212" i="1"/>
  <c r="N212" i="1" s="1"/>
  <c r="V212" i="1"/>
  <c r="X212" i="1"/>
  <c r="Y212" i="1"/>
  <c r="Z212" i="1"/>
  <c r="AB212" i="1"/>
  <c r="AC212" i="1"/>
  <c r="AD212" i="1"/>
  <c r="T212" i="1" s="1"/>
  <c r="AE212" i="1"/>
  <c r="AF212" i="1"/>
  <c r="AH145" i="1"/>
  <c r="AM145" i="1"/>
  <c r="AN145" i="1"/>
  <c r="AO145" i="1"/>
  <c r="K213" i="1"/>
  <c r="L213" i="1"/>
  <c r="M213" i="1"/>
  <c r="N213" i="1" s="1"/>
  <c r="V213" i="1"/>
  <c r="Y213" i="1"/>
  <c r="Z213" i="1"/>
  <c r="AB213" i="1"/>
  <c r="AC213" i="1"/>
  <c r="AD213" i="1"/>
  <c r="X213" i="1" s="1"/>
  <c r="AE213" i="1"/>
  <c r="AF213" i="1"/>
  <c r="AH146" i="1"/>
  <c r="AM146" i="1"/>
  <c r="AN146" i="1"/>
  <c r="AO146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8" i="1"/>
  <c r="AM148" i="1"/>
  <c r="AN148" i="1"/>
  <c r="AO148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9" i="1"/>
  <c r="AM149" i="1"/>
  <c r="AN149" i="1"/>
  <c r="AO149" i="1"/>
  <c r="K107" i="1"/>
  <c r="L107" i="1"/>
  <c r="M107" i="1"/>
  <c r="N107" i="1"/>
  <c r="V107" i="1"/>
  <c r="Y107" i="1"/>
  <c r="Z107" i="1"/>
  <c r="AA107" i="1" s="1"/>
  <c r="AB107" i="1"/>
  <c r="AC107" i="1"/>
  <c r="AD107" i="1"/>
  <c r="T107" i="1" s="1"/>
  <c r="AE107" i="1"/>
  <c r="AF107" i="1"/>
  <c r="AH150" i="1"/>
  <c r="AM150" i="1"/>
  <c r="AN150" i="1"/>
  <c r="AO150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AH151" i="1"/>
  <c r="AM151" i="1"/>
  <c r="AN151" i="1"/>
  <c r="AO151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53" i="1"/>
  <c r="AM153" i="1"/>
  <c r="AN153" i="1"/>
  <c r="AO153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55" i="1"/>
  <c r="AM155" i="1"/>
  <c r="AN155" i="1"/>
  <c r="AO155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57" i="1"/>
  <c r="AM157" i="1"/>
  <c r="AN157" i="1"/>
  <c r="AO157" i="1"/>
  <c r="K112" i="1"/>
  <c r="L112" i="1"/>
  <c r="M112" i="1"/>
  <c r="N112" i="1" s="1"/>
  <c r="V112" i="1"/>
  <c r="X112" i="1"/>
  <c r="Y112" i="1"/>
  <c r="AA112" i="1" s="1"/>
  <c r="Z112" i="1"/>
  <c r="AB112" i="1"/>
  <c r="AC112" i="1"/>
  <c r="AD112" i="1"/>
  <c r="T112" i="1" s="1"/>
  <c r="AE112" i="1"/>
  <c r="AF112" i="1"/>
  <c r="AH159" i="1"/>
  <c r="AM159" i="1"/>
  <c r="AN159" i="1"/>
  <c r="AO159" i="1"/>
  <c r="K113" i="1"/>
  <c r="L113" i="1"/>
  <c r="M113" i="1"/>
  <c r="N113" i="1"/>
  <c r="T113" i="1"/>
  <c r="V113" i="1"/>
  <c r="Y113" i="1"/>
  <c r="Z113" i="1"/>
  <c r="AA113" i="1" s="1"/>
  <c r="AB113" i="1"/>
  <c r="AC113" i="1"/>
  <c r="AD113" i="1"/>
  <c r="AE113" i="1"/>
  <c r="AF113" i="1"/>
  <c r="AH160" i="1"/>
  <c r="AM160" i="1"/>
  <c r="AN160" i="1"/>
  <c r="AO160" i="1"/>
  <c r="K114" i="1"/>
  <c r="L114" i="1"/>
  <c r="M114" i="1"/>
  <c r="N114" i="1"/>
  <c r="V114" i="1"/>
  <c r="Y114" i="1"/>
  <c r="Z114" i="1"/>
  <c r="AB114" i="1"/>
  <c r="AC114" i="1"/>
  <c r="AD114" i="1"/>
  <c r="T114" i="1" s="1"/>
  <c r="AE114" i="1"/>
  <c r="AF114" i="1"/>
  <c r="AH161" i="1"/>
  <c r="AM161" i="1"/>
  <c r="AN161" i="1"/>
  <c r="AO161" i="1"/>
  <c r="K115" i="1"/>
  <c r="L115" i="1"/>
  <c r="M115" i="1"/>
  <c r="N115" i="1" s="1"/>
  <c r="V115" i="1"/>
  <c r="Y115" i="1"/>
  <c r="Z115" i="1"/>
  <c r="AA115" i="1"/>
  <c r="AB115" i="1"/>
  <c r="AC115" i="1"/>
  <c r="AD115" i="1"/>
  <c r="T115" i="1" s="1"/>
  <c r="AE115" i="1"/>
  <c r="AF115" i="1"/>
  <c r="AH162" i="1"/>
  <c r="AM162" i="1"/>
  <c r="AN162" i="1"/>
  <c r="AO162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63" i="1"/>
  <c r="AM163" i="1"/>
  <c r="AN163" i="1"/>
  <c r="AO163" i="1"/>
  <c r="K117" i="1"/>
  <c r="L117" i="1"/>
  <c r="M117" i="1"/>
  <c r="N117" i="1" s="1"/>
  <c r="V117" i="1"/>
  <c r="Y117" i="1"/>
  <c r="Z117" i="1"/>
  <c r="AB117" i="1"/>
  <c r="AC117" i="1"/>
  <c r="AD117" i="1"/>
  <c r="X117" i="1" s="1"/>
  <c r="AE117" i="1"/>
  <c r="AF117" i="1"/>
  <c r="AH164" i="1"/>
  <c r="AM164" i="1"/>
  <c r="AN164" i="1"/>
  <c r="AO164" i="1"/>
  <c r="K118" i="1"/>
  <c r="L118" i="1"/>
  <c r="M118" i="1"/>
  <c r="N118" i="1" s="1"/>
  <c r="T118" i="1"/>
  <c r="V118" i="1"/>
  <c r="Y118" i="1"/>
  <c r="Z118" i="1"/>
  <c r="AA118" i="1"/>
  <c r="AB118" i="1"/>
  <c r="AC118" i="1"/>
  <c r="AD118" i="1"/>
  <c r="AE118" i="1"/>
  <c r="AF118" i="1"/>
  <c r="AH165" i="1"/>
  <c r="AM165" i="1"/>
  <c r="AN165" i="1"/>
  <c r="AO165" i="1"/>
  <c r="K119" i="1"/>
  <c r="L119" i="1"/>
  <c r="M119" i="1"/>
  <c r="N119" i="1" s="1"/>
  <c r="V119" i="1"/>
  <c r="Y119" i="1"/>
  <c r="Z119" i="1"/>
  <c r="AA119" i="1"/>
  <c r="AB119" i="1"/>
  <c r="AC119" i="1"/>
  <c r="AD119" i="1"/>
  <c r="T119" i="1" s="1"/>
  <c r="AE119" i="1"/>
  <c r="AF119" i="1"/>
  <c r="AH166" i="1"/>
  <c r="AM166" i="1"/>
  <c r="AN166" i="1"/>
  <c r="AO166" i="1"/>
  <c r="K120" i="1"/>
  <c r="L120" i="1"/>
  <c r="M120" i="1"/>
  <c r="N120" i="1" s="1"/>
  <c r="V120" i="1"/>
  <c r="X120" i="1"/>
  <c r="Y120" i="1"/>
  <c r="Z120" i="1"/>
  <c r="AA120" i="1" s="1"/>
  <c r="AB120" i="1"/>
  <c r="AC120" i="1"/>
  <c r="AD120" i="1"/>
  <c r="AE120" i="1"/>
  <c r="AF120" i="1"/>
  <c r="AH167" i="1"/>
  <c r="AM167" i="1"/>
  <c r="AN167" i="1"/>
  <c r="AO167" i="1"/>
  <c r="K121" i="1"/>
  <c r="L121" i="1"/>
  <c r="M121" i="1"/>
  <c r="N121" i="1"/>
  <c r="V121" i="1"/>
  <c r="Y121" i="1"/>
  <c r="Z121" i="1"/>
  <c r="AB121" i="1"/>
  <c r="AC121" i="1"/>
  <c r="AD121" i="1"/>
  <c r="T121" i="1" s="1"/>
  <c r="AE121" i="1"/>
  <c r="AF121" i="1"/>
  <c r="AH168" i="1"/>
  <c r="AM168" i="1"/>
  <c r="AN168" i="1"/>
  <c r="AO168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9" i="1"/>
  <c r="AM169" i="1"/>
  <c r="AN169" i="1"/>
  <c r="AO169" i="1"/>
  <c r="K123" i="1"/>
  <c r="L123" i="1"/>
  <c r="M123" i="1"/>
  <c r="N123" i="1"/>
  <c r="V123" i="1"/>
  <c r="Y123" i="1"/>
  <c r="Z123" i="1"/>
  <c r="AA123" i="1"/>
  <c r="AB123" i="1"/>
  <c r="AC123" i="1"/>
  <c r="AD123" i="1"/>
  <c r="T123" i="1" s="1"/>
  <c r="AE123" i="1"/>
  <c r="AF123" i="1"/>
  <c r="AH170" i="1"/>
  <c r="AM170" i="1"/>
  <c r="AN170" i="1"/>
  <c r="AO170" i="1"/>
  <c r="K124" i="1"/>
  <c r="L124" i="1"/>
  <c r="M124" i="1"/>
  <c r="N124" i="1" s="1"/>
  <c r="V124" i="1"/>
  <c r="X124" i="1"/>
  <c r="Y124" i="1"/>
  <c r="Z124" i="1"/>
  <c r="AA124" i="1" s="1"/>
  <c r="AB124" i="1"/>
  <c r="AC124" i="1"/>
  <c r="AD124" i="1"/>
  <c r="AE124" i="1"/>
  <c r="AF124" i="1"/>
  <c r="AH171" i="1"/>
  <c r="AM171" i="1"/>
  <c r="AN171" i="1"/>
  <c r="AO171" i="1"/>
  <c r="K125" i="1"/>
  <c r="L125" i="1"/>
  <c r="M125" i="1"/>
  <c r="N125" i="1"/>
  <c r="V125" i="1"/>
  <c r="Y125" i="1"/>
  <c r="Z125" i="1"/>
  <c r="AB125" i="1"/>
  <c r="AC125" i="1"/>
  <c r="AD125" i="1"/>
  <c r="T125" i="1" s="1"/>
  <c r="AE125" i="1"/>
  <c r="AF125" i="1"/>
  <c r="AH172" i="1"/>
  <c r="AM172" i="1"/>
  <c r="AN172" i="1"/>
  <c r="AO172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73" i="1"/>
  <c r="AM173" i="1"/>
  <c r="AN173" i="1"/>
  <c r="AO173" i="1"/>
  <c r="K127" i="1"/>
  <c r="L127" i="1"/>
  <c r="M127" i="1"/>
  <c r="N127" i="1"/>
  <c r="V127" i="1"/>
  <c r="Y127" i="1"/>
  <c r="Z127" i="1"/>
  <c r="AA127" i="1"/>
  <c r="AB127" i="1"/>
  <c r="AC127" i="1"/>
  <c r="AD127" i="1"/>
  <c r="T127" i="1" s="1"/>
  <c r="AE127" i="1"/>
  <c r="AF127" i="1"/>
  <c r="AH174" i="1"/>
  <c r="AM174" i="1"/>
  <c r="AN174" i="1"/>
  <c r="AO174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75" i="1"/>
  <c r="AM175" i="1"/>
  <c r="AN175" i="1"/>
  <c r="AO175" i="1"/>
  <c r="K129" i="1"/>
  <c r="L129" i="1"/>
  <c r="M129" i="1"/>
  <c r="N129" i="1"/>
  <c r="V129" i="1"/>
  <c r="Y129" i="1"/>
  <c r="Z129" i="1"/>
  <c r="AA129" i="1"/>
  <c r="AB129" i="1"/>
  <c r="AC129" i="1"/>
  <c r="AD129" i="1"/>
  <c r="T129" i="1" s="1"/>
  <c r="AE129" i="1"/>
  <c r="AF129" i="1"/>
  <c r="AH176" i="1"/>
  <c r="AM176" i="1"/>
  <c r="AN176" i="1"/>
  <c r="AO176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77" i="1"/>
  <c r="AM177" i="1"/>
  <c r="AN177" i="1"/>
  <c r="AO177" i="1"/>
  <c r="K131" i="1"/>
  <c r="L131" i="1"/>
  <c r="M131" i="1"/>
  <c r="N131" i="1"/>
  <c r="V131" i="1"/>
  <c r="Y131" i="1"/>
  <c r="Z131" i="1"/>
  <c r="AA131" i="1"/>
  <c r="AB131" i="1"/>
  <c r="AC131" i="1"/>
  <c r="AD131" i="1"/>
  <c r="T131" i="1" s="1"/>
  <c r="AE131" i="1"/>
  <c r="AF131" i="1"/>
  <c r="AH178" i="1"/>
  <c r="AM178" i="1"/>
  <c r="AN178" i="1"/>
  <c r="AO178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79" i="1"/>
  <c r="AM179" i="1"/>
  <c r="AN179" i="1"/>
  <c r="AO179" i="1"/>
  <c r="K133" i="1"/>
  <c r="L133" i="1"/>
  <c r="M133" i="1"/>
  <c r="N133" i="1"/>
  <c r="V133" i="1"/>
  <c r="S15" i="3" s="1"/>
  <c r="Y133" i="1"/>
  <c r="Z133" i="1"/>
  <c r="AA133" i="1"/>
  <c r="AB133" i="1"/>
  <c r="AC133" i="1"/>
  <c r="AD133" i="1"/>
  <c r="T133" i="1" s="1"/>
  <c r="AE133" i="1"/>
  <c r="R15" i="3" s="1"/>
  <c r="AF133" i="1"/>
  <c r="AH180" i="1"/>
  <c r="AM180" i="1"/>
  <c r="AN180" i="1"/>
  <c r="AO180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81" i="1"/>
  <c r="AM181" i="1"/>
  <c r="AN181" i="1"/>
  <c r="AO181" i="1"/>
  <c r="K135" i="1"/>
  <c r="L135" i="1"/>
  <c r="M135" i="1"/>
  <c r="N135" i="1"/>
  <c r="V135" i="1"/>
  <c r="Y135" i="1"/>
  <c r="Z135" i="1"/>
  <c r="AA135" i="1"/>
  <c r="AB135" i="1"/>
  <c r="AC135" i="1"/>
  <c r="AD135" i="1"/>
  <c r="T135" i="1" s="1"/>
  <c r="AE135" i="1"/>
  <c r="AF135" i="1"/>
  <c r="AH182" i="1"/>
  <c r="AM182" i="1"/>
  <c r="AN182" i="1"/>
  <c r="AO18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83" i="1"/>
  <c r="AM183" i="1"/>
  <c r="AN183" i="1"/>
  <c r="AO183" i="1"/>
  <c r="K139" i="1"/>
  <c r="L139" i="1"/>
  <c r="M139" i="1"/>
  <c r="N139" i="1"/>
  <c r="V139" i="1"/>
  <c r="Y139" i="1"/>
  <c r="Z139" i="1"/>
  <c r="AA139" i="1"/>
  <c r="AB139" i="1"/>
  <c r="AC139" i="1"/>
  <c r="AD139" i="1"/>
  <c r="T139" i="1" s="1"/>
  <c r="AE139" i="1"/>
  <c r="AF139" i="1"/>
  <c r="AH184" i="1"/>
  <c r="AM184" i="1"/>
  <c r="AN184" i="1"/>
  <c r="AO184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85" i="1"/>
  <c r="AM185" i="1"/>
  <c r="AN185" i="1"/>
  <c r="AO185" i="1"/>
  <c r="K142" i="1"/>
  <c r="L142" i="1"/>
  <c r="M142" i="1"/>
  <c r="N142" i="1"/>
  <c r="V142" i="1"/>
  <c r="Y142" i="1"/>
  <c r="Z142" i="1"/>
  <c r="AA142" i="1"/>
  <c r="AB142" i="1"/>
  <c r="AC142" i="1"/>
  <c r="AD142" i="1"/>
  <c r="T142" i="1" s="1"/>
  <c r="AE142" i="1"/>
  <c r="AF142" i="1"/>
  <c r="AH187" i="1"/>
  <c r="AM187" i="1"/>
  <c r="AN187" i="1"/>
  <c r="AO187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8" i="1"/>
  <c r="AM188" i="1"/>
  <c r="AN188" i="1"/>
  <c r="AO188" i="1"/>
  <c r="K145" i="1"/>
  <c r="L145" i="1"/>
  <c r="M145" i="1"/>
  <c r="N145" i="1"/>
  <c r="V145" i="1"/>
  <c r="S12" i="3" s="1"/>
  <c r="Y145" i="1"/>
  <c r="Z145" i="1"/>
  <c r="AA145" i="1"/>
  <c r="AB145" i="1"/>
  <c r="AC145" i="1"/>
  <c r="AD145" i="1"/>
  <c r="T145" i="1" s="1"/>
  <c r="AE145" i="1"/>
  <c r="R12" i="3" s="1"/>
  <c r="AF145" i="1"/>
  <c r="AH189" i="1"/>
  <c r="AM189" i="1"/>
  <c r="AN189" i="1"/>
  <c r="AO189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91" i="1"/>
  <c r="AM191" i="1"/>
  <c r="AN191" i="1"/>
  <c r="AO191" i="1"/>
  <c r="K148" i="1"/>
  <c r="L148" i="1"/>
  <c r="M148" i="1"/>
  <c r="N148" i="1"/>
  <c r="V148" i="1"/>
  <c r="Y148" i="1"/>
  <c r="Z148" i="1"/>
  <c r="AA148" i="1"/>
  <c r="AB148" i="1"/>
  <c r="AC148" i="1"/>
  <c r="AD148" i="1"/>
  <c r="T148" i="1" s="1"/>
  <c r="AE148" i="1"/>
  <c r="AF148" i="1"/>
  <c r="AH192" i="1"/>
  <c r="AM192" i="1"/>
  <c r="AN192" i="1"/>
  <c r="AO192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93" i="1"/>
  <c r="AM193" i="1"/>
  <c r="AN193" i="1"/>
  <c r="AO193" i="1"/>
  <c r="K150" i="1"/>
  <c r="L150" i="1"/>
  <c r="M150" i="1"/>
  <c r="N150" i="1"/>
  <c r="V150" i="1"/>
  <c r="Y150" i="1"/>
  <c r="Z150" i="1"/>
  <c r="AA150" i="1"/>
  <c r="AB150" i="1"/>
  <c r="AC150" i="1"/>
  <c r="AD150" i="1"/>
  <c r="T150" i="1" s="1"/>
  <c r="AE150" i="1"/>
  <c r="AF150" i="1"/>
  <c r="AH195" i="1"/>
  <c r="AM195" i="1"/>
  <c r="AN195" i="1"/>
  <c r="AO19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6" i="1"/>
  <c r="AM196" i="1"/>
  <c r="AN196" i="1"/>
  <c r="AO196" i="1"/>
  <c r="K153" i="1"/>
  <c r="L153" i="1"/>
  <c r="M153" i="1"/>
  <c r="N153" i="1"/>
  <c r="V153" i="1"/>
  <c r="Y153" i="1"/>
  <c r="Z153" i="1"/>
  <c r="AA153" i="1"/>
  <c r="AB153" i="1"/>
  <c r="AC153" i="1"/>
  <c r="AD153" i="1"/>
  <c r="T153" i="1" s="1"/>
  <c r="AE153" i="1"/>
  <c r="AF153" i="1"/>
  <c r="AH197" i="1"/>
  <c r="AM197" i="1"/>
  <c r="AN197" i="1"/>
  <c r="AO197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9" i="1"/>
  <c r="AM199" i="1"/>
  <c r="AN199" i="1"/>
  <c r="AO199" i="1"/>
  <c r="K157" i="1"/>
  <c r="L157" i="1"/>
  <c r="M157" i="1"/>
  <c r="N157" i="1"/>
  <c r="V157" i="1"/>
  <c r="Y157" i="1"/>
  <c r="Z157" i="1"/>
  <c r="AA157" i="1"/>
  <c r="AB157" i="1"/>
  <c r="AC157" i="1"/>
  <c r="AD157" i="1"/>
  <c r="T157" i="1" s="1"/>
  <c r="AE157" i="1"/>
  <c r="AF157" i="1"/>
  <c r="AH200" i="1"/>
  <c r="AM200" i="1"/>
  <c r="AN200" i="1"/>
  <c r="AO200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201" i="1"/>
  <c r="AM201" i="1"/>
  <c r="AN201" i="1"/>
  <c r="AO201" i="1"/>
  <c r="K160" i="1"/>
  <c r="L160" i="1"/>
  <c r="M160" i="1"/>
  <c r="N160" i="1"/>
  <c r="V160" i="1"/>
  <c r="Y160" i="1"/>
  <c r="Z160" i="1"/>
  <c r="AA160" i="1"/>
  <c r="AB160" i="1"/>
  <c r="AC160" i="1"/>
  <c r="AD160" i="1"/>
  <c r="T160" i="1" s="1"/>
  <c r="AE160" i="1"/>
  <c r="AF160" i="1"/>
  <c r="AH202" i="1"/>
  <c r="AM202" i="1"/>
  <c r="AN202" i="1"/>
  <c r="AO202" i="1"/>
  <c r="K161" i="1"/>
  <c r="L161" i="1"/>
  <c r="M161" i="1"/>
  <c r="V161" i="1"/>
  <c r="Y161" i="1"/>
  <c r="Z161" i="1"/>
  <c r="AB161" i="1"/>
  <c r="AC161" i="1"/>
  <c r="AD161" i="1"/>
  <c r="T161" i="1" s="1"/>
  <c r="AE161" i="1"/>
  <c r="AF161" i="1"/>
  <c r="AH203" i="1"/>
  <c r="AM203" i="1"/>
  <c r="AN203" i="1"/>
  <c r="AO203" i="1"/>
  <c r="K162" i="1"/>
  <c r="L162" i="1"/>
  <c r="M162" i="1"/>
  <c r="N162" i="1"/>
  <c r="V162" i="1"/>
  <c r="Y162" i="1"/>
  <c r="Z162" i="1"/>
  <c r="AA162" i="1"/>
  <c r="AB162" i="1"/>
  <c r="AC162" i="1"/>
  <c r="AD162" i="1"/>
  <c r="T162" i="1" s="1"/>
  <c r="AE162" i="1"/>
  <c r="AF162" i="1"/>
  <c r="AH204" i="1"/>
  <c r="AM204" i="1"/>
  <c r="AN204" i="1"/>
  <c r="AO20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5" i="1"/>
  <c r="AM205" i="1"/>
  <c r="AN205" i="1"/>
  <c r="AO205" i="1"/>
  <c r="K202" i="1"/>
  <c r="L202" i="1"/>
  <c r="M202" i="1"/>
  <c r="N202" i="1"/>
  <c r="V202" i="1"/>
  <c r="Y202" i="1"/>
  <c r="Z202" i="1"/>
  <c r="AA202" i="1"/>
  <c r="AB202" i="1"/>
  <c r="AC202" i="1"/>
  <c r="AD202" i="1"/>
  <c r="T202" i="1" s="1"/>
  <c r="AE202" i="1"/>
  <c r="AF202" i="1"/>
  <c r="AH206" i="1"/>
  <c r="AM206" i="1"/>
  <c r="AN206" i="1"/>
  <c r="AO20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7" i="1"/>
  <c r="AM207" i="1"/>
  <c r="AN207" i="1"/>
  <c r="AO207" i="1"/>
  <c r="K204" i="1"/>
  <c r="L204" i="1"/>
  <c r="M204" i="1"/>
  <c r="N204" i="1"/>
  <c r="V204" i="1"/>
  <c r="Y204" i="1"/>
  <c r="Z204" i="1"/>
  <c r="AA204" i="1"/>
  <c r="AB204" i="1"/>
  <c r="AC204" i="1"/>
  <c r="AD204" i="1"/>
  <c r="T204" i="1" s="1"/>
  <c r="AE204" i="1"/>
  <c r="AF204" i="1"/>
  <c r="AH208" i="1"/>
  <c r="AM208" i="1"/>
  <c r="AN208" i="1"/>
  <c r="AO20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9" i="1"/>
  <c r="AM209" i="1"/>
  <c r="AN209" i="1"/>
  <c r="AO209" i="1"/>
  <c r="K206" i="1"/>
  <c r="L206" i="1"/>
  <c r="M206" i="1"/>
  <c r="N206" i="1"/>
  <c r="V206" i="1"/>
  <c r="Y206" i="1"/>
  <c r="Z206" i="1"/>
  <c r="AA206" i="1"/>
  <c r="AB206" i="1"/>
  <c r="AC206" i="1"/>
  <c r="AD206" i="1"/>
  <c r="T206" i="1" s="1"/>
  <c r="AE206" i="1"/>
  <c r="AF206" i="1"/>
  <c r="AH210" i="1"/>
  <c r="AM210" i="1"/>
  <c r="AN210" i="1"/>
  <c r="AO21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11" i="1"/>
  <c r="AM211" i="1"/>
  <c r="AN211" i="1"/>
  <c r="AO211" i="1"/>
  <c r="K208" i="1"/>
  <c r="L208" i="1"/>
  <c r="M208" i="1"/>
  <c r="N208" i="1"/>
  <c r="V208" i="1"/>
  <c r="Y208" i="1"/>
  <c r="Z208" i="1"/>
  <c r="AA208" i="1"/>
  <c r="AB208" i="1"/>
  <c r="AC208" i="1"/>
  <c r="AD208" i="1"/>
  <c r="T208" i="1" s="1"/>
  <c r="AE208" i="1"/>
  <c r="AF208" i="1"/>
  <c r="AH212" i="1"/>
  <c r="AM212" i="1"/>
  <c r="AN212" i="1"/>
  <c r="AO21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3" i="1"/>
  <c r="AM213" i="1"/>
  <c r="AN213" i="1"/>
  <c r="AO213" i="1"/>
  <c r="K214" i="1"/>
  <c r="L214" i="1"/>
  <c r="M214" i="1"/>
  <c r="N214" i="1"/>
  <c r="V214" i="1"/>
  <c r="Y214" i="1"/>
  <c r="Z214" i="1"/>
  <c r="AA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/>
  <c r="V216" i="1"/>
  <c r="Y216" i="1"/>
  <c r="Z216" i="1"/>
  <c r="AA216" i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/>
  <c r="V218" i="1"/>
  <c r="Y218" i="1"/>
  <c r="Z218" i="1"/>
  <c r="AA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/>
  <c r="V220" i="1"/>
  <c r="Y220" i="1"/>
  <c r="AA220" i="1" s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22" i="1"/>
  <c r="AM222" i="1"/>
  <c r="AN222" i="1"/>
  <c r="AO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AO223" i="1"/>
  <c r="K224" i="1"/>
  <c r="L224" i="1"/>
  <c r="M224" i="1"/>
  <c r="N224" i="1" s="1"/>
  <c r="V224" i="1"/>
  <c r="S29" i="3" s="1"/>
  <c r="Y224" i="1"/>
  <c r="AA224" i="1" s="1"/>
  <c r="Z224" i="1"/>
  <c r="AB224" i="1"/>
  <c r="AC224" i="1"/>
  <c r="AD224" i="1"/>
  <c r="T224" i="1" s="1"/>
  <c r="AE224" i="1"/>
  <c r="R29" i="3" s="1"/>
  <c r="AF224" i="1"/>
  <c r="AH224" i="1"/>
  <c r="AM224" i="1"/>
  <c r="AN224" i="1"/>
  <c r="AO224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226" i="1"/>
  <c r="AM226" i="1"/>
  <c r="AN226" i="1"/>
  <c r="AO226" i="1"/>
  <c r="M22" i="3"/>
  <c r="U22" i="3"/>
  <c r="T22" i="3" s="1"/>
  <c r="V22" i="3"/>
  <c r="X22" i="3"/>
  <c r="M16" i="3"/>
  <c r="U16" i="3"/>
  <c r="AC16" i="3" s="1"/>
  <c r="V16" i="3"/>
  <c r="X16" i="3"/>
  <c r="M19" i="3"/>
  <c r="U19" i="3"/>
  <c r="AC19" i="3" s="1"/>
  <c r="V19" i="3"/>
  <c r="X19" i="3"/>
  <c r="M13" i="3"/>
  <c r="U13" i="3"/>
  <c r="AC13" i="3" s="1"/>
  <c r="V13" i="3"/>
  <c r="X13" i="3"/>
  <c r="M21" i="3"/>
  <c r="U21" i="3"/>
  <c r="T21" i="3" s="1"/>
  <c r="V21" i="3"/>
  <c r="X21" i="3"/>
  <c r="M20" i="3"/>
  <c r="U20" i="3"/>
  <c r="AD20" i="3" s="1"/>
  <c r="V20" i="3"/>
  <c r="X20" i="3"/>
  <c r="M14" i="3"/>
  <c r="U14" i="3"/>
  <c r="AC14" i="3" s="1"/>
  <c r="V14" i="3"/>
  <c r="X14" i="3"/>
  <c r="M28" i="3"/>
  <c r="U28" i="3"/>
  <c r="AC28" i="3" s="1"/>
  <c r="V28" i="3"/>
  <c r="X28" i="3"/>
  <c r="M7" i="3"/>
  <c r="U7" i="3"/>
  <c r="T7" i="3" s="1"/>
  <c r="V7" i="3"/>
  <c r="X7" i="3"/>
  <c r="M8" i="3"/>
  <c r="U8" i="3"/>
  <c r="AC8" i="3" s="1"/>
  <c r="V8" i="3"/>
  <c r="X8" i="3"/>
  <c r="M17" i="3"/>
  <c r="U17" i="3"/>
  <c r="AC17" i="3" s="1"/>
  <c r="V17" i="3"/>
  <c r="X17" i="3"/>
  <c r="M9" i="3"/>
  <c r="U9" i="3"/>
  <c r="T9" i="3" s="1"/>
  <c r="V9" i="3"/>
  <c r="X9" i="3"/>
  <c r="M11" i="3"/>
  <c r="U11" i="3"/>
  <c r="T11" i="3" s="1"/>
  <c r="V11" i="3"/>
  <c r="X11" i="3"/>
  <c r="M23" i="3"/>
  <c r="U23" i="3"/>
  <c r="AC23" i="3" s="1"/>
  <c r="V23" i="3"/>
  <c r="X23" i="3"/>
  <c r="M26" i="3"/>
  <c r="U26" i="3"/>
  <c r="T26" i="3" s="1"/>
  <c r="V26" i="3"/>
  <c r="X26" i="3"/>
  <c r="M15" i="3"/>
  <c r="U15" i="3"/>
  <c r="T15" i="3" s="1"/>
  <c r="V15" i="3"/>
  <c r="X15" i="3"/>
  <c r="M29" i="3"/>
  <c r="U29" i="3"/>
  <c r="AC29" i="3" s="1"/>
  <c r="V29" i="3"/>
  <c r="X29" i="3"/>
  <c r="M24" i="3"/>
  <c r="U24" i="3"/>
  <c r="AC24" i="3" s="1"/>
  <c r="V24" i="3"/>
  <c r="X24" i="3"/>
  <c r="M27" i="3"/>
  <c r="U27" i="3"/>
  <c r="T27" i="3" s="1"/>
  <c r="V27" i="3"/>
  <c r="X27" i="3"/>
  <c r="M18" i="3"/>
  <c r="U18" i="3"/>
  <c r="AC18" i="3" s="1"/>
  <c r="V18" i="3"/>
  <c r="X18" i="3"/>
  <c r="M12" i="3"/>
  <c r="U12" i="3"/>
  <c r="AC12" i="3" s="1"/>
  <c r="V12" i="3"/>
  <c r="X12" i="3"/>
  <c r="M25" i="3"/>
  <c r="U25" i="3"/>
  <c r="AD25" i="3" s="1"/>
  <c r="V25" i="3"/>
  <c r="X25" i="3"/>
  <c r="AG225" i="1"/>
  <c r="AG198" i="1"/>
  <c r="AG194" i="1"/>
  <c r="AG190" i="1"/>
  <c r="AG186" i="1"/>
  <c r="AG158" i="1"/>
  <c r="AG156" i="1"/>
  <c r="AG154" i="1"/>
  <c r="AG152" i="1"/>
  <c r="AG147" i="1"/>
  <c r="AG143" i="1"/>
  <c r="AG140" i="1"/>
  <c r="AG138" i="1"/>
  <c r="AG136" i="1"/>
  <c r="AG20" i="1"/>
  <c r="AG15" i="1"/>
  <c r="AG19" i="1"/>
  <c r="AG24" i="1"/>
  <c r="AG28" i="1"/>
  <c r="AG32" i="1"/>
  <c r="AG36" i="1"/>
  <c r="AG40" i="1"/>
  <c r="AG46" i="1"/>
  <c r="AG54" i="1"/>
  <c r="AG60" i="1"/>
  <c r="AG78" i="1"/>
  <c r="AG94" i="1"/>
  <c r="AG169" i="1"/>
  <c r="AG95" i="1"/>
  <c r="AG176" i="1"/>
  <c r="AG53" i="1"/>
  <c r="AG73" i="1"/>
  <c r="AG89" i="1"/>
  <c r="AG57" i="1"/>
  <c r="AG71" i="1"/>
  <c r="AG87" i="1"/>
  <c r="AG76" i="1"/>
  <c r="AG180" i="1"/>
  <c r="AG183" i="1"/>
  <c r="AG188" i="1"/>
  <c r="AG97" i="1"/>
  <c r="AG197" i="1"/>
  <c r="AG101" i="1"/>
  <c r="AG200" i="1"/>
  <c r="AG212" i="1"/>
  <c r="AG107" i="1"/>
  <c r="AG66" i="1"/>
  <c r="AG109" i="1"/>
  <c r="AG111" i="1"/>
  <c r="AG115" i="1"/>
  <c r="AG119" i="1"/>
  <c r="AG123" i="1"/>
  <c r="AG127" i="1"/>
  <c r="AG131" i="1"/>
  <c r="AG135" i="1"/>
  <c r="AG142" i="1"/>
  <c r="AG148" i="1"/>
  <c r="AG153" i="1"/>
  <c r="AG160" i="1"/>
  <c r="AG202" i="1"/>
  <c r="AG206" i="1"/>
  <c r="AG214" i="1"/>
  <c r="AG218" i="1"/>
  <c r="AG222" i="1"/>
  <c r="AG62" i="1"/>
  <c r="AG16" i="1"/>
  <c r="AG21" i="1"/>
  <c r="AG25" i="1"/>
  <c r="AG29" i="1"/>
  <c r="AG18" i="1"/>
  <c r="AG27" i="1"/>
  <c r="AG34" i="1"/>
  <c r="AG39" i="1"/>
  <c r="AG48" i="1"/>
  <c r="AG47" i="1"/>
  <c r="AG74" i="1"/>
  <c r="AG166" i="1"/>
  <c r="AG171" i="1"/>
  <c r="AG175" i="1"/>
  <c r="AG59" i="1"/>
  <c r="AG81" i="1"/>
  <c r="AG49" i="1"/>
  <c r="AG75" i="1"/>
  <c r="AG163" i="1"/>
  <c r="AG179" i="1"/>
  <c r="AG184" i="1"/>
  <c r="AG191" i="1"/>
  <c r="AG196" i="1"/>
  <c r="AG102" i="1"/>
  <c r="AG210" i="1"/>
  <c r="AG106" i="1"/>
  <c r="AG80" i="1"/>
  <c r="AG88" i="1"/>
  <c r="AG114" i="1"/>
  <c r="AG120" i="1"/>
  <c r="AG125" i="1"/>
  <c r="AG130" i="1"/>
  <c r="AG137" i="1"/>
  <c r="AG145" i="1"/>
  <c r="AG151" i="1"/>
  <c r="AG161" i="1"/>
  <c r="AG204" i="1"/>
  <c r="AG209" i="1"/>
  <c r="AG219" i="1"/>
  <c r="AG224" i="1"/>
  <c r="AG162" i="1"/>
  <c r="AG215" i="1"/>
  <c r="AG220" i="1"/>
  <c r="AG93" i="1"/>
  <c r="AG193" i="1"/>
  <c r="AG213" i="1"/>
  <c r="AG72" i="1"/>
  <c r="AG112" i="1"/>
  <c r="AG122" i="1"/>
  <c r="AG133" i="1"/>
  <c r="AG149" i="1"/>
  <c r="AG201" i="1"/>
  <c r="AG216" i="1"/>
  <c r="AG221" i="1"/>
  <c r="AG22" i="1"/>
  <c r="AG30" i="1"/>
  <c r="AG35" i="1"/>
  <c r="AG41" i="1"/>
  <c r="AG50" i="1"/>
  <c r="AG55" i="1"/>
  <c r="AG82" i="1"/>
  <c r="AG167" i="1"/>
  <c r="AG172" i="1"/>
  <c r="AG177" i="1"/>
  <c r="AG63" i="1"/>
  <c r="AG85" i="1"/>
  <c r="AG61" i="1"/>
  <c r="AG79" i="1"/>
  <c r="AG43" i="1"/>
  <c r="AG181" i="1"/>
  <c r="AG185" i="1"/>
  <c r="AG192" i="1"/>
  <c r="AG98" i="1"/>
  <c r="AG103" i="1"/>
  <c r="AG211" i="1"/>
  <c r="AG108" i="1"/>
  <c r="AG164" i="1"/>
  <c r="AG110" i="1"/>
  <c r="AG116" i="1"/>
  <c r="AG121" i="1"/>
  <c r="AG126" i="1"/>
  <c r="AG132" i="1"/>
  <c r="AG139" i="1"/>
  <c r="AG146" i="1"/>
  <c r="AG155" i="1"/>
  <c r="AG205" i="1"/>
  <c r="AG226" i="1"/>
  <c r="AG17" i="1"/>
  <c r="AG26" i="1"/>
  <c r="AG33" i="1"/>
  <c r="AG38" i="1"/>
  <c r="AG44" i="1"/>
  <c r="AG56" i="1"/>
  <c r="AG68" i="1"/>
  <c r="AG90" i="1"/>
  <c r="AG170" i="1"/>
  <c r="AG174" i="1"/>
  <c r="AG45" i="1"/>
  <c r="AG77" i="1"/>
  <c r="AG165" i="1"/>
  <c r="AG69" i="1"/>
  <c r="AG91" i="1"/>
  <c r="AG84" i="1"/>
  <c r="AG96" i="1"/>
  <c r="AG189" i="1"/>
  <c r="AG195" i="1"/>
  <c r="AG100" i="1"/>
  <c r="AG104" i="1"/>
  <c r="AG105" i="1"/>
  <c r="AG58" i="1"/>
  <c r="AG70" i="1"/>
  <c r="AG113" i="1"/>
  <c r="AG118" i="1"/>
  <c r="AG124" i="1"/>
  <c r="AG129" i="1"/>
  <c r="AG134" i="1"/>
  <c r="AG144" i="1"/>
  <c r="AG150" i="1"/>
  <c r="AG159" i="1"/>
  <c r="AG203" i="1"/>
  <c r="AG208" i="1"/>
  <c r="AG217" i="1"/>
  <c r="AG223" i="1"/>
  <c r="AG14" i="1"/>
  <c r="AG23" i="1"/>
  <c r="AG31" i="1"/>
  <c r="AG37" i="1"/>
  <c r="AG42" i="1"/>
  <c r="AG52" i="1"/>
  <c r="AG64" i="1"/>
  <c r="AG86" i="1"/>
  <c r="AG168" i="1"/>
  <c r="AG173" i="1"/>
  <c r="AG178" i="1"/>
  <c r="AG67" i="1"/>
  <c r="AG65" i="1"/>
  <c r="AG83" i="1"/>
  <c r="AG92" i="1"/>
  <c r="AG182" i="1"/>
  <c r="AG187" i="1"/>
  <c r="AG99" i="1"/>
  <c r="AG199" i="1"/>
  <c r="AG51" i="1"/>
  <c r="AG117" i="1"/>
  <c r="AG128" i="1"/>
  <c r="AG141" i="1"/>
  <c r="AG157" i="1"/>
  <c r="AG207" i="1"/>
  <c r="W11" i="3"/>
  <c r="W14" i="3"/>
  <c r="W18" i="3"/>
  <c r="W13" i="3"/>
  <c r="W24" i="3"/>
  <c r="W20" i="3"/>
  <c r="W27" i="3"/>
  <c r="W22" i="3"/>
  <c r="W17" i="3"/>
  <c r="W19" i="3"/>
  <c r="W29" i="3"/>
  <c r="W21" i="3"/>
  <c r="W23" i="3"/>
  <c r="W16" i="3"/>
  <c r="W15" i="3"/>
  <c r="W8" i="3"/>
  <c r="W12" i="3"/>
  <c r="W9" i="3"/>
  <c r="W28" i="3"/>
  <c r="W26" i="3"/>
  <c r="W7" i="3"/>
  <c r="W25" i="3"/>
  <c r="AI225" i="1" l="1"/>
  <c r="U225" i="1"/>
  <c r="S225" i="1" s="1"/>
  <c r="W225" i="1"/>
  <c r="U198" i="1"/>
  <c r="S198" i="1" s="1"/>
  <c r="AI198" i="1"/>
  <c r="W198" i="1"/>
  <c r="AI194" i="1"/>
  <c r="U194" i="1"/>
  <c r="S194" i="1" s="1"/>
  <c r="W194" i="1"/>
  <c r="X194" i="1"/>
  <c r="AI190" i="1"/>
  <c r="U190" i="1"/>
  <c r="S190" i="1" s="1"/>
  <c r="W190" i="1"/>
  <c r="AI186" i="1"/>
  <c r="U186" i="1"/>
  <c r="S186" i="1" s="1"/>
  <c r="W186" i="1"/>
  <c r="X186" i="1"/>
  <c r="AI158" i="1"/>
  <c r="U158" i="1"/>
  <c r="S158" i="1" s="1"/>
  <c r="W158" i="1"/>
  <c r="AI156" i="1"/>
  <c r="U156" i="1"/>
  <c r="S156" i="1" s="1"/>
  <c r="W156" i="1"/>
  <c r="AI154" i="1"/>
  <c r="U154" i="1"/>
  <c r="S154" i="1" s="1"/>
  <c r="W154" i="1"/>
  <c r="AI152" i="1"/>
  <c r="U152" i="1"/>
  <c r="S152" i="1" s="1"/>
  <c r="W152" i="1"/>
  <c r="X152" i="1"/>
  <c r="S20" i="3"/>
  <c r="AI147" i="1"/>
  <c r="U147" i="1"/>
  <c r="S147" i="1" s="1"/>
  <c r="W147" i="1"/>
  <c r="X147" i="1"/>
  <c r="S26" i="3"/>
  <c r="AI143" i="1"/>
  <c r="U143" i="1"/>
  <c r="S143" i="1" s="1"/>
  <c r="W143" i="1"/>
  <c r="X143" i="1"/>
  <c r="AD16" i="3"/>
  <c r="R14" i="3"/>
  <c r="AI140" i="1"/>
  <c r="U140" i="1"/>
  <c r="S140" i="1" s="1"/>
  <c r="W140" i="1"/>
  <c r="AI138" i="1"/>
  <c r="U138" i="1"/>
  <c r="S138" i="1" s="1"/>
  <c r="W138" i="1"/>
  <c r="R26" i="3"/>
  <c r="R27" i="3"/>
  <c r="AI136" i="1"/>
  <c r="U136" i="1"/>
  <c r="S136" i="1" s="1"/>
  <c r="W136" i="1"/>
  <c r="X136" i="1"/>
  <c r="AE19" i="3"/>
  <c r="S19" i="3"/>
  <c r="S27" i="3"/>
  <c r="U20" i="1"/>
  <c r="AI20" i="1"/>
  <c r="W20" i="1"/>
  <c r="AC22" i="3"/>
  <c r="AA219" i="1"/>
  <c r="AA217" i="1"/>
  <c r="AA215" i="1"/>
  <c r="AA209" i="1"/>
  <c r="AA207" i="1"/>
  <c r="AA205" i="1"/>
  <c r="AA203" i="1"/>
  <c r="AA201" i="1"/>
  <c r="AA161" i="1"/>
  <c r="AA159" i="1"/>
  <c r="AA155" i="1"/>
  <c r="AA151" i="1"/>
  <c r="AA149" i="1"/>
  <c r="AA146" i="1"/>
  <c r="AA144" i="1"/>
  <c r="AA141" i="1"/>
  <c r="AA137" i="1"/>
  <c r="AA134" i="1"/>
  <c r="AA132" i="1"/>
  <c r="AA130" i="1"/>
  <c r="AA128" i="1"/>
  <c r="AA126" i="1"/>
  <c r="AA125" i="1"/>
  <c r="X125" i="1"/>
  <c r="AA122" i="1"/>
  <c r="AA121" i="1"/>
  <c r="X121" i="1"/>
  <c r="X116" i="1"/>
  <c r="X113" i="1"/>
  <c r="AA111" i="1"/>
  <c r="AA110" i="1"/>
  <c r="T108" i="1"/>
  <c r="X107" i="1"/>
  <c r="X106" i="1"/>
  <c r="AA212" i="1"/>
  <c r="T211" i="1"/>
  <c r="T104" i="1"/>
  <c r="X99" i="1"/>
  <c r="AA191" i="1"/>
  <c r="T189" i="1"/>
  <c r="AA96" i="1"/>
  <c r="AA178" i="1"/>
  <c r="AA175" i="1"/>
  <c r="AA173" i="1"/>
  <c r="AA172" i="1"/>
  <c r="AA170" i="1"/>
  <c r="AA168" i="1"/>
  <c r="AA166" i="1"/>
  <c r="AA93" i="1"/>
  <c r="AA90" i="1"/>
  <c r="AA85" i="1"/>
  <c r="AA82" i="1"/>
  <c r="AA77" i="1"/>
  <c r="AA74" i="1"/>
  <c r="AA40" i="1"/>
  <c r="AA38" i="1"/>
  <c r="AA25" i="1"/>
  <c r="AA21" i="1"/>
  <c r="AA16" i="1"/>
  <c r="AA223" i="1"/>
  <c r="AA221" i="1"/>
  <c r="AA117" i="1"/>
  <c r="T117" i="1"/>
  <c r="AA108" i="1"/>
  <c r="AA210" i="1"/>
  <c r="AA200" i="1"/>
  <c r="AA103" i="1"/>
  <c r="AA101" i="1"/>
  <c r="T100" i="1"/>
  <c r="AA188" i="1"/>
  <c r="AA185" i="1"/>
  <c r="T185" i="1"/>
  <c r="X183" i="1"/>
  <c r="AA182" i="1"/>
  <c r="T182" i="1"/>
  <c r="X77" i="1"/>
  <c r="X75" i="1"/>
  <c r="AA75" i="1"/>
  <c r="X74" i="1"/>
  <c r="AA71" i="1"/>
  <c r="X69" i="1"/>
  <c r="AA69" i="1"/>
  <c r="AA67" i="1"/>
  <c r="X65" i="1"/>
  <c r="AA65" i="1"/>
  <c r="AA63" i="1"/>
  <c r="X58" i="1"/>
  <c r="AA28" i="1"/>
  <c r="AA26" i="1"/>
  <c r="AA22" i="1"/>
  <c r="AA17" i="1"/>
  <c r="AA32" i="1"/>
  <c r="AA30" i="1"/>
  <c r="AA29" i="1"/>
  <c r="AA116" i="1"/>
  <c r="AA114" i="1"/>
  <c r="X103" i="1"/>
  <c r="X102" i="1"/>
  <c r="X101" i="1"/>
  <c r="AA36" i="1"/>
  <c r="AA34" i="1"/>
  <c r="AA24" i="1"/>
  <c r="AA19" i="1"/>
  <c r="AA15" i="1"/>
  <c r="X126" i="1"/>
  <c r="T124" i="1"/>
  <c r="X122" i="1"/>
  <c r="T120" i="1"/>
  <c r="T106" i="1"/>
  <c r="X127" i="1"/>
  <c r="X123" i="1"/>
  <c r="X119" i="1"/>
  <c r="X118" i="1"/>
  <c r="X115" i="1"/>
  <c r="X114" i="1"/>
  <c r="X111" i="1"/>
  <c r="T110" i="1"/>
  <c r="X110" i="1"/>
  <c r="T109" i="1"/>
  <c r="X109" i="1"/>
  <c r="AA105" i="1"/>
  <c r="T213" i="1"/>
  <c r="T199" i="1"/>
  <c r="T196" i="1"/>
  <c r="T187" i="1"/>
  <c r="T178" i="1"/>
  <c r="AA213" i="1"/>
  <c r="X210" i="1"/>
  <c r="T102" i="1"/>
  <c r="T193" i="1"/>
  <c r="X179" i="1"/>
  <c r="T179" i="1"/>
  <c r="X105" i="1"/>
  <c r="AA104" i="1"/>
  <c r="AA102" i="1"/>
  <c r="AA98" i="1"/>
  <c r="AA193" i="1"/>
  <c r="AA189" i="1"/>
  <c r="AA179" i="1"/>
  <c r="T176" i="1"/>
  <c r="T174" i="1"/>
  <c r="T95" i="1"/>
  <c r="T171" i="1"/>
  <c r="T169" i="1"/>
  <c r="T167" i="1"/>
  <c r="T165" i="1"/>
  <c r="X163" i="1"/>
  <c r="T94" i="1"/>
  <c r="AA92" i="1"/>
  <c r="T91" i="1"/>
  <c r="T89" i="1"/>
  <c r="X87" i="1"/>
  <c r="T86" i="1"/>
  <c r="AA84" i="1"/>
  <c r="T83" i="1"/>
  <c r="T81" i="1"/>
  <c r="X79" i="1"/>
  <c r="T78" i="1"/>
  <c r="AA76" i="1"/>
  <c r="T75" i="1"/>
  <c r="T73" i="1"/>
  <c r="X71" i="1"/>
  <c r="AA70" i="1"/>
  <c r="T69" i="1"/>
  <c r="X67" i="1"/>
  <c r="AA66" i="1"/>
  <c r="T65" i="1"/>
  <c r="X63" i="1"/>
  <c r="AA62" i="1"/>
  <c r="T61" i="1"/>
  <c r="X59" i="1"/>
  <c r="AA58" i="1"/>
  <c r="AA106" i="1"/>
  <c r="AA211" i="1"/>
  <c r="AA199" i="1"/>
  <c r="AA100" i="1"/>
  <c r="AA196" i="1"/>
  <c r="AA192" i="1"/>
  <c r="AA187" i="1"/>
  <c r="AA164" i="1"/>
  <c r="AA88" i="1"/>
  <c r="AA80" i="1"/>
  <c r="AA72" i="1"/>
  <c r="AA68" i="1"/>
  <c r="AA64" i="1"/>
  <c r="AA60" i="1"/>
  <c r="X57" i="1"/>
  <c r="AI62" i="1"/>
  <c r="U62" i="1"/>
  <c r="S62" i="1" s="1"/>
  <c r="U226" i="1"/>
  <c r="S226" i="1" s="1"/>
  <c r="AI226" i="1"/>
  <c r="U224" i="1"/>
  <c r="S224" i="1" s="1"/>
  <c r="AI224" i="1"/>
  <c r="U223" i="1"/>
  <c r="S223" i="1" s="1"/>
  <c r="AI223" i="1"/>
  <c r="U222" i="1"/>
  <c r="S222" i="1" s="1"/>
  <c r="AI222" i="1"/>
  <c r="U221" i="1"/>
  <c r="S221" i="1" s="1"/>
  <c r="AI221" i="1"/>
  <c r="U220" i="1"/>
  <c r="S220" i="1" s="1"/>
  <c r="AI220" i="1"/>
  <c r="U219" i="1"/>
  <c r="S219" i="1" s="1"/>
  <c r="AI219" i="1"/>
  <c r="U218" i="1"/>
  <c r="S218" i="1" s="1"/>
  <c r="AI218" i="1"/>
  <c r="U217" i="1"/>
  <c r="S217" i="1" s="1"/>
  <c r="AI217" i="1"/>
  <c r="U216" i="1"/>
  <c r="S216" i="1" s="1"/>
  <c r="AI216" i="1"/>
  <c r="U215" i="1"/>
  <c r="S215" i="1" s="1"/>
  <c r="AI215" i="1"/>
  <c r="U214" i="1"/>
  <c r="S214" i="1" s="1"/>
  <c r="AI214" i="1"/>
  <c r="U209" i="1"/>
  <c r="S209" i="1" s="1"/>
  <c r="AI213" i="1"/>
  <c r="U208" i="1"/>
  <c r="S208" i="1" s="1"/>
  <c r="AI212" i="1"/>
  <c r="U207" i="1"/>
  <c r="S207" i="1" s="1"/>
  <c r="AI211" i="1"/>
  <c r="U206" i="1"/>
  <c r="S206" i="1" s="1"/>
  <c r="AI210" i="1"/>
  <c r="U205" i="1"/>
  <c r="S205" i="1" s="1"/>
  <c r="AI209" i="1"/>
  <c r="U204" i="1"/>
  <c r="S204" i="1" s="1"/>
  <c r="AI208" i="1"/>
  <c r="U203" i="1"/>
  <c r="S203" i="1" s="1"/>
  <c r="AI207" i="1"/>
  <c r="U202" i="1"/>
  <c r="S202" i="1" s="1"/>
  <c r="AI206" i="1"/>
  <c r="U201" i="1"/>
  <c r="S201" i="1" s="1"/>
  <c r="AI205" i="1"/>
  <c r="U162" i="1"/>
  <c r="S162" i="1" s="1"/>
  <c r="AI204" i="1"/>
  <c r="U161" i="1"/>
  <c r="S161" i="1" s="1"/>
  <c r="AI203" i="1"/>
  <c r="U160" i="1"/>
  <c r="S160" i="1" s="1"/>
  <c r="AI202" i="1"/>
  <c r="U159" i="1"/>
  <c r="S159" i="1" s="1"/>
  <c r="AI201" i="1"/>
  <c r="U157" i="1"/>
  <c r="S157" i="1" s="1"/>
  <c r="AI200" i="1"/>
  <c r="U155" i="1"/>
  <c r="S155" i="1" s="1"/>
  <c r="AI199" i="1"/>
  <c r="U153" i="1"/>
  <c r="S153" i="1" s="1"/>
  <c r="AI197" i="1"/>
  <c r="U151" i="1"/>
  <c r="S151" i="1" s="1"/>
  <c r="AI196" i="1"/>
  <c r="U150" i="1"/>
  <c r="S150" i="1" s="1"/>
  <c r="AI195" i="1"/>
  <c r="U149" i="1"/>
  <c r="S149" i="1" s="1"/>
  <c r="AI193" i="1"/>
  <c r="U148" i="1"/>
  <c r="S148" i="1" s="1"/>
  <c r="AI192" i="1"/>
  <c r="U146" i="1"/>
  <c r="S146" i="1" s="1"/>
  <c r="AI191" i="1"/>
  <c r="U145" i="1"/>
  <c r="S145" i="1" s="1"/>
  <c r="AI189" i="1"/>
  <c r="U144" i="1"/>
  <c r="S144" i="1" s="1"/>
  <c r="AI188" i="1"/>
  <c r="U142" i="1"/>
  <c r="S142" i="1" s="1"/>
  <c r="AI187" i="1"/>
  <c r="U141" i="1"/>
  <c r="S141" i="1" s="1"/>
  <c r="AI185" i="1"/>
  <c r="U139" i="1"/>
  <c r="S139" i="1" s="1"/>
  <c r="AI184" i="1"/>
  <c r="U137" i="1"/>
  <c r="S137" i="1" s="1"/>
  <c r="AI183" i="1"/>
  <c r="U135" i="1"/>
  <c r="S135" i="1" s="1"/>
  <c r="AI182" i="1"/>
  <c r="U134" i="1"/>
  <c r="S134" i="1" s="1"/>
  <c r="AI181" i="1"/>
  <c r="U133" i="1"/>
  <c r="S133" i="1" s="1"/>
  <c r="AI180" i="1"/>
  <c r="U132" i="1"/>
  <c r="S132" i="1" s="1"/>
  <c r="AI179" i="1"/>
  <c r="U131" i="1"/>
  <c r="S131" i="1" s="1"/>
  <c r="AI178" i="1"/>
  <c r="U130" i="1"/>
  <c r="S130" i="1" s="1"/>
  <c r="AI177" i="1"/>
  <c r="U129" i="1"/>
  <c r="S129" i="1" s="1"/>
  <c r="AI176" i="1"/>
  <c r="U128" i="1"/>
  <c r="S128" i="1" s="1"/>
  <c r="AI175" i="1"/>
  <c r="U127" i="1"/>
  <c r="S127" i="1" s="1"/>
  <c r="AI174" i="1"/>
  <c r="U126" i="1"/>
  <c r="S126" i="1" s="1"/>
  <c r="AI173" i="1"/>
  <c r="U125" i="1"/>
  <c r="S125" i="1" s="1"/>
  <c r="AI172" i="1"/>
  <c r="U124" i="1"/>
  <c r="S124" i="1" s="1"/>
  <c r="AI171" i="1"/>
  <c r="U123" i="1"/>
  <c r="S123" i="1" s="1"/>
  <c r="AI170" i="1"/>
  <c r="U122" i="1"/>
  <c r="S122" i="1" s="1"/>
  <c r="AI169" i="1"/>
  <c r="U121" i="1"/>
  <c r="S121" i="1" s="1"/>
  <c r="AI168" i="1"/>
  <c r="U120" i="1"/>
  <c r="S120" i="1" s="1"/>
  <c r="AI167" i="1"/>
  <c r="U119" i="1"/>
  <c r="S119" i="1" s="1"/>
  <c r="AI166" i="1"/>
  <c r="U118" i="1"/>
  <c r="S118" i="1" s="1"/>
  <c r="AI165" i="1"/>
  <c r="U117" i="1"/>
  <c r="S117" i="1" s="1"/>
  <c r="AI164" i="1"/>
  <c r="U116" i="1"/>
  <c r="S116" i="1" s="1"/>
  <c r="AI163" i="1"/>
  <c r="U115" i="1"/>
  <c r="S115" i="1" s="1"/>
  <c r="AI162" i="1"/>
  <c r="U114" i="1"/>
  <c r="S114" i="1" s="1"/>
  <c r="AI161" i="1"/>
  <c r="U113" i="1"/>
  <c r="S113" i="1" s="1"/>
  <c r="AI160" i="1"/>
  <c r="U112" i="1"/>
  <c r="S112" i="1" s="1"/>
  <c r="AI159" i="1"/>
  <c r="U111" i="1"/>
  <c r="S111" i="1" s="1"/>
  <c r="AI157" i="1"/>
  <c r="U110" i="1"/>
  <c r="S110" i="1" s="1"/>
  <c r="AI155" i="1"/>
  <c r="AI88" i="1"/>
  <c r="U88" i="1"/>
  <c r="S88" i="1" s="1"/>
  <c r="AI70" i="1"/>
  <c r="U70" i="1"/>
  <c r="S70" i="1" s="1"/>
  <c r="AI153" i="1"/>
  <c r="U109" i="1"/>
  <c r="S109" i="1" s="1"/>
  <c r="AI72" i="1"/>
  <c r="U72" i="1"/>
  <c r="S72" i="1" s="1"/>
  <c r="AI96" i="1"/>
  <c r="U164" i="1"/>
  <c r="S164" i="1" s="1"/>
  <c r="AI80" i="1"/>
  <c r="U80" i="1"/>
  <c r="S80" i="1" s="1"/>
  <c r="AI66" i="1"/>
  <c r="U66" i="1"/>
  <c r="S66" i="1" s="1"/>
  <c r="AI58" i="1"/>
  <c r="U58" i="1"/>
  <c r="S58" i="1" s="1"/>
  <c r="AI51" i="1"/>
  <c r="AI151" i="1"/>
  <c r="U108" i="1"/>
  <c r="S108" i="1" s="1"/>
  <c r="AI150" i="1"/>
  <c r="U107" i="1"/>
  <c r="S107" i="1" s="1"/>
  <c r="AI149" i="1"/>
  <c r="U106" i="1"/>
  <c r="S106" i="1" s="1"/>
  <c r="AI148" i="1"/>
  <c r="U105" i="1"/>
  <c r="S105" i="1" s="1"/>
  <c r="AI146" i="1"/>
  <c r="U213" i="1"/>
  <c r="S213" i="1" s="1"/>
  <c r="AI145" i="1"/>
  <c r="U212" i="1"/>
  <c r="S212" i="1" s="1"/>
  <c r="AI144" i="1"/>
  <c r="U211" i="1"/>
  <c r="S211" i="1" s="1"/>
  <c r="AI142" i="1"/>
  <c r="U210" i="1"/>
  <c r="S210" i="1" s="1"/>
  <c r="AI141" i="1"/>
  <c r="U104" i="1"/>
  <c r="S104" i="1" s="1"/>
  <c r="AI139" i="1"/>
  <c r="U200" i="1"/>
  <c r="S200" i="1" s="1"/>
  <c r="AI137" i="1"/>
  <c r="U199" i="1"/>
  <c r="S199" i="1" s="1"/>
  <c r="AI135" i="1"/>
  <c r="U103" i="1"/>
  <c r="S103" i="1" s="1"/>
  <c r="AI134" i="1"/>
  <c r="U102" i="1"/>
  <c r="S102" i="1" s="1"/>
  <c r="AI133" i="1"/>
  <c r="U101" i="1"/>
  <c r="S101" i="1" s="1"/>
  <c r="AI132" i="1"/>
  <c r="U100" i="1"/>
  <c r="S100" i="1" s="1"/>
  <c r="AI131" i="1"/>
  <c r="U99" i="1"/>
  <c r="S99" i="1" s="1"/>
  <c r="AI130" i="1"/>
  <c r="U98" i="1"/>
  <c r="S98" i="1" s="1"/>
  <c r="AI129" i="1"/>
  <c r="U197" i="1"/>
  <c r="S197" i="1" s="1"/>
  <c r="AI128" i="1"/>
  <c r="U196" i="1"/>
  <c r="S196" i="1" s="1"/>
  <c r="AI127" i="1"/>
  <c r="U195" i="1"/>
  <c r="S195" i="1" s="1"/>
  <c r="AI126" i="1"/>
  <c r="U193" i="1"/>
  <c r="S193" i="1" s="1"/>
  <c r="AI125" i="1"/>
  <c r="U97" i="1"/>
  <c r="S97" i="1" s="1"/>
  <c r="AI124" i="1"/>
  <c r="U192" i="1"/>
  <c r="S192" i="1" s="1"/>
  <c r="AI123" i="1"/>
  <c r="U191" i="1"/>
  <c r="S191" i="1" s="1"/>
  <c r="AI122" i="1"/>
  <c r="U189" i="1"/>
  <c r="S189" i="1" s="1"/>
  <c r="AI121" i="1"/>
  <c r="U188" i="1"/>
  <c r="S188" i="1" s="1"/>
  <c r="AI120" i="1"/>
  <c r="U187" i="1"/>
  <c r="S187" i="1" s="1"/>
  <c r="AI119" i="1"/>
  <c r="U185" i="1"/>
  <c r="S185" i="1" s="1"/>
  <c r="AI118" i="1"/>
  <c r="U184" i="1"/>
  <c r="S184" i="1" s="1"/>
  <c r="AI117" i="1"/>
  <c r="U183" i="1"/>
  <c r="S183" i="1" s="1"/>
  <c r="AI116" i="1"/>
  <c r="U96" i="1"/>
  <c r="S96" i="1" s="1"/>
  <c r="AI115" i="1"/>
  <c r="U182" i="1"/>
  <c r="S182" i="1" s="1"/>
  <c r="AI114" i="1"/>
  <c r="U181" i="1"/>
  <c r="S181" i="1" s="1"/>
  <c r="AI113" i="1"/>
  <c r="U180" i="1"/>
  <c r="S180" i="1" s="1"/>
  <c r="U179" i="1"/>
  <c r="S179" i="1" s="1"/>
  <c r="AI112" i="1"/>
  <c r="AI84" i="1"/>
  <c r="U84" i="1"/>
  <c r="S84" i="1" s="1"/>
  <c r="AI92" i="1"/>
  <c r="U92" i="1"/>
  <c r="S92" i="1" s="1"/>
  <c r="AI76" i="1"/>
  <c r="U76" i="1"/>
  <c r="S76" i="1" s="1"/>
  <c r="AI43" i="1"/>
  <c r="AI95" i="1"/>
  <c r="U163" i="1"/>
  <c r="S163" i="1" s="1"/>
  <c r="AI91" i="1"/>
  <c r="U91" i="1"/>
  <c r="S91" i="1" s="1"/>
  <c r="AI87" i="1"/>
  <c r="U87" i="1"/>
  <c r="S87" i="1" s="1"/>
  <c r="AI83" i="1"/>
  <c r="U83" i="1"/>
  <c r="S83" i="1" s="1"/>
  <c r="AI79" i="1"/>
  <c r="U79" i="1"/>
  <c r="S79" i="1" s="1"/>
  <c r="AI75" i="1"/>
  <c r="U75" i="1"/>
  <c r="S75" i="1" s="1"/>
  <c r="AI71" i="1"/>
  <c r="U71" i="1"/>
  <c r="S71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AI49" i="1"/>
  <c r="U165" i="1"/>
  <c r="S165" i="1" s="1"/>
  <c r="AI97" i="1"/>
  <c r="U93" i="1"/>
  <c r="S93" i="1" s="1"/>
  <c r="AI93" i="1"/>
  <c r="U89" i="1"/>
  <c r="S89" i="1" s="1"/>
  <c r="AI89" i="1"/>
  <c r="U85" i="1"/>
  <c r="S85" i="1" s="1"/>
  <c r="AI85" i="1"/>
  <c r="U81" i="1"/>
  <c r="S81" i="1" s="1"/>
  <c r="AI81" i="1"/>
  <c r="U77" i="1"/>
  <c r="S77" i="1" s="1"/>
  <c r="AI77" i="1"/>
  <c r="U73" i="1"/>
  <c r="S73" i="1" s="1"/>
  <c r="AI73" i="1"/>
  <c r="AI67" i="1"/>
  <c r="U67" i="1"/>
  <c r="S67" i="1" s="1"/>
  <c r="AI63" i="1"/>
  <c r="U63" i="1"/>
  <c r="S63" i="1" s="1"/>
  <c r="AI59" i="1"/>
  <c r="U59" i="1"/>
  <c r="S59" i="1" s="1"/>
  <c r="AI53" i="1"/>
  <c r="AI45" i="1"/>
  <c r="U178" i="1"/>
  <c r="S178" i="1" s="1"/>
  <c r="AI111" i="1"/>
  <c r="U177" i="1"/>
  <c r="S177" i="1" s="1"/>
  <c r="AI110" i="1"/>
  <c r="U176" i="1"/>
  <c r="S176" i="1" s="1"/>
  <c r="AI109" i="1"/>
  <c r="U175" i="1"/>
  <c r="S175" i="1" s="1"/>
  <c r="AI108" i="1"/>
  <c r="U174" i="1"/>
  <c r="S174" i="1" s="1"/>
  <c r="AI107" i="1"/>
  <c r="U173" i="1"/>
  <c r="S173" i="1" s="1"/>
  <c r="AI106" i="1"/>
  <c r="U95" i="1"/>
  <c r="S95" i="1" s="1"/>
  <c r="AI105" i="1"/>
  <c r="U172" i="1"/>
  <c r="S172" i="1" s="1"/>
  <c r="AI104" i="1"/>
  <c r="U171" i="1"/>
  <c r="S171" i="1" s="1"/>
  <c r="AI103" i="1"/>
  <c r="U170" i="1"/>
  <c r="S170" i="1" s="1"/>
  <c r="AI102" i="1"/>
  <c r="U169" i="1"/>
  <c r="S169" i="1" s="1"/>
  <c r="AI101" i="1"/>
  <c r="U168" i="1"/>
  <c r="S168" i="1" s="1"/>
  <c r="AI100" i="1"/>
  <c r="U167" i="1"/>
  <c r="S167" i="1" s="1"/>
  <c r="AI99" i="1"/>
  <c r="U166" i="1"/>
  <c r="S166" i="1" s="1"/>
  <c r="AI98" i="1"/>
  <c r="U94" i="1"/>
  <c r="S94" i="1" s="1"/>
  <c r="AI94" i="1"/>
  <c r="U90" i="1"/>
  <c r="S90" i="1" s="1"/>
  <c r="AI90" i="1"/>
  <c r="U86" i="1"/>
  <c r="S86" i="1" s="1"/>
  <c r="AI86" i="1"/>
  <c r="U82" i="1"/>
  <c r="S82" i="1" s="1"/>
  <c r="AI82" i="1"/>
  <c r="U78" i="1"/>
  <c r="S78" i="1" s="1"/>
  <c r="AI78" i="1"/>
  <c r="U74" i="1"/>
  <c r="S74" i="1" s="1"/>
  <c r="AI74" i="1"/>
  <c r="AI68" i="1"/>
  <c r="U68" i="1"/>
  <c r="S68" i="1" s="1"/>
  <c r="AI64" i="1"/>
  <c r="U64" i="1"/>
  <c r="S64" i="1" s="1"/>
  <c r="AI60" i="1"/>
  <c r="U60" i="1"/>
  <c r="S60" i="1" s="1"/>
  <c r="AI55" i="1"/>
  <c r="AI47" i="1"/>
  <c r="AI56" i="1"/>
  <c r="W56" i="1"/>
  <c r="AI54" i="1"/>
  <c r="AI52" i="1"/>
  <c r="AI50" i="1"/>
  <c r="AI48" i="1"/>
  <c r="AI46" i="1"/>
  <c r="AI44" i="1"/>
  <c r="AI42" i="1"/>
  <c r="AI41" i="1"/>
  <c r="W41" i="1"/>
  <c r="AI40" i="1"/>
  <c r="W40" i="1"/>
  <c r="AI39" i="1"/>
  <c r="W39" i="1"/>
  <c r="AI38" i="1"/>
  <c r="W38" i="1"/>
  <c r="AI37" i="1"/>
  <c r="W37" i="1"/>
  <c r="AI36" i="1"/>
  <c r="W36" i="1"/>
  <c r="AI35" i="1"/>
  <c r="W35" i="1"/>
  <c r="AI34" i="1"/>
  <c r="W34" i="1"/>
  <c r="AI33" i="1"/>
  <c r="W33" i="1"/>
  <c r="AI32" i="1"/>
  <c r="W32" i="1"/>
  <c r="AI31" i="1"/>
  <c r="W31" i="1"/>
  <c r="AI30" i="1"/>
  <c r="W30" i="1"/>
  <c r="AI29" i="1"/>
  <c r="W29" i="1"/>
  <c r="AI28" i="1"/>
  <c r="W28" i="1"/>
  <c r="AI27" i="1"/>
  <c r="W27" i="1"/>
  <c r="AI26" i="1"/>
  <c r="W26" i="1"/>
  <c r="AI25" i="1"/>
  <c r="AI24" i="1"/>
  <c r="AI23" i="1"/>
  <c r="AI22" i="1"/>
  <c r="AI21" i="1"/>
  <c r="AI19" i="1"/>
  <c r="AI18" i="1"/>
  <c r="AI17" i="1"/>
  <c r="AI16" i="1"/>
  <c r="AI15" i="1"/>
  <c r="AI14" i="1"/>
  <c r="W222" i="1"/>
  <c r="W218" i="1"/>
  <c r="W148" i="1"/>
  <c r="W135" i="1"/>
  <c r="W119" i="1"/>
  <c r="W221" i="1"/>
  <c r="W217" i="1"/>
  <c r="W209" i="1"/>
  <c r="W205" i="1"/>
  <c r="W201" i="1"/>
  <c r="W159" i="1"/>
  <c r="W151" i="1"/>
  <c r="W146" i="1"/>
  <c r="W141" i="1"/>
  <c r="W134" i="1"/>
  <c r="W130" i="1"/>
  <c r="W124" i="1"/>
  <c r="W120" i="1"/>
  <c r="W116" i="1"/>
  <c r="W112" i="1"/>
  <c r="W202" i="1"/>
  <c r="W153" i="1"/>
  <c r="W142" i="1"/>
  <c r="W127" i="1"/>
  <c r="W111" i="1"/>
  <c r="W226" i="1"/>
  <c r="W224" i="1"/>
  <c r="W220" i="1"/>
  <c r="W216" i="1"/>
  <c r="W208" i="1"/>
  <c r="W204" i="1"/>
  <c r="W162" i="1"/>
  <c r="W157" i="1"/>
  <c r="W150" i="1"/>
  <c r="W145" i="1"/>
  <c r="W139" i="1"/>
  <c r="W133" i="1"/>
  <c r="W129" i="1"/>
  <c r="W125" i="1"/>
  <c r="W121" i="1"/>
  <c r="W117" i="1"/>
  <c r="W113" i="1"/>
  <c r="W214" i="1"/>
  <c r="W206" i="1"/>
  <c r="W160" i="1"/>
  <c r="W131" i="1"/>
  <c r="W123" i="1"/>
  <c r="W115" i="1"/>
  <c r="W223" i="1"/>
  <c r="W219" i="1"/>
  <c r="W215" i="1"/>
  <c r="W207" i="1"/>
  <c r="W203" i="1"/>
  <c r="W161" i="1"/>
  <c r="W155" i="1"/>
  <c r="W149" i="1"/>
  <c r="W144" i="1"/>
  <c r="W137" i="1"/>
  <c r="W132" i="1"/>
  <c r="W128" i="1"/>
  <c r="W126" i="1"/>
  <c r="W122" i="1"/>
  <c r="W118" i="1"/>
  <c r="W114" i="1"/>
  <c r="W167" i="1"/>
  <c r="W78" i="1"/>
  <c r="W184" i="1"/>
  <c r="W96" i="1"/>
  <c r="W181" i="1"/>
  <c r="W170" i="1"/>
  <c r="W94" i="1"/>
  <c r="W74" i="1"/>
  <c r="W106" i="1"/>
  <c r="W211" i="1"/>
  <c r="W199" i="1"/>
  <c r="W100" i="1"/>
  <c r="W196" i="1"/>
  <c r="W192" i="1"/>
  <c r="W187" i="1"/>
  <c r="W174" i="1"/>
  <c r="W95" i="1"/>
  <c r="W171" i="1"/>
  <c r="W110" i="1"/>
  <c r="W108" i="1"/>
  <c r="W213" i="1"/>
  <c r="W104" i="1"/>
  <c r="W102" i="1"/>
  <c r="W98" i="1"/>
  <c r="W193" i="1"/>
  <c r="W189" i="1"/>
  <c r="W175" i="1"/>
  <c r="W83" i="1"/>
  <c r="W82" i="1"/>
  <c r="W176" i="1"/>
  <c r="W173" i="1"/>
  <c r="W92" i="1"/>
  <c r="W50" i="1"/>
  <c r="W109" i="1"/>
  <c r="W107" i="1"/>
  <c r="W105" i="1"/>
  <c r="W212" i="1"/>
  <c r="W210" i="1"/>
  <c r="W200" i="1"/>
  <c r="W103" i="1"/>
  <c r="W101" i="1"/>
  <c r="W99" i="1"/>
  <c r="W197" i="1"/>
  <c r="W195" i="1"/>
  <c r="W97" i="1"/>
  <c r="W191" i="1"/>
  <c r="W188" i="1"/>
  <c r="W185" i="1"/>
  <c r="W183" i="1"/>
  <c r="W182" i="1"/>
  <c r="W180" i="1"/>
  <c r="W177" i="1"/>
  <c r="W168" i="1"/>
  <c r="W93" i="1"/>
  <c r="W86" i="1"/>
  <c r="W76" i="1"/>
  <c r="X222" i="1"/>
  <c r="X221" i="1"/>
  <c r="X220" i="1"/>
  <c r="X219" i="1"/>
  <c r="X218" i="1"/>
  <c r="X217" i="1"/>
  <c r="X216" i="1"/>
  <c r="X215" i="1"/>
  <c r="X214" i="1"/>
  <c r="X209" i="1"/>
  <c r="X208" i="1"/>
  <c r="X207" i="1"/>
  <c r="X206" i="1"/>
  <c r="X205" i="1"/>
  <c r="X204" i="1"/>
  <c r="X203" i="1"/>
  <c r="X202" i="1"/>
  <c r="X162" i="1"/>
  <c r="X161" i="1"/>
  <c r="X151" i="1"/>
  <c r="X146" i="1"/>
  <c r="X142" i="1"/>
  <c r="X135" i="1"/>
  <c r="X134" i="1"/>
  <c r="X133" i="1"/>
  <c r="X132" i="1"/>
  <c r="X131" i="1"/>
  <c r="X130" i="1"/>
  <c r="X129" i="1"/>
  <c r="X128" i="1"/>
  <c r="W179" i="1"/>
  <c r="W178" i="1"/>
  <c r="W172" i="1"/>
  <c r="W169" i="1"/>
  <c r="W166" i="1"/>
  <c r="W90" i="1"/>
  <c r="W77" i="1"/>
  <c r="W91" i="1"/>
  <c r="W85" i="1"/>
  <c r="W84" i="1"/>
  <c r="W75" i="1"/>
  <c r="W47" i="1"/>
  <c r="W163" i="1"/>
  <c r="W89" i="1"/>
  <c r="W88" i="1"/>
  <c r="W79" i="1"/>
  <c r="W73" i="1"/>
  <c r="W72" i="1"/>
  <c r="W67" i="1"/>
  <c r="W59" i="1"/>
  <c r="W55" i="1"/>
  <c r="W42" i="1"/>
  <c r="W165" i="1"/>
  <c r="W164" i="1"/>
  <c r="W87" i="1"/>
  <c r="W81" i="1"/>
  <c r="W80" i="1"/>
  <c r="W71" i="1"/>
  <c r="W63" i="1"/>
  <c r="W70" i="1"/>
  <c r="W66" i="1"/>
  <c r="W62" i="1"/>
  <c r="W58" i="1"/>
  <c r="AA53" i="1"/>
  <c r="W53" i="1" s="1"/>
  <c r="W48" i="1"/>
  <c r="AA45" i="1"/>
  <c r="W45" i="1" s="1"/>
  <c r="W68" i="1"/>
  <c r="W64" i="1"/>
  <c r="W60" i="1"/>
  <c r="W52" i="1"/>
  <c r="AA49" i="1"/>
  <c r="W49" i="1" s="1"/>
  <c r="W44" i="1"/>
  <c r="W69" i="1"/>
  <c r="W65" i="1"/>
  <c r="W61" i="1"/>
  <c r="W57" i="1"/>
  <c r="W54" i="1"/>
  <c r="AA51" i="1"/>
  <c r="W51" i="1" s="1"/>
  <c r="W46" i="1"/>
  <c r="AA43" i="1"/>
  <c r="W43" i="1" s="1"/>
  <c r="T56" i="1"/>
  <c r="U56" i="1" s="1"/>
  <c r="S56" i="1" s="1"/>
  <c r="X56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W25" i="1"/>
  <c r="W24" i="1"/>
  <c r="W23" i="1"/>
  <c r="W22" i="1"/>
  <c r="W21" i="1"/>
  <c r="W19" i="1"/>
  <c r="W18" i="1"/>
  <c r="W17" i="1"/>
  <c r="W16" i="1"/>
  <c r="W15" i="1"/>
  <c r="W14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X25" i="1"/>
  <c r="T24" i="1"/>
  <c r="U24" i="1" s="1"/>
  <c r="X24" i="1"/>
  <c r="T23" i="1"/>
  <c r="U23" i="1" s="1"/>
  <c r="S23" i="1" s="1"/>
  <c r="X23" i="1"/>
  <c r="T22" i="1"/>
  <c r="U22" i="1" s="1"/>
  <c r="S22" i="1" s="1"/>
  <c r="T21" i="1"/>
  <c r="U21" i="1" s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AE23" i="3"/>
  <c r="T23" i="3"/>
  <c r="AD21" i="3"/>
  <c r="AD24" i="3"/>
  <c r="T24" i="3"/>
  <c r="AE27" i="3"/>
  <c r="AD13" i="3"/>
  <c r="T17" i="3"/>
  <c r="AE15" i="3"/>
  <c r="T28" i="3"/>
  <c r="AC20" i="3"/>
  <c r="AD12" i="3"/>
  <c r="AE11" i="3"/>
  <c r="AE29" i="3"/>
  <c r="AD9" i="3"/>
  <c r="AD29" i="3"/>
  <c r="AD8" i="3"/>
  <c r="AC25" i="3"/>
  <c r="T25" i="3"/>
  <c r="AC27" i="3"/>
  <c r="AC15" i="3"/>
  <c r="AE24" i="3"/>
  <c r="AC11" i="3"/>
  <c r="AE20" i="3"/>
  <c r="AC7" i="3"/>
  <c r="AE16" i="3"/>
  <c r="AC21" i="3"/>
  <c r="AD17" i="3"/>
  <c r="AC26" i="3"/>
  <c r="AC9" i="3"/>
  <c r="AE12" i="3"/>
  <c r="AD11" i="3"/>
  <c r="T13" i="3"/>
  <c r="Y26" i="3"/>
  <c r="Y24" i="3"/>
  <c r="Y23" i="3"/>
  <c r="Y17" i="3"/>
  <c r="Y28" i="3"/>
  <c r="Y13" i="3"/>
  <c r="Y25" i="3"/>
  <c r="Y9" i="3"/>
  <c r="Y21" i="3"/>
  <c r="Y22" i="3"/>
  <c r="Y12" i="3"/>
  <c r="Y18" i="3"/>
  <c r="Y29" i="3"/>
  <c r="Y8" i="3"/>
  <c r="Y14" i="3"/>
  <c r="Y19" i="3"/>
  <c r="Y27" i="3"/>
  <c r="Y15" i="3"/>
  <c r="Y11" i="3"/>
  <c r="Y7" i="3"/>
  <c r="Y20" i="3"/>
  <c r="Y16" i="3"/>
  <c r="AE28" i="3"/>
  <c r="T18" i="3"/>
  <c r="AD27" i="3"/>
  <c r="AE26" i="3"/>
  <c r="T29" i="3"/>
  <c r="AD23" i="3"/>
  <c r="AE22" i="3"/>
  <c r="AD19" i="3"/>
  <c r="AE18" i="3"/>
  <c r="T8" i="3"/>
  <c r="AD15" i="3"/>
  <c r="AE14" i="3"/>
  <c r="T14" i="3"/>
  <c r="T19" i="3"/>
  <c r="T12" i="3"/>
  <c r="AD28" i="3"/>
  <c r="AD26" i="3"/>
  <c r="AE25" i="3"/>
  <c r="AD22" i="3"/>
  <c r="AE21" i="3"/>
  <c r="AD18" i="3"/>
  <c r="AE17" i="3"/>
  <c r="AD14" i="3"/>
  <c r="AE13" i="3"/>
  <c r="T20" i="3"/>
  <c r="AE9" i="3"/>
  <c r="T16" i="3"/>
  <c r="AE8" i="3"/>
  <c r="M10" i="3"/>
  <c r="U10" i="3"/>
  <c r="V10" i="3"/>
  <c r="X10" i="3"/>
  <c r="W10" i="3"/>
  <c r="S20" i="1" l="1"/>
  <c r="S25" i="1"/>
  <c r="AE10" i="3"/>
  <c r="AD10" i="3"/>
  <c r="AC10" i="3"/>
  <c r="T10" i="3"/>
  <c r="Y10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S22" i="3" l="1"/>
  <c r="S10" i="3"/>
  <c r="M30" i="5"/>
  <c r="M29" i="5"/>
  <c r="M28" i="5"/>
  <c r="M27" i="5"/>
  <c r="M26" i="5"/>
  <c r="B3" i="6" l="1"/>
  <c r="F3" i="6" l="1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D3" i="6" s="1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R22" i="3" l="1"/>
  <c r="R10" i="3"/>
  <c r="AI13" i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N22" i="3" s="1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N16" i="3" s="1"/>
  <c r="G27" i="4"/>
  <c r="G28" i="4"/>
  <c r="G29" i="4"/>
  <c r="G30" i="4"/>
  <c r="N19" i="3" s="1"/>
  <c r="G31" i="4"/>
  <c r="G32" i="4"/>
  <c r="G33" i="4"/>
  <c r="G34" i="4"/>
  <c r="G35" i="4"/>
  <c r="G36" i="4"/>
  <c r="G37" i="4"/>
  <c r="G38" i="4"/>
  <c r="G39" i="4"/>
  <c r="G40" i="4"/>
  <c r="N13" i="3" s="1"/>
  <c r="G41" i="4"/>
  <c r="G42" i="4"/>
  <c r="G43" i="4"/>
  <c r="G44" i="4"/>
  <c r="G45" i="4"/>
  <c r="G46" i="4"/>
  <c r="G47" i="4"/>
  <c r="N21" i="3" s="1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N28" i="3" s="1"/>
  <c r="G65" i="4"/>
  <c r="G66" i="4"/>
  <c r="G67" i="4"/>
  <c r="G68" i="4"/>
  <c r="N7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N10" i="3" s="1"/>
  <c r="G83" i="4"/>
  <c r="G84" i="4"/>
  <c r="N8" i="3" s="1"/>
  <c r="G85" i="4"/>
  <c r="N17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9" i="3" s="1"/>
  <c r="G113" i="4"/>
  <c r="G114" i="4"/>
  <c r="N11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N15" i="3" s="1"/>
  <c r="G174" i="4"/>
  <c r="G175" i="4"/>
  <c r="G176" i="4"/>
  <c r="G177" i="4"/>
  <c r="G178" i="4"/>
  <c r="N29" i="3" s="1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N18" i="3" s="1"/>
  <c r="G202" i="4"/>
  <c r="G203" i="4"/>
  <c r="G204" i="4"/>
  <c r="G205" i="4"/>
  <c r="G206" i="4"/>
  <c r="N12" i="3" s="1"/>
  <c r="G207" i="4"/>
  <c r="G208" i="4"/>
  <c r="G209" i="4"/>
  <c r="N25" i="3" s="1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6" i="3" l="1"/>
  <c r="N23" i="3"/>
  <c r="N27" i="3"/>
  <c r="N24" i="3"/>
  <c r="N14" i="3"/>
  <c r="N2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<sst xmlns="http://schemas.openxmlformats.org/spreadsheetml/2006/main" count="2738" uniqueCount="1055">
  <si>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</si>
  <si>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</si>
  <si>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</si>
  <si>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</si>
  <si>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</si>
  <si>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</si>
  <si>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</si>
  <si>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</si>
  <si>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</si>
  <si>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</si>
  <si>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</si>
  <si>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</si>
  <si>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</si>
  <si>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</si>
  <si>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</si>
  <si>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</si>
  <si>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</si>
  <si>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</si>
  <si>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</si>
  <si>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</si>
  <si>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</si>
  <si>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</si>
  <si>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</si>
  <si>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</si>
  <si>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</si>
  <si>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</si>
  <si>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</si>
  <si>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</si>
  <si>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</si>
  <si>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</si>
  <si>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</si>
  <si>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</si>
  <si>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</si>
  <si>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</si>
  <si>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</si>
  <si>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</si>
  <si>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</si>
  <si>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</si>
  <si>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</si>
  <si>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</si>
  <si>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</si>
  <si>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</si>
  <si>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</si>
  <si>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</si>
  <si>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</si>
  <si>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</si>
  <si>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</si>
  <si>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</si>
  <si>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</si>
  <si>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</si>
  <si>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</si>
  <si>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</si>
  <si>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</si>
  <si>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</si>
  <si>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</si>
  <si>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</si>
  <si>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</si>
  <si>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</si>
  <si>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</si>
  <si>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</si>
  <si>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</si>
  <si>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</si>
  <si>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</si>
  <si>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</si>
  <si>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</si>
  <si>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</si>
  <si>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</si>
  <si>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</si>
  <si>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</si>
  <si>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</si>
  <si>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</si>
  <si>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</si>
  <si>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</si>
  <si>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</si>
  <si>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</si>
  <si>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</si>
  <si>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</si>
  <si>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</si>
  <si>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</si>
  <si>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</si>
  <si>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</si>
  <si>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</si>
  <si>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</si>
  <si>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</si>
  <si>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</si>
  <si>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</si>
  <si>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</si>
  <si>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</si>
  <si>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</si>
  <si>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</si>
  <si>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</si>
  <si>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</si>
  <si>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</si>
  <si>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</si>
  <si>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</si>
  <si>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</si>
  <si>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</si>
  <si>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</si>
  <si>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</si>
  <si>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</si>
  <si>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</si>
  <si>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</si>
  <si>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</si>
  <si>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</si>
  <si>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</si>
  <si>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</si>
  <si>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</si>
  <si>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</si>
  <si>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</si>
  <si>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</si>
  <si>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</si>
  <si>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</si>
  <si>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</si>
  <si>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</si>
  <si>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</si>
  <si>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</si>
  <si>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</si>
  <si>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</si>
  <si>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</si>
  <si>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</si>
  <si>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</si>
  <si>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</si>
  <si>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</si>
  <si>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</si>
  <si>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</si>
  <si>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</si>
  <si>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</si>
  <si>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</si>
  <si>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</si>
  <si>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</si>
  <si>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</si>
  <si>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</si>
  <si>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</si>
  <si>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</si>
  <si>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</si>
  <si>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</si>
  <si>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</si>
  <si>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</si>
  <si>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</si>
  <si>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</si>
  <si>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</si>
  <si>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</si>
  <si>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</si>
  <si>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</si>
  <si>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</si>
  <si>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</si>
  <si>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</si>
  <si>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</si>
  <si>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</si>
  <si>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</si>
  <si>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</si>
  <si>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</si>
  <si>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</si>
  <si>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</si>
  <si>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</si>
  <si>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</si>
  <si>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</si>
  <si>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</si>
  <si>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</si>
  <si>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</si>
  <si>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</si>
  <si>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</si>
  <si>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</si>
  <si>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</si>
  <si>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</si>
  <si>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</si>
  <si>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</si>
  <si>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</si>
  <si>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</si>
  <si>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</si>
  <si>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</si>
  <si>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</si>
  <si>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</si>
  <si>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</si>
  <si>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</si>
  <si>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</si>
  <si>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</si>
  <si>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</si>
  <si>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</si>
  <si>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</si>
  <si>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</si>
  <si>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</si>
  <si>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</si>
  <si>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</si>
  <si>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</si>
  <si>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</si>
  <si>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</si>
  <si>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</si>
  <si>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</si>
  <si>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</si>
  <si>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</si>
  <si>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</si>
  <si>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</si>
  <si>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</si>
  <si>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</si>
  <si>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</si>
  <si>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</si>
  <si>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</si>
  <si>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</si>
  <si>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</si>
  <si>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</si>
  <si>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</si>
  <si>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</si>
  <si>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</si>
  <si>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</si>
  <si>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</si>
  <si>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</si>
  <si>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</si>
  <si>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</si>
  <si>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</si>
  <si>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</si>
  <si>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</si>
  <si>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</si>
  <si>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</si>
  <si>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</si>
  <si>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</si>
  <si>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</si>
  <si>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</si>
  <si>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</si>
  <si>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</si>
  <si>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</si>
  <si>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</si>
  <si>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</si>
  <si>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</si>
  <si>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</si>
  <si>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</si>
  <si>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</si>
  <si>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</si>
  <si>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</si>
  <si>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</si>
  <si>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</si>
  <si>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</si>
  <si>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</si>
  <si>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</si>
  <si>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</si>
  <si>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</si>
  <si>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</si>
  <si>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</si>
  <si>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</si>
  <si>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</si>
  <si>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</si>
  <si>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</si>
  <si>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</si>
  <si>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</si>
  <si>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</si>
  <si>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</si>
  <si>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</si>
  <si>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</si>
  <si>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</si>
  <si>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</si>
  <si>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</si>
  <si>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</si>
  <si>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</si>
  <si>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</si>
  <si>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</si>
  <si>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</si>
  <si>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</si>
  <si>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</si>
  <si>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</si>
  <si>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</si>
  <si>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</si>
  <si>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</si>
  <si>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</si>
  <si>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</si>
  <si>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</si>
  <si>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</si>
  <si>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</si>
  <si>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</si>
  <si>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</si>
  <si>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</si>
  <si>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</si>
  <si>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</si>
  <si>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</si>
  <si>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</si>
  <si>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</si>
  <si>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</si>
  <si>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</si>
  <si>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</si>
  <si>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</si>
  <si>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</si>
  <si>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</si>
  <si>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</si>
  <si>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</si>
  <si>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</si>
  <si>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</si>
  <si>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</si>
  <si>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</si>
  <si>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</si>
  <si>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</si>
  <si>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</si>
  <si>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</si>
  <si>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</si>
  <si>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</si>
  <si>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</si>
  <si>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</si>
  <si>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</si>
  <si>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</si>
  <si>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</si>
  <si>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</si>
  <si>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</si>
  <si>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</si>
  <si>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</si>
  <si>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</si>
  <si>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</si>
  <si>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</si>
  <si>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</si>
  <si>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</si>
  <si>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</si>
  <si>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</si>
  <si>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</si>
  <si>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</si>
  <si>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</si>
  <si>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</si>
  <si>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</si>
  <si>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</si>
  <si>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</si>
  <si>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</si>
  <si>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</si>
  <si>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</si>
  <si>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</si>
  <si>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</si>
  <si>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</si>
  <si>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</si>
  <si>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</si>
  <si>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</si>
  <si>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</si>
  <si>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</si>
  <si>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</si>
  <si>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</si>
  <si>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</si>
  <si>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</si>
  <si>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</si>
  <si>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</si>
  <si>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</si>
  <si>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</si>
  <si>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</si>
  <si>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</si>
  <si>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</si>
  <si>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</si>
  <si>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</si>
  <si>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</si>
  <si>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</si>
  <si>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</si>
  <si>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</si>
  <si>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</si>
  <si>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</si>
  <si>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</si>
  <si>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</si>
  <si>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</si>
  <si>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</si>
  <si>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</si>
  <si>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</si>
  <si>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</si>
  <si>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</si>
  <si>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</si>
  <si>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</si>
  <si>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</si>
  <si>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</si>
  <si>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</si>
  <si>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</si>
  <si>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</si>
  <si>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</si>
  <si>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</si>
  <si>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</si>
  <si>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</si>
  <si>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</si>
  <si>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</si>
  <si>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</si>
  <si>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</si>
  <si>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</si>
  <si>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</si>
  <si>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</si>
  <si>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</si>
  <si>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</si>
  <si>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</si>
  <si>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</si>
  <si>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</si>
  <si>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</si>
  <si>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</si>
  <si>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</si>
  <si>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</si>
  <si>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</si>
  <si>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</si>
  <si>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</si>
  <si>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</si>
  <si>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</si>
  <si>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</si>
  <si>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</si>
  <si>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</si>
  <si>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</si>
  <si>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</si>
  <si>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</si>
  <si>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</si>
  <si>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</si>
  <si>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</si>
  <si>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</si>
  <si>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</si>
  <si>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</si>
  <si>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</si>
  <si>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</si>
  <si>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</si>
  <si>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</si>
  <si>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</si>
  <si>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</si>
  <si>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</si>
  <si>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</si>
  <si>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</si>
  <si>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</si>
  <si>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</si>
  <si>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</si>
  <si>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</si>
  <si>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</si>
  <si>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</si>
  <si>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</si>
  <si>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</si>
  <si>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</si>
  <si>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</si>
  <si>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</si>
  <si>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</si>
  <si>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</si>
  <si>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</si>
  <si>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</si>
  <si>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</si>
  <si>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</si>
  <si>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</si>
  <si>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</si>
  <si>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</si>
  <si>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</si>
  <si>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</si>
  <si>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</si>
  <si>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</si>
  <si>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</si>
  <si>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</si>
  <si>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</si>
  <si>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</si>
  <si>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</si>
  <si>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</si>
  <si>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</si>
  <si>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</si>
  <si>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</si>
  <si>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</si>
  <si>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</si>
  <si>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</si>
  <si>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rtdc.l.rtdc.4010:itc</t>
  </si>
  <si>
    <t>rtdc.l.rtdc.4049:itc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</si>
  <si>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</si>
  <si>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</si>
  <si>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</si>
  <si>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</si>
  <si>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</si>
  <si>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</si>
  <si>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</si>
  <si>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</si>
  <si>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</si>
  <si>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</si>
  <si>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</si>
  <si>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</si>
  <si>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</si>
  <si>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</si>
  <si>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</si>
  <si>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</si>
  <si>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</si>
  <si>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ELBAUM</t>
  </si>
  <si>
    <t>MIKE</t>
  </si>
  <si>
    <t>204:196</t>
  </si>
  <si>
    <t>Wi-MAX data drop</t>
  </si>
  <si>
    <t>FORTUNATO</t>
  </si>
  <si>
    <t>FRANK</t>
  </si>
  <si>
    <t>HAMMOND</t>
  </si>
  <si>
    <t>JUSTYNN</t>
  </si>
  <si>
    <t>311-17</t>
  </si>
  <si>
    <t>313-17</t>
  </si>
  <si>
    <t>204:225</t>
  </si>
  <si>
    <t>rtdc.l.rtdc.4015:itc</t>
  </si>
  <si>
    <t>rtdc.l.rtdc.4006:itc</t>
  </si>
  <si>
    <t>rtdc.l.rtdc.4016:itc</t>
  </si>
  <si>
    <t>240-22</t>
  </si>
  <si>
    <t>rtdc.l.rtdc.4005:itc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</si>
  <si>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</si>
  <si>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</si>
  <si>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</si>
  <si>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</si>
  <si>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</si>
  <si>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</si>
  <si>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</si>
  <si>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</si>
  <si>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MAELZER</t>
  </si>
  <si>
    <t>KURT</t>
  </si>
  <si>
    <t>DONTE</t>
  </si>
  <si>
    <t>ANDERS</t>
  </si>
  <si>
    <t>STEVEN</t>
  </si>
  <si>
    <t>204:191</t>
  </si>
  <si>
    <t>rtdc.l.rtdc.4009:itc</t>
  </si>
  <si>
    <t>HOLCOMB</t>
  </si>
  <si>
    <t>KAMDEN</t>
  </si>
  <si>
    <t>204:233297</t>
  </si>
  <si>
    <t>204:201</t>
  </si>
  <si>
    <t>204:185</t>
  </si>
  <si>
    <t>rtdc.l.rtdc.4044:itc</t>
  </si>
  <si>
    <t>rtdc.l.rtdc.4043:itc</t>
  </si>
  <si>
    <t>GONZALEZ</t>
  </si>
  <si>
    <t>ARMANDO</t>
  </si>
  <si>
    <t>204:205</t>
  </si>
  <si>
    <t>204:232978</t>
  </si>
  <si>
    <t>204:466</t>
  </si>
  <si>
    <t>204:149</t>
  </si>
  <si>
    <t>204:194</t>
  </si>
  <si>
    <t>Early Arrival</t>
  </si>
  <si>
    <t>204:198</t>
  </si>
  <si>
    <t>204:517</t>
  </si>
  <si>
    <t>204:464</t>
  </si>
  <si>
    <t>partly-cloudy-night</t>
  </si>
  <si>
    <t>Partly Cloudy</t>
  </si>
  <si>
    <t>204:158</t>
  </si>
  <si>
    <t>204:233295</t>
  </si>
  <si>
    <t>204:156</t>
  </si>
  <si>
    <t>204:192</t>
  </si>
  <si>
    <t>204:482</t>
  </si>
  <si>
    <t>204:478</t>
  </si>
  <si>
    <t>204:160</t>
  </si>
  <si>
    <t>300:23312</t>
  </si>
  <si>
    <t>DAVID</t>
  </si>
  <si>
    <t>204:493</t>
  </si>
  <si>
    <t>204:233266</t>
  </si>
  <si>
    <t>204:522</t>
  </si>
  <si>
    <t>204:497</t>
  </si>
  <si>
    <t>204:200</t>
  </si>
  <si>
    <t>204:233278</t>
  </si>
  <si>
    <t>300:23299</t>
  </si>
  <si>
    <t>204:169</t>
  </si>
  <si>
    <t>SPECTOR</t>
  </si>
  <si>
    <t>rtdc.l.rtdc.4019:itc</t>
  </si>
  <si>
    <t>rtdc.l.rtdc.4020:itc</t>
  </si>
  <si>
    <t>MACDONALD</t>
  </si>
  <si>
    <t>THOMAS</t>
  </si>
  <si>
    <t>rtdc.l.rtdc.4045:itc</t>
  </si>
  <si>
    <t>DAVIDSON</t>
  </si>
  <si>
    <t>235-22</t>
  </si>
  <si>
    <t>232-22</t>
  </si>
  <si>
    <t>846-22</t>
  </si>
  <si>
    <t>234-22</t>
  </si>
  <si>
    <t>237-22</t>
  </si>
  <si>
    <t>849-22</t>
  </si>
  <si>
    <t>236-22</t>
  </si>
  <si>
    <t>239-22</t>
  </si>
  <si>
    <t>908-22</t>
  </si>
  <si>
    <t>241-22</t>
  </si>
  <si>
    <t>245-22</t>
  </si>
  <si>
    <t>246-22</t>
  </si>
  <si>
    <t>204:232998</t>
  </si>
  <si>
    <t>204:539</t>
  </si>
  <si>
    <t>204:232967</t>
  </si>
  <si>
    <t>204:232977</t>
  </si>
  <si>
    <t>204:489</t>
  </si>
  <si>
    <t>204:233312</t>
  </si>
  <si>
    <t>204:163</t>
  </si>
  <si>
    <t>204:577</t>
  </si>
  <si>
    <t>204:453</t>
  </si>
  <si>
    <t>204:232934</t>
  </si>
  <si>
    <t>204:212</t>
  </si>
  <si>
    <t>204:232982</t>
  </si>
  <si>
    <t>204:214</t>
  </si>
  <si>
    <t>204:519</t>
  </si>
  <si>
    <t>204:176</t>
  </si>
  <si>
    <t>204:528</t>
  </si>
  <si>
    <t>204:455</t>
  </si>
  <si>
    <t>SWITCH UNKNOWN</t>
  </si>
  <si>
    <t>Track device (7)</t>
  </si>
  <si>
    <t>TRACK WARRANT AUTHORITY</t>
  </si>
  <si>
    <t>Form based authority (4)</t>
  </si>
  <si>
    <t>rtdc.l.rtdc.4014:itc</t>
  </si>
  <si>
    <t>rtdc.l.rtdc.4057:itc</t>
  </si>
  <si>
    <t>rtdc.l.rtdc.4021:itc</t>
  </si>
  <si>
    <t>LESTER</t>
  </si>
  <si>
    <t>LAMAR</t>
  </si>
  <si>
    <t>NEKESHA</t>
  </si>
  <si>
    <t>BROWN</t>
  </si>
  <si>
    <t>JACOB</t>
  </si>
  <si>
    <t>KILLION</t>
  </si>
  <si>
    <t>Mostly Cloudy</t>
  </si>
  <si>
    <t>204:209</t>
  </si>
  <si>
    <t>204:233302</t>
  </si>
  <si>
    <t>204:233216</t>
  </si>
  <si>
    <t>204:232927</t>
  </si>
  <si>
    <t>204:480</t>
  </si>
  <si>
    <t>204:233332</t>
  </si>
  <si>
    <t>204:232911</t>
  </si>
  <si>
    <t>204:161</t>
  </si>
  <si>
    <t>204:486</t>
  </si>
  <si>
    <t>204:508</t>
  </si>
  <si>
    <t>204:233280</t>
  </si>
  <si>
    <t>204:232961</t>
  </si>
  <si>
    <t>204:500</t>
  </si>
  <si>
    <t>204:233203</t>
  </si>
  <si>
    <t>204:233310</t>
  </si>
  <si>
    <t>204:233000</t>
  </si>
  <si>
    <t>204:471</t>
  </si>
  <si>
    <t>204:468</t>
  </si>
  <si>
    <t>204:232990</t>
  </si>
  <si>
    <t>204:535</t>
  </si>
  <si>
    <t>204:232984</t>
  </si>
  <si>
    <t>204:256</t>
  </si>
  <si>
    <t>204:232896</t>
  </si>
  <si>
    <t>300:23304</t>
  </si>
  <si>
    <t>rtdc.l.rtdc.4034:itc</t>
  </si>
  <si>
    <t>rtdc.l.rtdc.4041:itc</t>
  </si>
  <si>
    <t>rtdc.l.rtdc.4033:itc</t>
  </si>
  <si>
    <t>rtdc.l.rtdc.4064:itc</t>
  </si>
  <si>
    <t>rtdc.l.rtdc.4054:itc</t>
  </si>
  <si>
    <t>rtdc.l.rtdc.4004:itc</t>
  </si>
  <si>
    <t>246-30</t>
  </si>
  <si>
    <t>HUFFSMITH</t>
  </si>
  <si>
    <t>MONTY</t>
  </si>
  <si>
    <t>DELGADO</t>
  </si>
  <si>
    <t>DIANAH</t>
  </si>
  <si>
    <t>DAVIS</t>
  </si>
  <si>
    <t>245-30</t>
  </si>
  <si>
    <t>307-30</t>
  </si>
  <si>
    <t>244-30</t>
  </si>
  <si>
    <t>309-30</t>
  </si>
  <si>
    <t>311-30</t>
  </si>
  <si>
    <t>313-30</t>
  </si>
  <si>
    <t>cloudy</t>
  </si>
  <si>
    <t>Overcast</t>
  </si>
  <si>
    <t>partly-cloudy-day</t>
  </si>
  <si>
    <t>204:232994</t>
  </si>
  <si>
    <t>204:233284</t>
  </si>
  <si>
    <t>204:180</t>
  </si>
  <si>
    <t>204:154</t>
  </si>
  <si>
    <t>204:233230</t>
  </si>
  <si>
    <t>204:181</t>
  </si>
  <si>
    <t>204:529</t>
  </si>
  <si>
    <t>204:515</t>
  </si>
  <si>
    <t>204:502</t>
  </si>
  <si>
    <t>204:458</t>
  </si>
  <si>
    <t>204:233303</t>
  </si>
  <si>
    <t>204:457</t>
  </si>
  <si>
    <t>204:233321</t>
  </si>
  <si>
    <t>204:150</t>
  </si>
  <si>
    <t>204:232881</t>
  </si>
  <si>
    <t>204:183</t>
  </si>
  <si>
    <t>204:491</t>
  </si>
  <si>
    <t>204:233319</t>
  </si>
  <si>
    <t>204:233215</t>
  </si>
  <si>
    <t>204:232981</t>
  </si>
  <si>
    <t>204:233293</t>
  </si>
  <si>
    <t>204:232973</t>
  </si>
  <si>
    <t>204:484</t>
  </si>
  <si>
    <t>204:509</t>
  </si>
  <si>
    <t>204:164</t>
  </si>
  <si>
    <t>204:233316</t>
  </si>
  <si>
    <t>204:167</t>
  </si>
  <si>
    <t>204:178</t>
  </si>
  <si>
    <t>300:58677</t>
  </si>
  <si>
    <t>300:58988</t>
  </si>
  <si>
    <t>204:187</t>
  </si>
  <si>
    <t>300:58675</t>
  </si>
  <si>
    <t>204:475</t>
  </si>
  <si>
    <t>204:232917</t>
  </si>
  <si>
    <t>204:233006</t>
  </si>
  <si>
    <t>204:233261</t>
  </si>
  <si>
    <t>204:233028</t>
  </si>
  <si>
    <t>204:258</t>
  </si>
  <si>
    <t>204:278</t>
  </si>
  <si>
    <t>204:243</t>
  </si>
  <si>
    <t>204:233257</t>
  </si>
  <si>
    <t>Poor GPS under Wewatta St. overpass</t>
  </si>
  <si>
    <t>Observed unhealthy xing banner at Chambers due to station stop</t>
  </si>
  <si>
    <t>101-31</t>
  </si>
  <si>
    <t>111-31</t>
  </si>
  <si>
    <t>108-31</t>
  </si>
  <si>
    <t>112-31</t>
  </si>
  <si>
    <t>118-31</t>
  </si>
  <si>
    <t>TEMPORARY SPEED RESTRICTION</t>
  </si>
  <si>
    <t>125-31</t>
  </si>
  <si>
    <t>rtdc.l.rtdc.4026:itc</t>
  </si>
  <si>
    <t>1805-31</t>
  </si>
  <si>
    <t>139-31</t>
  </si>
  <si>
    <t>153-31</t>
  </si>
  <si>
    <t>148-31</t>
  </si>
  <si>
    <t>168-31</t>
  </si>
  <si>
    <t>rtdc.l.rtdc.4001:itc</t>
  </si>
  <si>
    <t>170-31</t>
  </si>
  <si>
    <t>rtdc.l.rtdc.4025:itc</t>
  </si>
  <si>
    <t>1818-31</t>
  </si>
  <si>
    <t>1819-31</t>
  </si>
  <si>
    <t>219-31</t>
  </si>
  <si>
    <t>79-31</t>
  </si>
  <si>
    <t>1828-31</t>
  </si>
  <si>
    <t>rtdc.l.rtdc.4039:itc</t>
  </si>
  <si>
    <t>78-31</t>
  </si>
  <si>
    <t>1833-31</t>
  </si>
  <si>
    <t>1834-31</t>
  </si>
  <si>
    <t>300-31</t>
  </si>
  <si>
    <t>51-31</t>
  </si>
  <si>
    <t>302-31</t>
  </si>
  <si>
    <t>52-31</t>
  </si>
  <si>
    <t>103-31</t>
  </si>
  <si>
    <t>304-31</t>
  </si>
  <si>
    <t>105-31</t>
  </si>
  <si>
    <t>306-31</t>
  </si>
  <si>
    <t>102-31</t>
  </si>
  <si>
    <t>1907-31</t>
  </si>
  <si>
    <t>GEBRETEKLE</t>
  </si>
  <si>
    <t>DAGNEW</t>
  </si>
  <si>
    <t>107-31</t>
  </si>
  <si>
    <t>104-31</t>
  </si>
  <si>
    <t>109-31</t>
  </si>
  <si>
    <t>1909-31</t>
  </si>
  <si>
    <t>106-31</t>
  </si>
  <si>
    <t>rtdc.l.rtdc.4002:itc</t>
  </si>
  <si>
    <t>113-31</t>
  </si>
  <si>
    <t>110-31</t>
  </si>
  <si>
    <t>115-31</t>
  </si>
  <si>
    <t>312-31</t>
  </si>
  <si>
    <t>1901-31</t>
  </si>
  <si>
    <t>117-31</t>
  </si>
  <si>
    <t>1800-31</t>
  </si>
  <si>
    <t>119-31</t>
  </si>
  <si>
    <t>114-31</t>
  </si>
  <si>
    <t>1801-31</t>
  </si>
  <si>
    <t>121-31</t>
  </si>
  <si>
    <t>116-31</t>
  </si>
  <si>
    <t>123-31</t>
  </si>
  <si>
    <t>1802-31</t>
  </si>
  <si>
    <t>120-31</t>
  </si>
  <si>
    <t>127-31</t>
  </si>
  <si>
    <t>122-31</t>
  </si>
  <si>
    <t>1803-31</t>
  </si>
  <si>
    <t>129-31</t>
  </si>
  <si>
    <t>124-31</t>
  </si>
  <si>
    <t>1804-31</t>
  </si>
  <si>
    <t>131-31</t>
  </si>
  <si>
    <t>133-31</t>
  </si>
  <si>
    <t>126-31</t>
  </si>
  <si>
    <t>128-31</t>
  </si>
  <si>
    <t>135-31</t>
  </si>
  <si>
    <t>130-31</t>
  </si>
  <si>
    <t>137-31</t>
  </si>
  <si>
    <t>134-31</t>
  </si>
  <si>
    <t>132-31</t>
  </si>
  <si>
    <t>1806-31</t>
  </si>
  <si>
    <t>141-31</t>
  </si>
  <si>
    <t>138-31</t>
  </si>
  <si>
    <t>143-31</t>
  </si>
  <si>
    <t>136-31</t>
  </si>
  <si>
    <t>1807-31</t>
  </si>
  <si>
    <t>145-31</t>
  </si>
  <si>
    <t>147-31</t>
  </si>
  <si>
    <t>1808-31</t>
  </si>
  <si>
    <t>140-31</t>
  </si>
  <si>
    <t>142-31</t>
  </si>
  <si>
    <t>149-31</t>
  </si>
  <si>
    <t>144-31</t>
  </si>
  <si>
    <t>151-31</t>
  </si>
  <si>
    <t>146-31</t>
  </si>
  <si>
    <t>1809-31</t>
  </si>
  <si>
    <t>155-31</t>
  </si>
  <si>
    <t>1810-31</t>
  </si>
  <si>
    <t>150-31</t>
  </si>
  <si>
    <t>152-31</t>
  </si>
  <si>
    <t>157-31</t>
  </si>
  <si>
    <t>STEWART</t>
  </si>
  <si>
    <t>159-31</t>
  </si>
  <si>
    <t>1811-31</t>
  </si>
  <si>
    <t>154-31</t>
  </si>
  <si>
    <t>161-31</t>
  </si>
  <si>
    <t>156-31</t>
  </si>
  <si>
    <t>163-31</t>
  </si>
  <si>
    <t>1812-31</t>
  </si>
  <si>
    <t>158-31</t>
  </si>
  <si>
    <t>165-31</t>
  </si>
  <si>
    <t>160-31</t>
  </si>
  <si>
    <t>167-31</t>
  </si>
  <si>
    <t>1813-31</t>
  </si>
  <si>
    <t>169-31</t>
  </si>
  <si>
    <t>162-31</t>
  </si>
  <si>
    <t>164-31</t>
  </si>
  <si>
    <t>1814-31</t>
  </si>
  <si>
    <t>171-31</t>
  </si>
  <si>
    <t>166-31</t>
  </si>
  <si>
    <t>173-31</t>
  </si>
  <si>
    <t>175-31</t>
  </si>
  <si>
    <t>1815-31</t>
  </si>
  <si>
    <t>177-31</t>
  </si>
  <si>
    <t>172-31</t>
  </si>
  <si>
    <t>179-31</t>
  </si>
  <si>
    <t>1816-31</t>
  </si>
  <si>
    <t>174-31</t>
  </si>
  <si>
    <t>181-31</t>
  </si>
  <si>
    <t>53-31</t>
  </si>
  <si>
    <t>183-31</t>
  </si>
  <si>
    <t>176-31</t>
  </si>
  <si>
    <t>178-31</t>
  </si>
  <si>
    <t>88-31</t>
  </si>
  <si>
    <t>BIRENBAUM</t>
  </si>
  <si>
    <t>1817-31</t>
  </si>
  <si>
    <t>185-31</t>
  </si>
  <si>
    <t>66-31</t>
  </si>
  <si>
    <t>180-31</t>
  </si>
  <si>
    <t>187-31</t>
  </si>
  <si>
    <t>182-31</t>
  </si>
  <si>
    <t>189-31</t>
  </si>
  <si>
    <t>184-31</t>
  </si>
  <si>
    <t>191-31</t>
  </si>
  <si>
    <t>186-31</t>
  </si>
  <si>
    <t>193-31</t>
  </si>
  <si>
    <t>188-31</t>
  </si>
  <si>
    <t>195-31</t>
  </si>
  <si>
    <t>1820-31</t>
  </si>
  <si>
    <t>197-31</t>
  </si>
  <si>
    <t>190-31</t>
  </si>
  <si>
    <t>192-31</t>
  </si>
  <si>
    <t>199-31</t>
  </si>
  <si>
    <t>194-31</t>
  </si>
  <si>
    <t>1821-31</t>
  </si>
  <si>
    <t>rtdc.l.rtdc.4058:itc</t>
  </si>
  <si>
    <t>75-31</t>
  </si>
  <si>
    <t>ROMERO</t>
  </si>
  <si>
    <t>CHAD</t>
  </si>
  <si>
    <t>201-31</t>
  </si>
  <si>
    <t>196-31</t>
  </si>
  <si>
    <t>203-31</t>
  </si>
  <si>
    <t>1822-31</t>
  </si>
  <si>
    <t>198-31</t>
  </si>
  <si>
    <t>205-31</t>
  </si>
  <si>
    <t>207-31</t>
  </si>
  <si>
    <t>200-31</t>
  </si>
  <si>
    <t>1823-31</t>
  </si>
  <si>
    <t>202-31</t>
  </si>
  <si>
    <t>209-31</t>
  </si>
  <si>
    <t>211-31</t>
  </si>
  <si>
    <t>204-31</t>
  </si>
  <si>
    <t>206-31</t>
  </si>
  <si>
    <t>1824-31</t>
  </si>
  <si>
    <t>208-31</t>
  </si>
  <si>
    <t>213-31</t>
  </si>
  <si>
    <t>215-31</t>
  </si>
  <si>
    <t>1825-31</t>
  </si>
  <si>
    <t>210-31</t>
  </si>
  <si>
    <t>217-31</t>
  </si>
  <si>
    <t>68-31</t>
  </si>
  <si>
    <t>212-31</t>
  </si>
  <si>
    <t>1826-31</t>
  </si>
  <si>
    <t>295-31</t>
  </si>
  <si>
    <t>1827-31</t>
  </si>
  <si>
    <t>297-31</t>
  </si>
  <si>
    <t>296-31</t>
  </si>
  <si>
    <t>1829-31</t>
  </si>
  <si>
    <t>298-31</t>
  </si>
  <si>
    <t>1830-31</t>
  </si>
  <si>
    <t>1831-31</t>
  </si>
  <si>
    <t>1832-31</t>
  </si>
  <si>
    <t>1835-31</t>
  </si>
  <si>
    <t>1898-31</t>
  </si>
  <si>
    <t>1899-31</t>
  </si>
  <si>
    <t>1902-31</t>
  </si>
  <si>
    <t>300-01</t>
  </si>
  <si>
    <t>204:932</t>
  </si>
  <si>
    <t>204:233299</t>
  </si>
  <si>
    <t>204:232986</t>
  </si>
  <si>
    <t>204:402</t>
  </si>
  <si>
    <t>204:64180</t>
  </si>
  <si>
    <t>204:143</t>
  </si>
  <si>
    <t>204:233334</t>
  </si>
  <si>
    <t>204:233019</t>
  </si>
  <si>
    <t>204:37157</t>
  </si>
  <si>
    <t>204:232976</t>
  </si>
  <si>
    <t>204:233251</t>
  </si>
  <si>
    <t>204:498</t>
  </si>
  <si>
    <t>204:233286</t>
  </si>
  <si>
    <t>204:232980</t>
  </si>
  <si>
    <t>204:172</t>
  </si>
  <si>
    <t>204:233210</t>
  </si>
  <si>
    <t>204:232887</t>
  </si>
  <si>
    <t>204:232992</t>
  </si>
  <si>
    <t>204:152</t>
  </si>
  <si>
    <t>204:232996</t>
  </si>
  <si>
    <t>204:467</t>
  </si>
  <si>
    <t>204:233255</t>
  </si>
  <si>
    <t>204:232930</t>
  </si>
  <si>
    <t>204:233288</t>
  </si>
  <si>
    <t>204:232989</t>
  </si>
  <si>
    <t>204:165</t>
  </si>
  <si>
    <t>204:233274</t>
  </si>
  <si>
    <t>204:232953</t>
  </si>
  <si>
    <t>204:232987</t>
  </si>
  <si>
    <t>204:147</t>
  </si>
  <si>
    <t>204:233309</t>
  </si>
  <si>
    <t>204:233276</t>
  </si>
  <si>
    <t>204:232964</t>
  </si>
  <si>
    <t>204:233241</t>
  </si>
  <si>
    <t>204:477</t>
  </si>
  <si>
    <t>204:233259</t>
  </si>
  <si>
    <t>204:232949</t>
  </si>
  <si>
    <t>204:211</t>
  </si>
  <si>
    <t>204:451</t>
  </si>
  <si>
    <t>204:232963</t>
  </si>
  <si>
    <t>204:469</t>
  </si>
  <si>
    <t>204:233017</t>
  </si>
  <si>
    <t>204:462</t>
  </si>
  <si>
    <t>204:1165</t>
  </si>
  <si>
    <t>204:232947</t>
  </si>
  <si>
    <t>204:233270</t>
  </si>
  <si>
    <t>204:232946</t>
  </si>
  <si>
    <t>204:233281</t>
  </si>
  <si>
    <t>204:232957</t>
  </si>
  <si>
    <t>204:233341</t>
  </si>
  <si>
    <t>204:233340</t>
  </si>
  <si>
    <t>204:233330</t>
  </si>
  <si>
    <t>204:233329</t>
  </si>
  <si>
    <t>204:233002</t>
  </si>
  <si>
    <t>204:233036</t>
  </si>
  <si>
    <t>204:233357</t>
  </si>
  <si>
    <t>204:233045</t>
  </si>
  <si>
    <t>204:232882</t>
  </si>
  <si>
    <t>204:252</t>
  </si>
  <si>
    <t>204:233304</t>
  </si>
  <si>
    <t>204:232985</t>
  </si>
  <si>
    <t>204:203</t>
  </si>
  <si>
    <t>204:232969</t>
  </si>
  <si>
    <t>300:58589</t>
  </si>
  <si>
    <t>300:58926</t>
  </si>
  <si>
    <t>300:58596</t>
  </si>
  <si>
    <t>204:166</t>
  </si>
  <si>
    <t>300:58905</t>
  </si>
  <si>
    <t>300:58587</t>
  </si>
  <si>
    <t>300:58918</t>
  </si>
  <si>
    <t>300:58606</t>
  </si>
  <si>
    <t>204:162</t>
  </si>
  <si>
    <t>300:58909</t>
  </si>
  <si>
    <t>300:58598</t>
  </si>
  <si>
    <t>300:58920</t>
  </si>
  <si>
    <t>204:446</t>
  </si>
  <si>
    <t>300:58592</t>
  </si>
  <si>
    <t>300:58922</t>
  </si>
  <si>
    <t>204:175</t>
  </si>
  <si>
    <t>300:58995</t>
  </si>
  <si>
    <t>204:120</t>
  </si>
  <si>
    <t>204:410</t>
  </si>
  <si>
    <t>300:47001</t>
  </si>
  <si>
    <t>300:58672</t>
  </si>
  <si>
    <t>204:99</t>
  </si>
  <si>
    <t>204:379</t>
  </si>
  <si>
    <t>204:119</t>
  </si>
  <si>
    <t>300:58679</t>
  </si>
  <si>
    <t>204:108</t>
  </si>
  <si>
    <t>204:399</t>
  </si>
  <si>
    <t>300:58999</t>
  </si>
  <si>
    <t>204:115</t>
  </si>
  <si>
    <t>204:4584</t>
  </si>
  <si>
    <t>204:357</t>
  </si>
  <si>
    <t>300:58670</t>
  </si>
  <si>
    <t>204:100</t>
  </si>
  <si>
    <t>204:404</t>
  </si>
  <si>
    <t>300:58993</t>
  </si>
  <si>
    <t>300:58681</t>
  </si>
  <si>
    <t>204:122</t>
  </si>
  <si>
    <t>204:233005</t>
  </si>
  <si>
    <t>204:559</t>
  </si>
  <si>
    <t>204:233227</t>
  </si>
  <si>
    <t>204:233339</t>
  </si>
  <si>
    <t>300:58600</t>
  </si>
  <si>
    <t>300:58928</t>
  </si>
  <si>
    <t>300:21839</t>
  </si>
  <si>
    <t>300:58901</t>
  </si>
  <si>
    <t>300:23637</t>
  </si>
  <si>
    <t>300:23563</t>
  </si>
  <si>
    <t>204:233368</t>
  </si>
  <si>
    <t>204:260</t>
  </si>
  <si>
    <t>204:232966</t>
  </si>
  <si>
    <t>204:174</t>
  </si>
  <si>
    <t>204:571</t>
  </si>
  <si>
    <t>204:233197</t>
  </si>
  <si>
    <t>204:526</t>
  </si>
  <si>
    <t>204:233311</t>
  </si>
  <si>
    <t>204:233301</t>
  </si>
  <si>
    <t>204:1207</t>
  </si>
  <si>
    <t>204:233364</t>
  </si>
  <si>
    <t>204:917</t>
  </si>
  <si>
    <t>204:232936</t>
  </si>
  <si>
    <t>204:590</t>
  </si>
  <si>
    <t>204:704</t>
  </si>
  <si>
    <t>204:746</t>
  </si>
  <si>
    <t>204:806</t>
  </si>
  <si>
    <t>204:233253</t>
  </si>
  <si>
    <t>204:874</t>
  </si>
  <si>
    <t>204:232605</t>
  </si>
  <si>
    <t>204:232745</t>
  </si>
  <si>
    <t>204:121</t>
  </si>
  <si>
    <t>204:847</t>
  </si>
  <si>
    <t>204:233315</t>
  </si>
  <si>
    <t>204:232681</t>
  </si>
  <si>
    <t>204:232670</t>
  </si>
  <si>
    <t>204:872</t>
  </si>
  <si>
    <t>204:233238</t>
  </si>
  <si>
    <t>204:232594</t>
  </si>
  <si>
    <t>204:265</t>
  </si>
  <si>
    <t>204:724</t>
  </si>
  <si>
    <t>204:233376</t>
  </si>
  <si>
    <t>204:810</t>
  </si>
  <si>
    <t>204:770</t>
  </si>
  <si>
    <t>204:233317</t>
  </si>
  <si>
    <t>204:865</t>
  </si>
  <si>
    <t>204:1156</t>
  </si>
  <si>
    <t>300:23305</t>
  </si>
  <si>
    <t>300:19650</t>
  </si>
  <si>
    <t>300:23463</t>
  </si>
  <si>
    <t>204:218</t>
  </si>
  <si>
    <t>204:1242</t>
  </si>
  <si>
    <t>300:23301</t>
  </si>
  <si>
    <t>300:23169</t>
  </si>
  <si>
    <t>204:145</t>
  </si>
  <si>
    <t>204:772</t>
  </si>
  <si>
    <t>300:23306</t>
  </si>
  <si>
    <t>204:768</t>
  </si>
  <si>
    <t>300:22372</t>
  </si>
  <si>
    <t>204:3372</t>
  </si>
  <si>
    <t>204:1475</t>
  </si>
  <si>
    <t>204:3471</t>
  </si>
  <si>
    <t>204:3229</t>
  </si>
  <si>
    <t>204:3030</t>
  </si>
  <si>
    <t>204:1158</t>
  </si>
  <si>
    <t>204:1481</t>
  </si>
  <si>
    <t>300:22467</t>
  </si>
  <si>
    <t>204:1461</t>
  </si>
  <si>
    <t>300:23690</t>
  </si>
  <si>
    <t>204:92</t>
  </si>
  <si>
    <t>204:1145</t>
  </si>
  <si>
    <t>300:23302</t>
  </si>
  <si>
    <t>300:23809</t>
  </si>
  <si>
    <t>204:3589</t>
  </si>
  <si>
    <t>300:30845</t>
  </si>
  <si>
    <t>204:1943</t>
  </si>
  <si>
    <t>start /low /b %USERPROFILE%\Documents\GitHub\eaglep3\Utilities\DownloadLogsFromS3.py --loco 4061 --day 2017-12-31</t>
  </si>
  <si>
    <t>start /low /b %USERPROFILE%\Documents\GitHub\eaglep3\Utilities\DownloadLogsFromS3.py --loco 4012 --day 2017-12-31</t>
  </si>
  <si>
    <t>start /low /b %USERPROFILE%\Documents\GitHub\eaglep3\Utilities\DownloadLogsFromS3.py --loco 4002 --day 1969-12-31</t>
  </si>
  <si>
    <t>start /low /b %USERPROFILE%\Documents\GitHub\eaglep3\Utilities\DownloadLogsFromS3.py --loco 4026 --day 2017-12-31</t>
  </si>
  <si>
    <t>start /low /b %USERPROFILE%\Documents\GitHub\eaglep3\Utilities\DownloadLogsFromS3.py --loco 4025 --day 2017-12-31</t>
  </si>
  <si>
    <t>start /low /b %USERPROFILE%\Documents\GitHub\eaglep3\Utilities\DownloadLogsFromS3.py --loco 4043 --day 2017-12-31</t>
  </si>
  <si>
    <t>start /low /b %USERPROFILE%\Documents\GitHub\eaglep3\Utilities\DownloadLogsFromS3.py --loco 4001 --day 2017-12-31</t>
  </si>
  <si>
    <t>start /low /b %USERPROFILE%\Documents\GitHub\eaglep3\Utilities\DownloadLogsFromS3.py --loco 4018 --day 2018-01-01</t>
  </si>
  <si>
    <t>start /low /b %USERPROFILE%\Documents\GitHub\eaglep3\Utilities\DownloadLogsFromS3.py --loco 4011 --day 2017-12-31</t>
  </si>
  <si>
    <t>start /low /b %USERPROFILE%\Documents\GitHub\eaglep3\Utilities\DownloadLogsFromS3.py --loco 4062 --day 2018-01-01</t>
  </si>
  <si>
    <t>start /low /b %USERPROFILE%\Documents\GitHub\eaglep3\Utilities\DownloadLogsFromS3.py --loco 4033 --day 2017-12-31</t>
  </si>
  <si>
    <t>start /low /b %USERPROFILE%\Documents\GitHub\eaglep3\Utilities\DownloadLogsFromS3.py --loco 4004 --day 2018-01-01</t>
  </si>
  <si>
    <t>start /low /b %USERPROFILE%\Documents\GitHub\eaglep3\Utilities\DownloadLogsFromS3.py --loco 4015 --day 2017-12-31</t>
  </si>
  <si>
    <t>start /low /b %USERPROFILE%\Documents\GitHub\eaglep3\Utilities\DownloadLogsFromS3.py --loco 4025 --day 2018-01-01</t>
  </si>
  <si>
    <t>start /low /b %USERPROFILE%\Documents\GitHub\eaglep3\Utilities\DownloadLogsFromS3.py --loco 4026 --day 2018-01-01</t>
  </si>
  <si>
    <t>Poor GPS at DUS</t>
  </si>
  <si>
    <t>Onboard en route failure during init</t>
  </si>
  <si>
    <t>Restricted aspect</t>
  </si>
  <si>
    <t>Observed red fence for unhealthy xing at Chambers due to Wi-MAX data drop, no PTC enforcement</t>
  </si>
  <si>
    <t>Overspeed enforcement then observed onboard en route failure</t>
  </si>
  <si>
    <t>Enforced for Main 3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</si>
</sst>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8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48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43100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43100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148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38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COUNTIFS($N$13:$N$9591,"&gt;0",$AG$13:$AG$9591,I1)</f>
        <v>145</v>
      </c>
      <c r="K5" s="39"/>
      <c r="L5" s="171"/>
      <c r="M5" s="40">
        <f>AVERAGEIFS($N$13:$N$9591,$AG$13:$AG$9591,I1)</f>
        <v>36.811494252604334</v>
      </c>
      <c r="N5" s="38">
        <f t="array" ref="N5">MIN(IF($AG$13:$AG$9591=I1,IF(ISNUMBER($N$13:$N$9591),IF($N$13:$N$9591&gt;0,$N$13:$N$9591))))</f>
        <v>33.999999995576218</v>
      </c>
      <c r="O5" s="3">
        <f t="array" ref="O5">MAX(IF($AG$13:$AG$9591=I1,IF(ISNUMBER($N$13:$N$9591),IF($N$13:$N$9591&gt;0,$N$13:$N$9591))))</f>
        <v>40.36666666273959</v>
      </c>
      <c r="P5" s="2"/>
      <c r="R5" s="162" t="s">
        <v>17</v>
      </c>
      <c r="S5" s="206">
        <f>COUNTIFS($N$13:$N$9591,"&gt;0",$AG$13:$AG$9591,R1)</f>
        <v>38</v>
      </c>
      <c r="T5" s="171"/>
      <c r="U5" s="194"/>
      <c r="V5" s="210">
        <f>AVERAGEIFS($N$13:$N$9591,$AG$13:$AG$9591,R1)</f>
        <v>13.514912281595906</v>
      </c>
      <c r="W5" s="211">
        <f t="array" ref="W5">MIN(IF($AG$13:$AG$9591=R1,IF(ISNUMBER($N$13:$N$9591),IF($N$13:$N$9591&gt;0,$N$13:$N$9591))))</f>
        <v>10.466666672145948</v>
      </c>
      <c r="X5" s="199">
        <f t="array" ref="X5">MAX(IF($AG$13:$AG$9591=R1,IF(ISNUMBER($N$13:$N$9591),IF($N$13:$N$9591&gt;0,$N$13:$N$9591))))</f>
        <v>21.783333333441988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COUNT($O$13:$O$349)</f>
        <v>0</v>
      </c>
      <c r="K6" s="39"/>
      <c r="L6" s="171"/>
      <c r="M6" s="40">
        <f>IFERROR(AVERAGE($O$13:$O$349),0)</f>
        <v>0</v>
      </c>
      <c r="N6" s="38">
        <f>MIN($O$13:$O$349)</f>
        <v>0</v>
      </c>
      <c r="O6" s="3">
        <f>MAX($O$13:$O$349)</f>
        <v>0</v>
      </c>
      <c r="P6" s="2"/>
      <c r="R6" s="163" t="s">
        <v>43</v>
      </c>
      <c r="S6" s="206">
        <f>COUNT($O$13:$O$349)</f>
        <v>0</v>
      </c>
      <c r="T6" s="171"/>
      <c r="U6" s="194"/>
      <c r="V6" s="210">
        <f>IFERROR(AVERAGE($O$13:$O$349),0)</f>
        <v>0</v>
      </c>
      <c r="W6" s="211">
        <f>MIN($O$13:$O$349)</f>
        <v>0</v>
      </c>
      <c r="X6" s="199">
        <f>MAX($O$13:$O$349)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COUNTIFS($P$13:$P$9591,"&gt;0",$AG$13:$AG$9591,I1)</f>
        <v>3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COUNTIFS($P$13:$P$9591,"&gt;0",$AG$13:$AG$9591,R1)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145</v>
      </c>
      <c r="K8" s="39"/>
      <c r="L8" s="171"/>
      <c r="M8" s="40">
        <f>M5</f>
        <v>36.811494252604334</v>
      </c>
      <c r="N8" s="38">
        <f>N5</f>
        <v>33.999999995576218</v>
      </c>
      <c r="O8" s="3">
        <f>O5</f>
        <v>40.36666666273959</v>
      </c>
      <c r="P8" s="2"/>
      <c r="R8" s="162" t="s">
        <v>16</v>
      </c>
      <c r="S8" s="206">
        <f>S5</f>
        <v>38</v>
      </c>
      <c r="T8" s="171"/>
      <c r="U8" s="194"/>
      <c r="V8" s="210">
        <f>V5</f>
        <v>13.514912281595906</v>
      </c>
      <c r="W8" s="211">
        <f>W5</f>
        <v>10.466666672145948</v>
      </c>
      <c r="X8" s="199">
        <f>X5</f>
        <v>21.783333333441988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0.97972972972972971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- 2017-12-31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AVERAGE(S13:S132)</f>
        <v>0.9978813559322034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668</v>
      </c>
      <c r="B13" s="7">
        <v>4012</v>
      </c>
      <c r="C13" s="21" t="s">
        <v>192</v>
      </c>
      <c r="D13" s="21" t="s">
        <v>858</v>
      </c>
      <c r="E13" s="13">
        <v>43100.134143518517</v>
      </c>
      <c r="F13" s="13">
        <v>43100.13585648148</v>
      </c>
      <c r="G13" s="7">
        <v>79</v>
      </c>
      <c r="H13" s="21" t="s">
        <v>859</v>
      </c>
      <c r="I13" s="13">
        <v>43100.161180555559</v>
      </c>
      <c r="J13" s="7">
        <v>0</v>
      </c>
      <c r="K13" s="89" t="str">
        <f>IF(ISEVEN(B13),(B13-1)&amp;"/"&amp;B13,B13&amp;"/"&amp;(B13+1))</f>
        <v>4011/4012</v>
      </c>
      <c r="L13" s="184" t="str">
        <f>VLOOKUP(A13,'Trips&amp;Operators'!$C$1:$G$99911,5,FALSE)</f>
        <v>THOMPSON LESTER</v>
      </c>
      <c r="M13" s="6">
        <f>I13-F13</f>
        <v>2.5324074078525882E-2</v>
      </c>
      <c r="N13" s="7">
        <f>24*60*SUM($M13:$M13)</f>
        <v>36.46666667307727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-31T02:13:10-0700',mode:absolute,to:'2017-12-31T04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9.3200000000000005E-2</v>
      </c>
      <c r="Z13" s="203">
        <f>RIGHT(H13,LEN(H13)-4)/10000</f>
        <v>23.329899999999999</v>
      </c>
      <c r="AA13" s="203">
        <f>ABS(Z13-Y13)</f>
        <v>23.236699999999999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/stypes="app*4012*20171231*"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101-31 --locoid 4012 --swversion DE.1.0.9.0 --startMP 204:932 --initTime 2017-12-31T03:13:10 --startdatetime 2017-12-31T03:15:38 --delay 79 --endMP 204:233299 --enddatetime 2017-12-31T03:52:06 --enforcementcount 0 &gt;&gt;%USERPROFILE%\Documents\GitHub\eaglep3-reporting\EC\2017-12-31-refined-times.txt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{"issue":{"subject":"","project_id":79,"tracker_id":40,"status_id":1,"priority_id":2,"assigned_to_id":338,"start_date":"2017-12-31","description":"","custom_fields":[{"id":1,"name":"Subdivision","value":"EC"},{"id":4,"name":"Milepost","value":"23.3299"},{"id":17,"name":"Train ID","value":"101-31"},{"id":16,"name":"Locomotive ID","value":"4012"},{"id":130,"name":"Impact","value":""},{"id":150,"name":"Time of Event (Mountain Time)","value":"03:52:06"},{"id":151,"name":"Denver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4012 --day 2017-12-31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10:52:06"},{"id":29,"name":"Sharepoint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-31T02:13:10-0700',mode:absolute,to:'2017-12-31T04:52:06-0700'))&amp;_a=(columns:!('Message%20ID',Summary),filters:!(),index:'emp_*',interval:auto,query:(query_string:(analyze_wildcard:!t,query:'%22rtdc.l.rtdc.4012%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701</v>
      </c>
      <c r="B14" s="225">
        <v>4011</v>
      </c>
      <c r="C14" s="227" t="s">
        <v>192</v>
      </c>
      <c r="D14" s="227" t="s">
        <v>552</v>
      </c>
      <c r="E14" s="226">
        <v>43100.173437500001</v>
      </c>
      <c r="F14" s="226">
        <v>43100.17527777778</v>
      </c>
      <c r="G14" s="225">
        <v>87</v>
      </c>
      <c r="H14" s="227" t="s">
        <v>651</v>
      </c>
      <c r="I14" s="226">
        <v>43100.201944444445</v>
      </c>
      <c r="J14" s="225">
        <v>0</v>
      </c>
      <c r="K14" s="237" t="str">
        <f>IF(ISEVEN(B14),(B14-1)&amp;"/"&amp;B14,B14&amp;"/"&amp;(B14+1))</f>
        <v>4011/4012</v>
      </c>
      <c r="L14" s="245" t="str">
        <f>VLOOKUP(A14,'Trips&amp;Operators'!$C$1:$G$99911,5,FALSE)</f>
        <v>THOMPSON LESTER</v>
      </c>
      <c r="M14" s="224">
        <f>I14-F14</f>
        <v>2.6666666664823424E-2</v>
      </c>
      <c r="N14" s="225">
        <f>24*60*SUM($M14:$M14)</f>
        <v>38.399999997345731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-31T03:09:45-0700',mode:absolute,to:'2017-12-31T05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23.297699999999999</v>
      </c>
      <c r="Z14" s="247">
        <f>RIGHT(H14,LEN(H14)-4)/10000</f>
        <v>1.67E-2</v>
      </c>
      <c r="AA14" s="247">
        <f>ABS(Z14-Y14)</f>
        <v>23.280999999999999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s3://rtdc.mdm.uploadarchive.raw/RTDC4011/ "%USERPROFILE%\AppData\Local\Temp\OnboardLogs"\RTDC4011\2017-12-31 --exclude "*" --recursive --include "*20171231*" &amp; "%USERPROFILE%\Documents\GitHub\mrs-test-scripts\Headless Mode &amp; Sideloading\WalkAndUnGZ.bat" "%USERPROFILE%\AppData\Local\Temp\OnboardLogs"\RTDC4011\2017-12-31 &amp; 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/stypes="app*4011*20171231*"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8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102-31 --locoid 4011 --swversion DE.1.0.9.0 --startMP 204:232977 --initTime 2017-12-31T04:09:45 --startdatetime 2017-12-31T04:12:24 --delay 87 --endMP 204:167 --enddatetime 2017-12-31T04:50:48 --enforcementcount 0 &gt;&gt;%USERPROFILE%\Documents\GitHub\eaglep3-reporting\EC\2017-12-31-refined-times.txt</v>
      </c>
      <c r="AI14" s="238" t="str">
        <f t="shared" ref="AI14:AI78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{"issue":{"subject":"","project_id":79,"tracker_id":40,"status_id":1,"priority_id":2,"assigned_to_id":338,"start_date":"2017-12-31","description":"","custom_fields":[{"id":1,"name":"Subdivision","value":"EC"},{"id":4,"name":"Milepost","value":"0.0167"},{"id":17,"name":"Train ID","value":"102-31"},{"id":16,"name":"Locomotive ID","value":"4011"},{"id":130,"name":"Impact","value":""},{"id":150,"name":"Time of Event (Mountain Time)","value":"04:50:48"},{"id":151,"name":"Denver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8" si="7">"start /low /b "&amp;dls3logs&amp;" --loco "&amp;B14&amp;" --day "&amp;TEXT(F14,"YYYY-MM-DD")</f>
        <v>start /low /b %USERPROFILE%\Documents\GitHub\eaglep3\Utilities\DownloadLogsFromS3.py --loco 4011 --day 2017-12-31</v>
      </c>
      <c r="AN14" s="241" t="str">
        <f t="shared" ref="AN14:AN78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11:50:48"},{"id":29,"name":"Sharepoint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8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-31T03:09:45-0700',mode:absolute,to:'2017-12-31T05:50:48-0700'))&amp;_a=(columns:!('Message%20ID',Summary),filters:!(),index:'emp_*',interval:auto,query:(query_string:(analyze_wildcard:!t,query:'%22rtdc.l.rtdc.4011%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697</v>
      </c>
      <c r="B15" s="225">
        <v>4018</v>
      </c>
      <c r="C15" s="227" t="s">
        <v>192</v>
      </c>
      <c r="D15" s="227" t="s">
        <v>553</v>
      </c>
      <c r="E15" s="226">
        <v>43100.150462962964</v>
      </c>
      <c r="F15" s="226">
        <v>43100.156493055554</v>
      </c>
      <c r="G15" s="225">
        <v>68</v>
      </c>
      <c r="H15" s="227" t="s">
        <v>645</v>
      </c>
      <c r="I15" s="226">
        <v>43100.180486111109</v>
      </c>
      <c r="J15" s="225">
        <v>0</v>
      </c>
      <c r="K15" s="237" t="str">
        <f>IF(ISEVEN(B15),(B15-1)&amp;"/"&amp;B15,B15&amp;"/"&amp;(B15+1))</f>
        <v>4017/4018</v>
      </c>
      <c r="L15" s="245" t="str">
        <f>VLOOKUP(A15,'Trips&amp;Operators'!$C$1:$G$99911,5,FALSE)</f>
        <v>MAELZER KURT</v>
      </c>
      <c r="M15" s="224">
        <f>I15-F15</f>
        <v>2.3993055554456078E-2</v>
      </c>
      <c r="N15" s="225">
        <f>24*60*SUM($M15:$M15)</f>
        <v>34.549999998416752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-31T02:36:40-0700',mode:absolute,to:'2017-12-31T05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4.8899999999999999E-2</v>
      </c>
      <c r="Z15" s="247">
        <f>RIGHT(H15,LEN(H15)-4)/10000</f>
        <v>23.3293</v>
      </c>
      <c r="AA15" s="247">
        <f>ABS(Z15-Y15)</f>
        <v>23.2804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/stypes="app*4018*20171231*"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103-31 --locoid 4018 --swversion DE.1.0.9.0 --startMP 204:489 --initTime 2017-12-31T03:36:40 --startdatetime 2017-12-31T03:45:21 --delay 68 --endMP 204:233293 --enddatetime 2017-12-31T04:19:54 --enforcementcount 0 &gt;&gt;%USERPROFILE%\Documents\GitHub\eaglep3-reporting\EC\2017-12-31-refined-times.txt</v>
      </c>
      <c r="AI15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{"issue":{"subject":"","project_id":79,"tracker_id":40,"status_id":1,"priority_id":2,"assigned_to_id":338,"start_date":"2017-12-31","description":"","custom_fields":[{"id":1,"name":"Subdivision","value":"EC"},{"id":4,"name":"Milepost","value":"23.3293"},{"id":17,"name":"Train ID","value":"103-31"},{"id":16,"name":"Locomotive ID","value":"4018"},{"id":130,"name":"Impact","value":""},{"id":150,"name":"Time of Event (Mountain Time)","value":"04:19:54"},{"id":151,"name":"Denver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4018 --day 2017-12-31</v>
      </c>
      <c r="AN15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11:19:54"},{"id":29,"name":"Sharepoint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2017-12-31T02:36:40-0700',mode:absolute,to:'2017-12-31T05:19:54-0700'))&amp;_a=(columns:!('Message%20ID',Summary),filters:!(),index:'emp_*',interval:auto,query:(query_string:(analyze_wildcard:!t,query:'%22rtdc.l.rtdc.4018%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706</v>
      </c>
      <c r="B16" s="225">
        <v>4017</v>
      </c>
      <c r="C16" s="227" t="s">
        <v>192</v>
      </c>
      <c r="D16" s="227" t="s">
        <v>860</v>
      </c>
      <c r="E16" s="226">
        <v>43100.186249999999</v>
      </c>
      <c r="F16" s="226">
        <v>43100.196006944447</v>
      </c>
      <c r="G16" s="225">
        <v>45</v>
      </c>
      <c r="H16" s="227" t="s">
        <v>491</v>
      </c>
      <c r="I16" s="226">
        <v>43100.221851851849</v>
      </c>
      <c r="J16" s="225">
        <v>0</v>
      </c>
      <c r="K16" s="237" t="str">
        <f>IF(ISEVEN(B16),(B16-1)&amp;"/"&amp;B16,B16&amp;"/"&amp;(B16+1))</f>
        <v>4017/4018</v>
      </c>
      <c r="L16" s="245" t="str">
        <f>VLOOKUP(A16,'Trips&amp;Operators'!$C$1:$G$99911,5,FALSE)</f>
        <v>MAELZER KURT</v>
      </c>
      <c r="M16" s="224">
        <f>I16-F16</f>
        <v>2.5844907402643003E-2</v>
      </c>
      <c r="N16" s="225">
        <f>24*60*SUM($M16:$M16)</f>
        <v>37.216666659805924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-31T03:28:12-0700',mode:absolute,to:'2017-12-31T06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23.2986</v>
      </c>
      <c r="Z16" s="247">
        <f>RIGHT(H16,LEN(H16)-4)/10000</f>
        <v>1.9099999999999999E-2</v>
      </c>
      <c r="AA16" s="247">
        <f>ABS(Z16-Y16)</f>
        <v>23.279499999999999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s3://rtdc.mdm.uploadarchive.raw/RTDC4017/ "%USERPROFILE%\AppData\Local\Temp\OnboardLogs"\RTDC4017\2017-12-31 --exclude "*" --recursive --include "*20171231*" &amp; "%USERPROFILE%\Documents\GitHub\mrs-test-scripts\Headless Mode &amp; Sideloading\WalkAndUnGZ.bat" "%USERPROFILE%\AppData\Local\Temp\OnboardLogs"\RTDC4017\2017-12-31 &amp; aws s3 cp s3://rtdc.mdm.uploadarchive.raw/RTDC4017/ "%USERPROFILE%\AppData\Local\Temp\OnboardLogs"\RTDC4017\2018-01-01 --exclude "*" --recursive --include "*20180101*" &amp; "%USERPROFILE%\Documents\GitHub\mrs-test-scripts\Headless Mode &amp; Sideloading\WalkAndUnGZ.bat" "%USERPROFILE%\AppData\Local\Temp\OnboardLogs"\RTDC4017\2018-01-01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/stypes="app*4017*20171231*"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104-31 --locoid 4017 --swversion DE.1.0.9.0 --startMP 204:232986 --initTime 2017-12-31T04:28:12 --startdatetime 2017-12-31T04:42:15 --delay 45 --endMP 204:191 --enddatetime 2017-12-31T05:19:28 --enforcementcount 0 &gt;&gt;%USERPROFILE%\Documents\GitHub\eaglep3-reporting\EC\2017-12-31-refined-times.txt</v>
      </c>
      <c r="AI16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{"issue":{"subject":"","project_id":79,"tracker_id":40,"status_id":1,"priority_id":2,"assigned_to_id":338,"start_date":"2017-12-31","description":"","custom_fields":[{"id":1,"name":"Subdivision","value":"EC"},{"id":4,"name":"Milepost","value":"0.0191"},{"id":17,"name":"Train ID","value":"104-31"},{"id":16,"name":"Locomotive ID","value":"4017"},{"id":130,"name":"Impact","value":""},{"id":150,"name":"Time of Event (Mountain Time)","value":"05:19:28"},{"id":151,"name":"Denver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4017 --day 2017-12-31</v>
      </c>
      <c r="AN16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12:19:28"},{"id":29,"name":"Sharepoint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2017-12-31T03:28:12-0700',mode:absolute,to:'2017-12-31T06:19:28-0700'))&amp;_a=(columns:!('Message%20ID',Summary),filters:!(),index:'emp_*',interval:auto,query:(query_string:(analyze_wildcard:!t,query:'%22rtdc.l.rtdc.4017%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699</v>
      </c>
      <c r="B17" s="225">
        <v>4034</v>
      </c>
      <c r="C17" s="227" t="s">
        <v>192</v>
      </c>
      <c r="D17" s="227" t="s">
        <v>599</v>
      </c>
      <c r="E17" s="226">
        <v>43100.170520833337</v>
      </c>
      <c r="F17" s="226">
        <v>43100.177256944444</v>
      </c>
      <c r="G17" s="225">
        <v>63</v>
      </c>
      <c r="H17" s="227" t="s">
        <v>629</v>
      </c>
      <c r="I17" s="226">
        <v>43100.201423611114</v>
      </c>
      <c r="J17" s="225">
        <v>0</v>
      </c>
      <c r="K17" s="237" t="str">
        <f>IF(ISEVEN(B17),(B17-1)&amp;"/"&amp;B17,B17&amp;"/"&amp;(B17+1))</f>
        <v>4033/4034</v>
      </c>
      <c r="L17" s="245" t="str">
        <f>VLOOKUP(A17,'Trips&amp;Operators'!$C$1:$G$99911,5,FALSE)</f>
        <v>LOPES KIMBERLY</v>
      </c>
      <c r="M17" s="224">
        <f>I17-F17</f>
        <v>2.4166666669771075E-2</v>
      </c>
      <c r="N17" s="225">
        <f>24*60*SUM($M17:$M17)</f>
        <v>34.800000004470348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-12-31T03:05:33-0700',mode:absolute,to:'2017-12-31T05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5.3499999999999999E-2</v>
      </c>
      <c r="Z17" s="247">
        <f>RIGHT(H17,LEN(H17)-4)/10000</f>
        <v>23.323</v>
      </c>
      <c r="AA17" s="247">
        <f>ABS(Z17-Y17)</f>
        <v>23.269500000000001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 &amp; aws s3 cp s3://rtdc.mdm.uploadarchive.raw/RTDC4034/ "%USERPROFILE%\AppData\Local\Temp\OnboardLogs"\RTDC4034\2018-01-01 --exclude "*" --recursive --include "*20180101*" &amp; "%USERPROFILE%\Documents\GitHub\mrs-test-scripts\Headless Mode &amp; Sideloading\WalkAndUnGZ.bat" "%USERPROFILE%\AppData\Local\Temp\OnboardLogs"\RTDC4034\2018-01-01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/stypes="app*4034*20171231*"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105-31 --locoid 4034 --swversion DE.1.0.9.0 --startMP 204:535 --initTime 2017-12-31T04:05:33 --startdatetime 2017-12-31T04:15:15 --delay 63 --endMP 204:233230 --enddatetime 2017-12-31T04:50:03 --enforcementcount 0 &gt;&gt;%USERPROFILE%\Documents\GitHub\eaglep3-reporting\EC\2017-12-31-refined-times.txt</v>
      </c>
      <c r="AI17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{"issue":{"subject":"","project_id":79,"tracker_id":40,"status_id":1,"priority_id":2,"assigned_to_id":338,"start_date":"2017-12-31","description":"","custom_fields":[{"id":1,"name":"Subdivision","value":"EC"},{"id":4,"name":"Milepost","value":"23.323"},{"id":17,"name":"Train ID","value":"105-31"},{"id":16,"name":"Locomotive ID","value":"4034"},{"id":130,"name":"Impact","value":""},{"id":150,"name":"Time of Event (Mountain Time)","value":"04:50:03"},{"id":151,"name":"Denver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4034 --day 2017-12-31</v>
      </c>
      <c r="AN17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11:50:03"},{"id":29,"name":"Sharepoint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2017-12-31T03:05:33-0700',mode:absolute,to:'2017-12-31T05:50:03-0700'))&amp;_a=(columns:!('Message%20ID',Summary),filters:!(),index:'emp_*',interval:auto,query:(query_string:(analyze_wildcard:!t,query:'%22rtdc.l.rtdc.4034%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709</v>
      </c>
      <c r="B18" s="225">
        <v>4033</v>
      </c>
      <c r="C18" s="227" t="s">
        <v>192</v>
      </c>
      <c r="D18" s="227" t="s">
        <v>586</v>
      </c>
      <c r="E18" s="226">
        <v>43100.212129629632</v>
      </c>
      <c r="F18" s="226">
        <v>43100.216840277775</v>
      </c>
      <c r="G18" s="225">
        <v>61</v>
      </c>
      <c r="H18" s="227" t="s">
        <v>559</v>
      </c>
      <c r="I18" s="226">
        <v>43100.243344907409</v>
      </c>
      <c r="J18" s="225">
        <v>0</v>
      </c>
      <c r="K18" s="237" t="str">
        <f>IF(ISEVEN(B18),(B18-1)&amp;"/"&amp;B18,B18&amp;"/"&amp;(B18+1))</f>
        <v>4033/4034</v>
      </c>
      <c r="L18" s="245" t="str">
        <f>VLOOKUP(A18,'Trips&amp;Operators'!$C$1:$G$99911,5,FALSE)</f>
        <v>LOPES KIMBERLY</v>
      </c>
      <c r="M18" s="224">
        <f>I18-F18</f>
        <v>2.6504629633564036E-2</v>
      </c>
      <c r="N18" s="225">
        <f>24*60*SUM($M18:$M18)</f>
        <v>38.166666672332212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-12-31T04:05:28-0700',mode:absolute,to:'2017-12-31T06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23.2911</v>
      </c>
      <c r="Z18" s="247">
        <f>RIGHT(H18,LEN(H18)-4)/10000</f>
        <v>2.12E-2</v>
      </c>
      <c r="AA18" s="247">
        <f>ABS(Z18-Y18)</f>
        <v>23.2699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/stypes="app*4033*20171231*"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106-31 --locoid 4033 --swversion DE.1.0.9.0 --startMP 204:232911 --initTime 2017-12-31T05:05:28 --startdatetime 2017-12-31T05:12:15 --delay 61 --endMP 204:212 --enddatetime 2017-12-31T05:50:25 --enforcementcount 0 &gt;&gt;%USERPROFILE%\Documents\GitHub\eaglep3-reporting\EC\2017-12-31-refined-times.txt</v>
      </c>
      <c r="AI18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{"issue":{"subject":"","project_id":79,"tracker_id":40,"status_id":1,"priority_id":2,"assigned_to_id":338,"start_date":"2017-12-31","description":"","custom_fields":[{"id":1,"name":"Subdivision","value":"EC"},{"id":4,"name":"Milepost","value":"0.0212"},{"id":17,"name":"Train ID","value":"106-31"},{"id":16,"name":"Locomotive ID","value":"4033"},{"id":130,"name":"Impact","value":""},{"id":150,"name":"Time of Event (Mountain Time)","value":"05:50:25"},{"id":151,"name":"Denver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4033 --day 2017-12-31</v>
      </c>
      <c r="AN18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12:50:25"},{"id":29,"name":"Sharepoint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2017-12-31T04:05:28-0700',mode:absolute,to:'2017-12-31T06:50:25-0700'))&amp;_a=(columns:!('Message%20ID',Summary),filters:!(),index:'emp_*',interval:auto,query:(query_string:(analyze_wildcard:!t,query:'%22rtdc.l.rtdc.4033%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705</v>
      </c>
      <c r="B19" s="225">
        <v>4062</v>
      </c>
      <c r="C19" s="227" t="s">
        <v>192</v>
      </c>
      <c r="D19" s="227" t="s">
        <v>861</v>
      </c>
      <c r="E19" s="226">
        <v>43100.184699074074</v>
      </c>
      <c r="F19" s="226">
        <v>43100.187916666669</v>
      </c>
      <c r="G19" s="225">
        <v>77</v>
      </c>
      <c r="H19" s="227" t="s">
        <v>637</v>
      </c>
      <c r="I19" s="226">
        <v>43100.211747685185</v>
      </c>
      <c r="J19" s="225">
        <v>0</v>
      </c>
      <c r="K19" s="237" t="str">
        <f>IF(ISEVEN(B19),(B19-1)&amp;"/"&amp;B19,B19&amp;"/"&amp;(B19+1))</f>
        <v>4061/4062</v>
      </c>
      <c r="L19" s="245" t="str">
        <f>VLOOKUP(A19,'Trips&amp;Operators'!$C$1:$G$99911,5,FALSE)</f>
        <v>DELGADO DIANAH</v>
      </c>
      <c r="M19" s="224">
        <f>I19-F19</f>
        <v>2.3831018515920732E-2</v>
      </c>
      <c r="N19" s="225">
        <f>24*60*SUM($M19:$M19)</f>
        <v>34.316666662925854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-12-31T03:25:58-0700',mode:absolute,to:'2017-12-31T06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4.02E-2</v>
      </c>
      <c r="Z19" s="247">
        <f>RIGHT(H19,LEN(H19)-4)/10000</f>
        <v>23.332100000000001</v>
      </c>
      <c r="AA19" s="247">
        <f>ABS(Z19-Y19)</f>
        <v>23.291900000000002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 &amp; 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/stypes="app*4062*20171231*"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107-31 --locoid 4062 --swversion DE.1.0.9.0 --startMP 204:402 --initTime 2017-12-31T04:25:58 --startdatetime 2017-12-31T04:30:36 --delay 77 --endMP 204:233321 --enddatetime 2017-12-31T05:04:55 --enforcementcount 0 &gt;&gt;%USERPROFILE%\Documents\GitHub\eaglep3-reporting\EC\2017-12-31-refined-times.txt</v>
      </c>
      <c r="AI19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{"issue":{"subject":"","project_id":79,"tracker_id":40,"status_id":1,"priority_id":2,"assigned_to_id":338,"start_date":"2017-12-31","description":"","custom_fields":[{"id":1,"name":"Subdivision","value":"EC"},{"id":4,"name":"Milepost","value":"23.3321"},{"id":17,"name":"Train ID","value":"107-31"},{"id":16,"name":"Locomotive ID","value":"4062"},{"id":130,"name":"Impact","value":""},{"id":150,"name":"Time of Event (Mountain Time)","value":"05:04:55"},{"id":151,"name":"Denver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4062 --day 2017-12-31</v>
      </c>
      <c r="AN19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12:04:55"},{"id":29,"name":"Sharepoint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2017-12-31T03:25:58-0700',mode:absolute,to:'2017-12-31T06:04:55-0700'))&amp;_a=(columns:!('Message%20ID',Summary),filters:!(),index:'emp_*',interval:auto,query:(query_string:(analyze_wildcard:!t,query:'%22rtdc.l.rtdc.4062%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670</v>
      </c>
      <c r="B20" s="225">
        <v>4061</v>
      </c>
      <c r="C20" s="227" t="s">
        <v>192</v>
      </c>
      <c r="D20" s="227" t="s">
        <v>862</v>
      </c>
      <c r="E20" s="226">
        <v>43100.246817129628</v>
      </c>
      <c r="F20" s="226">
        <v>43100.227314814816</v>
      </c>
      <c r="G20" s="225">
        <v>38</v>
      </c>
      <c r="H20" s="227" t="s">
        <v>863</v>
      </c>
      <c r="I20" s="226">
        <v>43100.243206018517</v>
      </c>
      <c r="J20" s="225">
        <v>0</v>
      </c>
      <c r="K20" s="237" t="str">
        <f>IF(ISEVEN(B20),(B20-1)&amp;"/"&amp;B20,B20&amp;"/"&amp;(B20+1))</f>
        <v>4061/4062</v>
      </c>
      <c r="L20" s="245" t="str">
        <f>VLOOKUP(A20,'Trips&amp;Operators'!$C$1:$G$99911,5,FALSE)</f>
        <v>DELGADO DIANAH</v>
      </c>
      <c r="M20" s="224">
        <f>I20-F20</f>
        <v>1.5891203700448386E-2</v>
      </c>
      <c r="N20" s="225"/>
      <c r="O20" s="225"/>
      <c r="P20" s="225">
        <f>24*60*SUM($M20:$M20)</f>
        <v>22.883333328645676</v>
      </c>
      <c r="Q20" s="228"/>
      <c r="R20" s="242" t="s">
        <v>465</v>
      </c>
      <c r="S20" s="249">
        <f>1/IF(AG20="EC",12,1)*SUM(U20:U20+U21)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3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-31T04:55:25-0700',mode:absolute,to:'2017-12-31T06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" s="247" t="str">
        <f>IF(AA20&lt;VLOOKUP(AG20,Variables!$AC$3:$AD$8,2,FALSE),"Y","N")</f>
        <v>Y</v>
      </c>
      <c r="X20" s="247">
        <f t="shared" ref="X20:X22" si="10">VALUE(LEFT(AD20,4))-VALUE(LEFT(AD19,4))</f>
        <v>1</v>
      </c>
      <c r="Y20" s="247">
        <v>23.267199999999999</v>
      </c>
      <c r="Z20" s="247">
        <v>7.306</v>
      </c>
      <c r="AA20" s="247">
        <f>ABS(Z20-Y20)</f>
        <v>15.961199999999998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 &amp; aws s3 cp s3://rtdc.mdm.uploadarchive.raw/RTDC4061/ "%USERPROFILE%\AppData\Local\Temp\OnboardLogs"\RTDC4061\2018-01-01 --exclude "*" --recursive --include "*20180101*" &amp; "%USERPROFILE%\Documents\GitHub\mrs-test-scripts\Headless Mode &amp; Sideloading\WalkAndUnGZ.bat" "%USERPROFILE%\AppData\Local\Temp\OnboardLogs"\RTDC4061\2018-01-01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/stypes="app*4061*20171231*" /stext=" 12:.+((SYSTEM_STATE.+slice.+state.+changed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ref="AH20" si="11">refinertdcruntimes&amp;" --tripid "&amp;A20&amp;" --locoid "&amp;B20&amp;" --swversion "&amp;C20&amp;" --startMP "&amp;D20&amp;" --initTime "&amp;TEXT(E20,"yyyy-mm-ddTHH:MM:SS")&amp;" --startdatetime "&amp;TEXT(F20,"yyyy-mm-ddTHH:MM:SS")&amp;" --delay "&amp;G20&amp;" --endMP "&amp;H20&amp;" --enddatetime "&amp;TEXT(I20,"yyyy-mm-ddTHH:MM:SS")&amp;" --enforcementcount "&amp;J20&amp;IF(outputrefinedruntimes," &gt;&gt;"&amp;RefinedRTDCRunTimesOutputFile,"")</f>
        <v>"%USERPROFILE%\Documents\GitHub\eaglep3\Utilities\RefineRTDCRunTimes.py" --tripid 108-31 --locoid 4061 --swversion DE.1.0.9.0 --startMP 204:64180 --initTime 2017-12-31T05:55:25 --startdatetime 2017-12-31T05:27:20 --delay 38 --endMP 204:143 --enddatetime 2017-12-31T05:50:13 --enforcementcount 0 &gt;&gt;%USERPROFILE%\Documents\GitHub\eaglep3-reporting\EC\2017-12-31-refined-times.txt</v>
      </c>
      <c r="AI20" s="238" t="str">
        <f t="shared" ref="AI20" si="12">"echo {""issue"":{""subject"":"""&amp;R20&amp;""",""project_id"":79,""tracker_id"":40,""status_id"":"&amp;redmine_status&amp;",""priority_id"":"&amp;redmine_priority&amp;",""assigned_to_id"":"&amp;redmine_assignee&amp;",""start_date"":"""&amp;TEXT(I20,"YYYY-mm-dd")&amp;""",""description"":"""&amp;AJ20&amp;""",""custom_fields"":[{""id"":1,""name"":""Subdivision"",""value"":"""&amp;AG20&amp;"""},{""id"":4,""name"":""Milepost"",""value"":"""&amp;Z20&amp;"""},{""id"":17,""name"":""Train ID"",""value"":"""&amp;A20&amp;"""},{""id"":16,""name"":""Locomotive ID"",""value"":"""&amp;B20&amp;"""},{""id"":130,""name"":""Impact"",""value"":"""&amp;AK20&amp;"""},{""id"":150,""name"":""Time of Event (Mountain Time)"",""value"":"""&amp;TEXT(I20,"hh:mm:ss")&amp;"""},{""id"":151,""name"":""Denver Issue ID"",""value"":"""&amp;"""},{""id"":178,""name"":""Operational Impact"",""value"":"""&amp;redmine_op_impact&amp;"""},{""id"":179,""name"":""Denver Segment Assigned"",""value"":"""&amp;AL20&amp;"""}]}}"&amp;"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drop","project_id":79,"tracker_id":40,"status_id":1,"priority_id":2,"assigned_to_id":338,"start_date":"2017-12-31","description":"","custom_fields":[{"id":1,"name":"Subdivision","value":"EC"},{"id":4,"name":"Milepost","value":"7.306"},{"id":17,"name":"Train ID","value":"108-31"},{"id":16,"name":"Locomotive ID","value":"4061"},{"id":130,"name":"Impact","value":""},{"id":150,"name":"Time of Event (Mountain Time)","value":"05:50:13"},{"id":151,"name":"Denver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ref="AM20" si="13">"start /low /b "&amp;dls3logs&amp;" --loco "&amp;B20&amp;" --day "&amp;TEXT(F20,"YYYY-MM-DD")</f>
        <v>start /low /b %USERPROFILE%\Documents\GitHub\eaglep3\Utilities\DownloadLogsFromS3.py --loco 4061 --day 2017-12-31</v>
      </c>
      <c r="AN20" s="241" t="str">
        <f t="shared" ref="AN20" si="14">"echo {""issue"":{""subject"":"""&amp;R20&amp;""",""project_id"":30,""tracker_id"":4,""status_id"":"&amp;redmine_status_wcr&amp;",""priority_id"":"&amp;redmine_priority_wcr&amp;",""assigned_to_id"":"&amp;redmine_assignee_wcr&amp;",""start_date"":"""&amp;TEXT(I20-utc_offset/24,"YYYY-mm-dd")&amp;""",""description"":"""&amp;AJ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12:50:13"},{"id":29,"name":"Sharepoint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ref="AO20" si="15"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Message%20ID',Summary),filters:!(),index:'emp_*',interval:auto,query:"&amp;"(query_string:(analyze_wildcard:!t,query:'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-31T04:55:25-0700',mode:absolute,to:'2017-12-31T06:50:13-0700'))&amp;_a=(columns:!('Message%20ID',Summary),filters:!(),index:'emp_*',interval:auto,query:(query_string:(analyze_wildcard:!t,query:'%22rtdc.l.rtdc.4061%22')),sort:!(Time.ISO8601,asc))</v>
      </c>
      <c r="AP20" s="223"/>
      <c r="AQ20" s="223"/>
      <c r="AR20" s="223"/>
      <c r="AS20" s="223"/>
      <c r="AT20" s="223"/>
      <c r="AU20" s="223"/>
      <c r="AV20" s="223"/>
      <c r="AW20" s="223"/>
      <c r="AX20" s="223"/>
      <c r="AY20" s="223"/>
      <c r="AZ20" s="223"/>
      <c r="BA20" s="223"/>
      <c r="BB20" s="223"/>
      <c r="BC20" s="223"/>
      <c r="BD20" s="223"/>
      <c r="BE20" s="223"/>
      <c r="BF20" s="223"/>
      <c r="BG20" s="223"/>
      <c r="BH20" s="223"/>
      <c r="BI20" s="223"/>
      <c r="BJ20" s="223"/>
      <c r="BK20" s="223"/>
      <c r="BL20" s="223"/>
      <c r="BM20" s="223"/>
      <c r="BN20" s="223"/>
      <c r="BO20" s="223"/>
      <c r="BP20" s="223"/>
      <c r="BQ20" s="223"/>
      <c r="BR20" s="223"/>
      <c r="BS20" s="223"/>
      <c r="BT20" s="223"/>
      <c r="BU20" s="223"/>
      <c r="BV20" s="223"/>
      <c r="BW20" s="223"/>
      <c r="BX20" s="223"/>
      <c r="BY20" s="223"/>
      <c r="BZ20" s="223"/>
      <c r="CA20" s="223"/>
      <c r="CB20" s="223"/>
      <c r="CC20" s="223"/>
      <c r="CD20" s="223"/>
      <c r="CE20" s="223"/>
      <c r="CF20" s="223"/>
      <c r="CG20" s="223"/>
      <c r="CH20" s="223"/>
      <c r="CI20" s="223"/>
      <c r="CJ20" s="223"/>
      <c r="CK20" s="223"/>
      <c r="CL20" s="223"/>
      <c r="CM20" s="223"/>
    </row>
    <row r="21" spans="1:91" s="1" customFormat="1" x14ac:dyDescent="0.3">
      <c r="A21" s="229" t="s">
        <v>670</v>
      </c>
      <c r="B21" s="225">
        <v>4061</v>
      </c>
      <c r="C21" s="227" t="s">
        <v>192</v>
      </c>
      <c r="D21" s="227" t="s">
        <v>862</v>
      </c>
      <c r="E21" s="226">
        <v>43100.246817129628</v>
      </c>
      <c r="F21" s="226">
        <v>43100.247743055559</v>
      </c>
      <c r="G21" s="225">
        <v>38</v>
      </c>
      <c r="H21" s="227" t="s">
        <v>863</v>
      </c>
      <c r="I21" s="226">
        <v>43100.258020833331</v>
      </c>
      <c r="J21" s="225">
        <v>0</v>
      </c>
      <c r="K21" s="237" t="str">
        <f>IF(ISEVEN(B21),(B21-1)&amp;"/"&amp;B21,B21&amp;"/"&amp;(B21+1))</f>
        <v>4061/4062</v>
      </c>
      <c r="L21" s="245" t="str">
        <f>VLOOKUP(A21,'Trips&amp;Operators'!$C$1:$G$99911,5,FALSE)</f>
        <v>DELGADO DIANAH</v>
      </c>
      <c r="M21" s="224">
        <f>I21-F21</f>
        <v>1.0277777771989349E-2</v>
      </c>
      <c r="N21" s="225"/>
      <c r="O21" s="225"/>
      <c r="P21" s="225"/>
      <c r="Q21" s="228"/>
      <c r="R21" s="242"/>
      <c r="S21" s="249"/>
      <c r="T21" s="242" t="str">
        <f>IF(ISEVEN(LEFT(AD21,4)),"Southbound","NorthBound")</f>
        <v>Southbound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9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-31T04:55:25-0700',mode:absolute,to:'2017-12-31T07:11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" s="247" t="str">
        <f>IF(AA21&lt;VLOOKUP(AG21,Variables!$AC$3:$AD$8,2,FALSE),"Y","N")</f>
        <v>Y</v>
      </c>
      <c r="X21" s="247">
        <f t="shared" si="10"/>
        <v>0</v>
      </c>
      <c r="Y21" s="247">
        <f>RIGHT(D21,LEN(D21)-4)/10000</f>
        <v>6.4180000000000001</v>
      </c>
      <c r="Z21" s="247">
        <f>RIGHT(H21,LEN(H21)-4)/10000</f>
        <v>1.43E-2</v>
      </c>
      <c r="AA21" s="247">
        <f>ABS(Z21-Y21)</f>
        <v>6.4036999999999997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108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 &amp; aws s3 cp s3://rtdc.mdm.uploadarchive.raw/RTDC4061/ "%USERPROFILE%\AppData\Local\Temp\OnboardLogs"\RTDC4061\2018-01-01 --exclude "*" --recursive --include "*20180101*" &amp; "%USERPROFILE%\Documents\GitHub\mrs-test-scripts\Headless Mode &amp; Sideloading\WalkAndUnGZ.bat" "%USERPROFILE%\AppData\Local\Temp\OnboardLogs"\RTDC4061\2018-01-01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/stypes="app*4061*20171231*" /stext=" 13:.+((SYSTEM_STATE.+slice.+state.+changed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108-31 --locoid 4061 --swversion DE.1.0.9.0 --startMP 204:64180 --initTime 2017-12-31T05:55:25 --startdatetime 2017-12-31T05:56:45 --delay 38 --endMP 204:143 --enddatetime 2017-12-31T06:11:33 --enforcementcount 0 &gt;&gt;%USERPROFILE%\Documents\GitHub\eaglep3-reporting\EC\2017-12-31-refined-times.txt</v>
      </c>
      <c r="AI21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{"issue":{"subject":"","project_id":79,"tracker_id":40,"status_id":1,"priority_id":2,"assigned_to_id":338,"start_date":"2017-12-31","description":"","custom_fields":[{"id":1,"name":"Subdivision","value":"EC"},{"id":4,"name":"Milepost","value":"0.0143"},{"id":17,"name":"Train ID","value":"108-31"},{"id":16,"name":"Locomotive ID","value":"4061"},{"id":130,"name":"Impact","value":""},{"id":150,"name":"Time of Event (Mountain Time)","value":"06:11:33"},{"id":151,"name":"Denver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4061 --day 2017-12-31</v>
      </c>
      <c r="AN21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13:11:33"},{"id":29,"name":"Sharepoint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2017-12-31T04:55:25-0700',mode:absolute,to:'2017-12-31T07:11:33-0700'))&amp;_a=(columns:!('Message%20ID',Summary),filters:!(),index:'emp_*',interval:auto,query:(query_string:(analyze_wildcard:!t,query:'%22rtdc.l.rtdc.4061%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707</v>
      </c>
      <c r="B22" s="225">
        <v>4052</v>
      </c>
      <c r="C22" s="227" t="s">
        <v>192</v>
      </c>
      <c r="D22" s="227" t="s">
        <v>636</v>
      </c>
      <c r="E22" s="226">
        <v>43100.193564814814</v>
      </c>
      <c r="F22" s="226">
        <v>43100.198101851849</v>
      </c>
      <c r="G22" s="225">
        <v>79</v>
      </c>
      <c r="H22" s="227" t="s">
        <v>864</v>
      </c>
      <c r="I22" s="226">
        <v>43100.222928240742</v>
      </c>
      <c r="J22" s="225">
        <v>0</v>
      </c>
      <c r="K22" s="237" t="str">
        <f>IF(ISEVEN(B22),(B22-1)&amp;"/"&amp;B22,B22&amp;"/"&amp;(B22+1))</f>
        <v>4051/4052</v>
      </c>
      <c r="L22" s="245" t="str">
        <f>VLOOKUP(A22,'Trips&amp;Operators'!$C$1:$G$99911,5,FALSE)</f>
        <v>GEBRETEKLE DAGNEW</v>
      </c>
      <c r="M22" s="224">
        <f>I22-F22</f>
        <v>2.4826388893416151E-2</v>
      </c>
      <c r="N22" s="225">
        <f>24*60*SUM($M22:$M22)</f>
        <v>35.750000006519258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NorthBound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-12-31T03:38:44-0700',mode:absolute,to:'2017-12-31T06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" s="247" t="str">
        <f>IF(AA22&lt;VLOOKUP(AG22,Variables!$AC$3:$AD$8,2,FALSE),"Y","N")</f>
        <v>N</v>
      </c>
      <c r="X22" s="247">
        <f t="shared" si="10"/>
        <v>1</v>
      </c>
      <c r="Y22" s="247">
        <f>RIGHT(D22,LEN(D22)-4)/10000</f>
        <v>4.5699999999999998E-2</v>
      </c>
      <c r="Z22" s="247">
        <f>RIGHT(H22,LEN(H22)-4)/10000</f>
        <v>23.333400000000001</v>
      </c>
      <c r="AA22" s="247">
        <f>ABS(Z22-Y22)</f>
        <v>23.287700000000001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109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s3://rtdc.mdm.uploadarchive.raw/RTDC4052/ "%USERPROFILE%\AppData\Local\Temp\OnboardLogs"\RTDC4052\2017-12-31 --exclude "*" --recursive --include "*20171231*" &amp; "%USERPROFILE%\Documents\GitHub\mrs-test-scripts\Headless Mode &amp; Sideloading\WalkAndUnGZ.bat" "%USERPROFILE%\AppData\Local\Temp\OnboardLogs"\RTDC4052\2017-12-31 &amp; aws s3 cp s3://rtdc.mdm.uploadarchive.raw/RTDC4052/ "%USERPROFILE%\AppData\Local\Temp\OnboardLogs"\RTDC4052\2018-01-01 --exclude "*" --recursive --include "*20180101*" &amp; "%USERPROFILE%\Documents\GitHub\mrs-test-scripts\Headless Mode &amp; Sideloading\WalkAndUnGZ.bat" "%USERPROFILE%\AppData\Local\Temp\OnboardLogs"\RTDC4052\2018-01-01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/stypes="app*4052*20171231*" /stext=" 12:.+((SYSTEM_STATE.+slice.+state.+changed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109-31 --locoid 4052 --swversion DE.1.0.9.0 --startMP 204:457 --initTime 2017-12-31T04:38:44 --startdatetime 2017-12-31T04:45:16 --delay 79 --endMP 204:233334 --enddatetime 2017-12-31T05:21:01 --enforcementcount 0 &gt;&gt;%USERPROFILE%\Documents\GitHub\eaglep3-reporting\EC\2017-12-31-refined-times.txt</v>
      </c>
      <c r="AI22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{"issue":{"subject":"","project_id":79,"tracker_id":40,"status_id":1,"priority_id":2,"assigned_to_id":338,"start_date":"2017-12-31","description":"","custom_fields":[{"id":1,"name":"Subdivision","value":"EC"},{"id":4,"name":"Milepost","value":"23.3334"},{"id":17,"name":"Train ID","value":"109-31"},{"id":16,"name":"Locomotive ID","value":"4052"},{"id":130,"name":"Impact","value":""},{"id":150,"name":"Time of Event (Mountain Time)","value":"05:21:01"},{"id":151,"name":"Denver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4052 --day 2017-12-31</v>
      </c>
      <c r="AN22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12:21:01"},{"id":29,"name":"Sharepoint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2017-12-31T03:38:44-0700',mode:absolute,to:'2017-12-31T06:21:01-0700'))&amp;_a=(columns:!('Message%20ID',Summary),filters:!(),index:'emp_*',interval:auto,query:(query_string:(analyze_wildcard:!t,query:'%22rtdc.l.rtdc.4052%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712</v>
      </c>
      <c r="B23" s="225">
        <v>4051</v>
      </c>
      <c r="C23" s="227" t="s">
        <v>192</v>
      </c>
      <c r="D23" s="227" t="s">
        <v>865</v>
      </c>
      <c r="E23" s="226">
        <v>43100.224166666667</v>
      </c>
      <c r="F23" s="226">
        <v>43100.237696759257</v>
      </c>
      <c r="G23" s="225">
        <v>49</v>
      </c>
      <c r="H23" s="227" t="s">
        <v>515</v>
      </c>
      <c r="I23" s="226">
        <v>43100.263344907406</v>
      </c>
      <c r="J23" s="225">
        <v>0</v>
      </c>
      <c r="K23" s="237" t="str">
        <f>IF(ISEVEN(B23),(B23-1)&amp;"/"&amp;B23,B23&amp;"/"&amp;(B23+1))</f>
        <v>4051/4052</v>
      </c>
      <c r="L23" s="245" t="str">
        <f>VLOOKUP(A23,'Trips&amp;Operators'!$C$1:$G$99911,5,FALSE)</f>
        <v>GEBRETEKLE DAGNEW</v>
      </c>
      <c r="M23" s="224">
        <f>I23-F23</f>
        <v>2.5648148148320615E-2</v>
      </c>
      <c r="N23" s="225">
        <f>24*60*SUM($M23:$M23)</f>
        <v>36.933333333581686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Southbound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-31T04:22:48-0700',mode:absolute,to:'2017-12-31T07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23.3019</v>
      </c>
      <c r="Z23" s="247">
        <f>RIGHT(H23,LEN(H23)-4)/10000</f>
        <v>1.5599999999999999E-2</v>
      </c>
      <c r="AA23" s="247">
        <f>ABS(Z23-Y23)</f>
        <v>23.286300000000001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110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s3://rtdc.mdm.uploadarchive.raw/RTDC4051/ "%USERPROFILE%\AppData\Local\Temp\OnboardLogs"\RTDC4051\2017-12-31 --exclude "*" --recursive --include "*20171231*" &amp; "%USERPROFILE%\Documents\GitHub\mrs-test-scripts\Headless Mode &amp; Sideloading\WalkAndUnGZ.bat" "%USERPROFILE%\AppData\Local\Temp\OnboardLogs"\RTDC4051\2017-12-31 &amp; aws s3 cp s3://rtdc.mdm.uploadarchive.raw/RTDC4051/ "%USERPROFILE%\AppData\Local\Temp\OnboardLogs"\RTDC4051\2018-01-01 --exclude "*" --recursive --include "*20180101*" &amp; "%USERPROFILE%\Documents\GitHub\mrs-test-scripts\Headless Mode &amp; Sideloading\WalkAndUnGZ.bat" "%USERPROFILE%\AppData\Local\Temp\OnboardLogs"\RTDC4051\2018-01-01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/stypes="app*4051*20171231*" /stext=" 13:.+((SYSTEM_STATE.+slice.+state.+changed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110-31 --locoid 4051 --swversion DE.1.0.9.0 --startMP 204:233019 --initTime 2017-12-31T05:22:48 --startdatetime 2017-12-31T05:42:17 --delay 49 --endMP 204:156 --enddatetime 2017-12-31T06:19:13 --enforcementcount 0 &gt;&gt;%USERPROFILE%\Documents\GitHub\eaglep3-reporting\EC\2017-12-31-refined-times.txt</v>
      </c>
      <c r="AI23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{"issue":{"subject":"","project_id":79,"tracker_id":40,"status_id":1,"priority_id":2,"assigned_to_id":338,"start_date":"2017-12-31","description":"","custom_fields":[{"id":1,"name":"Subdivision","value":"EC"},{"id":4,"name":"Milepost","value":"0.0156"},{"id":17,"name":"Train ID","value":"110-31"},{"id":16,"name":"Locomotive ID","value":"4051"},{"id":130,"name":"Impact","value":""},{"id":150,"name":"Time of Event (Mountain Time)","value":"06:19:13"},{"id":151,"name":"Denver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4051 --day 2017-12-31</v>
      </c>
      <c r="AN23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13:19:13"},{"id":29,"name":"Sharepoint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2017-12-31T04:22:48-0700',mode:absolute,to:'2017-12-31T07:19:13-0700'))&amp;_a=(columns:!('Message%20ID',Summary),filters:!(),index:'emp_*',interval:auto,query:(query_string:(analyze_wildcard:!t,query:'%22rtdc.l.rtdc.4051%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669</v>
      </c>
      <c r="B24" s="225">
        <v>4012</v>
      </c>
      <c r="C24" s="227" t="s">
        <v>192</v>
      </c>
      <c r="D24" s="227" t="s">
        <v>641</v>
      </c>
      <c r="E24" s="226">
        <v>43100.206747685188</v>
      </c>
      <c r="F24" s="226">
        <v>43100.216990740744</v>
      </c>
      <c r="G24" s="225">
        <v>49</v>
      </c>
      <c r="H24" s="227" t="s">
        <v>641</v>
      </c>
      <c r="I24" s="226">
        <v>43100.235925925925</v>
      </c>
      <c r="J24" s="225">
        <v>0</v>
      </c>
      <c r="K24" s="237" t="str">
        <f>IF(ISEVEN(B24),(B24-1)&amp;"/"&amp;B24,B24&amp;"/"&amp;(B24+1))</f>
        <v>4011/4012</v>
      </c>
      <c r="L24" s="245" t="str">
        <f>VLOOKUP(A24,'Trips&amp;Operators'!$C$1:$G$99911,5,FALSE)</f>
        <v>THOMPSON LESTER</v>
      </c>
      <c r="M24" s="224">
        <f>I24-F24</f>
        <v>1.8935185180453118E-2</v>
      </c>
      <c r="N24" s="225"/>
      <c r="O24" s="225"/>
      <c r="P24" s="225"/>
      <c r="Q24" s="228"/>
      <c r="R24" s="242"/>
      <c r="S24" s="249"/>
      <c r="T24" s="242" t="str">
        <f>IF(ISEVEN(LEFT(AD24,4)),"Southbound","NorthBound")</f>
        <v>NorthBound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-12-31T03:57:43-0700',mode:absolute,to:'2017-12-31T06:39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" s="247" t="str">
        <f>IF(AA24&lt;VLOOKUP(AG24,Variables!$AC$3:$AD$8,2,FALSE),"Y","N")</f>
        <v>Y</v>
      </c>
      <c r="X24" s="247">
        <f>VALUE(LEFT(AD24,4))-VALUE(LEFT(AD23,4))</f>
        <v>1</v>
      </c>
      <c r="Y24" s="247">
        <f>RIGHT(D24,LEN(D24)-4)/10000</f>
        <v>4.9099999999999998E-2</v>
      </c>
      <c r="Z24" s="247">
        <f>RIGHT(H24,LEN(H24)-4)/10000</f>
        <v>4.9099999999999998E-2</v>
      </c>
      <c r="AA24" s="247">
        <f>ABS(Z24-Y24)</f>
        <v>0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111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/stypes="app*4012*20171231*" /stext=" 12:.+((SYSTEM_STATE.+slice.+state.+changed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111-31 --locoid 4012 --swversion DE.1.0.9.0 --startMP 204:491 --initTime 2017-12-31T04:57:43 --startdatetime 2017-12-31T05:12:28 --delay 49 --endMP 204:491 --enddatetime 2017-12-31T05:39:44 --enforcementcount 0 &gt;&gt;%USERPROFILE%\Documents\GitHub\eaglep3-reporting\EC\2017-12-31-refined-times.txt</v>
      </c>
      <c r="AI24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{"issue":{"subject":"","project_id":79,"tracker_id":40,"status_id":1,"priority_id":2,"assigned_to_id":338,"start_date":"2017-12-31","description":"","custom_fields":[{"id":1,"name":"Subdivision","value":"EC"},{"id":4,"name":"Milepost","value":"0.0491"},{"id":17,"name":"Train ID","value":"111-31"},{"id":16,"name":"Locomotive ID","value":"4012"},{"id":130,"name":"Impact","value":""},{"id":150,"name":"Time of Event (Mountain Time)","value":"05:39:44"},{"id":151,"name":"Denver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4012 --day 2017-12-31</v>
      </c>
      <c r="AN24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12:39:44"},{"id":29,"name":"Sharepoint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2017-12-31T03:57:43-0700',mode:absolute,to:'2017-12-31T06:39:44-0700'))&amp;_a=(columns:!('Message%20ID',Summary),filters:!(),index:'emp_*',interval:auto,query:(query_string:(analyze_wildcard:!t,query:'%22rtdc.l.rtdc.4012%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669</v>
      </c>
      <c r="B25" s="225">
        <v>4012</v>
      </c>
      <c r="C25" s="227" t="s">
        <v>192</v>
      </c>
      <c r="D25" s="227" t="s">
        <v>866</v>
      </c>
      <c r="E25" s="226">
        <v>43100.209502314814</v>
      </c>
      <c r="F25" s="226">
        <v>43100.216990740744</v>
      </c>
      <c r="G25" s="225">
        <v>595</v>
      </c>
      <c r="H25" s="227" t="s">
        <v>590</v>
      </c>
      <c r="I25" s="226">
        <v>43100.235925925925</v>
      </c>
      <c r="J25" s="225">
        <v>0</v>
      </c>
      <c r="K25" s="237" t="str">
        <f>IF(ISEVEN(B25),(B25-1)&amp;"/"&amp;B25,B25&amp;"/"&amp;(B25+1))</f>
        <v>4011/4012</v>
      </c>
      <c r="L25" s="245" t="str">
        <f>VLOOKUP(A25,'Trips&amp;Operators'!$C$1:$G$99911,5,FALSE)</f>
        <v>THOMPSON LESTER</v>
      </c>
      <c r="M25" s="224">
        <f>I25-F25</f>
        <v>1.8935185180453118E-2</v>
      </c>
      <c r="N25" s="225"/>
      <c r="O25" s="225"/>
      <c r="P25" s="225">
        <f>24*60*SUM($M25:$M25)</f>
        <v>27.26666665985249</v>
      </c>
      <c r="Q25" s="228"/>
      <c r="R25" s="242" t="s">
        <v>1049</v>
      </c>
      <c r="S25" s="249">
        <f>1/IF(AG25="EC",12,1)*SUM(U24:U24+U25)</f>
        <v>0.75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9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-12-31T04:01:41-0700',mode:absolute,to:'2017-12-31T06:39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247" t="str">
        <f>IF(AA25&lt;VLOOKUP(AG25,Variables!$AC$3:$AD$8,2,FALSE),"Y","N")</f>
        <v>Y</v>
      </c>
      <c r="X25" s="247">
        <f>VALUE(LEFT(AD25,4))-VALUE(LEFT(AD24,4))</f>
        <v>0</v>
      </c>
      <c r="Y25" s="247">
        <f>RIGHT(D25,LEN(D25)-4)/10000</f>
        <v>3.7157</v>
      </c>
      <c r="Z25" s="247">
        <f>RIGHT(H25,LEN(H25)-4)/10000</f>
        <v>23.327999999999999</v>
      </c>
      <c r="AA25" s="247">
        <f>ABS(Z25-Y25)</f>
        <v>19.612299999999998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111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/stypes="app*4012*20171231*"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111-31 --locoid 4012 --swversion DE.1.0.9.0 --startMP 204:37157 --initTime 2017-12-31T05:01:41 --startdatetime 2017-12-31T05:12:28 --delay 595 --endMP 204:233280 --enddatetime 2017-12-31T05:39:44 --enforcementcount 0 &gt;&gt;%USERPROFILE%\Documents\GitHub\eaglep3-reporting\EC\2017-12-31-refined-times.txt</v>
      </c>
      <c r="AI25" s="238" t="str">
        <f t="shared" si="6"/>
        <v>echo {"issue":{"subject":"Poor GPS at DUS","project_id":79,"tracker_id":40,"status_id":1,"priority_id":2,"assigned_to_id":338,"start_date":"2017-12-31","description":"","custom_fields":[{"id":1,"name":"Subdivision","value":"EC"},{"id":4,"name":"Milepost","value":"23.328"},{"id":17,"name":"Train ID","value":"111-31"},{"id":16,"name":"Locomotive ID","value":"4012"},{"id":130,"name":"Impact","value":""},{"id":150,"name":"Time of Event (Mountain Time)","value":"05:39:44"},{"id":151,"name":"Denver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4012 --day 2017-12-31</v>
      </c>
      <c r="AN25" s="241" t="str">
        <f t="shared" si="8"/>
        <v>echo {"issue":{"subject":"Poor GPS at DUS","project_id":30,"tracker_id":4,"status_id":1,"priority_id":1,"assigned_to_id":10,"start_date":"2017-12-31","description":"","custom_fields":[{"id":30,"name":"Category","value":"Issue"},{"id":3,"name":"Functional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12:39:44"},{"id":29,"name":"Sharepoint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2017-12-31T04:01:41-0700',mode:absolute,to:'2017-12-31T06:39:44-0700'))&amp;_a=(columns:!('Message%20ID',Summary),filters:!(),index:'emp_*',interval:auto,query:(query_string:(analyze_wildcard:!t,query:'%22rtdc.l.rtdc.4012%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671</v>
      </c>
      <c r="B26" s="225">
        <v>4011</v>
      </c>
      <c r="C26" s="227" t="s">
        <v>192</v>
      </c>
      <c r="D26" s="227" t="s">
        <v>867</v>
      </c>
      <c r="E26" s="226">
        <v>43100.246458333335</v>
      </c>
      <c r="F26" s="226">
        <v>43100.248194444444</v>
      </c>
      <c r="G26" s="225">
        <v>49</v>
      </c>
      <c r="H26" s="227" t="s">
        <v>652</v>
      </c>
      <c r="I26" s="226">
        <v>43100.275208333333</v>
      </c>
      <c r="J26" s="225">
        <v>0</v>
      </c>
      <c r="K26" s="237" t="str">
        <f>IF(ISEVEN(B26),(B26-1)&amp;"/"&amp;B26,B26&amp;"/"&amp;(B26+1))</f>
        <v>4011/4012</v>
      </c>
      <c r="L26" s="245" t="str">
        <f>VLOOKUP(A26,'Trips&amp;Operators'!$C$1:$G$99911,5,FALSE)</f>
        <v>THOMPSON LESTER</v>
      </c>
      <c r="M26" s="224">
        <f>I26-F26</f>
        <v>2.7013888888177462E-2</v>
      </c>
      <c r="N26" s="225">
        <f>24*60*SUM($M26:$M26)</f>
        <v>38.899999998975545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-12-31T04:54:54-0700',mode:absolute,to:'2017-12-31T07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23.297599999999999</v>
      </c>
      <c r="Z26" s="247">
        <f>RIGHT(H26,LEN(H26)-4)/10000</f>
        <v>1.78E-2</v>
      </c>
      <c r="AA26" s="247">
        <f>ABS(Z26-Y26)</f>
        <v>23.279799999999998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112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s3://rtdc.mdm.uploadarchive.raw/RTDC4011/ "%USERPROFILE%\AppData\Local\Temp\OnboardLogs"\RTDC4011\2017-12-31 --exclude "*" --recursive --include "*20171231*" &amp; "%USERPROFILE%\Documents\GitHub\mrs-test-scripts\Headless Mode &amp; Sideloading\WalkAndUnGZ.bat" "%USERPROFILE%\AppData\Local\Temp\OnboardLogs"\RTDC4011\2017-12-31 &amp; 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/stypes="app*4011*20171231*"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112-31 --locoid 4011 --swversion DE.1.0.9.0 --startMP 204:232976 --initTime 2017-12-31T05:54:54 --startdatetime 2017-12-31T05:57:24 --delay 49 --endMP 204:178 --enddatetime 2017-12-31T06:36:18 --enforcementcount 0 &gt;&gt;%USERPROFILE%\Documents\GitHub\eaglep3-reporting\EC\2017-12-31-refined-times.txt</v>
      </c>
      <c r="AI26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{"issue":{"subject":"","project_id":79,"tracker_id":40,"status_id":1,"priority_id":2,"assigned_to_id":338,"start_date":"2017-12-31","description":"","custom_fields":[{"id":1,"name":"Subdivision","value":"EC"},{"id":4,"name":"Milepost","value":"0.0178"},{"id":17,"name":"Train ID","value":"112-31"},{"id":16,"name":"Locomotive ID","value":"4011"},{"id":130,"name":"Impact","value":""},{"id":150,"name":"Time of Event (Mountain Time)","value":"06:36:18"},{"id":151,"name":"Denver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4011 --day 2017-12-31</v>
      </c>
      <c r="AN26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13:36:18"},{"id":29,"name":"Sharepoint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2017-12-31T04:54:54-0700',mode:absolute,to:'2017-12-31T07:36:18-0700'))&amp;_a=(columns:!('Message%20ID',Summary),filters:!(),index:'emp_*',interval:auto,query:(query_string:(analyze_wildcard:!t,query:'%22rtdc.l.rtdc.4011%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711</v>
      </c>
      <c r="B27" s="225">
        <v>4002</v>
      </c>
      <c r="C27" s="227" t="s">
        <v>192</v>
      </c>
      <c r="D27" s="227" t="s">
        <v>632</v>
      </c>
      <c r="E27" s="226">
        <v>43100.215011574073</v>
      </c>
      <c r="F27" s="226">
        <v>43100.218935185185</v>
      </c>
      <c r="G27" s="225">
        <v>84</v>
      </c>
      <c r="H27" s="227" t="s">
        <v>868</v>
      </c>
      <c r="I27" s="226">
        <v>43100.243425925924</v>
      </c>
      <c r="J27" s="225">
        <v>0</v>
      </c>
      <c r="K27" s="237" t="str">
        <f>IF(ISEVEN(B27),(B27-1)&amp;"/"&amp;B27,B27&amp;"/"&amp;(B27+1))</f>
        <v>4001/4002</v>
      </c>
      <c r="L27" s="245" t="str">
        <f>VLOOKUP(A27,'Trips&amp;Operators'!$C$1:$G$99911,5,FALSE)</f>
        <v>WILLIAMS DONTE</v>
      </c>
      <c r="M27" s="224">
        <f>I27-F27</f>
        <v>2.4490740739565808E-2</v>
      </c>
      <c r="N27" s="225">
        <f>24*60*SUM($M27:$M27)</f>
        <v>35.266666664974764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-12-31T04:09:37-0700',mode:absolute,to:'2017-12-31T06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5.1499999999999997E-2</v>
      </c>
      <c r="Z27" s="247">
        <f>RIGHT(H27,LEN(H27)-4)/10000</f>
        <v>23.325099999999999</v>
      </c>
      <c r="AA27" s="247">
        <f>ABS(Z27-Y27)</f>
        <v>23.273599999999998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113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s3://rtdc.mdm.uploadarchive.raw/RTDC4002/ "%USERPROFILE%\AppData\Local\Temp\OnboardLogs"\RTDC4002\2017-12-31 --exclude "*" --recursive --include "*20171231*" &amp; "%USERPROFILE%\Documents\GitHub\mrs-test-scripts\Headless Mode &amp; Sideloading\WalkAndUnGZ.bat" "%USERPROFILE%\AppData\Local\Temp\OnboardLogs"\RTDC4002\2017-12-31 &amp; aws s3 cp s3://rtdc.mdm.uploadarchive.raw/RTDC4002/ "%USERPROFILE%\AppData\Local\Temp\OnboardLogs"\RTDC4002\2018-01-01 --exclude "*" --recursive --include "*20180101*" &amp; "%USERPROFILE%\Documents\GitHub\mrs-test-scripts\Headless Mode &amp; Sideloading\WalkAndUnGZ.bat" "%USERPROFILE%\AppData\Local\Temp\OnboardLogs"\RTDC4002\2018-01-01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/stypes="app*4002*20171231*" /stext=" 12:.+((SYSTEM_STATE.+slice.+state.+changed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113-31 --locoid 4002 --swversion DE.1.0.9.0 --startMP 204:515 --initTime 2017-12-31T05:09:37 --startdatetime 2017-12-31T05:15:16 --delay 84 --endMP 204:233251 --enddatetime 2017-12-31T05:50:32 --enforcementcount 0 &gt;&gt;%USERPROFILE%\Documents\GitHub\eaglep3-reporting\EC\2017-12-31-refined-times.txt</v>
      </c>
      <c r="AI27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{"issue":{"subject":"","project_id":79,"tracker_id":40,"status_id":1,"priority_id":2,"assigned_to_id":338,"start_date":"2017-12-31","description":"","custom_fields":[{"id":1,"name":"Subdivision","value":"EC"},{"id":4,"name":"Milepost","value":"23.3251"},{"id":17,"name":"Train ID","value":"113-31"},{"id":16,"name":"Locomotive ID","value":"4002"},{"id":130,"name":"Impact","value":""},{"id":150,"name":"Time of Event (Mountain Time)","value":"05:50:32"},{"id":151,"name":"Denver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4002 --day 2017-12-31</v>
      </c>
      <c r="AN27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12:50:32"},{"id":29,"name":"Sharepoint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2017-12-31T04:09:37-0700',mode:absolute,to:'2017-12-31T06:50:32-0700'))&amp;_a=(columns:!('Message%20ID',Summary),filters:!(),index:'emp_*',interval:auto,query:(query_string:(analyze_wildcard:!t,query:'%22rtdc.l.rtdc.4002%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719</v>
      </c>
      <c r="B28" s="225">
        <v>4001</v>
      </c>
      <c r="C28" s="227" t="s">
        <v>192</v>
      </c>
      <c r="D28" s="227" t="s">
        <v>558</v>
      </c>
      <c r="E28" s="226">
        <v>43100.255023148151</v>
      </c>
      <c r="F28" s="226">
        <v>43100.258506944447</v>
      </c>
      <c r="G28" s="225">
        <v>76</v>
      </c>
      <c r="H28" s="227" t="s">
        <v>506</v>
      </c>
      <c r="I28" s="226">
        <v>43100.284722222219</v>
      </c>
      <c r="J28" s="225">
        <v>0</v>
      </c>
      <c r="K28" s="237" t="str">
        <f>IF(ISEVEN(B28),(B28-1)&amp;"/"&amp;B28,B28&amp;"/"&amp;(B28+1))</f>
        <v>4001/4002</v>
      </c>
      <c r="L28" s="245" t="str">
        <f>VLOOKUP(A28,'Trips&amp;Operators'!$C$1:$G$99911,5,FALSE)</f>
        <v>WILLIAMS DONTE</v>
      </c>
      <c r="M28" s="224">
        <f>I28-F28</f>
        <v>2.6215277772280388E-2</v>
      </c>
      <c r="N28" s="225">
        <f>24*60*SUM($M28:$M28)</f>
        <v>37.749999992083758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-12-31T05:07:14-0700',mode:absolute,to:'2017-12-31T07:50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23.293399999999998</v>
      </c>
      <c r="Z28" s="247">
        <f>RIGHT(H28,LEN(H28)-4)/10000</f>
        <v>1.9400000000000001E-2</v>
      </c>
      <c r="AA28" s="247">
        <f>ABS(Z28-Y28)</f>
        <v>23.273999999999997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114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s3://rtdc.mdm.uploadarchive.raw/RTDC4001/ "%USERPROFILE%\AppData\Local\Temp\OnboardLogs"\RTDC4001\2017-12-31 --exclude "*" --recursive --include "*20171231*" &amp; "%USERPROFILE%\Documents\GitHub\mrs-test-scripts\Headless Mode &amp; Sideloading\WalkAndUnGZ.bat" "%USERPROFILE%\AppData\Local\Temp\OnboardLogs"\RTDC4001\2017-12-31 &amp; aws s3 cp s3://rtdc.mdm.uploadarchive.raw/RTDC4001/ "%USERPROFILE%\AppData\Local\Temp\OnboardLogs"\RTDC4001\2018-01-01 --exclude "*" --recursive --include "*20180101*" &amp; "%USERPROFILE%\Documents\GitHub\mrs-test-scripts\Headless Mode &amp; Sideloading\WalkAndUnGZ.bat" "%USERPROFILE%\AppData\Local\Temp\OnboardLogs"\RTDC4001\2018-01-01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/stypes="app*4001*20171231*" /stext=" 13:.+((SYSTEM_STATE.+slice.+state.+changed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114-31 --locoid 4001 --swversion DE.1.0.9.0 --startMP 204:232934 --initTime 2017-12-31T06:07:14 --startdatetime 2017-12-31T06:12:15 --delay 76 --endMP 204:194 --enddatetime 2017-12-31T06:50:00 --enforcementcount 0 &gt;&gt;%USERPROFILE%\Documents\GitHub\eaglep3-reporting\EC\2017-12-31-refined-times.txt</v>
      </c>
      <c r="AI28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{"issue":{"subject":"","project_id":79,"tracker_id":40,"status_id":1,"priority_id":2,"assigned_to_id":338,"start_date":"2017-12-31","description":"","custom_fields":[{"id":1,"name":"Subdivision","value":"EC"},{"id":4,"name":"Milepost","value":"0.0194"},{"id":17,"name":"Train ID","value":"114-31"},{"id":16,"name":"Locomotive ID","value":"4001"},{"id":130,"name":"Impact","value":""},{"id":150,"name":"Time of Event (Mountain Time)","value":"06:50:00"},{"id":151,"name":"Denver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4001 --day 2017-12-31</v>
      </c>
      <c r="AN28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13:50:00"},{"id":29,"name":"Sharepoint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2017-12-31T05:07:14-0700',mode:absolute,to:'2017-12-31T07:50:00-0700'))&amp;_a=(columns:!('Message%20ID',Summary),filters:!(),index:'emp_*',interval:auto,query:(query_string:(analyze_wildcard:!t,query:'%22rtdc.l.rtdc.4001%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713</v>
      </c>
      <c r="B29" s="225">
        <v>4018</v>
      </c>
      <c r="C29" s="227" t="s">
        <v>192</v>
      </c>
      <c r="D29" s="227" t="s">
        <v>641</v>
      </c>
      <c r="E29" s="226">
        <v>43100.225925925923</v>
      </c>
      <c r="F29" s="226">
        <v>43100.229328703703</v>
      </c>
      <c r="G29" s="225">
        <v>43</v>
      </c>
      <c r="H29" s="227" t="s">
        <v>594</v>
      </c>
      <c r="I29" s="226">
        <v>43100.254965277774</v>
      </c>
      <c r="J29" s="225">
        <v>0</v>
      </c>
      <c r="K29" s="237" t="str">
        <f>IF(ISEVEN(B29),(B29-1)&amp;"/"&amp;B29,B29&amp;"/"&amp;(B29+1))</f>
        <v>4017/4018</v>
      </c>
      <c r="L29" s="245" t="str">
        <f>VLOOKUP(A29,'Trips&amp;Operators'!$C$1:$G$99911,5,FALSE)</f>
        <v>MAELZER KURT</v>
      </c>
      <c r="M29" s="224">
        <f>I29-F29</f>
        <v>2.5636574071540963E-2</v>
      </c>
      <c r="N29" s="225">
        <f>24*60*SUM($M29:$M29)</f>
        <v>36.916666663018987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-12-31T04:25:20-0700',mode:absolute,to:'2017-12-31T07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4.9099999999999998E-2</v>
      </c>
      <c r="Z29" s="247">
        <f>RIGHT(H29,LEN(H29)-4)/10000</f>
        <v>23.331</v>
      </c>
      <c r="AA29" s="247">
        <f>ABS(Z29-Y29)</f>
        <v>23.2819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115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/stypes="app*4018*20171231*"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115-31 --locoid 4018 --swversion DE.1.0.9.0 --startMP 204:491 --initTime 2017-12-31T05:25:20 --startdatetime 2017-12-31T05:30:14 --delay 43 --endMP 204:233310 --enddatetime 2017-12-31T06:07:09 --enforcementcount 0 &gt;&gt;%USERPROFILE%\Documents\GitHub\eaglep3-reporting\EC\2017-12-31-refined-times.txt</v>
      </c>
      <c r="AI29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{"issue":{"subject":"","project_id":79,"tracker_id":40,"status_id":1,"priority_id":2,"assigned_to_id":338,"start_date":"2017-12-31","description":"","custom_fields":[{"id":1,"name":"Subdivision","value":"EC"},{"id":4,"name":"Milepost","value":"23.331"},{"id":17,"name":"Train ID","value":"115-31"},{"id":16,"name":"Locomotive ID","value":"4018"},{"id":130,"name":"Impact","value":""},{"id":150,"name":"Time of Event (Mountain Time)","value":"06:07:09"},{"id":151,"name":"Denver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4018 --day 2017-12-31</v>
      </c>
      <c r="AN29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13:07:09"},{"id":29,"name":"Sharepoint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2017-12-31T04:25:20-0700',mode:absolute,to:'2017-12-31T07:07:09-0700'))&amp;_a=(columns:!('Message%20ID',Summary),filters:!(),index:'emp_*',interval:auto,query:(query_string:(analyze_wildcard:!t,query:'%22rtdc.l.rtdc.4018%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722</v>
      </c>
      <c r="B30" s="225">
        <v>4017</v>
      </c>
      <c r="C30" s="227" t="s">
        <v>192</v>
      </c>
      <c r="D30" s="227" t="s">
        <v>549</v>
      </c>
      <c r="E30" s="226">
        <v>43100.265509259261</v>
      </c>
      <c r="F30" s="226">
        <v>43100.269143518519</v>
      </c>
      <c r="G30" s="225">
        <v>47</v>
      </c>
      <c r="H30" s="227" t="s">
        <v>563</v>
      </c>
      <c r="I30" s="226">
        <v>43100.294652777775</v>
      </c>
      <c r="J30" s="225">
        <v>0</v>
      </c>
      <c r="K30" s="237" t="str">
        <f>IF(ISEVEN(B30),(B30-1)&amp;"/"&amp;B30,B30&amp;"/"&amp;(B30+1))</f>
        <v>4017/4018</v>
      </c>
      <c r="L30" s="245" t="str">
        <f>VLOOKUP(A30,'Trips&amp;Operators'!$C$1:$G$99911,5,FALSE)</f>
        <v>MAELZER KURT</v>
      </c>
      <c r="M30" s="224">
        <f>I30-F30</f>
        <v>2.5509259256068617E-2</v>
      </c>
      <c r="N30" s="225">
        <f>24*60*SUM($M30:$M30)</f>
        <v>36.733333328738809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-12-31T05:22:20-0700',mode:absolute,to:'2017-12-31T08:04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23.299800000000001</v>
      </c>
      <c r="Z30" s="247">
        <f>RIGHT(H30,LEN(H30)-4)/10000</f>
        <v>1.7600000000000001E-2</v>
      </c>
      <c r="AA30" s="247">
        <f>ABS(Z30-Y30)</f>
        <v>23.2822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116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s3://rtdc.mdm.uploadarchive.raw/RTDC4017/ "%USERPROFILE%\AppData\Local\Temp\OnboardLogs"\RTDC4017\2017-12-31 --exclude "*" --recursive --include "*20171231*" &amp; "%USERPROFILE%\Documents\GitHub\mrs-test-scripts\Headless Mode &amp; Sideloading\WalkAndUnGZ.bat" "%USERPROFILE%\AppData\Local\Temp\OnboardLogs"\RTDC4017\2017-12-31 &amp; aws s3 cp s3://rtdc.mdm.uploadarchive.raw/RTDC4017/ "%USERPROFILE%\AppData\Local\Temp\OnboardLogs"\RTDC4017\2018-01-01 --exclude "*" --recursive --include "*20180101*" &amp; "%USERPROFILE%\Documents\GitHub\mrs-test-scripts\Headless Mode &amp; Sideloading\WalkAndUnGZ.bat" "%USERPROFILE%\AppData\Local\Temp\OnboardLogs"\RTDC4017\2018-01-01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/stypes="app*4017*20171231*"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116-31 --locoid 4017 --swversion DE.1.0.9.0 --startMP 204:232998 --initTime 2017-12-31T06:22:20 --startdatetime 2017-12-31T06:27:34 --delay 47 --endMP 204:176 --enddatetime 2017-12-31T07:04:18 --enforcementcount 0 &gt;&gt;%USERPROFILE%\Documents\GitHub\eaglep3-reporting\EC\2017-12-31-refined-times.txt</v>
      </c>
      <c r="AI30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{"issue":{"subject":"","project_id":79,"tracker_id":40,"status_id":1,"priority_id":2,"assigned_to_id":338,"start_date":"2017-12-31","description":"","custom_fields":[{"id":1,"name":"Subdivision","value":"EC"},{"id":4,"name":"Milepost","value":"0.0176"},{"id":17,"name":"Train ID","value":"116-31"},{"id":16,"name":"Locomotive ID","value":"4017"},{"id":130,"name":"Impact","value":""},{"id":150,"name":"Time of Event (Mountain Time)","value":"07:04:18"},{"id":151,"name":"Denver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4017 --day 2017-12-31</v>
      </c>
      <c r="AN30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14:04:18"},{"id":29,"name":"Sharepoint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2017-12-31T05:22:20-0700',mode:absolute,to:'2017-12-31T08:04:18-0700'))&amp;_a=(columns:!('Message%20ID',Summary),filters:!(),index:'emp_*',interval:auto,query:(query_string:(analyze_wildcard:!t,query:'%22rtdc.l.rtdc.4017%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716</v>
      </c>
      <c r="B31" s="225">
        <v>4016</v>
      </c>
      <c r="C31" s="227" t="s">
        <v>192</v>
      </c>
      <c r="D31" s="227" t="s">
        <v>869</v>
      </c>
      <c r="E31" s="226">
        <v>43100.23814814815</v>
      </c>
      <c r="F31" s="226">
        <v>43100.239756944444</v>
      </c>
      <c r="G31" s="225">
        <v>77</v>
      </c>
      <c r="H31" s="227" t="s">
        <v>870</v>
      </c>
      <c r="I31" s="226">
        <v>43100.26394675926</v>
      </c>
      <c r="J31" s="225">
        <v>0</v>
      </c>
      <c r="K31" s="237" t="str">
        <f>IF(ISEVEN(B31),(B31-1)&amp;"/"&amp;B31,B31&amp;"/"&amp;(B31+1))</f>
        <v>4015/4016</v>
      </c>
      <c r="L31" s="245" t="str">
        <f>VLOOKUP(A31,'Trips&amp;Operators'!$C$1:$G$99911,5,FALSE)</f>
        <v>LAMAR NEKESHA</v>
      </c>
      <c r="M31" s="224">
        <f>I31-F31</f>
        <v>2.4189814816054422E-2</v>
      </c>
      <c r="N31" s="225">
        <f>24*60*SUM($M31:$M31)</f>
        <v>34.833333335118368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-12-31T04:42:56-0700',mode:absolute,to:'2017-12-31T07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4.9799999999999997E-2</v>
      </c>
      <c r="Z31" s="247">
        <f>RIGHT(H31,LEN(H31)-4)/10000</f>
        <v>23.328600000000002</v>
      </c>
      <c r="AA31" s="247">
        <f>ABS(Z31-Y31)</f>
        <v>23.2788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117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s3://rtdc.mdm.uploadarchive.raw/RTDC4016/ "%USERPROFILE%\AppData\Local\Temp\OnboardLogs"\RTDC4016\2017-12-31 --exclude "*" --recursive --include "*20171231*" &amp; "%USERPROFILE%\Documents\GitHub\mrs-test-scripts\Headless Mode &amp; Sideloading\WalkAndUnGZ.bat" "%USERPROFILE%\AppData\Local\Temp\OnboardLogs"\RTDC4016\2017-12-31 &amp; aws s3 cp s3://rtdc.mdm.uploadarchive.raw/RTDC4016/ "%USERPROFILE%\AppData\Local\Temp\OnboardLogs"\RTDC4016\2018-01-01 --exclude "*" --recursive --include "*20180101*" &amp; "%USERPROFILE%\Documents\GitHub\mrs-test-scripts\Headless Mode &amp; Sideloading\WalkAndUnGZ.bat" "%USERPROFILE%\AppData\Local\Temp\OnboardLogs"\RTDC4016\2018-01-01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/stypes="app*4016*20171231*"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117-31 --locoid 4016 --swversion DE.1.0.9.0 --startMP 204:498 --initTime 2017-12-31T05:42:56 --startdatetime 2017-12-31T05:45:15 --delay 77 --endMP 204:233286 --enddatetime 2017-12-31T06:20:05 --enforcementcount 0 &gt;&gt;%USERPROFILE%\Documents\GitHub\eaglep3-reporting\EC\2017-12-31-refined-times.txt</v>
      </c>
      <c r="AI31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{"issue":{"subject":"","project_id":79,"tracker_id":40,"status_id":1,"priority_id":2,"assigned_to_id":338,"start_date":"2017-12-31","description":"","custom_fields":[{"id":1,"name":"Subdivision","value":"EC"},{"id":4,"name":"Milepost","value":"23.3286"},{"id":17,"name":"Train ID","value":"117-31"},{"id":16,"name":"Locomotive ID","value":"4016"},{"id":130,"name":"Impact","value":""},{"id":150,"name":"Time of Event (Mountain Time)","value":"06:20:05"},{"id":151,"name":"Denver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4016 --day 2017-12-31</v>
      </c>
      <c r="AN31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13:20:05"},{"id":29,"name":"Sharepoint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2017-12-31T04:42:56-0700',mode:absolute,to:'2017-12-31T07:20:05-0700'))&amp;_a=(columns:!('Message%20ID',Summary),filters:!(),index:'emp_*',interval:auto,query:(query_string:(analyze_wildcard:!t,query:'%22rtdc.l.rtdc.4016%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672</v>
      </c>
      <c r="B32" s="225">
        <v>4015</v>
      </c>
      <c r="C32" s="227" t="s">
        <v>192</v>
      </c>
      <c r="D32" s="227" t="s">
        <v>871</v>
      </c>
      <c r="E32" s="226">
        <v>43100.266250000001</v>
      </c>
      <c r="F32" s="226">
        <v>43100.279386574075</v>
      </c>
      <c r="G32" s="225">
        <v>56</v>
      </c>
      <c r="H32" s="227" t="s">
        <v>872</v>
      </c>
      <c r="I32" s="226">
        <v>43100.30741898148</v>
      </c>
      <c r="J32" s="225">
        <v>0</v>
      </c>
      <c r="K32" s="237" t="str">
        <f>IF(ISEVEN(B32),(B32-1)&amp;"/"&amp;B32,B32&amp;"/"&amp;(B32+1))</f>
        <v>4015/4016</v>
      </c>
      <c r="L32" s="245" t="str">
        <f>VLOOKUP(A32,'Trips&amp;Operators'!$C$1:$G$99911,5,FALSE)</f>
        <v>LAMAR NEKESHA</v>
      </c>
      <c r="M32" s="224">
        <f>I32-F32</f>
        <v>2.8032407404680271E-2</v>
      </c>
      <c r="N32" s="225">
        <f>24*60*SUM($M32:$M32)</f>
        <v>40.36666666273959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-12-31T05:23:24-0700',mode:absolute,to:'2017-12-31T08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23.297999999999998</v>
      </c>
      <c r="Z32" s="247">
        <f>RIGHT(H32,LEN(H32)-4)/10000</f>
        <v>1.72E-2</v>
      </c>
      <c r="AA32" s="247">
        <f>ABS(Z32-Y32)</f>
        <v>23.280799999999999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118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s3://rtdc.mdm.uploadarchive.raw/RTDC4015/ "%USERPROFILE%\AppData\Local\Temp\OnboardLogs"\RTDC4015\2017-12-31 --exclude "*" --recursive --include "*20171231*" &amp; "%USERPROFILE%\Documents\GitHub\mrs-test-scripts\Headless Mode &amp; Sideloading\WalkAndUnGZ.bat" "%USERPROFILE%\AppData\Local\Temp\OnboardLogs"\RTDC4015\2017-12-31 &amp; 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/stypes="app*4015*20171231*"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118-31 --locoid 4015 --swversion DE.1.0.9.0 --startMP 204:232980 --initTime 2017-12-31T06:23:24 --startdatetime 2017-12-31T06:42:19 --delay 56 --endMP 204:172 --enddatetime 2017-12-31T07:22:41 --enforcementcount 0 &gt;&gt;%USERPROFILE%\Documents\GitHub\eaglep3-reporting\EC\2017-12-31-refined-times.txt</v>
      </c>
      <c r="AI32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{"issue":{"subject":"","project_id":79,"tracker_id":40,"status_id":1,"priority_id":2,"assigned_to_id":338,"start_date":"2017-12-31","description":"","custom_fields":[{"id":1,"name":"Subdivision","value":"EC"},{"id":4,"name":"Milepost","value":"0.0172"},{"id":17,"name":"Train ID","value":"118-31"},{"id":16,"name":"Locomotive ID","value":"4015"},{"id":130,"name":"Impact","value":""},{"id":150,"name":"Time of Event (Mountain Time)","value":"07:22:41"},{"id":151,"name":"Denver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4015 --day 2017-12-31</v>
      </c>
      <c r="AN32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14:22:41"},{"id":29,"name":"Sharepoint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2017-12-31T05:23:24-0700',mode:absolute,to:'2017-12-31T08:22:41-0700'))&amp;_a=(columns:!('Message%20ID',Summary),filters:!(),index:'emp_*',interval:auto,query:(query_string:(analyze_wildcard:!t,query:'%22rtdc.l.rtdc.4015%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718</v>
      </c>
      <c r="B33" s="225">
        <v>4034</v>
      </c>
      <c r="C33" s="227" t="s">
        <v>192</v>
      </c>
      <c r="D33" s="227" t="s">
        <v>524</v>
      </c>
      <c r="E33" s="226">
        <v>43100.244826388887</v>
      </c>
      <c r="F33" s="226">
        <v>43100.250173611108</v>
      </c>
      <c r="G33" s="225">
        <v>58</v>
      </c>
      <c r="H33" s="227" t="s">
        <v>873</v>
      </c>
      <c r="I33" s="226">
        <v>43100.27480324074</v>
      </c>
      <c r="J33" s="225">
        <v>0</v>
      </c>
      <c r="K33" s="237" t="str">
        <f>IF(ISEVEN(B33),(B33-1)&amp;"/"&amp;B33,B33&amp;"/"&amp;(B33+1))</f>
        <v>4033/4034</v>
      </c>
      <c r="L33" s="245" t="str">
        <f>VLOOKUP(A33,'Trips&amp;Operators'!$C$1:$G$99911,5,FALSE)</f>
        <v>LOPES KIMBERLY</v>
      </c>
      <c r="M33" s="224">
        <f>I33-F33</f>
        <v>2.4629629631817807E-2</v>
      </c>
      <c r="N33" s="225">
        <f>24*60*SUM($M33:$M33)</f>
        <v>35.466666669817641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-12-31T04:52:33-0700',mode:absolute,to:'2017-12-31T07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5.2200000000000003E-2</v>
      </c>
      <c r="Z33" s="247">
        <f>RIGHT(H33,LEN(H33)-4)/10000</f>
        <v>23.321000000000002</v>
      </c>
      <c r="AA33" s="247">
        <f>ABS(Z33-Y33)</f>
        <v>23.268800000000002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119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 &amp; aws s3 cp s3://rtdc.mdm.uploadarchive.raw/RTDC4034/ "%USERPROFILE%\AppData\Local\Temp\OnboardLogs"\RTDC4034\2018-01-01 --exclude "*" --recursive --include "*20180101*" &amp; "%USERPROFILE%\Documents\GitHub\mrs-test-scripts\Headless Mode &amp; Sideloading\WalkAndUnGZ.bat" "%USERPROFILE%\AppData\Local\Temp\OnboardLogs"\RTDC4034\2018-01-01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/stypes="app*4034*20171231*"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119-31 --locoid 4034 --swversion DE.1.0.9.0 --startMP 204:522 --initTime 2017-12-31T05:52:33 --startdatetime 2017-12-31T06:00:15 --delay 58 --endMP 204:233210 --enddatetime 2017-12-31T06:35:43 --enforcementcount 0 &gt;&gt;%USERPROFILE%\Documents\GitHub\eaglep3-reporting\EC\2017-12-31-refined-times.txt</v>
      </c>
      <c r="AI33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{"issue":{"subject":"","project_id":79,"tracker_id":40,"status_id":1,"priority_id":2,"assigned_to_id":338,"start_date":"2017-12-31","description":"","custom_fields":[{"id":1,"name":"Subdivision","value":"EC"},{"id":4,"name":"Milepost","value":"23.321"},{"id":17,"name":"Train ID","value":"119-31"},{"id":16,"name":"Locomotive ID","value":"4034"},{"id":130,"name":"Impact","value":""},{"id":150,"name":"Time of Event (Mountain Time)","value":"06:35:43"},{"id":151,"name":"Denver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4034 --day 2017-12-31</v>
      </c>
      <c r="AN33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13:35:43"},{"id":29,"name":"Sharepoint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2017-12-31T04:52:33-0700',mode:absolute,to:'2017-12-31T07:35:43-0700'))&amp;_a=(columns:!('Message%20ID',Summary),filters:!(),index:'emp_*',interval:auto,query:(query_string:(analyze_wildcard:!t,query:'%22rtdc.l.rtdc.4034%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725</v>
      </c>
      <c r="B34" s="225">
        <v>4033</v>
      </c>
      <c r="C34" s="227" t="s">
        <v>192</v>
      </c>
      <c r="D34" s="227" t="s">
        <v>874</v>
      </c>
      <c r="E34" s="226">
        <v>43100.276805555557</v>
      </c>
      <c r="F34" s="226">
        <v>43100.28974537037</v>
      </c>
      <c r="G34" s="225">
        <v>79</v>
      </c>
      <c r="H34" s="227" t="s">
        <v>502</v>
      </c>
      <c r="I34" s="226">
        <v>43100.316446759258</v>
      </c>
      <c r="J34" s="225">
        <v>0</v>
      </c>
      <c r="K34" s="237" t="str">
        <f>IF(ISEVEN(B34),(B34-1)&amp;"/"&amp;B34,B34&amp;"/"&amp;(B34+1))</f>
        <v>4033/4034</v>
      </c>
      <c r="L34" s="245" t="str">
        <f>VLOOKUP(A34,'Trips&amp;Operators'!$C$1:$G$99911,5,FALSE)</f>
        <v>LOPES KIMBERLY</v>
      </c>
      <c r="M34" s="224">
        <f>I34-F34</f>
        <v>2.6701388887886424E-2</v>
      </c>
      <c r="N34" s="225">
        <f>24*60*SUM($M34:$M34)</f>
        <v>38.44999999855645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-12-31T05:38:36-0700',mode:absolute,to:'2017-12-31T08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23.288699999999999</v>
      </c>
      <c r="Z34" s="247">
        <f>RIGHT(H34,LEN(H34)-4)/10000</f>
        <v>2.0500000000000001E-2</v>
      </c>
      <c r="AA34" s="247">
        <f>ABS(Z34-Y34)</f>
        <v>23.2682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120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/stypes="app*4033*20171231*"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120-31 --locoid 4033 --swversion DE.1.0.9.0 --startMP 204:232887 --initTime 2017-12-31T06:38:36 --startdatetime 2017-12-31T06:57:14 --delay 79 --endMP 204:205 --enddatetime 2017-12-31T07:35:41 --enforcementcount 0 &gt;&gt;%USERPROFILE%\Documents\GitHub\eaglep3-reporting\EC\2017-12-31-refined-times.txt</v>
      </c>
      <c r="AI34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{"issue":{"subject":"","project_id":79,"tracker_id":40,"status_id":1,"priority_id":2,"assigned_to_id":338,"start_date":"2017-12-31","description":"","custom_fields":[{"id":1,"name":"Subdivision","value":"EC"},{"id":4,"name":"Milepost","value":"0.0205"},{"id":17,"name":"Train ID","value":"120-31"},{"id":16,"name":"Locomotive ID","value":"4033"},{"id":130,"name":"Impact","value":""},{"id":150,"name":"Time of Event (Mountain Time)","value":"07:35:41"},{"id":151,"name":"Denver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4033 --day 2017-12-31</v>
      </c>
      <c r="AN34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14:35:41"},{"id":29,"name":"Sharepoint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2017-12-31T05:38:36-0700',mode:absolute,to:'2017-12-31T08:35:41-0700'))&amp;_a=(columns:!('Message%20ID',Summary),filters:!(),index:'emp_*',interval:auto,query:(query_string:(analyze_wildcard:!t,query:'%22rtdc.l.rtdc.4033%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721</v>
      </c>
      <c r="B35" s="225">
        <v>4062</v>
      </c>
      <c r="C35" s="227" t="s">
        <v>192</v>
      </c>
      <c r="D35" s="227" t="s">
        <v>565</v>
      </c>
      <c r="E35" s="226">
        <v>43100.258969907409</v>
      </c>
      <c r="F35" s="226">
        <v>43100.260613425926</v>
      </c>
      <c r="G35" s="225">
        <v>53</v>
      </c>
      <c r="H35" s="227" t="s">
        <v>864</v>
      </c>
      <c r="I35" s="226">
        <v>43100.284351851849</v>
      </c>
      <c r="J35" s="225">
        <v>0</v>
      </c>
      <c r="K35" s="237" t="str">
        <f>IF(ISEVEN(B35),(B35-1)&amp;"/"&amp;B35,B35&amp;"/"&amp;(B35+1))</f>
        <v>4061/4062</v>
      </c>
      <c r="L35" s="245" t="str">
        <f>VLOOKUP(A35,'Trips&amp;Operators'!$C$1:$G$99911,5,FALSE)</f>
        <v>DELGADO DIANAH</v>
      </c>
      <c r="M35" s="224">
        <f>I35-F35</f>
        <v>2.3738425923511386E-2</v>
      </c>
      <c r="N35" s="225">
        <f>24*60*SUM($M35:$M35)</f>
        <v>34.183333329856396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-31T05:12:55-0700',mode:absolute,to:'2017-12-31T07:49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4.5499999999999999E-2</v>
      </c>
      <c r="Z35" s="247">
        <f>RIGHT(H35,LEN(H35)-4)/10000</f>
        <v>23.333400000000001</v>
      </c>
      <c r="AA35" s="247">
        <f>ABS(Z35-Y35)</f>
        <v>23.2879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121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 &amp; 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/stypes="app*4062*20171231*" /stext=" 13:.+((SYSTEM_STATE.+slice.+state.+changed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121-31 --locoid 4062 --swversion DE.1.0.9.0 --startMP 204:455 --initTime 2017-12-31T06:12:55 --startdatetime 2017-12-31T06:15:17 --delay 53 --endMP 204:233334 --enddatetime 2017-12-31T06:49:28 --enforcementcount 0 &gt;&gt;%USERPROFILE%\Documents\GitHub\eaglep3-reporting\EC\2017-12-31-refined-times.txt</v>
      </c>
      <c r="AI35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{"issue":{"subject":"","project_id":79,"tracker_id":40,"status_id":1,"priority_id":2,"assigned_to_id":338,"start_date":"2017-12-31","description":"","custom_fields":[{"id":1,"name":"Subdivision","value":"EC"},{"id":4,"name":"Milepost","value":"23.3334"},{"id":17,"name":"Train ID","value":"121-31"},{"id":16,"name":"Locomotive ID","value":"4062"},{"id":130,"name":"Impact","value":""},{"id":150,"name":"Time of Event (Mountain Time)","value":"06:49:28"},{"id":151,"name":"Denver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4062 --day 2017-12-31</v>
      </c>
      <c r="AN35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13:49:28"},{"id":29,"name":"Sharepoint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2017-12-31T05:12:55-0700',mode:absolute,to:'2017-12-31T07:49:28-0700'))&amp;_a=(columns:!('Message%20ID',Summary),filters:!(),index:'emp_*',interval:auto,query:(query_string:(analyze_wildcard:!t,query:'%22rtdc.l.rtdc.4062%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727</v>
      </c>
      <c r="B36" s="225">
        <v>4061</v>
      </c>
      <c r="C36" s="227" t="s">
        <v>192</v>
      </c>
      <c r="D36" s="227" t="s">
        <v>875</v>
      </c>
      <c r="E36" s="226">
        <v>43100.289884259262</v>
      </c>
      <c r="F36" s="226">
        <v>43100.300185185188</v>
      </c>
      <c r="G36" s="225">
        <v>47</v>
      </c>
      <c r="H36" s="227" t="s">
        <v>876</v>
      </c>
      <c r="I36" s="226">
        <v>43100.32640046296</v>
      </c>
      <c r="J36" s="225">
        <v>0</v>
      </c>
      <c r="K36" s="237" t="str">
        <f>IF(ISEVEN(B36),(B36-1)&amp;"/"&amp;B36,B36&amp;"/"&amp;(B36+1))</f>
        <v>4061/4062</v>
      </c>
      <c r="L36" s="245" t="str">
        <f>VLOOKUP(A36,'Trips&amp;Operators'!$C$1:$G$99911,5,FALSE)</f>
        <v>DELGADO DIANAH</v>
      </c>
      <c r="M36" s="224">
        <f>I36-F36</f>
        <v>2.6215277772280388E-2</v>
      </c>
      <c r="N36" s="225">
        <f>24*60*SUM($M36:$M36)</f>
        <v>37.749999992083758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-12-31T05:57:26-0700',mode:absolute,to:'2017-12-31T08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23.299199999999999</v>
      </c>
      <c r="Z36" s="247">
        <f>RIGHT(H36,LEN(H36)-4)/10000</f>
        <v>1.52E-2</v>
      </c>
      <c r="AA36" s="247">
        <f>ABS(Z36-Y36)</f>
        <v>23.283999999999999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122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 &amp; aws s3 cp s3://rtdc.mdm.uploadarchive.raw/RTDC4061/ "%USERPROFILE%\AppData\Local\Temp\OnboardLogs"\RTDC4061\2018-01-01 --exclude "*" --recursive --include "*20180101*" &amp; "%USERPROFILE%\Documents\GitHub\mrs-test-scripts\Headless Mode &amp; Sideloading\WalkAndUnGZ.bat" "%USERPROFILE%\AppData\Local\Temp\OnboardLogs"\RTDC4061\2018-01-01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/stypes="app*4061*20171231*" /stext=" 14:.+((SYSTEM_STATE.+slice.+state.+changed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122-31 --locoid 4061 --swversion DE.1.0.9.0 --startMP 204:232992 --initTime 2017-12-31T06:57:26 --startdatetime 2017-12-31T07:12:16 --delay 47 --endMP 204:152 --enddatetime 2017-12-31T07:50:01 --enforcementcount 0 &gt;&gt;%USERPROFILE%\Documents\GitHub\eaglep3-reporting\EC\2017-12-31-refined-times.txt</v>
      </c>
      <c r="AI36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{"issue":{"subject":"","project_id":79,"tracker_id":40,"status_id":1,"priority_id":2,"assigned_to_id":338,"start_date":"2017-12-31","description":"","custom_fields":[{"id":1,"name":"Subdivision","value":"EC"},{"id":4,"name":"Milepost","value":"0.0152"},{"id":17,"name":"Train ID","value":"122-31"},{"id":16,"name":"Locomotive ID","value":"4061"},{"id":130,"name":"Impact","value":""},{"id":150,"name":"Time of Event (Mountain Time)","value":"07:50:01"},{"id":151,"name":"Denver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4061 --day 2017-12-31</v>
      </c>
      <c r="AN36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14:50:01"},{"id":29,"name":"Sharepoint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2017-12-31T05:57:26-0700',mode:absolute,to:'2017-12-31T08:50:01-0700'))&amp;_a=(columns:!('Message%20ID',Summary),filters:!(),index:'emp_*',interval:auto,query:(query_string:(analyze_wildcard:!t,query:'%22rtdc.l.rtdc.4061%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723</v>
      </c>
      <c r="B37" s="225">
        <v>4052</v>
      </c>
      <c r="C37" s="227" t="s">
        <v>192</v>
      </c>
      <c r="D37" s="227" t="s">
        <v>557</v>
      </c>
      <c r="E37" s="226">
        <v>43100.265960648147</v>
      </c>
      <c r="F37" s="226">
        <v>43100.271041666667</v>
      </c>
      <c r="G37" s="225">
        <v>68</v>
      </c>
      <c r="H37" s="227" t="s">
        <v>554</v>
      </c>
      <c r="I37" s="226">
        <v>43100.297511574077</v>
      </c>
      <c r="J37" s="225">
        <v>0</v>
      </c>
      <c r="K37" s="237" t="str">
        <f>IF(ISEVEN(B37),(B37-1)&amp;"/"&amp;B37,B37&amp;"/"&amp;(B37+1))</f>
        <v>4051/4052</v>
      </c>
      <c r="L37" s="245" t="str">
        <f>VLOOKUP(A37,'Trips&amp;Operators'!$C$1:$G$99911,5,FALSE)</f>
        <v>GEBRETEKLE DAGNEW</v>
      </c>
      <c r="M37" s="224">
        <f>I37-F37</f>
        <v>2.6469907410501037E-2</v>
      </c>
      <c r="N37" s="225">
        <f>24*60*SUM($M37:$M37)</f>
        <v>38.116666671121493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-12-31T05:22:59-0700',mode:absolute,to:'2017-12-31T08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4.53E-2</v>
      </c>
      <c r="Z37" s="247">
        <f>RIGHT(H37,LEN(H37)-4)/10000</f>
        <v>23.331199999999999</v>
      </c>
      <c r="AA37" s="247">
        <f>ABS(Z37-Y37)</f>
        <v>23.285899999999998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123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s3://rtdc.mdm.uploadarchive.raw/RTDC4052/ "%USERPROFILE%\AppData\Local\Temp\OnboardLogs"\RTDC4052\2017-12-31 --exclude "*" --recursive --include "*20171231*" &amp; "%USERPROFILE%\Documents\GitHub\mrs-test-scripts\Headless Mode &amp; Sideloading\WalkAndUnGZ.bat" "%USERPROFILE%\AppData\Local\Temp\OnboardLogs"\RTDC4052\2017-12-31 &amp; aws s3 cp s3://rtdc.mdm.uploadarchive.raw/RTDC4052/ "%USERPROFILE%\AppData\Local\Temp\OnboardLogs"\RTDC4052\2018-01-01 --exclude "*" --recursive --include "*20180101*" &amp; "%USERPROFILE%\Documents\GitHub\mrs-test-scripts\Headless Mode &amp; Sideloading\WalkAndUnGZ.bat" "%USERPROFILE%\AppData\Local\Temp\OnboardLogs"\RTDC4052\2018-01-01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/stypes="app*4052*20171231*"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123-31 --locoid 4052 --swversion DE.1.0.9.0 --startMP 204:453 --initTime 2017-12-31T06:22:59 --startdatetime 2017-12-31T06:30:18 --delay 68 --endMP 204:233312 --enddatetime 2017-12-31T07:08:25 --enforcementcount 0 &gt;&gt;%USERPROFILE%\Documents\GitHub\eaglep3-reporting\EC\2017-12-31-refined-times.txt</v>
      </c>
      <c r="AI37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{"issue":{"subject":"","project_id":79,"tracker_id":40,"status_id":1,"priority_id":2,"assigned_to_id":338,"start_date":"2017-12-31","description":"","custom_fields":[{"id":1,"name":"Subdivision","value":"EC"},{"id":4,"name":"Milepost","value":"23.3312"},{"id":17,"name":"Train ID","value":"123-31"},{"id":16,"name":"Locomotive ID","value":"4052"},{"id":130,"name":"Impact","value":""},{"id":150,"name":"Time of Event (Mountain Time)","value":"07:08:25"},{"id":151,"name":"Denver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4052 --day 2017-12-31</v>
      </c>
      <c r="AN37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14:08:25"},{"id":29,"name":"Sharepoint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2017-12-31T05:22:59-0700',mode:absolute,to:'2017-12-31T08:08:25-0700'))&amp;_a=(columns:!('Message%20ID',Summary),filters:!(),index:'emp_*',interval:auto,query:(query_string:(analyze_wildcard:!t,query:'%22rtdc.l.rtdc.4052%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730</v>
      </c>
      <c r="B38" s="225">
        <v>4051</v>
      </c>
      <c r="C38" s="227" t="s">
        <v>192</v>
      </c>
      <c r="D38" s="227" t="s">
        <v>877</v>
      </c>
      <c r="E38" s="226">
        <v>43100.298877314817</v>
      </c>
      <c r="F38" s="226">
        <v>43100.310624999998</v>
      </c>
      <c r="G38" s="225">
        <v>51</v>
      </c>
      <c r="H38" s="227" t="s">
        <v>628</v>
      </c>
      <c r="I38" s="226">
        <v>43100.335729166669</v>
      </c>
      <c r="J38" s="225">
        <v>0</v>
      </c>
      <c r="K38" s="237" t="str">
        <f>IF(ISEVEN(B38),(B38-1)&amp;"/"&amp;B38,B38&amp;"/"&amp;(B38+1))</f>
        <v>4051/4052</v>
      </c>
      <c r="L38" s="245" t="str">
        <f>VLOOKUP(A38,'Trips&amp;Operators'!$C$1:$G$99911,5,FALSE)</f>
        <v>GEBRETEKLE DAGNEW</v>
      </c>
      <c r="M38" s="224">
        <f>I38-F38</f>
        <v>2.510416667064419E-2</v>
      </c>
      <c r="N38" s="225">
        <f>24*60*SUM($M38:$M38)</f>
        <v>36.150000005727634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-12-31T06:10:23-0700',mode:absolute,to:'2017-12-31T09:03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23.299600000000002</v>
      </c>
      <c r="Z38" s="247">
        <f>RIGHT(H38,LEN(H38)-4)/10000</f>
        <v>1.54E-2</v>
      </c>
      <c r="AA38" s="247">
        <f>ABS(Z38-Y38)</f>
        <v>23.284200000000002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124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s3://rtdc.mdm.uploadarchive.raw/RTDC4051/ "%USERPROFILE%\AppData\Local\Temp\OnboardLogs"\RTDC4051\2017-12-31 --exclude "*" --recursive --include "*20171231*" &amp; "%USERPROFILE%\Documents\GitHub\mrs-test-scripts\Headless Mode &amp; Sideloading\WalkAndUnGZ.bat" "%USERPROFILE%\AppData\Local\Temp\OnboardLogs"\RTDC4051\2017-12-31 &amp; aws s3 cp s3://rtdc.mdm.uploadarchive.raw/RTDC4051/ "%USERPROFILE%\AppData\Local\Temp\OnboardLogs"\RTDC4051\2018-01-01 --exclude "*" --recursive --include "*20180101*" &amp; "%USERPROFILE%\Documents\GitHub\mrs-test-scripts\Headless Mode &amp; Sideloading\WalkAndUnGZ.bat" "%USERPROFILE%\AppData\Local\Temp\OnboardLogs"\RTDC4051\2018-01-01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/stypes="app*4051*20171231*"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124-31 --locoid 4051 --swversion DE.1.0.9.0 --startMP 204:232996 --initTime 2017-12-31T07:10:23 --startdatetime 2017-12-31T07:27:18 --delay 51 --endMP 204:154 --enddatetime 2017-12-31T08:03:27 --enforcementcount 0 &gt;&gt;%USERPROFILE%\Documents\GitHub\eaglep3-reporting\EC\2017-12-31-refined-times.txt</v>
      </c>
      <c r="AI38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{"issue":{"subject":"","project_id":79,"tracker_id":40,"status_id":1,"priority_id":2,"assigned_to_id":338,"start_date":"2017-12-31","description":"","custom_fields":[{"id":1,"name":"Subdivision","value":"EC"},{"id":4,"name":"Milepost","value":"0.0154"},{"id":17,"name":"Train ID","value":"124-31"},{"id":16,"name":"Locomotive ID","value":"4051"},{"id":130,"name":"Impact","value":""},{"id":150,"name":"Time of Event (Mountain Time)","value":"08:03:27"},{"id":151,"name":"Denver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4051 --day 2017-12-31</v>
      </c>
      <c r="AN38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15:03:27"},{"id":29,"name":"Sharepoint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2017-12-31T06:10:23-0700',mode:absolute,to:'2017-12-31T09:03:27-0700'))&amp;_a=(columns:!('Message%20ID',Summary),filters:!(),index:'emp_*',interval:auto,query:(query_string:(analyze_wildcard:!t,query:'%22rtdc.l.rtdc.4051%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674</v>
      </c>
      <c r="B39" s="225">
        <v>4012</v>
      </c>
      <c r="C39" s="227" t="s">
        <v>192</v>
      </c>
      <c r="D39" s="227" t="s">
        <v>878</v>
      </c>
      <c r="E39" s="226">
        <v>43100.279479166667</v>
      </c>
      <c r="F39" s="226">
        <v>43100.281446759262</v>
      </c>
      <c r="G39" s="225">
        <v>61</v>
      </c>
      <c r="H39" s="227" t="s">
        <v>645</v>
      </c>
      <c r="I39" s="226">
        <v>43100.309050925927</v>
      </c>
      <c r="J39" s="225">
        <v>0</v>
      </c>
      <c r="K39" s="237" t="str">
        <f>IF(ISEVEN(B39),(B39-1)&amp;"/"&amp;B39,B39&amp;"/"&amp;(B39+1))</f>
        <v>4011/4012</v>
      </c>
      <c r="L39" s="245" t="str">
        <f>VLOOKUP(A39,'Trips&amp;Operators'!$C$1:$G$99911,5,FALSE)</f>
        <v>THOMPSON LESTER</v>
      </c>
      <c r="M39" s="224">
        <f>I39-F39</f>
        <v>2.7604166665696539E-2</v>
      </c>
      <c r="N39" s="225">
        <f>24*60*SUM($M39:$M39)</f>
        <v>39.749999998603016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-12-31T05:42:27-0700',mode:absolute,to:'2017-12-31T08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4.6699999999999998E-2</v>
      </c>
      <c r="Z39" s="247">
        <f>RIGHT(H39,LEN(H39)-4)/10000</f>
        <v>23.3293</v>
      </c>
      <c r="AA39" s="247">
        <f>ABS(Z39-Y39)</f>
        <v>23.282599999999999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125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/stypes="app*4012*20171231*"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125-31 --locoid 4012 --swversion DE.1.0.9.0 --startMP 204:467 --initTime 2017-12-31T06:42:27 --startdatetime 2017-12-31T06:45:17 --delay 61 --endMP 204:233293 --enddatetime 2017-12-31T07:25:02 --enforcementcount 0 &gt;&gt;%USERPROFILE%\Documents\GitHub\eaglep3-reporting\EC\2017-12-31-refined-times.txt</v>
      </c>
      <c r="AI39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{"issue":{"subject":"","project_id":79,"tracker_id":40,"status_id":1,"priority_id":2,"assigned_to_id":338,"start_date":"2017-12-31","description":"","custom_fields":[{"id":1,"name":"Subdivision","value":"EC"},{"id":4,"name":"Milepost","value":"23.3293"},{"id":17,"name":"Train ID","value":"125-31"},{"id":16,"name":"Locomotive ID","value":"4012"},{"id":130,"name":"Impact","value":""},{"id":150,"name":"Time of Event (Mountain Time)","value":"07:25:02"},{"id":151,"name":"Denver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4012 --day 2017-12-31</v>
      </c>
      <c r="AN39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14:25:02"},{"id":29,"name":"Sharepoint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2017-12-31T05:42:27-0700',mode:absolute,to:'2017-12-31T08:25:02-0700'))&amp;_a=(columns:!('Message%20ID',Summary),filters:!(),index:'emp_*',interval:auto,query:(query_string:(analyze_wildcard:!t,query:'%22rtdc.l.rtdc.4012%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734</v>
      </c>
      <c r="B40" s="225">
        <v>4011</v>
      </c>
      <c r="C40" s="227" t="s">
        <v>192</v>
      </c>
      <c r="D40" s="227" t="s">
        <v>503</v>
      </c>
      <c r="E40" s="226">
        <v>43100.320613425924</v>
      </c>
      <c r="F40" s="226">
        <v>43100.321793981479</v>
      </c>
      <c r="G40" s="225">
        <v>51</v>
      </c>
      <c r="H40" s="227" t="s">
        <v>519</v>
      </c>
      <c r="I40" s="226">
        <v>43100.348981481482</v>
      </c>
      <c r="J40" s="225">
        <v>0</v>
      </c>
      <c r="K40" s="237" t="str">
        <f>IF(ISEVEN(B40),(B40-1)&amp;"/"&amp;B40,B40&amp;"/"&amp;(B40+1))</f>
        <v>4011/4012</v>
      </c>
      <c r="L40" s="245" t="str">
        <f>VLOOKUP(A40,'Trips&amp;Operators'!$C$1:$G$99911,5,FALSE)</f>
        <v>THOMPSON LESTER</v>
      </c>
      <c r="M40" s="224">
        <f>I40-F40</f>
        <v>2.718750000349246E-2</v>
      </c>
      <c r="N40" s="225">
        <f>24*60*SUM($M40:$M40)</f>
        <v>39.150000005029142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-12-31T06:41:41-0700',mode:absolute,to:'2017-12-31T09:22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23.297799999999999</v>
      </c>
      <c r="Z40" s="247">
        <f>RIGHT(H40,LEN(H40)-4)/10000</f>
        <v>1.6E-2</v>
      </c>
      <c r="AA40" s="247">
        <f>ABS(Z40-Y40)</f>
        <v>23.2818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126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s3://rtdc.mdm.uploadarchive.raw/RTDC4011/ "%USERPROFILE%\AppData\Local\Temp\OnboardLogs"\RTDC4011\2017-12-31 --exclude "*" --recursive --include "*20171231*" &amp; "%USERPROFILE%\Documents\GitHub\mrs-test-scripts\Headless Mode &amp; Sideloading\WalkAndUnGZ.bat" "%USERPROFILE%\AppData\Local\Temp\OnboardLogs"\RTDC4011\2017-12-31 &amp; 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/stypes="app*4011*20171231*"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126-31 --locoid 4011 --swversion DE.1.0.9.0 --startMP 204:232978 --initTime 2017-12-31T07:41:41 --startdatetime 2017-12-31T07:43:23 --delay 51 --endMP 204:160 --enddatetime 2017-12-31T08:22:32 --enforcementcount 0 &gt;&gt;%USERPROFILE%\Documents\GitHub\eaglep3-reporting\EC\2017-12-31-refined-times.txt</v>
      </c>
      <c r="AI40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{"issue":{"subject":"","project_id":79,"tracker_id":40,"status_id":1,"priority_id":2,"assigned_to_id":338,"start_date":"2017-12-31","description":"","custom_fields":[{"id":1,"name":"Subdivision","value":"EC"},{"id":4,"name":"Milepost","value":"0.016"},{"id":17,"name":"Train ID","value":"126-31"},{"id":16,"name":"Locomotive ID","value":"4011"},{"id":130,"name":"Impact","value":""},{"id":150,"name":"Time of Event (Mountain Time)","value":"08:22:32"},{"id":151,"name":"Denver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4011 --day 2017-12-31</v>
      </c>
      <c r="AN40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15:22:32"},{"id":29,"name":"Sharepoint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2017-12-31T06:41:41-0700',mode:absolute,to:'2017-12-31T09:22:32-0700'))&amp;_a=(columns:!('Message%20ID',Summary),filters:!(),index:'emp_*',interval:auto,query:(query_string:(analyze_wildcard:!t,query:'%22rtdc.l.rtdc.4011%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726</v>
      </c>
      <c r="B41" s="225">
        <v>4002</v>
      </c>
      <c r="C41" s="227" t="s">
        <v>192</v>
      </c>
      <c r="D41" s="227" t="s">
        <v>648</v>
      </c>
      <c r="E41" s="226">
        <v>43100.286354166667</v>
      </c>
      <c r="F41" s="226">
        <v>43100.29184027778</v>
      </c>
      <c r="G41" s="225">
        <v>76</v>
      </c>
      <c r="H41" s="227" t="s">
        <v>879</v>
      </c>
      <c r="I41" s="226">
        <v>43100.316527777781</v>
      </c>
      <c r="J41" s="225">
        <v>0</v>
      </c>
      <c r="K41" s="237" t="str">
        <f>IF(ISEVEN(B41),(B41-1)&amp;"/"&amp;B41,B41&amp;"/"&amp;(B41+1))</f>
        <v>4001/4002</v>
      </c>
      <c r="L41" s="245" t="str">
        <f>VLOOKUP(A41,'Trips&amp;Operators'!$C$1:$G$99911,5,FALSE)</f>
        <v>WILLIAMS DONTE</v>
      </c>
      <c r="M41" s="224">
        <f>I41-F41</f>
        <v>2.4687500001164153E-2</v>
      </c>
      <c r="N41" s="225">
        <f>24*60*SUM($M41:$M41)</f>
        <v>35.550000001676381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-12-31T05:52:21-0700',mode:absolute,to:'2017-12-31T08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5.0900000000000001E-2</v>
      </c>
      <c r="Z41" s="247">
        <f>RIGHT(H41,LEN(H41)-4)/10000</f>
        <v>23.325500000000002</v>
      </c>
      <c r="AA41" s="247">
        <f>ABS(Z41-Y41)</f>
        <v>23.274600000000003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127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s3://rtdc.mdm.uploadarchive.raw/RTDC4002/ "%USERPROFILE%\AppData\Local\Temp\OnboardLogs"\RTDC4002\2017-12-31 --exclude "*" --recursive --include "*20171231*" &amp; "%USERPROFILE%\Documents\GitHub\mrs-test-scripts\Headless Mode &amp; Sideloading\WalkAndUnGZ.bat" "%USERPROFILE%\AppData\Local\Temp\OnboardLogs"\RTDC4002\2017-12-31 &amp; aws s3 cp s3://rtdc.mdm.uploadarchive.raw/RTDC4002/ "%USERPROFILE%\AppData\Local\Temp\OnboardLogs"\RTDC4002\2018-01-01 --exclude "*" --recursive --include "*20180101*" &amp; "%USERPROFILE%\Documents\GitHub\mrs-test-scripts\Headless Mode &amp; Sideloading\WalkAndUnGZ.bat" "%USERPROFILE%\AppData\Local\Temp\OnboardLogs"\RTDC4002\2018-01-01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/stypes="app*4002*20171231*"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127-31 --locoid 4002 --swversion DE.1.0.9.0 --startMP 204:509 --initTime 2017-12-31T06:52:21 --startdatetime 2017-12-31T07:00:15 --delay 76 --endMP 204:233255 --enddatetime 2017-12-31T07:35:48 --enforcementcount 0 &gt;&gt;%USERPROFILE%\Documents\GitHub\eaglep3-reporting\EC\2017-12-31-refined-times.txt</v>
      </c>
      <c r="AI41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{"issue":{"subject":"","project_id":79,"tracker_id":40,"status_id":1,"priority_id":2,"assigned_to_id":338,"start_date":"2017-12-31","description":"","custom_fields":[{"id":1,"name":"Subdivision","value":"EC"},{"id":4,"name":"Milepost","value":"23.3255"},{"id":17,"name":"Train ID","value":"127-31"},{"id":16,"name":"Locomotive ID","value":"4002"},{"id":130,"name":"Impact","value":""},{"id":150,"name":"Time of Event (Mountain Time)","value":"07:35:48"},{"id":151,"name":"Denver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4002 --day 2017-12-31</v>
      </c>
      <c r="AN41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14:35:48"},{"id":29,"name":"Sharepoint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2017-12-31T05:52:21-0700',mode:absolute,to:'2017-12-31T08:35:48-0700'))&amp;_a=(columns:!('Message%20ID',Summary),filters:!(),index:'emp_*',interval:auto,query:(query_string:(analyze_wildcard:!t,query:'%22rtdc.l.rtdc.4002%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735</v>
      </c>
      <c r="B42" s="225">
        <v>4001</v>
      </c>
      <c r="C42" s="227" t="s">
        <v>192</v>
      </c>
      <c r="D42" s="227" t="s">
        <v>880</v>
      </c>
      <c r="E42" s="226">
        <v>43100.327893518515</v>
      </c>
      <c r="F42" s="226">
        <v>43100.331435185188</v>
      </c>
      <c r="G42" s="225">
        <v>76</v>
      </c>
      <c r="H42" s="227" t="s">
        <v>516</v>
      </c>
      <c r="I42" s="226">
        <v>43100.357488425929</v>
      </c>
      <c r="J42" s="225">
        <v>0</v>
      </c>
      <c r="K42" s="237" t="str">
        <f>IF(ISEVEN(B42),(B42-1)&amp;"/"&amp;B42,B42&amp;"/"&amp;(B42+1))</f>
        <v>4001/4002</v>
      </c>
      <c r="L42" s="245" t="str">
        <f>VLOOKUP(A42,'Trips&amp;Operators'!$C$1:$G$99911,5,FALSE)</f>
        <v>WILLIAMS DONTE</v>
      </c>
      <c r="M42" s="224">
        <f>I42-F42</f>
        <v>2.6053240741021E-2</v>
      </c>
      <c r="N42" s="225">
        <f>24*60*SUM($M42:$M42)</f>
        <v>37.51666666707024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-12-31T06:52:10-0700',mode:absolute,to:'2017-12-31T09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23.292999999999999</v>
      </c>
      <c r="Z42" s="247">
        <f>RIGHT(H42,LEN(H42)-4)/10000</f>
        <v>1.9199999999999998E-2</v>
      </c>
      <c r="AA42" s="247">
        <f>ABS(Z42-Y42)</f>
        <v>23.273799999999998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128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s3://rtdc.mdm.uploadarchive.raw/RTDC4001/ "%USERPROFILE%\AppData\Local\Temp\OnboardLogs"\RTDC4001\2017-12-31 --exclude "*" --recursive --include "*20171231*" &amp; "%USERPROFILE%\Documents\GitHub\mrs-test-scripts\Headless Mode &amp; Sideloading\WalkAndUnGZ.bat" "%USERPROFILE%\AppData\Local\Temp\OnboardLogs"\RTDC4001\2017-12-31 &amp; aws s3 cp s3://rtdc.mdm.uploadarchive.raw/RTDC4001/ "%USERPROFILE%\AppData\Local\Temp\OnboardLogs"\RTDC4001\2018-01-01 --exclude "*" --recursive --include "*20180101*" &amp; "%USERPROFILE%\Documents\GitHub\mrs-test-scripts\Headless Mode &amp; Sideloading\WalkAndUnGZ.bat" "%USERPROFILE%\AppData\Local\Temp\OnboardLogs"\RTDC4001\2018-01-01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/stypes="app*4001*20171231*"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128-31 --locoid 4001 --swversion DE.1.0.9.0 --startMP 204:232930 --initTime 2017-12-31T07:52:10 --startdatetime 2017-12-31T07:57:16 --delay 76 --endMP 204:192 --enddatetime 2017-12-31T08:34:47 --enforcementcount 0 &gt;&gt;%USERPROFILE%\Documents\GitHub\eaglep3-reporting\EC\2017-12-31-refined-times.txt</v>
      </c>
      <c r="AI42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{"issue":{"subject":"","project_id":79,"tracker_id":40,"status_id":1,"priority_id":2,"assigned_to_id":338,"start_date":"2017-12-31","description":"","custom_fields":[{"id":1,"name":"Subdivision","value":"EC"},{"id":4,"name":"Milepost","value":"0.0192"},{"id":17,"name":"Train ID","value":"128-31"},{"id":16,"name":"Locomotive ID","value":"4001"},{"id":130,"name":"Impact","value":""},{"id":150,"name":"Time of Event (Mountain Time)","value":"08:34:47"},{"id":151,"name":"Denver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4001 --day 2017-12-31</v>
      </c>
      <c r="AN42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2017-12-31T06:52:10-0700',mode:absolute,to:'2017-12-31T09:34:47-0700'))&amp;_a=(columns:!('Message%20ID',Summary),filters:!(),index:'emp_*',interval:auto,query:(query_string:(analyze_wildcard:!t,query:'%22rtdc.l.rtdc.4001%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729</v>
      </c>
      <c r="B43" s="225">
        <v>4018</v>
      </c>
      <c r="C43" s="227" t="s">
        <v>192</v>
      </c>
      <c r="D43" s="227" t="s">
        <v>878</v>
      </c>
      <c r="E43" s="226">
        <v>43100.297534722224</v>
      </c>
      <c r="F43" s="226">
        <v>43100.302268518521</v>
      </c>
      <c r="G43" s="225">
        <v>61</v>
      </c>
      <c r="H43" s="227" t="s">
        <v>881</v>
      </c>
      <c r="I43" s="226">
        <v>43100.326932870368</v>
      </c>
      <c r="J43" s="225">
        <v>0</v>
      </c>
      <c r="K43" s="237" t="str">
        <f>IF(ISEVEN(B43),(B43-1)&amp;"/"&amp;B43,B43&amp;"/"&amp;(B43+1))</f>
        <v>4017/4018</v>
      </c>
      <c r="L43" s="245" t="str">
        <f>VLOOKUP(A43,'Trips&amp;Operators'!$C$1:$G$99911,5,FALSE)</f>
        <v>MAELZER KURT</v>
      </c>
      <c r="M43" s="224">
        <f>I43-F43</f>
        <v>2.4664351847604848E-2</v>
      </c>
      <c r="N43" s="225">
        <f>24*60*SUM($M43:$M43)</f>
        <v>35.516666660550982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-12-31T06:08:27-0700',mode:absolute,to:'2017-12-31T08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4.6699999999999998E-2</v>
      </c>
      <c r="Z43" s="247">
        <f>RIGHT(H43,LEN(H43)-4)/10000</f>
        <v>23.328800000000001</v>
      </c>
      <c r="AA43" s="247">
        <f>ABS(Z43-Y43)</f>
        <v>23.2821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129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/stypes="app*4018*20171231*" /stext=" 14:.+((SYSTEM_STATE.+slice.+state.+changed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129-31 --locoid 4018 --swversion DE.1.0.9.0 --startMP 204:467 --initTime 2017-12-31T07:08:27 --startdatetime 2017-12-31T07:15:16 --delay 61 --endMP 204:233288 --enddatetime 2017-12-31T07:50:47 --enforcementcount 0 &gt;&gt;%USERPROFILE%\Documents\GitHub\eaglep3-reporting\EC\2017-12-31-refined-times.txt</v>
      </c>
      <c r="AI43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{"issue":{"subject":"","project_id":79,"tracker_id":40,"status_id":1,"priority_id":2,"assigned_to_id":338,"start_date":"2017-12-31","description":"","custom_fields":[{"id":1,"name":"Subdivision","value":"EC"},{"id":4,"name":"Milepost","value":"23.3288"},{"id":17,"name":"Train ID","value":"129-31"},{"id":16,"name":"Locomotive ID","value":"4018"},{"id":130,"name":"Impact","value":""},{"id":150,"name":"Time of Event (Mountain Time)","value":"07:50:47"},{"id":151,"name":"Denver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4018 --day 2017-12-31</v>
      </c>
      <c r="AN43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14:50:47"},{"id":29,"name":"Sharepoint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2017-12-31T06:08:27-0700',mode:absolute,to:'2017-12-31T08:50:47-0700'))&amp;_a=(columns:!('Message%20ID',Summary),filters:!(),index:'emp_*',interval:auto,query:(query_string:(analyze_wildcard:!t,query:'%22rtdc.l.rtdc.4018%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737</v>
      </c>
      <c r="B44" s="225">
        <v>4017</v>
      </c>
      <c r="C44" s="227" t="s">
        <v>192</v>
      </c>
      <c r="D44" s="227" t="s">
        <v>503</v>
      </c>
      <c r="E44" s="226">
        <v>43100.334664351853</v>
      </c>
      <c r="F44" s="226">
        <v>43100.341886574075</v>
      </c>
      <c r="G44" s="225">
        <v>55</v>
      </c>
      <c r="H44" s="227" t="s">
        <v>627</v>
      </c>
      <c r="I44" s="226">
        <v>43100.368032407408</v>
      </c>
      <c r="J44" s="225">
        <v>0</v>
      </c>
      <c r="K44" s="237" t="str">
        <f>IF(ISEVEN(B44),(B44-1)&amp;"/"&amp;B44,B44&amp;"/"&amp;(B44+1))</f>
        <v>4017/4018</v>
      </c>
      <c r="L44" s="245" t="str">
        <f>VLOOKUP(A44,'Trips&amp;Operators'!$C$1:$G$99911,5,FALSE)</f>
        <v>MAELZER KURT</v>
      </c>
      <c r="M44" s="224">
        <f>I44-F44</f>
        <v>2.6145833333430346E-2</v>
      </c>
      <c r="N44" s="225">
        <f>24*60*SUM($M44:$M44)</f>
        <v>37.650000000139698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-12-31T07:01:55-0700',mode:absolute,to:'2017-12-31T09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23.297799999999999</v>
      </c>
      <c r="Z44" s="247">
        <f>RIGHT(H44,LEN(H44)-4)/10000</f>
        <v>1.7999999999999999E-2</v>
      </c>
      <c r="AA44" s="247">
        <f>ABS(Z44-Y44)</f>
        <v>23.279799999999998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130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s3://rtdc.mdm.uploadarchive.raw/RTDC4017/ "%USERPROFILE%\AppData\Local\Temp\OnboardLogs"\RTDC4017\2017-12-31 --exclude "*" --recursive --include "*20171231*" &amp; "%USERPROFILE%\Documents\GitHub\mrs-test-scripts\Headless Mode &amp; Sideloading\WalkAndUnGZ.bat" "%USERPROFILE%\AppData\Local\Temp\OnboardLogs"\RTDC4017\2017-12-31 &amp; aws s3 cp s3://rtdc.mdm.uploadarchive.raw/RTDC4017/ "%USERPROFILE%\AppData\Local\Temp\OnboardLogs"\RTDC4017\2018-01-01 --exclude "*" --recursive --include "*20180101*" &amp; "%USERPROFILE%\Documents\GitHub\mrs-test-scripts\Headless Mode &amp; Sideloading\WalkAndUnGZ.bat" "%USERPROFILE%\AppData\Local\Temp\OnboardLogs"\RTDC4017\2018-01-01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/stypes="app*4017*20171231*" /stext=" 15:.+((SYSTEM_STATE.+slice.+state.+changed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130-31 --locoid 4017 --swversion DE.1.0.9.0 --startMP 204:232978 --initTime 2017-12-31T08:01:55 --startdatetime 2017-12-31T08:12:19 --delay 55 --endMP 204:180 --enddatetime 2017-12-31T08:49:58 --enforcementcount 0 &gt;&gt;%USERPROFILE%\Documents\GitHub\eaglep3-reporting\EC\2017-12-31-refined-times.txt</v>
      </c>
      <c r="AI44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{"issue":{"subject":"","project_id":79,"tracker_id":40,"status_id":1,"priority_id":2,"assigned_to_id":338,"start_date":"2017-12-31","description":"","custom_fields":[{"id":1,"name":"Subdivision","value":"EC"},{"id":4,"name":"Milepost","value":"0.018"},{"id":17,"name":"Train ID","value":"130-31"},{"id":16,"name":"Locomotive ID","value":"4017"},{"id":130,"name":"Impact","value":""},{"id":150,"name":"Time of Event (Mountain Time)","value":"08:49:58"},{"id":151,"name":"Denver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4017 --day 2017-12-31</v>
      </c>
      <c r="AN44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15:49:58"},{"id":29,"name":"Sharepoint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2017-12-31T07:01:55-0700',mode:absolute,to:'2017-12-31T09:49:58-0700'))&amp;_a=(columns:!('Message%20ID',Summary),filters:!(),index:'emp_*',interval:auto,query:(query_string:(analyze_wildcard:!t,query:'%22rtdc.l.rtdc.4017%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732</v>
      </c>
      <c r="B45" s="225">
        <v>4016</v>
      </c>
      <c r="C45" s="227" t="s">
        <v>192</v>
      </c>
      <c r="D45" s="227" t="s">
        <v>641</v>
      </c>
      <c r="E45" s="226">
        <v>43100.30846064815</v>
      </c>
      <c r="F45" s="226">
        <v>43100.312673611108</v>
      </c>
      <c r="G45" s="225">
        <v>58</v>
      </c>
      <c r="H45" s="227" t="s">
        <v>645</v>
      </c>
      <c r="I45" s="226">
        <v>43100.337418981479</v>
      </c>
      <c r="J45" s="225">
        <v>0</v>
      </c>
      <c r="K45" s="237" t="str">
        <f>IF(ISEVEN(B45),(B45-1)&amp;"/"&amp;B45,B45&amp;"/"&amp;(B45+1))</f>
        <v>4015/4016</v>
      </c>
      <c r="L45" s="245" t="str">
        <f>VLOOKUP(A45,'Trips&amp;Operators'!$C$1:$G$99911,5,FALSE)</f>
        <v>LAMAR NEKESHA</v>
      </c>
      <c r="M45" s="224">
        <f>I45-F45</f>
        <v>2.47453703705105E-2</v>
      </c>
      <c r="N45" s="225">
        <f>24*60*SUM($M45:$M45)</f>
        <v>35.63333333353512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-12-31T06:24:11-0700',mode:absolute,to:'2017-12-31T09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4.9099999999999998E-2</v>
      </c>
      <c r="Z45" s="247">
        <f>RIGHT(H45,LEN(H45)-4)/10000</f>
        <v>23.3293</v>
      </c>
      <c r="AA45" s="247">
        <f>ABS(Z45-Y45)</f>
        <v>23.280200000000001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131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s3://rtdc.mdm.uploadarchive.raw/RTDC4016/ "%USERPROFILE%\AppData\Local\Temp\OnboardLogs"\RTDC4016\2017-12-31 --exclude "*" --recursive --include "*20171231*" &amp; "%USERPROFILE%\Documents\GitHub\mrs-test-scripts\Headless Mode &amp; Sideloading\WalkAndUnGZ.bat" "%USERPROFILE%\AppData\Local\Temp\OnboardLogs"\RTDC4016\2017-12-31 &amp; aws s3 cp s3://rtdc.mdm.uploadarchive.raw/RTDC4016/ "%USERPROFILE%\AppData\Local\Temp\OnboardLogs"\RTDC4016\2018-01-01 --exclude "*" --recursive --include "*20180101*" &amp; "%USERPROFILE%\Documents\GitHub\mrs-test-scripts\Headless Mode &amp; Sideloading\WalkAndUnGZ.bat" "%USERPROFILE%\AppData\Local\Temp\OnboardLogs"\RTDC4016\2018-01-01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/stypes="app*4016*20171231*" /stext=" 15:.+((SYSTEM_STATE.+slice.+state.+changed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131-31 --locoid 4016 --swversion DE.1.0.9.0 --startMP 204:491 --initTime 2017-12-31T07:24:11 --startdatetime 2017-12-31T07:30:15 --delay 58 --endMP 204:233293 --enddatetime 2017-12-31T08:05:53 --enforcementcount 0 &gt;&gt;%USERPROFILE%\Documents\GitHub\eaglep3-reporting\EC\2017-12-31-refined-times.txt</v>
      </c>
      <c r="AI45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{"issue":{"subject":"","project_id":79,"tracker_id":40,"status_id":1,"priority_id":2,"assigned_to_id":338,"start_date":"2017-12-31","description":"","custom_fields":[{"id":1,"name":"Subdivision","value":"EC"},{"id":4,"name":"Milepost","value":"23.3293"},{"id":17,"name":"Train ID","value":"131-31"},{"id":16,"name":"Locomotive ID","value":"4016"},{"id":130,"name":"Impact","value":""},{"id":150,"name":"Time of Event (Mountain Time)","value":"08:05:53"},{"id":151,"name":"Denver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4016 --day 2017-12-31</v>
      </c>
      <c r="AN45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15:05:53"},{"id":29,"name":"Sharepoint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2017-12-31T06:24:11-0700',mode:absolute,to:'2017-12-31T09:05:53-0700'))&amp;_a=(columns:!('Message%20ID',Summary),filters:!(),index:'emp_*',interval:auto,query:(query_string:(analyze_wildcard:!t,query:'%22rtdc.l.rtdc.4016%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740</v>
      </c>
      <c r="B46" s="225">
        <v>4015</v>
      </c>
      <c r="C46" s="227" t="s">
        <v>192</v>
      </c>
      <c r="D46" s="227" t="s">
        <v>882</v>
      </c>
      <c r="E46" s="226">
        <v>43100.350416666668</v>
      </c>
      <c r="F46" s="226">
        <v>43100.352256944447</v>
      </c>
      <c r="G46" s="225">
        <v>49</v>
      </c>
      <c r="H46" s="227" t="s">
        <v>883</v>
      </c>
      <c r="I46" s="226">
        <v>43100.377812500003</v>
      </c>
      <c r="J46" s="225">
        <v>0</v>
      </c>
      <c r="K46" s="237" t="str">
        <f>IF(ISEVEN(B46),(B46-1)&amp;"/"&amp;B46,B46&amp;"/"&amp;(B46+1))</f>
        <v>4015/4016</v>
      </c>
      <c r="L46" s="245" t="str">
        <f>VLOOKUP(A46,'Trips&amp;Operators'!$C$1:$G$99911,5,FALSE)</f>
        <v>LAMAR NEKESHA</v>
      </c>
      <c r="M46" s="224">
        <f>I46-F46</f>
        <v>2.5555555555911269E-2</v>
      </c>
      <c r="N46" s="225">
        <f>24*60*SUM($M46:$M46)</f>
        <v>36.800000000512227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-31T07:24:36-0700',mode:absolute,to:'2017-12-31T10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23.2989</v>
      </c>
      <c r="Z46" s="247">
        <f>RIGHT(H46,LEN(H46)-4)/10000</f>
        <v>1.6500000000000001E-2</v>
      </c>
      <c r="AA46" s="247">
        <f>ABS(Z46-Y46)</f>
        <v>23.282399999999999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132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s3://rtdc.mdm.uploadarchive.raw/RTDC4015/ "%USERPROFILE%\AppData\Local\Temp\OnboardLogs"\RTDC4015\2017-12-31 --exclude "*" --recursive --include "*20171231*" &amp; "%USERPROFILE%\Documents\GitHub\mrs-test-scripts\Headless Mode &amp; Sideloading\WalkAndUnGZ.bat" "%USERPROFILE%\AppData\Local\Temp\OnboardLogs"\RTDC4015\2017-12-31 &amp; 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/stypes="app*4015*20171231*" /stext=" 16:.+((SYSTEM_STATE.+slice.+state.+changed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132-31 --locoid 4015 --swversion DE.1.0.9.0 --startMP 204:232989 --initTime 2017-12-31T08:24:36 --startdatetime 2017-12-31T08:27:15 --delay 49 --endMP 204:165 --enddatetime 2017-12-31T09:04:03 --enforcementcount 0 &gt;&gt;%USERPROFILE%\Documents\GitHub\eaglep3-reporting\EC\2017-12-31-refined-times.txt</v>
      </c>
      <c r="AI46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{"issue":{"subject":"","project_id":79,"tracker_id":40,"status_id":1,"priority_id":2,"assigned_to_id":338,"start_date":"2017-12-31","description":"","custom_fields":[{"id":1,"name":"Subdivision","value":"EC"},{"id":4,"name":"Milepost","value":"0.0165"},{"id":17,"name":"Train ID","value":"132-31"},{"id":16,"name":"Locomotive ID","value":"4015"},{"id":130,"name":"Impact","value":""},{"id":150,"name":"Time of Event (Mountain Time)","value":"09:04:03"},{"id":151,"name":"Denver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4015 --day 2017-12-31</v>
      </c>
      <c r="AN46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16:04:03"},{"id":29,"name":"Sharepoint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2017-12-31T07:24:36-0700',mode:absolute,to:'2017-12-31T10:04:03-0700'))&amp;_a=(columns:!('Message%20ID',Summary),filters:!(),index:'emp_*',interval:auto,query:(query_string:(analyze_wildcard:!t,query:'%22rtdc.l.rtdc.4015%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733</v>
      </c>
      <c r="B47" s="225">
        <v>4034</v>
      </c>
      <c r="C47" s="227" t="s">
        <v>192</v>
      </c>
      <c r="D47" s="227" t="s">
        <v>592</v>
      </c>
      <c r="E47" s="226">
        <v>43100.317557870374</v>
      </c>
      <c r="F47" s="226">
        <v>43100.32309027778</v>
      </c>
      <c r="G47" s="225">
        <v>52</v>
      </c>
      <c r="H47" s="227" t="s">
        <v>884</v>
      </c>
      <c r="I47" s="226">
        <v>43100.34679398148</v>
      </c>
      <c r="J47" s="225">
        <v>0</v>
      </c>
      <c r="K47" s="237" t="str">
        <f>IF(ISEVEN(B47),(B47-1)&amp;"/"&amp;B47,B47&amp;"/"&amp;(B47+1))</f>
        <v>4033/4034</v>
      </c>
      <c r="L47" s="245" t="str">
        <f>VLOOKUP(A47,'Trips&amp;Operators'!$C$1:$G$99911,5,FALSE)</f>
        <v>LOPES KIMBERLY</v>
      </c>
      <c r="M47" s="224">
        <f>I47-F47</f>
        <v>2.3703703700448386E-2</v>
      </c>
      <c r="N47" s="225">
        <f>24*60*SUM($M47:$M47)</f>
        <v>34.133333328645676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-31T06:37:17-0700',mode:absolute,to:'2017-12-31T09:19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0.05</v>
      </c>
      <c r="Z47" s="247">
        <f>RIGHT(H47,LEN(H47)-4)/10000</f>
        <v>23.327400000000001</v>
      </c>
      <c r="AA47" s="247">
        <f>ABS(Z47-Y47)</f>
        <v>23.2774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133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 &amp; aws s3 cp s3://rtdc.mdm.uploadarchive.raw/RTDC4034/ "%USERPROFILE%\AppData\Local\Temp\OnboardLogs"\RTDC4034\2018-01-01 --exclude "*" --recursive --include "*20180101*" &amp; "%USERPROFILE%\Documents\GitHub\mrs-test-scripts\Headless Mode &amp; Sideloading\WalkAndUnGZ.bat" "%USERPROFILE%\AppData\Local\Temp\OnboardLogs"\RTDC4034\2018-01-01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/stypes="app*4034*20171231*" /stext=" 15:.+((SYSTEM_STATE.+slice.+state.+changed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133-31 --locoid 4034 --swversion DE.1.0.9.0 --startMP 204:500 --initTime 2017-12-31T07:37:17 --startdatetime 2017-12-31T07:45:15 --delay 52 --endMP 204:233274 --enddatetime 2017-12-31T08:19:23 --enforcementcount 0 &gt;&gt;%USERPROFILE%\Documents\GitHub\eaglep3-reporting\EC\2017-12-31-refined-times.txt</v>
      </c>
      <c r="AI47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{"issue":{"subject":"","project_id":79,"tracker_id":40,"status_id":1,"priority_id":2,"assigned_to_id":338,"start_date":"2017-12-31","description":"","custom_fields":[{"id":1,"name":"Subdivision","value":"EC"},{"id":4,"name":"Milepost","value":"23.3274"},{"id":17,"name":"Train ID","value":"133-31"},{"id":16,"name":"Locomotive ID","value":"4034"},{"id":130,"name":"Impact","value":""},{"id":150,"name":"Time of Event (Mountain Time)","value":"08:19:23"},{"id":151,"name":"Denver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4034 --day 2017-12-31</v>
      </c>
      <c r="AN47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15:19:23"},{"id":29,"name":"Sharepoint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2017-12-31T06:37:17-0700',mode:absolute,to:'2017-12-31T09:19:23-0700'))&amp;_a=(columns:!('Message%20ID',Summary),filters:!(),index:'emp_*',interval:auto,query:(query_string:(analyze_wildcard:!t,query:'%22rtdc.l.rtdc.4034%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739</v>
      </c>
      <c r="B48" s="225">
        <v>4033</v>
      </c>
      <c r="C48" s="227" t="s">
        <v>192</v>
      </c>
      <c r="D48" s="227" t="s">
        <v>885</v>
      </c>
      <c r="E48" s="226">
        <v>43100.348182870373</v>
      </c>
      <c r="F48" s="226">
        <v>43100.362685185188</v>
      </c>
      <c r="G48" s="225">
        <v>48</v>
      </c>
      <c r="H48" s="227" t="s">
        <v>442</v>
      </c>
      <c r="I48" s="226">
        <v>43100.388182870367</v>
      </c>
      <c r="J48" s="225">
        <v>0</v>
      </c>
      <c r="K48" s="237" t="str">
        <f>IF(ISEVEN(B48),(B48-1)&amp;"/"&amp;B48,B48&amp;"/"&amp;(B48+1))</f>
        <v>4033/4034</v>
      </c>
      <c r="L48" s="245" t="str">
        <f>VLOOKUP(A48,'Trips&amp;Operators'!$C$1:$G$99911,5,FALSE)</f>
        <v>LOPES KIMBERLY</v>
      </c>
      <c r="M48" s="224">
        <f>I48-F48</f>
        <v>2.5497685179288965E-2</v>
      </c>
      <c r="N48" s="225">
        <f>24*60*SUM($M48:$M48)</f>
        <v>36.716666658176109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-12-31T07:21:23-0700',mode:absolute,to:'2017-12-31T10:18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23.295300000000001</v>
      </c>
      <c r="Z48" s="247">
        <f>RIGHT(H48,LEN(H48)-4)/10000</f>
        <v>2.07E-2</v>
      </c>
      <c r="AA48" s="247">
        <f>ABS(Z48-Y48)</f>
        <v>23.2746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134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/stypes="app*4033*20171231*" /stext=" 16:.+((SYSTEM_STATE.+slice.+state.+changed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134-31 --locoid 4033 --swversion DE.1.0.9.0 --startMP 204:232953 --initTime 2017-12-31T08:21:23 --startdatetime 2017-12-31T08:42:16 --delay 48 --endMP 204:207 --enddatetime 2017-12-31T09:18:59 --enforcementcount 0 &gt;&gt;%USERPROFILE%\Documents\GitHub\eaglep3-reporting\EC\2017-12-31-refined-times.txt</v>
      </c>
      <c r="AI48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{"issue":{"subject":"","project_id":79,"tracker_id":40,"status_id":1,"priority_id":2,"assigned_to_id":338,"start_date":"2017-12-31","description":"","custom_fields":[{"id":1,"name":"Subdivision","value":"EC"},{"id":4,"name":"Milepost","value":"0.0207"},{"id":17,"name":"Train ID","value":"134-31"},{"id":16,"name":"Locomotive ID","value":"4033"},{"id":130,"name":"Impact","value":""},{"id":150,"name":"Time of Event (Mountain Time)","value":"09:18:59"},{"id":151,"name":"Denver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4033 --day 2017-12-31</v>
      </c>
      <c r="AN48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16:18:59"},{"id":29,"name":"Sharepoint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2017-12-31T07:21:23-0700',mode:absolute,to:'2017-12-31T10:18:59-0700'))&amp;_a=(columns:!('Message%20ID',Summary),filters:!(),index:'emp_*',interval:auto,query:(query_string:(analyze_wildcard:!t,query:'%22rtdc.l.rtdc.4033%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736</v>
      </c>
      <c r="B49" s="225">
        <v>4062</v>
      </c>
      <c r="C49" s="227" t="s">
        <v>192</v>
      </c>
      <c r="D49" s="227" t="s">
        <v>657</v>
      </c>
      <c r="E49" s="226">
        <v>43100.328553240739</v>
      </c>
      <c r="F49" s="226">
        <v>43100.333784722221</v>
      </c>
      <c r="G49" s="225">
        <v>67</v>
      </c>
      <c r="H49" s="227" t="s">
        <v>514</v>
      </c>
      <c r="I49" s="226">
        <v>43100.357858796298</v>
      </c>
      <c r="J49" s="225">
        <v>0</v>
      </c>
      <c r="K49" s="237" t="str">
        <f>IF(ISEVEN(B49),(B49-1)&amp;"/"&amp;B49,B49&amp;"/"&amp;(B49+1))</f>
        <v>4061/4062</v>
      </c>
      <c r="L49" s="245" t="str">
        <f>VLOOKUP(A49,'Trips&amp;Operators'!$C$1:$G$99911,5,FALSE)</f>
        <v>DELGADO DIANAH</v>
      </c>
      <c r="M49" s="224">
        <f>I49-F49</f>
        <v>2.4074074077361729E-2</v>
      </c>
      <c r="N49" s="225">
        <f>24*60*SUM($M49:$M49)</f>
        <v>34.66666667140089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-31T06:53:07-0700',mode:absolute,to:'2017-12-31T09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4.7500000000000001E-2</v>
      </c>
      <c r="Z49" s="247">
        <f>RIGHT(H49,LEN(H49)-4)/10000</f>
        <v>23.329499999999999</v>
      </c>
      <c r="AA49" s="247">
        <f>ABS(Z49-Y49)</f>
        <v>23.282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135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 &amp; 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/stypes="app*4062*20171231*" /stext=" 15:.+((SYSTEM_STATE.+slice.+state.+changed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135-31 --locoid 4062 --swversion DE.1.0.9.0 --startMP 204:475 --initTime 2017-12-31T07:53:07 --startdatetime 2017-12-31T08:00:39 --delay 67 --endMP 204:233295 --enddatetime 2017-12-31T08:35:19 --enforcementcount 0 &gt;&gt;%USERPROFILE%\Documents\GitHub\eaglep3-reporting\EC\2017-12-31-refined-times.txt</v>
      </c>
      <c r="AI49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{"issue":{"subject":"","project_id":79,"tracker_id":40,"status_id":1,"priority_id":2,"assigned_to_id":338,"start_date":"2017-12-31","description":"","custom_fields":[{"id":1,"name":"Subdivision","value":"EC"},{"id":4,"name":"Milepost","value":"23.3295"},{"id":17,"name":"Train ID","value":"135-31"},{"id":16,"name":"Locomotive ID","value":"4062"},{"id":130,"name":"Impact","value":""},{"id":150,"name":"Time of Event (Mountain Time)","value":"08:35:19"},{"id":151,"name":"Denver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4062 --day 2017-12-31</v>
      </c>
      <c r="AN49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15:35:19"},{"id":29,"name":"Sharepoint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2017-12-31T06:53:07-0700',mode:absolute,to:'2017-12-31T09:35:19-0700'))&amp;_a=(columns:!('Message%20ID',Summary),filters:!(),index:'emp_*',interval:auto,query:(query_string:(analyze_wildcard:!t,query:'%22rtdc.l.rtdc.4062%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745</v>
      </c>
      <c r="B50" s="225">
        <v>4061</v>
      </c>
      <c r="C50" s="227" t="s">
        <v>192</v>
      </c>
      <c r="D50" s="227" t="s">
        <v>886</v>
      </c>
      <c r="E50" s="226">
        <v>43100.370682870373</v>
      </c>
      <c r="F50" s="226">
        <v>43100.373101851852</v>
      </c>
      <c r="G50" s="225">
        <v>58</v>
      </c>
      <c r="H50" s="227" t="s">
        <v>887</v>
      </c>
      <c r="I50" s="226">
        <v>43100.398460648146</v>
      </c>
      <c r="J50" s="225">
        <v>0</v>
      </c>
      <c r="K50" s="237" t="str">
        <f>IF(ISEVEN(B50),(B50-1)&amp;"/"&amp;B50,B50&amp;"/"&amp;(B50+1))</f>
        <v>4061/4062</v>
      </c>
      <c r="L50" s="245" t="str">
        <f>VLOOKUP(A50,'Trips&amp;Operators'!$C$1:$G$99911,5,FALSE)</f>
        <v>DELGADO DIANAH</v>
      </c>
      <c r="M50" s="224">
        <f>I50-F50</f>
        <v>2.5358796294312924E-2</v>
      </c>
      <c r="N50" s="225">
        <f>24*60*SUM($M50:$M50)</f>
        <v>36.516666663810611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-31T07:53:47-0700',mode:absolute,to:'2017-12-31T10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23.2987</v>
      </c>
      <c r="Z50" s="247">
        <f>RIGHT(H50,LEN(H50)-4)/10000</f>
        <v>1.47E-2</v>
      </c>
      <c r="AA50" s="247">
        <f>ABS(Z50-Y50)</f>
        <v>23.283999999999999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136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 &amp; aws s3 cp s3://rtdc.mdm.uploadarchive.raw/RTDC4061/ "%USERPROFILE%\AppData\Local\Temp\OnboardLogs"\RTDC4061\2018-01-01 --exclude "*" --recursive --include "*20180101*" &amp; "%USERPROFILE%\Documents\GitHub\mrs-test-scripts\Headless Mode &amp; Sideloading\WalkAndUnGZ.bat" "%USERPROFILE%\AppData\Local\Temp\OnboardLogs"\RTDC4061\2018-01-01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/stypes="app*4061*20171231*" /stext=" 16:.+((SYSTEM_STATE.+slice.+state.+changed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136-31 --locoid 4061 --swversion DE.1.0.9.0 --startMP 204:232987 --initTime 2017-12-31T08:53:47 --startdatetime 2017-12-31T08:57:16 --delay 58 --endMP 204:147 --enddatetime 2017-12-31T09:33:47 --enforcementcount 0 &gt;&gt;%USERPROFILE%\Documents\GitHub\eaglep3-reporting\EC\2017-12-31-refined-times.txt</v>
      </c>
      <c r="AI50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{"issue":{"subject":"","project_id":79,"tracker_id":40,"status_id":1,"priority_id":2,"assigned_to_id":338,"start_date":"2017-12-31","description":"","custom_fields":[{"id":1,"name":"Subdivision","value":"EC"},{"id":4,"name":"Milepost","value":"0.0147"},{"id":17,"name":"Train ID","value":"136-31"},{"id":16,"name":"Locomotive ID","value":"4061"},{"id":130,"name":"Impact","value":""},{"id":150,"name":"Time of Event (Mountain Time)","value":"09:33:47"},{"id":151,"name":"Denver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4061 --day 2017-12-31</v>
      </c>
      <c r="AN50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16:33:47"},{"id":29,"name":"Sharepoint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2017-12-31T07:53:47-0700',mode:absolute,to:'2017-12-31T10:33:47-0700'))&amp;_a=(columns:!('Message%20ID',Summary),filters:!(),index:'emp_*',interval:auto,query:(query_string:(analyze_wildcard:!t,query:'%22rtdc.l.rtdc.4061%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738</v>
      </c>
      <c r="B51" s="225">
        <v>4052</v>
      </c>
      <c r="C51" s="227" t="s">
        <v>192</v>
      </c>
      <c r="D51" s="227" t="s">
        <v>504</v>
      </c>
      <c r="E51" s="226">
        <v>43100.337395833332</v>
      </c>
      <c r="F51" s="226">
        <v>43100.343935185185</v>
      </c>
      <c r="G51" s="225">
        <v>55</v>
      </c>
      <c r="H51" s="227" t="s">
        <v>888</v>
      </c>
      <c r="I51" s="226">
        <v>43100.367546296293</v>
      </c>
      <c r="J51" s="225">
        <v>0</v>
      </c>
      <c r="K51" s="237" t="str">
        <f>IF(ISEVEN(B51),(B51-1)&amp;"/"&amp;B51,B51&amp;"/"&amp;(B51+1))</f>
        <v>4051/4052</v>
      </c>
      <c r="L51" s="245" t="str">
        <f>VLOOKUP(A51,'Trips&amp;Operators'!$C$1:$G$99911,5,FALSE)</f>
        <v>GEBRETEKLE DAGNEW</v>
      </c>
      <c r="M51" s="224">
        <f>I51-F51</f>
        <v>2.361111110803904E-2</v>
      </c>
      <c r="N51" s="225">
        <f>24*60*SUM($M51:$M51)</f>
        <v>33.999999995576218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-31T07:05:51-0700',mode:absolute,to:'2017-12-31T09:49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4.6600000000000003E-2</v>
      </c>
      <c r="Z51" s="247">
        <f>RIGHT(H51,LEN(H51)-4)/10000</f>
        <v>23.3309</v>
      </c>
      <c r="AA51" s="247">
        <f>ABS(Z51-Y51)</f>
        <v>23.284299999999998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137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s3://rtdc.mdm.uploadarchive.raw/RTDC4052/ "%USERPROFILE%\AppData\Local\Temp\OnboardLogs"\RTDC4052\2017-12-31 --exclude "*" --recursive --include "*20171231*" &amp; "%USERPROFILE%\Documents\GitHub\mrs-test-scripts\Headless Mode &amp; Sideloading\WalkAndUnGZ.bat" "%USERPROFILE%\AppData\Local\Temp\OnboardLogs"\RTDC4052\2017-12-31 &amp; aws s3 cp s3://rtdc.mdm.uploadarchive.raw/RTDC4052/ "%USERPROFILE%\AppData\Local\Temp\OnboardLogs"\RTDC4052\2018-01-01 --exclude "*" --recursive --include "*20180101*" &amp; "%USERPROFILE%\Documents\GitHub\mrs-test-scripts\Headless Mode &amp; Sideloading\WalkAndUnGZ.bat" "%USERPROFILE%\AppData\Local\Temp\OnboardLogs"\RTDC4052\2018-01-01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/stypes="app*4052*20171231*" /stext=" 15:.+((SYSTEM_STATE.+slice.+state.+changed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137-31 --locoid 4052 --swversion DE.1.0.9.0 --startMP 204:466 --initTime 2017-12-31T08:05:51 --startdatetime 2017-12-31T08:15:16 --delay 55 --endMP 204:233309 --enddatetime 2017-12-31T08:49:16 --enforcementcount 0 &gt;&gt;%USERPROFILE%\Documents\GitHub\eaglep3-reporting\EC\2017-12-31-refined-times.txt</v>
      </c>
      <c r="AI51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{"issue":{"subject":"","project_id":79,"tracker_id":40,"status_id":1,"priority_id":2,"assigned_to_id":338,"start_date":"2017-12-31","description":"","custom_fields":[{"id":1,"name":"Subdivision","value":"EC"},{"id":4,"name":"Milepost","value":"23.3309"},{"id":17,"name":"Train ID","value":"137-31"},{"id":16,"name":"Locomotive ID","value":"4052"},{"id":130,"name":"Impact","value":""},{"id":150,"name":"Time of Event (Mountain Time)","value":"08:49:16"},{"id":151,"name":"Denver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4052 --day 2017-12-31</v>
      </c>
      <c r="AN51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15:49:16"},{"id":29,"name":"Sharepoint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2017-12-31T07:05:51-0700',mode:absolute,to:'2017-12-31T09:49:16-0700'))&amp;_a=(columns:!('Message%20ID',Summary),filters:!(),index:'emp_*',interval:auto,query:(query_string:(analyze_wildcard:!t,query:'%22rtdc.l.rtdc.4052%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743</v>
      </c>
      <c r="B52" s="225">
        <v>4051</v>
      </c>
      <c r="C52" s="227" t="s">
        <v>192</v>
      </c>
      <c r="D52" s="227" t="s">
        <v>875</v>
      </c>
      <c r="E52" s="226">
        <v>43100.368587962963</v>
      </c>
      <c r="F52" s="226">
        <v>43100.383530092593</v>
      </c>
      <c r="G52" s="225">
        <v>49</v>
      </c>
      <c r="H52" s="227" t="s">
        <v>863</v>
      </c>
      <c r="I52" s="226">
        <v>43100.409236111111</v>
      </c>
      <c r="J52" s="225">
        <v>0</v>
      </c>
      <c r="K52" s="237" t="str">
        <f>IF(ISEVEN(B52),(B52-1)&amp;"/"&amp;B52,B52&amp;"/"&amp;(B52+1))</f>
        <v>4051/4052</v>
      </c>
      <c r="L52" s="245" t="str">
        <f>VLOOKUP(A52,'Trips&amp;Operators'!$C$1:$G$99911,5,FALSE)</f>
        <v>GEBRETEKLE DAGNEW</v>
      </c>
      <c r="M52" s="224">
        <f>I52-F52</f>
        <v>2.5706018517666962E-2</v>
      </c>
      <c r="N52" s="225">
        <f>24*60*SUM($M52:$M52)</f>
        <v>37.016666665440425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-31T07:50:46-0700',mode:absolute,to:'2017-12-31T10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23.299199999999999</v>
      </c>
      <c r="Z52" s="247">
        <f>RIGHT(H52,LEN(H52)-4)/10000</f>
        <v>1.43E-2</v>
      </c>
      <c r="AA52" s="247">
        <f>ABS(Z52-Y52)</f>
        <v>23.2849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138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s3://rtdc.mdm.uploadarchive.raw/RTDC4051/ "%USERPROFILE%\AppData\Local\Temp\OnboardLogs"\RTDC4051\2017-12-31 --exclude "*" --recursive --include "*20171231*" &amp; "%USERPROFILE%\Documents\GitHub\mrs-test-scripts\Headless Mode &amp; Sideloading\WalkAndUnGZ.bat" "%USERPROFILE%\AppData\Local\Temp\OnboardLogs"\RTDC4051\2017-12-31 &amp; aws s3 cp s3://rtdc.mdm.uploadarchive.raw/RTDC4051/ "%USERPROFILE%\AppData\Local\Temp\OnboardLogs"\RTDC4051\2018-01-01 --exclude "*" --recursive --include "*20180101*" &amp; "%USERPROFILE%\Documents\GitHub\mrs-test-scripts\Headless Mode &amp; Sideloading\WalkAndUnGZ.bat" "%USERPROFILE%\AppData\Local\Temp\OnboardLogs"\RTDC4051\2018-01-01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/stypes="app*4051*20171231*" /stext=" 16:.+((SYSTEM_STATE.+slice.+state.+changed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138-31 --locoid 4051 --swversion DE.1.0.9.0 --startMP 204:232992 --initTime 2017-12-31T08:50:46 --startdatetime 2017-12-31T09:12:17 --delay 49 --endMP 204:143 --enddatetime 2017-12-31T09:49:18 --enforcementcount 0 &gt;&gt;%USERPROFILE%\Documents\GitHub\eaglep3-reporting\EC\2017-12-31-refined-times.txt</v>
      </c>
      <c r="AI52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{"issue":{"subject":"","project_id":79,"tracker_id":40,"status_id":1,"priority_id":2,"assigned_to_id":338,"start_date":"2017-12-31","description":"","custom_fields":[{"id":1,"name":"Subdivision","value":"EC"},{"id":4,"name":"Milepost","value":"0.0143"},{"id":17,"name":"Train ID","value":"138-31"},{"id":16,"name":"Locomotive ID","value":"4051"},{"id":130,"name":"Impact","value":""},{"id":150,"name":"Time of Event (Mountain Time)","value":"09:49:18"},{"id":151,"name":"Denver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4051 --day 2017-12-31</v>
      </c>
      <c r="AN52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16:49:18"},{"id":29,"name":"Sharepoint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2017-12-31T07:50:46-0700',mode:absolute,to:'2017-12-31T10:49:18-0700'))&amp;_a=(columns:!('Message%20ID',Summary),filters:!(),index:'emp_*',interval:auto,query:(query_string:(analyze_wildcard:!t,query:'%22rtdc.l.rtdc.4051%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677</v>
      </c>
      <c r="B53" s="225">
        <v>4012</v>
      </c>
      <c r="C53" s="227" t="s">
        <v>192</v>
      </c>
      <c r="D53" s="227" t="s">
        <v>510</v>
      </c>
      <c r="E53" s="226">
        <v>43100.352511574078</v>
      </c>
      <c r="F53" s="226">
        <v>43100.354432870372</v>
      </c>
      <c r="G53" s="225">
        <v>49</v>
      </c>
      <c r="H53" s="227" t="s">
        <v>889</v>
      </c>
      <c r="I53" s="226">
        <v>43100.379861111112</v>
      </c>
      <c r="J53" s="225">
        <v>0</v>
      </c>
      <c r="K53" s="237" t="str">
        <f>IF(ISEVEN(B53),(B53-1)&amp;"/"&amp;B53,B53&amp;"/"&amp;(B53+1))</f>
        <v>4011/4012</v>
      </c>
      <c r="L53" s="245" t="str">
        <f>VLOOKUP(A53,'Trips&amp;Operators'!$C$1:$G$99911,5,FALSE)</f>
        <v>THOMPSON LESTER</v>
      </c>
      <c r="M53" s="224">
        <f>I53-F53</f>
        <v>2.5428240740438923E-2</v>
      </c>
      <c r="N53" s="225">
        <f>24*60*SUM($M53:$M53)</f>
        <v>36.616666666232049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-12-31T07:27:37-0700',mode:absolute,to:'2017-12-31T10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4.6399999999999997E-2</v>
      </c>
      <c r="Z53" s="247">
        <f>RIGHT(H53,LEN(H53)-4)/10000</f>
        <v>23.3276</v>
      </c>
      <c r="AA53" s="247">
        <f>ABS(Z53-Y53)</f>
        <v>23.281200000000002</v>
      </c>
      <c r="AB53" s="233" t="str">
        <f>VLOOKUP(A53,Enforcements!$C$7:$K$9,8,0)</f>
        <v>Bulletin (2)</v>
      </c>
      <c r="AC53" s="232" t="str">
        <f>VLOOKUP(A53,Enforcements!$C$7:$E$9,3,0)</f>
        <v>GRADE CROSSING</v>
      </c>
      <c r="AD53" s="243">
        <f>VALUE(LEFT(A53,LEN(A53)-3))</f>
        <v>139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/stypes="app*4012*20171231*" /stext=" 16:.+((SYSTEM_STATE.+slice.+state.+changed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139-31 --locoid 4012 --swversion DE.1.0.9.0 --startMP 204:464 --initTime 2017-12-31T08:27:37 --startdatetime 2017-12-31T08:30:23 --delay 49 --endMP 204:233276 --enddatetime 2017-12-31T09:07:00 --enforcementcount 0 &gt;&gt;%USERPROFILE%\Documents\GitHub\eaglep3-reporting\EC\2017-12-31-refined-times.txt</v>
      </c>
      <c r="AI53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{"issue":{"subject":"","project_id":79,"tracker_id":40,"status_id":1,"priority_id":2,"assigned_to_id":338,"start_date":"2017-12-31","description":"","custom_fields":[{"id":1,"name":"Subdivision","value":"EC"},{"id":4,"name":"Milepost","value":"23.3276"},{"id":17,"name":"Train ID","value":"139-31"},{"id":16,"name":"Locomotive ID","value":"4012"},{"id":130,"name":"Impact","value":""},{"id":150,"name":"Time of Event (Mountain Time)","value":"09:07:00"},{"id":151,"name":"Denver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4012 --day 2017-12-31</v>
      </c>
      <c r="AN53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16:07:00"},{"id":29,"name":"Sharepoint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2017-12-31T07:27:37-0700',mode:absolute,to:'2017-12-31T10:07:00-0700'))&amp;_a=(columns:!('Message%20ID',Summary),filters:!(),index:'emp_*',interval:auto,query:(query_string:(analyze_wildcard:!t,query:'%22rtdc.l.rtdc.4012%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750</v>
      </c>
      <c r="B54" s="225">
        <v>4011</v>
      </c>
      <c r="C54" s="227" t="s">
        <v>192</v>
      </c>
      <c r="D54" s="227" t="s">
        <v>890</v>
      </c>
      <c r="E54" s="226">
        <v>43100.392534722225</v>
      </c>
      <c r="F54" s="226">
        <v>43100.39402777778</v>
      </c>
      <c r="G54" s="225">
        <v>49</v>
      </c>
      <c r="H54" s="227" t="s">
        <v>555</v>
      </c>
      <c r="I54" s="226">
        <v>43100.420300925929</v>
      </c>
      <c r="J54" s="225">
        <v>0</v>
      </c>
      <c r="K54" s="237" t="str">
        <f>IF(ISEVEN(B54),(B54-1)&amp;"/"&amp;B54,B54&amp;"/"&amp;(B54+1))</f>
        <v>4011/4012</v>
      </c>
      <c r="L54" s="245" t="str">
        <f>VLOOKUP(A54,'Trips&amp;Operators'!$C$1:$G$99911,5,FALSE)</f>
        <v>THOMPSON LESTER</v>
      </c>
      <c r="M54" s="224">
        <f>I54-F54</f>
        <v>2.6273148148902692E-2</v>
      </c>
      <c r="N54" s="225">
        <f>24*60*SUM($M54:$M54)</f>
        <v>37.833333334419876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-31T08:25:15-0700',mode:absolute,to:'2017-12-31T11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23.296399999999998</v>
      </c>
      <c r="Z54" s="247">
        <f>RIGHT(H54,LEN(H54)-4)/10000</f>
        <v>1.6299999999999999E-2</v>
      </c>
      <c r="AA54" s="247">
        <f>ABS(Z54-Y54)</f>
        <v>23.280099999999997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140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s3://rtdc.mdm.uploadarchive.raw/RTDC4011/ "%USERPROFILE%\AppData\Local\Temp\OnboardLogs"\RTDC4011\2017-12-31 --exclude "*" --recursive --include "*20171231*" &amp; "%USERPROFILE%\Documents\GitHub\mrs-test-scripts\Headless Mode &amp; Sideloading\WalkAndUnGZ.bat" "%USERPROFILE%\AppData\Local\Temp\OnboardLogs"\RTDC4011\2017-12-31 &amp; 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/stypes="app*4011*20171231*" /stext=" 17:.+((SYSTEM_STATE.+slice.+state.+changed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140-31 --locoid 4011 --swversion DE.1.0.9.0 --startMP 204:232964 --initTime 2017-12-31T09:25:15 --startdatetime 2017-12-31T09:27:24 --delay 49 --endMP 204:163 --enddatetime 2017-12-31T10:05:14 --enforcementcount 0 &gt;&gt;%USERPROFILE%\Documents\GitHub\eaglep3-reporting\EC\2017-12-31-refined-times.txt</v>
      </c>
      <c r="AI54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{"issue":{"subject":"","project_id":79,"tracker_id":40,"status_id":1,"priority_id":2,"assigned_to_id":338,"start_date":"2017-12-31","description":"","custom_fields":[{"id":1,"name":"Subdivision","value":"EC"},{"id":4,"name":"Milepost","value":"0.0163"},{"id":17,"name":"Train ID","value":"140-31"},{"id":16,"name":"Locomotive ID","value":"4011"},{"id":130,"name":"Impact","value":""},{"id":150,"name":"Time of Event (Mountain Time)","value":"10:05:14"},{"id":151,"name":"Denver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4011 --day 2017-12-31</v>
      </c>
      <c r="AN54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17:05:14"},{"id":29,"name":"Sharepoint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2017-12-31T08:25:15-0700',mode:absolute,to:'2017-12-31T11:05:14-0700'))&amp;_a=(columns:!('Message%20ID',Summary),filters:!(),index:'emp_*',interval:auto,query:(query_string:(analyze_wildcard:!t,query:'%22rtdc.l.rtdc.4011%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742</v>
      </c>
      <c r="B55" s="225">
        <v>4002</v>
      </c>
      <c r="C55" s="227" t="s">
        <v>192</v>
      </c>
      <c r="D55" s="227" t="s">
        <v>592</v>
      </c>
      <c r="E55" s="226">
        <v>43100.359085648146</v>
      </c>
      <c r="F55" s="226">
        <v>43100.364756944444</v>
      </c>
      <c r="G55" s="225">
        <v>89</v>
      </c>
      <c r="H55" s="227" t="s">
        <v>891</v>
      </c>
      <c r="I55" s="226">
        <v>43100.389456018522</v>
      </c>
      <c r="J55" s="225">
        <v>0</v>
      </c>
      <c r="K55" s="237" t="str">
        <f>IF(ISEVEN(B55),(B55-1)&amp;"/"&amp;B55,B55&amp;"/"&amp;(B55+1))</f>
        <v>4001/4002</v>
      </c>
      <c r="L55" s="245" t="str">
        <f>VLOOKUP(A55,'Trips&amp;Operators'!$C$1:$G$99911,5,FALSE)</f>
        <v>WILLIAMS DONTE</v>
      </c>
      <c r="M55" s="224">
        <f>I55-F55</f>
        <v>2.4699074077943806E-2</v>
      </c>
      <c r="N55" s="225">
        <f>24*60*SUM($M55:$M55)</f>
        <v>35.56666667223908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-12-31T07:37:05-0700',mode:absolute,to:'2017-12-31T10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0.05</v>
      </c>
      <c r="Z55" s="247">
        <f>RIGHT(H55,LEN(H55)-4)/10000</f>
        <v>23.324100000000001</v>
      </c>
      <c r="AA55" s="247">
        <f>ABS(Z55-Y55)</f>
        <v>23.274100000000001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141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s3://rtdc.mdm.uploadarchive.raw/RTDC4002/ "%USERPROFILE%\AppData\Local\Temp\OnboardLogs"\RTDC4002\2017-12-31 --exclude "*" --recursive --include "*20171231*" &amp; "%USERPROFILE%\Documents\GitHub\mrs-test-scripts\Headless Mode &amp; Sideloading\WalkAndUnGZ.bat" "%USERPROFILE%\AppData\Local\Temp\OnboardLogs"\RTDC4002\2017-12-31 &amp; aws s3 cp s3://rtdc.mdm.uploadarchive.raw/RTDC4002/ "%USERPROFILE%\AppData\Local\Temp\OnboardLogs"\RTDC4002\2018-01-01 --exclude "*" --recursive --include "*20180101*" &amp; "%USERPROFILE%\Documents\GitHub\mrs-test-scripts\Headless Mode &amp; Sideloading\WalkAndUnGZ.bat" "%USERPROFILE%\AppData\Local\Temp\OnboardLogs"\RTDC4002\2018-01-01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/stypes="app*4002*20171231*"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141-31 --locoid 4002 --swversion DE.1.0.9.0 --startMP 204:500 --initTime 2017-12-31T08:37:05 --startdatetime 2017-12-31T08:45:15 --delay 89 --endMP 204:233241 --enddatetime 2017-12-31T09:20:49 --enforcementcount 0 &gt;&gt;%USERPROFILE%\Documents\GitHub\eaglep3-reporting\EC\2017-12-31-refined-times.txt</v>
      </c>
      <c r="AI55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{"issue":{"subject":"","project_id":79,"tracker_id":40,"status_id":1,"priority_id":2,"assigned_to_id":338,"start_date":"2017-12-31","description":"","custom_fields":[{"id":1,"name":"Subdivision","value":"EC"},{"id":4,"name":"Milepost","value":"23.3241"},{"id":17,"name":"Train ID","value":"141-31"},{"id":16,"name":"Locomotive ID","value":"4002"},{"id":130,"name":"Impact","value":""},{"id":150,"name":"Time of Event (Mountain Time)","value":"09:20:49"},{"id":151,"name":"Denver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4002 --day 2017-12-31</v>
      </c>
      <c r="AN55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16:20:49"},{"id":29,"name":"Sharepoint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2017-12-31T07:37:05-0700',mode:absolute,to:'2017-12-31T10:20:49-0700'))&amp;_a=(columns:!('Message%20ID',Summary),filters:!(),index:'emp_*',interval:auto,query:(query_string:(analyze_wildcard:!t,query:'%22rtdc.l.rtdc.4002%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751</v>
      </c>
      <c r="B56" s="225">
        <v>4001</v>
      </c>
      <c r="C56" s="227" t="s">
        <v>192</v>
      </c>
      <c r="D56" s="227" t="s">
        <v>583</v>
      </c>
      <c r="E56" s="226">
        <v>43100.399050925924</v>
      </c>
      <c r="F56" s="226">
        <v>43100.404328703706</v>
      </c>
      <c r="G56" s="225">
        <v>78</v>
      </c>
      <c r="H56" s="227" t="s">
        <v>506</v>
      </c>
      <c r="I56" s="226">
        <v>43100.431111111109</v>
      </c>
      <c r="J56" s="225">
        <v>0</v>
      </c>
      <c r="K56" s="237" t="str">
        <f>IF(ISEVEN(B56),(B56-1)&amp;"/"&amp;B56,B56&amp;"/"&amp;(B56+1))</f>
        <v>4001/4002</v>
      </c>
      <c r="L56" s="245" t="str">
        <f>VLOOKUP(A56,'Trips&amp;Operators'!$C$1:$G$99911,5,FALSE)</f>
        <v>WILLIAMS DONTE</v>
      </c>
      <c r="M56" s="224">
        <f>I56-F56</f>
        <v>2.6782407403516117E-2</v>
      </c>
      <c r="N56" s="225">
        <f>24*60*SUM($M56:$M56)</f>
        <v>38.566666661063209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-12-31T08:34:38-0700',mode:absolute,to:'2017-12-31T11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23.2927</v>
      </c>
      <c r="Z56" s="247">
        <f>RIGHT(H56,LEN(H56)-4)/10000</f>
        <v>1.9400000000000001E-2</v>
      </c>
      <c r="AA56" s="247">
        <f>ABS(Z56-Y56)</f>
        <v>23.273299999999999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142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s3://rtdc.mdm.uploadarchive.raw/RTDC4001/ "%USERPROFILE%\AppData\Local\Temp\OnboardLogs"\RTDC4001\2017-12-31 --exclude "*" --recursive --include "*20171231*" &amp; "%USERPROFILE%\Documents\GitHub\mrs-test-scripts\Headless Mode &amp; Sideloading\WalkAndUnGZ.bat" "%USERPROFILE%\AppData\Local\Temp\OnboardLogs"\RTDC4001\2017-12-31 &amp; aws s3 cp s3://rtdc.mdm.uploadarchive.raw/RTDC4001/ "%USERPROFILE%\AppData\Local\Temp\OnboardLogs"\RTDC4001\2018-01-01 --exclude "*" --recursive --include "*20180101*" &amp; "%USERPROFILE%\Documents\GitHub\mrs-test-scripts\Headless Mode &amp; Sideloading\WalkAndUnGZ.bat" "%USERPROFILE%\AppData\Local\Temp\OnboardLogs"\RTDC4001\2018-01-01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/stypes="app*4001*20171231*" /stext=" 17:.+((SYSTEM_STATE.+slice.+state.+changed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142-31 --locoid 4001 --swversion DE.1.0.9.0 --startMP 204:232927 --initTime 2017-12-31T09:34:38 --startdatetime 2017-12-31T09:42:14 --delay 78 --endMP 204:194 --enddatetime 2017-12-31T10:20:48 --enforcementcount 0 &gt;&gt;%USERPROFILE%\Documents\GitHub\eaglep3-reporting\EC\2017-12-31-refined-times.txt</v>
      </c>
      <c r="AI56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{"issue":{"subject":"","project_id":79,"tracker_id":40,"status_id":1,"priority_id":2,"assigned_to_id":338,"start_date":"2017-12-31","description":"","custom_fields":[{"id":1,"name":"Subdivision","value":"EC"},{"id":4,"name":"Milepost","value":"0.0194"},{"id":17,"name":"Train ID","value":"142-31"},{"id":16,"name":"Locomotive ID","value":"4001"},{"id":130,"name":"Impact","value":""},{"id":150,"name":"Time of Event (Mountain Time)","value":"10:20:48"},{"id":151,"name":"Denver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4001 --day 2017-12-31</v>
      </c>
      <c r="AN56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17:20:48"},{"id":29,"name":"Sharepoint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2017-12-31T08:34:38-0700',mode:absolute,to:'2017-12-31T11:20:48-0700'))&amp;_a=(columns:!('Message%20ID',Summary),filters:!(),index:'emp_*',interval:auto,query:(query_string:(analyze_wildcard:!t,query:'%22rtdc.l.rtdc.4001%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744</v>
      </c>
      <c r="B57" s="225">
        <v>4018</v>
      </c>
      <c r="C57" s="227" t="s">
        <v>192</v>
      </c>
      <c r="D57" s="227" t="s">
        <v>518</v>
      </c>
      <c r="E57" s="226">
        <v>43100.370474537034</v>
      </c>
      <c r="F57" s="226">
        <v>43100.375277777777</v>
      </c>
      <c r="G57" s="225">
        <v>44</v>
      </c>
      <c r="H57" s="227" t="s">
        <v>554</v>
      </c>
      <c r="I57" s="226">
        <v>43100.399942129632</v>
      </c>
      <c r="J57" s="225">
        <v>0</v>
      </c>
      <c r="K57" s="237" t="str">
        <f>IF(ISEVEN(B57),(B57-1)&amp;"/"&amp;B57,B57&amp;"/"&amp;(B57+1))</f>
        <v>4017/4018</v>
      </c>
      <c r="L57" s="245" t="str">
        <f>VLOOKUP(A57,'Trips&amp;Operators'!$C$1:$G$99911,5,FALSE)</f>
        <v>MAELZER KURT</v>
      </c>
      <c r="M57" s="224">
        <f>I57-F57</f>
        <v>2.4664351854880806E-2</v>
      </c>
      <c r="N57" s="225">
        <f>24*60*SUM($M57:$M57)</f>
        <v>35.516666671028361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-31T07:53:29-0700',mode:absolute,to:'2017-12-31T10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4.7800000000000002E-2</v>
      </c>
      <c r="Z57" s="247">
        <f>RIGHT(H57,LEN(H57)-4)/10000</f>
        <v>23.331199999999999</v>
      </c>
      <c r="AA57" s="247">
        <f>ABS(Z57-Y57)</f>
        <v>23.2834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143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/stypes="app*4018*20171231*"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143-31 --locoid 4018 --swversion DE.1.0.9.0 --startMP 204:478 --initTime 2017-12-31T08:53:29 --startdatetime 2017-12-31T09:00:24 --delay 44 --endMP 204:233312 --enddatetime 2017-12-31T09:35:55 --enforcementcount 0 &gt;&gt;%USERPROFILE%\Documents\GitHub\eaglep3-reporting\EC\2017-12-31-refined-times.txt</v>
      </c>
      <c r="AI57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{"issue":{"subject":"","project_id":79,"tracker_id":40,"status_id":1,"priority_id":2,"assigned_to_id":338,"start_date":"2017-12-31","description":"","custom_fields":[{"id":1,"name":"Subdivision","value":"EC"},{"id":4,"name":"Milepost","value":"23.3312"},{"id":17,"name":"Train ID","value":"143-31"},{"id":16,"name":"Locomotive ID","value":"4018"},{"id":130,"name":"Impact","value":""},{"id":150,"name":"Time of Event (Mountain Time)","value":"09:35:55"},{"id":151,"name":"Denver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4018 --day 2017-12-31</v>
      </c>
      <c r="AN57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16:35:55"},{"id":29,"name":"Sharepoint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2017-12-31T07:53:29-0700',mode:absolute,to:'2017-12-31T10:35:55-0700'))&amp;_a=(columns:!('Message%20ID',Summary),filters:!(),index:'emp_*',interval:auto,query:(query_string:(analyze_wildcard:!t,query:'%22rtdc.l.rtdc.4018%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753</v>
      </c>
      <c r="B58" s="225">
        <v>4017</v>
      </c>
      <c r="C58" s="227" t="s">
        <v>192</v>
      </c>
      <c r="D58" s="227" t="s">
        <v>625</v>
      </c>
      <c r="E58" s="226">
        <v>43100.409884259258</v>
      </c>
      <c r="F58" s="226">
        <v>43100.414988425924</v>
      </c>
      <c r="G58" s="225">
        <v>55</v>
      </c>
      <c r="H58" s="227" t="s">
        <v>513</v>
      </c>
      <c r="I58" s="226">
        <v>43100.44085648148</v>
      </c>
      <c r="J58" s="225">
        <v>0</v>
      </c>
      <c r="K58" s="237" t="str">
        <f>IF(ISEVEN(B58),(B58-1)&amp;"/"&amp;B58,B58&amp;"/"&amp;(B58+1))</f>
        <v>4017/4018</v>
      </c>
      <c r="L58" s="245" t="str">
        <f>VLOOKUP(A58,'Trips&amp;Operators'!$C$1:$G$99911,5,FALSE)</f>
        <v>MAELZER KURT</v>
      </c>
      <c r="M58" s="224">
        <f>I58-F58</f>
        <v>2.5868055556202307E-2</v>
      </c>
      <c r="N58" s="225">
        <f>24*60*SUM($M58:$M58)</f>
        <v>37.250000000931323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-12-31T08:50:14-0700',mode:absolute,to:'2017-12-31T11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23.299399999999999</v>
      </c>
      <c r="Z58" s="247">
        <f>RIGHT(H58,LEN(H58)-4)/10000</f>
        <v>1.5800000000000002E-2</v>
      </c>
      <c r="AA58" s="247">
        <f>ABS(Z58-Y58)</f>
        <v>23.2836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144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s3://rtdc.mdm.uploadarchive.raw/RTDC4017/ "%USERPROFILE%\AppData\Local\Temp\OnboardLogs"\RTDC4017\2017-12-31 --exclude "*" --recursive --include "*20171231*" &amp; "%USERPROFILE%\Documents\GitHub\mrs-test-scripts\Headless Mode &amp; Sideloading\WalkAndUnGZ.bat" "%USERPROFILE%\AppData\Local\Temp\OnboardLogs"\RTDC4017\2017-12-31 &amp; aws s3 cp s3://rtdc.mdm.uploadarchive.raw/RTDC4017/ "%USERPROFILE%\AppData\Local\Temp\OnboardLogs"\RTDC4017\2018-01-01 --exclude "*" --recursive --include "*20180101*" &amp; "%USERPROFILE%\Documents\GitHub\mrs-test-scripts\Headless Mode &amp; Sideloading\WalkAndUnGZ.bat" "%USERPROFILE%\AppData\Local\Temp\OnboardLogs"\RTDC4017\2018-01-01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/stypes="app*4017*20171231*"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144-31 --locoid 4017 --swversion DE.1.0.9.0 --startMP 204:232994 --initTime 2017-12-31T09:50:14 --startdatetime 2017-12-31T09:57:35 --delay 55 --endMP 204:158 --enddatetime 2017-12-31T10:34:50 --enforcementcount 0 &gt;&gt;%USERPROFILE%\Documents\GitHub\eaglep3-reporting\EC\2017-12-31-refined-times.txt</v>
      </c>
      <c r="AI58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{"issue":{"subject":"","project_id":79,"tracker_id":40,"status_id":1,"priority_id":2,"assigned_to_id":338,"start_date":"2017-12-31","description":"","custom_fields":[{"id":1,"name":"Subdivision","value":"EC"},{"id":4,"name":"Milepost","value":"0.0158"},{"id":17,"name":"Train ID","value":"144-31"},{"id":16,"name":"Locomotive ID","value":"4017"},{"id":130,"name":"Impact","value":""},{"id":150,"name":"Time of Event (Mountain Time)","value":"10:34:50"},{"id":151,"name":"Denver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4017 --day 2017-12-31</v>
      </c>
      <c r="AN58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17:34:50"},{"id":29,"name":"Sharepoint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2017-12-31T08:50:14-0700',mode:absolute,to:'2017-12-31T11:34:50-0700'))&amp;_a=(columns:!('Message%20ID',Summary),filters:!(),index:'emp_*',interval:auto,query:(query_string:(analyze_wildcard:!t,query:'%22rtdc.l.rtdc.4017%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747</v>
      </c>
      <c r="B59" s="225">
        <v>4016</v>
      </c>
      <c r="C59" s="227" t="s">
        <v>192</v>
      </c>
      <c r="D59" s="227" t="s">
        <v>892</v>
      </c>
      <c r="E59" s="226">
        <v>43100.380648148152</v>
      </c>
      <c r="F59" s="226">
        <v>43100.385706018518</v>
      </c>
      <c r="G59" s="225">
        <v>70</v>
      </c>
      <c r="H59" s="227" t="s">
        <v>645</v>
      </c>
      <c r="I59" s="226">
        <v>43100.409791666665</v>
      </c>
      <c r="J59" s="225">
        <v>0</v>
      </c>
      <c r="K59" s="237" t="str">
        <f>IF(ISEVEN(B59),(B59-1)&amp;"/"&amp;B59,B59&amp;"/"&amp;(B59+1))</f>
        <v>4015/4016</v>
      </c>
      <c r="L59" s="245" t="str">
        <f>VLOOKUP(A59,'Trips&amp;Operators'!$C$1:$G$99911,5,FALSE)</f>
        <v>LAMAR NEKESHA</v>
      </c>
      <c r="M59" s="224">
        <f>I59-F59</f>
        <v>2.4085648146865424E-2</v>
      </c>
      <c r="N59" s="225">
        <f>24*60*SUM($M59:$M59)</f>
        <v>34.68333333148621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-31T08:08:08-0700',mode:absolute,to:'2017-12-31T10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4.7699999999999999E-2</v>
      </c>
      <c r="Z59" s="247">
        <f>RIGHT(H59,LEN(H59)-4)/10000</f>
        <v>23.3293</v>
      </c>
      <c r="AA59" s="247">
        <f>ABS(Z59-Y59)</f>
        <v>23.281600000000001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145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s3://rtdc.mdm.uploadarchive.raw/RTDC4016/ "%USERPROFILE%\AppData\Local\Temp\OnboardLogs"\RTDC4016\2017-12-31 --exclude "*" --recursive --include "*20171231*" &amp; "%USERPROFILE%\Documents\GitHub\mrs-test-scripts\Headless Mode &amp; Sideloading\WalkAndUnGZ.bat" "%USERPROFILE%\AppData\Local\Temp\OnboardLogs"\RTDC4016\2017-12-31 &amp; aws s3 cp s3://rtdc.mdm.uploadarchive.raw/RTDC4016/ "%USERPROFILE%\AppData\Local\Temp\OnboardLogs"\RTDC4016\2018-01-01 --exclude "*" --recursive --include "*20180101*" &amp; "%USERPROFILE%\Documents\GitHub\mrs-test-scripts\Headless Mode &amp; Sideloading\WalkAndUnGZ.bat" "%USERPROFILE%\AppData\Local\Temp\OnboardLogs"\RTDC4016\2018-01-01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/stypes="app*4016*20171231*" /stext=" 16:.+((SYSTEM_STATE.+slice.+state.+changed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145-31 --locoid 4016 --swversion DE.1.0.9.0 --startMP 204:477 --initTime 2017-12-31T09:08:08 --startdatetime 2017-12-31T09:15:25 --delay 70 --endMP 204:233293 --enddatetime 2017-12-31T09:50:06 --enforcementcount 0 &gt;&gt;%USERPROFILE%\Documents\GitHub\eaglep3-reporting\EC\2017-12-31-refined-times.txt</v>
      </c>
      <c r="AI59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{"issue":{"subject":"","project_id":79,"tracker_id":40,"status_id":1,"priority_id":2,"assigned_to_id":338,"start_date":"2017-12-31","description":"","custom_fields":[{"id":1,"name":"Subdivision","value":"EC"},{"id":4,"name":"Milepost","value":"23.3293"},{"id":17,"name":"Train ID","value":"145-31"},{"id":16,"name":"Locomotive ID","value":"4016"},{"id":130,"name":"Impact","value":""},{"id":150,"name":"Time of Event (Mountain Time)","value":"09:50:06"},{"id":151,"name":"Denver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4016 --day 2017-12-31</v>
      </c>
      <c r="AN59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16:50:06"},{"id":29,"name":"Sharepoint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2017-12-31T08:08:08-0700',mode:absolute,to:'2017-12-31T10:50:06-0700'))&amp;_a=(columns:!('Message%20ID',Summary),filters:!(),index:'emp_*',interval:auto,query:(query_string:(analyze_wildcard:!t,query:'%22rtdc.l.rtdc.4016%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755</v>
      </c>
      <c r="B60" s="225">
        <v>4015</v>
      </c>
      <c r="C60" s="227" t="s">
        <v>192</v>
      </c>
      <c r="D60" s="227" t="s">
        <v>552</v>
      </c>
      <c r="E60" s="226">
        <v>43100.422037037039</v>
      </c>
      <c r="F60" s="226">
        <v>43100.425185185188</v>
      </c>
      <c r="G60" s="225">
        <v>63</v>
      </c>
      <c r="H60" s="227" t="s">
        <v>651</v>
      </c>
      <c r="I60" s="226">
        <v>43100.451319444444</v>
      </c>
      <c r="J60" s="225">
        <v>0</v>
      </c>
      <c r="K60" s="237" t="str">
        <f>IF(ISEVEN(B60),(B60-1)&amp;"/"&amp;B60,B60&amp;"/"&amp;(B60+1))</f>
        <v>4015/4016</v>
      </c>
      <c r="L60" s="245" t="str">
        <f>VLOOKUP(A60,'Trips&amp;Operators'!$C$1:$G$99911,5,FALSE)</f>
        <v>LAMAR NEKESHA</v>
      </c>
      <c r="M60" s="224">
        <f>I60-F60</f>
        <v>2.6134259256650694E-2</v>
      </c>
      <c r="N60" s="225">
        <f>24*60*SUM($M60:$M60)</f>
        <v>37.633333329576999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-12-31T09:07:44-0700',mode:absolute,to:'2017-12-31T11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23.297699999999999</v>
      </c>
      <c r="Z60" s="247">
        <f>RIGHT(H60,LEN(H60)-4)/10000</f>
        <v>1.67E-2</v>
      </c>
      <c r="AA60" s="247">
        <f>ABS(Z60-Y60)</f>
        <v>23.280999999999999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146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s3://rtdc.mdm.uploadarchive.raw/RTDC4015/ "%USERPROFILE%\AppData\Local\Temp\OnboardLogs"\RTDC4015\2017-12-31 --exclude "*" --recursive --include "*20171231*" &amp; "%USERPROFILE%\Documents\GitHub\mrs-test-scripts\Headless Mode &amp; Sideloading\WalkAndUnGZ.bat" "%USERPROFILE%\AppData\Local\Temp\OnboardLogs"\RTDC4015\2017-12-31 &amp; 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/stypes="app*4015*20171231*" /stext=" 17:.+((SYSTEM_STATE.+slice.+state.+changed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146-31 --locoid 4015 --swversion DE.1.0.9.0 --startMP 204:232977 --initTime 2017-12-31T10:07:44 --startdatetime 2017-12-31T10:12:16 --delay 63 --endMP 204:167 --enddatetime 2017-12-31T10:49:54 --enforcementcount 0 &gt;&gt;%USERPROFILE%\Documents\GitHub\eaglep3-reporting\EC\2017-12-31-refined-times.txt</v>
      </c>
      <c r="AI60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{"issue":{"subject":"","project_id":79,"tracker_id":40,"status_id":1,"priority_id":2,"assigned_to_id":338,"start_date":"2017-12-31","description":"","custom_fields":[{"id":1,"name":"Subdivision","value":"EC"},{"id":4,"name":"Milepost","value":"0.0167"},{"id":17,"name":"Train ID","value":"146-31"},{"id":16,"name":"Locomotive ID","value":"4015"},{"id":130,"name":"Impact","value":""},{"id":150,"name":"Time of Event (Mountain Time)","value":"10:49:54"},{"id":151,"name":"Denver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4015 --day 2017-12-31</v>
      </c>
      <c r="AN60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17:49:54"},{"id":29,"name":"Sharepoint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2017-12-31T09:07:44-0700',mode:absolute,to:'2017-12-31T11:49:54-0700'))&amp;_a=(columns:!('Message%20ID',Summary),filters:!(),index:'emp_*',interval:auto,query:(query_string:(analyze_wildcard:!t,query:'%22rtdc.l.rtdc.4015%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748</v>
      </c>
      <c r="B61" s="225">
        <v>4034</v>
      </c>
      <c r="C61" s="227" t="s">
        <v>192</v>
      </c>
      <c r="D61" s="227" t="s">
        <v>525</v>
      </c>
      <c r="E61" s="226">
        <v>43100.38962962963</v>
      </c>
      <c r="F61" s="226">
        <v>43100.396018518521</v>
      </c>
      <c r="G61" s="225">
        <v>72</v>
      </c>
      <c r="H61" s="227" t="s">
        <v>893</v>
      </c>
      <c r="I61" s="226">
        <v>43100.420057870368</v>
      </c>
      <c r="J61" s="225">
        <v>0</v>
      </c>
      <c r="K61" s="237" t="str">
        <f>IF(ISEVEN(B61),(B61-1)&amp;"/"&amp;B61,B61&amp;"/"&amp;(B61+1))</f>
        <v>4033/4034</v>
      </c>
      <c r="L61" s="245" t="str">
        <f>VLOOKUP(A61,'Trips&amp;Operators'!$C$1:$G$99911,5,FALSE)</f>
        <v>LOPES KIMBERLY</v>
      </c>
      <c r="M61" s="224">
        <f>I61-F61</f>
        <v>2.4039351847022772E-2</v>
      </c>
      <c r="N61" s="225">
        <f>24*60*SUM($M61:$M61)</f>
        <v>34.616666659712791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-12-31T08:21:04-0700',mode:absolute,to:'2017-12-31T11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4.9700000000000001E-2</v>
      </c>
      <c r="Z61" s="247">
        <f>RIGHT(H61,LEN(H61)-4)/10000</f>
        <v>23.325900000000001</v>
      </c>
      <c r="AA61" s="247">
        <f>ABS(Z61-Y61)</f>
        <v>23.276199999999999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147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 &amp; aws s3 cp s3://rtdc.mdm.uploadarchive.raw/RTDC4034/ "%USERPROFILE%\AppData\Local\Temp\OnboardLogs"\RTDC4034\2018-01-01 --exclude "*" --recursive --include "*20180101*" &amp; "%USERPROFILE%\Documents\GitHub\mrs-test-scripts\Headless Mode &amp; Sideloading\WalkAndUnGZ.bat" "%USERPROFILE%\AppData\Local\Temp\OnboardLogs"\RTDC4034\2018-01-01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/stypes="app*4034*20171231*" /stext=" 17:.+((SYSTEM_STATE.+slice.+state.+changed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147-31 --locoid 4034 --swversion DE.1.0.9.0 --startMP 204:497 --initTime 2017-12-31T09:21:04 --startdatetime 2017-12-31T09:30:16 --delay 72 --endMP 204:233259 --enddatetime 2017-12-31T10:04:53 --enforcementcount 0 &gt;&gt;%USERPROFILE%\Documents\GitHub\eaglep3-reporting\EC\2017-12-31-refined-times.txt</v>
      </c>
      <c r="AI61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{"issue":{"subject":"","project_id":79,"tracker_id":40,"status_id":1,"priority_id":2,"assigned_to_id":338,"start_date":"2017-12-31","description":"","custom_fields":[{"id":1,"name":"Subdivision","value":"EC"},{"id":4,"name":"Milepost","value":"23.3259"},{"id":17,"name":"Train ID","value":"147-31"},{"id":16,"name":"Locomotive ID","value":"4034"},{"id":130,"name":"Impact","value":""},{"id":150,"name":"Time of Event (Mountain Time)","value":"10:04:53"},{"id":151,"name":"Denver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4034 --day 2017-12-31</v>
      </c>
      <c r="AN61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17:04:53"},{"id":29,"name":"Sharepoint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2017-12-31T08:21:04-0700',mode:absolute,to:'2017-12-31T11:04:53-0700'))&amp;_a=(columns:!('Message%20ID',Summary),filters:!(),index:'emp_*',interval:auto,query:(query_string:(analyze_wildcard:!t,query:'%22rtdc.l.rtdc.4034%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679</v>
      </c>
      <c r="B62" s="225">
        <v>4033</v>
      </c>
      <c r="C62" s="227" t="s">
        <v>192</v>
      </c>
      <c r="D62" s="227" t="s">
        <v>894</v>
      </c>
      <c r="E62" s="226">
        <v>43100.425416666665</v>
      </c>
      <c r="F62" s="226">
        <v>43100.435706018521</v>
      </c>
      <c r="G62" s="225">
        <v>54</v>
      </c>
      <c r="H62" s="227" t="s">
        <v>895</v>
      </c>
      <c r="I62" s="226">
        <v>43100.462685185186</v>
      </c>
      <c r="J62" s="225">
        <v>0</v>
      </c>
      <c r="K62" s="237" t="str">
        <f>IF(ISEVEN(B62),(B62-1)&amp;"/"&amp;B62,B62&amp;"/"&amp;(B62+1))</f>
        <v>4033/4034</v>
      </c>
      <c r="L62" s="245" t="str">
        <f>VLOOKUP(A62,'Trips&amp;Operators'!$C$1:$G$99911,5,FALSE)</f>
        <v>LOPES KIMBERLY</v>
      </c>
      <c r="M62" s="224">
        <f>I62-F62</f>
        <v>2.6979166665114462E-2</v>
      </c>
      <c r="N62" s="225">
        <f>24*60*SUM($M62:$M62)</f>
        <v>38.849999997764826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-12-31T09:12:36-0700',mode:absolute,to:'2017-12-31T12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23.294899999999998</v>
      </c>
      <c r="Z62" s="247">
        <f>RIGHT(H62,LEN(H62)-4)/10000</f>
        <v>2.1100000000000001E-2</v>
      </c>
      <c r="AA62" s="247">
        <f>ABS(Z62-Y62)</f>
        <v>23.273799999999998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148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/stypes="app*4033*20171231*" /stext=" 18:.+((SYSTEM_STATE.+slice.+state.+changed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148-31 --locoid 4033 --swversion DE.1.0.9.0 --startMP 204:232949 --initTime 2017-12-31T10:12:36 --startdatetime 2017-12-31T10:27:25 --delay 54 --endMP 204:211 --enddatetime 2017-12-31T11:06:16 --enforcementcount 0 &gt;&gt;%USERPROFILE%\Documents\GitHub\eaglep3-reporting\EC\2017-12-31-refined-times.txt</v>
      </c>
      <c r="AI62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{"issue":{"subject":"","project_id":79,"tracker_id":40,"status_id":1,"priority_id":2,"assigned_to_id":338,"start_date":"2017-12-31","description":"","custom_fields":[{"id":1,"name":"Subdivision","value":"EC"},{"id":4,"name":"Milepost","value":"0.0211"},{"id":17,"name":"Train ID","value":"148-31"},{"id":16,"name":"Locomotive ID","value":"4033"},{"id":130,"name":"Impact","value":""},{"id":150,"name":"Time of Event (Mountain Time)","value":"11:06:16"},{"id":151,"name":"Denver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4033 --day 2017-12-31</v>
      </c>
      <c r="AN62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18:06:16"},{"id":29,"name":"Sharepoint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2017-12-31T09:12:36-0700',mode:absolute,to:'2017-12-31T12:06:16-0700'))&amp;_a=(columns:!('Message%20ID',Summary),filters:!(),index:'emp_*',interval:auto,query:(query_string:(analyze_wildcard:!t,query:'%22rtdc.l.rtdc.4033%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752</v>
      </c>
      <c r="B63" s="225">
        <v>4062</v>
      </c>
      <c r="C63" s="227" t="s">
        <v>192</v>
      </c>
      <c r="D63" s="227" t="s">
        <v>896</v>
      </c>
      <c r="E63" s="226">
        <v>43100.400034722225</v>
      </c>
      <c r="F63" s="226">
        <v>43100.406423611108</v>
      </c>
      <c r="G63" s="225">
        <v>148</v>
      </c>
      <c r="H63" s="227" t="s">
        <v>881</v>
      </c>
      <c r="I63" s="226">
        <v>43100.431041666663</v>
      </c>
      <c r="J63" s="225">
        <v>0</v>
      </c>
      <c r="K63" s="237" t="str">
        <f>IF(ISEVEN(B63),(B63-1)&amp;"/"&amp;B63,B63&amp;"/"&amp;(B63+1))</f>
        <v>4061/4062</v>
      </c>
      <c r="L63" s="245" t="str">
        <f>VLOOKUP(A63,'Trips&amp;Operators'!$C$1:$G$99911,5,FALSE)</f>
        <v>DELGADO DIANAH</v>
      </c>
      <c r="M63" s="224">
        <f>I63-F63</f>
        <v>2.4618055555038154E-2</v>
      </c>
      <c r="N63" s="225">
        <f>24*60*SUM($M63:$M63)</f>
        <v>35.449999999254942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-31T08:36:03-0700',mode:absolute,to:'2017-12-31T11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4.5100000000000001E-2</v>
      </c>
      <c r="Z63" s="247">
        <f>RIGHT(H63,LEN(H63)-4)/10000</f>
        <v>23.328800000000001</v>
      </c>
      <c r="AA63" s="247">
        <f>ABS(Z63-Y63)</f>
        <v>23.2837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149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 &amp; 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/stypes="app*4062*20171231*" /stext=" 17:.+((SYSTEM_STATE.+slice.+state.+changed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149-31 --locoid 4062 --swversion DE.1.0.9.0 --startMP 204:451 --initTime 2017-12-31T09:36:03 --startdatetime 2017-12-31T09:45:15 --delay 148 --endMP 204:233288 --enddatetime 2017-12-31T10:20:42 --enforcementcount 0 &gt;&gt;%USERPROFILE%\Documents\GitHub\eaglep3-reporting\EC\2017-12-31-refined-times.txt</v>
      </c>
      <c r="AI63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{"issue":{"subject":"","project_id":79,"tracker_id":40,"status_id":1,"priority_id":2,"assigned_to_id":338,"start_date":"2017-12-31","description":"","custom_fields":[{"id":1,"name":"Subdivision","value":"EC"},{"id":4,"name":"Milepost","value":"23.3288"},{"id":17,"name":"Train ID","value":"149-31"},{"id":16,"name":"Locomotive ID","value":"4062"},{"id":130,"name":"Impact","value":""},{"id":150,"name":"Time of Event (Mountain Time)","value":"10:20:42"},{"id":151,"name":"Denver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4062 --day 2017-12-31</v>
      </c>
      <c r="AN63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17:20:42"},{"id":29,"name":"Sharepoint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2017-12-31T08:36:03-0700',mode:absolute,to:'2017-12-31T11:20:42-0700'))&amp;_a=(columns:!('Message%20ID',Summary),filters:!(),index:'emp_*',interval:auto,query:(query_string:(analyze_wildcard:!t,query:'%22rtdc.l.rtdc.4062%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759</v>
      </c>
      <c r="B64" s="225">
        <v>4061</v>
      </c>
      <c r="C64" s="227" t="s">
        <v>192</v>
      </c>
      <c r="D64" s="227" t="s">
        <v>897</v>
      </c>
      <c r="E64" s="226">
        <v>43100.438518518517</v>
      </c>
      <c r="F64" s="226">
        <v>43100.446018518516</v>
      </c>
      <c r="G64" s="225">
        <v>104</v>
      </c>
      <c r="H64" s="227" t="s">
        <v>513</v>
      </c>
      <c r="I64" s="226">
        <v>43100.471909722219</v>
      </c>
      <c r="J64" s="225">
        <v>0</v>
      </c>
      <c r="K64" s="237" t="str">
        <f>IF(ISEVEN(B64),(B64-1)&amp;"/"&amp;B64,B64&amp;"/"&amp;(B64+1))</f>
        <v>4061/4062</v>
      </c>
      <c r="L64" s="245" t="str">
        <f>VLOOKUP(A64,'Trips&amp;Operators'!$C$1:$G$99911,5,FALSE)</f>
        <v>DELGADO DIANAH</v>
      </c>
      <c r="M64" s="224">
        <f>I64-F64</f>
        <v>2.5891203702485655E-2</v>
      </c>
      <c r="N64" s="225">
        <f>24*60*SUM($M64:$M64)</f>
        <v>37.283333331579342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-12-31T09:31:28-0700',mode:absolute,to:'2017-12-31T12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23.296299999999999</v>
      </c>
      <c r="Z64" s="247">
        <f>RIGHT(H64,LEN(H64)-4)/10000</f>
        <v>1.5800000000000002E-2</v>
      </c>
      <c r="AA64" s="247">
        <f>ABS(Z64-Y64)</f>
        <v>23.2805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150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 &amp; aws s3 cp s3://rtdc.mdm.uploadarchive.raw/RTDC4061/ "%USERPROFILE%\AppData\Local\Temp\OnboardLogs"\RTDC4061\2018-01-01 --exclude "*" --recursive --include "*20180101*" &amp; "%USERPROFILE%\Documents\GitHub\mrs-test-scripts\Headless Mode &amp; Sideloading\WalkAndUnGZ.bat" "%USERPROFILE%\AppData\Local\Temp\OnboardLogs"\RTDC4061\2018-01-01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/stypes="app*4061*20171231*" /stext=" 18:.+((SYSTEM_STATE.+slice.+state.+changed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150-31 --locoid 4061 --swversion DE.1.0.9.0 --startMP 204:232963 --initTime 2017-12-31T10:31:28 --startdatetime 2017-12-31T10:42:16 --delay 104 --endMP 204:158 --enddatetime 2017-12-31T11:19:33 --enforcementcount 0 &gt;&gt;%USERPROFILE%\Documents\GitHub\eaglep3-reporting\EC\2017-12-31-refined-times.txt</v>
      </c>
      <c r="AI64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{"issue":{"subject":"","project_id":79,"tracker_id":40,"status_id":1,"priority_id":2,"assigned_to_id":338,"start_date":"2017-12-31","description":"","custom_fields":[{"id":1,"name":"Subdivision","value":"EC"},{"id":4,"name":"Milepost","value":"0.0158"},{"id":17,"name":"Train ID","value":"150-31"},{"id":16,"name":"Locomotive ID","value":"4061"},{"id":130,"name":"Impact","value":""},{"id":150,"name":"Time of Event (Mountain Time)","value":"11:19:33"},{"id":151,"name":"Denver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4061 --day 2017-12-31</v>
      </c>
      <c r="AN64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18:19:33"},{"id":29,"name":"Sharepoint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2017-12-31T09:31:28-0700',mode:absolute,to:'2017-12-31T12:19:33-0700'))&amp;_a=(columns:!('Message%20ID',Summary),filters:!(),index:'emp_*',interval:auto,query:(query_string:(analyze_wildcard:!t,query:'%22rtdc.l.rtdc.4061%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754</v>
      </c>
      <c r="B65" s="225">
        <v>4052</v>
      </c>
      <c r="C65" s="227" t="s">
        <v>192</v>
      </c>
      <c r="D65" s="227" t="s">
        <v>898</v>
      </c>
      <c r="E65" s="226">
        <v>43100.411550925928</v>
      </c>
      <c r="F65" s="226">
        <v>43100.416851851849</v>
      </c>
      <c r="G65" s="225">
        <v>53</v>
      </c>
      <c r="H65" s="227" t="s">
        <v>585</v>
      </c>
      <c r="I65" s="226">
        <v>43100.441180555557</v>
      </c>
      <c r="J65" s="225">
        <v>0</v>
      </c>
      <c r="K65" s="237" t="str">
        <f>IF(ISEVEN(B65),(B65-1)&amp;"/"&amp;B65,B65&amp;"/"&amp;(B65+1))</f>
        <v>4051/4052</v>
      </c>
      <c r="L65" s="245" t="str">
        <f>VLOOKUP(A65,'Trips&amp;Operators'!$C$1:$G$99911,5,FALSE)</f>
        <v>GEBRETEKLE DAGNEW</v>
      </c>
      <c r="M65" s="224">
        <f>I65-F65</f>
        <v>2.4328703708306421E-2</v>
      </c>
      <c r="N65" s="225">
        <f>24*60*SUM($M65:$M65)</f>
        <v>35.033333339961246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-12-31T08:52:38-0700',mode:absolute,to:'2017-12-31T11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4.6899999999999997E-2</v>
      </c>
      <c r="Z65" s="247">
        <f>RIGHT(H65,LEN(H65)-4)/10000</f>
        <v>23.333200000000001</v>
      </c>
      <c r="AA65" s="247">
        <f>ABS(Z65-Y65)</f>
        <v>23.286300000000001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151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s3://rtdc.mdm.uploadarchive.raw/RTDC4052/ "%USERPROFILE%\AppData\Local\Temp\OnboardLogs"\RTDC4052\2017-12-31 --exclude "*" --recursive --include "*20171231*" &amp; "%USERPROFILE%\Documents\GitHub\mrs-test-scripts\Headless Mode &amp; Sideloading\WalkAndUnGZ.bat" "%USERPROFILE%\AppData\Local\Temp\OnboardLogs"\RTDC4052\2017-12-31 &amp; aws s3 cp s3://rtdc.mdm.uploadarchive.raw/RTDC4052/ "%USERPROFILE%\AppData\Local\Temp\OnboardLogs"\RTDC4052\2018-01-01 --exclude "*" --recursive --include "*20180101*" &amp; "%USERPROFILE%\Documents\GitHub\mrs-test-scripts\Headless Mode &amp; Sideloading\WalkAndUnGZ.bat" "%USERPROFILE%\AppData\Local\Temp\OnboardLogs"\RTDC4052\2018-01-01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/stypes="app*4052*20171231*" /stext=" 17:.+((SYSTEM_STATE.+slice.+state.+changed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151-31 --locoid 4052 --swversion DE.1.0.9.0 --startMP 204:469 --initTime 2017-12-31T09:52:38 --startdatetime 2017-12-31T10:00:16 --delay 53 --endMP 204:233332 --enddatetime 2017-12-31T10:35:18 --enforcementcount 0 &gt;&gt;%USERPROFILE%\Documents\GitHub\eaglep3-reporting\EC\2017-12-31-refined-times.txt</v>
      </c>
      <c r="AI65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{"issue":{"subject":"","project_id":79,"tracker_id":40,"status_id":1,"priority_id":2,"assigned_to_id":338,"start_date":"2017-12-31","description":"","custom_fields":[{"id":1,"name":"Subdivision","value":"EC"},{"id":4,"name":"Milepost","value":"23.3332"},{"id":17,"name":"Train ID","value":"151-31"},{"id":16,"name":"Locomotive ID","value":"4052"},{"id":130,"name":"Impact","value":""},{"id":150,"name":"Time of Event (Mountain Time)","value":"10:35:18"},{"id":151,"name":"Denver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4052 --day 2017-12-31</v>
      </c>
      <c r="AN65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17:35:18"},{"id":29,"name":"Sharepoint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2017-12-31T08:52:38-0700',mode:absolute,to:'2017-12-31T11:35:18-0700'))&amp;_a=(columns:!('Message%20ID',Summary),filters:!(),index:'emp_*',interval:auto,query:(query_string:(analyze_wildcard:!t,query:'%22rtdc.l.rtdc.4052%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760</v>
      </c>
      <c r="B66" s="225">
        <v>4051</v>
      </c>
      <c r="C66" s="227" t="s">
        <v>192</v>
      </c>
      <c r="D66" s="227" t="s">
        <v>899</v>
      </c>
      <c r="E66" s="226">
        <v>43100.442337962966</v>
      </c>
      <c r="F66" s="226">
        <v>43100.456423611111</v>
      </c>
      <c r="G66" s="225">
        <v>47</v>
      </c>
      <c r="H66" s="227" t="s">
        <v>638</v>
      </c>
      <c r="I66" s="226">
        <v>43100.481631944444</v>
      </c>
      <c r="J66" s="225">
        <v>0</v>
      </c>
      <c r="K66" s="237" t="str">
        <f>IF(ISEVEN(B66),(B66-1)&amp;"/"&amp;B66,B66&amp;"/"&amp;(B66+1))</f>
        <v>4051/4052</v>
      </c>
      <c r="L66" s="245" t="str">
        <f>VLOOKUP(A66,'Trips&amp;Operators'!$C$1:$G$99911,5,FALSE)</f>
        <v>GEBRETEKLE DAGNEW</v>
      </c>
      <c r="M66" s="224">
        <f>I66-F66</f>
        <v>2.5208333332557231E-2</v>
      </c>
      <c r="N66" s="225">
        <f>24*60*SUM($M66:$M66)</f>
        <v>36.299999998882413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-31T09:36:58-0700',mode:absolute,to:'2017-12-31T12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23.3017</v>
      </c>
      <c r="Z66" s="247">
        <f>RIGHT(H66,LEN(H66)-4)/10000</f>
        <v>1.4999999999999999E-2</v>
      </c>
      <c r="AA66" s="247">
        <f>ABS(Z66-Y66)</f>
        <v>23.2867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152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s3://rtdc.mdm.uploadarchive.raw/RTDC4051/ "%USERPROFILE%\AppData\Local\Temp\OnboardLogs"\RTDC4051\2017-12-31 --exclude "*" --recursive --include "*20171231*" &amp; "%USERPROFILE%\Documents\GitHub\mrs-test-scripts\Headless Mode &amp; Sideloading\WalkAndUnGZ.bat" "%USERPROFILE%\AppData\Local\Temp\OnboardLogs"\RTDC4051\2017-12-31 &amp; aws s3 cp s3://rtdc.mdm.uploadarchive.raw/RTDC4051/ "%USERPROFILE%\AppData\Local\Temp\OnboardLogs"\RTDC4051\2018-01-01 --exclude "*" --recursive --include "*20180101*" &amp; "%USERPROFILE%\Documents\GitHub\mrs-test-scripts\Headless Mode &amp; Sideloading\WalkAndUnGZ.bat" "%USERPROFILE%\AppData\Local\Temp\OnboardLogs"\RTDC4051\2018-01-01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/stypes="app*4051*20171231*" /stext=" 18:.+((SYSTEM_STATE.+slice.+state.+changed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152-31 --locoid 4051 --swversion DE.1.0.9.0 --startMP 204:233017 --initTime 2017-12-31T10:36:58 --startdatetime 2017-12-31T10:57:15 --delay 47 --endMP 204:150 --enddatetime 2017-12-31T11:33:33 --enforcementcount 0 &gt;&gt;%USERPROFILE%\Documents\GitHub\eaglep3-reporting\EC\2017-12-31-refined-times.txt</v>
      </c>
      <c r="AI66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{"issue":{"subject":"","project_id":79,"tracker_id":40,"status_id":1,"priority_id":2,"assigned_to_id":338,"start_date":"2017-12-31","description":"","custom_fields":[{"id":1,"name":"Subdivision","value":"EC"},{"id":4,"name":"Milepost","value":"0.015"},{"id":17,"name":"Train ID","value":"152-31"},{"id":16,"name":"Locomotive ID","value":"4051"},{"id":130,"name":"Impact","value":""},{"id":150,"name":"Time of Event (Mountain Time)","value":"11:33:33"},{"id":151,"name":"Denver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4051 --day 2017-12-31</v>
      </c>
      <c r="AN66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18:33:33"},{"id":29,"name":"Sharepoint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2017-12-31T09:36:58-0700',mode:absolute,to:'2017-12-31T12:33:33-0700'))&amp;_a=(columns:!('Message%20ID',Summary),filters:!(),index:'emp_*',interval:auto,query:(query_string:(analyze_wildcard:!t,query:'%22rtdc.l.rtdc.4051%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678</v>
      </c>
      <c r="B67" s="225">
        <v>4012</v>
      </c>
      <c r="C67" s="227" t="s">
        <v>192</v>
      </c>
      <c r="D67" s="227" t="s">
        <v>900</v>
      </c>
      <c r="E67" s="226">
        <v>43100.423067129632</v>
      </c>
      <c r="F67" s="226">
        <v>43100.427245370367</v>
      </c>
      <c r="G67" s="225">
        <v>100</v>
      </c>
      <c r="H67" s="227" t="s">
        <v>881</v>
      </c>
      <c r="I67" s="226">
        <v>43100.452048611114</v>
      </c>
      <c r="J67" s="225">
        <v>0</v>
      </c>
      <c r="K67" s="237" t="str">
        <f>IF(ISEVEN(B67),(B67-1)&amp;"/"&amp;B67,B67&amp;"/"&amp;(B67+1))</f>
        <v>4011/4012</v>
      </c>
      <c r="L67" s="245" t="str">
        <f>VLOOKUP(A67,'Trips&amp;Operators'!$C$1:$G$99911,5,FALSE)</f>
        <v>BROWN JACOB</v>
      </c>
      <c r="M67" s="224">
        <f>I67-F67</f>
        <v>2.4803240747132804E-2</v>
      </c>
      <c r="N67" s="225">
        <f>24*60*SUM($M67:$M67)</f>
        <v>35.716666675871238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-12-31T09:09:13-0700',mode:absolute,to:'2017-12-31T11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4.6199999999999998E-2</v>
      </c>
      <c r="Z67" s="247">
        <f>RIGHT(H67,LEN(H67)-4)/10000</f>
        <v>23.328800000000001</v>
      </c>
      <c r="AA67" s="247">
        <f>ABS(Z67-Y67)</f>
        <v>23.282600000000002</v>
      </c>
      <c r="AB67" s="233" t="str">
        <f>VLOOKUP(A67,Enforcements!$C$7:$K$9,8,0)</f>
        <v>Bulletin (2)</v>
      </c>
      <c r="AC67" s="232" t="str">
        <f>VLOOKUP(A67,Enforcements!$C$7:$E$9,3,0)</f>
        <v>GRADE CROSSING</v>
      </c>
      <c r="AD67" s="243">
        <f>VALUE(LEFT(A67,LEN(A67)-3))</f>
        <v>153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/stypes="app*4012*20171231*" /stext=" 17:.+((SYSTEM_STATE.+slice.+state.+changed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153-31 --locoid 4012 --swversion DE.1.0.9.0 --startMP 204:462 --initTime 2017-12-31T10:09:13 --startdatetime 2017-12-31T10:15:14 --delay 100 --endMP 204:233288 --enddatetime 2017-12-31T10:50:57 --enforcementcount 0 &gt;&gt;%USERPROFILE%\Documents\GitHub\eaglep3-reporting\EC\2017-12-31-refined-times.txt</v>
      </c>
      <c r="AI67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{"issue":{"subject":"","project_id":79,"tracker_id":40,"status_id":1,"priority_id":2,"assigned_to_id":338,"start_date":"2017-12-31","description":"","custom_fields":[{"id":1,"name":"Subdivision","value":"EC"},{"id":4,"name":"Milepost","value":"23.3288"},{"id":17,"name":"Train ID","value":"153-31"},{"id":16,"name":"Locomotive ID","value":"4012"},{"id":130,"name":"Impact","value":""},{"id":150,"name":"Time of Event (Mountain Time)","value":"10:50:57"},{"id":151,"name":"Denver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4012 --day 2017-12-31</v>
      </c>
      <c r="AN67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17:50:57"},{"id":29,"name":"Sharepoint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2017-12-31T09:09:13-0700',mode:absolute,to:'2017-12-31T11:50:57-0700'))&amp;_a=(columns:!('Message%20ID',Summary),filters:!(),index:'emp_*',interval:auto,query:(query_string:(analyze_wildcard:!t,query:'%22rtdc.l.rtdc.4012%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765</v>
      </c>
      <c r="B68" s="225">
        <v>4011</v>
      </c>
      <c r="C68" s="227" t="s">
        <v>192</v>
      </c>
      <c r="D68" s="227" t="s">
        <v>646</v>
      </c>
      <c r="E68" s="226">
        <v>43100.464143518519</v>
      </c>
      <c r="F68" s="226">
        <v>43100.466817129629</v>
      </c>
      <c r="G68" s="225">
        <v>87</v>
      </c>
      <c r="H68" s="227" t="s">
        <v>901</v>
      </c>
      <c r="I68" s="226">
        <v>43100.494421296295</v>
      </c>
      <c r="J68" s="225">
        <v>0</v>
      </c>
      <c r="K68" s="237" t="str">
        <f>IF(ISEVEN(B68),(B68-1)&amp;"/"&amp;B68,B68&amp;"/"&amp;(B68+1))</f>
        <v>4011/4012</v>
      </c>
      <c r="L68" s="245" t="str">
        <f>VLOOKUP(A68,'Trips&amp;Operators'!$C$1:$G$99911,5,FALSE)</f>
        <v>BROWN JACOB</v>
      </c>
      <c r="M68" s="224">
        <f>I68-F68</f>
        <v>2.7604166665696539E-2</v>
      </c>
      <c r="N68" s="225">
        <f>24*60*SUM($M68:$M68)</f>
        <v>39.749999998603016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-12-31T10:08:22-0700',mode:absolute,to:'2017-12-31T12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23.2973</v>
      </c>
      <c r="Z68" s="247">
        <f>RIGHT(H68,LEN(H68)-4)/10000</f>
        <v>0.11650000000000001</v>
      </c>
      <c r="AA68" s="247">
        <f>ABS(Z68-Y68)</f>
        <v>23.180800000000001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154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s3://rtdc.mdm.uploadarchive.raw/RTDC4011/ "%USERPROFILE%\AppData\Local\Temp\OnboardLogs"\RTDC4011\2017-12-31 --exclude "*" --recursive --include "*20171231*" &amp; "%USERPROFILE%\Documents\GitHub\mrs-test-scripts\Headless Mode &amp; Sideloading\WalkAndUnGZ.bat" "%USERPROFILE%\AppData\Local\Temp\OnboardLogs"\RTDC4011\2017-12-31 &amp; 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/stypes="app*4011*20171231*"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154-31 --locoid 4011 --swversion DE.1.0.9.0 --startMP 204:232973 --initTime 2017-12-31T11:08:22 --startdatetime 2017-12-31T11:12:13 --delay 87 --endMP 204:1165 --enddatetime 2017-12-31T11:51:58 --enforcementcount 0 &gt;&gt;%USERPROFILE%\Documents\GitHub\eaglep3-reporting\EC\2017-12-31-refined-times.txt</v>
      </c>
      <c r="AI68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{"issue":{"subject":"","project_id":79,"tracker_id":40,"status_id":1,"priority_id":2,"assigned_to_id":338,"start_date":"2017-12-31","description":"","custom_fields":[{"id":1,"name":"Subdivision","value":"EC"},{"id":4,"name":"Milepost","value":"0.1165"},{"id":17,"name":"Train ID","value":"154-31"},{"id":16,"name":"Locomotive ID","value":"4011"},{"id":130,"name":"Impact","value":""},{"id":150,"name":"Time of Event (Mountain Time)","value":"11:51:58"},{"id":151,"name":"Denver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4011 --day 2017-12-31</v>
      </c>
      <c r="AN68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18:51:58"},{"id":29,"name":"Sharepoint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2017-12-31T10:08:22-0700',mode:absolute,to:'2017-12-31T12:51:58-0700'))&amp;_a=(columns:!('Message%20ID',Summary),filters:!(),index:'emp_*',interval:auto,query:(query_string:(analyze_wildcard:!t,query:'%22rtdc.l.rtdc.4011%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757</v>
      </c>
      <c r="B69" s="225">
        <v>4002</v>
      </c>
      <c r="C69" s="227" t="s">
        <v>192</v>
      </c>
      <c r="D69" s="227" t="s">
        <v>648</v>
      </c>
      <c r="E69" s="226">
        <v>43100.43277777778</v>
      </c>
      <c r="F69" s="226">
        <v>43100.437731481485</v>
      </c>
      <c r="G69" s="225">
        <v>103</v>
      </c>
      <c r="H69" s="227" t="s">
        <v>884</v>
      </c>
      <c r="I69" s="226">
        <v>43100.462858796294</v>
      </c>
      <c r="J69" s="225">
        <v>0</v>
      </c>
      <c r="K69" s="237" t="str">
        <f>IF(ISEVEN(B69),(B69-1)&amp;"/"&amp;B69,B69&amp;"/"&amp;(B69+1))</f>
        <v>4001/4002</v>
      </c>
      <c r="L69" s="245" t="str">
        <f>VLOOKUP(A69,'Trips&amp;Operators'!$C$1:$G$99911,5,FALSE)</f>
        <v>WILLIAMS DONTE</v>
      </c>
      <c r="M69" s="224">
        <f>I69-F69</f>
        <v>2.512731480965158E-2</v>
      </c>
      <c r="N69" s="225">
        <f>24*60*SUM($M69:$M69)</f>
        <v>36.183333325898275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-12-31T09:23:12-0700',mode:absolute,to:'2017-12-31T12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5.0900000000000001E-2</v>
      </c>
      <c r="Z69" s="247">
        <f>RIGHT(H69,LEN(H69)-4)/10000</f>
        <v>23.327400000000001</v>
      </c>
      <c r="AA69" s="247">
        <f>ABS(Z69-Y69)</f>
        <v>23.276500000000002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155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s3://rtdc.mdm.uploadarchive.raw/RTDC4002/ "%USERPROFILE%\AppData\Local\Temp\OnboardLogs"\RTDC4002\2017-12-31 --exclude "*" --recursive --include "*20171231*" &amp; "%USERPROFILE%\Documents\GitHub\mrs-test-scripts\Headless Mode &amp; Sideloading\WalkAndUnGZ.bat" "%USERPROFILE%\AppData\Local\Temp\OnboardLogs"\RTDC4002\2017-12-31 &amp; aws s3 cp s3://rtdc.mdm.uploadarchive.raw/RTDC4002/ "%USERPROFILE%\AppData\Local\Temp\OnboardLogs"\RTDC4002\2018-01-01 --exclude "*" --recursive --include "*20180101*" &amp; "%USERPROFILE%\Documents\GitHub\mrs-test-scripts\Headless Mode &amp; Sideloading\WalkAndUnGZ.bat" "%USERPROFILE%\AppData\Local\Temp\OnboardLogs"\RTDC4002\2018-01-01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/stypes="app*4002*20171231*"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155-31 --locoid 4002 --swversion DE.1.0.9.0 --startMP 204:509 --initTime 2017-12-31T10:23:12 --startdatetime 2017-12-31T10:30:20 --delay 103 --endMP 204:233274 --enddatetime 2017-12-31T11:06:31 --enforcementcount 0 &gt;&gt;%USERPROFILE%\Documents\GitHub\eaglep3-reporting\EC\2017-12-31-refined-times.txt</v>
      </c>
      <c r="AI69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{"issue":{"subject":"","project_id":79,"tracker_id":40,"status_id":1,"priority_id":2,"assigned_to_id":338,"start_date":"2017-12-31","description":"","custom_fields":[{"id":1,"name":"Subdivision","value":"EC"},{"id":4,"name":"Milepost","value":"23.3274"},{"id":17,"name":"Train ID","value":"155-31"},{"id":16,"name":"Locomotive ID","value":"4002"},{"id":130,"name":"Impact","value":""},{"id":150,"name":"Time of Event (Mountain Time)","value":"11:06:31"},{"id":151,"name":"Denver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4002 --day 2017-12-31</v>
      </c>
      <c r="AN69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18:06:31"},{"id":29,"name":"Sharepoint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2017-12-31T09:23:12-0700',mode:absolute,to:'2017-12-31T12:06:31-0700'))&amp;_a=(columns:!('Message%20ID',Summary),filters:!(),index:'emp_*',interval:auto,query:(query_string:(analyze_wildcard:!t,query:'%22rtdc.l.rtdc.4002%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767</v>
      </c>
      <c r="B70" s="225">
        <v>4001</v>
      </c>
      <c r="C70" s="227" t="s">
        <v>192</v>
      </c>
      <c r="D70" s="227" t="s">
        <v>902</v>
      </c>
      <c r="E70" s="226">
        <v>43100.473483796297</v>
      </c>
      <c r="F70" s="226">
        <v>43100.477280092593</v>
      </c>
      <c r="G70" s="225">
        <v>64</v>
      </c>
      <c r="H70" s="227" t="s">
        <v>580</v>
      </c>
      <c r="I70" s="226">
        <v>43100.503287037034</v>
      </c>
      <c r="J70" s="225">
        <v>0</v>
      </c>
      <c r="K70" s="237" t="str">
        <f>IF(ISEVEN(B70),(B70-1)&amp;"/"&amp;B70,B70&amp;"/"&amp;(B70+1))</f>
        <v>4001/4002</v>
      </c>
      <c r="L70" s="245" t="str">
        <f>VLOOKUP(A70,'Trips&amp;Operators'!$C$1:$G$99911,5,FALSE)</f>
        <v>WILLIAMS DONTE</v>
      </c>
      <c r="M70" s="224">
        <f>I70-F70</f>
        <v>2.6006944441178348E-2</v>
      </c>
      <c r="N70" s="225">
        <f>24*60*SUM($M70:$M70)</f>
        <v>37.449999995296821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-12-31T10:21:49-0700',mode:absolute,to:'2017-12-31T13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23.294699999999999</v>
      </c>
      <c r="Z70" s="247">
        <f>RIGHT(H70,LEN(H70)-4)/10000</f>
        <v>2.0899999999999998E-2</v>
      </c>
      <c r="AA70" s="247">
        <f>ABS(Z70-Y70)</f>
        <v>23.273799999999998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156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s3://rtdc.mdm.uploadarchive.raw/RTDC4001/ "%USERPROFILE%\AppData\Local\Temp\OnboardLogs"\RTDC4001\2017-12-31 --exclude "*" --recursive --include "*20171231*" &amp; "%USERPROFILE%\Documents\GitHub\mrs-test-scripts\Headless Mode &amp; Sideloading\WalkAndUnGZ.bat" "%USERPROFILE%\AppData\Local\Temp\OnboardLogs"\RTDC4001\2017-12-31 &amp; aws s3 cp s3://rtdc.mdm.uploadarchive.raw/RTDC4001/ "%USERPROFILE%\AppData\Local\Temp\OnboardLogs"\RTDC4001\2018-01-01 --exclude "*" --recursive --include "*20180101*" &amp; "%USERPROFILE%\Documents\GitHub\mrs-test-scripts\Headless Mode &amp; Sideloading\WalkAndUnGZ.bat" "%USERPROFILE%\AppData\Local\Temp\OnboardLogs"\RTDC4001\2018-01-01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/stypes="app*4001*20171231*"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156-31 --locoid 4001 --swversion DE.1.0.9.0 --startMP 204:232947 --initTime 2017-12-31T11:21:49 --startdatetime 2017-12-31T11:27:17 --delay 64 --endMP 204:209 --enddatetime 2017-12-31T12:04:44 --enforcementcount 0 &gt;&gt;%USERPROFILE%\Documents\GitHub\eaglep3-reporting\EC\2017-12-31-refined-times.txt</v>
      </c>
      <c r="AI70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{"issue":{"subject":"","project_id":79,"tracker_id":40,"status_id":1,"priority_id":2,"assigned_to_id":338,"start_date":"2017-12-31","description":"","custom_fields":[{"id":1,"name":"Subdivision","value":"EC"},{"id":4,"name":"Milepost","value":"0.0209"},{"id":17,"name":"Train ID","value":"156-31"},{"id":16,"name":"Locomotive ID","value":"4001"},{"id":130,"name":"Impact","value":""},{"id":150,"name":"Time of Event (Mountain Time)","value":"12:04:44"},{"id":151,"name":"Denver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4001 --day 2017-12-31</v>
      </c>
      <c r="AN70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19:04:44"},{"id":29,"name":"Sharepoint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2017-12-31T10:21:49-0700',mode:absolute,to:'2017-12-31T13:04:44-0700'))&amp;_a=(columns:!('Message%20ID',Summary),filters:!(),index:'emp_*',interval:auto,query:(query_string:(analyze_wildcard:!t,query:'%22rtdc.l.rtdc.4001%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761</v>
      </c>
      <c r="B71" s="225">
        <v>4018</v>
      </c>
      <c r="C71" s="227" t="s">
        <v>192</v>
      </c>
      <c r="D71" s="227" t="s">
        <v>510</v>
      </c>
      <c r="E71" s="226">
        <v>43100.443472222221</v>
      </c>
      <c r="F71" s="226">
        <v>43100.448125000003</v>
      </c>
      <c r="G71" s="225">
        <v>122</v>
      </c>
      <c r="H71" s="227" t="s">
        <v>903</v>
      </c>
      <c r="I71" s="226">
        <v>43100.472268518519</v>
      </c>
      <c r="J71" s="225">
        <v>0</v>
      </c>
      <c r="K71" s="237" t="str">
        <f>IF(ISEVEN(B71),(B71-1)&amp;"/"&amp;B71,B71&amp;"/"&amp;(B71+1))</f>
        <v>4017/4018</v>
      </c>
      <c r="L71" s="245" t="str">
        <f>VLOOKUP(A71,'Trips&amp;Operators'!$C$1:$G$99911,5,FALSE)</f>
        <v>STEWART MICHAEL</v>
      </c>
      <c r="M71" s="224">
        <f>I71-F71</f>
        <v>2.414351851621177E-2</v>
      </c>
      <c r="N71" s="225">
        <f>24*60*SUM($M71:$M71)</f>
        <v>34.766666663344949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-12-31T09:38:36-0700',mode:absolute,to:'2017-12-31T12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4.6399999999999997E-2</v>
      </c>
      <c r="Z71" s="247">
        <f>RIGHT(H71,LEN(H71)-4)/10000</f>
        <v>23.327000000000002</v>
      </c>
      <c r="AA71" s="247">
        <f>ABS(Z71-Y71)</f>
        <v>23.280600000000003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157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/stypes="app*4018*20171231*"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157-31 --locoid 4018 --swversion DE.1.0.9.0 --startMP 204:464 --initTime 2017-12-31T10:38:36 --startdatetime 2017-12-31T10:45:18 --delay 122 --endMP 204:233270 --enddatetime 2017-12-31T11:20:04 --enforcementcount 0 &gt;&gt;%USERPROFILE%\Documents\GitHub\eaglep3-reporting\EC\2017-12-31-refined-times.txt</v>
      </c>
      <c r="AI71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{"issue":{"subject":"","project_id":79,"tracker_id":40,"status_id":1,"priority_id":2,"assigned_to_id":338,"start_date":"2017-12-31","description":"","custom_fields":[{"id":1,"name":"Subdivision","value":"EC"},{"id":4,"name":"Milepost","value":"23.327"},{"id":17,"name":"Train ID","value":"157-31"},{"id":16,"name":"Locomotive ID","value":"4018"},{"id":130,"name":"Impact","value":""},{"id":150,"name":"Time of Event (Mountain Time)","value":"11:20:04"},{"id":151,"name":"Denver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4018 --day 2017-12-31</v>
      </c>
      <c r="AN71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18:20:04"},{"id":29,"name":"Sharepoint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2017-12-31T09:38:36-0700',mode:absolute,to:'2017-12-31T12:20:04-0700'))&amp;_a=(columns:!('Message%20ID',Summary),filters:!(),index:'emp_*',interval:auto,query:(query_string:(analyze_wildcard:!t,query:'%22rtdc.l.rtdc.4018%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770</v>
      </c>
      <c r="B72" s="225">
        <v>4017</v>
      </c>
      <c r="C72" s="227" t="s">
        <v>192</v>
      </c>
      <c r="D72" s="227" t="s">
        <v>904</v>
      </c>
      <c r="E72" s="226">
        <v>43100.481527777774</v>
      </c>
      <c r="F72" s="226">
        <v>43100.487719907411</v>
      </c>
      <c r="G72" s="225">
        <v>87</v>
      </c>
      <c r="H72" s="227" t="s">
        <v>587</v>
      </c>
      <c r="I72" s="226">
        <v>43100.51457175926</v>
      </c>
      <c r="J72" s="225">
        <v>0</v>
      </c>
      <c r="K72" s="237" t="str">
        <f>IF(ISEVEN(B72),(B72-1)&amp;"/"&amp;B72,B72&amp;"/"&amp;(B72+1))</f>
        <v>4017/4018</v>
      </c>
      <c r="L72" s="245" t="str">
        <f>VLOOKUP(A72,'Trips&amp;Operators'!$C$1:$G$99911,5,FALSE)</f>
        <v>STEWART MICHAEL</v>
      </c>
      <c r="M72" s="224">
        <f>I72-F72</f>
        <v>2.6851851849642117E-2</v>
      </c>
      <c r="N72" s="225">
        <f>24*60*SUM($M72:$M72)</f>
        <v>38.666666663484648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-12-31T10:33:24-0700',mode:absolute,to:'2017-12-31T13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23.294599999999999</v>
      </c>
      <c r="Z72" s="247">
        <f>RIGHT(H72,LEN(H72)-4)/10000</f>
        <v>1.61E-2</v>
      </c>
      <c r="AA72" s="247">
        <f>ABS(Z72-Y72)</f>
        <v>23.278499999999998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158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s3://rtdc.mdm.uploadarchive.raw/RTDC4017/ "%USERPROFILE%\AppData\Local\Temp\OnboardLogs"\RTDC4017\2017-12-31 --exclude "*" --recursive --include "*20171231*" &amp; "%USERPROFILE%\Documents\GitHub\mrs-test-scripts\Headless Mode &amp; Sideloading\WalkAndUnGZ.bat" "%USERPROFILE%\AppData\Local\Temp\OnboardLogs"\RTDC4017\2017-12-31 &amp; aws s3 cp s3://rtdc.mdm.uploadarchive.raw/RTDC4017/ "%USERPROFILE%\AppData\Local\Temp\OnboardLogs"\RTDC4017\2018-01-01 --exclude "*" --recursive --include "*20180101*" &amp; "%USERPROFILE%\Documents\GitHub\mrs-test-scripts\Headless Mode &amp; Sideloading\WalkAndUnGZ.bat" "%USERPROFILE%\AppData\Local\Temp\OnboardLogs"\RTDC4017\2018-01-01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/stypes="app*4017*20171231*"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158-31 --locoid 4017 --swversion DE.1.0.9.0 --startMP 204:232946 --initTime 2017-12-31T11:33:24 --startdatetime 2017-12-31T11:42:19 --delay 87 --endMP 204:161 --enddatetime 2017-12-31T12:20:59 --enforcementcount 0 &gt;&gt;%USERPROFILE%\Documents\GitHub\eaglep3-reporting\EC\2017-12-31-refined-times.txt</v>
      </c>
      <c r="AI72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{"issue":{"subject":"","project_id":79,"tracker_id":40,"status_id":1,"priority_id":2,"assigned_to_id":338,"start_date":"2017-12-31","description":"","custom_fields":[{"id":1,"name":"Subdivision","value":"EC"},{"id":4,"name":"Milepost","value":"0.0161"},{"id":17,"name":"Train ID","value":"158-31"},{"id":16,"name":"Locomotive ID","value":"4017"},{"id":130,"name":"Impact","value":""},{"id":150,"name":"Time of Event (Mountain Time)","value":"12:20:59"},{"id":151,"name":"Denver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4017 --day 2017-12-31</v>
      </c>
      <c r="AN72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19:20:59"},{"id":29,"name":"Sharepoint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2017-12-31T10:33:24-0700',mode:absolute,to:'2017-12-31T13:20:59-0700'))&amp;_a=(columns:!('Message%20ID',Summary),filters:!(),index:'emp_*',interval:auto,query:(query_string:(analyze_wildcard:!t,query:'%22rtdc.l.rtdc.4017%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763</v>
      </c>
      <c r="B73" s="225">
        <v>4016</v>
      </c>
      <c r="C73" s="227" t="s">
        <v>192</v>
      </c>
      <c r="D73" s="227" t="s">
        <v>518</v>
      </c>
      <c r="E73" s="226">
        <v>43100.455949074072</v>
      </c>
      <c r="F73" s="226">
        <v>43100.458564814813</v>
      </c>
      <c r="G73" s="225">
        <v>55</v>
      </c>
      <c r="H73" s="227" t="s">
        <v>905</v>
      </c>
      <c r="I73" s="226">
        <v>43100.483171296299</v>
      </c>
      <c r="J73" s="225">
        <v>0</v>
      </c>
      <c r="K73" s="237" t="str">
        <f>IF(ISEVEN(B73),(B73-1)&amp;"/"&amp;B73,B73&amp;"/"&amp;(B73+1))</f>
        <v>4015/4016</v>
      </c>
      <c r="L73" s="245" t="str">
        <f>VLOOKUP(A73,'Trips&amp;Operators'!$C$1:$G$99911,5,FALSE)</f>
        <v>LAMAR NEKESHA</v>
      </c>
      <c r="M73" s="224">
        <f>I73-F73</f>
        <v>2.4606481485534459E-2</v>
      </c>
      <c r="N73" s="225">
        <f>24*60*SUM($M73:$M73)</f>
        <v>35.433333339169621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-12-31T09:56:34-0700',mode:absolute,to:'2017-12-31T12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4.7800000000000002E-2</v>
      </c>
      <c r="Z73" s="247">
        <f>RIGHT(H73,LEN(H73)-4)/10000</f>
        <v>23.328099999999999</v>
      </c>
      <c r="AA73" s="247">
        <f>ABS(Z73-Y73)</f>
        <v>23.2803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159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s3://rtdc.mdm.uploadarchive.raw/RTDC4016/ "%USERPROFILE%\AppData\Local\Temp\OnboardLogs"\RTDC4016\2017-12-31 --exclude "*" --recursive --include "*20171231*" &amp; "%USERPROFILE%\Documents\GitHub\mrs-test-scripts\Headless Mode &amp; Sideloading\WalkAndUnGZ.bat" "%USERPROFILE%\AppData\Local\Temp\OnboardLogs"\RTDC4016\2017-12-31 &amp; aws s3 cp s3://rtdc.mdm.uploadarchive.raw/RTDC4016/ "%USERPROFILE%\AppData\Local\Temp\OnboardLogs"\RTDC4016\2018-01-01 --exclude "*" --recursive --include "*20180101*" &amp; "%USERPROFILE%\Documents\GitHub\mrs-test-scripts\Headless Mode &amp; Sideloading\WalkAndUnGZ.bat" "%USERPROFILE%\AppData\Local\Temp\OnboardLogs"\RTDC4016\2018-01-01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/stypes="app*4016*20171231*"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159-31 --locoid 4016 --swversion DE.1.0.9.0 --startMP 204:478 --initTime 2017-12-31T10:56:34 --startdatetime 2017-12-31T11:00:20 --delay 55 --endMP 204:233281 --enddatetime 2017-12-31T11:35:46 --enforcementcount 0 &gt;&gt;%USERPROFILE%\Documents\GitHub\eaglep3-reporting\EC\2017-12-31-refined-times.txt</v>
      </c>
      <c r="AI73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{"issue":{"subject":"","project_id":79,"tracker_id":40,"status_id":1,"priority_id":2,"assigned_to_id":338,"start_date":"2017-12-31","description":"","custom_fields":[{"id":1,"name":"Subdivision","value":"EC"},{"id":4,"name":"Milepost","value":"23.3281"},{"id":17,"name":"Train ID","value":"159-31"},{"id":16,"name":"Locomotive ID","value":"4016"},{"id":130,"name":"Impact","value":""},{"id":150,"name":"Time of Event (Mountain Time)","value":"11:35:46"},{"id":151,"name":"Denver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4016 --day 2017-12-31</v>
      </c>
      <c r="AN73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18:35:46"},{"id":29,"name":"Sharepoint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2017-12-31T09:56:34-0700',mode:absolute,to:'2017-12-31T12:35:46-0700'))&amp;_a=(columns:!('Message%20ID',Summary),filters:!(),index:'emp_*',interval:auto,query:(query_string:(analyze_wildcard:!t,query:'%22rtdc.l.rtdc.4016%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772</v>
      </c>
      <c r="B74" s="225">
        <v>4015</v>
      </c>
      <c r="C74" s="227" t="s">
        <v>192</v>
      </c>
      <c r="D74" s="227" t="s">
        <v>906</v>
      </c>
      <c r="E74" s="226">
        <v>43100.49664351852</v>
      </c>
      <c r="F74" s="226">
        <v>43100.498124999998</v>
      </c>
      <c r="G74" s="225">
        <v>53</v>
      </c>
      <c r="H74" s="227" t="s">
        <v>628</v>
      </c>
      <c r="I74" s="226">
        <v>43100.523842592593</v>
      </c>
      <c r="J74" s="225">
        <v>0</v>
      </c>
      <c r="K74" s="237" t="str">
        <f>IF(ISEVEN(B74),(B74-1)&amp;"/"&amp;B74,B74&amp;"/"&amp;(B74+1))</f>
        <v>4015/4016</v>
      </c>
      <c r="L74" s="245" t="str">
        <f>VLOOKUP(A74,'Trips&amp;Operators'!$C$1:$G$99911,5,FALSE)</f>
        <v>LAMAR NEKESHA</v>
      </c>
      <c r="M74" s="224">
        <f>I74-F74</f>
        <v>2.5717592594446614E-2</v>
      </c>
      <c r="N74" s="225">
        <f>24*60*SUM($M74:$M74)</f>
        <v>37.033333336003125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-12-31T10:55:10-0700',mode:absolute,to:'2017-12-31T13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23.2957</v>
      </c>
      <c r="Z74" s="247">
        <f>RIGHT(H74,LEN(H74)-4)/10000</f>
        <v>1.54E-2</v>
      </c>
      <c r="AA74" s="247">
        <f>ABS(Z74-Y74)</f>
        <v>23.2803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160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s3://rtdc.mdm.uploadarchive.raw/RTDC4015/ "%USERPROFILE%\AppData\Local\Temp\OnboardLogs"\RTDC4015\2017-12-31 --exclude "*" --recursive --include "*20171231*" &amp; "%USERPROFILE%\Documents\GitHub\mrs-test-scripts\Headless Mode &amp; Sideloading\WalkAndUnGZ.bat" "%USERPROFILE%\AppData\Local\Temp\OnboardLogs"\RTDC4015\2017-12-31 &amp; 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/stypes="app*4015*20171231*"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160-31 --locoid 4015 --swversion DE.1.0.9.0 --startMP 204:232957 --initTime 2017-12-31T11:55:10 --startdatetime 2017-12-31T11:57:18 --delay 53 --endMP 204:154 --enddatetime 2017-12-31T12:34:20 --enforcementcount 0 &gt;&gt;%USERPROFILE%\Documents\GitHub\eaglep3-reporting\EC\2017-12-31-refined-times.txt</v>
      </c>
      <c r="AI74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{"issue":{"subject":"","project_id":79,"tracker_id":40,"status_id":1,"priority_id":2,"assigned_to_id":338,"start_date":"2017-12-31","description":"","custom_fields":[{"id":1,"name":"Subdivision","value":"EC"},{"id":4,"name":"Milepost","value":"0.0154"},{"id":17,"name":"Train ID","value":"160-31"},{"id":16,"name":"Locomotive ID","value":"4015"},{"id":130,"name":"Impact","value":""},{"id":150,"name":"Time of Event (Mountain Time)","value":"12:34:20"},{"id":151,"name":"Denver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4015 --day 2017-12-31</v>
      </c>
      <c r="AN74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19:34:20"},{"id":29,"name":"Sharepoint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2017-12-31T10:55:10-0700',mode:absolute,to:'2017-12-31T13:34:20-0700'))&amp;_a=(columns:!('Message%20ID',Summary),filters:!(),index:'emp_*',interval:auto,query:(query_string:(analyze_wildcard:!t,query:'%22rtdc.l.rtdc.4015%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766</v>
      </c>
      <c r="B75" s="225">
        <v>4034</v>
      </c>
      <c r="C75" s="227" t="s">
        <v>192</v>
      </c>
      <c r="D75" s="227" t="s">
        <v>564</v>
      </c>
      <c r="E75" s="226">
        <v>43100.465208333335</v>
      </c>
      <c r="F75" s="226">
        <v>43100.469189814816</v>
      </c>
      <c r="G75" s="225">
        <v>100</v>
      </c>
      <c r="H75" s="227" t="s">
        <v>907</v>
      </c>
      <c r="I75" s="226">
        <v>43100.494421296295</v>
      </c>
      <c r="J75" s="225">
        <v>0</v>
      </c>
      <c r="K75" s="237" t="str">
        <f>IF(ISEVEN(B75),(B75-1)&amp;"/"&amp;B75,B75&amp;"/"&amp;(B75+1))</f>
        <v>4033/4034</v>
      </c>
      <c r="L75" s="245" t="str">
        <f>VLOOKUP(A75,'Trips&amp;Operators'!$C$1:$G$99911,5,FALSE)</f>
        <v>DAVIS MICHAEL</v>
      </c>
      <c r="M75" s="224">
        <f>I75-F75</f>
        <v>2.5231481478840578E-2</v>
      </c>
      <c r="N75" s="225">
        <f>24*60*SUM($M75:$M75)</f>
        <v>36.333333329530433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-12-31T10:09:54-0700',mode:absolute,to:'2017-12-31T12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5.28E-2</v>
      </c>
      <c r="Z75" s="247">
        <f>RIGHT(H75,LEN(H75)-4)/10000</f>
        <v>23.334099999999999</v>
      </c>
      <c r="AA75" s="247">
        <f>ABS(Z75-Y75)</f>
        <v>23.281299999999998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161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 &amp; aws s3 cp s3://rtdc.mdm.uploadarchive.raw/RTDC4034/ "%USERPROFILE%\AppData\Local\Temp\OnboardLogs"\RTDC4034\2018-01-01 --exclude "*" --recursive --include "*20180101*" &amp; "%USERPROFILE%\Documents\GitHub\mrs-test-scripts\Headless Mode &amp; Sideloading\WalkAndUnGZ.bat" "%USERPROFILE%\AppData\Local\Temp\OnboardLogs"\RTDC4034\2018-01-01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/stypes="app*4034*20171231*" /stext=" 18:.+((SYSTEM_STATE.+slice.+state.+changed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161-31 --locoid 4034 --swversion DE.1.0.9.0 --startMP 204:528 --initTime 2017-12-31T11:09:54 --startdatetime 2017-12-31T11:15:38 --delay 100 --endMP 204:233341 --enddatetime 2017-12-31T11:51:58 --enforcementcount 0 &gt;&gt;%USERPROFILE%\Documents\GitHub\eaglep3-reporting\EC\2017-12-31-refined-times.txt</v>
      </c>
      <c r="AI75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{"issue":{"subject":"","project_id":79,"tracker_id":40,"status_id":1,"priority_id":2,"assigned_to_id":338,"start_date":"2017-12-31","description":"","custom_fields":[{"id":1,"name":"Subdivision","value":"EC"},{"id":4,"name":"Milepost","value":"23.3341"},{"id":17,"name":"Train ID","value":"161-31"},{"id":16,"name":"Locomotive ID","value":"4034"},{"id":130,"name":"Impact","value":""},{"id":150,"name":"Time of Event (Mountain Time)","value":"11:51:58"},{"id":151,"name":"Denver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4034 --day 2017-12-31</v>
      </c>
      <c r="AN75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18:51:58"},{"id":29,"name":"Sharepoint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2017-12-31T10:09:54-0700',mode:absolute,to:'2017-12-31T12:51:58-0700'))&amp;_a=(columns:!('Message%20ID',Summary),filters:!(),index:'emp_*',interval:auto,query:(query_string:(analyze_wildcard:!t,query:'%22rtdc.l.rtdc.4034%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776</v>
      </c>
      <c r="B76" s="225">
        <v>4033</v>
      </c>
      <c r="C76" s="227" t="s">
        <v>192</v>
      </c>
      <c r="D76" s="227" t="s">
        <v>598</v>
      </c>
      <c r="E76" s="226">
        <v>43100.505347222221</v>
      </c>
      <c r="F76" s="226">
        <v>43100.509259259263</v>
      </c>
      <c r="G76" s="225">
        <v>74</v>
      </c>
      <c r="H76" s="227" t="s">
        <v>464</v>
      </c>
      <c r="I76" s="226">
        <v>43100.536527777775</v>
      </c>
      <c r="J76" s="225">
        <v>0</v>
      </c>
      <c r="K76" s="237" t="str">
        <f>IF(ISEVEN(B76),(B76-1)&amp;"/"&amp;B76,B76&amp;"/"&amp;(B76+1))</f>
        <v>4033/4034</v>
      </c>
      <c r="L76" s="245" t="str">
        <f>VLOOKUP(A76,'Trips&amp;Operators'!$C$1:$G$99911,5,FALSE)</f>
        <v>DAVIS MICHAEL</v>
      </c>
      <c r="M76" s="224">
        <f>I76-F76</f>
        <v>2.7268518511846196E-2</v>
      </c>
      <c r="N76" s="225">
        <f>24*60*SUM($M76:$M76)</f>
        <v>39.266666657058522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-12-31T11:07:42-0700',mode:absolute,to:'2017-12-31T13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23.298999999999999</v>
      </c>
      <c r="Z76" s="247">
        <f>RIGHT(H76,LEN(H76)-4)/10000</f>
        <v>1.9599999999999999E-2</v>
      </c>
      <c r="AA76" s="247">
        <f>ABS(Z76-Y76)</f>
        <v>23.279399999999999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162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/stypes="app*4033*20171231*"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162-31 --locoid 4033 --swversion DE.1.0.9.0 --startMP 204:232990 --initTime 2017-12-31T12:07:42 --startdatetime 2017-12-31T12:13:20 --delay 74 --endMP 204:196 --enddatetime 2017-12-31T12:52:36 --enforcementcount 0 &gt;&gt;%USERPROFILE%\Documents\GitHub\eaglep3-reporting\EC\2017-12-31-refined-times.txt</v>
      </c>
      <c r="AI76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{"issue":{"subject":"","project_id":79,"tracker_id":40,"status_id":1,"priority_id":2,"assigned_to_id":338,"start_date":"2017-12-31","description":"","custom_fields":[{"id":1,"name":"Subdivision","value":"EC"},{"id":4,"name":"Milepost","value":"0.0196"},{"id":17,"name":"Train ID","value":"162-31"},{"id":16,"name":"Locomotive ID","value":"4033"},{"id":130,"name":"Impact","value":""},{"id":150,"name":"Time of Event (Mountain Time)","value":"12:52:36"},{"id":151,"name":"Denver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4033 --day 2017-12-31</v>
      </c>
      <c r="AN76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19:52:36"},{"id":29,"name":"Sharepoint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2017-12-31T11:07:42-0700',mode:absolute,to:'2017-12-31T13:52:36-0700'))&amp;_a=(columns:!('Message%20ID',Summary),filters:!(),index:'emp_*',interval:auto,query:(query_string:(analyze_wildcard:!t,query:'%22rtdc.l.rtdc.4033%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768</v>
      </c>
      <c r="B77" s="225">
        <v>4062</v>
      </c>
      <c r="C77" s="227" t="s">
        <v>192</v>
      </c>
      <c r="D77" s="227" t="s">
        <v>565</v>
      </c>
      <c r="E77" s="226">
        <v>43100.473749999997</v>
      </c>
      <c r="F77" s="226">
        <v>43100.479351851849</v>
      </c>
      <c r="G77" s="225">
        <v>207</v>
      </c>
      <c r="H77" s="227" t="s">
        <v>908</v>
      </c>
      <c r="I77" s="226">
        <v>43100.503946759258</v>
      </c>
      <c r="J77" s="225">
        <v>0</v>
      </c>
      <c r="K77" s="237" t="str">
        <f>IF(ISEVEN(B77),(B77-1)&amp;"/"&amp;B77,B77&amp;"/"&amp;(B77+1))</f>
        <v>4061/4062</v>
      </c>
      <c r="L77" s="245" t="str">
        <f>VLOOKUP(A77,'Trips&amp;Operators'!$C$1:$G$99911,5,FALSE)</f>
        <v>SAFIEF AEIMEN</v>
      </c>
      <c r="M77" s="224">
        <f>I77-F77</f>
        <v>2.4594907408754807E-2</v>
      </c>
      <c r="N77" s="225">
        <f>24*60*SUM($M77:$M77)</f>
        <v>35.416666668606922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-31T10:22:12-0700',mode:absolute,to:'2017-12-31T13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4.5499999999999999E-2</v>
      </c>
      <c r="Z77" s="247">
        <f>RIGHT(H77,LEN(H77)-4)/10000</f>
        <v>23.334</v>
      </c>
      <c r="AA77" s="247">
        <f>ABS(Z77-Y77)</f>
        <v>23.288499999999999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163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 &amp; 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/stypes="app*4062*20171231*"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163-31 --locoid 4062 --swversion DE.1.0.9.0 --startMP 204:455 --initTime 2017-12-31T11:22:12 --startdatetime 2017-12-31T11:30:16 --delay 207 --endMP 204:233340 --enddatetime 2017-12-31T12:05:41 --enforcementcount 0 &gt;&gt;%USERPROFILE%\Documents\GitHub\eaglep3-reporting\EC\2017-12-31-refined-times.txt</v>
      </c>
      <c r="AI77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{"issue":{"subject":"","project_id":79,"tracker_id":40,"status_id":1,"priority_id":2,"assigned_to_id":338,"start_date":"2017-12-31","description":"","custom_fields":[{"id":1,"name":"Subdivision","value":"EC"},{"id":4,"name":"Milepost","value":"23.334"},{"id":17,"name":"Train ID","value":"163-31"},{"id":16,"name":"Locomotive ID","value":"4062"},{"id":130,"name":"Impact","value":""},{"id":150,"name":"Time of Event (Mountain Time)","value":"12:05:41"},{"id":151,"name":"Denver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4062 --day 2017-12-31</v>
      </c>
      <c r="AN77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19:05:41"},{"id":29,"name":"Sharepoint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2017-12-31T10:22:12-0700',mode:absolute,to:'2017-12-31T13:05:41-0700'))&amp;_a=(columns:!('Message%20ID',Summary),filters:!(),index:'emp_*',interval:auto,query:(query_string:(analyze_wildcard:!t,query:'%22rtdc.l.rtdc.4062%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777</v>
      </c>
      <c r="B78" s="225">
        <v>4061</v>
      </c>
      <c r="C78" s="227" t="s">
        <v>192</v>
      </c>
      <c r="D78" s="227" t="s">
        <v>595</v>
      </c>
      <c r="E78" s="226">
        <v>43100.514861111114</v>
      </c>
      <c r="F78" s="226">
        <v>43100.518923611111</v>
      </c>
      <c r="G78" s="225">
        <v>103</v>
      </c>
      <c r="H78" s="227" t="s">
        <v>508</v>
      </c>
      <c r="I78" s="226">
        <v>43100.544652777775</v>
      </c>
      <c r="J78" s="225">
        <v>0</v>
      </c>
      <c r="K78" s="237" t="str">
        <f>IF(ISEVEN(B78),(B78-1)&amp;"/"&amp;B78,B78&amp;"/"&amp;(B78+1))</f>
        <v>4061/4062</v>
      </c>
      <c r="L78" s="245" t="str">
        <f>VLOOKUP(A78,'Trips&amp;Operators'!$C$1:$G$99911,5,FALSE)</f>
        <v>SAFIEF AEIMEN</v>
      </c>
      <c r="M78" s="224">
        <f>I78-F78</f>
        <v>2.5729166663950309E-2</v>
      </c>
      <c r="N78" s="225">
        <f>24*60*SUM($M78:$M78)</f>
        <v>37.049999996088445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-31T11:21:24-0700',mode:absolute,to:'2017-12-31T14:04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23.3</v>
      </c>
      <c r="Z78" s="247">
        <f>RIGHT(H78,LEN(H78)-4)/10000</f>
        <v>1.9800000000000002E-2</v>
      </c>
      <c r="AA78" s="247">
        <f>ABS(Z78-Y78)</f>
        <v>23.280200000000001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164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 &amp; aws s3 cp s3://rtdc.mdm.uploadarchive.raw/RTDC4061/ "%USERPROFILE%\AppData\Local\Temp\OnboardLogs"\RTDC4061\2018-01-01 --exclude "*" --recursive --include "*20180101*" &amp; "%USERPROFILE%\Documents\GitHub\mrs-test-scripts\Headless Mode &amp; Sideloading\WalkAndUnGZ.bat" "%USERPROFILE%\AppData\Local\Temp\OnboardLogs"\RTDC4061\2018-01-01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/stypes="app*4061*20171231*"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si="5"/>
        <v>"%USERPROFILE%\Documents\GitHub\eaglep3\Utilities\RefineRTDCRunTimes.py" --tripid 164-31 --locoid 4061 --swversion DE.1.0.9.0 --startMP 204:233000 --initTime 2017-12-31T12:21:24 --startdatetime 2017-12-31T12:27:15 --delay 103 --endMP 204:198 --enddatetime 2017-12-31T13:04:18 --enforcementcount 0 &gt;&gt;%USERPROFILE%\Documents\GitHub\eaglep3-reporting\EC\2017-12-31-refined-times.txt</v>
      </c>
      <c r="AI78" s="238" t="str">
        <f t="shared" si="6"/>
        <v>echo {"issue":{"subject":"","project_id":79,"tracker_id":40,"status_id":1,"priority_id":2,"assigned_to_id":338,"start_date":"2017-12-31","description":"","custom_fields":[{"id":1,"name":"Subdivision","value":"EC"},{"id":4,"name":"Milepost","value":"0.0198"},{"id":17,"name":"Train ID","value":"164-31"},{"id":16,"name":"Locomotive ID","value":"4061"},{"id":130,"name":"Impact","value":""},{"id":150,"name":"Time of Event (Mountain Time)","value":"13:04:18"},{"id":151,"name":"Denver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7"/>
        <v>start /low /b %USERPROFILE%\Documents\GitHub\eaglep3\Utilities\DownloadLogsFromS3.py --loco 4061 --day 2017-12-31</v>
      </c>
      <c r="AN78" s="241" t="str">
        <f t="shared" si="8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20:04:18"},{"id":29,"name":"Sharepoint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9"/>
        <v>https://d0f6bd738d7f1b3e5a7ca70fe4ff75f0.us-east-1.aws.found.io/app/kibana#/discover/Steve-Slow-Train-Analysis-(2080s-and-2083s)?_g=(refreshInterval:(display:Off,pause:!f,section:0,value:0),time:(from:'2017-12-31T11:21:24-0700',mode:absolute,to:'2017-12-31T14:04:18-0700'))&amp;_a=(columns:!('Message%20ID',Summary),filters:!(),index:'emp_*',interval:auto,query:(query_string:(analyze_wildcard:!t,query:'%22rtdc.l.rtdc.4061%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771</v>
      </c>
      <c r="B79" s="225">
        <v>4052</v>
      </c>
      <c r="C79" s="227" t="s">
        <v>192</v>
      </c>
      <c r="D79" s="227" t="s">
        <v>589</v>
      </c>
      <c r="E79" s="226">
        <v>43100.482847222222</v>
      </c>
      <c r="F79" s="226">
        <v>43100.489756944444</v>
      </c>
      <c r="G79" s="225">
        <v>73</v>
      </c>
      <c r="H79" s="227" t="s">
        <v>909</v>
      </c>
      <c r="I79" s="226">
        <v>43100.513854166667</v>
      </c>
      <c r="J79" s="225">
        <v>0</v>
      </c>
      <c r="K79" s="237" t="str">
        <f>IF(ISEVEN(B79),(B79-1)&amp;"/"&amp;B79,B79&amp;"/"&amp;(B79+1))</f>
        <v>4051/4052</v>
      </c>
      <c r="L79" s="245" t="str">
        <f>VLOOKUP(A79,'Trips&amp;Operators'!$C$1:$G$99911,5,FALSE)</f>
        <v>GUZMAN DANNY</v>
      </c>
      <c r="M79" s="224">
        <f>I79-F79</f>
        <v>2.4097222223645076E-2</v>
      </c>
      <c r="N79" s="225">
        <f>24*60*SUM($M79:$M79)</f>
        <v>34.70000000204891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-31T10:35:18-0700',mode:absolute,to:'2017-12-31T13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5.0799999999999998E-2</v>
      </c>
      <c r="Z79" s="247">
        <f>RIGHT(H79,LEN(H79)-4)/10000</f>
        <v>23.332999999999998</v>
      </c>
      <c r="AA79" s="247">
        <f>ABS(Z79-Y79)</f>
        <v>23.2822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165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s3://rtdc.mdm.uploadarchive.raw/RTDC4052/ "%USERPROFILE%\AppData\Local\Temp\OnboardLogs"\RTDC4052\2017-12-31 --exclude "*" --recursive --include "*20171231*" &amp; "%USERPROFILE%\Documents\GitHub\mrs-test-scripts\Headless Mode &amp; Sideloading\WalkAndUnGZ.bat" "%USERPROFILE%\AppData\Local\Temp\OnboardLogs"\RTDC4052\2017-12-31 &amp; aws s3 cp s3://rtdc.mdm.uploadarchive.raw/RTDC4052/ "%USERPROFILE%\AppData\Local\Temp\OnboardLogs"\RTDC4052\2018-01-01 --exclude "*" --recursive --include "*20180101*" &amp; "%USERPROFILE%\Documents\GitHub\mrs-test-scripts\Headless Mode &amp; Sideloading\WalkAndUnGZ.bat" "%USERPROFILE%\AppData\Local\Temp\OnboardLogs"\RTDC4052\2018-01-01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/stypes="app*4052*20171231*"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ref="AH79:AH146" si="16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165-31 --locoid 4052 --swversion DE.1.0.9.0 --startMP 204:508 --initTime 2017-12-31T11:35:18 --startdatetime 2017-12-31T11:45:15 --delay 73 --endMP 204:233330 --enddatetime 2017-12-31T12:19:57 --enforcementcount 0 &gt;&gt;%USERPROFILE%\Documents\GitHub\eaglep3-reporting\EC\2017-12-31-refined-times.txt</v>
      </c>
      <c r="AI79" s="238" t="str">
        <f t="shared" ref="AI79:AI146" si="17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{"issue":{"subject":"","project_id":79,"tracker_id":40,"status_id":1,"priority_id":2,"assigned_to_id":338,"start_date":"2017-12-31","description":"","custom_fields":[{"id":1,"name":"Subdivision","value":"EC"},{"id":4,"name":"Milepost","value":"23.333"},{"id":17,"name":"Train ID","value":"165-31"},{"id":16,"name":"Locomotive ID","value":"4052"},{"id":130,"name":"Impact","value":""},{"id":150,"name":"Time of Event (Mountain Time)","value":"12:19:57"},{"id":151,"name":"Denver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ref="AM79:AM146" si="18">"start /low /b "&amp;dls3logs&amp;" --loco "&amp;B79&amp;" --day "&amp;TEXT(F79,"YYYY-MM-DD")</f>
        <v>start /low /b %USERPROFILE%\Documents\GitHub\eaglep3\Utilities\DownloadLogsFromS3.py --loco 4052 --day 2017-12-31</v>
      </c>
      <c r="AN79" s="241" t="str">
        <f t="shared" ref="AN79:AN146" si="19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19:19:57"},{"id":29,"name":"Sharepoint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ref="AO79:AO146" si="20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-31T10:35:18-0700',mode:absolute,to:'2017-12-31T13:19:57-0700'))&amp;_a=(columns:!('Message%20ID',Summary),filters:!(),index:'emp_*',interval:auto,query:(query_string:(analyze_wildcard:!t,query:'%22rtdc.l.rtdc.4052%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780</v>
      </c>
      <c r="B80" s="225">
        <v>4051</v>
      </c>
      <c r="C80" s="227" t="s">
        <v>192</v>
      </c>
      <c r="D80" s="227" t="s">
        <v>877</v>
      </c>
      <c r="E80" s="226">
        <v>43100.518622685187</v>
      </c>
      <c r="F80" s="226">
        <v>43100.529340277775</v>
      </c>
      <c r="G80" s="225">
        <v>64</v>
      </c>
      <c r="H80" s="227" t="s">
        <v>516</v>
      </c>
      <c r="I80" s="226">
        <v>43100.555347222224</v>
      </c>
      <c r="J80" s="225">
        <v>0</v>
      </c>
      <c r="K80" s="237" t="str">
        <f>IF(ISEVEN(B80),(B80-1)&amp;"/"&amp;B80,B80&amp;"/"&amp;(B80+1))</f>
        <v>4051/4052</v>
      </c>
      <c r="L80" s="245" t="str">
        <f>VLOOKUP(A80,'Trips&amp;Operators'!$C$1:$G$99911,5,FALSE)</f>
        <v>GUZMAN DANNY</v>
      </c>
      <c r="M80" s="224">
        <f>I80-F80</f>
        <v>2.6006944448454306E-2</v>
      </c>
      <c r="N80" s="225">
        <f>24*60*SUM($M80:$M80)</f>
        <v>37.4500000057742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-31T11:26:49-0700',mode:absolute,to:'2017-12-31T14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23.299600000000002</v>
      </c>
      <c r="Z80" s="247">
        <f>RIGHT(H80,LEN(H80)-4)/10000</f>
        <v>1.9199999999999998E-2</v>
      </c>
      <c r="AA80" s="247">
        <f>ABS(Z80-Y80)</f>
        <v>23.2804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166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s3://rtdc.mdm.uploadarchive.raw/RTDC4051/ "%USERPROFILE%\AppData\Local\Temp\OnboardLogs"\RTDC4051\2017-12-31 --exclude "*" --recursive --include "*20171231*" &amp; "%USERPROFILE%\Documents\GitHub\mrs-test-scripts\Headless Mode &amp; Sideloading\WalkAndUnGZ.bat" "%USERPROFILE%\AppData\Local\Temp\OnboardLogs"\RTDC4051\2017-12-31 &amp; aws s3 cp s3://rtdc.mdm.uploadarchive.raw/RTDC4051/ "%USERPROFILE%\AppData\Local\Temp\OnboardLogs"\RTDC4051\2018-01-01 --exclude "*" --recursive --include "*20180101*" &amp; "%USERPROFILE%\Documents\GitHub\mrs-test-scripts\Headless Mode &amp; Sideloading\WalkAndUnGZ.bat" "%USERPROFILE%\AppData\Local\Temp\OnboardLogs"\RTDC4051\2018-01-01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/stypes="app*4051*20171231*"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6"/>
        <v>"%USERPROFILE%\Documents\GitHub\eaglep3\Utilities\RefineRTDCRunTimes.py" --tripid 166-31 --locoid 4051 --swversion DE.1.0.9.0 --startMP 204:232996 --initTime 2017-12-31T12:26:49 --startdatetime 2017-12-31T12:42:15 --delay 64 --endMP 204:192 --enddatetime 2017-12-31T13:19:42 --enforcementcount 0 &gt;&gt;%USERPROFILE%\Documents\GitHub\eaglep3-reporting\EC\2017-12-31-refined-times.txt</v>
      </c>
      <c r="AI80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{"issue":{"subject":"","project_id":79,"tracker_id":40,"status_id":1,"priority_id":2,"assigned_to_id":338,"start_date":"2017-12-31","description":"","custom_fields":[{"id":1,"name":"Subdivision","value":"EC"},{"id":4,"name":"Milepost","value":"0.0192"},{"id":17,"name":"Train ID","value":"166-31"},{"id":16,"name":"Locomotive ID","value":"4051"},{"id":130,"name":"Impact","value":""},{"id":150,"name":"Time of Event (Mountain Time)","value":"13:19:42"},{"id":151,"name":"Denver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8"/>
        <v>start /low /b %USERPROFILE%\Documents\GitHub\eaglep3\Utilities\DownloadLogsFromS3.py --loco 4051 --day 2017-12-31</v>
      </c>
      <c r="AN80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20:19:42"},{"id":29,"name":"Sharepoint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20"/>
        <v>https://d0f6bd738d7f1b3e5a7ca70fe4ff75f0.us-east-1.aws.found.io/app/kibana#/discover/Steve-Slow-Train-Analysis-(2080s-and-2083s)?_g=(refreshInterval:(display:Off,pause:!f,section:0,value:0),time:(from:'2017-12-31T11:26:49-0700',mode:absolute,to:'2017-12-31T14:19:42-0700'))&amp;_a=(columns:!('Message%20ID',Summary),filters:!(),index:'emp_*',interval:auto,query:(query_string:(analyze_wildcard:!t,query:'%22rtdc.l.rtdc.4051%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773</v>
      </c>
      <c r="B81" s="225">
        <v>4044</v>
      </c>
      <c r="C81" s="227" t="s">
        <v>192</v>
      </c>
      <c r="D81" s="227" t="s">
        <v>631</v>
      </c>
      <c r="E81" s="226">
        <v>43100.497164351851</v>
      </c>
      <c r="F81" s="226">
        <v>43100.500150462962</v>
      </c>
      <c r="G81" s="225">
        <v>65</v>
      </c>
      <c r="H81" s="227" t="s">
        <v>910</v>
      </c>
      <c r="I81" s="226">
        <v>43100.525289351855</v>
      </c>
      <c r="J81" s="225">
        <v>0</v>
      </c>
      <c r="K81" s="237" t="str">
        <f>IF(ISEVEN(B81),(B81-1)&amp;"/"&amp;B81,B81&amp;"/"&amp;(B81+1))</f>
        <v>4043/4044</v>
      </c>
      <c r="L81" s="245" t="str">
        <f>VLOOKUP(A81,'Trips&amp;Operators'!$C$1:$G$99911,5,FALSE)</f>
        <v>BROWN JACOB</v>
      </c>
      <c r="M81" s="224">
        <f>I81-F81</f>
        <v>2.513888889370719E-2</v>
      </c>
      <c r="N81" s="225">
        <f>24*60*SUM($M81:$M81)</f>
        <v>36.200000006938353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-31T10:55:55-0700',mode:absolute,to:'2017-12-31T13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5.2900000000000003E-2</v>
      </c>
      <c r="Z81" s="247">
        <f>RIGHT(H81,LEN(H81)-4)/10000</f>
        <v>23.332899999999999</v>
      </c>
      <c r="AA81" s="247">
        <f>ABS(Z81-Y81)</f>
        <v>23.279999999999998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167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s3://rtdc.mdm.uploadarchive.raw/RTDC4044/ "%USERPROFILE%\AppData\Local\Temp\OnboardLogs"\RTDC4044\2017-12-31 --exclude "*" --recursive --include "*20171231*" &amp; "%USERPROFILE%\Documents\GitHub\mrs-test-scripts\Headless Mode &amp; Sideloading\WalkAndUnGZ.bat" "%USERPROFILE%\AppData\Local\Temp\OnboardLogs"\RTDC4044\2017-12-31 &amp; aws s3 cp s3://rtdc.mdm.uploadarchive.raw/RTDC4044/ "%USERPROFILE%\AppData\Local\Temp\OnboardLogs"\RTDC4044\2018-01-01 --exclude "*" --recursive --include "*20180101*" &amp; "%USERPROFILE%\Documents\GitHub\mrs-test-scripts\Headless Mode &amp; Sideloading\WalkAndUnGZ.bat" "%USERPROFILE%\AppData\Local\Temp\OnboardLogs"\RTDC4044\2018-01-01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/stypes="app*4044*20171231*"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6"/>
        <v>"%USERPROFILE%\Documents\GitHub\eaglep3\Utilities\RefineRTDCRunTimes.py" --tripid 167-31 --locoid 4044 --swversion DE.1.0.9.0 --startMP 204:529 --initTime 2017-12-31T11:55:55 --startdatetime 2017-12-31T12:00:13 --delay 65 --endMP 204:233329 --enddatetime 2017-12-31T12:36:25 --enforcementcount 0 &gt;&gt;%USERPROFILE%\Documents\GitHub\eaglep3-reporting\EC\2017-12-31-refined-times.txt</v>
      </c>
      <c r="AI81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{"issue":{"subject":"","project_id":79,"tracker_id":40,"status_id":1,"priority_id":2,"assigned_to_id":338,"start_date":"2017-12-31","description":"","custom_fields":[{"id":1,"name":"Subdivision","value":"EC"},{"id":4,"name":"Milepost","value":"23.3329"},{"id":17,"name":"Train ID","value":"167-31"},{"id":16,"name":"Locomotive ID","value":"4044"},{"id":130,"name":"Impact","value":""},{"id":150,"name":"Time of Event (Mountain Time)","value":"12:36:25"},{"id":151,"name":"Denver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8"/>
        <v>start /low /b %USERPROFILE%\Documents\GitHub\eaglep3\Utilities\DownloadLogsFromS3.py --loco 4044 --day 2017-12-31</v>
      </c>
      <c r="AN81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19:36:25"},{"id":29,"name":"Sharepoint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20"/>
        <v>https://d0f6bd738d7f1b3e5a7ca70fe4ff75f0.us-east-1.aws.found.io/app/kibana#/discover/Steve-Slow-Train-Analysis-(2080s-and-2083s)?_g=(refreshInterval:(display:Off,pause:!f,section:0,value:0),time:(from:'2017-12-31T10:55:55-0700',mode:absolute,to:'2017-12-31T13:36:25-0700'))&amp;_a=(columns:!('Message%20ID',Summary),filters:!(),index:'emp_*',interval:auto,query:(query_string:(analyze_wildcard:!t,query:'%22rtdc.l.rtdc.4044%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680</v>
      </c>
      <c r="B82" s="225">
        <v>4043</v>
      </c>
      <c r="C82" s="227" t="s">
        <v>192</v>
      </c>
      <c r="D82" s="227" t="s">
        <v>911</v>
      </c>
      <c r="E82" s="226">
        <v>43100.537407407406</v>
      </c>
      <c r="F82" s="226">
        <v>43100.53974537037</v>
      </c>
      <c r="G82" s="225">
        <v>63</v>
      </c>
      <c r="H82" s="227" t="s">
        <v>876</v>
      </c>
      <c r="I82" s="226">
        <v>43100.566006944442</v>
      </c>
      <c r="J82" s="225">
        <v>0</v>
      </c>
      <c r="K82" s="237" t="str">
        <f>IF(ISEVEN(B82),(B82-1)&amp;"/"&amp;B82,B82&amp;"/"&amp;(B82+1))</f>
        <v>4043/4044</v>
      </c>
      <c r="L82" s="245" t="str">
        <f>VLOOKUP(A82,'Trips&amp;Operators'!$C$1:$G$99911,5,FALSE)</f>
        <v>BROWN JACOB</v>
      </c>
      <c r="M82" s="224">
        <f>I82-F82</f>
        <v>2.626157407212304E-2</v>
      </c>
      <c r="N82" s="225">
        <f>24*60*SUM($M82:$M82)</f>
        <v>37.816666663857177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-12-31T11:53:52-0700',mode:absolute,to:'2017-12-31T14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23.3002</v>
      </c>
      <c r="Z82" s="247">
        <f>RIGHT(H82,LEN(H82)-4)/10000</f>
        <v>1.52E-2</v>
      </c>
      <c r="AA82" s="247">
        <f>ABS(Z82-Y82)</f>
        <v>23.285</v>
      </c>
      <c r="AB82" s="233" t="str">
        <f>VLOOKUP(A82,Enforcements!$C$7:$K$9,8,0)</f>
        <v>Bulletin (2)</v>
      </c>
      <c r="AC82" s="232" t="str">
        <f>VLOOKUP(A82,Enforcements!$C$7:$E$9,3,0)</f>
        <v>GRADE CROSSING</v>
      </c>
      <c r="AD82" s="243">
        <f>VALUE(LEFT(A82,LEN(A82)-3))</f>
        <v>168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/stypes="app*4043*20171231*"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6"/>
        <v>"%USERPROFILE%\Documents\GitHub\eaglep3\Utilities\RefineRTDCRunTimes.py" --tripid 168-31 --locoid 4043 --swversion DE.1.0.9.0 --startMP 204:233002 --initTime 2017-12-31T12:53:52 --startdatetime 2017-12-31T12:57:14 --delay 63 --endMP 204:152 --enddatetime 2017-12-31T13:35:03 --enforcementcount 0 &gt;&gt;%USERPROFILE%\Documents\GitHub\eaglep3-reporting\EC\2017-12-31-refined-times.txt</v>
      </c>
      <c r="AI82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{"issue":{"subject":"","project_id":79,"tracker_id":40,"status_id":1,"priority_id":2,"assigned_to_id":338,"start_date":"2017-12-31","description":"","custom_fields":[{"id":1,"name":"Subdivision","value":"EC"},{"id":4,"name":"Milepost","value":"0.0152"},{"id":17,"name":"Train ID","value":"168-31"},{"id":16,"name":"Locomotive ID","value":"4043"},{"id":130,"name":"Impact","value":""},{"id":150,"name":"Time of Event (Mountain Time)","value":"13:35:03"},{"id":151,"name":"Denver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8"/>
        <v>start /low /b %USERPROFILE%\Documents\GitHub\eaglep3\Utilities\DownloadLogsFromS3.py --loco 4043 --day 2017-12-31</v>
      </c>
      <c r="AN82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20:35:03"},{"id":29,"name":"Sharepoint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20"/>
        <v>https://d0f6bd738d7f1b3e5a7ca70fe4ff75f0.us-east-1.aws.found.io/app/kibana#/discover/Steve-Slow-Train-Analysis-(2080s-and-2083s)?_g=(refreshInterval:(display:Off,pause:!f,section:0,value:0),time:(from:'2017-12-31T11:53:52-0700',mode:absolute,to:'2017-12-31T14:35:03-0700'))&amp;_a=(columns:!('Message%20ID',Summary),filters:!(),index:'emp_*',interval:auto,query:(query_string:(analyze_wildcard:!t,query:'%22rtdc.l.rtdc.4043%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775</v>
      </c>
      <c r="B83" s="225">
        <v>4002</v>
      </c>
      <c r="C83" s="227" t="s">
        <v>192</v>
      </c>
      <c r="D83" s="227" t="s">
        <v>509</v>
      </c>
      <c r="E83" s="226">
        <v>43100.504930555559</v>
      </c>
      <c r="F83" s="226">
        <v>43100.51059027778</v>
      </c>
      <c r="G83" s="225">
        <v>58</v>
      </c>
      <c r="H83" s="227" t="s">
        <v>907</v>
      </c>
      <c r="I83" s="226">
        <v>43100.53466435185</v>
      </c>
      <c r="J83" s="225">
        <v>0</v>
      </c>
      <c r="K83" s="237" t="str">
        <f>IF(ISEVEN(B83),(B83-1)&amp;"/"&amp;B83,B83&amp;"/"&amp;(B83+1))</f>
        <v>4001/4002</v>
      </c>
      <c r="L83" s="245" t="str">
        <f>VLOOKUP(A83,'Trips&amp;Operators'!$C$1:$G$99911,5,FALSE)</f>
        <v>GONZALEZ ARMANDO</v>
      </c>
      <c r="M83" s="224">
        <f>I83-F83</f>
        <v>2.4074074070085771E-2</v>
      </c>
      <c r="N83" s="225">
        <f>24*60*SUM($M83:$M83)</f>
        <v>34.666666660923511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-31T11:07:06-0700',mode:absolute,to:'2017-12-31T13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5.1700000000000003E-2</v>
      </c>
      <c r="Z83" s="247">
        <f>RIGHT(H83,LEN(H83)-4)/10000</f>
        <v>23.334099999999999</v>
      </c>
      <c r="AA83" s="247">
        <f>ABS(Z83-Y83)</f>
        <v>23.282399999999999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169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s3://rtdc.mdm.uploadarchive.raw/RTDC4002/ "%USERPROFILE%\AppData\Local\Temp\OnboardLogs"\RTDC4002\2017-12-31 --exclude "*" --recursive --include "*20171231*" &amp; "%USERPROFILE%\Documents\GitHub\mrs-test-scripts\Headless Mode &amp; Sideloading\WalkAndUnGZ.bat" "%USERPROFILE%\AppData\Local\Temp\OnboardLogs"\RTDC4002\2017-12-31 &amp; aws s3 cp s3://rtdc.mdm.uploadarchive.raw/RTDC4002/ "%USERPROFILE%\AppData\Local\Temp\OnboardLogs"\RTDC4002\2018-01-01 --exclude "*" --recursive --include "*20180101*" &amp; "%USERPROFILE%\Documents\GitHub\mrs-test-scripts\Headless Mode &amp; Sideloading\WalkAndUnGZ.bat" "%USERPROFILE%\AppData\Local\Temp\OnboardLogs"\RTDC4002\2018-01-01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/stypes="app*4002*20171231*" /stext=" 19:.+((SYSTEM_STATE.+slice.+state.+changed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6"/>
        <v>"%USERPROFILE%\Documents\GitHub\eaglep3\Utilities\RefineRTDCRunTimes.py" --tripid 169-31 --locoid 4002 --swversion DE.1.0.9.0 --startMP 204:517 --initTime 2017-12-31T12:07:06 --startdatetime 2017-12-31T12:15:15 --delay 58 --endMP 204:233341 --enddatetime 2017-12-31T12:49:55 --enforcementcount 0 &gt;&gt;%USERPROFILE%\Documents\GitHub\eaglep3-reporting\EC\2017-12-31-refined-times.txt</v>
      </c>
      <c r="AI83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{"issue":{"subject":"","project_id":79,"tracker_id":40,"status_id":1,"priority_id":2,"assigned_to_id":338,"start_date":"2017-12-31","description":"","custom_fields":[{"id":1,"name":"Subdivision","value":"EC"},{"id":4,"name":"Milepost","value":"23.3341"},{"id":17,"name":"Train ID","value":"169-31"},{"id":16,"name":"Locomotive ID","value":"4002"},{"id":130,"name":"Impact","value":""},{"id":150,"name":"Time of Event (Mountain Time)","value":"12:49:55"},{"id":151,"name":"Denver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8"/>
        <v>start /low /b %USERPROFILE%\Documents\GitHub\eaglep3\Utilities\DownloadLogsFromS3.py --loco 4002 --day 2017-12-31</v>
      </c>
      <c r="AN83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19:49:55"},{"id":29,"name":"Sharepoint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20"/>
        <v>https://d0f6bd738d7f1b3e5a7ca70fe4ff75f0.us-east-1.aws.found.io/app/kibana#/discover/Steve-Slow-Train-Analysis-(2080s-and-2083s)?_g=(refreshInterval:(display:Off,pause:!f,section:0,value:0),time:(from:'2017-12-31T11:07:06-0700',mode:absolute,to:'2017-12-31T13:49:55-0700'))&amp;_a=(columns:!('Message%20ID',Summary),filters:!(),index:'emp_*',interval:auto,query:(query_string:(analyze_wildcard:!t,query:'%22rtdc.l.rtdc.4002%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682</v>
      </c>
      <c r="B84" s="225">
        <v>4001</v>
      </c>
      <c r="C84" s="227" t="s">
        <v>192</v>
      </c>
      <c r="D84" s="227" t="s">
        <v>912</v>
      </c>
      <c r="E84" s="226">
        <v>43100.544571759259</v>
      </c>
      <c r="F84" s="226">
        <v>43100.550243055557</v>
      </c>
      <c r="G84" s="225">
        <v>78</v>
      </c>
      <c r="H84" s="227" t="s">
        <v>496</v>
      </c>
      <c r="I84" s="226">
        <v>43100.576539351852</v>
      </c>
      <c r="J84" s="225">
        <v>0</v>
      </c>
      <c r="K84" s="237" t="str">
        <f>IF(ISEVEN(B84),(B84-1)&amp;"/"&amp;B84,B84&amp;"/"&amp;(B84+1))</f>
        <v>4001/4002</v>
      </c>
      <c r="L84" s="245" t="str">
        <f>VLOOKUP(A84,'Trips&amp;Operators'!$C$1:$G$99911,5,FALSE)</f>
        <v>GONZALEZ ARMANDO</v>
      </c>
      <c r="M84" s="224">
        <f>I84-F84</f>
        <v>2.6296296295186039E-2</v>
      </c>
      <c r="N84" s="225">
        <f>24*60*SUM($M84:$M84)</f>
        <v>37.866666665067896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-12-31T12:04:11-0700',mode:absolute,to:'2017-12-31T14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23.303599999999999</v>
      </c>
      <c r="Z84" s="247">
        <f>RIGHT(H84,LEN(H84)-4)/10000</f>
        <v>2.01E-2</v>
      </c>
      <c r="AA84" s="247">
        <f>ABS(Z84-Y84)</f>
        <v>23.2835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170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s3://rtdc.mdm.uploadarchive.raw/RTDC4001/ "%USERPROFILE%\AppData\Local\Temp\OnboardLogs"\RTDC4001\2017-12-31 --exclude "*" --recursive --include "*20171231*" &amp; "%USERPROFILE%\Documents\GitHub\mrs-test-scripts\Headless Mode &amp; Sideloading\WalkAndUnGZ.bat" "%USERPROFILE%\AppData\Local\Temp\OnboardLogs"\RTDC4001\2017-12-31 &amp; aws s3 cp s3://rtdc.mdm.uploadarchive.raw/RTDC4001/ "%USERPROFILE%\AppData\Local\Temp\OnboardLogs"\RTDC4001\2018-01-01 --exclude "*" --recursive --include "*20180101*" &amp; "%USERPROFILE%\Documents\GitHub\mrs-test-scripts\Headless Mode &amp; Sideloading\WalkAndUnGZ.bat" "%USERPROFILE%\AppData\Local\Temp\OnboardLogs"\RTDC4001\2018-01-01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/stypes="app*4001*20171231*"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6"/>
        <v>"%USERPROFILE%\Documents\GitHub\eaglep3\Utilities\RefineRTDCRunTimes.py" --tripid 170-31 --locoid 4001 --swversion DE.1.0.9.0 --startMP 204:233036 --initTime 2017-12-31T13:04:11 --startdatetime 2017-12-31T13:12:21 --delay 78 --endMP 204:201 --enddatetime 2017-12-31T13:50:13 --enforcementcount 0 &gt;&gt;%USERPROFILE%\Documents\GitHub\eaglep3-reporting\EC\2017-12-31-refined-times.txt</v>
      </c>
      <c r="AI84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{"issue":{"subject":"","project_id":79,"tracker_id":40,"status_id":1,"priority_id":2,"assigned_to_id":338,"start_date":"2017-12-31","description":"","custom_fields":[{"id":1,"name":"Subdivision","value":"EC"},{"id":4,"name":"Milepost","value":"0.0201"},{"id":17,"name":"Train ID","value":"170-31"},{"id":16,"name":"Locomotive ID","value":"4001"},{"id":130,"name":"Impact","value":""},{"id":150,"name":"Time of Event (Mountain Time)","value":"13:50:13"},{"id":151,"name":"Denver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8"/>
        <v>start /low /b %USERPROFILE%\Documents\GitHub\eaglep3\Utilities\DownloadLogsFromS3.py --loco 4001 --day 2017-12-31</v>
      </c>
      <c r="AN84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20:50:13"},{"id":29,"name":"Sharepoint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20"/>
        <v>https://d0f6bd738d7f1b3e5a7ca70fe4ff75f0.us-east-1.aws.found.io/app/kibana#/discover/Steve-Slow-Train-Analysis-(2080s-and-2083s)?_g=(refreshInterval:(display:Off,pause:!f,section:0,value:0),time:(from:'2017-12-31T12:04:11-0700',mode:absolute,to:'2017-12-31T14:50:13-0700'))&amp;_a=(columns:!('Message%20ID',Summary),filters:!(),index:'emp_*',interval:auto,query:(query_string:(analyze_wildcard:!t,query:'%22rtdc.l.rtdc.4001%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779</v>
      </c>
      <c r="B85" s="225">
        <v>4018</v>
      </c>
      <c r="C85" s="227" t="s">
        <v>192</v>
      </c>
      <c r="D85" s="227" t="s">
        <v>504</v>
      </c>
      <c r="E85" s="226">
        <v>43100.517395833333</v>
      </c>
      <c r="F85" s="226">
        <v>43100.521099537036</v>
      </c>
      <c r="G85" s="225">
        <v>58</v>
      </c>
      <c r="H85" s="227" t="s">
        <v>913</v>
      </c>
      <c r="I85" s="226">
        <v>43100.546006944445</v>
      </c>
      <c r="J85" s="225">
        <v>0</v>
      </c>
      <c r="K85" s="237" t="str">
        <f>IF(ISEVEN(B85),(B85-1)&amp;"/"&amp;B85,B85&amp;"/"&amp;(B85+1))</f>
        <v>4017/4018</v>
      </c>
      <c r="L85" s="245" t="str">
        <f>VLOOKUP(A85,'Trips&amp;Operators'!$C$1:$G$99911,5,FALSE)</f>
        <v>STEWART MICHAEL</v>
      </c>
      <c r="M85" s="224">
        <f>I85-F85</f>
        <v>2.4907407409045845E-2</v>
      </c>
      <c r="N85" s="225">
        <f>24*60*SUM($M85:$M85)</f>
        <v>35.866666669026017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-31T11:25:03-0700',mode:absolute,to:'2017-12-31T14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4.6600000000000003E-2</v>
      </c>
      <c r="Z85" s="247">
        <f>RIGHT(H85,LEN(H85)-4)/10000</f>
        <v>23.335699999999999</v>
      </c>
      <c r="AA85" s="247">
        <f>ABS(Z85-Y85)</f>
        <v>23.289099999999998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171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/stypes="app*4018*20171231*"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6"/>
        <v>"%USERPROFILE%\Documents\GitHub\eaglep3\Utilities\RefineRTDCRunTimes.py" --tripid 171-31 --locoid 4018 --swversion DE.1.0.9.0 --startMP 204:466 --initTime 2017-12-31T12:25:03 --startdatetime 2017-12-31T12:30:23 --delay 58 --endMP 204:233357 --enddatetime 2017-12-31T13:06:15 --enforcementcount 0 &gt;&gt;%USERPROFILE%\Documents\GitHub\eaglep3-reporting\EC\2017-12-31-refined-times.txt</v>
      </c>
      <c r="AI85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{"issue":{"subject":"","project_id":79,"tracker_id":40,"status_id":1,"priority_id":2,"assigned_to_id":338,"start_date":"2017-12-31","description":"","custom_fields":[{"id":1,"name":"Subdivision","value":"EC"},{"id":4,"name":"Milepost","value":"23.3357"},{"id":17,"name":"Train ID","value":"171-31"},{"id":16,"name":"Locomotive ID","value":"4018"},{"id":130,"name":"Impact","value":""},{"id":150,"name":"Time of Event (Mountain Time)","value":"13:06:15"},{"id":151,"name":"Denver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8"/>
        <v>start /low /b %USERPROFILE%\Documents\GitHub\eaglep3\Utilities\DownloadLogsFromS3.py --loco 4018 --day 2017-12-31</v>
      </c>
      <c r="AN85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20:06:15"},{"id":29,"name":"Sharepoint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20"/>
        <v>https://d0f6bd738d7f1b3e5a7ca70fe4ff75f0.us-east-1.aws.found.io/app/kibana#/discover/Steve-Slow-Train-Analysis-(2080s-and-2083s)?_g=(refreshInterval:(display:Off,pause:!f,section:0,value:0),time:(from:'2017-12-31T11:25:03-0700',mode:absolute,to:'2017-12-31T14:06:15-0700'))&amp;_a=(columns:!('Message%20ID',Summary),filters:!(),index:'emp_*',interval:auto,query:(query_string:(analyze_wildcard:!t,query:'%22rtdc.l.rtdc.4018%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785</v>
      </c>
      <c r="B86" s="225">
        <v>4017</v>
      </c>
      <c r="C86" s="227" t="s">
        <v>192</v>
      </c>
      <c r="D86" s="227" t="s">
        <v>914</v>
      </c>
      <c r="E86" s="226">
        <v>43100.557314814818</v>
      </c>
      <c r="F86" s="226">
        <v>43100.560659722221</v>
      </c>
      <c r="G86" s="225">
        <v>66</v>
      </c>
      <c r="H86" s="227" t="s">
        <v>526</v>
      </c>
      <c r="I86" s="226">
        <v>43100.588171296295</v>
      </c>
      <c r="J86" s="225">
        <v>0</v>
      </c>
      <c r="K86" s="237" t="str">
        <f>IF(ISEVEN(B86),(B86-1)&amp;"/"&amp;B86,B86&amp;"/"&amp;(B86+1))</f>
        <v>4017/4018</v>
      </c>
      <c r="L86" s="245" t="str">
        <f>VLOOKUP(A86,'Trips&amp;Operators'!$C$1:$G$99911,5,FALSE)</f>
        <v>STEWART MICHAEL</v>
      </c>
      <c r="M86" s="224">
        <f>I86-F86</f>
        <v>2.7511574073287193E-2</v>
      </c>
      <c r="N86" s="225">
        <f>24*60*SUM($M86:$M86)</f>
        <v>39.616666665533558</v>
      </c>
      <c r="O86" s="225"/>
      <c r="P86" s="225"/>
      <c r="Q86" s="228"/>
      <c r="R86" s="242" t="s">
        <v>1052</v>
      </c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-12-31T12:22:32-0700',mode:absolute,to:'2017-12-31T15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23.304500000000001</v>
      </c>
      <c r="Z86" s="247">
        <f>RIGHT(H86,LEN(H86)-4)/10000</f>
        <v>0.02</v>
      </c>
      <c r="AA86" s="247">
        <f>ABS(Z86-Y86)</f>
        <v>23.284500000000001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172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s3://rtdc.mdm.uploadarchive.raw/RTDC4017/ "%USERPROFILE%\AppData\Local\Temp\OnboardLogs"\RTDC4017\2017-12-31 --exclude "*" --recursive --include "*20171231*" &amp; "%USERPROFILE%\Documents\GitHub\mrs-test-scripts\Headless Mode &amp; Sideloading\WalkAndUnGZ.bat" "%USERPROFILE%\AppData\Local\Temp\OnboardLogs"\RTDC4017\2017-12-31 &amp; aws s3 cp s3://rtdc.mdm.uploadarchive.raw/RTDC4017/ "%USERPROFILE%\AppData\Local\Temp\OnboardLogs"\RTDC4017\2018-01-01 --exclude "*" --recursive --include "*20180101*" &amp; "%USERPROFILE%\Documents\GitHub\mrs-test-scripts\Headless Mode &amp; Sideloading\WalkAndUnGZ.bat" "%USERPROFILE%\AppData\Local\Temp\OnboardLogs"\RTDC4017\2018-01-01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/stypes="app*4017*20171231*"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6"/>
        <v>"%USERPROFILE%\Documents\GitHub\eaglep3\Utilities\RefineRTDCRunTimes.py" --tripid 172-31 --locoid 4017 --swversion DE.1.0.9.0 --startMP 204:233045 --initTime 2017-12-31T13:22:32 --startdatetime 2017-12-31T13:27:21 --delay 66 --endMP 204:200 --enddatetime 2017-12-31T14:06:58 --enforcementcount 0 &gt;&gt;%USERPROFILE%\Documents\GitHub\eaglep3-reporting\EC\2017-12-31-refined-times.txt</v>
      </c>
      <c r="AI86" s="238" t="str">
        <f t="shared" si="17"/>
        <v>echo {"issue":{"subject":"Observed red fence for unhealthy xing at Chambers due to Wi-MAX data drop, no PTC enforcement","project_id":79,"tracker_id":40,"status_id":1,"priority_id":2,"assigned_to_id":338,"start_date":"2017-12-31","description":"","custom_fields":[{"id":1,"name":"Subdivision","value":"EC"},{"id":4,"name":"Milepost","value":"0.02"},{"id":17,"name":"Train ID","value":"172-31"},{"id":16,"name":"Locomotive ID","value":"4017"},{"id":130,"name":"Impact","value":""},{"id":150,"name":"Time of Event (Mountain Time)","value":"14:06:58"},{"id":151,"name":"Denver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8"/>
        <v>start /low /b %USERPROFILE%\Documents\GitHub\eaglep3\Utilities\DownloadLogsFromS3.py --loco 4017 --day 2017-12-31</v>
      </c>
      <c r="AN86" s="241" t="str">
        <f t="shared" si="19"/>
        <v>echo {"issue":{"subject":"Observed red fence for unhealthy xing at Chambers due to Wi-MAX data drop, no PTC enforcement","project_id":30,"tracker_id":4,"status_id":1,"priority_id":1,"assigned_to_id":10,"start_date":"2017-12-31","description":"","custom_fields":[{"id":30,"name":"Category","value":"Issue"},{"id":3,"name":"Functional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20"/>
        <v>https://d0f6bd738d7f1b3e5a7ca70fe4ff75f0.us-east-1.aws.found.io/app/kibana#/discover/Steve-Slow-Train-Analysis-(2080s-and-2083s)?_g=(refreshInterval:(display:Off,pause:!f,section:0,value:0),time:(from:'2017-12-31T12:22:32-0700',mode:absolute,to:'2017-12-31T15:06:58-0700'))&amp;_a=(columns:!('Message%20ID',Summary),filters:!(),index:'emp_*',interval:auto,query:(query_string:(analyze_wildcard:!t,query:'%22rtdc.l.rtdc.4017%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781</v>
      </c>
      <c r="B87" s="225">
        <v>4016</v>
      </c>
      <c r="C87" s="227" t="s">
        <v>192</v>
      </c>
      <c r="D87" s="227" t="s">
        <v>634</v>
      </c>
      <c r="E87" s="226">
        <v>43100.527025462965</v>
      </c>
      <c r="F87" s="226">
        <v>43100.531493055554</v>
      </c>
      <c r="G87" s="225">
        <v>62</v>
      </c>
      <c r="H87" s="227" t="s">
        <v>593</v>
      </c>
      <c r="I87" s="226">
        <v>43100.55609953704</v>
      </c>
      <c r="J87" s="225">
        <v>0</v>
      </c>
      <c r="K87" s="237" t="str">
        <f>IF(ISEVEN(B87),(B87-1)&amp;"/"&amp;B87,B87&amp;"/"&amp;(B87+1))</f>
        <v>4015/4016</v>
      </c>
      <c r="L87" s="245" t="str">
        <f>VLOOKUP(A87,'Trips&amp;Operators'!$C$1:$G$99911,5,FALSE)</f>
        <v>SMITH MICHAEL</v>
      </c>
      <c r="M87" s="224">
        <f>I87-F87</f>
        <v>2.4606481485534459E-2</v>
      </c>
      <c r="N87" s="225">
        <f>24*60*SUM($M87:$M87)</f>
        <v>35.433333339169621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-12-31T11:38:55-0700',mode:absolute,to:'2017-12-31T14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4.58E-2</v>
      </c>
      <c r="Z87" s="247">
        <f>RIGHT(H87,LEN(H87)-4)/10000</f>
        <v>23.3203</v>
      </c>
      <c r="AA87" s="247">
        <f>ABS(Z87-Y87)</f>
        <v>23.2745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173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s3://rtdc.mdm.uploadarchive.raw/RTDC4016/ "%USERPROFILE%\AppData\Local\Temp\OnboardLogs"\RTDC4016\2017-12-31 --exclude "*" --recursive --include "*20171231*" &amp; "%USERPROFILE%\Documents\GitHub\mrs-test-scripts\Headless Mode &amp; Sideloading\WalkAndUnGZ.bat" "%USERPROFILE%\AppData\Local\Temp\OnboardLogs"\RTDC4016\2017-12-31 &amp; aws s3 cp s3://rtdc.mdm.uploadarchive.raw/RTDC4016/ "%USERPROFILE%\AppData\Local\Temp\OnboardLogs"\RTDC4016\2018-01-01 --exclude "*" --recursive --include "*20180101*" &amp; "%USERPROFILE%\Documents\GitHub\mrs-test-scripts\Headless Mode &amp; Sideloading\WalkAndUnGZ.bat" "%USERPROFILE%\AppData\Local\Temp\OnboardLogs"\RTDC4016\2018-01-01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/stypes="app*4016*20171231*"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6"/>
        <v>"%USERPROFILE%\Documents\GitHub\eaglep3\Utilities\RefineRTDCRunTimes.py" --tripid 173-31 --locoid 4016 --swversion DE.1.0.9.0 --startMP 204:458 --initTime 2017-12-31T12:38:55 --startdatetime 2017-12-31T12:45:21 --delay 62 --endMP 204:233203 --enddatetime 2017-12-31T13:20:47 --enforcementcount 0 &gt;&gt;%USERPROFILE%\Documents\GitHub\eaglep3-reporting\EC\2017-12-31-refined-times.txt</v>
      </c>
      <c r="AI87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{"issue":{"subject":"","project_id":79,"tracker_id":40,"status_id":1,"priority_id":2,"assigned_to_id":338,"start_date":"2017-12-31","description":"","custom_fields":[{"id":1,"name":"Subdivision","value":"EC"},{"id":4,"name":"Milepost","value":"23.3203"},{"id":17,"name":"Train ID","value":"173-31"},{"id":16,"name":"Locomotive ID","value":"4016"},{"id":130,"name":"Impact","value":""},{"id":150,"name":"Time of Event (Mountain Time)","value":"13:20:47"},{"id":151,"name":"Denver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8"/>
        <v>start /low /b %USERPROFILE%\Documents\GitHub\eaglep3\Utilities\DownloadLogsFromS3.py --loco 4016 --day 2017-12-31</v>
      </c>
      <c r="AN87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20:20:47"},{"id":29,"name":"Sharepoint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20"/>
        <v>https://d0f6bd738d7f1b3e5a7ca70fe4ff75f0.us-east-1.aws.found.io/app/kibana#/discover/Steve-Slow-Train-Analysis-(2080s-and-2083s)?_g=(refreshInterval:(display:Off,pause:!f,section:0,value:0),time:(from:'2017-12-31T11:38:55-0700',mode:absolute,to:'2017-12-31T14:20:47-0700'))&amp;_a=(columns:!('Message%20ID',Summary),filters:!(),index:'emp_*',interval:auto,query:(query_string:(analyze_wildcard:!t,query:'%22rtdc.l.rtdc.4016%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788</v>
      </c>
      <c r="B88" s="225">
        <v>4015</v>
      </c>
      <c r="C88" s="227" t="s">
        <v>192</v>
      </c>
      <c r="D88" s="227" t="s">
        <v>915</v>
      </c>
      <c r="E88" s="226">
        <v>43100.563344907408</v>
      </c>
      <c r="F88" s="226">
        <v>43100.571053240739</v>
      </c>
      <c r="G88" s="225">
        <v>92</v>
      </c>
      <c r="H88" s="227" t="s">
        <v>916</v>
      </c>
      <c r="I88" s="226">
        <v>43100.59716435185</v>
      </c>
      <c r="J88" s="225">
        <v>0</v>
      </c>
      <c r="K88" s="237" t="str">
        <f>IF(ISEVEN(B88),(B88-1)&amp;"/"&amp;B88,B88&amp;"/"&amp;(B88+1))</f>
        <v>4015/4016</v>
      </c>
      <c r="L88" s="245" t="str">
        <f>VLOOKUP(A88,'Trips&amp;Operators'!$C$1:$G$99911,5,FALSE)</f>
        <v>SMITH MICHAEL</v>
      </c>
      <c r="M88" s="224">
        <f>I88-F88</f>
        <v>2.6111111110367347E-2</v>
      </c>
      <c r="N88" s="225">
        <f>24*60*SUM($M88:$M88)</f>
        <v>37.599999998928979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-12-31T12:31:13-0700',mode:absolute,to:'2017-12-31T15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23.2882</v>
      </c>
      <c r="Z88" s="247">
        <f>RIGHT(H88,LEN(H88)-4)/10000</f>
        <v>2.52E-2</v>
      </c>
      <c r="AA88" s="247">
        <f>ABS(Z88-Y88)</f>
        <v>23.262999999999998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174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s3://rtdc.mdm.uploadarchive.raw/RTDC4015/ "%USERPROFILE%\AppData\Local\Temp\OnboardLogs"\RTDC4015\2017-12-31 --exclude "*" --recursive --include "*20171231*" &amp; "%USERPROFILE%\Documents\GitHub\mrs-test-scripts\Headless Mode &amp; Sideloading\WalkAndUnGZ.bat" "%USERPROFILE%\AppData\Local\Temp\OnboardLogs"\RTDC4015\2017-12-31 &amp; 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/stypes="app*4015*20171231*"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6"/>
        <v>"%USERPROFILE%\Documents\GitHub\eaglep3\Utilities\RefineRTDCRunTimes.py" --tripid 174-31 --locoid 4015 --swversion DE.1.0.9.0 --startMP 204:232882 --initTime 2017-12-31T13:31:13 --startdatetime 2017-12-31T13:42:19 --delay 92 --endMP 204:252 --enddatetime 2017-12-31T14:19:55 --enforcementcount 0 &gt;&gt;%USERPROFILE%\Documents\GitHub\eaglep3-reporting\EC\2017-12-31-refined-times.txt</v>
      </c>
      <c r="AI88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{"issue":{"subject":"","project_id":79,"tracker_id":40,"status_id":1,"priority_id":2,"assigned_to_id":338,"start_date":"2017-12-31","description":"","custom_fields":[{"id":1,"name":"Subdivision","value":"EC"},{"id":4,"name":"Milepost","value":"0.0252"},{"id":17,"name":"Train ID","value":"174-31"},{"id":16,"name":"Locomotive ID","value":"4015"},{"id":130,"name":"Impact","value":""},{"id":150,"name":"Time of Event (Mountain Time)","value":"14:19:55"},{"id":151,"name":"Denver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8"/>
        <v>start /low /b %USERPROFILE%\Documents\GitHub\eaglep3\Utilities\DownloadLogsFromS3.py --loco 4015 --day 2017-12-31</v>
      </c>
      <c r="AN88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20"/>
        <v>https://d0f6bd738d7f1b3e5a7ca70fe4ff75f0.us-east-1.aws.found.io/app/kibana#/discover/Steve-Slow-Train-Analysis-(2080s-and-2083s)?_g=(refreshInterval:(display:Off,pause:!f,section:0,value:0),time:(from:'2017-12-31T12:31:13-0700',mode:absolute,to:'2017-12-31T15:19:55-0700'))&amp;_a=(columns:!('Message%20ID',Summary),filters:!(),index:'emp_*',interval:auto,query:(query_string:(analyze_wildcard:!t,query:'%22rtdc.l.rtdc.4015%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782</v>
      </c>
      <c r="B89" s="225">
        <v>4034</v>
      </c>
      <c r="C89" s="227" t="s">
        <v>192</v>
      </c>
      <c r="D89" s="227" t="s">
        <v>633</v>
      </c>
      <c r="E89" s="226">
        <v>43100.538611111115</v>
      </c>
      <c r="F89" s="226">
        <v>43100.542060185187</v>
      </c>
      <c r="G89" s="225">
        <v>56</v>
      </c>
      <c r="H89" s="227" t="s">
        <v>917</v>
      </c>
      <c r="I89" s="226">
        <v>43100.568032407406</v>
      </c>
      <c r="J89" s="225">
        <v>0</v>
      </c>
      <c r="K89" s="237" t="str">
        <f>IF(ISEVEN(B89),(B89-1)&amp;"/"&amp;B89,B89&amp;"/"&amp;(B89+1))</f>
        <v>4033/4034</v>
      </c>
      <c r="L89" s="245" t="str">
        <f>VLOOKUP(A89,'Trips&amp;Operators'!$C$1:$G$99911,5,FALSE)</f>
        <v>DAVIS MICHAEL</v>
      </c>
      <c r="M89" s="224">
        <f>I89-F89</f>
        <v>2.5972222218115348E-2</v>
      </c>
      <c r="N89" s="225">
        <f>24*60*SUM($M89:$M89)</f>
        <v>37.399999994086102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-12-31T11:55:36-0700',mode:absolute,to:'2017-12-31T14:37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5.0200000000000002E-2</v>
      </c>
      <c r="Z89" s="247">
        <f>RIGHT(H89,LEN(H89)-4)/10000</f>
        <v>23.330400000000001</v>
      </c>
      <c r="AA89" s="247">
        <f>ABS(Z89-Y89)</f>
        <v>23.280200000000001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175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 &amp; aws s3 cp s3://rtdc.mdm.uploadarchive.raw/RTDC4034/ "%USERPROFILE%\AppData\Local\Temp\OnboardLogs"\RTDC4034\2018-01-01 --exclude "*" --recursive --include "*20180101*" &amp; "%USERPROFILE%\Documents\GitHub\mrs-test-scripts\Headless Mode &amp; Sideloading\WalkAndUnGZ.bat" "%USERPROFILE%\AppData\Local\Temp\OnboardLogs"\RTDC4034\2018-01-01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/stypes="app*4034*20171231*"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6"/>
        <v>"%USERPROFILE%\Documents\GitHub\eaglep3\Utilities\RefineRTDCRunTimes.py" --tripid 175-31 --locoid 4034 --swversion DE.1.0.9.0 --startMP 204:502 --initTime 2017-12-31T12:55:36 --startdatetime 2017-12-31T13:00:34 --delay 56 --endMP 204:233304 --enddatetime 2017-12-31T13:37:58 --enforcementcount 0 &gt;&gt;%USERPROFILE%\Documents\GitHub\eaglep3-reporting\EC\2017-12-31-refined-times.txt</v>
      </c>
      <c r="AI89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{"issue":{"subject":"","project_id":79,"tracker_id":40,"status_id":1,"priority_id":2,"assigned_to_id":338,"start_date":"2017-12-31","description":"","custom_fields":[{"id":1,"name":"Subdivision","value":"EC"},{"id":4,"name":"Milepost","value":"23.3304"},{"id":17,"name":"Train ID","value":"175-31"},{"id":16,"name":"Locomotive ID","value":"4034"},{"id":130,"name":"Impact","value":""},{"id":150,"name":"Time of Event (Mountain Time)","value":"13:37:58"},{"id":151,"name":"Denver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8"/>
        <v>start /low /b %USERPROFILE%\Documents\GitHub\eaglep3\Utilities\DownloadLogsFromS3.py --loco 4034 --day 2017-12-31</v>
      </c>
      <c r="AN89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20:37:58"},{"id":29,"name":"Sharepoint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20"/>
        <v>https://d0f6bd738d7f1b3e5a7ca70fe4ff75f0.us-east-1.aws.found.io/app/kibana#/discover/Steve-Slow-Train-Analysis-(2080s-and-2083s)?_g=(refreshInterval:(display:Off,pause:!f,section:0,value:0),time:(from:'2017-12-31T11:55:36-0700',mode:absolute,to:'2017-12-31T14:37:58-0700'))&amp;_a=(columns:!('Message%20ID',Summary),filters:!(),index:'emp_*',interval:auto,query:(query_string:(analyze_wildcard:!t,query:'%22rtdc.l.rtdc.4034%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792</v>
      </c>
      <c r="B90" s="225">
        <v>4033</v>
      </c>
      <c r="C90" s="227" t="s">
        <v>192</v>
      </c>
      <c r="D90" s="227" t="s">
        <v>918</v>
      </c>
      <c r="E90" s="226">
        <v>43100.579282407409</v>
      </c>
      <c r="F90" s="226">
        <v>43100.581770833334</v>
      </c>
      <c r="G90" s="225">
        <v>76</v>
      </c>
      <c r="H90" s="227" t="s">
        <v>919</v>
      </c>
      <c r="I90" s="226">
        <v>43100.608935185184</v>
      </c>
      <c r="J90" s="225">
        <v>0</v>
      </c>
      <c r="K90" s="237" t="str">
        <f>IF(ISEVEN(B90),(B90-1)&amp;"/"&amp;B90,B90&amp;"/"&amp;(B90+1))</f>
        <v>4033/4034</v>
      </c>
      <c r="L90" s="245" t="str">
        <f>VLOOKUP(A90,'Trips&amp;Operators'!$C$1:$G$99911,5,FALSE)</f>
        <v>DAVIS MICHAEL</v>
      </c>
      <c r="M90" s="224">
        <f>I90-F90</f>
        <v>2.7164351849933155E-2</v>
      </c>
      <c r="N90" s="225">
        <f>24*60*SUM($M90:$M90)</f>
        <v>39.116666663903743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-31T12:54:10-0700',mode:absolute,to:'2017-12-31T15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23.298500000000001</v>
      </c>
      <c r="Z90" s="247">
        <f>RIGHT(H90,LEN(H90)-4)/10000</f>
        <v>2.0299999999999999E-2</v>
      </c>
      <c r="AA90" s="247">
        <f>ABS(Z90-Y90)</f>
        <v>23.278200000000002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176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/stypes="app*4033*20171231*"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6"/>
        <v>"%USERPROFILE%\Documents\GitHub\eaglep3\Utilities\RefineRTDCRunTimes.py" --tripid 176-31 --locoid 4033 --swversion DE.1.0.9.0 --startMP 204:232985 --initTime 2017-12-31T13:54:10 --startdatetime 2017-12-31T13:57:45 --delay 76 --endMP 204:203 --enddatetime 2017-12-31T14:36:52 --enforcementcount 0 &gt;&gt;%USERPROFILE%\Documents\GitHub\eaglep3-reporting\EC\2017-12-31-refined-times.txt</v>
      </c>
      <c r="AI90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{"issue":{"subject":"","project_id":79,"tracker_id":40,"status_id":1,"priority_id":2,"assigned_to_id":338,"start_date":"2017-12-31","description":"","custom_fields":[{"id":1,"name":"Subdivision","value":"EC"},{"id":4,"name":"Milepost","value":"0.0203"},{"id":17,"name":"Train ID","value":"176-31"},{"id":16,"name":"Locomotive ID","value":"4033"},{"id":130,"name":"Impact","value":""},{"id":150,"name":"Time of Event (Mountain Time)","value":"14:36:52"},{"id":151,"name":"Denver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8"/>
        <v>start /low /b %USERPROFILE%\Documents\GitHub\eaglep3\Utilities\DownloadLogsFromS3.py --loco 4033 --day 2017-12-31</v>
      </c>
      <c r="AN90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20"/>
        <v>https://d0f6bd738d7f1b3e5a7ca70fe4ff75f0.us-east-1.aws.found.io/app/kibana#/discover/Steve-Slow-Train-Analysis-(2080s-and-2083s)?_g=(refreshInterval:(display:Off,pause:!f,section:0,value:0),time:(from:'2017-12-31T12:54:10-0700',mode:absolute,to:'2017-12-31T15:36:52-0700'))&amp;_a=(columns:!('Message%20ID',Summary),filters:!(),index:'emp_*',interval:auto,query:(query_string:(analyze_wildcard:!t,query:'%22rtdc.l.rtdc.4033%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784</v>
      </c>
      <c r="B91" s="225">
        <v>4062</v>
      </c>
      <c r="C91" s="227" t="s">
        <v>192</v>
      </c>
      <c r="D91" s="227" t="s">
        <v>869</v>
      </c>
      <c r="E91" s="226">
        <v>43100.549861111111</v>
      </c>
      <c r="F91" s="226">
        <v>43100.552337962959</v>
      </c>
      <c r="G91" s="225">
        <v>67</v>
      </c>
      <c r="H91" s="227" t="s">
        <v>626</v>
      </c>
      <c r="I91" s="226">
        <v>43100.576307870368</v>
      </c>
      <c r="J91" s="225">
        <v>0</v>
      </c>
      <c r="K91" s="237" t="str">
        <f>IF(ISEVEN(B91),(B91-1)&amp;"/"&amp;B91,B91&amp;"/"&amp;(B91+1))</f>
        <v>4061/4062</v>
      </c>
      <c r="L91" s="245" t="str">
        <f>VLOOKUP(A91,'Trips&amp;Operators'!$C$1:$G$99911,5,FALSE)</f>
        <v>SAFIEF AEIMEN</v>
      </c>
      <c r="M91" s="224">
        <f>I91-F91</f>
        <v>2.396990740817273E-2</v>
      </c>
      <c r="N91" s="225">
        <f>24*60*SUM($M91:$M91)</f>
        <v>34.516666667768732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-12-31T12:11:48-0700',mode:absolute,to:'2017-12-31T14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4.9799999999999997E-2</v>
      </c>
      <c r="Z91" s="247">
        <f>RIGHT(H91,LEN(H91)-4)/10000</f>
        <v>23.328399999999998</v>
      </c>
      <c r="AA91" s="247">
        <f>ABS(Z91-Y91)</f>
        <v>23.278599999999997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177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 &amp; 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/stypes="app*4062*20171231*" /stext=" 20:.+((SYSTEM_STATE.+slice.+state.+changed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6"/>
        <v>"%USERPROFILE%\Documents\GitHub\eaglep3\Utilities\RefineRTDCRunTimes.py" --tripid 177-31 --locoid 4062 --swversion DE.1.0.9.0 --startMP 204:498 --initTime 2017-12-31T13:11:48 --startdatetime 2017-12-31T13:15:22 --delay 67 --endMP 204:233284 --enddatetime 2017-12-31T13:49:53 --enforcementcount 0 &gt;&gt;%USERPROFILE%\Documents\GitHub\eaglep3-reporting\EC\2017-12-31-refined-times.txt</v>
      </c>
      <c r="AI91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{"issue":{"subject":"","project_id":79,"tracker_id":40,"status_id":1,"priority_id":2,"assigned_to_id":338,"start_date":"2017-12-31","description":"","custom_fields":[{"id":1,"name":"Subdivision","value":"EC"},{"id":4,"name":"Milepost","value":"23.3284"},{"id":17,"name":"Train ID","value":"177-31"},{"id":16,"name":"Locomotive ID","value":"4062"},{"id":130,"name":"Impact","value":""},{"id":150,"name":"Time of Event (Mountain Time)","value":"13:49:53"},{"id":151,"name":"Denver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8"/>
        <v>start /low /b %USERPROFILE%\Documents\GitHub\eaglep3\Utilities\DownloadLogsFromS3.py --loco 4062 --day 2017-12-31</v>
      </c>
      <c r="AN91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20:49:53"},{"id":29,"name":"Sharepoint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20"/>
        <v>https://d0f6bd738d7f1b3e5a7ca70fe4ff75f0.us-east-1.aws.found.io/app/kibana#/discover/Steve-Slow-Train-Analysis-(2080s-and-2083s)?_g=(refreshInterval:(display:Off,pause:!f,section:0,value:0),time:(from:'2017-12-31T12:11:48-0700',mode:absolute,to:'2017-12-31T14:49:53-0700'))&amp;_a=(columns:!('Message%20ID',Summary),filters:!(),index:'emp_*',interval:auto,query:(query_string:(analyze_wildcard:!t,query:'%22rtdc.l.rtdc.4062%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793</v>
      </c>
      <c r="B92" s="225">
        <v>4061</v>
      </c>
      <c r="C92" s="227" t="s">
        <v>192</v>
      </c>
      <c r="D92" s="227" t="s">
        <v>920</v>
      </c>
      <c r="E92" s="226">
        <v>43100.579583333332</v>
      </c>
      <c r="F92" s="226">
        <v>43100.591840277775</v>
      </c>
      <c r="G92" s="225">
        <v>83</v>
      </c>
      <c r="H92" s="227" t="s">
        <v>655</v>
      </c>
      <c r="I92" s="226">
        <v>43100.618078703701</v>
      </c>
      <c r="J92" s="225">
        <v>0</v>
      </c>
      <c r="K92" s="237" t="str">
        <f>IF(ISEVEN(B92),(B92-1)&amp;"/"&amp;B92,B92&amp;"/"&amp;(B92+1))</f>
        <v>4061/4062</v>
      </c>
      <c r="L92" s="245" t="str">
        <f>VLOOKUP(A92,'Trips&amp;Operators'!$C$1:$G$99911,5,FALSE)</f>
        <v>SAFIEF AEIMEN</v>
      </c>
      <c r="M92" s="224">
        <f>I92-F92</f>
        <v>2.6238425925839692E-2</v>
      </c>
      <c r="N92" s="225">
        <f>24*60*SUM($M92:$M92)</f>
        <v>37.783333333209157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-12-31T12:54:36-0700',mode:absolute,to:'2017-12-31T15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23.296900000000001</v>
      </c>
      <c r="Z92" s="247">
        <f>RIGHT(H92,LEN(H92)-4)/10000</f>
        <v>1.8700000000000001E-2</v>
      </c>
      <c r="AA92" s="247">
        <f>ABS(Z92-Y92)</f>
        <v>23.278200000000002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178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 &amp; aws s3 cp s3://rtdc.mdm.uploadarchive.raw/RTDC4061/ "%USERPROFILE%\AppData\Local\Temp\OnboardLogs"\RTDC4061\2018-01-01 --exclude "*" --recursive --include "*20180101*" &amp; "%USERPROFILE%\Documents\GitHub\mrs-test-scripts\Headless Mode &amp; Sideloading\WalkAndUnGZ.bat" "%USERPROFILE%\AppData\Local\Temp\OnboardLogs"\RTDC4061\2018-01-01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/stypes="app*4061*20171231*"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6"/>
        <v>"%USERPROFILE%\Documents\GitHub\eaglep3\Utilities\RefineRTDCRunTimes.py" --tripid 178-31 --locoid 4061 --swversion DE.1.0.9.0 --startMP 204:232969 --initTime 2017-12-31T13:54:36 --startdatetime 2017-12-31T14:12:15 --delay 83 --endMP 204:187 --enddatetime 2017-12-31T14:50:02 --enforcementcount 0 &gt;&gt;%USERPROFILE%\Documents\GitHub\eaglep3-reporting\EC\2017-12-31-refined-times.txt</v>
      </c>
      <c r="AI92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{"issue":{"subject":"","project_id":79,"tracker_id":40,"status_id":1,"priority_id":2,"assigned_to_id":338,"start_date":"2017-12-31","description":"","custom_fields":[{"id":1,"name":"Subdivision","value":"EC"},{"id":4,"name":"Milepost","value":"0.0187"},{"id":17,"name":"Train ID","value":"178-31"},{"id":16,"name":"Locomotive ID","value":"4061"},{"id":130,"name":"Impact","value":""},{"id":150,"name":"Time of Event (Mountain Time)","value":"14:50:02"},{"id":151,"name":"Denver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8"/>
        <v>start /low /b %USERPROFILE%\Documents\GitHub\eaglep3\Utilities\DownloadLogsFromS3.py --loco 4061 --day 2017-12-31</v>
      </c>
      <c r="AN92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20"/>
        <v>https://d0f6bd738d7f1b3e5a7ca70fe4ff75f0.us-east-1.aws.found.io/app/kibana#/discover/Steve-Slow-Train-Analysis-(2080s-and-2083s)?_g=(refreshInterval:(display:Off,pause:!f,section:0,value:0),time:(from:'2017-12-31T12:54:36-0700',mode:absolute,to:'2017-12-31T15:50:02-0700'))&amp;_a=(columns:!('Message%20ID',Summary),filters:!(),index:'emp_*',interval:auto,query:(query_string:(analyze_wildcard:!t,query:'%22rtdc.l.rtdc.4061%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786</v>
      </c>
      <c r="B93" s="225">
        <v>4052</v>
      </c>
      <c r="C93" s="227" t="s">
        <v>192</v>
      </c>
      <c r="D93" s="227" t="s">
        <v>524</v>
      </c>
      <c r="E93" s="226">
        <v>43100.559282407405</v>
      </c>
      <c r="F93" s="226">
        <v>43100.562685185185</v>
      </c>
      <c r="G93" s="225">
        <v>50</v>
      </c>
      <c r="H93" s="227" t="s">
        <v>642</v>
      </c>
      <c r="I93" s="226">
        <v>43100.587835648148</v>
      </c>
      <c r="J93" s="225">
        <v>0</v>
      </c>
      <c r="K93" s="237" t="str">
        <f>IF(ISEVEN(B93),(B93-1)&amp;"/"&amp;B93,B93&amp;"/"&amp;(B93+1))</f>
        <v>4051/4052</v>
      </c>
      <c r="L93" s="245" t="str">
        <f>VLOOKUP(A93,'Trips&amp;Operators'!$C$1:$G$99911,5,FALSE)</f>
        <v>GUZMAN DANNY</v>
      </c>
      <c r="M93" s="224">
        <f>I93-F93</f>
        <v>2.5150462963210884E-2</v>
      </c>
      <c r="N93" s="225">
        <f>24*60*SUM($M93:$M93)</f>
        <v>36.216666667023674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-12-31T12:25:22-0700',mode:absolute,to:'2017-12-31T15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5.2200000000000003E-2</v>
      </c>
      <c r="Z93" s="247">
        <f>RIGHT(H93,LEN(H93)-4)/10000</f>
        <v>23.331900000000001</v>
      </c>
      <c r="AA93" s="247">
        <f>ABS(Z93-Y93)</f>
        <v>23.279700000000002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179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s3://rtdc.mdm.uploadarchive.raw/RTDC4052/ "%USERPROFILE%\AppData\Local\Temp\OnboardLogs"\RTDC4052\2017-12-31 --exclude "*" --recursive --include "*20171231*" &amp; "%USERPROFILE%\Documents\GitHub\mrs-test-scripts\Headless Mode &amp; Sideloading\WalkAndUnGZ.bat" "%USERPROFILE%\AppData\Local\Temp\OnboardLogs"\RTDC4052\2017-12-31 &amp; aws s3 cp s3://rtdc.mdm.uploadarchive.raw/RTDC4052/ "%USERPROFILE%\AppData\Local\Temp\OnboardLogs"\RTDC4052\2018-01-01 --exclude "*" --recursive --include "*20180101*" &amp; "%USERPROFILE%\Documents\GitHub\mrs-test-scripts\Headless Mode &amp; Sideloading\WalkAndUnGZ.bat" "%USERPROFILE%\AppData\Local\Temp\OnboardLogs"\RTDC4052\2018-01-01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/stypes="app*4052*20171231*"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6"/>
        <v>"%USERPROFILE%\Documents\GitHub\eaglep3\Utilities\RefineRTDCRunTimes.py" --tripid 179-31 --locoid 4052 --swversion DE.1.0.9.0 --startMP 204:522 --initTime 2017-12-31T13:25:22 --startdatetime 2017-12-31T13:30:16 --delay 50 --endMP 204:233319 --enddatetime 2017-12-31T14:06:29 --enforcementcount 0 &gt;&gt;%USERPROFILE%\Documents\GitHub\eaglep3-reporting\EC\2017-12-31-refined-times.txt</v>
      </c>
      <c r="AI93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{"issue":{"subject":"","project_id":79,"tracker_id":40,"status_id":1,"priority_id":2,"assigned_to_id":338,"start_date":"2017-12-31","description":"","custom_fields":[{"id":1,"name":"Subdivision","value":"EC"},{"id":4,"name":"Milepost","value":"23.3319"},{"id":17,"name":"Train ID","value":"179-31"},{"id":16,"name":"Locomotive ID","value":"4052"},{"id":130,"name":"Impact","value":""},{"id":150,"name":"Time of Event (Mountain Time)","value":"14:06:29"},{"id":151,"name":"Denver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8"/>
        <v>start /low /b %USERPROFILE%\Documents\GitHub\eaglep3\Utilities\DownloadLogsFromS3.py --loco 4052 --day 2017-12-31</v>
      </c>
      <c r="AN93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20"/>
        <v>https://d0f6bd738d7f1b3e5a7ca70fe4ff75f0.us-east-1.aws.found.io/app/kibana#/discover/Steve-Slow-Train-Analysis-(2080s-and-2083s)?_g=(refreshInterval:(display:Off,pause:!f,section:0,value:0),time:(from:'2017-12-31T12:25:22-0700',mode:absolute,to:'2017-12-31T15:06:29-0700'))&amp;_a=(columns:!('Message%20ID',Summary),filters:!(),index:'emp_*',interval:auto,query:(query_string:(analyze_wildcard:!t,query:'%22rtdc.l.rtdc.4052%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799</v>
      </c>
      <c r="B94" s="225">
        <v>4051</v>
      </c>
      <c r="C94" s="227" t="s">
        <v>192</v>
      </c>
      <c r="D94" s="227" t="s">
        <v>911</v>
      </c>
      <c r="E94" s="226">
        <v>43100.598819444444</v>
      </c>
      <c r="F94" s="226">
        <v>43100.602280092593</v>
      </c>
      <c r="G94" s="225">
        <v>55</v>
      </c>
      <c r="H94" s="227" t="s">
        <v>651</v>
      </c>
      <c r="I94" s="226">
        <v>43100.627997685187</v>
      </c>
      <c r="J94" s="225">
        <v>0</v>
      </c>
      <c r="K94" s="237" t="str">
        <f>IF(ISEVEN(B94),(B94-1)&amp;"/"&amp;B94,B94&amp;"/"&amp;(B94+1))</f>
        <v>4051/4052</v>
      </c>
      <c r="L94" s="245" t="str">
        <f>VLOOKUP(A94,'Trips&amp;Operators'!$C$1:$G$99911,5,FALSE)</f>
        <v>GUZMAN DANNY</v>
      </c>
      <c r="M94" s="224">
        <f>I94-F94</f>
        <v>2.5717592594446614E-2</v>
      </c>
      <c r="N94" s="225">
        <f>24*60*SUM($M94:$M94)</f>
        <v>37.033333336003125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-12-31T13:22:18-0700',mode:absolute,to:'2017-12-31T16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23.3002</v>
      </c>
      <c r="Z94" s="247">
        <f>RIGHT(H94,LEN(H94)-4)/10000</f>
        <v>1.67E-2</v>
      </c>
      <c r="AA94" s="247">
        <f>ABS(Z94-Y94)</f>
        <v>23.2835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180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s3://rtdc.mdm.uploadarchive.raw/RTDC4051/ "%USERPROFILE%\AppData\Local\Temp\OnboardLogs"\RTDC4051\2017-12-31 --exclude "*" --recursive --include "*20171231*" &amp; "%USERPROFILE%\Documents\GitHub\mrs-test-scripts\Headless Mode &amp; Sideloading\WalkAndUnGZ.bat" "%USERPROFILE%\AppData\Local\Temp\OnboardLogs"\RTDC4051\2017-12-31 &amp; aws s3 cp s3://rtdc.mdm.uploadarchive.raw/RTDC4051/ "%USERPROFILE%\AppData\Local\Temp\OnboardLogs"\RTDC4051\2018-01-01 --exclude "*" --recursive --include "*20180101*" &amp; "%USERPROFILE%\Documents\GitHub\mrs-test-scripts\Headless Mode &amp; Sideloading\WalkAndUnGZ.bat" "%USERPROFILE%\AppData\Local\Temp\OnboardLogs"\RTDC4051\2018-01-01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/stypes="app*4051*20171231*"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6"/>
        <v>"%USERPROFILE%\Documents\GitHub\eaglep3\Utilities\RefineRTDCRunTimes.py" --tripid 180-31 --locoid 4051 --swversion DE.1.0.9.0 --startMP 204:233002 --initTime 2017-12-31T14:22:18 --startdatetime 2017-12-31T14:27:17 --delay 55 --endMP 204:167 --enddatetime 2017-12-31T15:04:19 --enforcementcount 0 &gt;&gt;%USERPROFILE%\Documents\GitHub\eaglep3-reporting\EC\2017-12-31-refined-times.txt</v>
      </c>
      <c r="AI94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{"issue":{"subject":"","project_id":79,"tracker_id":40,"status_id":1,"priority_id":2,"assigned_to_id":338,"start_date":"2017-12-31","description":"","custom_fields":[{"id":1,"name":"Subdivision","value":"EC"},{"id":4,"name":"Milepost","value":"0.0167"},{"id":17,"name":"Train ID","value":"180-31"},{"id":16,"name":"Locomotive ID","value":"4051"},{"id":130,"name":"Impact","value":""},{"id":150,"name":"Time of Event (Mountain Time)","value":"15:04:19"},{"id":151,"name":"Denver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8"/>
        <v>start /low /b %USERPROFILE%\Documents\GitHub\eaglep3\Utilities\DownloadLogsFromS3.py --loco 4051 --day 2017-12-31</v>
      </c>
      <c r="AN94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22:04:19"},{"id":29,"name":"Sharepoint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20"/>
        <v>https://d0f6bd738d7f1b3e5a7ca70fe4ff75f0.us-east-1.aws.found.io/app/kibana#/discover/Steve-Slow-Train-Analysis-(2080s-and-2083s)?_g=(refreshInterval:(display:Off,pause:!f,section:0,value:0),time:(from:'2017-12-31T13:22:18-0700',mode:absolute,to:'2017-12-31T16:04:19-0700'))&amp;_a=(columns:!('Message%20ID',Summary),filters:!(),index:'emp_*',interval:auto,query:(query_string:(analyze_wildcard:!t,query:'%22rtdc.l.rtdc.4051%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789</v>
      </c>
      <c r="B95" s="225">
        <v>4044</v>
      </c>
      <c r="C95" s="227" t="s">
        <v>192</v>
      </c>
      <c r="D95" s="227" t="s">
        <v>933</v>
      </c>
      <c r="E95" s="226">
        <v>43100.570069444446</v>
      </c>
      <c r="F95" s="226">
        <v>43100.573067129626</v>
      </c>
      <c r="G95" s="225">
        <v>48</v>
      </c>
      <c r="H95" s="227" t="s">
        <v>495</v>
      </c>
      <c r="I95" s="226">
        <v>43100.598425925928</v>
      </c>
      <c r="J95" s="225">
        <v>0</v>
      </c>
      <c r="K95" s="237" t="str">
        <f>IF(ISEVEN(B95),(B95-1)&amp;"/"&amp;B95,B95&amp;"/"&amp;(B95+1))</f>
        <v>4043/4044</v>
      </c>
      <c r="L95" s="245" t="str">
        <f>VLOOKUP(A95,'Trips&amp;Operators'!$C$1:$G$99911,5,FALSE)</f>
        <v>BROWN JACOB</v>
      </c>
      <c r="M95" s="224">
        <f>I95-F95</f>
        <v>2.5358796301588882E-2</v>
      </c>
      <c r="N95" s="225">
        <f>24*60*SUM($M95:$M95)</f>
        <v>36.51666667428799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-31T12:40:54-0700',mode:absolute,to:'2017-12-31T15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4.4600000000000001E-2</v>
      </c>
      <c r="Z95" s="247">
        <f>RIGHT(H95,LEN(H95)-4)/10000</f>
        <v>23.329699999999999</v>
      </c>
      <c r="AA95" s="247">
        <f>ABS(Z95-Y95)</f>
        <v>23.2851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181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s3://rtdc.mdm.uploadarchive.raw/RTDC4044/ "%USERPROFILE%\AppData\Local\Temp\OnboardLogs"\RTDC4044\2017-12-31 --exclude "*" --recursive --include "*20171231*" &amp; "%USERPROFILE%\Documents\GitHub\mrs-test-scripts\Headless Mode &amp; Sideloading\WalkAndUnGZ.bat" "%USERPROFILE%\AppData\Local\Temp\OnboardLogs"\RTDC4044\2017-12-31 &amp; aws s3 cp s3://rtdc.mdm.uploadarchive.raw/RTDC4044/ "%USERPROFILE%\AppData\Local\Temp\OnboardLogs"\RTDC4044\2018-01-01 --exclude "*" --recursive --include "*20180101*" &amp; "%USERPROFILE%\Documents\GitHub\mrs-test-scripts\Headless Mode &amp; Sideloading\WalkAndUnGZ.bat" "%USERPROFILE%\AppData\Local\Temp\OnboardLogs"\RTDC4044\2018-01-01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/stypes="app*4044*20171231*"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6"/>
        <v>"%USERPROFILE%\Documents\GitHub\eaglep3\Utilities\RefineRTDCRunTimes.py" --tripid 181-31 --locoid 4044 --swversion DE.1.0.9.0 --startMP 204:446 --initTime 2017-12-31T13:40:54 --startdatetime 2017-12-31T13:45:13 --delay 48 --endMP 204:233297 --enddatetime 2017-12-31T14:21:44 --enforcementcount 0 &gt;&gt;%USERPROFILE%\Documents\GitHub\eaglep3-reporting\EC\2017-12-31-refined-times.txt</v>
      </c>
      <c r="AI95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{"issue":{"subject":"","project_id":79,"tracker_id":40,"status_id":1,"priority_id":2,"assigned_to_id":338,"start_date":"2017-12-31","description":"","custom_fields":[{"id":1,"name":"Subdivision","value":"EC"},{"id":4,"name":"Milepost","value":"23.3297"},{"id":17,"name":"Train ID","value":"181-31"},{"id":16,"name":"Locomotive ID","value":"4044"},{"id":130,"name":"Impact","value":""},{"id":150,"name":"Time of Event (Mountain Time)","value":"14:21:44"},{"id":151,"name":"Denver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8"/>
        <v>start /low /b %USERPROFILE%\Documents\GitHub\eaglep3\Utilities\DownloadLogsFromS3.py --loco 4044 --day 2017-12-31</v>
      </c>
      <c r="AN95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20"/>
        <v>https://d0f6bd738d7f1b3e5a7ca70fe4ff75f0.us-east-1.aws.found.io/app/kibana#/discover/Steve-Slow-Train-Analysis-(2080s-and-2083s)?_g=(refreshInterval:(display:Off,pause:!f,section:0,value:0),time:(from:'2017-12-31T12:40:54-0700',mode:absolute,to:'2017-12-31T15:21:44-0700'))&amp;_a=(columns:!('Message%20ID',Summary),filters:!(),index:'emp_*',interval:auto,query:(query_string:(analyze_wildcard:!t,query:'%22rtdc.l.rtdc.4044%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801</v>
      </c>
      <c r="B96" s="225">
        <v>4043</v>
      </c>
      <c r="C96" s="227" t="s">
        <v>192</v>
      </c>
      <c r="D96" s="227" t="s">
        <v>600</v>
      </c>
      <c r="E96" s="226">
        <v>43100.60900462963</v>
      </c>
      <c r="F96" s="226">
        <v>43100.612696759257</v>
      </c>
      <c r="G96" s="225">
        <v>67</v>
      </c>
      <c r="H96" s="227" t="s">
        <v>638</v>
      </c>
      <c r="I96" s="226">
        <v>43100.639305555553</v>
      </c>
      <c r="J96" s="225">
        <v>0</v>
      </c>
      <c r="K96" s="237" t="str">
        <f>IF(ISEVEN(B96),(B96-1)&amp;"/"&amp;B96,B96&amp;"/"&amp;(B96+1))</f>
        <v>4043/4044</v>
      </c>
      <c r="L96" s="245" t="str">
        <f>VLOOKUP(A96,'Trips&amp;Operators'!$C$1:$G$99911,5,FALSE)</f>
        <v>BROWN JACOB</v>
      </c>
      <c r="M96" s="224">
        <f>I96-F96</f>
        <v>2.6608796295477077E-2</v>
      </c>
      <c r="N96" s="225">
        <f>24*60*SUM($M96:$M96)</f>
        <v>38.316666665486991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-12-31T13:36:58-0700',mode:absolute,to:'2017-12-31T16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23.298400000000001</v>
      </c>
      <c r="Z96" s="247">
        <f>RIGHT(H96,LEN(H96)-4)/10000</f>
        <v>1.4999999999999999E-2</v>
      </c>
      <c r="AA96" s="247">
        <f>ABS(Z96-Y96)</f>
        <v>23.2834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182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/stypes="app*4043*20171231*"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6"/>
        <v>"%USERPROFILE%\Documents\GitHub\eaglep3\Utilities\RefineRTDCRunTimes.py" --tripid 182-31 --locoid 4043 --swversion DE.1.0.9.0 --startMP 204:232984 --initTime 2017-12-31T14:36:58 --startdatetime 2017-12-31T14:42:17 --delay 67 --endMP 204:150 --enddatetime 2017-12-31T15:20:36 --enforcementcount 0 &gt;&gt;%USERPROFILE%\Documents\GitHub\eaglep3-reporting\EC\2017-12-31-refined-times.txt</v>
      </c>
      <c r="AI96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{"issue":{"subject":"","project_id":79,"tracker_id":40,"status_id":1,"priority_id":2,"assigned_to_id":338,"start_date":"2017-12-31","description":"","custom_fields":[{"id":1,"name":"Subdivision","value":"EC"},{"id":4,"name":"Milepost","value":"0.015"},{"id":17,"name":"Train ID","value":"182-31"},{"id":16,"name":"Locomotive ID","value":"4043"},{"id":130,"name":"Impact","value":""},{"id":150,"name":"Time of Event (Mountain Time)","value":"15:20:36"},{"id":151,"name":"Denver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8"/>
        <v>start /low /b %USERPROFILE%\Documents\GitHub\eaglep3\Utilities\DownloadLogsFromS3.py --loco 4043 --day 2017-12-31</v>
      </c>
      <c r="AN96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22:20:36"},{"id":29,"name":"Sharepoint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20"/>
        <v>https://d0f6bd738d7f1b3e5a7ca70fe4ff75f0.us-east-1.aws.found.io/app/kibana#/discover/Steve-Slow-Train-Analysis-(2080s-and-2083s)?_g=(refreshInterval:(display:Off,pause:!f,section:0,value:0),time:(from:'2017-12-31T13:36:58-0700',mode:absolute,to:'2017-12-31T16:20:36-0700'))&amp;_a=(columns:!('Message%20ID',Summary),filters:!(),index:'emp_*',interval:auto,query:(query_string:(analyze_wildcard:!t,query:'%22rtdc.l.rtdc.4043%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791</v>
      </c>
      <c r="B97" s="225">
        <v>4002</v>
      </c>
      <c r="C97" s="227" t="s">
        <v>192</v>
      </c>
      <c r="D97" s="227" t="s">
        <v>633</v>
      </c>
      <c r="E97" s="226">
        <v>43100.5778587963</v>
      </c>
      <c r="F97" s="226">
        <v>43100.58384259259</v>
      </c>
      <c r="G97" s="225">
        <v>59</v>
      </c>
      <c r="H97" s="227" t="s">
        <v>913</v>
      </c>
      <c r="I97" s="226">
        <v>43100.607789351852</v>
      </c>
      <c r="J97" s="225">
        <v>0</v>
      </c>
      <c r="K97" s="237" t="str">
        <f>IF(ISEVEN(B97),(B97-1)&amp;"/"&amp;B97,B97&amp;"/"&amp;(B97+1))</f>
        <v>4001/4002</v>
      </c>
      <c r="L97" s="245" t="str">
        <f>VLOOKUP(A97,'Trips&amp;Operators'!$C$1:$G$99911,5,FALSE)</f>
        <v>GONZALEZ ARMANDO</v>
      </c>
      <c r="M97" s="224">
        <f>I97-F97</f>
        <v>2.3946759261889383E-2</v>
      </c>
      <c r="N97" s="225">
        <f>24*60*SUM($M97:$M97)</f>
        <v>34.483333337120712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-12-31T12:52:07-0700',mode:absolute,to:'2017-12-31T15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5.0200000000000002E-2</v>
      </c>
      <c r="Z97" s="247">
        <f>RIGHT(H97,LEN(H97)-4)/10000</f>
        <v>23.335699999999999</v>
      </c>
      <c r="AA97" s="247">
        <f>ABS(Z97-Y97)</f>
        <v>23.285499999999999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183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s3://rtdc.mdm.uploadarchive.raw/RTDC4002/ "%USERPROFILE%\AppData\Local\Temp\OnboardLogs"\RTDC4002\2017-12-31 --exclude "*" --recursive --include "*20171231*" &amp; "%USERPROFILE%\Documents\GitHub\mrs-test-scripts\Headless Mode &amp; Sideloading\WalkAndUnGZ.bat" "%USERPROFILE%\AppData\Local\Temp\OnboardLogs"\RTDC4002\2017-12-31 &amp; aws s3 cp s3://rtdc.mdm.uploadarchive.raw/RTDC4002/ "%USERPROFILE%\AppData\Local\Temp\OnboardLogs"\RTDC4002\2018-01-01 --exclude "*" --recursive --include "*20180101*" &amp; "%USERPROFILE%\Documents\GitHub\mrs-test-scripts\Headless Mode &amp; Sideloading\WalkAndUnGZ.bat" "%USERPROFILE%\AppData\Local\Temp\OnboardLogs"\RTDC4002\2018-01-01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/stypes="app*4002*20171231*"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6"/>
        <v>"%USERPROFILE%\Documents\GitHub\eaglep3\Utilities\RefineRTDCRunTimes.py" --tripid 183-31 --locoid 4002 --swversion DE.1.0.9.0 --startMP 204:502 --initTime 2017-12-31T13:52:07 --startdatetime 2017-12-31T14:00:44 --delay 59 --endMP 204:233357 --enddatetime 2017-12-31T14:35:13 --enforcementcount 0 &gt;&gt;%USERPROFILE%\Documents\GitHub\eaglep3-reporting\EC\2017-12-31-refined-times.txt</v>
      </c>
      <c r="AI97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{"issue":{"subject":"","project_id":79,"tracker_id":40,"status_id":1,"priority_id":2,"assigned_to_id":338,"start_date":"2017-12-31","description":"","custom_fields":[{"id":1,"name":"Subdivision","value":"EC"},{"id":4,"name":"Milepost","value":"23.3357"},{"id":17,"name":"Train ID","value":"183-31"},{"id":16,"name":"Locomotive ID","value":"4002"},{"id":130,"name":"Impact","value":""},{"id":150,"name":"Time of Event (Mountain Time)","value":"14:35:13"},{"id":151,"name":"Denver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8"/>
        <v>start /low /b %USERPROFILE%\Documents\GitHub\eaglep3\Utilities\DownloadLogsFromS3.py --loco 4002 --day 2017-12-31</v>
      </c>
      <c r="AN97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20"/>
        <v>https://d0f6bd738d7f1b3e5a7ca70fe4ff75f0.us-east-1.aws.found.io/app/kibana#/discover/Steve-Slow-Train-Analysis-(2080s-and-2083s)?_g=(refreshInterval:(display:Off,pause:!f,section:0,value:0),time:(from:'2017-12-31T12:52:07-0700',mode:absolute,to:'2017-12-31T15:35:13-0700'))&amp;_a=(columns:!('Message%20ID',Summary),filters:!(),index:'emp_*',interval:auto,query:(query_string:(analyze_wildcard:!t,query:'%22rtdc.l.rtdc.4002%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803</v>
      </c>
      <c r="B98" s="225">
        <v>4001</v>
      </c>
      <c r="C98" s="227" t="s">
        <v>192</v>
      </c>
      <c r="D98" s="227" t="s">
        <v>912</v>
      </c>
      <c r="E98" s="226">
        <v>43100.618402777778</v>
      </c>
      <c r="F98" s="226">
        <v>43100.623078703706</v>
      </c>
      <c r="G98" s="225">
        <v>64</v>
      </c>
      <c r="H98" s="227" t="s">
        <v>496</v>
      </c>
      <c r="I98" s="226">
        <v>43100.648773148147</v>
      </c>
      <c r="J98" s="225">
        <v>0</v>
      </c>
      <c r="K98" s="237" t="str">
        <f>IF(ISEVEN(B98),(B98-1)&amp;"/"&amp;B98,B98&amp;"/"&amp;(B98+1))</f>
        <v>4001/4002</v>
      </c>
      <c r="L98" s="245" t="str">
        <f>VLOOKUP(A98,'Trips&amp;Operators'!$C$1:$G$99911,5,FALSE)</f>
        <v>GONZALEZ ARMANDO</v>
      </c>
      <c r="M98" s="224">
        <f>I98-F98</f>
        <v>2.569444444088731E-2</v>
      </c>
      <c r="N98" s="225">
        <f>24*60*SUM($M98:$M98)</f>
        <v>36.999999994877726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-12-31T13:50:30-0700',mode:absolute,to:'2017-12-31T16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23.303599999999999</v>
      </c>
      <c r="Z98" s="247">
        <f>RIGHT(H98,LEN(H98)-4)/10000</f>
        <v>2.01E-2</v>
      </c>
      <c r="AA98" s="247">
        <f>ABS(Z98-Y98)</f>
        <v>23.2835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184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s3://rtdc.mdm.uploadarchive.raw/RTDC4001/ "%USERPROFILE%\AppData\Local\Temp\OnboardLogs"\RTDC4001\2017-12-31 --exclude "*" --recursive --include "*20171231*" &amp; "%USERPROFILE%\Documents\GitHub\mrs-test-scripts\Headless Mode &amp; Sideloading\WalkAndUnGZ.bat" "%USERPROFILE%\AppData\Local\Temp\OnboardLogs"\RTDC4001\2017-12-31 &amp; aws s3 cp s3://rtdc.mdm.uploadarchive.raw/RTDC4001/ "%USERPROFILE%\AppData\Local\Temp\OnboardLogs"\RTDC4001\2018-01-01 --exclude "*" --recursive --include "*20180101*" &amp; "%USERPROFILE%\Documents\GitHub\mrs-test-scripts\Headless Mode &amp; Sideloading\WalkAndUnGZ.bat" "%USERPROFILE%\AppData\Local\Temp\OnboardLogs"\RTDC4001\2018-01-01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/stypes="app*4001*20171231*"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6"/>
        <v>"%USERPROFILE%\Documents\GitHub\eaglep3\Utilities\RefineRTDCRunTimes.py" --tripid 184-31 --locoid 4001 --swversion DE.1.0.9.0 --startMP 204:233036 --initTime 2017-12-31T14:50:30 --startdatetime 2017-12-31T14:57:14 --delay 64 --endMP 204:201 --enddatetime 2017-12-31T15:34:14 --enforcementcount 0 &gt;&gt;%USERPROFILE%\Documents\GitHub\eaglep3-reporting\EC\2017-12-31-refined-times.txt</v>
      </c>
      <c r="AI98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{"issue":{"subject":"","project_id":79,"tracker_id":40,"status_id":1,"priority_id":2,"assigned_to_id":338,"start_date":"2017-12-31","description":"","custom_fields":[{"id":1,"name":"Subdivision","value":"EC"},{"id":4,"name":"Milepost","value":"0.0201"},{"id":17,"name":"Train ID","value":"184-31"},{"id":16,"name":"Locomotive ID","value":"4001"},{"id":130,"name":"Impact","value":""},{"id":150,"name":"Time of Event (Mountain Time)","value":"15:34:14"},{"id":151,"name":"Denver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8"/>
        <v>start /low /b %USERPROFILE%\Documents\GitHub\eaglep3\Utilities\DownloadLogsFromS3.py --loco 4001 --day 2017-12-31</v>
      </c>
      <c r="AN98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22:34:14"},{"id":29,"name":"Sharepoint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20"/>
        <v>https://d0f6bd738d7f1b3e5a7ca70fe4ff75f0.us-east-1.aws.found.io/app/kibana#/discover/Steve-Slow-Train-Analysis-(2080s-and-2083s)?_g=(refreshInterval:(display:Off,pause:!f,section:0,value:0),time:(from:'2017-12-31T13:50:30-0700',mode:absolute,to:'2017-12-31T16:34:14-0700'))&amp;_a=(columns:!('Message%20ID',Summary),filters:!(),index:'emp_*',interval:auto,query:(query_string:(analyze_wildcard:!t,query:'%22rtdc.l.rtdc.4001%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797</v>
      </c>
      <c r="B99" s="225">
        <v>4018</v>
      </c>
      <c r="C99" s="227" t="s">
        <v>192</v>
      </c>
      <c r="D99" s="227" t="s">
        <v>657</v>
      </c>
      <c r="E99" s="226">
        <v>43100.591180555559</v>
      </c>
      <c r="F99" s="226">
        <v>43100.593969907408</v>
      </c>
      <c r="G99" s="225">
        <v>66</v>
      </c>
      <c r="H99" s="227" t="s">
        <v>554</v>
      </c>
      <c r="I99" s="226">
        <v>43100.619039351855</v>
      </c>
      <c r="J99" s="225">
        <v>0</v>
      </c>
      <c r="K99" s="237" t="str">
        <f>IF(ISEVEN(B99),(B99-1)&amp;"/"&amp;B99,B99&amp;"/"&amp;(B99+1))</f>
        <v>4017/4018</v>
      </c>
      <c r="L99" s="245" t="str">
        <f>VLOOKUP(A99,'Trips&amp;Operators'!$C$1:$G$99911,5,FALSE)</f>
        <v>STEWART MICHAEL</v>
      </c>
      <c r="M99" s="224">
        <f>I99-F99</f>
        <v>2.5069444447581191E-2</v>
      </c>
      <c r="N99" s="225">
        <f>24*60*SUM($M99:$M99)</f>
        <v>36.100000004516914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-12-31T13:11:18-0700',mode:absolute,to:'2017-12-31T15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4.7500000000000001E-2</v>
      </c>
      <c r="Z99" s="247">
        <f>RIGHT(H99,LEN(H99)-4)/10000</f>
        <v>23.331199999999999</v>
      </c>
      <c r="AA99" s="247">
        <f>ABS(Z99-Y99)</f>
        <v>23.2837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185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/stypes="app*4018*20171231*" /stext=" 21:.+((SYSTEM_STATE.+slice.+state.+changed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6"/>
        <v>"%USERPROFILE%\Documents\GitHub\eaglep3\Utilities\RefineRTDCRunTimes.py" --tripid 185-31 --locoid 4018 --swversion DE.1.0.9.0 --startMP 204:475 --initTime 2017-12-31T14:11:18 --startdatetime 2017-12-31T14:15:19 --delay 66 --endMP 204:233312 --enddatetime 2017-12-31T14:51:25 --enforcementcount 0 &gt;&gt;%USERPROFILE%\Documents\GitHub\eaglep3-reporting\EC\2017-12-31-refined-times.txt</v>
      </c>
      <c r="AI99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{"issue":{"subject":"","project_id":79,"tracker_id":40,"status_id":1,"priority_id":2,"assigned_to_id":338,"start_date":"2017-12-31","description":"","custom_fields":[{"id":1,"name":"Subdivision","value":"EC"},{"id":4,"name":"Milepost","value":"23.3312"},{"id":17,"name":"Train ID","value":"185-31"},{"id":16,"name":"Locomotive ID","value":"4018"},{"id":130,"name":"Impact","value":""},{"id":150,"name":"Time of Event (Mountain Time)","value":"14:51:25"},{"id":151,"name":"Denver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8"/>
        <v>start /low /b %USERPROFILE%\Documents\GitHub\eaglep3\Utilities\DownloadLogsFromS3.py --loco 4018 --day 2017-12-31</v>
      </c>
      <c r="AN99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20"/>
        <v>https://d0f6bd738d7f1b3e5a7ca70fe4ff75f0.us-east-1.aws.found.io/app/kibana#/discover/Steve-Slow-Train-Analysis-(2080s-and-2083s)?_g=(refreshInterval:(display:Off,pause:!f,section:0,value:0),time:(from:'2017-12-31T13:11:18-0700',mode:absolute,to:'2017-12-31T15:51:25-0700'))&amp;_a=(columns:!('Message%20ID',Summary),filters:!(),index:'emp_*',interval:auto,query:(query_string:(analyze_wildcard:!t,query:'%22rtdc.l.rtdc.4018%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805</v>
      </c>
      <c r="B100" s="225">
        <v>4017</v>
      </c>
      <c r="C100" s="227" t="s">
        <v>192</v>
      </c>
      <c r="D100" s="227" t="s">
        <v>958</v>
      </c>
      <c r="E100" s="226">
        <v>43100.630358796298</v>
      </c>
      <c r="F100" s="226">
        <v>43100.633518518516</v>
      </c>
      <c r="G100" s="225">
        <v>98</v>
      </c>
      <c r="H100" s="227" t="s">
        <v>652</v>
      </c>
      <c r="I100" s="226">
        <v>43100.659687500003</v>
      </c>
      <c r="J100" s="225">
        <v>0</v>
      </c>
      <c r="K100" s="237" t="str">
        <f>IF(ISEVEN(B100),(B100-1)&amp;"/"&amp;B100,B100&amp;"/"&amp;(B100+1))</f>
        <v>4017/4018</v>
      </c>
      <c r="L100" s="245" t="str">
        <f>VLOOKUP(A100,'Trips&amp;Operators'!$C$1:$G$99911,5,FALSE)</f>
        <v>STEWART MICHAEL</v>
      </c>
      <c r="M100" s="224">
        <f>I100-F100</f>
        <v>2.6168981486989651E-2</v>
      </c>
      <c r="N100" s="225">
        <f>24*60*SUM($M100:$M100)</f>
        <v>37.683333341265097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-12-31T14:07:43-0700',mode:absolute,to:'2017-12-31T16:49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23.3005</v>
      </c>
      <c r="Z100" s="247">
        <f>RIGHT(H100,LEN(H100)-4)/10000</f>
        <v>1.78E-2</v>
      </c>
      <c r="AA100" s="247">
        <f>ABS(Z100-Y100)</f>
        <v>23.282699999999998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186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s3://rtdc.mdm.uploadarchive.raw/RTDC4017/ "%USERPROFILE%\AppData\Local\Temp\OnboardLogs"\RTDC4017\2017-12-31 --exclude "*" --recursive --include "*20171231*" &amp; "%USERPROFILE%\Documents\GitHub\mrs-test-scripts\Headless Mode &amp; Sideloading\WalkAndUnGZ.bat" "%USERPROFILE%\AppData\Local\Temp\OnboardLogs"\RTDC4017\2017-12-31 &amp; aws s3 cp s3://rtdc.mdm.uploadarchive.raw/RTDC4017/ "%USERPROFILE%\AppData\Local\Temp\OnboardLogs"\RTDC4017\2018-01-01 --exclude "*" --recursive --include "*20180101*" &amp; "%USERPROFILE%\Documents\GitHub\mrs-test-scripts\Headless Mode &amp; Sideloading\WalkAndUnGZ.bat" "%USERPROFILE%\AppData\Local\Temp\OnboardLogs"\RTDC4017\2018-01-01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/stypes="app*4017*20171231*"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6"/>
        <v>"%USERPROFILE%\Documents\GitHub\eaglep3\Utilities\RefineRTDCRunTimes.py" --tripid 186-31 --locoid 4017 --swversion DE.1.0.9.0 --startMP 204:233005 --initTime 2017-12-31T15:07:43 --startdatetime 2017-12-31T15:12:16 --delay 98 --endMP 204:178 --enddatetime 2017-12-31T15:49:57 --enforcementcount 0 &gt;&gt;%USERPROFILE%\Documents\GitHub\eaglep3-reporting\EC\2017-12-31-refined-times.txt</v>
      </c>
      <c r="AI100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{"issue":{"subject":"","project_id":79,"tracker_id":40,"status_id":1,"priority_id":2,"assigned_to_id":338,"start_date":"2017-12-31","description":"","custom_fields":[{"id":1,"name":"Subdivision","value":"EC"},{"id":4,"name":"Milepost","value":"0.0178"},{"id":17,"name":"Train ID","value":"186-31"},{"id":16,"name":"Locomotive ID","value":"4017"},{"id":130,"name":"Impact","value":""},{"id":150,"name":"Time of Event (Mountain Time)","value":"15:49:57"},{"id":151,"name":"Denver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8"/>
        <v>start /low /b %USERPROFILE%\Documents\GitHub\eaglep3\Utilities\DownloadLogsFromS3.py --loco 4017 --day 2017-12-31</v>
      </c>
      <c r="AN100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22:49:57"},{"id":29,"name":"Sharepoint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20"/>
        <v>https://d0f6bd738d7f1b3e5a7ca70fe4ff75f0.us-east-1.aws.found.io/app/kibana#/discover/Steve-Slow-Train-Analysis-(2080s-and-2083s)?_g=(refreshInterval:(display:Off,pause:!f,section:0,value:0),time:(from:'2017-12-31T14:07:43-0700',mode:absolute,to:'2017-12-31T16:49:57-0700'))&amp;_a=(columns:!('Message%20ID',Summary),filters:!(),index:'emp_*',interval:auto,query:(query_string:(analyze_wildcard:!t,query:'%22rtdc.l.rtdc.4017%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800</v>
      </c>
      <c r="B101" s="225">
        <v>4016</v>
      </c>
      <c r="C101" s="227" t="s">
        <v>192</v>
      </c>
      <c r="D101" s="227" t="s">
        <v>959</v>
      </c>
      <c r="E101" s="226">
        <v>43100.599305555559</v>
      </c>
      <c r="F101" s="226">
        <v>43100.604386574072</v>
      </c>
      <c r="G101" s="225">
        <v>75</v>
      </c>
      <c r="H101" s="227" t="s">
        <v>960</v>
      </c>
      <c r="I101" s="226">
        <v>43100.629849537036</v>
      </c>
      <c r="J101" s="225">
        <v>0</v>
      </c>
      <c r="K101" s="237" t="str">
        <f>IF(ISEVEN(B101),(B101-1)&amp;"/"&amp;B101,B101&amp;"/"&amp;(B101+1))</f>
        <v>4015/4016</v>
      </c>
      <c r="L101" s="245" t="str">
        <f>VLOOKUP(A101,'Trips&amp;Operators'!$C$1:$G$99911,5,FALSE)</f>
        <v>SMITH MICHAEL</v>
      </c>
      <c r="M101" s="224">
        <f>I101-F101</f>
        <v>2.5462962963501923E-2</v>
      </c>
      <c r="N101" s="225">
        <f>24*60*SUM($M101:$M101)</f>
        <v>36.666666667442769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-31T13:23:00-0700',mode:absolute,to:'2017-12-31T16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5.5899999999999998E-2</v>
      </c>
      <c r="Z101" s="247">
        <f>RIGHT(H101,LEN(H101)-4)/10000</f>
        <v>23.322700000000001</v>
      </c>
      <c r="AA101" s="247">
        <f>ABS(Z101-Y101)</f>
        <v>23.2668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187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s3://rtdc.mdm.uploadarchive.raw/RTDC4016/ "%USERPROFILE%\AppData\Local\Temp\OnboardLogs"\RTDC4016\2017-12-31 --exclude "*" --recursive --include "*20171231*" &amp; "%USERPROFILE%\Documents\GitHub\mrs-test-scripts\Headless Mode &amp; Sideloading\WalkAndUnGZ.bat" "%USERPROFILE%\AppData\Local\Temp\OnboardLogs"\RTDC4016\2017-12-31 &amp; aws s3 cp s3://rtdc.mdm.uploadarchive.raw/RTDC4016/ "%USERPROFILE%\AppData\Local\Temp\OnboardLogs"\RTDC4016\2018-01-01 --exclude "*" --recursive --include "*20180101*" &amp; "%USERPROFILE%\Documents\GitHub\mrs-test-scripts\Headless Mode &amp; Sideloading\WalkAndUnGZ.bat" "%USERPROFILE%\AppData\Local\Temp\OnboardLogs"\RTDC4016\2018-01-01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/stypes="app*4016*20171231*"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6"/>
        <v>"%USERPROFILE%\Documents\GitHub\eaglep3\Utilities\RefineRTDCRunTimes.py" --tripid 187-31 --locoid 4016 --swversion DE.1.0.9.0 --startMP 204:559 --initTime 2017-12-31T14:23:00 --startdatetime 2017-12-31T14:30:19 --delay 75 --endMP 204:233227 --enddatetime 2017-12-31T15:06:59 --enforcementcount 0 &gt;&gt;%USERPROFILE%\Documents\GitHub\eaglep3-reporting\EC\2017-12-31-refined-times.txt</v>
      </c>
      <c r="AI101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{"issue":{"subject":"","project_id":79,"tracker_id":40,"status_id":1,"priority_id":2,"assigned_to_id":338,"start_date":"2017-12-31","description":"","custom_fields":[{"id":1,"name":"Subdivision","value":"EC"},{"id":4,"name":"Milepost","value":"23.3227"},{"id":17,"name":"Train ID","value":"187-31"},{"id":16,"name":"Locomotive ID","value":"4016"},{"id":130,"name":"Impact","value":""},{"id":150,"name":"Time of Event (Mountain Time)","value":"15:06:59"},{"id":151,"name":"Denver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8"/>
        <v>start /low /b %USERPROFILE%\Documents\GitHub\eaglep3\Utilities\DownloadLogsFromS3.py --loco 4016 --day 2017-12-31</v>
      </c>
      <c r="AN101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22:06:59"},{"id":29,"name":"Sharepoint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20"/>
        <v>https://d0f6bd738d7f1b3e5a7ca70fe4ff75f0.us-east-1.aws.found.io/app/kibana#/discover/Steve-Slow-Train-Analysis-(2080s-and-2083s)?_g=(refreshInterval:(display:Off,pause:!f,section:0,value:0),time:(from:'2017-12-31T13:23:00-0700',mode:absolute,to:'2017-12-31T16:06:59-0700'))&amp;_a=(columns:!('Message%20ID',Summary),filters:!(),index:'emp_*',interval:auto,query:(query_string:(analyze_wildcard:!t,query:'%22rtdc.l.rtdc.4016%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807</v>
      </c>
      <c r="B102" s="225">
        <v>4015</v>
      </c>
      <c r="C102" s="227" t="s">
        <v>192</v>
      </c>
      <c r="D102" s="227" t="s">
        <v>586</v>
      </c>
      <c r="E102" s="226">
        <v>43100.634259259263</v>
      </c>
      <c r="F102" s="226">
        <v>43100.64398148148</v>
      </c>
      <c r="G102" s="225">
        <v>61</v>
      </c>
      <c r="H102" s="227" t="s">
        <v>664</v>
      </c>
      <c r="I102" s="226">
        <v>43100.669421296298</v>
      </c>
      <c r="J102" s="225">
        <v>0</v>
      </c>
      <c r="K102" s="237" t="str">
        <f>IF(ISEVEN(B102),(B102-1)&amp;"/"&amp;B102,B102&amp;"/"&amp;(B102+1))</f>
        <v>4015/4016</v>
      </c>
      <c r="L102" s="245" t="str">
        <f>VLOOKUP(A102,'Trips&amp;Operators'!$C$1:$G$99911,5,FALSE)</f>
        <v>SMITH MICHAEL</v>
      </c>
      <c r="M102" s="224">
        <f>I102-F102</f>
        <v>2.5439814817218576E-2</v>
      </c>
      <c r="N102" s="225">
        <f>24*60*SUM($M102:$M102)</f>
        <v>36.633333336794749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-31T14:13:20-0700',mode:absolute,to:'2017-12-31T17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23.2911</v>
      </c>
      <c r="Z102" s="247">
        <f>RIGHT(H102,LEN(H102)-4)/10000</f>
        <v>2.4299999999999999E-2</v>
      </c>
      <c r="AA102" s="247">
        <f>ABS(Z102-Y102)</f>
        <v>23.2668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188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s3://rtdc.mdm.uploadarchive.raw/RTDC4015/ "%USERPROFILE%\AppData\Local\Temp\OnboardLogs"\RTDC4015\2017-12-31 --exclude "*" --recursive --include "*20171231*" &amp; "%USERPROFILE%\Documents\GitHub\mrs-test-scripts\Headless Mode &amp; Sideloading\WalkAndUnGZ.bat" "%USERPROFILE%\AppData\Local\Temp\OnboardLogs"\RTDC4015\2017-12-31 &amp; 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/stypes="app*4015*20171231*"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6"/>
        <v>"%USERPROFILE%\Documents\GitHub\eaglep3\Utilities\RefineRTDCRunTimes.py" --tripid 188-31 --locoid 4015 --swversion DE.1.0.9.0 --startMP 204:232911 --initTime 2017-12-31T15:13:20 --startdatetime 2017-12-31T15:27:20 --delay 61 --endMP 204:243 --enddatetime 2017-12-31T16:03:58 --enforcementcount 0 &gt;&gt;%USERPROFILE%\Documents\GitHub\eaglep3-reporting\EC\2017-12-31-refined-times.txt</v>
      </c>
      <c r="AI102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{"issue":{"subject":"","project_id":79,"tracker_id":40,"status_id":1,"priority_id":2,"assigned_to_id":338,"start_date":"2017-12-31","description":"","custom_fields":[{"id":1,"name":"Subdivision","value":"EC"},{"id":4,"name":"Milepost","value":"0.0243"},{"id":17,"name":"Train ID","value":"188-31"},{"id":16,"name":"Locomotive ID","value":"4015"},{"id":130,"name":"Impact","value":""},{"id":150,"name":"Time of Event (Mountain Time)","value":"16:03:58"},{"id":151,"name":"Denver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8"/>
        <v>start /low /b %USERPROFILE%\Documents\GitHub\eaglep3\Utilities\DownloadLogsFromS3.py --loco 4015 --day 2017-12-31</v>
      </c>
      <c r="AN102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23:03:58"},{"id":29,"name":"Sharepoint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20"/>
        <v>https://d0f6bd738d7f1b3e5a7ca70fe4ff75f0.us-east-1.aws.found.io/app/kibana#/discover/Steve-Slow-Train-Analysis-(2080s-and-2083s)?_g=(refreshInterval:(display:Off,pause:!f,section:0,value:0),time:(from:'2017-12-31T14:13:20-0700',mode:absolute,to:'2017-12-31T17:03:58-0700'))&amp;_a=(columns:!('Message%20ID',Summary),filters:!(),index:'emp_*',interval:auto,query:(query_string:(analyze_wildcard:!t,query:'%22rtdc.l.rtdc.4015%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29" t="s">
        <v>802</v>
      </c>
      <c r="B103" s="225">
        <v>4034</v>
      </c>
      <c r="C103" s="227" t="s">
        <v>192</v>
      </c>
      <c r="D103" s="227" t="s">
        <v>648</v>
      </c>
      <c r="E103" s="226">
        <v>43100.612962962965</v>
      </c>
      <c r="F103" s="226">
        <v>43100.614884259259</v>
      </c>
      <c r="G103" s="225">
        <v>56</v>
      </c>
      <c r="H103" s="227" t="s">
        <v>961</v>
      </c>
      <c r="I103" s="226">
        <v>43100.641006944446</v>
      </c>
      <c r="J103" s="225">
        <v>0</v>
      </c>
      <c r="K103" s="237" t="str">
        <f>IF(ISEVEN(B103),(B103-1)&amp;"/"&amp;B103,B103&amp;"/"&amp;(B103+1))</f>
        <v>4033/4034</v>
      </c>
      <c r="L103" s="245" t="str">
        <f>VLOOKUP(A103,'Trips&amp;Operators'!$C$1:$G$99911,5,FALSE)</f>
        <v>DAVIS MICHAEL</v>
      </c>
      <c r="M103" s="224">
        <f>I103-F103</f>
        <v>2.6122685187146999E-2</v>
      </c>
      <c r="N103" s="225">
        <f>24*60*SUM($M103:$M103)</f>
        <v>37.616666669491678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-12-31T13:42:40-0700',mode:absolute,to:'2017-12-31T16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5.0900000000000001E-2</v>
      </c>
      <c r="Z103" s="247">
        <f>RIGHT(H103,LEN(H103)-4)/10000</f>
        <v>23.3339</v>
      </c>
      <c r="AA103" s="247">
        <f>ABS(Z103-Y103)</f>
        <v>23.283000000000001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189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 &amp; aws s3 cp s3://rtdc.mdm.uploadarchive.raw/RTDC4034/ "%USERPROFILE%\AppData\Local\Temp\OnboardLogs"\RTDC4034\2018-01-01 --exclude "*" --recursive --include "*20180101*" &amp; "%USERPROFILE%\Documents\GitHub\mrs-test-scripts\Headless Mode &amp; Sideloading\WalkAndUnGZ.bat" "%USERPROFILE%\AppData\Local\Temp\OnboardLogs"\RTDC4034\2018-01-01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/stypes="app*4034*20171231*"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6"/>
        <v>"%USERPROFILE%\Documents\GitHub\eaglep3\Utilities\RefineRTDCRunTimes.py" --tripid 189-31 --locoid 4034 --swversion DE.1.0.9.0 --startMP 204:509 --initTime 2017-12-31T14:42:40 --startdatetime 2017-12-31T14:45:26 --delay 56 --endMP 204:233339 --enddatetime 2017-12-31T15:23:03 --enforcementcount 0 &gt;&gt;%USERPROFILE%\Documents\GitHub\eaglep3-reporting\EC\2017-12-31-refined-times.txt</v>
      </c>
      <c r="AI103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{"issue":{"subject":"","project_id":79,"tracker_id":40,"status_id":1,"priority_id":2,"assigned_to_id":338,"start_date":"2017-12-31","description":"","custom_fields":[{"id":1,"name":"Subdivision","value":"EC"},{"id":4,"name":"Milepost","value":"23.3339"},{"id":17,"name":"Train ID","value":"189-31"},{"id":16,"name":"Locomotive ID","value":"4034"},{"id":130,"name":"Impact","value":""},{"id":150,"name":"Time of Event (Mountain Time)","value":"15:23:03"},{"id":151,"name":"Denver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8"/>
        <v>start /low /b %USERPROFILE%\Documents\GitHub\eaglep3\Utilities\DownloadLogsFromS3.py --loco 4034 --day 2017-12-31</v>
      </c>
      <c r="AN103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22:23:03"},{"id":29,"name":"Sharepoint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20"/>
        <v>https://d0f6bd738d7f1b3e5a7ca70fe4ff75f0.us-east-1.aws.found.io/app/kibana#/discover/Steve-Slow-Train-Analysis-(2080s-and-2083s)?_g=(refreshInterval:(display:Off,pause:!f,section:0,value:0),time:(from:'2017-12-31T13:42:40-0700',mode:absolute,to:'2017-12-31T16:23:03-0700'))&amp;_a=(columns:!('Message%20ID',Summary),filters:!(),index:'emp_*',interval:auto,query:(query_string:(analyze_wildcard:!t,query:'%22rtdc.l.rtdc.4034%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811</v>
      </c>
      <c r="B104" s="225">
        <v>4033</v>
      </c>
      <c r="C104" s="227" t="s">
        <v>192</v>
      </c>
      <c r="D104" s="227" t="s">
        <v>625</v>
      </c>
      <c r="E104" s="226">
        <v>43100.652719907404</v>
      </c>
      <c r="F104" s="226">
        <v>43100.654583333337</v>
      </c>
      <c r="G104" s="225">
        <v>58</v>
      </c>
      <c r="H104" s="227" t="s">
        <v>561</v>
      </c>
      <c r="I104" s="226">
        <v>43100.681898148148</v>
      </c>
      <c r="J104" s="225">
        <v>0</v>
      </c>
      <c r="K104" s="237" t="str">
        <f>IF(ISEVEN(B104),(B104-1)&amp;"/"&amp;B104,B104&amp;"/"&amp;(B104+1))</f>
        <v>4033/4034</v>
      </c>
      <c r="L104" s="245" t="str">
        <f>VLOOKUP(A104,'Trips&amp;Operators'!$C$1:$G$99911,5,FALSE)</f>
        <v>DAVIS MICHAEL</v>
      </c>
      <c r="M104" s="224">
        <f>I104-F104</f>
        <v>2.7314814811688848E-2</v>
      </c>
      <c r="N104" s="225">
        <f>24*60*SUM($M104:$M104)</f>
        <v>39.333333328831941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-12-31T14:39:55-0700',mode:absolute,to:'2017-12-31T17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23.299399999999999</v>
      </c>
      <c r="Z104" s="247">
        <f>RIGHT(H104,LEN(H104)-4)/10000</f>
        <v>2.1399999999999999E-2</v>
      </c>
      <c r="AA104" s="247">
        <f>ABS(Z104-Y104)</f>
        <v>23.277999999999999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190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/stypes="app*4033*20171231*"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6"/>
        <v>"%USERPROFILE%\Documents\GitHub\eaglep3\Utilities\RefineRTDCRunTimes.py" --tripid 190-31 --locoid 4033 --swversion DE.1.0.9.0 --startMP 204:232994 --initTime 2017-12-31T15:39:55 --startdatetime 2017-12-31T15:42:36 --delay 58 --endMP 204:214 --enddatetime 2017-12-31T16:21:56 --enforcementcount 0 &gt;&gt;%USERPROFILE%\Documents\GitHub\eaglep3-reporting\EC\2017-12-31-refined-times.txt</v>
      </c>
      <c r="AI104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{"issue":{"subject":"","project_id":79,"tracker_id":40,"status_id":1,"priority_id":2,"assigned_to_id":338,"start_date":"2017-12-31","description":"","custom_fields":[{"id":1,"name":"Subdivision","value":"EC"},{"id":4,"name":"Milepost","value":"0.0214"},{"id":17,"name":"Train ID","value":"190-31"},{"id":16,"name":"Locomotive ID","value":"4033"},{"id":130,"name":"Impact","value":""},{"id":150,"name":"Time of Event (Mountain Time)","value":"16:21:56"},{"id":151,"name":"Denver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8"/>
        <v>start /low /b %USERPROFILE%\Documents\GitHub\eaglep3\Utilities\DownloadLogsFromS3.py --loco 4033 --day 2017-12-31</v>
      </c>
      <c r="AN104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23:21:56"},{"id":29,"name":"Sharepoint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20"/>
        <v>https://d0f6bd738d7f1b3e5a7ca70fe4ff75f0.us-east-1.aws.found.io/app/kibana#/discover/Steve-Slow-Train-Analysis-(2080s-and-2083s)?_g=(refreshInterval:(display:Off,pause:!f,section:0,value:0),time:(from:'2017-12-31T14:39:55-0700',mode:absolute,to:'2017-12-31T17:21:56-0700'))&amp;_a=(columns:!('Message%20ID',Summary),filters:!(),index:'emp_*',interval:auto,query:(query_string:(analyze_wildcard:!t,query:'%22rtdc.l.rtdc.4033%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804</v>
      </c>
      <c r="B105" s="225">
        <v>4062</v>
      </c>
      <c r="C105" s="227" t="s">
        <v>192</v>
      </c>
      <c r="D105" s="227" t="s">
        <v>647</v>
      </c>
      <c r="E105" s="226">
        <v>43100.622615740744</v>
      </c>
      <c r="F105" s="226">
        <v>43100.625185185185</v>
      </c>
      <c r="G105" s="225">
        <v>71</v>
      </c>
      <c r="H105" s="227" t="s">
        <v>917</v>
      </c>
      <c r="I105" s="226">
        <v>43100.649687500001</v>
      </c>
      <c r="J105" s="225">
        <v>0</v>
      </c>
      <c r="K105" s="237" t="str">
        <f>IF(ISEVEN(B105),(B105-1)&amp;"/"&amp;B105,B105&amp;"/"&amp;(B105+1))</f>
        <v>4061/4062</v>
      </c>
      <c r="L105" s="245" t="str">
        <f>VLOOKUP(A105,'Trips&amp;Operators'!$C$1:$G$99911,5,FALSE)</f>
        <v>SAFIEF AEIMEN</v>
      </c>
      <c r="M105" s="224">
        <f>I105-F105</f>
        <v>2.4502314816345461E-2</v>
      </c>
      <c r="N105" s="225">
        <f>24*60*SUM($M105:$M105)</f>
        <v>35.283333335537463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-12-31T13:56:34-0700',mode:absolute,to:'2017-12-31T16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4.8399999999999999E-2</v>
      </c>
      <c r="Z105" s="247">
        <f>RIGHT(H105,LEN(H105)-4)/10000</f>
        <v>23.330400000000001</v>
      </c>
      <c r="AA105" s="247">
        <f>ABS(Z105-Y105)</f>
        <v>23.282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191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 &amp; 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/stypes="app*4062*20171231*" /stext=" 22:.+((SYSTEM_STATE.+slice.+state.+changed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6"/>
        <v>"%USERPROFILE%\Documents\GitHub\eaglep3\Utilities\RefineRTDCRunTimes.py" --tripid 191-31 --locoid 4062 --swversion DE.1.0.9.0 --startMP 204:484 --initTime 2017-12-31T14:56:34 --startdatetime 2017-12-31T15:00:16 --delay 71 --endMP 204:233304 --enddatetime 2017-12-31T15:35:33 --enforcementcount 0 &gt;&gt;%USERPROFILE%\Documents\GitHub\eaglep3-reporting\EC\2017-12-31-refined-times.txt</v>
      </c>
      <c r="AI105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{"issue":{"subject":"","project_id":79,"tracker_id":40,"status_id":1,"priority_id":2,"assigned_to_id":338,"start_date":"2017-12-31","description":"","custom_fields":[{"id":1,"name":"Subdivision","value":"EC"},{"id":4,"name":"Milepost","value":"23.3304"},{"id":17,"name":"Train ID","value":"191-31"},{"id":16,"name":"Locomotive ID","value":"4062"},{"id":130,"name":"Impact","value":""},{"id":150,"name":"Time of Event (Mountain Time)","value":"15:35:33"},{"id":151,"name":"Denver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8"/>
        <v>start /low /b %USERPROFILE%\Documents\GitHub\eaglep3\Utilities\DownloadLogsFromS3.py --loco 4062 --day 2017-12-31</v>
      </c>
      <c r="AN105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20"/>
        <v>https://d0f6bd738d7f1b3e5a7ca70fe4ff75f0.us-east-1.aws.found.io/app/kibana#/discover/Steve-Slow-Train-Analysis-(2080s-and-2083s)?_g=(refreshInterval:(display:Off,pause:!f,section:0,value:0),time:(from:'2017-12-31T13:56:34-0700',mode:absolute,to:'2017-12-31T16:35:33-0700'))&amp;_a=(columns:!('Message%20ID',Summary),filters:!(),index:'emp_*',interval:auto,query:(query_string:(analyze_wildcard:!t,query:'%22rtdc.l.rtdc.4062%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812</v>
      </c>
      <c r="B106" s="225">
        <v>4061</v>
      </c>
      <c r="C106" s="227" t="s">
        <v>192</v>
      </c>
      <c r="D106" s="227" t="s">
        <v>549</v>
      </c>
      <c r="E106" s="226">
        <v>43100.65284722222</v>
      </c>
      <c r="F106" s="226">
        <v>43100.664814814816</v>
      </c>
      <c r="G106" s="225">
        <v>65</v>
      </c>
      <c r="H106" s="227" t="s">
        <v>496</v>
      </c>
      <c r="I106" s="226">
        <v>43100.690729166665</v>
      </c>
      <c r="J106" s="225">
        <v>0</v>
      </c>
      <c r="K106" s="237" t="str">
        <f>IF(ISEVEN(B106),(B106-1)&amp;"/"&amp;B106,B106&amp;"/"&amp;(B106+1))</f>
        <v>4061/4062</v>
      </c>
      <c r="L106" s="245" t="str">
        <f>VLOOKUP(A106,'Trips&amp;Operators'!$C$1:$G$99911,5,FALSE)</f>
        <v>SAFIEF AEIMEN</v>
      </c>
      <c r="M106" s="224">
        <f>I106-F106</f>
        <v>2.5914351848769002E-2</v>
      </c>
      <c r="N106" s="225">
        <f>24*60*SUM($M106:$M106)</f>
        <v>37.316666662227362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-12-31T14:40:06-0700',mode:absolute,to:'2017-12-31T17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23.299800000000001</v>
      </c>
      <c r="Z106" s="247">
        <f>RIGHT(H106,LEN(H106)-4)/10000</f>
        <v>2.01E-2</v>
      </c>
      <c r="AA106" s="247">
        <f>ABS(Z106-Y106)</f>
        <v>23.279700000000002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192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 &amp; aws s3 cp s3://rtdc.mdm.uploadarchive.raw/RTDC4061/ "%USERPROFILE%\AppData\Local\Temp\OnboardLogs"\RTDC4061\2018-01-01 --exclude "*" --recursive --include "*20180101*" &amp; "%USERPROFILE%\Documents\GitHub\mrs-test-scripts\Headless Mode &amp; Sideloading\WalkAndUnGZ.bat" "%USERPROFILE%\AppData\Local\Temp\OnboardLogs"\RTDC4061\2018-01-01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/stypes="app*4061*20171231*" /stext=" 23:.+((SYSTEM_STATE.+slice.+state.+changed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6"/>
        <v>"%USERPROFILE%\Documents\GitHub\eaglep3\Utilities\RefineRTDCRunTimes.py" --tripid 192-31 --locoid 4061 --swversion DE.1.0.9.0 --startMP 204:232998 --initTime 2017-12-31T15:40:06 --startdatetime 2017-12-31T15:57:20 --delay 65 --endMP 204:201 --enddatetime 2017-12-31T16:34:39 --enforcementcount 0 &gt;&gt;%USERPROFILE%\Documents\GitHub\eaglep3-reporting\EC\2017-12-31-refined-times.txt</v>
      </c>
      <c r="AI106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{"issue":{"subject":"","project_id":79,"tracker_id":40,"status_id":1,"priority_id":2,"assigned_to_id":338,"start_date":"2017-12-31","description":"","custom_fields":[{"id":1,"name":"Subdivision","value":"EC"},{"id":4,"name":"Milepost","value":"0.0201"},{"id":17,"name":"Train ID","value":"192-31"},{"id":16,"name":"Locomotive ID","value":"4061"},{"id":130,"name":"Impact","value":""},{"id":150,"name":"Time of Event (Mountain Time)","value":"16:34:39"},{"id":151,"name":"Denver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18"/>
        <v>start /low /b %USERPROFILE%\Documents\GitHub\eaglep3\Utilities\DownloadLogsFromS3.py --loco 4061 --day 2017-12-31</v>
      </c>
      <c r="AN106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23:34:39"},{"id":29,"name":"Sharepoint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20"/>
        <v>https://d0f6bd738d7f1b3e5a7ca70fe4ff75f0.us-east-1.aws.found.io/app/kibana#/discover/Steve-Slow-Train-Analysis-(2080s-and-2083s)?_g=(refreshInterval:(display:Off,pause:!f,section:0,value:0),time:(from:'2017-12-31T14:40:06-0700',mode:absolute,to:'2017-12-31T17:34:39-0700'))&amp;_a=(columns:!('Message%20ID',Summary),filters:!(),index:'emp_*',interval:auto,query:(query_string:(analyze_wildcard:!t,query:'%22rtdc.l.rtdc.4061%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806</v>
      </c>
      <c r="B107" s="225">
        <v>4052</v>
      </c>
      <c r="C107" s="227" t="s">
        <v>192</v>
      </c>
      <c r="D107" s="227" t="s">
        <v>892</v>
      </c>
      <c r="E107" s="226">
        <v>43100.632673611108</v>
      </c>
      <c r="F107" s="226">
        <v>43100.635636574072</v>
      </c>
      <c r="G107" s="225">
        <v>51</v>
      </c>
      <c r="H107" s="227" t="s">
        <v>968</v>
      </c>
      <c r="I107" s="226">
        <v>43100.660694444443</v>
      </c>
      <c r="J107" s="225">
        <v>0</v>
      </c>
      <c r="K107" s="237" t="str">
        <f>IF(ISEVEN(B107),(B107-1)&amp;"/"&amp;B107,B107&amp;"/"&amp;(B107+1))</f>
        <v>4051/4052</v>
      </c>
      <c r="L107" s="245" t="str">
        <f>VLOOKUP(A107,'Trips&amp;Operators'!$C$1:$G$99911,5,FALSE)</f>
        <v>GUZMAN DANNY</v>
      </c>
      <c r="M107" s="224">
        <f>I107-F107</f>
        <v>2.5057870370801538E-2</v>
      </c>
      <c r="N107" s="225">
        <f>24*60*SUM($M107:$M107)</f>
        <v>36.083333333954215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-12-31T14:11:03-0700',mode:absolute,to:'2017-12-31T16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4.7699999999999999E-2</v>
      </c>
      <c r="Z107" s="247">
        <f>RIGHT(H107,LEN(H107)-4)/10000</f>
        <v>23.3368</v>
      </c>
      <c r="AA107" s="247">
        <f>ABS(Z107-Y107)</f>
        <v>23.289100000000001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193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s3://rtdc.mdm.uploadarchive.raw/RTDC4052/ "%USERPROFILE%\AppData\Local\Temp\OnboardLogs"\RTDC4052\2017-12-31 --exclude "*" --recursive --include "*20171231*" &amp; "%USERPROFILE%\Documents\GitHub\mrs-test-scripts\Headless Mode &amp; Sideloading\WalkAndUnGZ.bat" "%USERPROFILE%\AppData\Local\Temp\OnboardLogs"\RTDC4052\2017-12-31 &amp; aws s3 cp s3://rtdc.mdm.uploadarchive.raw/RTDC4052/ "%USERPROFILE%\AppData\Local\Temp\OnboardLogs"\RTDC4052\2018-01-01 --exclude "*" --recursive --include "*20180101*" &amp; "%USERPROFILE%\Documents\GitHub\mrs-test-scripts\Headless Mode &amp; Sideloading\WalkAndUnGZ.bat" "%USERPROFILE%\AppData\Local\Temp\OnboardLogs"\RTDC4052\2018-01-01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/stypes="app*4052*20171231*" /stext=" 22:.+((SYSTEM_STATE.+slice.+state.+changed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6"/>
        <v>"%USERPROFILE%\Documents\GitHub\eaglep3\Utilities\RefineRTDCRunTimes.py" --tripid 193-31 --locoid 4052 --swversion DE.1.0.9.0 --startMP 204:477 --initTime 2017-12-31T15:11:03 --startdatetime 2017-12-31T15:15:19 --delay 51 --endMP 204:233368 --enddatetime 2017-12-31T15:51:24 --enforcementcount 0 &gt;&gt;%USERPROFILE%\Documents\GitHub\eaglep3-reporting\EC\2017-12-31-refined-times.txt</v>
      </c>
      <c r="AI107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{"issue":{"subject":"","project_id":79,"tracker_id":40,"status_id":1,"priority_id":2,"assigned_to_id":338,"start_date":"2017-12-31","description":"","custom_fields":[{"id":1,"name":"Subdivision","value":"EC"},{"id":4,"name":"Milepost","value":"23.3368"},{"id":17,"name":"Train ID","value":"193-31"},{"id":16,"name":"Locomotive ID","value":"4052"},{"id":130,"name":"Impact","value":""},{"id":150,"name":"Time of Event (Mountain Time)","value":"15:51:24"},{"id":151,"name":"Denver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8"/>
        <v>start /low /b %USERPROFILE%\Documents\GitHub\eaglep3\Utilities\DownloadLogsFromS3.py --loco 4052 --day 2017-12-31</v>
      </c>
      <c r="AN107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20"/>
        <v>https://d0f6bd738d7f1b3e5a7ca70fe4ff75f0.us-east-1.aws.found.io/app/kibana#/discover/Steve-Slow-Train-Analysis-(2080s-and-2083s)?_g=(refreshInterval:(display:Off,pause:!f,section:0,value:0),time:(from:'2017-12-31T14:11:03-0700',mode:absolute,to:'2017-12-31T16:51:24-0700'))&amp;_a=(columns:!('Message%20ID',Summary),filters:!(),index:'emp_*',interval:auto,query:(query_string:(analyze_wildcard:!t,query:'%22rtdc.l.rtdc.4052%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814</v>
      </c>
      <c r="B108" s="225">
        <v>4051</v>
      </c>
      <c r="C108" s="227" t="s">
        <v>192</v>
      </c>
      <c r="D108" s="227" t="s">
        <v>958</v>
      </c>
      <c r="E108" s="226">
        <v>43100.664837962962</v>
      </c>
      <c r="F108" s="226">
        <v>43100.675185185188</v>
      </c>
      <c r="G108" s="225">
        <v>52</v>
      </c>
      <c r="H108" s="227" t="s">
        <v>969</v>
      </c>
      <c r="I108" s="226">
        <v>43100.70045138889</v>
      </c>
      <c r="J108" s="225">
        <v>0</v>
      </c>
      <c r="K108" s="237" t="str">
        <f>IF(ISEVEN(B108),(B108-1)&amp;"/"&amp;B108,B108&amp;"/"&amp;(B108+1))</f>
        <v>4051/4052</v>
      </c>
      <c r="L108" s="245" t="str">
        <f>VLOOKUP(A108,'Trips&amp;Operators'!$C$1:$G$99911,5,FALSE)</f>
        <v>GUZMAN DANNY</v>
      </c>
      <c r="M108" s="224">
        <f>I108-F108</f>
        <v>2.5266203701903578E-2</v>
      </c>
      <c r="N108" s="225">
        <f>24*60*SUM($M108:$M108)</f>
        <v>36.383333330741152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-31T14:57:22-0700',mode:absolute,to:'2017-12-31T17:48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23.3005</v>
      </c>
      <c r="Z108" s="247">
        <f>RIGHT(H108,LEN(H108)-4)/10000</f>
        <v>2.5999999999999999E-2</v>
      </c>
      <c r="AA108" s="247">
        <f>ABS(Z108-Y108)</f>
        <v>23.2745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194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s3://rtdc.mdm.uploadarchive.raw/RTDC4051/ "%USERPROFILE%\AppData\Local\Temp\OnboardLogs"\RTDC4051\2017-12-31 --exclude "*" --recursive --include "*20171231*" &amp; "%USERPROFILE%\Documents\GitHub\mrs-test-scripts\Headless Mode &amp; Sideloading\WalkAndUnGZ.bat" "%USERPROFILE%\AppData\Local\Temp\OnboardLogs"\RTDC4051\2017-12-31 &amp; aws s3 cp s3://rtdc.mdm.uploadarchive.raw/RTDC4051/ "%USERPROFILE%\AppData\Local\Temp\OnboardLogs"\RTDC4051\2018-01-01 --exclude "*" --recursive --include "*20180101*" &amp; "%USERPROFILE%\Documents\GitHub\mrs-test-scripts\Headless Mode &amp; Sideloading\WalkAndUnGZ.bat" "%USERPROFILE%\AppData\Local\Temp\OnboardLogs"\RTDC4051\2018-01-01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/stypes="app*4051*20171231*"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6"/>
        <v>"%USERPROFILE%\Documents\GitHub\eaglep3\Utilities\RefineRTDCRunTimes.py" --tripid 194-31 --locoid 4051 --swversion DE.1.0.9.0 --startMP 204:233005 --initTime 2017-12-31T15:57:22 --startdatetime 2017-12-31T16:12:16 --delay 52 --endMP 204:260 --enddatetime 2017-12-31T16:48:39 --enforcementcount 0 &gt;&gt;%USERPROFILE%\Documents\GitHub\eaglep3-reporting\EC\2017-12-31-refined-times.txt</v>
      </c>
      <c r="AI108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{"issue":{"subject":"","project_id":79,"tracker_id":40,"status_id":1,"priority_id":2,"assigned_to_id":338,"start_date":"2017-12-31","description":"","custom_fields":[{"id":1,"name":"Subdivision","value":"EC"},{"id":4,"name":"Milepost","value":"0.026"},{"id":17,"name":"Train ID","value":"194-31"},{"id":16,"name":"Locomotive ID","value":"4051"},{"id":130,"name":"Impact","value":""},{"id":150,"name":"Time of Event (Mountain Time)","value":"16:48:39"},{"id":151,"name":"Denver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8"/>
        <v>start /low /b %USERPROFILE%\Documents\GitHub\eaglep3\Utilities\DownloadLogsFromS3.py --loco 4051 --day 2017-12-31</v>
      </c>
      <c r="AN108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23:48:39"},{"id":29,"name":"Sharepoint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20"/>
        <v>https://d0f6bd738d7f1b3e5a7ca70fe4ff75f0.us-east-1.aws.found.io/app/kibana#/discover/Steve-Slow-Train-Analysis-(2080s-and-2083s)?_g=(refreshInterval:(display:Off,pause:!f,section:0,value:0),time:(from:'2017-12-31T14:57:22-0700',mode:absolute,to:'2017-12-31T17:48:39-0700'))&amp;_a=(columns:!('Message%20ID',Summary),filters:!(),index:'emp_*',interval:auto,query:(query_string:(analyze_wildcard:!t,query:'%22rtdc.l.rtdc.4051%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23" customFormat="1" x14ac:dyDescent="0.3">
      <c r="A109" s="229" t="s">
        <v>808</v>
      </c>
      <c r="B109" s="225">
        <v>4044</v>
      </c>
      <c r="C109" s="227" t="s">
        <v>192</v>
      </c>
      <c r="D109" s="227" t="s">
        <v>504</v>
      </c>
      <c r="E109" s="226">
        <v>43100.642881944441</v>
      </c>
      <c r="F109" s="226">
        <v>43100.646006944444</v>
      </c>
      <c r="G109" s="225">
        <v>45</v>
      </c>
      <c r="H109" s="227" t="s">
        <v>523</v>
      </c>
      <c r="I109" s="226">
        <v>43100.670844907407</v>
      </c>
      <c r="J109" s="225">
        <v>0</v>
      </c>
      <c r="K109" s="237" t="str">
        <f>IF(ISEVEN(B109),(B109-1)&amp;"/"&amp;B109,B109&amp;"/"&amp;(B109+1))</f>
        <v>4043/4044</v>
      </c>
      <c r="L109" s="245" t="str">
        <f>VLOOKUP(A109,'Trips&amp;Operators'!$C$1:$G$99911,5,FALSE)</f>
        <v>BROWN JACOB</v>
      </c>
      <c r="M109" s="224">
        <f>I109-F109</f>
        <v>2.4837962962919846E-2</v>
      </c>
      <c r="N109" s="225">
        <f>24*60*SUM($M109:$M109)</f>
        <v>35.766666666604578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-31T14:25:45-0700',mode:absolute,to:'2017-12-31T17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4.6600000000000003E-2</v>
      </c>
      <c r="Z109" s="247">
        <f>RIGHT(H109,LEN(H109)-4)/10000</f>
        <v>23.326599999999999</v>
      </c>
      <c r="AA109" s="247">
        <f>ABS(Z109-Y109)</f>
        <v>23.279999999999998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195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s3://rtdc.mdm.uploadarchive.raw/RTDC4044/ "%USERPROFILE%\AppData\Local\Temp\OnboardLogs"\RTDC4044\2017-12-31 --exclude "*" --recursive --include "*20171231*" &amp; "%USERPROFILE%\Documents\GitHub\mrs-test-scripts\Headless Mode &amp; Sideloading\WalkAndUnGZ.bat" "%USERPROFILE%\AppData\Local\Temp\OnboardLogs"\RTDC4044\2017-12-31 &amp; aws s3 cp s3://rtdc.mdm.uploadarchive.raw/RTDC4044/ "%USERPROFILE%\AppData\Local\Temp\OnboardLogs"\RTDC4044\2018-01-01 --exclude "*" --recursive --include "*20180101*" &amp; "%USERPROFILE%\Documents\GitHub\mrs-test-scripts\Headless Mode &amp; Sideloading\WalkAndUnGZ.bat" "%USERPROFILE%\AppData\Local\Temp\OnboardLogs"\RTDC4044\2018-01-01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/stypes="app*4044*20171231*"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6"/>
        <v>"%USERPROFILE%\Documents\GitHub\eaglep3\Utilities\RefineRTDCRunTimes.py" --tripid 195-31 --locoid 4044 --swversion DE.1.0.9.0 --startMP 204:466 --initTime 2017-12-31T15:25:45 --startdatetime 2017-12-31T15:30:15 --delay 45 --endMP 204:233266 --enddatetime 2017-12-31T16:06:01 --enforcementcount 0 &gt;&gt;%USERPROFILE%\Documents\GitHub\eaglep3-reporting\EC\2017-12-31-refined-times.txt</v>
      </c>
      <c r="AI109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{"issue":{"subject":"","project_id":79,"tracker_id":40,"status_id":1,"priority_id":2,"assigned_to_id":338,"start_date":"2017-12-31","description":"","custom_fields":[{"id":1,"name":"Subdivision","value":"EC"},{"id":4,"name":"Milepost","value":"23.3266"},{"id":17,"name":"Train ID","value":"195-31"},{"id":16,"name":"Locomotive ID","value":"4044"},{"id":130,"name":"Impact","value":""},{"id":150,"name":"Time of Event (Mountain Time)","value":"16:06:01"},{"id":151,"name":"Denver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231"/>
      <c r="AL109" s="231"/>
      <c r="AM109" s="240" t="str">
        <f t="shared" si="18"/>
        <v>start /low /b %USERPROFILE%\Documents\GitHub\eaglep3\Utilities\DownloadLogsFromS3.py --loco 4044 --day 2017-12-31</v>
      </c>
      <c r="AN109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23:06:01"},{"id":29,"name":"Sharepoint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20"/>
        <v>https://d0f6bd738d7f1b3e5a7ca70fe4ff75f0.us-east-1.aws.found.io/app/kibana#/discover/Steve-Slow-Train-Analysis-(2080s-and-2083s)?_g=(refreshInterval:(display:Off,pause:!f,section:0,value:0),time:(from:'2017-12-31T14:25:45-0700',mode:absolute,to:'2017-12-31T17:06:01-0700'))&amp;_a=(columns:!('Message%20ID',Summary),filters:!(),index:'emp_*',interval:auto,query:(query_string:(analyze_wildcard:!t,query:'%22rtdc.l.rtdc.4044%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821</v>
      </c>
      <c r="B110" s="225">
        <v>4043</v>
      </c>
      <c r="C110" s="227" t="s">
        <v>192</v>
      </c>
      <c r="D110" s="227" t="s">
        <v>970</v>
      </c>
      <c r="E110" s="226">
        <v>43100.680995370371</v>
      </c>
      <c r="F110" s="226">
        <v>43100.685671296298</v>
      </c>
      <c r="G110" s="225">
        <v>74</v>
      </c>
      <c r="H110" s="227" t="s">
        <v>971</v>
      </c>
      <c r="I110" s="226">
        <v>43100.711493055554</v>
      </c>
      <c r="J110" s="225">
        <v>0</v>
      </c>
      <c r="K110" s="237" t="str">
        <f>IF(ISEVEN(B110),(B110-1)&amp;"/"&amp;B110,B110&amp;"/"&amp;(B110+1))</f>
        <v>4043/4044</v>
      </c>
      <c r="L110" s="245" t="str">
        <f>VLOOKUP(A110,'Trips&amp;Operators'!$C$1:$G$99911,5,FALSE)</f>
        <v>BROWN JACOB</v>
      </c>
      <c r="M110" s="224">
        <f>I110-F110</f>
        <v>2.5821759256359655E-2</v>
      </c>
      <c r="N110" s="225">
        <f>24*60*SUM($M110:$M110)</f>
        <v>37.183333329157904</v>
      </c>
      <c r="O110" s="225"/>
      <c r="P110" s="225"/>
      <c r="Q110" s="228"/>
      <c r="R110" s="242" t="s">
        <v>667</v>
      </c>
      <c r="S110" s="249">
        <f>1/IF(AG110="EC",12,1)*SUM(U110:U110)</f>
        <v>1</v>
      </c>
      <c r="T110" s="242" t="str">
        <f>IF(ISEVEN(LEFT(AD110,4)),"Southbound","NorthBound")</f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-12-31T15:20:38-0700',mode:absolute,to:'2017-12-31T18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23.296600000000002</v>
      </c>
      <c r="Z110" s="247">
        <f>RIGHT(H110,LEN(H110)-4)/10000</f>
        <v>1.7399999999999999E-2</v>
      </c>
      <c r="AA110" s="247">
        <f>ABS(Z110-Y110)</f>
        <v>23.279200000000003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196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/stypes="app*4043*20180101*" /stext=" 00:.+((SYSTEM_STATE.+slice.+state.+changed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6"/>
        <v>"%USERPROFILE%\Documents\GitHub\eaglep3\Utilities\RefineRTDCRunTimes.py" --tripid 196-31 --locoid 4043 --swversion DE.1.0.9.0 --startMP 204:232966 --initTime 2017-12-31T16:20:38 --startdatetime 2017-12-31T16:27:22 --delay 74 --endMP 204:174 --enddatetime 2017-12-31T17:04:33 --enforcementcount 0 &gt;&gt;%USERPROFILE%\Documents\GitHub\eaglep3-reporting\EC\2017-12-31-refined-times.txt</v>
      </c>
      <c r="AI110" s="238" t="str">
        <f t="shared" si="17"/>
        <v>echo {"issue":{"subject":"Observed unhealthy xing banner at Chambers due to station stop","project_id":79,"tracker_id":40,"status_id":1,"priority_id":2,"assigned_to_id":338,"start_date":"2017-12-31","description":"","custom_fields":[{"id":1,"name":"Subdivision","value":"EC"},{"id":4,"name":"Milepost","value":"0.0174"},{"id":17,"name":"Train ID","value":"196-31"},{"id":16,"name":"Locomotive ID","value":"4043"},{"id":130,"name":"Impact","value":""},{"id":150,"name":"Time of Event (Mountain Time)","value":"17:04:33"},{"id":151,"name":"Denver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8"/>
        <v>start /low /b %USERPROFILE%\Documents\GitHub\eaglep3\Utilities\DownloadLogsFromS3.py --loco 4043 --day 2017-12-31</v>
      </c>
      <c r="AN110" s="241" t="str">
        <f t="shared" si="19"/>
        <v>echo {"issue":{"subject":"Observed unhealthy xing banner at Chambers due to station stop","project_id":30,"tracker_id":4,"status_id":1,"priority_id":1,"assigned_to_id":10,"start_date":"2018-01-01","description":"","custom_fields":[{"id":30,"name":"Category","value":"Issue"},{"id":3,"name":"Functional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00:04:33"},{"id":29,"name":"Sharepoint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20"/>
        <v>https://d0f6bd738d7f1b3e5a7ca70fe4ff75f0.us-east-1.aws.found.io/app/kibana#/discover/Steve-Slow-Train-Analysis-(2080s-and-2083s)?_g=(refreshInterval:(display:Off,pause:!f,section:0,value:0),time:(from:'2017-12-31T15:20:38-0700',mode:absolute,to:'2017-12-31T18:04:33-0700'))&amp;_a=(columns:!('Message%20ID',Summary),filters:!(),index:'emp_*',interval:auto,query:(query_string:(analyze_wildcard:!t,query:'%22rtdc.l.rtdc.4043%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810</v>
      </c>
      <c r="B111" s="225">
        <v>4002</v>
      </c>
      <c r="C111" s="227" t="s">
        <v>192</v>
      </c>
      <c r="D111" s="227" t="s">
        <v>553</v>
      </c>
      <c r="E111" s="226">
        <v>43100.650995370372</v>
      </c>
      <c r="F111" s="226">
        <v>43100.656423611108</v>
      </c>
      <c r="G111" s="225">
        <v>65</v>
      </c>
      <c r="H111" s="227" t="s">
        <v>635</v>
      </c>
      <c r="I111" s="226">
        <v>43100.681030092594</v>
      </c>
      <c r="J111" s="225">
        <v>0</v>
      </c>
      <c r="K111" s="237" t="str">
        <f>IF(ISEVEN(B111),(B111-1)&amp;"/"&amp;B111,B111&amp;"/"&amp;(B111+1))</f>
        <v>4001/4002</v>
      </c>
      <c r="L111" s="245" t="str">
        <f>VLOOKUP(A111,'Trips&amp;Operators'!$C$1:$G$99911,5,FALSE)</f>
        <v>GONZALEZ ARMANDO</v>
      </c>
      <c r="M111" s="224">
        <f>I111-F111</f>
        <v>2.4606481485534459E-2</v>
      </c>
      <c r="N111" s="225">
        <f>24*60*SUM($M111:$M111)</f>
        <v>35.433333339169621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-12-31T14:37:26-0700',mode:absolute,to:'2017-12-31T17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4.8899999999999999E-2</v>
      </c>
      <c r="Z111" s="247">
        <f>RIGHT(H111,LEN(H111)-4)/10000</f>
        <v>23.330300000000001</v>
      </c>
      <c r="AA111" s="247">
        <f>ABS(Z111-Y111)</f>
        <v>23.281400000000001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197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s3://rtdc.mdm.uploadarchive.raw/RTDC4002/ "%USERPROFILE%\AppData\Local\Temp\OnboardLogs"\RTDC4002\2017-12-31 --exclude "*" --recursive --include "*20171231*" &amp; "%USERPROFILE%\Documents\GitHub\mrs-test-scripts\Headless Mode &amp; Sideloading\WalkAndUnGZ.bat" "%USERPROFILE%\AppData\Local\Temp\OnboardLogs"\RTDC4002\2017-12-31 &amp; aws s3 cp s3://rtdc.mdm.uploadarchive.raw/RTDC4002/ "%USERPROFILE%\AppData\Local\Temp\OnboardLogs"\RTDC4002\2018-01-01 --exclude "*" --recursive --include "*20180101*" &amp; "%USERPROFILE%\Documents\GitHub\mrs-test-scripts\Headless Mode &amp; Sideloading\WalkAndUnGZ.bat" "%USERPROFILE%\AppData\Local\Temp\OnboardLogs"\RTDC4002\2018-01-01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/stypes="app*4002*20171231*" /stext=" 23:.+((SYSTEM_STATE.+slice.+state.+changed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6"/>
        <v>"%USERPROFILE%\Documents\GitHub\eaglep3\Utilities\RefineRTDCRunTimes.py" --tripid 197-31 --locoid 4002 --swversion DE.1.0.9.0 --startMP 204:489 --initTime 2017-12-31T15:37:26 --startdatetime 2017-12-31T15:45:15 --delay 65 --endMP 204:233303 --enddatetime 2017-12-31T16:20:41 --enforcementcount 0 &gt;&gt;%USERPROFILE%\Documents\GitHub\eaglep3-reporting\EC\2017-12-31-refined-times.txt</v>
      </c>
      <c r="AI111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{"issue":{"subject":"","project_id":79,"tracker_id":40,"status_id":1,"priority_id":2,"assigned_to_id":338,"start_date":"2017-12-31","description":"","custom_fields":[{"id":1,"name":"Subdivision","value":"EC"},{"id":4,"name":"Milepost","value":"23.3303"},{"id":17,"name":"Train ID","value":"197-31"},{"id":16,"name":"Locomotive ID","value":"4002"},{"id":130,"name":"Impact","value":""},{"id":150,"name":"Time of Event (Mountain Time)","value":"16:20:41"},{"id":151,"name":"Denver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8"/>
        <v>start /low /b %USERPROFILE%\Documents\GitHub\eaglep3\Utilities\DownloadLogsFromS3.py --loco 4002 --day 2017-12-31</v>
      </c>
      <c r="AN111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23:20:41"},{"id":29,"name":"Sharepoint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20"/>
        <v>https://d0f6bd738d7f1b3e5a7ca70fe4ff75f0.us-east-1.aws.found.io/app/kibana#/discover/Steve-Slow-Train-Analysis-(2080s-and-2083s)?_g=(refreshInterval:(display:Off,pause:!f,section:0,value:0),time:(from:'2017-12-31T14:37:26-0700',mode:absolute,to:'2017-12-31T17:20:41-0700'))&amp;_a=(columns:!('Message%20ID',Summary),filters:!(),index:'emp_*',interval:auto,query:(query_string:(analyze_wildcard:!t,query:'%22rtdc.l.rtdc.4002%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824</v>
      </c>
      <c r="B112" s="225">
        <v>4001</v>
      </c>
      <c r="C112" s="227" t="s">
        <v>192</v>
      </c>
      <c r="D112" s="227" t="s">
        <v>958</v>
      </c>
      <c r="E112" s="226">
        <v>43100.68954861111</v>
      </c>
      <c r="F112" s="226">
        <v>43100.696180555555</v>
      </c>
      <c r="G112" s="225">
        <v>67</v>
      </c>
      <c r="H112" s="227" t="s">
        <v>508</v>
      </c>
      <c r="I112" s="226">
        <v>43100.721689814818</v>
      </c>
      <c r="J112" s="225">
        <v>0</v>
      </c>
      <c r="K112" s="237" t="str">
        <f>IF(ISEVEN(B112),(B112-1)&amp;"/"&amp;B112,B112&amp;"/"&amp;(B112+1))</f>
        <v>4001/4002</v>
      </c>
      <c r="L112" s="245" t="str">
        <f>VLOOKUP(A112,'Trips&amp;Operators'!$C$1:$G$99911,5,FALSE)</f>
        <v>GONZALEZ ARMANDO</v>
      </c>
      <c r="M112" s="224">
        <f>I112-F112</f>
        <v>2.5509259263344575E-2</v>
      </c>
      <c r="N112" s="225">
        <f>24*60*SUM($M112:$M112)</f>
        <v>36.733333339216188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-31T15:32:57-0700',mode:absolute,to:'2017-12-31T18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23.3005</v>
      </c>
      <c r="Z112" s="247">
        <f>RIGHT(H112,LEN(H112)-4)/10000</f>
        <v>1.9800000000000002E-2</v>
      </c>
      <c r="AA112" s="247">
        <f>ABS(Z112-Y112)</f>
        <v>23.2807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198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s3://rtdc.mdm.uploadarchive.raw/RTDC4001/ "%USERPROFILE%\AppData\Local\Temp\OnboardLogs"\RTDC4001\2017-12-31 --exclude "*" --recursive --include "*20171231*" &amp; "%USERPROFILE%\Documents\GitHub\mrs-test-scripts\Headless Mode &amp; Sideloading\WalkAndUnGZ.bat" "%USERPROFILE%\AppData\Local\Temp\OnboardLogs"\RTDC4001\2017-12-31 &amp; aws s3 cp s3://rtdc.mdm.uploadarchive.raw/RTDC4001/ "%USERPROFILE%\AppData\Local\Temp\OnboardLogs"\RTDC4001\2018-01-01 --exclude "*" --recursive --include "*20180101*" &amp; "%USERPROFILE%\Documents\GitHub\mrs-test-scripts\Headless Mode &amp; Sideloading\WalkAndUnGZ.bat" "%USERPROFILE%\AppData\Local\Temp\OnboardLogs"\RTDC4001\2018-01-01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/stypes="app*4001*20180101*" /stext=" 00:.+((SYSTEM_STATE.+slice.+state.+changed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6"/>
        <v>"%USERPROFILE%\Documents\GitHub\eaglep3\Utilities\RefineRTDCRunTimes.py" --tripid 198-31 --locoid 4001 --swversion DE.1.0.9.0 --startMP 204:233005 --initTime 2017-12-31T16:32:57 --startdatetime 2017-12-31T16:42:30 --delay 67 --endMP 204:198 --enddatetime 2017-12-31T17:19:14 --enforcementcount 0 &gt;&gt;%USERPROFILE%\Documents\GitHub\eaglep3-reporting\EC\2017-12-31-refined-times.txt</v>
      </c>
      <c r="AI112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{"issue":{"subject":"","project_id":79,"tracker_id":40,"status_id":1,"priority_id":2,"assigned_to_id":338,"start_date":"2017-12-31","description":"","custom_fields":[{"id":1,"name":"Subdivision","value":"EC"},{"id":4,"name":"Milepost","value":"0.0198"},{"id":17,"name":"Train ID","value":"198-31"},{"id":16,"name":"Locomotive ID","value":"4001"},{"id":130,"name":"Impact","value":""},{"id":150,"name":"Time of Event (Mountain Time)","value":"17:19:14"},{"id":151,"name":"Denver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8"/>
        <v>start /low /b %USERPROFILE%\Documents\GitHub\eaglep3\Utilities\DownloadLogsFromS3.py --loco 4001 --day 2017-12-31</v>
      </c>
      <c r="AN112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00:19:14"},{"id":29,"name":"Sharepoint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20"/>
        <v>https://d0f6bd738d7f1b3e5a7ca70fe4ff75f0.us-east-1.aws.found.io/app/kibana#/discover/Steve-Slow-Train-Analysis-(2080s-and-2083s)?_g=(refreshInterval:(display:Off,pause:!f,section:0,value:0),time:(from:'2017-12-31T15:32:57-0700',mode:absolute,to:'2017-12-31T18:19:14-0700'))&amp;_a=(columns:!('Message%20ID',Summary),filters:!(),index:'emp_*',interval:auto,query:(query_string:(analyze_wildcard:!t,query:'%22rtdc.l.rtdc.4001%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813</v>
      </c>
      <c r="B113" s="225">
        <v>4018</v>
      </c>
      <c r="C113" s="227" t="s">
        <v>192</v>
      </c>
      <c r="D113" s="227" t="s">
        <v>657</v>
      </c>
      <c r="E113" s="226">
        <v>43100.66269675926</v>
      </c>
      <c r="F113" s="226">
        <v>43100.666909722226</v>
      </c>
      <c r="G113" s="225">
        <v>66</v>
      </c>
      <c r="H113" s="227" t="s">
        <v>581</v>
      </c>
      <c r="I113" s="226">
        <v>43100.69189814815</v>
      </c>
      <c r="J113" s="225">
        <v>0</v>
      </c>
      <c r="K113" s="237" t="str">
        <f>IF(ISEVEN(B113),(B113-1)&amp;"/"&amp;B113,B113&amp;"/"&amp;(B113+1))</f>
        <v>4017/4018</v>
      </c>
      <c r="L113" s="245" t="str">
        <f>VLOOKUP(A113,'Trips&amp;Operators'!$C$1:$G$99911,5,FALSE)</f>
        <v>STEWART MICHAEL</v>
      </c>
      <c r="M113" s="224">
        <f>I113-F113</f>
        <v>2.4988425924675539E-2</v>
      </c>
      <c r="N113" s="225">
        <f>24*60*SUM($M113:$M113)</f>
        <v>35.983333331532776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-31T14:54:17-0700',mode:absolute,to:'2017-12-31T17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4.7500000000000001E-2</v>
      </c>
      <c r="Z113" s="247">
        <f>RIGHT(H113,LEN(H113)-4)/10000</f>
        <v>23.330200000000001</v>
      </c>
      <c r="AA113" s="247">
        <f>ABS(Z113-Y113)</f>
        <v>23.282700000000002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199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/stypes="app*4018*20171231*" /stext=" 23:.+((SYSTEM_STATE.+slice.+state.+changed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6"/>
        <v>"%USERPROFILE%\Documents\GitHub\eaglep3\Utilities\RefineRTDCRunTimes.py" --tripid 199-31 --locoid 4018 --swversion DE.1.0.9.0 --startMP 204:475 --initTime 2017-12-31T15:54:17 --startdatetime 2017-12-31T16:00:21 --delay 66 --endMP 204:233302 --enddatetime 2017-12-31T16:36:20 --enforcementcount 0 &gt;&gt;%USERPROFILE%\Documents\GitHub\eaglep3-reporting\EC\2017-12-31-refined-times.txt</v>
      </c>
      <c r="AI113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{"issue":{"subject":"","project_id":79,"tracker_id":40,"status_id":1,"priority_id":2,"assigned_to_id":338,"start_date":"2017-12-31","description":"","custom_fields":[{"id":1,"name":"Subdivision","value":"EC"},{"id":4,"name":"Milepost","value":"23.3302"},{"id":17,"name":"Train ID","value":"199-31"},{"id":16,"name":"Locomotive ID","value":"4018"},{"id":130,"name":"Impact","value":""},{"id":150,"name":"Time of Event (Mountain Time)","value":"16:36:20"},{"id":151,"name":"Denver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8"/>
        <v>start /low /b %USERPROFILE%\Documents\GitHub\eaglep3\Utilities\DownloadLogsFromS3.py --loco 4018 --day 2017-12-31</v>
      </c>
      <c r="AN113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23:36:20"},{"id":29,"name":"Sharepoint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20"/>
        <v>https://d0f6bd738d7f1b3e5a7ca70fe4ff75f0.us-east-1.aws.found.io/app/kibana#/discover/Steve-Slow-Train-Analysis-(2080s-and-2083s)?_g=(refreshInterval:(display:Off,pause:!f,section:0,value:0),time:(from:'2017-12-31T14:54:17-0700',mode:absolute,to:'2017-12-31T17:36:20-0700'))&amp;_a=(columns:!('Message%20ID',Summary),filters:!(),index:'emp_*',interval:auto,query:(query_string:(analyze_wildcard:!t,query:'%22rtdc.l.rtdc.4018%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827</v>
      </c>
      <c r="B114" s="225">
        <v>4017</v>
      </c>
      <c r="C114" s="227" t="s">
        <v>192</v>
      </c>
      <c r="D114" s="227" t="s">
        <v>644</v>
      </c>
      <c r="E114" s="226">
        <v>43100.703622685185</v>
      </c>
      <c r="F114" s="226">
        <v>43100.706516203703</v>
      </c>
      <c r="G114" s="225">
        <v>63</v>
      </c>
      <c r="H114" s="227" t="s">
        <v>640</v>
      </c>
      <c r="I114" s="226">
        <v>43100.733761574076</v>
      </c>
      <c r="J114" s="225">
        <v>0</v>
      </c>
      <c r="K114" s="237" t="str">
        <f>IF(ISEVEN(B114),(B114-1)&amp;"/"&amp;B114,B114&amp;"/"&amp;(B114+1))</f>
        <v>4017/4018</v>
      </c>
      <c r="L114" s="245" t="str">
        <f>VLOOKUP(A114,'Trips&amp;Operators'!$C$1:$G$99911,5,FALSE)</f>
        <v>STEWART MICHAEL</v>
      </c>
      <c r="M114" s="224">
        <f>I114-F114</f>
        <v>2.7245370372838806E-2</v>
      </c>
      <c r="N114" s="225">
        <f>24*60*SUM($M114:$M114)</f>
        <v>39.233333336887881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-12-31T15:53:13-0700',mode:absolute,to:'2017-12-31T18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23.298100000000002</v>
      </c>
      <c r="Z114" s="247">
        <f>RIGHT(H114,LEN(H114)-4)/10000</f>
        <v>1.83E-2</v>
      </c>
      <c r="AA114" s="247">
        <f>ABS(Z114-Y114)</f>
        <v>23.279800000000002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200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s3://rtdc.mdm.uploadarchive.raw/RTDC4017/ "%USERPROFILE%\AppData\Local\Temp\OnboardLogs"\RTDC4017\2017-12-31 --exclude "*" --recursive --include "*20171231*" &amp; "%USERPROFILE%\Documents\GitHub\mrs-test-scripts\Headless Mode &amp; Sideloading\WalkAndUnGZ.bat" "%USERPROFILE%\AppData\Local\Temp\OnboardLogs"\RTDC4017\2017-12-31 &amp; aws s3 cp s3://rtdc.mdm.uploadarchive.raw/RTDC4017/ "%USERPROFILE%\AppData\Local\Temp\OnboardLogs"\RTDC4017\2018-01-01 --exclude "*" --recursive --include "*20180101*" &amp; "%USERPROFILE%\Documents\GitHub\mrs-test-scripts\Headless Mode &amp; Sideloading\WalkAndUnGZ.bat" "%USERPROFILE%\AppData\Local\Temp\OnboardLogs"\RTDC4017\2018-01-01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/stypes="app*4017*20180101*" /stext=" 00:.+((SYSTEM_STATE.+slice.+state.+changed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6"/>
        <v>"%USERPROFILE%\Documents\GitHub\eaglep3\Utilities\RefineRTDCRunTimes.py" --tripid 200-31 --locoid 4017 --swversion DE.1.0.9.0 --startMP 204:232981 --initTime 2017-12-31T16:53:13 --startdatetime 2017-12-31T16:57:23 --delay 63 --endMP 204:183 --enddatetime 2017-12-31T17:36:37 --enforcementcount 0 &gt;&gt;%USERPROFILE%\Documents\GitHub\eaglep3-reporting\EC\2017-12-31-refined-times.txt</v>
      </c>
      <c r="AI114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{"issue":{"subject":"","project_id":79,"tracker_id":40,"status_id":1,"priority_id":2,"assigned_to_id":338,"start_date":"2017-12-31","description":"","custom_fields":[{"id":1,"name":"Subdivision","value":"EC"},{"id":4,"name":"Milepost","value":"0.0183"},{"id":17,"name":"Train ID","value":"200-31"},{"id":16,"name":"Locomotive ID","value":"4017"},{"id":130,"name":"Impact","value":""},{"id":150,"name":"Time of Event (Mountain Time)","value":"17:36:37"},{"id":151,"name":"Denver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8"/>
        <v>start /low /b %USERPROFILE%\Documents\GitHub\eaglep3\Utilities\DownloadLogsFromS3.py --loco 4017 --day 2017-12-31</v>
      </c>
      <c r="AN114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00:36:37"},{"id":29,"name":"Sharepoint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20"/>
        <v>https://d0f6bd738d7f1b3e5a7ca70fe4ff75f0.us-east-1.aws.found.io/app/kibana#/discover/Steve-Slow-Train-Analysis-(2080s-and-2083s)?_g=(refreshInterval:(display:Off,pause:!f,section:0,value:0),time:(from:'2017-12-31T15:53:13-0700',mode:absolute,to:'2017-12-31T18:36:37-0700'))&amp;_a=(columns:!('Message%20ID',Summary),filters:!(),index:'emp_*',interval:auto,query:(query_string:(analyze_wildcard:!t,query:'%22rtdc.l.rtdc.4017%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820</v>
      </c>
      <c r="B115" s="225">
        <v>4016</v>
      </c>
      <c r="C115" s="227" t="s">
        <v>192</v>
      </c>
      <c r="D115" s="227" t="s">
        <v>972</v>
      </c>
      <c r="E115" s="226">
        <v>43100.671666666669</v>
      </c>
      <c r="F115" s="226">
        <v>43100.677303240744</v>
      </c>
      <c r="G115" s="225">
        <v>57</v>
      </c>
      <c r="H115" s="227" t="s">
        <v>973</v>
      </c>
      <c r="I115" s="226">
        <v>43100.702557870369</v>
      </c>
      <c r="J115" s="225">
        <v>0</v>
      </c>
      <c r="K115" s="237" t="str">
        <f>IF(ISEVEN(B115),(B115-1)&amp;"/"&amp;B115,B115&amp;"/"&amp;(B115+1))</f>
        <v>4015/4016</v>
      </c>
      <c r="L115" s="245" t="str">
        <f>VLOOKUP(A115,'Trips&amp;Operators'!$C$1:$G$99911,5,FALSE)</f>
        <v>SMITH MICHAEL</v>
      </c>
      <c r="M115" s="224">
        <f>I115-F115</f>
        <v>2.5254629625123926E-2</v>
      </c>
      <c r="N115" s="225">
        <f>24*60*SUM($M115:$M115)</f>
        <v>36.366666660178453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-12-31T15:07:12-0700',mode:absolute,to:'2017-12-31T17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5.7099999999999998E-2</v>
      </c>
      <c r="Z115" s="247">
        <f>RIGHT(H115,LEN(H115)-4)/10000</f>
        <v>23.319700000000001</v>
      </c>
      <c r="AA115" s="247">
        <f>ABS(Z115-Y115)</f>
        <v>23.262600000000003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201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s3://rtdc.mdm.uploadarchive.raw/RTDC4016/ "%USERPROFILE%\AppData\Local\Temp\OnboardLogs"\RTDC4016\2017-12-31 --exclude "*" --recursive --include "*20171231*" &amp; "%USERPROFILE%\Documents\GitHub\mrs-test-scripts\Headless Mode &amp; Sideloading\WalkAndUnGZ.bat" "%USERPROFILE%\AppData\Local\Temp\OnboardLogs"\RTDC4016\2017-12-31 &amp; aws s3 cp s3://rtdc.mdm.uploadarchive.raw/RTDC4016/ "%USERPROFILE%\AppData\Local\Temp\OnboardLogs"\RTDC4016\2018-01-01 --exclude "*" --recursive --include "*20180101*" &amp; "%USERPROFILE%\Documents\GitHub\mrs-test-scripts\Headless Mode &amp; Sideloading\WalkAndUnGZ.bat" "%USERPROFILE%\AppData\Local\Temp\OnboardLogs"\RTDC4016\2018-01-01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/stypes="app*4016*20171231*" /stext=" 23:.+((SYSTEM_STATE.+slice.+state.+changed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6"/>
        <v>"%USERPROFILE%\Documents\GitHub\eaglep3\Utilities\RefineRTDCRunTimes.py" --tripid 201-31 --locoid 4016 --swversion DE.1.0.9.0 --startMP 204:571 --initTime 2017-12-31T16:07:12 --startdatetime 2017-12-31T16:15:19 --delay 57 --endMP 204:233197 --enddatetime 2017-12-31T16:51:41 --enforcementcount 0 &gt;&gt;%USERPROFILE%\Documents\GitHub\eaglep3-reporting\EC\2017-12-31-refined-times.txt</v>
      </c>
      <c r="AI115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{"issue":{"subject":"","project_id":79,"tracker_id":40,"status_id":1,"priority_id":2,"assigned_to_id":338,"start_date":"2017-12-31","description":"","custom_fields":[{"id":1,"name":"Subdivision","value":"EC"},{"id":4,"name":"Milepost","value":"23.3197"},{"id":17,"name":"Train ID","value":"201-31"},{"id":16,"name":"Locomotive ID","value":"4016"},{"id":130,"name":"Impact","value":""},{"id":150,"name":"Time of Event (Mountain Time)","value":"16:51:41"},{"id":151,"name":"Denver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8"/>
        <v>start /low /b %USERPROFILE%\Documents\GitHub\eaglep3\Utilities\DownloadLogsFromS3.py --loco 4016 --day 2017-12-31</v>
      </c>
      <c r="AN115" s="241" t="str">
        <f t="shared" si="19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23:51:41"},{"id":29,"name":"Sharepoint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20"/>
        <v>https://d0f6bd738d7f1b3e5a7ca70fe4ff75f0.us-east-1.aws.found.io/app/kibana#/discover/Steve-Slow-Train-Analysis-(2080s-and-2083s)?_g=(refreshInterval:(display:Off,pause:!f,section:0,value:0),time:(from:'2017-12-31T15:07:12-0700',mode:absolute,to:'2017-12-31T17:51:41-0700'))&amp;_a=(columns:!('Message%20ID',Summary),filters:!(),index:'emp_*',interval:auto,query:(query_string:(analyze_wildcard:!t,query:'%22rtdc.l.rtdc.4016%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3">
      <c r="A116" s="229" t="s">
        <v>829</v>
      </c>
      <c r="B116" s="225">
        <v>4015</v>
      </c>
      <c r="C116" s="227" t="s">
        <v>192</v>
      </c>
      <c r="D116" s="227" t="s">
        <v>639</v>
      </c>
      <c r="E116" s="226">
        <v>43100.711319444446</v>
      </c>
      <c r="F116" s="226">
        <v>43100.716898148145</v>
      </c>
      <c r="G116" s="225">
        <v>71</v>
      </c>
      <c r="H116" s="227" t="s">
        <v>969</v>
      </c>
      <c r="I116" s="226">
        <v>43100.742824074077</v>
      </c>
      <c r="J116" s="225">
        <v>0</v>
      </c>
      <c r="K116" s="237" t="str">
        <f>IF(ISEVEN(B116),(B116-1)&amp;"/"&amp;B116,B116&amp;"/"&amp;(B116+1))</f>
        <v>4015/4016</v>
      </c>
      <c r="L116" s="245" t="str">
        <f>VLOOKUP(A116,'Trips&amp;Operators'!$C$1:$G$99911,5,FALSE)</f>
        <v>SMITH MICHAEL</v>
      </c>
      <c r="M116" s="224">
        <f>I116-F116</f>
        <v>2.5925925932824612E-2</v>
      </c>
      <c r="N116" s="225">
        <f>24*60*SUM($M116:$M116)</f>
        <v>37.333333343267441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-31T16:04:18-0700',mode:absolute,to:'2017-12-31T18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23.2881</v>
      </c>
      <c r="Z116" s="247">
        <f>RIGHT(H116,LEN(H116)-4)/10000</f>
        <v>2.5999999999999999E-2</v>
      </c>
      <c r="AA116" s="247">
        <f>ABS(Z116-Y116)</f>
        <v>23.2621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202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s3://rtdc.mdm.uploadarchive.raw/RTDC4015/ "%USERPROFILE%\AppData\Local\Temp\OnboardLogs"\RTDC4015\2017-12-31 --exclude "*" --recursive --include "*20171231*" &amp; "%USERPROFILE%\Documents\GitHub\mrs-test-scripts\Headless Mode &amp; Sideloading\WalkAndUnGZ.bat" "%USERPROFILE%\AppData\Local\Temp\OnboardLogs"\RTDC4015\2017-12-31 &amp; 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/stypes="app*4015*20180101*"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6"/>
        <v>"%USERPROFILE%\Documents\GitHub\eaglep3\Utilities\RefineRTDCRunTimes.py" --tripid 202-31 --locoid 4015 --swversion DE.1.0.9.0 --startMP 204:232881 --initTime 2017-12-31T17:04:18 --startdatetime 2017-12-31T17:12:20 --delay 71 --endMP 204:260 --enddatetime 2017-12-31T17:49:40 --enforcementcount 0 &gt;&gt;%USERPROFILE%\Documents\GitHub\eaglep3-reporting\EC\2017-12-31-refined-times.txt</v>
      </c>
      <c r="AI116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{"issue":{"subject":"","project_id":79,"tracker_id":40,"status_id":1,"priority_id":2,"assigned_to_id":338,"start_date":"2017-12-31","description":"","custom_fields":[{"id":1,"name":"Subdivision","value":"EC"},{"id":4,"name":"Milepost","value":"0.026"},{"id":17,"name":"Train ID","value":"202-31"},{"id":16,"name":"Locomotive ID","value":"4015"},{"id":130,"name":"Impact","value":""},{"id":150,"name":"Time of Event (Mountain Time)","value":"17:49:40"},{"id":151,"name":"Denver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18"/>
        <v>start /low /b %USERPROFILE%\Documents\GitHub\eaglep3\Utilities\DownloadLogsFromS3.py --loco 4015 --day 2017-12-31</v>
      </c>
      <c r="AN116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00:49:40"},{"id":29,"name":"Sharepoint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20"/>
        <v>https://d0f6bd738d7f1b3e5a7ca70fe4ff75f0.us-east-1.aws.found.io/app/kibana#/discover/Steve-Slow-Train-Analysis-(2080s-and-2083s)?_g=(refreshInterval:(display:Off,pause:!f,section:0,value:0),time:(from:'2017-12-31T16:04:18-0700',mode:absolute,to:'2017-12-31T18:49:40-0700'))&amp;_a=(columns:!('Message%20ID',Summary),filters:!(),index:'emp_*',interval:auto,query:(query_string:(analyze_wildcard:!t,query:'%22rtdc.l.rtdc.4015%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822</v>
      </c>
      <c r="B117" s="225">
        <v>4034</v>
      </c>
      <c r="C117" s="227" t="s">
        <v>192</v>
      </c>
      <c r="D117" s="227" t="s">
        <v>632</v>
      </c>
      <c r="E117" s="226">
        <v>43100.683900462966</v>
      </c>
      <c r="F117" s="226">
        <v>43100.687858796293</v>
      </c>
      <c r="G117" s="225">
        <v>64</v>
      </c>
      <c r="H117" s="227" t="s">
        <v>910</v>
      </c>
      <c r="I117" s="226">
        <v>43100.713923611111</v>
      </c>
      <c r="J117" s="225">
        <v>0</v>
      </c>
      <c r="K117" s="237" t="str">
        <f>IF(ISEVEN(B117),(B117-1)&amp;"/"&amp;B117,B117&amp;"/"&amp;(B117+1))</f>
        <v>4033/4034</v>
      </c>
      <c r="L117" s="245" t="str">
        <f>VLOOKUP(A117,'Trips&amp;Operators'!$C$1:$G$99911,5,FALSE)</f>
        <v>DAVIS MICHAEL</v>
      </c>
      <c r="M117" s="224">
        <f>I117-F117</f>
        <v>2.6064814817800652E-2</v>
      </c>
      <c r="N117" s="225">
        <f>24*60*SUM($M117:$M117)</f>
        <v>37.533333337632939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-31T15:24:49-0700',mode:absolute,to:'2017-12-31T18:08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5.1499999999999997E-2</v>
      </c>
      <c r="Z117" s="247">
        <f>RIGHT(H117,LEN(H117)-4)/10000</f>
        <v>23.332899999999999</v>
      </c>
      <c r="AA117" s="247">
        <f>ABS(Z117-Y117)</f>
        <v>23.281399999999998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203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 &amp; aws s3 cp s3://rtdc.mdm.uploadarchive.raw/RTDC4034/ "%USERPROFILE%\AppData\Local\Temp\OnboardLogs"\RTDC4034\2018-01-01 --exclude "*" --recursive --include "*20180101*" &amp; "%USERPROFILE%\Documents\GitHub\mrs-test-scripts\Headless Mode &amp; Sideloading\WalkAndUnGZ.bat" "%USERPROFILE%\AppData\Local\Temp\OnboardLogs"\RTDC4034\2018-01-01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/stypes="app*4034*20180101*" /stext=" 00:.+((SYSTEM_STATE.+slice.+state.+changed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6"/>
        <v>"%USERPROFILE%\Documents\GitHub\eaglep3\Utilities\RefineRTDCRunTimes.py" --tripid 203-31 --locoid 4034 --swversion DE.1.0.9.0 --startMP 204:515 --initTime 2017-12-31T16:24:49 --startdatetime 2017-12-31T16:30:31 --delay 64 --endMP 204:233329 --enddatetime 2017-12-31T17:08:03 --enforcementcount 0 &gt;&gt;%USERPROFILE%\Documents\GitHub\eaglep3-reporting\EC\2017-12-31-refined-times.txt</v>
      </c>
      <c r="AI117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{"issue":{"subject":"","project_id":79,"tracker_id":40,"status_id":1,"priority_id":2,"assigned_to_id":338,"start_date":"2017-12-31","description":"","custom_fields":[{"id":1,"name":"Subdivision","value":"EC"},{"id":4,"name":"Milepost","value":"23.3329"},{"id":17,"name":"Train ID","value":"203-31"},{"id":16,"name":"Locomotive ID","value":"4034"},{"id":130,"name":"Impact","value":""},{"id":150,"name":"Time of Event (Mountain Time)","value":"17:08:03"},{"id":151,"name":"Denver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18"/>
        <v>start /low /b %USERPROFILE%\Documents\GitHub\eaglep3\Utilities\DownloadLogsFromS3.py --loco 4034 --day 2017-12-31</v>
      </c>
      <c r="AN117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00:08:03"},{"id":29,"name":"Sharepoint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20"/>
        <v>https://d0f6bd738d7f1b3e5a7ca70fe4ff75f0.us-east-1.aws.found.io/app/kibana#/discover/Steve-Slow-Train-Analysis-(2080s-and-2083s)?_g=(refreshInterval:(display:Off,pause:!f,section:0,value:0),time:(from:'2017-12-31T15:24:49-0700',mode:absolute,to:'2017-12-31T18:08:03-0700'))&amp;_a=(columns:!('Message%20ID',Summary),filters:!(),index:'emp_*',interval:auto,query:(query_string:(analyze_wildcard:!t,query:'%22rtdc.l.rtdc.4034%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229" t="s">
        <v>832</v>
      </c>
      <c r="B118" s="225">
        <v>4033</v>
      </c>
      <c r="C118" s="227" t="s">
        <v>192</v>
      </c>
      <c r="D118" s="227" t="s">
        <v>659</v>
      </c>
      <c r="E118" s="226">
        <v>43100.725810185184</v>
      </c>
      <c r="F118" s="226">
        <v>43100.727743055555</v>
      </c>
      <c r="G118" s="225">
        <v>65</v>
      </c>
      <c r="H118" s="227" t="s">
        <v>442</v>
      </c>
      <c r="I118" s="226">
        <v>43100.755671296298</v>
      </c>
      <c r="J118" s="225">
        <v>0</v>
      </c>
      <c r="K118" s="237" t="str">
        <f>IF(ISEVEN(B118),(B118-1)&amp;"/"&amp;B118,B118&amp;"/"&amp;(B118+1))</f>
        <v>4033/4034</v>
      </c>
      <c r="L118" s="245" t="str">
        <f>VLOOKUP(A118,'Trips&amp;Operators'!$C$1:$G$99911,5,FALSE)</f>
        <v>DAVIS MICHAEL</v>
      </c>
      <c r="M118" s="224">
        <f>I118-F118</f>
        <v>2.792824074276723E-2</v>
      </c>
      <c r="N118" s="225">
        <f>24*60*SUM($M118:$M118)</f>
        <v>40.216666669584811</v>
      </c>
      <c r="O118" s="225"/>
      <c r="P118" s="225"/>
      <c r="Q118" s="228"/>
      <c r="R118" s="242" t="s">
        <v>667</v>
      </c>
      <c r="S118" s="249">
        <f>1/IF(AG118="EC",12,1)*SUM(U118:U118)</f>
        <v>1</v>
      </c>
      <c r="T118" s="242" t="str">
        <f>IF(ISEVEN(LEFT(AD118,4)),"Southbound","NorthBound")</f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-31T16:25:10-0700',mode:absolute,to:'2017-12-31T19:08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23.300599999999999</v>
      </c>
      <c r="Z118" s="247">
        <f>RIGHT(H118,LEN(H118)-4)/10000</f>
        <v>2.07E-2</v>
      </c>
      <c r="AA118" s="247">
        <f>ABS(Z118-Y118)</f>
        <v>23.279899999999998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204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/stypes="app*4033*20180101*" /stext=" 01:.+((SYSTEM_STATE.+slice.+state.+changed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6"/>
        <v>"%USERPROFILE%\Documents\GitHub\eaglep3\Utilities\RefineRTDCRunTimes.py" --tripid 204-31 --locoid 4033 --swversion DE.1.0.9.0 --startMP 204:233006 --initTime 2017-12-31T17:25:10 --startdatetime 2017-12-31T17:27:57 --delay 65 --endMP 204:207 --enddatetime 2017-12-31T18:08:10 --enforcementcount 0 &gt;&gt;%USERPROFILE%\Documents\GitHub\eaglep3-reporting\EC\2017-12-31-refined-times.txt</v>
      </c>
      <c r="AI118" s="238" t="str">
        <f t="shared" si="17"/>
        <v>echo {"issue":{"subject":"Observed unhealthy xing banner at Chambers due to station stop","project_id":79,"tracker_id":40,"status_id":1,"priority_id":2,"assigned_to_id":338,"start_date":"2017-12-31","description":"","custom_fields":[{"id":1,"name":"Subdivision","value":"EC"},{"id":4,"name":"Milepost","value":"0.0207"},{"id":17,"name":"Train ID","value":"204-31"},{"id":16,"name":"Locomotive ID","value":"4033"},{"id":130,"name":"Impact","value":""},{"id":150,"name":"Time of Event (Mountain Time)","value":"18:08:10"},{"id":151,"name":"Denver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18"/>
        <v>start /low /b %USERPROFILE%\Documents\GitHub\eaglep3\Utilities\DownloadLogsFromS3.py --loco 4033 --day 2017-12-31</v>
      </c>
      <c r="AN118" s="241" t="str">
        <f t="shared" si="19"/>
        <v>echo {"issue":{"subject":"Observed unhealthy xing banner at Chambers due to station stop","project_id":30,"tracker_id":4,"status_id":1,"priority_id":1,"assigned_to_id":10,"start_date":"2018-01-01","description":"","custom_fields":[{"id":30,"name":"Category","value":"Issue"},{"id":3,"name":"Functional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01:08:10"},{"id":29,"name":"Sharepoint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20"/>
        <v>https://d0f6bd738d7f1b3e5a7ca70fe4ff75f0.us-east-1.aws.found.io/app/kibana#/discover/Steve-Slow-Train-Analysis-(2080s-and-2083s)?_g=(refreshInterval:(display:Off,pause:!f,section:0,value:0),time:(from:'2017-12-31T16:25:10-0700',mode:absolute,to:'2017-12-31T19:08:10-0700'))&amp;_a=(columns:!('Message%20ID',Summary),filters:!(),index:'emp_*',interval:auto,query:(query_string:(analyze_wildcard:!t,query:'%22rtdc.l.rtdc.4033%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3">
      <c r="A119" s="229" t="s">
        <v>825</v>
      </c>
      <c r="B119" s="225">
        <v>4062</v>
      </c>
      <c r="C119" s="227" t="s">
        <v>192</v>
      </c>
      <c r="D119" s="227" t="s">
        <v>974</v>
      </c>
      <c r="E119" s="226">
        <v>43100.695856481485</v>
      </c>
      <c r="F119" s="226">
        <v>43100.698287037034</v>
      </c>
      <c r="G119" s="225">
        <v>64</v>
      </c>
      <c r="H119" s="227" t="s">
        <v>975</v>
      </c>
      <c r="I119" s="226">
        <v>43100.723182870373</v>
      </c>
      <c r="J119" s="225">
        <v>0</v>
      </c>
      <c r="K119" s="237" t="str">
        <f>IF(ISEVEN(B119),(B119-1)&amp;"/"&amp;B119,B119&amp;"/"&amp;(B119+1))</f>
        <v>4061/4062</v>
      </c>
      <c r="L119" s="245" t="str">
        <f>VLOOKUP(A119,'Trips&amp;Operators'!$C$1:$G$99911,5,FALSE)</f>
        <v>SAFIEF AEIMEN</v>
      </c>
      <c r="M119" s="224">
        <f>I119-F119</f>
        <v>2.489583333954215E-2</v>
      </c>
      <c r="N119" s="225">
        <f>24*60*SUM($M119:$M119)</f>
        <v>35.850000008940697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-31T15:42:02-0700',mode:absolute,to:'2017-12-31T18:21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5.2600000000000001E-2</v>
      </c>
      <c r="Z119" s="247">
        <f>RIGHT(H119,LEN(H119)-4)/10000</f>
        <v>23.331099999999999</v>
      </c>
      <c r="AA119" s="247">
        <f>ABS(Z119-Y119)</f>
        <v>23.278499999999998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205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 &amp; 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/stypes="app*4062*20180101*" /stext=" 00:.+((SYSTEM_STATE.+slice.+state.+changed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6"/>
        <v>"%USERPROFILE%\Documents\GitHub\eaglep3\Utilities\RefineRTDCRunTimes.py" --tripid 205-31 --locoid 4062 --swversion DE.1.0.9.0 --startMP 204:526 --initTime 2017-12-31T16:42:02 --startdatetime 2017-12-31T16:45:32 --delay 64 --endMP 204:233311 --enddatetime 2017-12-31T17:21:23 --enforcementcount 0 &gt;&gt;%USERPROFILE%\Documents\GitHub\eaglep3-reporting\EC\2017-12-31-refined-times.txt</v>
      </c>
      <c r="AI119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{"issue":{"subject":"","project_id":79,"tracker_id":40,"status_id":1,"priority_id":2,"assigned_to_id":338,"start_date":"2017-12-31","description":"","custom_fields":[{"id":1,"name":"Subdivision","value":"EC"},{"id":4,"name":"Milepost","value":"23.3311"},{"id":17,"name":"Train ID","value":"205-31"},{"id":16,"name":"Locomotive ID","value":"4062"},{"id":130,"name":"Impact","value":""},{"id":150,"name":"Time of Event (Mountain Time)","value":"17:21:23"},{"id":151,"name":"Denver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18"/>
        <v>start /low /b %USERPROFILE%\Documents\GitHub\eaglep3\Utilities\DownloadLogsFromS3.py --loco 4062 --day 2017-12-31</v>
      </c>
      <c r="AN119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00:21:23"},{"id":29,"name":"Sharepoint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20"/>
        <v>https://d0f6bd738d7f1b3e5a7ca70fe4ff75f0.us-east-1.aws.found.io/app/kibana#/discover/Steve-Slow-Train-Analysis-(2080s-and-2083s)?_g=(refreshInterval:(display:Off,pause:!f,section:0,value:0),time:(from:'2017-12-31T15:42:02-0700',mode:absolute,to:'2017-12-31T18:21:23-0700'))&amp;_a=(columns:!('Message%20ID',Summary),filters:!(),index:'emp_*',interval:auto,query:(query_string:(analyze_wildcard:!t,query:'%22rtdc.l.rtdc.4062%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833</v>
      </c>
      <c r="B120" s="225">
        <v>4061</v>
      </c>
      <c r="C120" s="227" t="s">
        <v>192</v>
      </c>
      <c r="D120" s="227" t="s">
        <v>598</v>
      </c>
      <c r="E120" s="226">
        <v>43100.725659722222</v>
      </c>
      <c r="F120" s="226">
        <v>43100.737766203703</v>
      </c>
      <c r="G120" s="225">
        <v>88</v>
      </c>
      <c r="H120" s="227" t="s">
        <v>630</v>
      </c>
      <c r="I120" s="226">
        <v>43100.763437499998</v>
      </c>
      <c r="J120" s="225">
        <v>0</v>
      </c>
      <c r="K120" s="237" t="str">
        <f>IF(ISEVEN(B120),(B120-1)&amp;"/"&amp;B120,B120&amp;"/"&amp;(B120+1))</f>
        <v>4061/4062</v>
      </c>
      <c r="L120" s="245" t="str">
        <f>VLOOKUP(A120,'Trips&amp;Operators'!$C$1:$G$99911,5,FALSE)</f>
        <v>SAFIEF AEIMEN</v>
      </c>
      <c r="M120" s="224">
        <f>I120-F120</f>
        <v>2.5671296294603962E-2</v>
      </c>
      <c r="N120" s="225">
        <f>24*60*SUM($M120:$M120)</f>
        <v>36.966666664229706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-12-31T16:24:57-0700',mode:absolute,to:'2017-12-31T19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23.298999999999999</v>
      </c>
      <c r="Z120" s="247">
        <f>RIGHT(H120,LEN(H120)-4)/10000</f>
        <v>1.8100000000000002E-2</v>
      </c>
      <c r="AA120" s="247">
        <f>ABS(Z120-Y120)</f>
        <v>23.280899999999999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206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 &amp; aws s3 cp s3://rtdc.mdm.uploadarchive.raw/RTDC4061/ "%USERPROFILE%\AppData\Local\Temp\OnboardLogs"\RTDC4061\2018-01-01 --exclude "*" --recursive --include "*20180101*" &amp; "%USERPROFILE%\Documents\GitHub\mrs-test-scripts\Headless Mode &amp; Sideloading\WalkAndUnGZ.bat" "%USERPROFILE%\AppData\Local\Temp\OnboardLogs"\RTDC4061\2018-01-01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/stypes="app*4061*20180101*" /stext=" 01:.+((SYSTEM_STATE.+slice.+state.+changed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6"/>
        <v>"%USERPROFILE%\Documents\GitHub\eaglep3\Utilities\RefineRTDCRunTimes.py" --tripid 206-31 --locoid 4061 --swversion DE.1.0.9.0 --startMP 204:232990 --initTime 2017-12-31T17:24:57 --startdatetime 2017-12-31T17:42:23 --delay 88 --endMP 204:181 --enddatetime 2017-12-31T18:19:21 --enforcementcount 0 &gt;&gt;%USERPROFILE%\Documents\GitHub\eaglep3-reporting\EC\2017-12-31-refined-times.txt</v>
      </c>
      <c r="AI120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{"issue":{"subject":"","project_id":79,"tracker_id":40,"status_id":1,"priority_id":2,"assigned_to_id":338,"start_date":"2017-12-31","description":"","custom_fields":[{"id":1,"name":"Subdivision","value":"EC"},{"id":4,"name":"Milepost","value":"0.0181"},{"id":17,"name":"Train ID","value":"206-31"},{"id":16,"name":"Locomotive ID","value":"4061"},{"id":130,"name":"Impact","value":""},{"id":150,"name":"Time of Event (Mountain Time)","value":"18:19:21"},{"id":151,"name":"Denver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18"/>
        <v>start /low /b %USERPROFILE%\Documents\GitHub\eaglep3\Utilities\DownloadLogsFromS3.py --loco 4061 --day 2017-12-31</v>
      </c>
      <c r="AN120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01:19:21"},{"id":29,"name":"Sharepoint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20"/>
        <v>https://d0f6bd738d7f1b3e5a7ca70fe4ff75f0.us-east-1.aws.found.io/app/kibana#/discover/Steve-Slow-Train-Analysis-(2080s-and-2083s)?_g=(refreshInterval:(display:Off,pause:!f,section:0,value:0),time:(from:'2017-12-31T16:24:57-0700',mode:absolute,to:'2017-12-31T19:19:21-0700'))&amp;_a=(columns:!('Message%20ID',Summary),filters:!(),index:'emp_*',interval:auto,query:(query_string:(analyze_wildcard:!t,query:'%22rtdc.l.rtdc.4061%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229" t="s">
        <v>826</v>
      </c>
      <c r="B121" s="225">
        <v>4052</v>
      </c>
      <c r="C121" s="227" t="s">
        <v>192</v>
      </c>
      <c r="D121" s="227" t="s">
        <v>556</v>
      </c>
      <c r="E121" s="226">
        <v>43100.702002314814</v>
      </c>
      <c r="F121" s="226">
        <v>43100.708599537036</v>
      </c>
      <c r="G121" s="225">
        <v>52</v>
      </c>
      <c r="H121" s="227" t="s">
        <v>594</v>
      </c>
      <c r="I121" s="226">
        <v>43100.733969907407</v>
      </c>
      <c r="J121" s="225">
        <v>0</v>
      </c>
      <c r="K121" s="237" t="str">
        <f>IF(ISEVEN(B121),(B121-1)&amp;"/"&amp;B121,B121&amp;"/"&amp;(B121+1))</f>
        <v>4051/4052</v>
      </c>
      <c r="L121" s="245" t="str">
        <f>VLOOKUP(A121,'Trips&amp;Operators'!$C$1:$G$99911,5,FALSE)</f>
        <v>GUZMAN DANNY</v>
      </c>
      <c r="M121" s="224">
        <f>I121-F121</f>
        <v>2.5370370371092577E-2</v>
      </c>
      <c r="N121" s="225">
        <f>24*60*SUM($M121:$M121)</f>
        <v>36.53333333437331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-12-31T15:50:53-0700',mode:absolute,to:'2017-12-31T18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5.7700000000000001E-2</v>
      </c>
      <c r="Z121" s="247">
        <f>RIGHT(H121,LEN(H121)-4)/10000</f>
        <v>23.331</v>
      </c>
      <c r="AA121" s="247">
        <f>ABS(Z121-Y121)</f>
        <v>23.273299999999999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207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s3://rtdc.mdm.uploadarchive.raw/RTDC4052/ "%USERPROFILE%\AppData\Local\Temp\OnboardLogs"\RTDC4052\2017-12-31 --exclude "*" --recursive --include "*20171231*" &amp; "%USERPROFILE%\Documents\GitHub\mrs-test-scripts\Headless Mode &amp; Sideloading\WalkAndUnGZ.bat" "%USERPROFILE%\AppData\Local\Temp\OnboardLogs"\RTDC4052\2017-12-31 &amp; aws s3 cp s3://rtdc.mdm.uploadarchive.raw/RTDC4052/ "%USERPROFILE%\AppData\Local\Temp\OnboardLogs"\RTDC4052\2018-01-01 --exclude "*" --recursive --include "*20180101*" &amp; "%USERPROFILE%\Documents\GitHub\mrs-test-scripts\Headless Mode &amp; Sideloading\WalkAndUnGZ.bat" "%USERPROFILE%\AppData\Local\Temp\OnboardLogs"\RTDC4052\2018-01-01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/stypes="app*4052*20180101*" /stext=" 00:.+((SYSTEM_STATE.+slice.+state.+changed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6"/>
        <v>"%USERPROFILE%\Documents\GitHub\eaglep3\Utilities\RefineRTDCRunTimes.py" --tripid 207-31 --locoid 4052 --swversion DE.1.0.9.0 --startMP 204:577 --initTime 2017-12-31T16:50:53 --startdatetime 2017-12-31T17:00:23 --delay 52 --endMP 204:233310 --enddatetime 2017-12-31T17:36:55 --enforcementcount 0 &gt;&gt;%USERPROFILE%\Documents\GitHub\eaglep3-reporting\EC\2017-12-31-refined-times.txt</v>
      </c>
      <c r="AI121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{"issue":{"subject":"","project_id":79,"tracker_id":40,"status_id":1,"priority_id":2,"assigned_to_id":338,"start_date":"2017-12-31","description":"","custom_fields":[{"id":1,"name":"Subdivision","value":"EC"},{"id":4,"name":"Milepost","value":"23.331"},{"id":17,"name":"Train ID","value":"207-31"},{"id":16,"name":"Locomotive ID","value":"4052"},{"id":130,"name":"Impact","value":""},{"id":150,"name":"Time of Event (Mountain Time)","value":"17:36:55"},{"id":151,"name":"Denver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18"/>
        <v>start /low /b %USERPROFILE%\Documents\GitHub\eaglep3\Utilities\DownloadLogsFromS3.py --loco 4052 --day 2017-12-31</v>
      </c>
      <c r="AN121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00:36:55"},{"id":29,"name":"Sharepoint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20"/>
        <v>https://d0f6bd738d7f1b3e5a7ca70fe4ff75f0.us-east-1.aws.found.io/app/kibana#/discover/Steve-Slow-Train-Analysis-(2080s-and-2083s)?_g=(refreshInterval:(display:Off,pause:!f,section:0,value:0),time:(from:'2017-12-31T15:50:53-0700',mode:absolute,to:'2017-12-31T18:36:55-0700'))&amp;_a=(columns:!('Message%20ID',Summary),filters:!(),index:'emp_*',interval:auto,query:(query_string:(analyze_wildcard:!t,query:'%22rtdc.l.rtdc.4052%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29" t="s">
        <v>835</v>
      </c>
      <c r="B122" s="225">
        <v>4051</v>
      </c>
      <c r="C122" s="227" t="s">
        <v>192</v>
      </c>
      <c r="D122" s="227" t="s">
        <v>659</v>
      </c>
      <c r="E122" s="226">
        <v>43100.737708333334</v>
      </c>
      <c r="F122" s="226">
        <v>43100.748101851852</v>
      </c>
      <c r="G122" s="225">
        <v>56</v>
      </c>
      <c r="H122" s="227" t="s">
        <v>883</v>
      </c>
      <c r="I122" s="226">
        <v>43100.773958333331</v>
      </c>
      <c r="J122" s="225">
        <v>0</v>
      </c>
      <c r="K122" s="237" t="str">
        <f>IF(ISEVEN(B122),(B122-1)&amp;"/"&amp;B122,B122&amp;"/"&amp;(B122+1))</f>
        <v>4051/4052</v>
      </c>
      <c r="L122" s="245" t="str">
        <f>VLOOKUP(A122,'Trips&amp;Operators'!$C$1:$G$99911,5,FALSE)</f>
        <v>GUZMAN DANNY</v>
      </c>
      <c r="M122" s="224">
        <f>I122-F122</f>
        <v>2.5856481479422655E-2</v>
      </c>
      <c r="N122" s="225">
        <f>24*60*SUM($M122:$M122)</f>
        <v>37.233333330368623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-12-31T16:42:18-0700',mode:absolute,to:'2017-12-31T19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23.300599999999999</v>
      </c>
      <c r="Z122" s="247">
        <f>RIGHT(H122,LEN(H122)-4)/10000</f>
        <v>1.6500000000000001E-2</v>
      </c>
      <c r="AA122" s="247">
        <f>ABS(Z122-Y122)</f>
        <v>23.284099999999999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208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s3://rtdc.mdm.uploadarchive.raw/RTDC4051/ "%USERPROFILE%\AppData\Local\Temp\OnboardLogs"\RTDC4051\2017-12-31 --exclude "*" --recursive --include "*20171231*" &amp; "%USERPROFILE%\Documents\GitHub\mrs-test-scripts\Headless Mode &amp; Sideloading\WalkAndUnGZ.bat" "%USERPROFILE%\AppData\Local\Temp\OnboardLogs"\RTDC4051\2017-12-31 &amp; aws s3 cp s3://rtdc.mdm.uploadarchive.raw/RTDC4051/ "%USERPROFILE%\AppData\Local\Temp\OnboardLogs"\RTDC4051\2018-01-01 --exclude "*" --recursive --include "*20180101*" &amp; "%USERPROFILE%\Documents\GitHub\mrs-test-scripts\Headless Mode &amp; Sideloading\WalkAndUnGZ.bat" "%USERPROFILE%\AppData\Local\Temp\OnboardLogs"\RTDC4051\2018-01-01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/stypes="app*4051*20180101*" /stext=" 01:.+((SYSTEM_STATE.+slice.+state.+changed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6"/>
        <v>"%USERPROFILE%\Documents\GitHub\eaglep3\Utilities\RefineRTDCRunTimes.py" --tripid 208-31 --locoid 4051 --swversion DE.1.0.9.0 --startMP 204:233006 --initTime 2017-12-31T17:42:18 --startdatetime 2017-12-31T17:57:16 --delay 56 --endMP 204:165 --enddatetime 2017-12-31T18:34:30 --enforcementcount 0 &gt;&gt;%USERPROFILE%\Documents\GitHub\eaglep3-reporting\EC\2017-12-31-refined-times.txt</v>
      </c>
      <c r="AI122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{"issue":{"subject":"","project_id":79,"tracker_id":40,"status_id":1,"priority_id":2,"assigned_to_id":338,"start_date":"2017-12-31","description":"","custom_fields":[{"id":1,"name":"Subdivision","value":"EC"},{"id":4,"name":"Milepost","value":"0.0165"},{"id":17,"name":"Train ID","value":"208-31"},{"id":16,"name":"Locomotive ID","value":"4051"},{"id":130,"name":"Impact","value":""},{"id":150,"name":"Time of Event (Mountain Time)","value":"18:34:30"},{"id":151,"name":"Denver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18"/>
        <v>start /low /b %USERPROFILE%\Documents\GitHub\eaglep3\Utilities\DownloadLogsFromS3.py --loco 4051 --day 2017-12-31</v>
      </c>
      <c r="AN122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01:34:30"},{"id":29,"name":"Sharepoint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20"/>
        <v>https://d0f6bd738d7f1b3e5a7ca70fe4ff75f0.us-east-1.aws.found.io/app/kibana#/discover/Steve-Slow-Train-Analysis-(2080s-and-2083s)?_g=(refreshInterval:(display:Off,pause:!f,section:0,value:0),time:(from:'2017-12-31T16:42:18-0700',mode:absolute,to:'2017-12-31T19:34:30-0700'))&amp;_a=(columns:!('Message%20ID',Summary),filters:!(),index:'emp_*',interval:auto,query:(query_string:(analyze_wildcard:!t,query:'%22rtdc.l.rtdc.4051%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830</v>
      </c>
      <c r="B123" s="225">
        <v>4044</v>
      </c>
      <c r="C123" s="227" t="s">
        <v>192</v>
      </c>
      <c r="D123" s="227" t="s">
        <v>522</v>
      </c>
      <c r="E123" s="226">
        <v>43100.713009259256</v>
      </c>
      <c r="F123" s="226">
        <v>43100.719212962962</v>
      </c>
      <c r="G123" s="225">
        <v>82</v>
      </c>
      <c r="H123" s="227" t="s">
        <v>976</v>
      </c>
      <c r="I123" s="226">
        <v>43100.744143518517</v>
      </c>
      <c r="J123" s="225">
        <v>0</v>
      </c>
      <c r="K123" s="237" t="str">
        <f>IF(ISEVEN(B123),(B123-1)&amp;"/"&amp;B123,B123&amp;"/"&amp;(B123+1))</f>
        <v>4043/4044</v>
      </c>
      <c r="L123" s="245" t="str">
        <f>VLOOKUP(A123,'Trips&amp;Operators'!$C$1:$G$99911,5,FALSE)</f>
        <v>STAMBAUGH JAMES</v>
      </c>
      <c r="M123" s="224">
        <f>I123-F123</f>
        <v>2.4930555555329192E-2</v>
      </c>
      <c r="N123" s="225">
        <f>24*60*SUM($M123:$M123)</f>
        <v>35.899999999674037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-31T16:06:44-0700',mode:absolute,to:'2017-12-31T18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4.9299999999999997E-2</v>
      </c>
      <c r="Z123" s="247">
        <f>RIGHT(H123,LEN(H123)-4)/10000</f>
        <v>23.330100000000002</v>
      </c>
      <c r="AA123" s="247">
        <f>ABS(Z123-Y123)</f>
        <v>23.280800000000003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209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s3://rtdc.mdm.uploadarchive.raw/RTDC4044/ "%USERPROFILE%\AppData\Local\Temp\OnboardLogs"\RTDC4044\2017-12-31 --exclude "*" --recursive --include "*20171231*" &amp; "%USERPROFILE%\Documents\GitHub\mrs-test-scripts\Headless Mode &amp; Sideloading\WalkAndUnGZ.bat" "%USERPROFILE%\AppData\Local\Temp\OnboardLogs"\RTDC4044\2017-12-31 &amp; aws s3 cp s3://rtdc.mdm.uploadarchive.raw/RTDC4044/ "%USERPROFILE%\AppData\Local\Temp\OnboardLogs"\RTDC4044\2018-01-01 --exclude "*" --recursive --include "*20180101*" &amp; "%USERPROFILE%\Documents\GitHub\mrs-test-scripts\Headless Mode &amp; Sideloading\WalkAndUnGZ.bat" "%USERPROFILE%\AppData\Local\Temp\OnboardLogs"\RTDC4044\2018-01-01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/stypes="app*4044*20180101*" /stext=" 00:.+((SYSTEM_STATE.+slice.+state.+changed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6"/>
        <v>"%USERPROFILE%\Documents\GitHub\eaglep3\Utilities\RefineRTDCRunTimes.py" --tripid 209-31 --locoid 4044 --swversion DE.1.0.9.0 --startMP 204:493 --initTime 2017-12-31T17:06:44 --startdatetime 2017-12-31T17:15:40 --delay 82 --endMP 204:233301 --enddatetime 2017-12-31T17:51:34 --enforcementcount 0 &gt;&gt;%USERPROFILE%\Documents\GitHub\eaglep3-reporting\EC\2017-12-31-refined-times.txt</v>
      </c>
      <c r="AI123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{"issue":{"subject":"","project_id":79,"tracker_id":40,"status_id":1,"priority_id":2,"assigned_to_id":338,"start_date":"2017-12-31","description":"","custom_fields":[{"id":1,"name":"Subdivision","value":"EC"},{"id":4,"name":"Milepost","value":"23.3301"},{"id":17,"name":"Train ID","value":"209-31"},{"id":16,"name":"Locomotive ID","value":"4044"},{"id":130,"name":"Impact","value":""},{"id":150,"name":"Time of Event (Mountain Time)","value":"17:51:34"},{"id":151,"name":"Denver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18"/>
        <v>start /low /b %USERPROFILE%\Documents\GitHub\eaglep3\Utilities\DownloadLogsFromS3.py --loco 4044 --day 2017-12-31</v>
      </c>
      <c r="AN123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00:51:34"},{"id":29,"name":"Sharepoint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20"/>
        <v>https://d0f6bd738d7f1b3e5a7ca70fe4ff75f0.us-east-1.aws.found.io/app/kibana#/discover/Steve-Slow-Train-Analysis-(2080s-and-2083s)?_g=(refreshInterval:(display:Off,pause:!f,section:0,value:0),time:(from:'2017-12-31T16:06:44-0700',mode:absolute,to:'2017-12-31T18:51:34-0700'))&amp;_a=(columns:!('Message%20ID',Summary),filters:!(),index:'emp_*',interval:auto,query:(query_string:(analyze_wildcard:!t,query:'%22rtdc.l.rtdc.4044%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839</v>
      </c>
      <c r="B124" s="225">
        <v>4043</v>
      </c>
      <c r="C124" s="227" t="s">
        <v>192</v>
      </c>
      <c r="D124" s="227" t="s">
        <v>860</v>
      </c>
      <c r="E124" s="226">
        <v>43100.752175925925</v>
      </c>
      <c r="F124" s="226">
        <v>43100.758564814816</v>
      </c>
      <c r="G124" s="225">
        <v>97</v>
      </c>
      <c r="H124" s="227" t="s">
        <v>977</v>
      </c>
      <c r="I124" s="226">
        <v>43100.783692129633</v>
      </c>
      <c r="J124" s="225">
        <v>0</v>
      </c>
      <c r="K124" s="237" t="str">
        <f>IF(ISEVEN(B124),(B124-1)&amp;"/"&amp;B124,B124&amp;"/"&amp;(B124+1))</f>
        <v>4043/4044</v>
      </c>
      <c r="L124" s="245" t="str">
        <f>VLOOKUP(A124,'Trips&amp;Operators'!$C$1:$G$99911,5,FALSE)</f>
        <v>STAMBAUGH JAMES</v>
      </c>
      <c r="M124" s="224">
        <f>I124-F124</f>
        <v>2.5127314816927537E-2</v>
      </c>
      <c r="N124" s="225">
        <f>24*60*SUM($M124:$M124)</f>
        <v>36.183333336375654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-12-31T17:03:08-0700',mode:absolute,to:'2017-12-31T19:48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23.2986</v>
      </c>
      <c r="Z124" s="247">
        <f>RIGHT(H124,LEN(H124)-4)/10000</f>
        <v>0.1207</v>
      </c>
      <c r="AA124" s="247">
        <f>ABS(Z124-Y124)</f>
        <v>23.177900000000001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210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/stypes="app*4043*20180101*"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6"/>
        <v>"%USERPROFILE%\Documents\GitHub\eaglep3\Utilities\RefineRTDCRunTimes.py" --tripid 210-31 --locoid 4043 --swversion DE.1.0.9.0 --startMP 204:232986 --initTime 2017-12-31T18:03:08 --startdatetime 2017-12-31T18:12:20 --delay 97 --endMP 204:1207 --enddatetime 2017-12-31T18:48:31 --enforcementcount 0 &gt;&gt;%USERPROFILE%\Documents\GitHub\eaglep3-reporting\EC\2017-12-31-refined-times.txt</v>
      </c>
      <c r="AI124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{"issue":{"subject":"","project_id":79,"tracker_id":40,"status_id":1,"priority_id":2,"assigned_to_id":338,"start_date":"2017-12-31","description":"","custom_fields":[{"id":1,"name":"Subdivision","value":"EC"},{"id":4,"name":"Milepost","value":"0.1207"},{"id":17,"name":"Train ID","value":"210-31"},{"id":16,"name":"Locomotive ID","value":"4043"},{"id":130,"name":"Impact","value":""},{"id":150,"name":"Time of Event (Mountain Time)","value":"18:48:31"},{"id":151,"name":"Denver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18"/>
        <v>start /low /b %USERPROFILE%\Documents\GitHub\eaglep3\Utilities\DownloadLogsFromS3.py --loco 4043 --day 2017-12-31</v>
      </c>
      <c r="AN124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01:48:31"},{"id":29,"name":"Sharepoint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20"/>
        <v>https://d0f6bd738d7f1b3e5a7ca70fe4ff75f0.us-east-1.aws.found.io/app/kibana#/discover/Steve-Slow-Train-Analysis-(2080s-and-2083s)?_g=(refreshInterval:(display:Off,pause:!f,section:0,value:0),time:(from:'2017-12-31T17:03:08-0700',mode:absolute,to:'2017-12-31T19:48:31-0700'))&amp;_a=(columns:!('Message%20ID',Summary),filters:!(),index:'emp_*',interval:auto,query:(query_string:(analyze_wildcard:!t,query:'%22rtdc.l.rtdc.4043%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29" t="s">
        <v>831</v>
      </c>
      <c r="B125" s="225">
        <v>4002</v>
      </c>
      <c r="C125" s="227" t="s">
        <v>192</v>
      </c>
      <c r="D125" s="227" t="s">
        <v>509</v>
      </c>
      <c r="E125" s="226">
        <v>43100.725324074076</v>
      </c>
      <c r="F125" s="226">
        <v>43100.729328703703</v>
      </c>
      <c r="G125" s="225">
        <v>63</v>
      </c>
      <c r="H125" s="227" t="s">
        <v>978</v>
      </c>
      <c r="I125" s="226">
        <v>43100.753865740742</v>
      </c>
      <c r="J125" s="225">
        <v>0</v>
      </c>
      <c r="K125" s="237" t="str">
        <f>IF(ISEVEN(B125),(B125-1)&amp;"/"&amp;B125,B125&amp;"/"&amp;(B125+1))</f>
        <v>4001/4002</v>
      </c>
      <c r="L125" s="245" t="str">
        <f>VLOOKUP(A125,'Trips&amp;Operators'!$C$1:$G$99911,5,FALSE)</f>
        <v>GONZALEZ ARMANDO</v>
      </c>
      <c r="M125" s="224">
        <f>I125-F125</f>
        <v>2.453703703940846E-2</v>
      </c>
      <c r="N125" s="225">
        <f>24*60*SUM($M125:$M125)</f>
        <v>35.333333336748183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-31T16:24:28-0700',mode:absolute,to:'2017-12-31T19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5.1700000000000003E-2</v>
      </c>
      <c r="Z125" s="247">
        <f>RIGHT(H125,LEN(H125)-4)/10000</f>
        <v>23.336400000000001</v>
      </c>
      <c r="AA125" s="247">
        <f>ABS(Z125-Y125)</f>
        <v>23.284700000000001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211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s3://rtdc.mdm.uploadarchive.raw/RTDC4002/ "%USERPROFILE%\AppData\Local\Temp\OnboardLogs"\RTDC4002\2017-12-31 --exclude "*" --recursive --include "*20171231*" &amp; "%USERPROFILE%\Documents\GitHub\mrs-test-scripts\Headless Mode &amp; Sideloading\WalkAndUnGZ.bat" "%USERPROFILE%\AppData\Local\Temp\OnboardLogs"\RTDC4002\2017-12-31 &amp; aws s3 cp s3://rtdc.mdm.uploadarchive.raw/RTDC4002/ "%USERPROFILE%\AppData\Local\Temp\OnboardLogs"\RTDC4002\2018-01-01 --exclude "*" --recursive --include "*20180101*" &amp; "%USERPROFILE%\Documents\GitHub\mrs-test-scripts\Headless Mode &amp; Sideloading\WalkAndUnGZ.bat" "%USERPROFILE%\AppData\Local\Temp\OnboardLogs"\RTDC4002\2018-01-01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/stypes="app*4002*20180101*"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6"/>
        <v>"%USERPROFILE%\Documents\GitHub\eaglep3\Utilities\RefineRTDCRunTimes.py" --tripid 211-31 --locoid 4002 --swversion DE.1.0.9.0 --startMP 204:517 --initTime 2017-12-31T17:24:28 --startdatetime 2017-12-31T17:30:14 --delay 63 --endMP 204:233364 --enddatetime 2017-12-31T18:05:34 --enforcementcount 0 &gt;&gt;%USERPROFILE%\Documents\GitHub\eaglep3-reporting\EC\2017-12-31-refined-times.txt</v>
      </c>
      <c r="AI125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{"issue":{"subject":"","project_id":79,"tracker_id":40,"status_id":1,"priority_id":2,"assigned_to_id":338,"start_date":"2017-12-31","description":"","custom_fields":[{"id":1,"name":"Subdivision","value":"EC"},{"id":4,"name":"Milepost","value":"23.3364"},{"id":17,"name":"Train ID","value":"211-31"},{"id":16,"name":"Locomotive ID","value":"4002"},{"id":130,"name":"Impact","value":""},{"id":150,"name":"Time of Event (Mountain Time)","value":"18:05:34"},{"id":151,"name":"Denver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18"/>
        <v>start /low /b %USERPROFILE%\Documents\GitHub\eaglep3\Utilities\DownloadLogsFromS3.py --loco 4002 --day 2017-12-31</v>
      </c>
      <c r="AN125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01:05:34"},{"id":29,"name":"Sharepoint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20"/>
        <v>https://d0f6bd738d7f1b3e5a7ca70fe4ff75f0.us-east-1.aws.found.io/app/kibana#/discover/Steve-Slow-Train-Analysis-(2080s-and-2083s)?_g=(refreshInterval:(display:Off,pause:!f,section:0,value:0),time:(from:'2017-12-31T16:24:28-0700',mode:absolute,to:'2017-12-31T19:05:34-0700'))&amp;_a=(columns:!('Message%20ID',Summary),filters:!(),index:'emp_*',interval:auto,query:(query_string:(analyze_wildcard:!t,query:'%22rtdc.l.rtdc.4002%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3">
      <c r="A126" s="229" t="s">
        <v>842</v>
      </c>
      <c r="B126" s="225">
        <v>4001</v>
      </c>
      <c r="C126" s="227" t="s">
        <v>192</v>
      </c>
      <c r="D126" s="227" t="s">
        <v>661</v>
      </c>
      <c r="E126" s="226">
        <v>43100.763043981482</v>
      </c>
      <c r="F126" s="226">
        <v>43100.768946759257</v>
      </c>
      <c r="G126" s="225">
        <v>80</v>
      </c>
      <c r="H126" s="227" t="s">
        <v>652</v>
      </c>
      <c r="I126" s="226">
        <v>43100.794942129629</v>
      </c>
      <c r="J126" s="225">
        <v>0</v>
      </c>
      <c r="K126" s="237" t="str">
        <f>IF(ISEVEN(B126),(B126-1)&amp;"/"&amp;B126,B126&amp;"/"&amp;(B126+1))</f>
        <v>4001/4002</v>
      </c>
      <c r="L126" s="245" t="str">
        <f>VLOOKUP(A126,'Trips&amp;Operators'!$C$1:$G$99911,5,FALSE)</f>
        <v>GONZALEZ ARMANDO</v>
      </c>
      <c r="M126" s="224">
        <f>I126-F126</f>
        <v>2.5995370371674653E-2</v>
      </c>
      <c r="N126" s="225">
        <f>24*60*SUM($M126:$M126)</f>
        <v>37.433333335211501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-31T17:18:47-0700',mode:absolute,to:'2017-12-31T20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23.302800000000001</v>
      </c>
      <c r="Z126" s="247">
        <f>RIGHT(H126,LEN(H126)-4)/10000</f>
        <v>1.78E-2</v>
      </c>
      <c r="AA126" s="247">
        <f>ABS(Z126-Y126)</f>
        <v>23.285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212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s3://rtdc.mdm.uploadarchive.raw/RTDC4001/ "%USERPROFILE%\AppData\Local\Temp\OnboardLogs"\RTDC4001\2017-12-31 --exclude "*" --recursive --include "*20171231*" &amp; "%USERPROFILE%\Documents\GitHub\mrs-test-scripts\Headless Mode &amp; Sideloading\WalkAndUnGZ.bat" "%USERPROFILE%\AppData\Local\Temp\OnboardLogs"\RTDC4001\2017-12-31 &amp; aws s3 cp s3://rtdc.mdm.uploadarchive.raw/RTDC4001/ "%USERPROFILE%\AppData\Local\Temp\OnboardLogs"\RTDC4001\2018-01-01 --exclude "*" --recursive --include "*20180101*" &amp; "%USERPROFILE%\Documents\GitHub\mrs-test-scripts\Headless Mode &amp; Sideloading\WalkAndUnGZ.bat" "%USERPROFILE%\AppData\Local\Temp\OnboardLogs"\RTDC4001\2018-01-01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/stypes="app*4001*20180101*" /stext=" 02:.+((SYSTEM_STATE.+slice.+state.+changed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6"/>
        <v>"%USERPROFILE%\Documents\GitHub\eaglep3\Utilities\RefineRTDCRunTimes.py" --tripid 212-31 --locoid 4001 --swversion DE.1.0.9.0 --startMP 204:233028 --initTime 2017-12-31T18:18:47 --startdatetime 2017-12-31T18:27:17 --delay 80 --endMP 204:178 --enddatetime 2017-12-31T19:04:43 --enforcementcount 0 &gt;&gt;%USERPROFILE%\Documents\GitHub\eaglep3-reporting\EC\2017-12-31-refined-times.txt</v>
      </c>
      <c r="AI126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{"issue":{"subject":"","project_id":79,"tracker_id":40,"status_id":1,"priority_id":2,"assigned_to_id":338,"start_date":"2017-12-31","description":"","custom_fields":[{"id":1,"name":"Subdivision","value":"EC"},{"id":4,"name":"Milepost","value":"0.0178"},{"id":17,"name":"Train ID","value":"212-31"},{"id":16,"name":"Locomotive ID","value":"4001"},{"id":130,"name":"Impact","value":""},{"id":150,"name":"Time of Event (Mountain Time)","value":"19:04:43"},{"id":151,"name":"Denver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18"/>
        <v>start /low /b %USERPROFILE%\Documents\GitHub\eaglep3\Utilities\DownloadLogsFromS3.py --loco 4001 --day 2017-12-31</v>
      </c>
      <c r="AN126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20"/>
        <v>https://d0f6bd738d7f1b3e5a7ca70fe4ff75f0.us-east-1.aws.found.io/app/kibana#/discover/Steve-Slow-Train-Analysis-(2080s-and-2083s)?_g=(refreshInterval:(display:Off,pause:!f,section:0,value:0),time:(from:'2017-12-31T17:18:47-0700',mode:absolute,to:'2017-12-31T20:04:43-0700'))&amp;_a=(columns:!('Message%20ID',Summary),filters:!(),index:'emp_*',interval:auto,query:(query_string:(analyze_wildcard:!t,query:'%22rtdc.l.rtdc.4001%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836</v>
      </c>
      <c r="B127" s="225">
        <v>4018</v>
      </c>
      <c r="C127" s="227" t="s">
        <v>192</v>
      </c>
      <c r="D127" s="227" t="s">
        <v>553</v>
      </c>
      <c r="E127" s="226">
        <v>43100.737384259257</v>
      </c>
      <c r="F127" s="226">
        <v>43100.739768518521</v>
      </c>
      <c r="G127" s="225">
        <v>97</v>
      </c>
      <c r="H127" s="227" t="s">
        <v>527</v>
      </c>
      <c r="I127" s="226">
        <v>43100.764675925922</v>
      </c>
      <c r="J127" s="225">
        <v>0</v>
      </c>
      <c r="K127" s="237" t="str">
        <f>IF(ISEVEN(B127),(B127-1)&amp;"/"&amp;B127,B127&amp;"/"&amp;(B127+1))</f>
        <v>4017/4018</v>
      </c>
      <c r="L127" s="245" t="str">
        <f>VLOOKUP(A127,'Trips&amp;Operators'!$C$1:$G$99911,5,FALSE)</f>
        <v>LOZA FIDEL</v>
      </c>
      <c r="M127" s="224">
        <f>I127-F127</f>
        <v>2.4907407401769888E-2</v>
      </c>
      <c r="N127" s="225">
        <f>24*60*SUM($M127:$M127)</f>
        <v>35.866666658548638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-31T16:41:50-0700',mode:absolute,to:'2017-12-31T19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4.8899999999999999E-2</v>
      </c>
      <c r="Z127" s="247">
        <f>RIGHT(H127,LEN(H127)-4)/10000</f>
        <v>23.3278</v>
      </c>
      <c r="AA127" s="247">
        <f>ABS(Z127-Y127)</f>
        <v>23.2789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213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/stypes="app*4018*20180101*" /stext=" 01:.+((SYSTEM_STATE.+slice.+state.+changed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6"/>
        <v>"%USERPROFILE%\Documents\GitHub\eaglep3\Utilities\RefineRTDCRunTimes.py" --tripid 213-31 --locoid 4018 --swversion DE.1.0.9.0 --startMP 204:489 --initTime 2017-12-31T17:41:50 --startdatetime 2017-12-31T17:45:16 --delay 97 --endMP 204:233278 --enddatetime 2017-12-31T18:21:08 --enforcementcount 0 &gt;&gt;%USERPROFILE%\Documents\GitHub\eaglep3-reporting\EC\2017-12-31-refined-times.txt</v>
      </c>
      <c r="AI127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{"issue":{"subject":"","project_id":79,"tracker_id":40,"status_id":1,"priority_id":2,"assigned_to_id":338,"start_date":"2017-12-31","description":"","custom_fields":[{"id":1,"name":"Subdivision","value":"EC"},{"id":4,"name":"Milepost","value":"23.3278"},{"id":17,"name":"Train ID","value":"213-31"},{"id":16,"name":"Locomotive ID","value":"4018"},{"id":130,"name":"Impact","value":""},{"id":150,"name":"Time of Event (Mountain Time)","value":"18:21:08"},{"id":151,"name":"Denver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18"/>
        <v>start /low /b %USERPROFILE%\Documents\GitHub\eaglep3\Utilities\DownloadLogsFromS3.py --loco 4018 --day 2017-12-31</v>
      </c>
      <c r="AN127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01:21:08"},{"id":29,"name":"Sharepoint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20"/>
        <v>https://d0f6bd738d7f1b3e5a7ca70fe4ff75f0.us-east-1.aws.found.io/app/kibana#/discover/Steve-Slow-Train-Analysis-(2080s-and-2083s)?_g=(refreshInterval:(display:Off,pause:!f,section:0,value:0),time:(from:'2017-12-31T16:41:50-0700',mode:absolute,to:'2017-12-31T19:21:08-0700'))&amp;_a=(columns:!('Message%20ID',Summary),filters:!(),index:'emp_*',interval:auto,query:(query_string:(analyze_wildcard:!t,query:'%22rtdc.l.rtdc.4018%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398</v>
      </c>
      <c r="B128" s="225">
        <v>4017</v>
      </c>
      <c r="C128" s="227" t="s">
        <v>192</v>
      </c>
      <c r="D128" s="227" t="s">
        <v>591</v>
      </c>
      <c r="E128" s="226">
        <v>43100.776145833333</v>
      </c>
      <c r="F128" s="226">
        <v>43100.779374999998</v>
      </c>
      <c r="G128" s="225">
        <v>129</v>
      </c>
      <c r="H128" s="227" t="s">
        <v>517</v>
      </c>
      <c r="I128" s="226">
        <v>43100.805914351855</v>
      </c>
      <c r="J128" s="225">
        <v>0</v>
      </c>
      <c r="K128" s="237" t="str">
        <f>IF(ISEVEN(B128),(B128-1)&amp;"/"&amp;B128,B128&amp;"/"&amp;(B128+1))</f>
        <v>4017/4018</v>
      </c>
      <c r="L128" s="245" t="str">
        <f>VLOOKUP(A128,'Trips&amp;Operators'!$C$1:$G$99911,5,FALSE)</f>
        <v>LOZA FIDEL</v>
      </c>
      <c r="M128" s="224">
        <f>I128-F128</f>
        <v>2.6539351856627036E-2</v>
      </c>
      <c r="N128" s="225">
        <f>24*60*SUM($M128:$M128)</f>
        <v>38.216666673542932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-12-31T17:37:39-0700',mode:absolute,to:'2017-12-31T20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23.296099999999999</v>
      </c>
      <c r="Z128" s="247">
        <f>RIGHT(H128,LEN(H128)-4)/10000</f>
        <v>4.82E-2</v>
      </c>
      <c r="AA128" s="247">
        <f>ABS(Z128-Y128)</f>
        <v>23.247899999999998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214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s3://rtdc.mdm.uploadarchive.raw/RTDC4017/ "%USERPROFILE%\AppData\Local\Temp\OnboardLogs"\RTDC4017\2017-12-31 --exclude "*" --recursive --include "*20171231*" &amp; "%USERPROFILE%\Documents\GitHub\mrs-test-scripts\Headless Mode &amp; Sideloading\WalkAndUnGZ.bat" "%USERPROFILE%\AppData\Local\Temp\OnboardLogs"\RTDC4017\2017-12-31 &amp; aws s3 cp s3://rtdc.mdm.uploadarchive.raw/RTDC4017/ "%USERPROFILE%\AppData\Local\Temp\OnboardLogs"\RTDC4017\2018-01-01 --exclude "*" --recursive --include "*20180101*" &amp; "%USERPROFILE%\Documents\GitHub\mrs-test-scripts\Headless Mode &amp; Sideloading\WalkAndUnGZ.bat" "%USERPROFILE%\AppData\Local\Temp\OnboardLogs"\RTDC4017\2018-01-01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/stypes="app*4017*20180101*" /stext=" 02:.+((SYSTEM_STATE.+slice.+state.+changed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6"/>
        <v>"%USERPROFILE%\Documents\GitHub\eaglep3\Utilities\RefineRTDCRunTimes.py" --tripid 214-31 --locoid 4017 --swversion DE.1.0.9.0 --startMP 204:232961 --initTime 2017-12-31T18:37:39 --startdatetime 2017-12-31T18:42:18 --delay 129 --endMP 204:482 --enddatetime 2017-12-31T19:20:31 --enforcementcount 0 &gt;&gt;%USERPROFILE%\Documents\GitHub\eaglep3-reporting\EC\2017-12-31-refined-times.txt</v>
      </c>
      <c r="AI128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{"issue":{"subject":"","project_id":79,"tracker_id":40,"status_id":1,"priority_id":2,"assigned_to_id":338,"start_date":"2017-12-31","description":"","custom_fields":[{"id":1,"name":"Subdivision","value":"EC"},{"id":4,"name":"Milepost","value":"0.0482"},{"id":17,"name":"Train ID","value":"214-31"},{"id":16,"name":"Locomotive ID","value":"4017"},{"id":130,"name":"Impact","value":""},{"id":150,"name":"Time of Event (Mountain Time)","value":"19:20:31"},{"id":151,"name":"Denver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18"/>
        <v>start /low /b %USERPROFILE%\Documents\GitHub\eaglep3\Utilities\DownloadLogsFromS3.py --loco 4017 --day 2017-12-31</v>
      </c>
      <c r="AN128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20"/>
        <v>https://d0f6bd738d7f1b3e5a7ca70fe4ff75f0.us-east-1.aws.found.io/app/kibana#/discover/Steve-Slow-Train-Analysis-(2080s-and-2083s)?_g=(refreshInterval:(display:Off,pause:!f,section:0,value:0),time:(from:'2017-12-31T17:37:39-0700',mode:absolute,to:'2017-12-31T20:20:31-0700'))&amp;_a=(columns:!('Message%20ID',Summary),filters:!(),index:'emp_*',interval:auto,query:(query_string:(analyze_wildcard:!t,query:'%22rtdc.l.rtdc.4017%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837</v>
      </c>
      <c r="B129" s="225">
        <v>4016</v>
      </c>
      <c r="C129" s="227" t="s">
        <v>192</v>
      </c>
      <c r="D129" s="227" t="s">
        <v>550</v>
      </c>
      <c r="E129" s="226">
        <v>43100.74417824074</v>
      </c>
      <c r="F129" s="226">
        <v>43100.750219907408</v>
      </c>
      <c r="G129" s="225">
        <v>65</v>
      </c>
      <c r="H129" s="227" t="s">
        <v>643</v>
      </c>
      <c r="I129" s="226">
        <v>43100.775300925925</v>
      </c>
      <c r="J129" s="225">
        <v>0</v>
      </c>
      <c r="K129" s="237" t="str">
        <f>IF(ISEVEN(B129),(B129-1)&amp;"/"&amp;B129,B129&amp;"/"&amp;(B129+1))</f>
        <v>4015/4016</v>
      </c>
      <c r="L129" s="245" t="str">
        <f>VLOOKUP(A129,'Trips&amp;Operators'!$C$1:$G$99911,5,FALSE)</f>
        <v>SMITH MICHAEL</v>
      </c>
      <c r="M129" s="224">
        <f>I129-F129</f>
        <v>2.5081018517084885E-2</v>
      </c>
      <c r="N129" s="225">
        <f>24*60*SUM($M129:$M129)</f>
        <v>36.116666664602235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-12-31T16:51:37-0700',mode:absolute,to:'2017-12-31T19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5.3900000000000003E-2</v>
      </c>
      <c r="Z129" s="247">
        <f>RIGHT(H129,LEN(H129)-4)/10000</f>
        <v>23.3215</v>
      </c>
      <c r="AA129" s="247">
        <f>ABS(Z129-Y129)</f>
        <v>23.267600000000002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215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s3://rtdc.mdm.uploadarchive.raw/RTDC4016/ "%USERPROFILE%\AppData\Local\Temp\OnboardLogs"\RTDC4016\2017-12-31 --exclude "*" --recursive --include "*20171231*" &amp; "%USERPROFILE%\Documents\GitHub\mrs-test-scripts\Headless Mode &amp; Sideloading\WalkAndUnGZ.bat" "%USERPROFILE%\AppData\Local\Temp\OnboardLogs"\RTDC4016\2017-12-31 &amp; aws s3 cp s3://rtdc.mdm.uploadarchive.raw/RTDC4016/ "%USERPROFILE%\AppData\Local\Temp\OnboardLogs"\RTDC4016\2018-01-01 --exclude "*" --recursive --include "*20180101*" &amp; "%USERPROFILE%\Documents\GitHub\mrs-test-scripts\Headless Mode &amp; Sideloading\WalkAndUnGZ.bat" "%USERPROFILE%\AppData\Local\Temp\OnboardLogs"\RTDC4016\2018-01-01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/stypes="app*4016*20180101*" /stext=" 01:.+((SYSTEM_STATE.+slice.+state.+changed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6"/>
        <v>"%USERPROFILE%\Documents\GitHub\eaglep3\Utilities\RefineRTDCRunTimes.py" --tripid 215-31 --locoid 4016 --swversion DE.1.0.9.0 --startMP 204:539 --initTime 2017-12-31T17:51:37 --startdatetime 2017-12-31T18:00:19 --delay 65 --endMP 204:233215 --enddatetime 2017-12-31T18:36:26 --enforcementcount 0 &gt;&gt;%USERPROFILE%\Documents\GitHub\eaglep3-reporting\EC\2017-12-31-refined-times.txt</v>
      </c>
      <c r="AI129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{"issue":{"subject":"","project_id":79,"tracker_id":40,"status_id":1,"priority_id":2,"assigned_to_id":338,"start_date":"2017-12-31","description":"","custom_fields":[{"id":1,"name":"Subdivision","value":"EC"},{"id":4,"name":"Milepost","value":"23.3215"},{"id":17,"name":"Train ID","value":"215-31"},{"id":16,"name":"Locomotive ID","value":"4016"},{"id":130,"name":"Impact","value":""},{"id":150,"name":"Time of Event (Mountain Time)","value":"18:36:26"},{"id":151,"name":"Denver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8"/>
        <v>start /low /b %USERPROFILE%\Documents\GitHub\eaglep3\Utilities\DownloadLogsFromS3.py --loco 4016 --day 2017-12-31</v>
      </c>
      <c r="AN129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01:36:26"},{"id":29,"name":"Sharepoint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20"/>
        <v>https://d0f6bd738d7f1b3e5a7ca70fe4ff75f0.us-east-1.aws.found.io/app/kibana#/discover/Steve-Slow-Train-Analysis-(2080s-and-2083s)?_g=(refreshInterval:(display:Off,pause:!f,section:0,value:0),time:(from:'2017-12-31T16:51:37-0700',mode:absolute,to:'2017-12-31T19:36:26-0700'))&amp;_a=(columns:!('Message%20ID',Summary),filters:!(),index:'emp_*',interval:auto,query:(query_string:(analyze_wildcard:!t,query:'%22rtdc.l.rtdc.4016%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29" t="s">
        <v>401</v>
      </c>
      <c r="B130" s="225">
        <v>4015</v>
      </c>
      <c r="C130" s="227" t="s">
        <v>192</v>
      </c>
      <c r="D130" s="227" t="s">
        <v>602</v>
      </c>
      <c r="E130" s="226">
        <v>43100.782013888886</v>
      </c>
      <c r="F130" s="226">
        <v>43100.789768518516</v>
      </c>
      <c r="G130" s="225">
        <v>95</v>
      </c>
      <c r="H130" s="227" t="s">
        <v>979</v>
      </c>
      <c r="I130" s="226">
        <v>43100.816111111111</v>
      </c>
      <c r="J130" s="225">
        <v>0</v>
      </c>
      <c r="K130" s="237" t="str">
        <f>IF(ISEVEN(B130),(B130-1)&amp;"/"&amp;B130,B130&amp;"/"&amp;(B130+1))</f>
        <v>4015/4016</v>
      </c>
      <c r="L130" s="245" t="str">
        <f>VLOOKUP(A130,'Trips&amp;Operators'!$C$1:$G$99911,5,FALSE)</f>
        <v>SMITH MICHAEL</v>
      </c>
      <c r="M130" s="224">
        <f>I130-F130</f>
        <v>2.6342592595028691E-2</v>
      </c>
      <c r="N130" s="225">
        <f>24*60*SUM($M130:$M130)</f>
        <v>37.933333336841315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-31T17:46:06-0700',mode:absolute,to:'2017-12-31T20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23.2896</v>
      </c>
      <c r="Z130" s="247">
        <f>RIGHT(H130,LEN(H130)-4)/10000</f>
        <v>9.1700000000000004E-2</v>
      </c>
      <c r="AA130" s="247">
        <f>ABS(Z130-Y130)</f>
        <v>23.197900000000001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216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s3://rtdc.mdm.uploadarchive.raw/RTDC4015/ "%USERPROFILE%\AppData\Local\Temp\OnboardLogs"\RTDC4015\2017-12-31 --exclude "*" --recursive --include "*20171231*" &amp; "%USERPROFILE%\Documents\GitHub\mrs-test-scripts\Headless Mode &amp; Sideloading\WalkAndUnGZ.bat" "%USERPROFILE%\AppData\Local\Temp\OnboardLogs"\RTDC4015\2017-12-31 &amp; 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/stypes="app*4015*20180101*" /stext=" 02:.+((SYSTEM_STATE.+slice.+state.+changed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6"/>
        <v>"%USERPROFILE%\Documents\GitHub\eaglep3\Utilities\RefineRTDCRunTimes.py" --tripid 216-31 --locoid 4015 --swversion DE.1.0.9.0 --startMP 204:232896 --initTime 2017-12-31T18:46:06 --startdatetime 2017-12-31T18:57:16 --delay 95 --endMP 204:917 --enddatetime 2017-12-31T19:35:12 --enforcementcount 0 &gt;&gt;%USERPROFILE%\Documents\GitHub\eaglep3-reporting\EC\2017-12-31-refined-times.txt</v>
      </c>
      <c r="AI130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{"issue":{"subject":"","project_id":79,"tracker_id":40,"status_id":1,"priority_id":2,"assigned_to_id":338,"start_date":"2017-12-31","description":"","custom_fields":[{"id":1,"name":"Subdivision","value":"EC"},{"id":4,"name":"Milepost","value":"0.0917"},{"id":17,"name":"Train ID","value":"216-31"},{"id":16,"name":"Locomotive ID","value":"4015"},{"id":130,"name":"Impact","value":""},{"id":150,"name":"Time of Event (Mountain Time)","value":"19:35:12"},{"id":151,"name":"Denver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18"/>
        <v>start /low /b %USERPROFILE%\Documents\GitHub\eaglep3\Utilities\DownloadLogsFromS3.py --loco 4015 --day 2017-12-31</v>
      </c>
      <c r="AN130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20"/>
        <v>https://d0f6bd738d7f1b3e5a7ca70fe4ff75f0.us-east-1.aws.found.io/app/kibana#/discover/Steve-Slow-Train-Analysis-(2080s-and-2083s)?_g=(refreshInterval:(display:Off,pause:!f,section:0,value:0),time:(from:'2017-12-31T17:46:06-0700',mode:absolute,to:'2017-12-31T20:35:12-0700'))&amp;_a=(columns:!('Message%20ID',Summary),filters:!(),index:'emp_*',interval:auto,query:(query_string:(analyze_wildcard:!t,query:'%22rtdc.l.rtdc.4015%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840</v>
      </c>
      <c r="B131" s="225">
        <v>4034</v>
      </c>
      <c r="C131" s="227" t="s">
        <v>192</v>
      </c>
      <c r="D131" s="227" t="s">
        <v>589</v>
      </c>
      <c r="E131" s="226">
        <v>43100.756527777776</v>
      </c>
      <c r="F131" s="226">
        <v>43100.760613425926</v>
      </c>
      <c r="G131" s="225">
        <v>75</v>
      </c>
      <c r="H131" s="227" t="s">
        <v>495</v>
      </c>
      <c r="I131" s="226">
        <v>43100.785219907404</v>
      </c>
      <c r="J131" s="225">
        <v>0</v>
      </c>
      <c r="K131" s="237" t="str">
        <f>IF(ISEVEN(B131),(B131-1)&amp;"/"&amp;B131,B131&amp;"/"&amp;(B131+1))</f>
        <v>4033/4034</v>
      </c>
      <c r="L131" s="245" t="str">
        <f>VLOOKUP(A131,'Trips&amp;Operators'!$C$1:$G$99911,5,FALSE)</f>
        <v>ELBAUM MIKE</v>
      </c>
      <c r="M131" s="224">
        <f>I131-F131</f>
        <v>2.4606481478258502E-2</v>
      </c>
      <c r="N131" s="225">
        <f>24*60*SUM($M131:$M131)</f>
        <v>35.433333328692243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-31T17:09:24-0700',mode:absolute,to:'2017-12-31T19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5.0799999999999998E-2</v>
      </c>
      <c r="Z131" s="247">
        <f>RIGHT(H131,LEN(H131)-4)/10000</f>
        <v>23.329699999999999</v>
      </c>
      <c r="AA131" s="247">
        <f>ABS(Z131-Y131)</f>
        <v>23.2789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217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s3://rtdc.mdm.uploadarchive.raw/RTDC4034/ "%USERPROFILE%\AppData\Local\Temp\OnboardLogs"\RTDC4034\2017-12-31 --exclude "*" --recursive --include "*20171231*" &amp; "%USERPROFILE%\Documents\GitHub\mrs-test-scripts\Headless Mode &amp; Sideloading\WalkAndUnGZ.bat" "%USERPROFILE%\AppData\Local\Temp\OnboardLogs"\RTDC4034\2017-12-31 &amp; aws s3 cp s3://rtdc.mdm.uploadarchive.raw/RTDC4034/ "%USERPROFILE%\AppData\Local\Temp\OnboardLogs"\RTDC4034\2018-01-01 --exclude "*" --recursive --include "*20180101*" &amp; "%USERPROFILE%\Documents\GitHub\mrs-test-scripts\Headless Mode &amp; Sideloading\WalkAndUnGZ.bat" "%USERPROFILE%\AppData\Local\Temp\OnboardLogs"\RTDC4034\2018-01-01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/stypes="app*4034*20180101*" /stext=" 01:.+((SYSTEM_STATE.+slice.+state.+changed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6"/>
        <v>"%USERPROFILE%\Documents\GitHub\eaglep3\Utilities\RefineRTDCRunTimes.py" --tripid 217-31 --locoid 4034 --swversion DE.1.0.9.0 --startMP 204:508 --initTime 2017-12-31T18:09:24 --startdatetime 2017-12-31T18:15:17 --delay 75 --endMP 204:233297 --enddatetime 2017-12-31T18:50:43 --enforcementcount 0 &gt;&gt;%USERPROFILE%\Documents\GitHub\eaglep3-reporting\EC\2017-12-31-refined-times.txt</v>
      </c>
      <c r="AI131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{"issue":{"subject":"","project_id":79,"tracker_id":40,"status_id":1,"priority_id":2,"assigned_to_id":338,"start_date":"2017-12-31","description":"","custom_fields":[{"id":1,"name":"Subdivision","value":"EC"},{"id":4,"name":"Milepost","value":"23.3297"},{"id":17,"name":"Train ID","value":"217-31"},{"id":16,"name":"Locomotive ID","value":"4034"},{"id":130,"name":"Impact","value":""},{"id":150,"name":"Time of Event (Mountain Time)","value":"18:50:43"},{"id":151,"name":"Denver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18"/>
        <v>start /low /b %USERPROFILE%\Documents\GitHub\eaglep3\Utilities\DownloadLogsFromS3.py --loco 4034 --day 2017-12-31</v>
      </c>
      <c r="AN131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01:50:43"},{"id":29,"name":"Sharepoint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20"/>
        <v>https://d0f6bd738d7f1b3e5a7ca70fe4ff75f0.us-east-1.aws.found.io/app/kibana#/discover/Steve-Slow-Train-Analysis-(2080s-and-2083s)?_g=(refreshInterval:(display:Off,pause:!f,section:0,value:0),time:(from:'2017-12-31T17:09:24-0700',mode:absolute,to:'2017-12-31T19:50:43-0700'))&amp;_a=(columns:!('Message%20ID',Summary),filters:!(),index:'emp_*',interval:auto,query:(query_string:(analyze_wildcard:!t,query:'%22rtdc.l.rtdc.4034%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404</v>
      </c>
      <c r="B132" s="225">
        <v>4033</v>
      </c>
      <c r="C132" s="227" t="s">
        <v>192</v>
      </c>
      <c r="D132" s="227" t="s">
        <v>560</v>
      </c>
      <c r="E132" s="226">
        <v>43100.786539351851</v>
      </c>
      <c r="F132" s="226">
        <v>43100.800173611111</v>
      </c>
      <c r="G132" s="225">
        <v>67</v>
      </c>
      <c r="H132" s="227" t="s">
        <v>662</v>
      </c>
      <c r="I132" s="226">
        <v>43100.824942129628</v>
      </c>
      <c r="J132" s="225">
        <v>0</v>
      </c>
      <c r="K132" s="237" t="str">
        <f>IF(ISEVEN(B132),(B132-1)&amp;"/"&amp;B132,B132&amp;"/"&amp;(B132+1))</f>
        <v>4033/4034</v>
      </c>
      <c r="L132" s="245" t="str">
        <f>VLOOKUP(A132,'Trips&amp;Operators'!$C$1:$G$99911,5,FALSE)</f>
        <v>ELBAUM MIKE</v>
      </c>
      <c r="M132" s="224">
        <f>I132-F132</f>
        <v>2.4768518516793847E-2</v>
      </c>
      <c r="N132" s="225">
        <f>24*60*SUM($M132:$M132)</f>
        <v>35.66666666418314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-31T17:52:37-0700',mode:absolute,to:'2017-12-31T20:47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23.298200000000001</v>
      </c>
      <c r="Z132" s="247">
        <f>RIGHT(H132,LEN(H132)-4)/10000</f>
        <v>2.58E-2</v>
      </c>
      <c r="AA132" s="247">
        <f>ABS(Z132-Y132)</f>
        <v>23.272400000000001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218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/stypes="app*4033*20180101*"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6"/>
        <v>"%USERPROFILE%\Documents\GitHub\eaglep3\Utilities\RefineRTDCRunTimes.py" --tripid 218-31 --locoid 4033 --swversion DE.1.0.9.0 --startMP 204:232982 --initTime 2017-12-31T18:52:37 --startdatetime 2017-12-31T19:12:15 --delay 67 --endMP 204:258 --enddatetime 2017-12-31T19:47:55 --enforcementcount 0 &gt;&gt;%USERPROFILE%\Documents\GitHub\eaglep3-reporting\EC\2017-12-31-refined-times.txt</v>
      </c>
      <c r="AI132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{"issue":{"subject":"","project_id":79,"tracker_id":40,"status_id":1,"priority_id":2,"assigned_to_id":338,"start_date":"2017-12-31","description":"","custom_fields":[{"id":1,"name":"Subdivision","value":"EC"},{"id":4,"name":"Milepost","value":"0.0258"},{"id":17,"name":"Train ID","value":"218-31"},{"id":16,"name":"Locomotive ID","value":"4033"},{"id":130,"name":"Impact","value":""},{"id":150,"name":"Time of Event (Mountain Time)","value":"19:47:55"},{"id":151,"name":"Denver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18"/>
        <v>start /low /b %USERPROFILE%\Documents\GitHub\eaglep3\Utilities\DownloadLogsFromS3.py --loco 4033 --day 2017-12-31</v>
      </c>
      <c r="AN132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02:47:55"},{"id":29,"name":"Sharepoint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20"/>
        <v>https://d0f6bd738d7f1b3e5a7ca70fe4ff75f0.us-east-1.aws.found.io/app/kibana#/discover/Steve-Slow-Train-Analysis-(2080s-and-2083s)?_g=(refreshInterval:(display:Off,pause:!f,section:0,value:0),time:(from:'2017-12-31T17:52:37-0700',mode:absolute,to:'2017-12-31T20:47:55-0700'))&amp;_a=(columns:!('Message%20ID',Summary),filters:!(),index:'emp_*',interval:auto,query:(query_string:(analyze_wildcard:!t,query:'%22rtdc.l.rtdc.4033%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686</v>
      </c>
      <c r="B133" s="225">
        <v>4062</v>
      </c>
      <c r="C133" s="227" t="s">
        <v>192</v>
      </c>
      <c r="D133" s="227" t="s">
        <v>525</v>
      </c>
      <c r="E133" s="226">
        <v>43100.766759259262</v>
      </c>
      <c r="F133" s="226">
        <v>43100.771608796298</v>
      </c>
      <c r="G133" s="225">
        <v>82</v>
      </c>
      <c r="H133" s="227" t="s">
        <v>660</v>
      </c>
      <c r="I133" s="226">
        <v>43100.796481481484</v>
      </c>
      <c r="J133" s="225">
        <v>0</v>
      </c>
      <c r="K133" s="237" t="str">
        <f>IF(ISEVEN(B133),(B133-1)&amp;"/"&amp;B133,B133&amp;"/"&amp;(B133+1))</f>
        <v>4061/4062</v>
      </c>
      <c r="L133" s="245" t="str">
        <f>VLOOKUP(A133,'Trips&amp;Operators'!$C$1:$G$99911,5,FALSE)</f>
        <v>RESPASS AARON</v>
      </c>
      <c r="M133" s="224">
        <f>I133-F133</f>
        <v>2.4872685185982846E-2</v>
      </c>
      <c r="N133" s="225">
        <f>24*60*SUM($M133:$M133)</f>
        <v>35.816666667815298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-12-31T17:24:08-0700',mode:absolute,to:'2017-12-31T20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4.9700000000000001E-2</v>
      </c>
      <c r="Z133" s="247">
        <f>RIGHT(H133,LEN(H133)-4)/10000</f>
        <v>23.3261</v>
      </c>
      <c r="AA133" s="247">
        <f>ABS(Z133-Y133)</f>
        <v>23.276399999999999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219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 &amp; 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/stypes="app*4062*20180101*" /stext=" 02:.+((SYSTEM_STATE.+slice.+state.+changed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6"/>
        <v>"%USERPROFILE%\Documents\GitHub\eaglep3\Utilities\RefineRTDCRunTimes.py" --tripid 219-31 --locoid 4062 --swversion DE.1.0.9.0 --startMP 204:497 --initTime 2017-12-31T18:24:08 --startdatetime 2017-12-31T18:31:07 --delay 82 --endMP 204:233261 --enddatetime 2017-12-31T19:06:56 --enforcementcount 0 &gt;&gt;%USERPROFILE%\Documents\GitHub\eaglep3-reporting\EC\2017-12-31-refined-times.txt</v>
      </c>
      <c r="AI133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{"issue":{"subject":"","project_id":79,"tracker_id":40,"status_id":1,"priority_id":2,"assigned_to_id":338,"start_date":"2017-12-31","description":"","custom_fields":[{"id":1,"name":"Subdivision","value":"EC"},{"id":4,"name":"Milepost","value":"23.3261"},{"id":17,"name":"Train ID","value":"219-31"},{"id":16,"name":"Locomotive ID","value":"4062"},{"id":130,"name":"Impact","value":""},{"id":150,"name":"Time of Event (Mountain Time)","value":"19:06:56"},{"id":151,"name":"Denver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18"/>
        <v>start /low /b %USERPROFILE%\Documents\GitHub\eaglep3\Utilities\DownloadLogsFromS3.py --loco 4062 --day 2017-12-31</v>
      </c>
      <c r="AN133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20"/>
        <v>https://d0f6bd738d7f1b3e5a7ca70fe4ff75f0.us-east-1.aws.found.io/app/kibana#/discover/Steve-Slow-Train-Analysis-(2080s-and-2083s)?_g=(refreshInterval:(display:Off,pause:!f,section:0,value:0),time:(from:'2017-12-31T17:24:08-0700',mode:absolute,to:'2017-12-31T20:06:56-0700'))&amp;_a=(columns:!('Message%20ID',Summary),filters:!(),index:'emp_*',interval:auto,query:(query_string:(analyze_wildcard:!t,query:'%22rtdc.l.rtdc.4062%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408</v>
      </c>
      <c r="B134" s="225">
        <v>4061</v>
      </c>
      <c r="C134" s="227" t="s">
        <v>192</v>
      </c>
      <c r="D134" s="227" t="s">
        <v>980</v>
      </c>
      <c r="E134" s="226">
        <v>43100.806273148148</v>
      </c>
      <c r="F134" s="226">
        <v>43100.810578703706</v>
      </c>
      <c r="G134" s="225">
        <v>102</v>
      </c>
      <c r="H134" s="227" t="s">
        <v>981</v>
      </c>
      <c r="I134" s="226">
        <v>43100.836921296293</v>
      </c>
      <c r="J134" s="225">
        <v>0</v>
      </c>
      <c r="K134" s="237" t="str">
        <f>IF(ISEVEN(B134),(B134-1)&amp;"/"&amp;B134,B134&amp;"/"&amp;(B134+1))</f>
        <v>4061/4062</v>
      </c>
      <c r="L134" s="245" t="str">
        <f>VLOOKUP(A134,'Trips&amp;Operators'!$C$1:$G$99911,5,FALSE)</f>
        <v>RESPASS AARON</v>
      </c>
      <c r="M134" s="224">
        <f>I134-F134</f>
        <v>2.6342592587752733E-2</v>
      </c>
      <c r="N134" s="225">
        <f>24*60*SUM($M134:$M134)</f>
        <v>37.933333326363936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-12-31T18:21:02-0700',mode:absolute,to:'2017-12-31T21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23.293600000000001</v>
      </c>
      <c r="Z134" s="247">
        <f>RIGHT(H134,LEN(H134)-4)/10000</f>
        <v>5.8999999999999997E-2</v>
      </c>
      <c r="AA134" s="247">
        <f>ABS(Z134-Y134)</f>
        <v>23.2346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220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 &amp; aws s3 cp s3://rtdc.mdm.uploadarchive.raw/RTDC4061/ "%USERPROFILE%\AppData\Local\Temp\OnboardLogs"\RTDC4061\2018-01-01 --exclude "*" --recursive --include "*20180101*" &amp; "%USERPROFILE%\Documents\GitHub\mrs-test-scripts\Headless Mode &amp; Sideloading\WalkAndUnGZ.bat" "%USERPROFILE%\AppData\Local\Temp\OnboardLogs"\RTDC4061\2018-01-01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/stypes="app*4061*20180101*" /stext=" 03:.+((SYSTEM_STATE.+slice.+state.+changed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6"/>
        <v>"%USERPROFILE%\Documents\GitHub\eaglep3\Utilities\RefineRTDCRunTimes.py" --tripid 220-31 --locoid 4061 --swversion DE.1.0.9.0 --startMP 204:232936 --initTime 2017-12-31T19:21:02 --startdatetime 2017-12-31T19:27:14 --delay 102 --endMP 204:590 --enddatetime 2017-12-31T20:05:10 --enforcementcount 0 &gt;&gt;%USERPROFILE%\Documents\GitHub\eaglep3-reporting\EC\2017-12-31-refined-times.txt</v>
      </c>
      <c r="AI134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{"issue":{"subject":"","project_id":79,"tracker_id":40,"status_id":1,"priority_id":2,"assigned_to_id":338,"start_date":"2017-12-31","description":"","custom_fields":[{"id":1,"name":"Subdivision","value":"EC"},{"id":4,"name":"Milepost","value":"0.059"},{"id":17,"name":"Train ID","value":"220-31"},{"id":16,"name":"Locomotive ID","value":"4061"},{"id":130,"name":"Impact","value":""},{"id":150,"name":"Time of Event (Mountain Time)","value":"20:05:10"},{"id":151,"name":"Denver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18"/>
        <v>start /low /b %USERPROFILE%\Documents\GitHub\eaglep3\Utilities\DownloadLogsFromS3.py --loco 4061 --day 2017-12-31</v>
      </c>
      <c r="AN134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03:05:10"},{"id":29,"name":"Sharepoint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20"/>
        <v>https://d0f6bd738d7f1b3e5a7ca70fe4ff75f0.us-east-1.aws.found.io/app/kibana#/discover/Steve-Slow-Train-Analysis-(2080s-and-2083s)?_g=(refreshInterval:(display:Off,pause:!f,section:0,value:0),time:(from:'2017-12-31T18:21:02-0700',mode:absolute,to:'2017-12-31T21:05:10-0700'))&amp;_a=(columns:!('Message%20ID',Summary),filters:!(),index:'emp_*',interval:auto,query:(query_string:(analyze_wildcard:!t,query:'%22rtdc.l.rtdc.4061%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3">
      <c r="A135" s="229" t="s">
        <v>403</v>
      </c>
      <c r="B135" s="225">
        <v>4004</v>
      </c>
      <c r="C135" s="227" t="s">
        <v>192</v>
      </c>
      <c r="D135" s="227" t="s">
        <v>982</v>
      </c>
      <c r="E135" s="226">
        <v>43100.79074074074</v>
      </c>
      <c r="F135" s="226">
        <v>43100.792280092595</v>
      </c>
      <c r="G135" s="225">
        <v>87</v>
      </c>
      <c r="H135" s="227" t="s">
        <v>910</v>
      </c>
      <c r="I135" s="226">
        <v>43100.81658564815</v>
      </c>
      <c r="J135" s="225">
        <v>0</v>
      </c>
      <c r="K135" s="237" t="str">
        <f>IF(ISEVEN(B135),(B135-1)&amp;"/"&amp;B135,B135&amp;"/"&amp;(B135+1))</f>
        <v>4003/4004</v>
      </c>
      <c r="L135" s="245" t="str">
        <f>VLOOKUP(A135,'Trips&amp;Operators'!$C$1:$G$99911,5,FALSE)</f>
        <v>STAMBAUGH JAMES</v>
      </c>
      <c r="M135" s="224">
        <f>I135-F135</f>
        <v>2.4305555554747116E-2</v>
      </c>
      <c r="N135" s="225">
        <f>24*60*SUM($M135:$M135)</f>
        <v>34.999999998835847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-12-31T17:58:40-0700',mode:absolute,to:'2017-12-31T20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7.0400000000000004E-2</v>
      </c>
      <c r="Z135" s="247">
        <f>RIGHT(H135,LEN(H135)-4)/10000</f>
        <v>23.332899999999999</v>
      </c>
      <c r="AA135" s="247">
        <f>ABS(Z135-Y135)</f>
        <v>23.262499999999999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221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 &amp; aws s3 cp s3://rtdc.mdm.uploadarchive.raw/RTDC4004/ "%USERPROFILE%\AppData\Local\Temp\OnboardLogs"\RTDC4004\2018-01-01 --exclude "*" --recursive --include "*20180101*" &amp; "%USERPROFILE%\Documents\GitHub\mrs-test-scripts\Headless Mode &amp; Sideloading\WalkAndUnGZ.bat" "%USERPROFILE%\AppData\Local\Temp\OnboardLogs"\RTDC4004\2018-01-01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/stypes="app*4004*20180101*" /stext=" 02:.+((SYSTEM_STATE.+slice.+state.+changed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6"/>
        <v>"%USERPROFILE%\Documents\GitHub\eaglep3\Utilities\RefineRTDCRunTimes.py" --tripid 221-31 --locoid 4004 --swversion DE.1.0.9.0 --startMP 204:704 --initTime 2017-12-31T18:58:40 --startdatetime 2017-12-31T19:00:53 --delay 87 --endMP 204:233329 --enddatetime 2017-12-31T19:35:53 --enforcementcount 0 &gt;&gt;%USERPROFILE%\Documents\GitHub\eaglep3-reporting\EC\2017-12-31-refined-times.txt</v>
      </c>
      <c r="AI135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{"issue":{"subject":"","project_id":79,"tracker_id":40,"status_id":1,"priority_id":2,"assigned_to_id":338,"start_date":"2017-12-31","description":"","custom_fields":[{"id":1,"name":"Subdivision","value":"EC"},{"id":4,"name":"Milepost","value":"23.3329"},{"id":17,"name":"Train ID","value":"221-31"},{"id":16,"name":"Locomotive ID","value":"4004"},{"id":130,"name":"Impact","value":""},{"id":150,"name":"Time of Event (Mountain Time)","value":"19:35:53"},{"id":151,"name":"Denver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18"/>
        <v>start /low /b %USERPROFILE%\Documents\GitHub\eaglep3\Utilities\DownloadLogsFromS3.py --loco 4004 --day 2017-12-31</v>
      </c>
      <c r="AN135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20"/>
        <v>https://d0f6bd738d7f1b3e5a7ca70fe4ff75f0.us-east-1.aws.found.io/app/kibana#/discover/Steve-Slow-Train-Analysis-(2080s-and-2083s)?_g=(refreshInterval:(display:Off,pause:!f,section:0,value:0),time:(from:'2017-12-31T17:58:40-0700',mode:absolute,to:'2017-12-31T20:35:53-0700'))&amp;_a=(columns:!('Message%20ID',Summary),filters:!(),index:'emp_*',interval:auto,query:(query_string:(analyze_wildcard:!t,query:'%22rtdc.l.rtdc.4004%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3">
      <c r="A136" s="229" t="s">
        <v>411</v>
      </c>
      <c r="B136" s="225">
        <v>4045</v>
      </c>
      <c r="C136" s="227" t="s">
        <v>192</v>
      </c>
      <c r="D136" s="227" t="s">
        <v>982</v>
      </c>
      <c r="E136" s="226">
        <v>43100.79074074074</v>
      </c>
      <c r="F136" s="226">
        <v>43100.831678240742</v>
      </c>
      <c r="G136" s="225">
        <v>87</v>
      </c>
      <c r="H136" s="227" t="s">
        <v>910</v>
      </c>
      <c r="I136" s="226">
        <v>43100.858657407407</v>
      </c>
      <c r="J136" s="225">
        <v>0</v>
      </c>
      <c r="K136" s="237" t="str">
        <f>IF(ISEVEN(B136),(B136-1)&amp;"/"&amp;B136,B136&amp;"/"&amp;(B136+1))</f>
        <v>4045/4046</v>
      </c>
      <c r="L136" s="245" t="str">
        <f>VLOOKUP(A136,'Trips&amp;Operators'!$C$1:$G$99911,5,FALSE)</f>
        <v>STAMBAUGH JAMES</v>
      </c>
      <c r="M136" s="224">
        <f>I136-F136</f>
        <v>2.6979166665114462E-2</v>
      </c>
      <c r="N136" s="225">
        <f>24*60*SUM($M136:$M136)</f>
        <v>38.849999997764826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-31T17:58:40-0700',mode:absolute,to:'2017-12-31T21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v>23.242999999999999</v>
      </c>
      <c r="Z136" s="247">
        <v>1.01E-2</v>
      </c>
      <c r="AA136" s="247">
        <f>ABS(Z136-Y136)</f>
        <v>23.232899999999997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222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 &amp; aws s3 cp s3://rtdc.mdm.uploadarchive.raw/RTDC4045/ "%USERPROFILE%\AppData\Local\Temp\OnboardLogs"\RTDC4045\2018-01-01 --exclude "*" --recursive --include "*20180101*" &amp; "%USERPROFILE%\Documents\GitHub\mrs-test-scripts\Headless Mode &amp; Sideloading\WalkAndUnGZ.bat" "%USERPROFILE%\AppData\Local\Temp\OnboardLogs"\RTDC4045\2018-01-01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/stypes="app*4045*20180101*"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ref="AH136" si="21">refinertdcruntimes&amp;" --tripid "&amp;A136&amp;" --locoid "&amp;B136&amp;" --swversion "&amp;C136&amp;" --startMP "&amp;D136&amp;" --initTime "&amp;TEXT(E136,"yyyy-mm-ddTHH:MM:SS")&amp;" --startdatetime "&amp;TEXT(F136,"yyyy-mm-ddTHH:MM:SS")&amp;" --delay "&amp;G136&amp;" --endMP "&amp;H136&amp;" --enddatetime "&amp;TEXT(I136,"yyyy-mm-ddTHH:MM:SS")&amp;" --enforcementcount "&amp;J136&amp;IF(outputrefinedruntimes," &gt;&gt;"&amp;RefinedRTDCRunTimesOutputFile,"")</f>
        <v>"%USERPROFILE%\Documents\GitHub\eaglep3\Utilities\RefineRTDCRunTimes.py" --tripid 222-31 --locoid 4045 --swversion DE.1.0.9.0 --startMP 204:704 --initTime 2017-12-31T18:58:40 --startdatetime 2017-12-31T19:57:37 --delay 87 --endMP 204:233329 --enddatetime 2017-12-31T20:36:28 --enforcementcount 0 &gt;&gt;%USERPROFILE%\Documents\GitHub\eaglep3-reporting\EC\2017-12-31-refined-times.txt</v>
      </c>
      <c r="AI136" s="238" t="str">
        <f t="shared" ref="AI136" si="22">"echo {""issue"":{""subject"":"""&amp;R136&amp;""",""project_id"":79,""tracker_id"":40,""status_id"":"&amp;redmine_status&amp;",""priority_id"":"&amp;redmine_priority&amp;",""assigned_to_id"":"&amp;redmine_assignee&amp;",""start_date"":"""&amp;TEXT(I136,"YYYY-mm-dd")&amp;""",""description"":"""&amp;AJ136&amp;""",""custom_fields"":[{""id"":1,""name"":""Subdivision"",""value"":"""&amp;AG136&amp;"""},{""id"":4,""name"":""Milepost"",""value"":"""&amp;Z136&amp;"""},{""id"":17,""name"":""Train ID"",""value"":"""&amp;A136&amp;"""},{""id"":16,""name"":""Locomotive ID"",""value"":"""&amp;B136&amp;"""},{""id"":130,""name"":""Impact"",""value"":"""&amp;AK136&amp;"""},{""id"":150,""name"":""Time of Event (Mountain Time)"",""value"":"""&amp;TEXT(I136,"hh:mm:ss")&amp;"""},{""id"":151,""name"":""Denver Issue ID"",""value"":"""&amp;"""},{""id"":178,""name"":""Operational Impact"",""value"":"""&amp;redmine_op_impact&amp;"""},{""id"":179,""name"":""Denver Segment Assigned"",""value"":"""&amp;AL136&amp;"""}]}}"&amp;"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{"issue":{"subject":"","project_id":79,"tracker_id":40,"status_id":1,"priority_id":2,"assigned_to_id":338,"start_date":"2017-12-31","description":"","custom_fields":[{"id":1,"name":"Subdivision","value":"EC"},{"id":4,"name":"Milepost","value":"0.0101"},{"id":17,"name":"Train ID","value":"222-31"},{"id":16,"name":"Locomotive ID","value":"4045"},{"id":130,"name":"Impact","value":""},{"id":150,"name":"Time of Event (Mountain Time)","value":"20:36:28"},{"id":151,"name":"Denver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ref="AM136" si="23">"start /low /b "&amp;dls3logs&amp;" --loco "&amp;B136&amp;" --day "&amp;TEXT(F136,"YYYY-MM-DD")</f>
        <v>start /low /b %USERPROFILE%\Documents\GitHub\eaglep3\Utilities\DownloadLogsFromS3.py --loco 4045 --day 2017-12-31</v>
      </c>
      <c r="AN136" s="241" t="str">
        <f t="shared" ref="AN136" si="24">"echo {""issue"":{""subject"":"""&amp;R136&amp;""",""project_id"":30,""tracker_id"":4,""status_id"":"&amp;redmine_status_wcr&amp;",""priority_id"":"&amp;redmine_priority_wcr&amp;",""assigned_to_id"":"&amp;redmine_assignee_wcr&amp;",""start_date"":"""&amp;TEXT(I136-utc_offset/24,"YYYY-mm-dd")&amp;""",""description"":"""&amp;AJ136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ref="AO136" si="25"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Message%20ID',Summary),filters:!(),index:'emp_*',interval:auto,query:"&amp;"(query_string:(analyze_wildcard:!t,query:'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-31T17:58:40-0700',mode:absolute,to:'2017-12-31T21:36:28-0700'))&amp;_a=(columns:!('Message%20ID',Summary),filters:!(),index:'emp_*',interval:auto,query:(query_string:(analyze_wildcard:!t,query:'%22rtdc.l.rtdc.4045%22')),sort:!(Time.ISO8601,asc))</v>
      </c>
    </row>
    <row r="137" spans="1:91" s="223" customFormat="1" x14ac:dyDescent="0.3">
      <c r="A137" s="229" t="s">
        <v>407</v>
      </c>
      <c r="B137" s="225">
        <v>4018</v>
      </c>
      <c r="C137" s="227" t="s">
        <v>192</v>
      </c>
      <c r="D137" s="227" t="s">
        <v>983</v>
      </c>
      <c r="E137" s="226">
        <v>43100.810740740744</v>
      </c>
      <c r="F137" s="226">
        <v>43100.812789351854</v>
      </c>
      <c r="G137" s="225">
        <v>88</v>
      </c>
      <c r="H137" s="227" t="s">
        <v>514</v>
      </c>
      <c r="I137" s="226">
        <v>43100.837870370371</v>
      </c>
      <c r="J137" s="225">
        <v>0</v>
      </c>
      <c r="K137" s="237" t="str">
        <f>IF(ISEVEN(B137),(B137-1)&amp;"/"&amp;B137,B137&amp;"/"&amp;(B137+1))</f>
        <v>4017/4018</v>
      </c>
      <c r="L137" s="245" t="str">
        <f>VLOOKUP(A137,'Trips&amp;Operators'!$C$1:$G$99911,5,FALSE)</f>
        <v>LOZA FIDEL</v>
      </c>
      <c r="M137" s="224">
        <f>I137-F137</f>
        <v>2.5081018517084885E-2</v>
      </c>
      <c r="N137" s="225">
        <f>24*60*SUM($M137:$M137)</f>
        <v>36.116666664602235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-31T18:27:28-0700',mode:absolute,to:'2017-12-31T21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7" s="247" t="str">
        <f>IF(AA137&lt;VLOOKUP(AG137,Variables!$AC$3:$AD$8,2,FALSE),"Y","N")</f>
        <v>N</v>
      </c>
      <c r="X137" s="247">
        <f t="shared" ref="X137:X140" si="26">VALUE(LEFT(AD137,4))-VALUE(LEFT(AD136,4))</f>
        <v>1</v>
      </c>
      <c r="Y137" s="247">
        <f>RIGHT(D137,LEN(D137)-4)/10000</f>
        <v>7.46E-2</v>
      </c>
      <c r="Z137" s="247">
        <f>RIGHT(H137,LEN(H137)-4)/10000</f>
        <v>23.329499999999999</v>
      </c>
      <c r="AA137" s="247">
        <f>ABS(Z137-Y137)</f>
        <v>23.254899999999999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223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/stypes="app*4018*20180101*" /stext=" 03:.+((SYSTEM_STATE.+slice.+state.+changed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6"/>
        <v>"%USERPROFILE%\Documents\GitHub\eaglep3\Utilities\RefineRTDCRunTimes.py" --tripid 223-31 --locoid 4018 --swversion DE.1.0.9.0 --startMP 204:746 --initTime 2017-12-31T19:27:28 --startdatetime 2017-12-31T19:30:25 --delay 88 --endMP 204:233295 --enddatetime 2017-12-31T20:06:32 --enforcementcount 0 &gt;&gt;%USERPROFILE%\Documents\GitHub\eaglep3-reporting\EC\2017-12-31-refined-times.txt</v>
      </c>
      <c r="AI137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{"issue":{"subject":"","project_id":79,"tracker_id":40,"status_id":1,"priority_id":2,"assigned_to_id":338,"start_date":"2017-12-31","description":"","custom_fields":[{"id":1,"name":"Subdivision","value":"EC"},{"id":4,"name":"Milepost","value":"23.3295"},{"id":17,"name":"Train ID","value":"223-31"},{"id":16,"name":"Locomotive ID","value":"4018"},{"id":130,"name":"Impact","value":""},{"id":150,"name":"Time of Event (Mountain Time)","value":"20:06:32"},{"id":151,"name":"Denver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1"/>
      <c r="AL137" s="231"/>
      <c r="AM137" s="240" t="str">
        <f t="shared" si="18"/>
        <v>start /low /b %USERPROFILE%\Documents\GitHub\eaglep3\Utilities\DownloadLogsFromS3.py --loco 4018 --day 2017-12-31</v>
      </c>
      <c r="AN137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03:06:32"},{"id":29,"name":"Sharepoint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20"/>
        <v>https://d0f6bd738d7f1b3e5a7ca70fe4ff75f0.us-east-1.aws.found.io/app/kibana#/discover/Steve-Slow-Train-Analysis-(2080s-and-2083s)?_g=(refreshInterval:(display:Off,pause:!f,section:0,value:0),time:(from:'2017-12-31T18:27:28-0700',mode:absolute,to:'2017-12-31T21:06:32-0700'))&amp;_a=(columns:!('Message%20ID',Summary),filters:!(),index:'emp_*',interval:auto,query:(query_string:(analyze_wildcard:!t,query:'%22rtdc.l.rtdc.4018%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3">
      <c r="A138" s="229" t="s">
        <v>387</v>
      </c>
      <c r="B138" s="225">
        <v>4043</v>
      </c>
      <c r="C138" s="227" t="s">
        <v>192</v>
      </c>
      <c r="D138" s="227" t="s">
        <v>983</v>
      </c>
      <c r="E138" s="226">
        <v>43100.810740740744</v>
      </c>
      <c r="F138" s="226">
        <v>43100.85460648148</v>
      </c>
      <c r="G138" s="225">
        <v>88</v>
      </c>
      <c r="H138" s="227" t="s">
        <v>514</v>
      </c>
      <c r="I138" s="226">
        <v>43100.880995370368</v>
      </c>
      <c r="J138" s="225">
        <v>0</v>
      </c>
      <c r="K138" s="237" t="str">
        <f>IF(ISEVEN(B138),(B138-1)&amp;"/"&amp;B138,B138&amp;"/"&amp;(B138+1))</f>
        <v>4043/4044</v>
      </c>
      <c r="L138" s="245" t="str">
        <f>VLOOKUP(A138,'Trips&amp;Operators'!$C$1:$G$99911,5,FALSE)</f>
        <v>LOZA FIDEL</v>
      </c>
      <c r="M138" s="224">
        <f>I138-F138</f>
        <v>2.6388888887595385E-2</v>
      </c>
      <c r="N138" s="225">
        <f>24*60*SUM($M138:$M138)</f>
        <v>37.999999998137355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-31T18:27:28-0700',mode:absolute,to:'2017-12-31T22:08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8" s="247" t="str">
        <f>IF(AA138&lt;VLOOKUP(AG138,Variables!$AC$3:$AD$8,2,FALSE),"Y","N")</f>
        <v>N</v>
      </c>
      <c r="X138" s="247">
        <f t="shared" si="26"/>
        <v>1</v>
      </c>
      <c r="Y138" s="247">
        <v>23.241700000000002</v>
      </c>
      <c r="Z138" s="247">
        <v>2.1399999999999999E-2</v>
      </c>
      <c r="AA138" s="247">
        <f>ABS(Z138-Y138)</f>
        <v>23.220300000000002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224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/stypes="app*4043*20180101*" /stext=" 04:.+((SYSTEM_STATE.+slice.+state.+changed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ref="AH138" si="27"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224-31 --locoid 4043 --swversion DE.1.0.9.0 --startMP 204:746 --initTime 2017-12-31T19:27:28 --startdatetime 2017-12-31T20:30:38 --delay 88 --endMP 204:233295 --enddatetime 2017-12-31T21:08:38 --enforcementcount 0 &gt;&gt;%USERPROFILE%\Documents\GitHub\eaglep3-reporting\EC\2017-12-31-refined-times.txt</v>
      </c>
      <c r="AI138" s="238" t="str">
        <f t="shared" ref="AI138" si="28"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{"issue":{"subject":"","project_id":79,"tracker_id":40,"status_id":1,"priority_id":2,"assigned_to_id":338,"start_date":"2017-12-31","description":"","custom_fields":[{"id":1,"name":"Subdivision","value":"EC"},{"id":4,"name":"Milepost","value":"0.0214"},{"id":17,"name":"Train ID","value":"224-31"},{"id":16,"name":"Locomotive ID","value":"4043"},{"id":130,"name":"Impact","value":""},{"id":150,"name":"Time of Event (Mountain Time)","value":"21:08:38"},{"id":151,"name":"Denver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ref="AM138" si="29">"start /low /b "&amp;dls3logs&amp;" --loco "&amp;B138&amp;" --day "&amp;TEXT(F138,"YYYY-MM-DD")</f>
        <v>start /low /b %USERPROFILE%\Documents\GitHub\eaglep3\Utilities\DownloadLogsFromS3.py --loco 4043 --day 2017-12-31</v>
      </c>
      <c r="AN138" s="241" t="str">
        <f t="shared" ref="AN138" si="30">"echo {""issue"":{""subject"":"""&amp;R138&amp;""",""project_id"":30,""tracker_id"":4,""status_id"":"&amp;redmine_status_wcr&amp;",""priority_id"":"&amp;redmine_priority_wcr&amp;",""assigned_to_id"":"&amp;redmine_assignee_wcr&amp;",""start_date"":"""&amp;TEXT(I138-utc_offset/24,"YYYY-mm-dd")&amp;""",""description"":"""&amp;AJ138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04:08:38"},{"id":29,"name":"Sharepoint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ref="AO138" si="31"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Message%20ID',Summary),filters:!(),index:'emp_*',interval:auto,query:"&amp;"(query_string:(analyze_wildcard:!t,query:'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-31T18:27:28-0700',mode:absolute,to:'2017-12-31T22:08:38-0700'))&amp;_a=(columns:!('Message%20ID',Summary),filters:!(),index:'emp_*',interval:auto,query:(query_string:(analyze_wildcard:!t,query:'%22rtdc.l.rtdc.4043%22')),sort:!(Time.ISO8601,asc))</v>
      </c>
    </row>
    <row r="139" spans="1:91" s="20" customFormat="1" x14ac:dyDescent="0.3">
      <c r="A139" s="229" t="s">
        <v>413</v>
      </c>
      <c r="B139" s="225">
        <v>4054</v>
      </c>
      <c r="C139" s="227" t="s">
        <v>192</v>
      </c>
      <c r="D139" s="227" t="s">
        <v>984</v>
      </c>
      <c r="E139" s="226">
        <v>43100.830069444448</v>
      </c>
      <c r="F139" s="226">
        <v>43100.833495370367</v>
      </c>
      <c r="G139" s="225">
        <v>105</v>
      </c>
      <c r="H139" s="227" t="s">
        <v>985</v>
      </c>
      <c r="I139" s="226">
        <v>43100.859837962962</v>
      </c>
      <c r="J139" s="225">
        <v>0</v>
      </c>
      <c r="K139" s="237" t="str">
        <f>IF(ISEVEN(B139),(B139-1)&amp;"/"&amp;B139,B139&amp;"/"&amp;(B139+1))</f>
        <v>4053/4054</v>
      </c>
      <c r="L139" s="245" t="str">
        <f>VLOOKUP(A139,'Trips&amp;Operators'!$C$1:$G$99911,5,FALSE)</f>
        <v>ELBAUM MIKE</v>
      </c>
      <c r="M139" s="224">
        <f>I139-F139</f>
        <v>2.6342592595028691E-2</v>
      </c>
      <c r="N139" s="225">
        <f>24*60*SUM($M139:$M139)</f>
        <v>37.933333336841315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-31T18:55:18-0700',mode:absolute,to:'2017-12-31T21:38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9" s="247" t="str">
        <f>IF(AA139&lt;VLOOKUP(AG139,Variables!$AC$3:$AD$8,2,FALSE),"Y","N")</f>
        <v>N</v>
      </c>
      <c r="X139" s="247">
        <f t="shared" si="26"/>
        <v>1</v>
      </c>
      <c r="Y139" s="247">
        <f>RIGHT(D139,LEN(D139)-4)/10000</f>
        <v>8.0600000000000005E-2</v>
      </c>
      <c r="Z139" s="247">
        <f>RIGHT(H139,LEN(H139)-4)/10000</f>
        <v>23.325299999999999</v>
      </c>
      <c r="AA139" s="247">
        <f>ABS(Z139-Y139)</f>
        <v>23.244699999999998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225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s3://rtdc.mdm.uploadarchive.raw/RTDC4054/ "%USERPROFILE%\AppData\Local\Temp\OnboardLogs"\RTDC4054\2017-12-31 --exclude "*" --recursive --include "*20171231*" &amp; "%USERPROFILE%\Documents\GitHub\mrs-test-scripts\Headless Mode &amp; Sideloading\WalkAndUnGZ.bat" "%USERPROFILE%\AppData\Local\Temp\OnboardLogs"\RTDC4054\2017-12-31 &amp; aws s3 cp s3://rtdc.mdm.uploadarchive.raw/RTDC4054/ "%USERPROFILE%\AppData\Local\Temp\OnboardLogs"\RTDC4054\2018-01-01 --exclude "*" --recursive --include "*20180101*" &amp; "%USERPROFILE%\Documents\GitHub\mrs-test-scripts\Headless Mode &amp; Sideloading\WalkAndUnGZ.bat" "%USERPROFILE%\AppData\Local\Temp\OnboardLogs"\RTDC4054\2018-01-01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/stypes="app*4054*20180101*" /stext=" 03:.+((SYSTEM_STATE.+slice.+state.+changed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6"/>
        <v>"%USERPROFILE%\Documents\GitHub\eaglep3\Utilities\RefineRTDCRunTimes.py" --tripid 225-31 --locoid 4054 --swversion DE.1.0.9.0 --startMP 204:806 --initTime 2017-12-31T19:55:18 --startdatetime 2017-12-31T20:00:14 --delay 105 --endMP 204:233253 --enddatetime 2017-12-31T20:38:10 --enforcementcount 0 &gt;&gt;%USERPROFILE%\Documents\GitHub\eaglep3-reporting\EC\2017-12-31-refined-times.txt</v>
      </c>
      <c r="AI139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{"issue":{"subject":"","project_id":79,"tracker_id":40,"status_id":1,"priority_id":2,"assigned_to_id":338,"start_date":"2017-12-31","description":"","custom_fields":[{"id":1,"name":"Subdivision","value":"EC"},{"id":4,"name":"Milepost","value":"23.3253"},{"id":17,"name":"Train ID","value":"225-31"},{"id":16,"name":"Locomotive ID","value":"4054"},{"id":130,"name":"Impact","value":""},{"id":150,"name":"Time of Event (Mountain Time)","value":"20:38:10"},{"id":151,"name":"Denver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18"/>
        <v>start /low /b %USERPROFILE%\Documents\GitHub\eaglep3\Utilities\DownloadLogsFromS3.py --loco 4054 --day 2017-12-31</v>
      </c>
      <c r="AN139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03:38:10"},{"id":29,"name":"Sharepoint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20"/>
        <v>https://d0f6bd738d7f1b3e5a7ca70fe4ff75f0.us-east-1.aws.found.io/app/kibana#/discover/Steve-Slow-Train-Analysis-(2080s-and-2083s)?_g=(refreshInterval:(display:Off,pause:!f,section:0,value:0),time:(from:'2017-12-31T18:55:18-0700',mode:absolute,to:'2017-12-31T21:38:10-0700'))&amp;_a=(columns:!('Message%20ID',Summary),filters:!(),index:'emp_*',interval:auto,query:(query_string:(analyze_wildcard:!t,query:'%22rtdc.l.rtdc.4054%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3">
      <c r="A140" s="229" t="s">
        <v>417</v>
      </c>
      <c r="B140" s="225">
        <v>4039</v>
      </c>
      <c r="C140" s="227" t="s">
        <v>192</v>
      </c>
      <c r="D140" s="227" t="s">
        <v>984</v>
      </c>
      <c r="E140" s="226">
        <v>43100.830069444448</v>
      </c>
      <c r="F140" s="226">
        <v>43100.873067129629</v>
      </c>
      <c r="G140" s="225">
        <v>105</v>
      </c>
      <c r="H140" s="227" t="s">
        <v>985</v>
      </c>
      <c r="I140" s="226">
        <v>43100.898969907408</v>
      </c>
      <c r="J140" s="225">
        <v>0</v>
      </c>
      <c r="K140" s="237" t="str">
        <f>IF(ISEVEN(B140),(B140-1)&amp;"/"&amp;B140,B140&amp;"/"&amp;(B140+1))</f>
        <v>4039/4040</v>
      </c>
      <c r="L140" s="245" t="str">
        <f>VLOOKUP(A140,'Trips&amp;Operators'!$C$1:$G$99911,5,FALSE)</f>
        <v>ELBAUM MIKE</v>
      </c>
      <c r="M140" s="224">
        <f>I140-F140</f>
        <v>2.5902777779265307E-2</v>
      </c>
      <c r="N140" s="225">
        <f>24*60*SUM($M140:$M140)</f>
        <v>37.300000002142042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-31T18:55:18-0700',mode:absolute,to:'2017-12-31T22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0" s="247" t="str">
        <f>IF(AA140&lt;VLOOKUP(AG140,Variables!$AC$3:$AD$8,2,FALSE),"Y","N")</f>
        <v>N</v>
      </c>
      <c r="X140" s="247">
        <f t="shared" si="26"/>
        <v>1</v>
      </c>
      <c r="Y140" s="247">
        <v>23.236000000000001</v>
      </c>
      <c r="Z140" s="247">
        <v>1.49E-2</v>
      </c>
      <c r="AA140" s="247">
        <f>ABS(Z140-Y140)</f>
        <v>23.2211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226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s3://rtdc.mdm.uploadarchive.raw/RTDC4039/ "%USERPROFILE%\AppData\Local\Temp\OnboardLogs"\RTDC4039\2017-12-31 --exclude "*" --recursive --include "*20171231*" &amp; "%USERPROFILE%\Documents\GitHub\mrs-test-scripts\Headless Mode &amp; Sideloading\WalkAndUnGZ.bat" "%USERPROFILE%\AppData\Local\Temp\OnboardLogs"\RTDC4039\2017-12-31 &amp; aws s3 cp s3://rtdc.mdm.uploadarchive.raw/RTDC4039/ "%USERPROFILE%\AppData\Local\Temp\OnboardLogs"\RTDC4039\2018-01-01 --exclude "*" --recursive --include "*20180101*" &amp; "%USERPROFILE%\Documents\GitHub\mrs-test-scripts\Headless Mode &amp; Sideloading\WalkAndUnGZ.bat" "%USERPROFILE%\AppData\Local\Temp\OnboardLogs"\RTDC4039\2018-01-01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/stypes="app*4039*20180101*" /stext=" 04:.+((SYSTEM_STATE.+slice.+state.+changed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ref="AH140" si="32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226-31 --locoid 4039 --swversion DE.1.0.9.0 --startMP 204:806 --initTime 2017-12-31T19:55:18 --startdatetime 2017-12-31T20:57:13 --delay 105 --endMP 204:233253 --enddatetime 2017-12-31T21:34:31 --enforcementcount 0 &gt;&gt;%USERPROFILE%\Documents\GitHub\eaglep3-reporting\EC\2017-12-31-refined-times.txt</v>
      </c>
      <c r="AI140" s="238" t="str">
        <f t="shared" ref="AI140" si="33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{"issue":{"subject":"","project_id":79,"tracker_id":40,"status_id":1,"priority_id":2,"assigned_to_id":338,"start_date":"2017-12-31","description":"","custom_fields":[{"id":1,"name":"Subdivision","value":"EC"},{"id":4,"name":"Milepost","value":"0.0149"},{"id":17,"name":"Train ID","value":"226-31"},{"id":16,"name":"Locomotive ID","value":"4039"},{"id":130,"name":"Impact","value":""},{"id":150,"name":"Time of Event (Mountain Time)","value":"21:34:31"},{"id":151,"name":"Denver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ref="AM140" si="34">"start /low /b "&amp;dls3logs&amp;" --loco "&amp;B140&amp;" --day "&amp;TEXT(F140,"YYYY-MM-DD")</f>
        <v>start /low /b %USERPROFILE%\Documents\GitHub\eaglep3\Utilities\DownloadLogsFromS3.py --loco 4039 --day 2017-12-31</v>
      </c>
      <c r="AN140" s="241" t="str">
        <f t="shared" ref="AN140" si="35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04:34:31"},{"id":29,"name":"Sharepoint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ref="AO140" si="36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-31T18:55:18-0700',mode:absolute,to:'2017-12-31T22:34:31-0700'))&amp;_a=(columns:!('Message%20ID',Summary),filters:!(),index:'emp_*',interval:auto,query:(query_string:(analyze_wildcard:!t,query:'%22rtdc.l.rtdc.4039%22')),sort:!(Time.ISO8601,asc))</v>
      </c>
    </row>
    <row r="141" spans="1:91" s="20" customFormat="1" x14ac:dyDescent="0.3">
      <c r="A141" s="229" t="s">
        <v>415</v>
      </c>
      <c r="B141" s="225">
        <v>4062</v>
      </c>
      <c r="C141" s="227" t="s">
        <v>192</v>
      </c>
      <c r="D141" s="227" t="s">
        <v>986</v>
      </c>
      <c r="E141" s="226">
        <v>43100.840671296297</v>
      </c>
      <c r="F141" s="226">
        <v>43100.854618055557</v>
      </c>
      <c r="G141" s="225">
        <v>75</v>
      </c>
      <c r="H141" s="227" t="s">
        <v>665</v>
      </c>
      <c r="I141" s="226">
        <v>43100.87909722222</v>
      </c>
      <c r="J141" s="225">
        <v>0</v>
      </c>
      <c r="K141" s="237" t="str">
        <f>IF(ISEVEN(B141),(B141-1)&amp;"/"&amp;B141,B141&amp;"/"&amp;(B141+1))</f>
        <v>4061/4062</v>
      </c>
      <c r="L141" s="245" t="str">
        <f>VLOOKUP(A141,'Trips&amp;Operators'!$C$1:$G$99911,5,FALSE)</f>
        <v>RESPASS AARON</v>
      </c>
      <c r="M141" s="224">
        <f>I141-F141</f>
        <v>2.4479166662786156E-2</v>
      </c>
      <c r="N141" s="225">
        <f>24*60*SUM($M141:$M141)</f>
        <v>35.249999994412065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-31T19:10:34-0700',mode:absolute,to:'2017-12-31T22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8.7400000000000005E-2</v>
      </c>
      <c r="Z141" s="247">
        <f>RIGHT(H141,LEN(H141)-4)/10000</f>
        <v>23.325700000000001</v>
      </c>
      <c r="AA141" s="247">
        <f>ABS(Z141-Y141)</f>
        <v>23.238300000000002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227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 &amp; 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/stypes="app*4062*20180101*" /stext=" 04:.+((SYSTEM_STATE.+slice.+state.+changed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6"/>
        <v>"%USERPROFILE%\Documents\GitHub\eaglep3\Utilities\RefineRTDCRunTimes.py" --tripid 227-31 --locoid 4062 --swversion DE.1.0.9.0 --startMP 204:874 --initTime 2017-12-31T20:10:34 --startdatetime 2017-12-31T20:30:39 --delay 75 --endMP 204:233257 --enddatetime 2017-12-31T21:05:54 --enforcementcount 0 &gt;&gt;%USERPROFILE%\Documents\GitHub\eaglep3-reporting\EC\2017-12-31-refined-times.txt</v>
      </c>
      <c r="AI141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{"issue":{"subject":"","project_id":79,"tracker_id":40,"status_id":1,"priority_id":2,"assigned_to_id":338,"start_date":"2017-12-31","description":"","custom_fields":[{"id":1,"name":"Subdivision","value":"EC"},{"id":4,"name":"Milepost","value":"23.3257"},{"id":17,"name":"Train ID","value":"227-31"},{"id":16,"name":"Locomotive ID","value":"4062"},{"id":130,"name":"Impact","value":""},{"id":150,"name":"Time of Event (Mountain Time)","value":"21:05:54"},{"id":151,"name":"Denver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18"/>
        <v>start /low /b %USERPROFILE%\Documents\GitHub\eaglep3\Utilities\DownloadLogsFromS3.py --loco 4062 --day 2017-12-31</v>
      </c>
      <c r="AN141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04:05:54"},{"id":29,"name":"Sharepoint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20"/>
        <v>https://d0f6bd738d7f1b3e5a7ca70fe4ff75f0.us-east-1.aws.found.io/app/kibana#/discover/Steve-Slow-Train-Analysis-(2080s-and-2083s)?_g=(refreshInterval:(display:Off,pause:!f,section:0,value:0),time:(from:'2017-12-31T19:10:34-0700',mode:absolute,to:'2017-12-31T22:05:54-0700'))&amp;_a=(columns:!('Message%20ID',Summary),filters:!(),index:'emp_*',interval:auto,query:(query_string:(analyze_wildcard:!t,query:'%22rtdc.l.rtdc.4062%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420</v>
      </c>
      <c r="B142" s="225">
        <v>4033</v>
      </c>
      <c r="C142" s="227" t="s">
        <v>192</v>
      </c>
      <c r="D142" s="227" t="s">
        <v>987</v>
      </c>
      <c r="E142" s="226">
        <v>43100.885277777779</v>
      </c>
      <c r="F142" s="226">
        <v>43100.893969907411</v>
      </c>
      <c r="G142" s="225">
        <v>90</v>
      </c>
      <c r="H142" s="227" t="s">
        <v>663</v>
      </c>
      <c r="I142" s="226">
        <v>43100.920312499999</v>
      </c>
      <c r="J142" s="225">
        <v>0</v>
      </c>
      <c r="K142" s="237" t="str">
        <f>IF(ISEVEN(B142),(B142-1)&amp;"/"&amp;B142,B142&amp;"/"&amp;(B142+1))</f>
        <v>4033/4034</v>
      </c>
      <c r="L142" s="245" t="str">
        <f>VLOOKUP(A142,'Trips&amp;Operators'!$C$1:$G$99911,5,FALSE)</f>
        <v>RESPASS AARON</v>
      </c>
      <c r="M142" s="224">
        <f>I142-F142</f>
        <v>2.6342592587752733E-2</v>
      </c>
      <c r="N142" s="225">
        <f>24*60*SUM($M142:$M142)</f>
        <v>37.933333326363936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-31T20:14:48-0700',mode:absolute,to:'2017-12-31T23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23.2605</v>
      </c>
      <c r="Z142" s="247">
        <f>RIGHT(H142,LEN(H142)-4)/10000</f>
        <v>2.7799999999999998E-2</v>
      </c>
      <c r="AA142" s="247">
        <f>ABS(Z142-Y142)</f>
        <v>23.232700000000001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228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/stypes="app*4033*20180101*" /stext=" 05:.+((SYSTEM_STATE.+slice.+state.+changed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6"/>
        <v>"%USERPROFILE%\Documents\GitHub\eaglep3\Utilities\RefineRTDCRunTimes.py" --tripid 228-31 --locoid 4033 --swversion DE.1.0.9.0 --startMP 204:232605 --initTime 2017-12-31T21:14:48 --startdatetime 2017-12-31T21:27:19 --delay 90 --endMP 204:278 --enddatetime 2017-12-31T22:05:15 --enforcementcount 0 &gt;&gt;%USERPROFILE%\Documents\GitHub\eaglep3-reporting\EC\2017-12-31-refined-times.txt</v>
      </c>
      <c r="AI142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{"issue":{"subject":"","project_id":79,"tracker_id":40,"status_id":1,"priority_id":2,"assigned_to_id":338,"start_date":"2017-12-31","description":"","custom_fields":[{"id":1,"name":"Subdivision","value":"EC"},{"id":4,"name":"Milepost","value":"0.0278"},{"id":17,"name":"Train ID","value":"228-31"},{"id":16,"name":"Locomotive ID","value":"4033"},{"id":130,"name":"Impact","value":""},{"id":150,"name":"Time of Event (Mountain Time)","value":"22:05:15"},{"id":151,"name":"Denver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18"/>
        <v>start /low /b %USERPROFILE%\Documents\GitHub\eaglep3\Utilities\DownloadLogsFromS3.py --loco 4033 --day 2017-12-31</v>
      </c>
      <c r="AN142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05:05:15"},{"id":29,"name":"Sharepoint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20"/>
        <v>https://d0f6bd738d7f1b3e5a7ca70fe4ff75f0.us-east-1.aws.found.io/app/kibana#/discover/Steve-Slow-Train-Analysis-(2080s-and-2083s)?_g=(refreshInterval:(display:Off,pause:!f,section:0,value:0),time:(from:'2017-12-31T20:14:48-0700',mode:absolute,to:'2017-12-31T23:05:15-0700'))&amp;_a=(columns:!('Message%20ID',Summary),filters:!(),index:'emp_*',interval:auto,query:(query_string:(analyze_wildcard:!t,query:'%22rtdc.l.rtdc.4033%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3">
      <c r="A143" s="229" t="s">
        <v>416</v>
      </c>
      <c r="B143" s="225">
        <v>4004</v>
      </c>
      <c r="C143" s="227" t="s">
        <v>192</v>
      </c>
      <c r="D143" s="227" t="s">
        <v>987</v>
      </c>
      <c r="E143" s="226">
        <v>43100.885277777779</v>
      </c>
      <c r="F143" s="226">
        <v>43100.875300925924</v>
      </c>
      <c r="G143" s="225">
        <v>90</v>
      </c>
      <c r="H143" s="227" t="s">
        <v>663</v>
      </c>
      <c r="I143" s="226">
        <v>43100.900370370371</v>
      </c>
      <c r="J143" s="225">
        <v>0</v>
      </c>
      <c r="K143" s="237" t="str">
        <f>IF(ISEVEN(B143),(B143-1)&amp;"/"&amp;B143,B143&amp;"/"&amp;(B143+1))</f>
        <v>4003/4004</v>
      </c>
      <c r="L143" s="245" t="str">
        <f>VLOOKUP(A143,'Trips&amp;Operators'!$C$1:$G$99911,5,FALSE)</f>
        <v>STAMBAUGH JAMES</v>
      </c>
      <c r="M143" s="224">
        <f>I143-F143</f>
        <v>2.5069444447581191E-2</v>
      </c>
      <c r="N143" s="225">
        <f>24*60*SUM($M143:$M143)</f>
        <v>36.100000004516914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-31T20:14:48-0700',mode:absolute,to:'2017-12-31T22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v>9.6699999999999994E-2</v>
      </c>
      <c r="Z143" s="247">
        <v>23.338000000000001</v>
      </c>
      <c r="AA143" s="247">
        <f>ABS(Z143-Y143)</f>
        <v>23.241300000000003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229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 &amp; aws s3 cp s3://rtdc.mdm.uploadarchive.raw/RTDC4004/ "%USERPROFILE%\AppData\Local\Temp\OnboardLogs"\RTDC4004\2018-01-01 --exclude "*" --recursive --include "*20180101*" &amp; "%USERPROFILE%\Documents\GitHub\mrs-test-scripts\Headless Mode &amp; Sideloading\WalkAndUnGZ.bat" "%USERPROFILE%\AppData\Local\Temp\OnboardLogs"\RTDC4004\2018-01-01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/stypes="app*4004*20180101*" /stext=" 04:.+((SYSTEM_STATE.+slice.+state.+changed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ref="AH143" si="3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229-31 --locoid 4004 --swversion DE.1.0.9.0 --startMP 204:232605 --initTime 2017-12-31T21:14:48 --startdatetime 2017-12-31T21:00:26 --delay 90 --endMP 204:278 --enddatetime 2017-12-31T21:36:32 --enforcementcount 0 &gt;&gt;%USERPROFILE%\Documents\GitHub\eaglep3-reporting\EC\2017-12-31-refined-times.txt</v>
      </c>
      <c r="AI143" s="238" t="str">
        <f t="shared" ref="AI143" si="3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{"issue":{"subject":"","project_id":79,"tracker_id":40,"status_id":1,"priority_id":2,"assigned_to_id":338,"start_date":"2017-12-31","description":"","custom_fields":[{"id":1,"name":"Subdivision","value":"EC"},{"id":4,"name":"Milepost","value":"23.338"},{"id":17,"name":"Train ID","value":"229-31"},{"id":16,"name":"Locomotive ID","value":"4004"},{"id":130,"name":"Impact","value":""},{"id":150,"name":"Time of Event (Mountain Time)","value":"21:36:32"},{"id":151,"name":"Denver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ref="AM143" si="39">"start /low /b "&amp;dls3logs&amp;" --loco "&amp;B143&amp;" --day "&amp;TEXT(F143,"YYYY-MM-DD")</f>
        <v>start /low /b %USERPROFILE%\Documents\GitHub\eaglep3\Utilities\DownloadLogsFromS3.py --loco 4004 --day 2017-12-31</v>
      </c>
      <c r="AN143" s="241" t="str">
        <f t="shared" ref="AN143" si="40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04:36:32"},{"id":29,"name":"Sharepoint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" si="41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-31T20:14:48-0700',mode:absolute,to:'2017-12-31T22:36:32-0700'))&amp;_a=(columns:!('Message%20ID',Summary),filters:!(),index:'emp_*',interval:auto,query:(query_string:(analyze_wildcard:!t,query:'%22rtdc.l.rtdc.4004%22')),sort:!(Time.ISO8601,asc))</v>
      </c>
    </row>
    <row r="144" spans="1:91" s="20" customFormat="1" x14ac:dyDescent="0.3">
      <c r="A144" s="229" t="s">
        <v>423</v>
      </c>
      <c r="B144" s="225">
        <v>4045</v>
      </c>
      <c r="C144" s="227" t="s">
        <v>192</v>
      </c>
      <c r="D144" s="227" t="s">
        <v>988</v>
      </c>
      <c r="E144" s="226">
        <v>43100.907430555555</v>
      </c>
      <c r="F144" s="226">
        <v>43100.914861111109</v>
      </c>
      <c r="G144" s="225">
        <v>65</v>
      </c>
      <c r="H144" s="227" t="s">
        <v>989</v>
      </c>
      <c r="I144" s="226">
        <v>43100.941631944443</v>
      </c>
      <c r="J144" s="225">
        <v>0</v>
      </c>
      <c r="K144" s="237" t="str">
        <f>IF(ISEVEN(B144),(B144-1)&amp;"/"&amp;B144,B144&amp;"/"&amp;(B144+1))</f>
        <v>4045/4046</v>
      </c>
      <c r="L144" s="245" t="str">
        <f>VLOOKUP(A144,'Trips&amp;Operators'!$C$1:$G$99911,5,FALSE)</f>
        <v>STAMBAUGH JAMES</v>
      </c>
      <c r="M144" s="224">
        <f>I144-F144</f>
        <v>2.6770833334012423E-2</v>
      </c>
      <c r="N144" s="225">
        <f>24*60*SUM($M144:$M144)</f>
        <v>38.550000000977889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-31T20:46:42-0700',mode:absolute,to:'2017-12-31T23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4" s="247" t="str">
        <f>IF(AA144&lt;VLOOKUP(AG144,Variables!$AC$3:$AD$8,2,FALSE),"Y","N")</f>
        <v>N</v>
      </c>
      <c r="X144" s="247">
        <f t="shared" ref="X144:X145" si="42">VALUE(LEFT(AD144,4))-VALUE(LEFT(AD143,4))</f>
        <v>1</v>
      </c>
      <c r="Y144" s="247">
        <f>RIGHT(D144,LEN(D144)-4)/10000</f>
        <v>23.2745</v>
      </c>
      <c r="Z144" s="247">
        <f>RIGHT(H144,LEN(H144)-4)/10000</f>
        <v>1.21E-2</v>
      </c>
      <c r="AA144" s="247">
        <f>ABS(Z144-Y144)</f>
        <v>23.2624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230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 &amp; aws s3 cp s3://rtdc.mdm.uploadarchive.raw/RTDC4045/ "%USERPROFILE%\AppData\Local\Temp\OnboardLogs"\RTDC4045\2018-01-01 --exclude "*" --recursive --include "*20180101*" &amp; "%USERPROFILE%\Documents\GitHub\mrs-test-scripts\Headless Mode &amp; Sideloading\WalkAndUnGZ.bat" "%USERPROFILE%\AppData\Local\Temp\OnboardLogs"\RTDC4045\2018-01-01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/stypes="app*4045*20180101*" /stext=" 05:.+((SYSTEM_STATE.+slice.+state.+changed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16"/>
        <v>"%USERPROFILE%\Documents\GitHub\eaglep3\Utilities\RefineRTDCRunTimes.py" --tripid 230-31 --locoid 4045 --swversion DE.1.0.9.0 --startMP 204:232745 --initTime 2017-12-31T21:46:42 --startdatetime 2017-12-31T21:57:24 --delay 65 --endMP 204:121 --enddatetime 2017-12-31T22:35:57 --enforcementcount 0 &gt;&gt;%USERPROFILE%\Documents\GitHub\eaglep3-reporting\EC\2017-12-31-refined-times.txt</v>
      </c>
      <c r="AI144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{"issue":{"subject":"","project_id":79,"tracker_id":40,"status_id":1,"priority_id":2,"assigned_to_id":338,"start_date":"2017-12-31","description":"","custom_fields":[{"id":1,"name":"Subdivision","value":"EC"},{"id":4,"name":"Milepost","value":"0.0121"},{"id":17,"name":"Train ID","value":"230-31"},{"id":16,"name":"Locomotive ID","value":"4045"},{"id":130,"name":"Impact","value":""},{"id":150,"name":"Time of Event (Mountain Time)","value":"22:35:57"},{"id":151,"name":"Denver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18"/>
        <v>start /low /b %USERPROFILE%\Documents\GitHub\eaglep3\Utilities\DownloadLogsFromS3.py --loco 4045 --day 2017-12-31</v>
      </c>
      <c r="AN144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05:35:57"},{"id":29,"name":"Sharepoint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20"/>
        <v>https://d0f6bd738d7f1b3e5a7ca70fe4ff75f0.us-east-1.aws.found.io/app/kibana#/discover/Steve-Slow-Train-Analysis-(2080s-and-2083s)?_g=(refreshInterval:(display:Off,pause:!f,section:0,value:0),time:(from:'2017-12-31T20:46:42-0700',mode:absolute,to:'2017-12-31T23:35:57-0700'))&amp;_a=(columns:!('Message%20ID',Summary),filters:!(),index:'emp_*',interval:auto,query:(query_string:(analyze_wildcard:!t,query:'%22rtdc.l.rtdc.4045%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29" t="s">
        <v>419</v>
      </c>
      <c r="B145" s="225">
        <v>4018</v>
      </c>
      <c r="C145" s="227" t="s">
        <v>192</v>
      </c>
      <c r="D145" s="227" t="s">
        <v>990</v>
      </c>
      <c r="E145" s="226">
        <v>43100.893877314818</v>
      </c>
      <c r="F145" s="226">
        <v>43100.896087962959</v>
      </c>
      <c r="G145" s="225">
        <v>74</v>
      </c>
      <c r="H145" s="227" t="s">
        <v>991</v>
      </c>
      <c r="I145" s="226">
        <v>43100.921840277777</v>
      </c>
      <c r="J145" s="225">
        <v>0</v>
      </c>
      <c r="K145" s="237" t="str">
        <f>IF(ISEVEN(B145),(B145-1)&amp;"/"&amp;B145,B145&amp;"/"&amp;(B145+1))</f>
        <v>4017/4018</v>
      </c>
      <c r="L145" s="245" t="str">
        <f>VLOOKUP(A145,'Trips&amp;Operators'!$C$1:$G$99911,5,FALSE)</f>
        <v>LOZA FIDEL</v>
      </c>
      <c r="M145" s="224">
        <f>I145-F145</f>
        <v>2.5752314817509614E-2</v>
      </c>
      <c r="N145" s="225">
        <f>24*60*SUM($M145:$M145)</f>
        <v>37.083333337213844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-31T20:27:11-0700',mode:absolute,to:'2017-12-31T23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5" s="247" t="str">
        <f>IF(AA145&lt;VLOOKUP(AG145,Variables!$AC$3:$AD$8,2,FALSE),"Y","N")</f>
        <v>N</v>
      </c>
      <c r="X145" s="247">
        <f t="shared" si="42"/>
        <v>1</v>
      </c>
      <c r="Y145" s="247">
        <f>RIGHT(D145,LEN(D145)-4)/10000</f>
        <v>8.4699999999999998E-2</v>
      </c>
      <c r="Z145" s="247">
        <f>RIGHT(H145,LEN(H145)-4)/10000</f>
        <v>23.331499999999998</v>
      </c>
      <c r="AA145" s="247">
        <f>ABS(Z145-Y145)</f>
        <v>23.246799999999997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231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/stypes="app*4018*20180101*" /stext=" 05:.+((SYSTEM_STATE.+slice.+state.+changed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16"/>
        <v>"%USERPROFILE%\Documents\GitHub\eaglep3\Utilities\RefineRTDCRunTimes.py" --tripid 231-31 --locoid 4018 --swversion DE.1.0.9.0 --startMP 204:847 --initTime 2017-12-31T21:27:11 --startdatetime 2017-12-31T21:30:22 --delay 74 --endMP 204:233315 --enddatetime 2017-12-31T22:07:27 --enforcementcount 0 &gt;&gt;%USERPROFILE%\Documents\GitHub\eaglep3-reporting\EC\2017-12-31-refined-times.txt</v>
      </c>
      <c r="AI145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{"issue":{"subject":"","project_id":79,"tracker_id":40,"status_id":1,"priority_id":2,"assigned_to_id":338,"start_date":"2017-12-31","description":"","custom_fields":[{"id":1,"name":"Subdivision","value":"EC"},{"id":4,"name":"Milepost","value":"23.3315"},{"id":17,"name":"Train ID","value":"231-31"},{"id":16,"name":"Locomotive ID","value":"4018"},{"id":130,"name":"Impact","value":""},{"id":150,"name":"Time of Event (Mountain Time)","value":"22:07:27"},{"id":151,"name":"Denver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18"/>
        <v>start /low /b %USERPROFILE%\Documents\GitHub\eaglep3\Utilities\DownloadLogsFromS3.py --loco 4018 --day 2017-12-31</v>
      </c>
      <c r="AN145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05:07:27"},{"id":29,"name":"Sharepoint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20"/>
        <v>https://d0f6bd738d7f1b3e5a7ca70fe4ff75f0.us-east-1.aws.found.io/app/kibana#/discover/Steve-Slow-Train-Analysis-(2080s-and-2083s)?_g=(refreshInterval:(display:Off,pause:!f,section:0,value:0),time:(from:'2017-12-31T20:27:11-0700',mode:absolute,to:'2017-12-31T23:07:27-0700'))&amp;_a=(columns:!('Message%20ID',Summary),filters:!(),index:'emp_*',interval:auto,query:(query_string:(analyze_wildcard:!t,query:'%22rtdc.l.rtdc.4018%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388</v>
      </c>
      <c r="B146" s="225">
        <v>4043</v>
      </c>
      <c r="C146" s="227" t="s">
        <v>192</v>
      </c>
      <c r="D146" s="227" t="s">
        <v>992</v>
      </c>
      <c r="E146" s="226">
        <v>43100.932812500003</v>
      </c>
      <c r="F146" s="226">
        <v>43100.935798611114</v>
      </c>
      <c r="G146" s="225">
        <v>111</v>
      </c>
      <c r="H146" s="227" t="s">
        <v>895</v>
      </c>
      <c r="I146" s="226">
        <v>43100.962488425925</v>
      </c>
      <c r="J146" s="225">
        <v>0</v>
      </c>
      <c r="K146" s="237" t="str">
        <f>IF(ISEVEN(B146),(B146-1)&amp;"/"&amp;B146,B146&amp;"/"&amp;(B146+1))</f>
        <v>4043/4044</v>
      </c>
      <c r="L146" s="245" t="str">
        <f>VLOOKUP(A146,'Trips&amp;Operators'!$C$1:$G$99911,5,FALSE)</f>
        <v>LOZA FIDEL</v>
      </c>
      <c r="M146" s="224">
        <f>I146-F146</f>
        <v>2.6689814811106771E-2</v>
      </c>
      <c r="N146" s="225">
        <f>24*60*SUM($M146:$M146)</f>
        <v>38.433333327993751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-31T21:23:15-0700',mode:absolute,to:'2018-01-01T00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23.2681</v>
      </c>
      <c r="Z146" s="247">
        <f>RIGHT(H146,LEN(H146)-4)/10000</f>
        <v>2.1100000000000001E-2</v>
      </c>
      <c r="AA146" s="247">
        <f>ABS(Z146-Y146)</f>
        <v>23.247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232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/stypes="app*4043*20180101*" /stext=" 06:.+((SYSTEM_STATE.+slice.+state.+changed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16"/>
        <v>"%USERPROFILE%\Documents\GitHub\eaglep3\Utilities\RefineRTDCRunTimes.py" --tripid 232-31 --locoid 4043 --swversion DE.1.0.9.0 --startMP 204:232681 --initTime 2017-12-31T22:23:15 --startdatetime 2017-12-31T22:27:33 --delay 111 --endMP 204:211 --enddatetime 2017-12-31T23:05:59 --enforcementcount 0 &gt;&gt;%USERPROFILE%\Documents\GitHub\eaglep3-reporting\EC\2017-12-31-refined-times.txt</v>
      </c>
      <c r="AI146" s="238" t="str">
        <f t="shared" si="17"/>
        <v>echo {"issue":{"subject":"","project_id":79,"tracker_id":40,"status_id":1,"priority_id":2,"assigned_to_id":338,"start_date":"2017-12-31","description":"","custom_fields":[{"id":1,"name":"Subdivision","value":"EC"},{"id":4,"name":"Milepost","value":"0.0211"},{"id":17,"name":"Train ID","value":"232-31"},{"id":16,"name":"Locomotive ID","value":"4043"},{"id":130,"name":"Impact","value":""},{"id":150,"name":"Time of Event (Mountain Time)","value":"23:05:59"},{"id":151,"name":"Denver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18"/>
        <v>start /low /b %USERPROFILE%\Documents\GitHub\eaglep3\Utilities\DownloadLogsFromS3.py --loco 4043 --day 2017-12-31</v>
      </c>
      <c r="AN146" s="241" t="str">
        <f t="shared" si="19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06:05:59"},{"id":29,"name":"Sharepoint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20"/>
        <v>https://d0f6bd738d7f1b3e5a7ca70fe4ff75f0.us-east-1.aws.found.io/app/kibana#/discover/Steve-Slow-Train-Analysis-(2080s-and-2083s)?_g=(refreshInterval:(display:Off,pause:!f,section:0,value:0),time:(from:'2017-12-31T21:23:15-0700',mode:absolute,to:'2018-01-01T00:05:59-0700'))&amp;_a=(columns:!('Message%20ID',Summary),filters:!(),index:'emp_*',interval:auto,query:(query_string:(analyze_wildcard:!t,query:'%22rtdc.l.rtdc.4043%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3">
      <c r="A147" s="229" t="s">
        <v>422</v>
      </c>
      <c r="B147" s="225">
        <v>4054</v>
      </c>
      <c r="C147" s="227" t="s">
        <v>192</v>
      </c>
      <c r="D147" s="227" t="s">
        <v>992</v>
      </c>
      <c r="E147" s="226">
        <v>43100.932812500003</v>
      </c>
      <c r="F147" s="226">
        <v>43100.916817129626</v>
      </c>
      <c r="G147" s="225">
        <v>111</v>
      </c>
      <c r="H147" s="227" t="s">
        <v>895</v>
      </c>
      <c r="I147" s="226">
        <v>43100.942430555559</v>
      </c>
      <c r="J147" s="225">
        <v>0</v>
      </c>
      <c r="K147" s="237" t="str">
        <f>IF(ISEVEN(B147),(B147-1)&amp;"/"&amp;B147,B147&amp;"/"&amp;(B147+1))</f>
        <v>4053/4054</v>
      </c>
      <c r="L147" s="245" t="str">
        <f>VLOOKUP(A147,'Trips&amp;Operators'!$C$1:$G$99911,5,FALSE)</f>
        <v>ELBAUM MIKE</v>
      </c>
      <c r="M147" s="224">
        <f>I147-F147</f>
        <v>2.5613425932533573E-2</v>
      </c>
      <c r="N147" s="225">
        <f>24*60*SUM($M147:$M147)</f>
        <v>36.883333342848346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-31T21:23:15-0700',mode:absolute,to:'2017-12-31T23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v>0.10489999999999999</v>
      </c>
      <c r="Z147" s="247">
        <v>23.329799999999999</v>
      </c>
      <c r="AA147" s="247">
        <f>ABS(Z147-Y147)</f>
        <v>23.224899999999998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233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s3://rtdc.mdm.uploadarchive.raw/RTDC4054/ "%USERPROFILE%\AppData\Local\Temp\OnboardLogs"\RTDC4054\2017-12-31 --exclude "*" --recursive --include "*20171231*" &amp; "%USERPROFILE%\Documents\GitHub\mrs-test-scripts\Headless Mode &amp; Sideloading\WalkAndUnGZ.bat" "%USERPROFILE%\AppData\Local\Temp\OnboardLogs"\RTDC4054\2017-12-31 &amp; aws s3 cp s3://rtdc.mdm.uploadarchive.raw/RTDC4054/ "%USERPROFILE%\AppData\Local\Temp\OnboardLogs"\RTDC4054\2018-01-01 --exclude "*" --recursive --include "*20180101*" &amp; "%USERPROFILE%\Documents\GitHub\mrs-test-scripts\Headless Mode &amp; Sideloading\WalkAndUnGZ.bat" "%USERPROFILE%\AppData\Local\Temp\OnboardLogs"\RTDC4054\2018-01-01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/stypes="app*4054*20180101*" /stext=" 05:.+((SYSTEM_STATE.+slice.+state.+changed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ref="AH147" si="43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233-31 --locoid 4054 --swversion DE.1.0.9.0 --startMP 204:232681 --initTime 2017-12-31T22:23:15 --startdatetime 2017-12-31T22:00:13 --delay 111 --endMP 204:211 --enddatetime 2017-12-31T22:37:06 --enforcementcount 0 &gt;&gt;%USERPROFILE%\Documents\GitHub\eaglep3-reporting\EC\2017-12-31-refined-times.txt</v>
      </c>
      <c r="AI147" s="238" t="str">
        <f t="shared" ref="AI147" si="44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{"issue":{"subject":"","project_id":79,"tracker_id":40,"status_id":1,"priority_id":2,"assigned_to_id":338,"start_date":"2017-12-31","description":"","custom_fields":[{"id":1,"name":"Subdivision","value":"EC"},{"id":4,"name":"Milepost","value":"23.3298"},{"id":17,"name":"Train ID","value":"233-31"},{"id":16,"name":"Locomotive ID","value":"4054"},{"id":130,"name":"Impact","value":""},{"id":150,"name":"Time of Event (Mountain Time)","value":"22:37:06"},{"id":151,"name":"Denver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ref="AM147" si="45">"start /low /b "&amp;dls3logs&amp;" --loco "&amp;B147&amp;" --day "&amp;TEXT(F147,"YYYY-MM-DD")</f>
        <v>start /low /b %USERPROFILE%\Documents\GitHub\eaglep3\Utilities\DownloadLogsFromS3.py --loco 4054 --day 2017-12-31</v>
      </c>
      <c r="AN147" s="241" t="str">
        <f t="shared" ref="AN147" si="46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05:37:06"},{"id":29,"name":"Sharepoint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ref="AO147" si="47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-31T21:23:15-0700',mode:absolute,to:'2017-12-31T23:37:06-0700'))&amp;_a=(columns:!('Message%20ID',Summary),filters:!(),index:'emp_*',interval:auto,query:(query_string:(analyze_wildcard:!t,query:'%22rtdc.l.rtdc.4054%22')),sort:!(Time.ISO8601,asc))</v>
      </c>
    </row>
    <row r="148" spans="1:91" s="223" customFormat="1" x14ac:dyDescent="0.3">
      <c r="A148" s="229" t="s">
        <v>428</v>
      </c>
      <c r="B148" s="225">
        <v>4039</v>
      </c>
      <c r="C148" s="227" t="s">
        <v>192</v>
      </c>
      <c r="D148" s="227" t="s">
        <v>993</v>
      </c>
      <c r="E148" s="226">
        <v>43100.944247685184</v>
      </c>
      <c r="F148" s="226">
        <v>43100.956435185188</v>
      </c>
      <c r="G148" s="225">
        <v>52</v>
      </c>
      <c r="H148" s="227" t="s">
        <v>638</v>
      </c>
      <c r="I148" s="226">
        <v>43100.982141203705</v>
      </c>
      <c r="J148" s="225">
        <v>0</v>
      </c>
      <c r="K148" s="237" t="str">
        <f>IF(ISEVEN(B148),(B148-1)&amp;"/"&amp;B148,B148&amp;"/"&amp;(B148+1))</f>
        <v>4039/4040</v>
      </c>
      <c r="L148" s="245" t="str">
        <f>VLOOKUP(A148,'Trips&amp;Operators'!$C$1:$G$99911,5,FALSE)</f>
        <v>ELBAUM MIKE</v>
      </c>
      <c r="M148" s="224">
        <f>I148-F148</f>
        <v>2.5706018517666962E-2</v>
      </c>
      <c r="N148" s="225">
        <f>24*60*SUM($M148:$M148)</f>
        <v>37.016666665440425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-31T21:39:43-0700',mode:absolute,to:'2018-01-01T00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8" s="247" t="str">
        <f>IF(AA148&lt;VLOOKUP(AG148,Variables!$AC$3:$AD$8,2,FALSE),"Y","N")</f>
        <v>N</v>
      </c>
      <c r="X148" s="247">
        <f t="shared" ref="X148:X150" si="48">VALUE(LEFT(AD148,4))-VALUE(LEFT(AD147,4))</f>
        <v>1</v>
      </c>
      <c r="Y148" s="247">
        <f>RIGHT(D148,LEN(D148)-4)/10000</f>
        <v>23.266999999999999</v>
      </c>
      <c r="Z148" s="247">
        <f>RIGHT(H148,LEN(H148)-4)/10000</f>
        <v>1.4999999999999999E-2</v>
      </c>
      <c r="AA148" s="247">
        <f>ABS(Z148-Y148)</f>
        <v>23.251999999999999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234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s3://rtdc.mdm.uploadarchive.raw/RTDC4039/ "%USERPROFILE%\AppData\Local\Temp\OnboardLogs"\RTDC4039\2017-12-31 --exclude "*" --recursive --include "*20171231*" &amp; "%USERPROFILE%\Documents\GitHub\mrs-test-scripts\Headless Mode &amp; Sideloading\WalkAndUnGZ.bat" "%USERPROFILE%\AppData\Local\Temp\OnboardLogs"\RTDC4039\2017-12-31 &amp; aws s3 cp s3://rtdc.mdm.uploadarchive.raw/RTDC4039/ "%USERPROFILE%\AppData\Local\Temp\OnboardLogs"\RTDC4039\2018-01-01 --exclude "*" --recursive --include "*20180101*" &amp; "%USERPROFILE%\Documents\GitHub\mrs-test-scripts\Headless Mode &amp; Sideloading\WalkAndUnGZ.bat" "%USERPROFILE%\AppData\Local\Temp\OnboardLogs"\RTDC4039\2018-01-01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/stypes="app*4039*20180101*" /stext=" 06:.+((SYSTEM_STATE.+slice.+state.+changed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ref="AH148:AH219" si="49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234-31 --locoid 4039 --swversion DE.1.0.9.0 --startMP 204:232670 --initTime 2017-12-31T22:39:43 --startdatetime 2017-12-31T22:57:16 --delay 52 --endMP 204:150 --enddatetime 2017-12-31T23:34:17 --enforcementcount 0 &gt;&gt;%USERPROFILE%\Documents\GitHub\eaglep3-reporting\EC\2017-12-31-refined-times.txt</v>
      </c>
      <c r="AI148" s="238" t="str">
        <f t="shared" ref="AI148:AI219" si="50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{"issue":{"subject":"","project_id":79,"tracker_id":40,"status_id":1,"priority_id":2,"assigned_to_id":338,"start_date":"2017-12-31","description":"","custom_fields":[{"id":1,"name":"Subdivision","value":"EC"},{"id":4,"name":"Milepost","value":"0.015"},{"id":17,"name":"Train ID","value":"234-31"},{"id":16,"name":"Locomotive ID","value":"4039"},{"id":130,"name":"Impact","value":""},{"id":150,"name":"Time of Event (Mountain Time)","value":"23:34:17"},{"id":151,"name":"Denver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ref="AM148:AM219" si="51">"start /low /b "&amp;dls3logs&amp;" --loco "&amp;B148&amp;" --day "&amp;TEXT(F148,"YYYY-MM-DD")</f>
        <v>start /low /b %USERPROFILE%\Documents\GitHub\eaglep3\Utilities\DownloadLogsFromS3.py --loco 4039 --day 2017-12-31</v>
      </c>
      <c r="AN148" s="241" t="str">
        <f t="shared" ref="AN148:AN219" si="52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06:34:17"},{"id":29,"name":"Sharepoint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ref="AO148:AO219" si="53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-31T21:39:43-0700',mode:absolute,to:'2018-01-01T00:34:17-0700'))&amp;_a=(columns:!('Message%20ID',Summary),filters:!(),index:'emp_*',interval:auto,query:(query_string:(analyze_wildcard:!t,query:'%22rtdc.l.rtdc.4039%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229" t="s">
        <v>425</v>
      </c>
      <c r="B149" s="225">
        <v>4062</v>
      </c>
      <c r="C149" s="227" t="s">
        <v>192</v>
      </c>
      <c r="D149" s="227" t="s">
        <v>994</v>
      </c>
      <c r="E149" s="226">
        <v>43100.934606481482</v>
      </c>
      <c r="F149" s="226">
        <v>43100.938055555554</v>
      </c>
      <c r="G149" s="225">
        <v>66</v>
      </c>
      <c r="H149" s="227" t="s">
        <v>995</v>
      </c>
      <c r="I149" s="226">
        <v>43100.962673611109</v>
      </c>
      <c r="J149" s="225">
        <v>0</v>
      </c>
      <c r="K149" s="237" t="str">
        <f>IF(ISEVEN(B149),(B149-1)&amp;"/"&amp;B149,B149&amp;"/"&amp;(B149+1))</f>
        <v>4061/4062</v>
      </c>
      <c r="L149" s="245" t="str">
        <f>VLOOKUP(A149,'Trips&amp;Operators'!$C$1:$G$99911,5,FALSE)</f>
        <v>RESPASS AARON</v>
      </c>
      <c r="M149" s="224">
        <f>I149-F149</f>
        <v>2.4618055555038154E-2</v>
      </c>
      <c r="N149" s="225">
        <f>24*60*SUM($M149:$M149)</f>
        <v>35.449999999254942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-31T21:25:50-0700',mode:absolute,to:'2018-01-01T00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9" s="247" t="str">
        <f>IF(AA149&lt;VLOOKUP(AG149,Variables!$AC$3:$AD$8,2,FALSE),"Y","N")</f>
        <v>N</v>
      </c>
      <c r="X149" s="247">
        <f t="shared" si="48"/>
        <v>1</v>
      </c>
      <c r="Y149" s="247">
        <f>RIGHT(D149,LEN(D149)-4)/10000</f>
        <v>8.72E-2</v>
      </c>
      <c r="Z149" s="247">
        <f>RIGHT(H149,LEN(H149)-4)/10000</f>
        <v>23.323799999999999</v>
      </c>
      <c r="AA149" s="247">
        <f>ABS(Z149-Y149)</f>
        <v>23.236599999999999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235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 &amp; 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/stypes="app*4062*20180101*" /stext=" 06:.+((SYSTEM_STATE.+slice.+state.+changed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si="49"/>
        <v>"%USERPROFILE%\Documents\GitHub\eaglep3\Utilities\RefineRTDCRunTimes.py" --tripid 235-31 --locoid 4062 --swversion DE.1.0.9.0 --startMP 204:872 --initTime 2017-12-31T22:25:50 --startdatetime 2017-12-31T22:30:48 --delay 66 --endMP 204:233238 --enddatetime 2017-12-31T23:06:15 --enforcementcount 0 &gt;&gt;%USERPROFILE%\Documents\GitHub\eaglep3-reporting\EC\2017-12-31-refined-times.txt</v>
      </c>
      <c r="AI149" s="238" t="str">
        <f t="shared" si="50"/>
        <v>echo {"issue":{"subject":"","project_id":79,"tracker_id":40,"status_id":1,"priority_id":2,"assigned_to_id":338,"start_date":"2017-12-31","description":"","custom_fields":[{"id":1,"name":"Subdivision","value":"EC"},{"id":4,"name":"Milepost","value":"23.3238"},{"id":17,"name":"Train ID","value":"235-31"},{"id":16,"name":"Locomotive ID","value":"4062"},{"id":130,"name":"Impact","value":""},{"id":150,"name":"Time of Event (Mountain Time)","value":"23:06:15"},{"id":151,"name":"Denver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si="51"/>
        <v>start /low /b %USERPROFILE%\Documents\GitHub\eaglep3\Utilities\DownloadLogsFromS3.py --loco 4062 --day 2017-12-31</v>
      </c>
      <c r="AN149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06:06:15"},{"id":29,"name":"Sharepoint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53"/>
        <v>https://d0f6bd738d7f1b3e5a7ca70fe4ff75f0.us-east-1.aws.found.io/app/kibana#/discover/Steve-Slow-Train-Analysis-(2080s-and-2083s)?_g=(refreshInterval:(display:Off,pause:!f,section:0,value:0),time:(from:'2017-12-31T21:25:50-0700',mode:absolute,to:'2018-01-01T00:06:15-0700'))&amp;_a=(columns:!('Message%20ID',Summary),filters:!(),index:'emp_*',interval:auto,query:(query_string:(analyze_wildcard:!t,query:'%22rtdc.l.rtdc.4062%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29" t="s">
        <v>431</v>
      </c>
      <c r="B150" s="225">
        <v>4033</v>
      </c>
      <c r="C150" s="227" t="s">
        <v>192</v>
      </c>
      <c r="D150" s="227" t="s">
        <v>996</v>
      </c>
      <c r="E150" s="226">
        <v>43100.971400462964</v>
      </c>
      <c r="F150" s="226">
        <v>43100.977280092593</v>
      </c>
      <c r="G150" s="225">
        <v>52</v>
      </c>
      <c r="H150" s="227" t="s">
        <v>997</v>
      </c>
      <c r="I150" s="226">
        <v>43101.004270833335</v>
      </c>
      <c r="J150" s="225">
        <v>0</v>
      </c>
      <c r="K150" s="237" t="str">
        <f>IF(ISEVEN(B150),(B150-1)&amp;"/"&amp;B150,B150&amp;"/"&amp;(B150+1))</f>
        <v>4033/4034</v>
      </c>
      <c r="L150" s="245" t="str">
        <f>VLOOKUP(A150,'Trips&amp;Operators'!$C$1:$G$99911,5,FALSE)</f>
        <v>RESPASS AARON</v>
      </c>
      <c r="M150" s="224">
        <f>I150-F150</f>
        <v>2.6990740741894115E-2</v>
      </c>
      <c r="N150" s="225">
        <f>24*60*SUM($M150:$M150)</f>
        <v>38.866666668327525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-31T22:18:49-0700',mode:absolute,to:'2018-01-01T01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0" s="247" t="str">
        <f>IF(AA150&lt;VLOOKUP(AG150,Variables!$AC$3:$AD$8,2,FALSE),"Y","N")</f>
        <v>N</v>
      </c>
      <c r="X150" s="247">
        <f t="shared" si="48"/>
        <v>1</v>
      </c>
      <c r="Y150" s="247">
        <f>RIGHT(D150,LEN(D150)-4)/10000</f>
        <v>23.259399999999999</v>
      </c>
      <c r="Z150" s="247">
        <f>RIGHT(H150,LEN(H150)-4)/10000</f>
        <v>2.6499999999999999E-2</v>
      </c>
      <c r="AA150" s="247">
        <f>ABS(Z150-Y150)</f>
        <v>23.232900000000001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236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/stypes="app*4033*20180101*" /stext=" 07:.+((SYSTEM_STATE.+slice.+state.+changed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49"/>
        <v>"%USERPROFILE%\Documents\GitHub\eaglep3\Utilities\RefineRTDCRunTimes.py" --tripid 236-31 --locoid 4033 --swversion DE.1.0.9.0 --startMP 204:232594 --initTime 2017-12-31T23:18:49 --startdatetime 2017-12-31T23:27:17 --delay 52 --endMP 204:265 --enddatetime 2018-01-01T00:06:09 --enforcementcount 0 &gt;&gt;%USERPROFILE%\Documents\GitHub\eaglep3-reporting\EC\2017-12-31-refined-times.txt</v>
      </c>
      <c r="AI150" s="238" t="str">
        <f t="shared" si="50"/>
        <v>echo {"issue":{"subject":"","project_id":79,"tracker_id":40,"status_id":1,"priority_id":2,"assigned_to_id":338,"start_date":"2018-01-01","description":"","custom_fields":[{"id":1,"name":"Subdivision","value":"EC"},{"id":4,"name":"Milepost","value":"0.0265"},{"id":17,"name":"Train ID","value":"236-31"},{"id":16,"name":"Locomotive ID","value":"4033"},{"id":130,"name":"Impact","value":""},{"id":150,"name":"Time of Event (Mountain Time)","value":"00:06:09"},{"id":151,"name":"Denver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51"/>
        <v>start /low /b %USERPROFILE%\Documents\GitHub\eaglep3\Utilities\DownloadLogsFromS3.py --loco 4033 --day 2017-12-31</v>
      </c>
      <c r="AN150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07:06:09"},{"id":29,"name":"Sharepoint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53"/>
        <v>https://d0f6bd738d7f1b3e5a7ca70fe4ff75f0.us-east-1.aws.found.io/app/kibana#/discover/Steve-Slow-Train-Analysis-(2080s-and-2083s)?_g=(refreshInterval:(display:Off,pause:!f,section:0,value:0),time:(from:'2017-12-31T22:18:49-0700',mode:absolute,to:'2018-01-01T01:06:09-0700'))&amp;_a=(columns:!('Message%20ID',Summary),filters:!(),index:'emp_*',interval:auto,query:(query_string:(analyze_wildcard:!t,query:'%22rtdc.l.rtdc.4033%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9" t="s">
        <v>427</v>
      </c>
      <c r="B151" s="225">
        <v>4004</v>
      </c>
      <c r="C151" s="227" t="s">
        <v>192</v>
      </c>
      <c r="D151" s="227" t="s">
        <v>998</v>
      </c>
      <c r="E151" s="226">
        <v>43100.944803240738</v>
      </c>
      <c r="F151" s="226">
        <v>43100.958553240744</v>
      </c>
      <c r="G151" s="225">
        <v>49</v>
      </c>
      <c r="H151" s="227" t="s">
        <v>999</v>
      </c>
      <c r="I151" s="226">
        <v>43100.983124999999</v>
      </c>
      <c r="J151" s="225">
        <v>0</v>
      </c>
      <c r="K151" s="237" t="str">
        <f>IF(ISEVEN(B151),(B151-1)&amp;"/"&amp;B151,B151&amp;"/"&amp;(B151+1))</f>
        <v>4003/4004</v>
      </c>
      <c r="L151" s="245" t="str">
        <f>VLOOKUP(A151,'Trips&amp;Operators'!$C$1:$G$99911,5,FALSE)</f>
        <v>STAMBAUGH JAMES</v>
      </c>
      <c r="M151" s="224">
        <f>I151-F151</f>
        <v>2.4571759255195502E-2</v>
      </c>
      <c r="N151" s="225">
        <f>24*60*SUM($M151:$M151)</f>
        <v>35.383333327481523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-31T21:40:31-0700',mode:absolute,to:'2018-01-01T00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7.2400000000000006E-2</v>
      </c>
      <c r="Z151" s="247">
        <f>RIGHT(H151,LEN(H151)-4)/10000</f>
        <v>23.337599999999998</v>
      </c>
      <c r="AA151" s="247">
        <f>ABS(Z151-Y151)</f>
        <v>23.2652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237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 &amp; aws s3 cp s3://rtdc.mdm.uploadarchive.raw/RTDC4004/ "%USERPROFILE%\AppData\Local\Temp\OnboardLogs"\RTDC4004\2018-01-01 --exclude "*" --recursive --include "*20180101*" &amp; "%USERPROFILE%\Documents\GitHub\mrs-test-scripts\Headless Mode &amp; Sideloading\WalkAndUnGZ.bat" "%USERPROFILE%\AppData\Local\Temp\OnboardLogs"\RTDC4004\2018-01-01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/stypes="app*4004*20180101*" /stext=" 06:.+((SYSTEM_STATE.+slice.+state.+changed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49"/>
        <v>"%USERPROFILE%\Documents\GitHub\eaglep3\Utilities\RefineRTDCRunTimes.py" --tripid 237-31 --locoid 4004 --swversion DE.1.0.9.0 --startMP 204:724 --initTime 2017-12-31T22:40:31 --startdatetime 2017-12-31T23:00:19 --delay 49 --endMP 204:233376 --enddatetime 2017-12-31T23:35:42 --enforcementcount 0 &gt;&gt;%USERPROFILE%\Documents\GitHub\eaglep3-reporting\EC\2017-12-31-refined-times.txt</v>
      </c>
      <c r="AI151" s="238" t="str">
        <f t="shared" si="50"/>
        <v>echo {"issue":{"subject":"","project_id":79,"tracker_id":40,"status_id":1,"priority_id":2,"assigned_to_id":338,"start_date":"2017-12-31","description":"","custom_fields":[{"id":1,"name":"Subdivision","value":"EC"},{"id":4,"name":"Milepost","value":"23.3376"},{"id":17,"name":"Train ID","value":"237-31"},{"id":16,"name":"Locomotive ID","value":"4004"},{"id":130,"name":"Impact","value":""},{"id":150,"name":"Time of Event (Mountain Time)","value":"23:35:42"},{"id":151,"name":"Denver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51"/>
        <v>start /low /b %USERPROFILE%\Documents\GitHub\eaglep3\Utilities\DownloadLogsFromS3.py --loco 4004 --day 2017-12-31</v>
      </c>
      <c r="AN151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53"/>
        <v>https://d0f6bd738d7f1b3e5a7ca70fe4ff75f0.us-east-1.aws.found.io/app/kibana#/discover/Steve-Slow-Train-Analysis-(2080s-and-2083s)?_g=(refreshInterval:(display:Off,pause:!f,section:0,value:0),time:(from:'2017-12-31T21:40:31-0700',mode:absolute,to:'2018-01-01T00:35:42-0700'))&amp;_a=(columns:!('Message%20ID',Summary),filters:!(),index:'emp_*',interval:auto,query:(query_string:(analyze_wildcard:!t,query:'%22rtdc.l.rtdc.4004%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389</v>
      </c>
      <c r="B152" s="225">
        <v>4045</v>
      </c>
      <c r="C152" s="227" t="s">
        <v>192</v>
      </c>
      <c r="D152" s="227" t="s">
        <v>998</v>
      </c>
      <c r="E152" s="226">
        <v>43100.944803240738</v>
      </c>
      <c r="F152" s="226">
        <v>43100.998229166667</v>
      </c>
      <c r="G152" s="225">
        <v>49</v>
      </c>
      <c r="H152" s="227" t="s">
        <v>999</v>
      </c>
      <c r="I152" s="226">
        <v>43101.02412037037</v>
      </c>
      <c r="J152" s="225">
        <v>0</v>
      </c>
      <c r="K152" s="237" t="str">
        <f>IF(ISEVEN(B152),(B152-1)&amp;"/"&amp;B152,B152&amp;"/"&amp;(B152+1))</f>
        <v>4045/4046</v>
      </c>
      <c r="L152" s="245" t="str">
        <f>VLOOKUP(A152,'Trips&amp;Operators'!$C$1:$G$99911,5,FALSE)</f>
        <v>STAMBAUGH JAMES</v>
      </c>
      <c r="M152" s="224">
        <f>I152-F152</f>
        <v>2.5891203702485655E-2</v>
      </c>
      <c r="N152" s="225">
        <f>24*60*SUM($M152:$M152)</f>
        <v>37.283333331579342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-31T21:40:31-0700',mode:absolute,to:'2018-01-01T01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v>23.249600000000001</v>
      </c>
      <c r="Z152" s="247">
        <v>0.13400000000000001</v>
      </c>
      <c r="AA152" s="247">
        <f>ABS(Z152-Y152)</f>
        <v>23.115600000000001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238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 &amp; aws s3 cp s3://rtdc.mdm.uploadarchive.raw/RTDC4045/ "%USERPROFILE%\AppData\Local\Temp\OnboardLogs"\RTDC4045\2018-01-01 --exclude "*" --recursive --include "*20180101*" &amp; "%USERPROFILE%\Documents\GitHub\mrs-test-scripts\Headless Mode &amp; Sideloading\WalkAndUnGZ.bat" "%USERPROFILE%\AppData\Local\Temp\OnboardLogs"\RTDC4045\2018-01-01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/stypes="app*4045*20180101*" /stext=" 07:.+((SYSTEM_STATE.+slice.+state.+changed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ref="AH152" si="54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238-31 --locoid 4045 --swversion DE.1.0.9.0 --startMP 204:724 --initTime 2017-12-31T22:40:31 --startdatetime 2017-12-31T23:57:27 --delay 49 --endMP 204:233376 --enddatetime 2018-01-01T00:34:44 --enforcementcount 0 &gt;&gt;%USERPROFILE%\Documents\GitHub\eaglep3-reporting\EC\2017-12-31-refined-times.txt</v>
      </c>
      <c r="AI152" s="238" t="str">
        <f t="shared" ref="AI152" si="55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{"issue":{"subject":"","project_id":79,"tracker_id":40,"status_id":1,"priority_id":2,"assigned_to_id":338,"start_date":"2018-01-01","description":"","custom_fields":[{"id":1,"name":"Subdivision","value":"EC"},{"id":4,"name":"Milepost","value":"0.134"},{"id":17,"name":"Train ID","value":"238-31"},{"id":16,"name":"Locomotive ID","value":"4045"},{"id":130,"name":"Impact","value":""},{"id":150,"name":"Time of Event (Mountain Time)","value":"00:34:44"},{"id":151,"name":"Denver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ref="AM152" si="56">"start /low /b "&amp;dls3logs&amp;" --loco "&amp;B152&amp;" --day "&amp;TEXT(F152,"YYYY-MM-DD")</f>
        <v>start /low /b %USERPROFILE%\Documents\GitHub\eaglep3\Utilities\DownloadLogsFromS3.py --loco 4045 --day 2017-12-31</v>
      </c>
      <c r="AN152" s="241" t="str">
        <f t="shared" ref="AN152" si="57"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07:34:44"},{"id":29,"name":"Sharepoint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ref="AO152" si="58"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Message%20ID',Summary),filters:!(),index:'emp_*',interval:auto,query:"&amp;"(query_string:(analyze_wildcard:!t,query:'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-31T21:40:31-0700',mode:absolute,to:'2018-01-01T01:34:44-0700'))&amp;_a=(columns:!('Message%20ID',Summary),filters:!(),index:'emp_*',interval:auto,query:(query_string:(analyze_wildcard:!t,query:'%22rtdc.l.rtdc.4045%22')),sort:!(Time.ISO8601,asc))</v>
      </c>
    </row>
    <row r="153" spans="1:91" s="20" customFormat="1" x14ac:dyDescent="0.3">
      <c r="A153" s="229" t="s">
        <v>430</v>
      </c>
      <c r="B153" s="225">
        <v>4018</v>
      </c>
      <c r="C153" s="227" t="s">
        <v>192</v>
      </c>
      <c r="D153" s="227" t="s">
        <v>1000</v>
      </c>
      <c r="E153" s="226">
        <v>43100.976840277777</v>
      </c>
      <c r="F153" s="226">
        <v>43100.979375000003</v>
      </c>
      <c r="G153" s="225">
        <v>84</v>
      </c>
      <c r="H153" s="227" t="s">
        <v>650</v>
      </c>
      <c r="I153" s="226">
        <v>43101.003784722219</v>
      </c>
      <c r="J153" s="225">
        <v>0</v>
      </c>
      <c r="K153" s="237" t="str">
        <f>IF(ISEVEN(B153),(B153-1)&amp;"/"&amp;B153,B153&amp;"/"&amp;(B153+1))</f>
        <v>4017/4018</v>
      </c>
      <c r="L153" s="245" t="str">
        <f>VLOOKUP(A153,'Trips&amp;Operators'!$C$1:$G$99911,5,FALSE)</f>
        <v>LOZA FIDEL</v>
      </c>
      <c r="M153" s="224">
        <f>I153-F153</f>
        <v>2.4409722216660157E-2</v>
      </c>
      <c r="N153" s="225">
        <f>24*60*SUM($M153:$M153)</f>
        <v>35.149999991990626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-31T22:26:39-0700',mode:absolute,to:'2018-01-01T01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3" s="247" t="str">
        <f>IF(AA153&lt;VLOOKUP(AG153,Variables!$AC$3:$AD$8,2,FALSE),"Y","N")</f>
        <v>N</v>
      </c>
      <c r="X153" s="247">
        <f t="shared" ref="X153:X160" si="59">VALUE(LEFT(AD153,4))-VALUE(LEFT(AD152,4))</f>
        <v>1</v>
      </c>
      <c r="Y153" s="247">
        <f>RIGHT(D153,LEN(D153)-4)/10000</f>
        <v>8.1000000000000003E-2</v>
      </c>
      <c r="Z153" s="247">
        <f>RIGHT(H153,LEN(H153)-4)/10000</f>
        <v>23.331600000000002</v>
      </c>
      <c r="AA153" s="247">
        <f>ABS(Z153-Y153)</f>
        <v>23.250600000000002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239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/stypes="app*4018*20180101*" /stext=" 07:.+((SYSTEM_STATE.+slice.+state.+changed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49"/>
        <v>"%USERPROFILE%\Documents\GitHub\eaglep3\Utilities\RefineRTDCRunTimes.py" --tripid 239-31 --locoid 4018 --swversion DE.1.0.9.0 --startMP 204:810 --initTime 2017-12-31T23:26:39 --startdatetime 2017-12-31T23:30:18 --delay 84 --endMP 204:233316 --enddatetime 2018-01-01T00:05:27 --enforcementcount 0 &gt;&gt;%USERPROFILE%\Documents\GitHub\eaglep3-reporting\EC\2017-12-31-refined-times.txt</v>
      </c>
      <c r="AI153" s="238" t="str">
        <f t="shared" si="50"/>
        <v>echo {"issue":{"subject":"","project_id":79,"tracker_id":40,"status_id":1,"priority_id":2,"assigned_to_id":338,"start_date":"2018-01-01","description":"","custom_fields":[{"id":1,"name":"Subdivision","value":"EC"},{"id":4,"name":"Milepost","value":"23.3316"},{"id":17,"name":"Train ID","value":"239-31"},{"id":16,"name":"Locomotive ID","value":"4018"},{"id":130,"name":"Impact","value":""},{"id":150,"name":"Time of Event (Mountain Time)","value":"00:05:27"},{"id":151,"name":"Denver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51"/>
        <v>start /low /b %USERPROFILE%\Documents\GitHub\eaglep3\Utilities\DownloadLogsFromS3.py --loco 4018 --day 2017-12-31</v>
      </c>
      <c r="AN153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07:05:27"},{"id":29,"name":"Sharepoint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53"/>
        <v>https://d0f6bd738d7f1b3e5a7ca70fe4ff75f0.us-east-1.aws.found.io/app/kibana#/discover/Steve-Slow-Train-Analysis-(2080s-and-2083s)?_g=(refreshInterval:(display:Off,pause:!f,section:0,value:0),time:(from:'2017-12-31T22:26:39-0700',mode:absolute,to:'2018-01-01T01:05:27-0700'))&amp;_a=(columns:!('Message%20ID',Summary),filters:!(),index:'emp_*',interval:auto,query:(query_string:(analyze_wildcard:!t,query:'%22rtdc.l.rtdc.4018%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434</v>
      </c>
      <c r="B154" s="225">
        <v>4043</v>
      </c>
      <c r="C154" s="227" t="s">
        <v>192</v>
      </c>
      <c r="D154" s="227" t="s">
        <v>1000</v>
      </c>
      <c r="E154" s="226">
        <v>43100.976840277777</v>
      </c>
      <c r="F154" s="226">
        <v>43101.018969907411</v>
      </c>
      <c r="G154" s="225">
        <v>84</v>
      </c>
      <c r="H154" s="227" t="s">
        <v>650</v>
      </c>
      <c r="I154" s="226">
        <v>43101.045740740738</v>
      </c>
      <c r="J154" s="225">
        <v>0</v>
      </c>
      <c r="K154" s="237" t="str">
        <f>IF(ISEVEN(B154),(B154-1)&amp;"/"&amp;B154,B154&amp;"/"&amp;(B154+1))</f>
        <v>4043/4044</v>
      </c>
      <c r="L154" s="245" t="str">
        <f>VLOOKUP(A154,'Trips&amp;Operators'!$C$1:$G$99911,5,FALSE)</f>
        <v>LOZA FIDEL</v>
      </c>
      <c r="M154" s="224">
        <f>I154-F154</f>
        <v>2.6770833326736465E-2</v>
      </c>
      <c r="N154" s="225">
        <f>24*60*SUM($M154:$M154)</f>
        <v>38.54999999050051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-31T22:26:39-0700',mode:absolute,to:'2018-01-01T02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247" t="str">
        <f>IF(AA154&lt;VLOOKUP(AG154,Variables!$AC$3:$AD$8,2,FALSE),"Y","N")</f>
        <v>N</v>
      </c>
      <c r="X154" s="247">
        <f t="shared" si="59"/>
        <v>1</v>
      </c>
      <c r="Y154" s="247">
        <v>23.244499999999999</v>
      </c>
      <c r="Z154" s="247">
        <v>1.6899999999999998E-2</v>
      </c>
      <c r="AA154" s="247">
        <f>ABS(Z154-Y154)</f>
        <v>23.227599999999999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240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 &amp; aws s3 cp s3://rtdc.mdm.uploadarchive.raw/RTDC4043/ "%USERPROFILE%\AppData\Local\Temp\OnboardLogs"\RTDC4043\2018-01-02 --exclude "*" --recursive --include "*20180102*" &amp; "%USERPROFILE%\Documents\GitHub\mrs-test-scripts\Headless Mode &amp; Sideloading\WalkAndUnGZ.bat" "%USERPROFILE%\AppData\Local\Temp\OnboardLogs"\RTDC4043\2018-01-02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/stypes="app*4043*20180101*" /stext=" 08:.+((SYSTEM_STATE.+slice.+state.+changed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ref="AH154" si="60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240-31 --locoid 4043 --swversion DE.1.0.9.0 --startMP 204:810 --initTime 2017-12-31T23:26:39 --startdatetime 2018-01-01T00:27:19 --delay 84 --endMP 204:233316 --enddatetime 2018-01-01T01:05:52 --enforcementcount 0 &gt;&gt;%USERPROFILE%\Documents\GitHub\eaglep3-reporting\EC\2017-12-31-refined-times.txt</v>
      </c>
      <c r="AI154" s="238" t="str">
        <f t="shared" ref="AI154" si="61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{"issue":{"subject":"","project_id":79,"tracker_id":40,"status_id":1,"priority_id":2,"assigned_to_id":338,"start_date":"2018-01-01","description":"","custom_fields":[{"id":1,"name":"Subdivision","value":"EC"},{"id":4,"name":"Milepost","value":"0.0169"},{"id":17,"name":"Train ID","value":"240-31"},{"id":16,"name":"Locomotive ID","value":"4043"},{"id":130,"name":"Impact","value":""},{"id":150,"name":"Time of Event (Mountain Time)","value":"01:05:52"},{"id":151,"name":"Denver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ref="AM154" si="62">"start /low /b "&amp;dls3logs&amp;" --loco "&amp;B154&amp;" --day "&amp;TEXT(F154,"YYYY-MM-DD")</f>
        <v>start /low /b %USERPROFILE%\Documents\GitHub\eaglep3\Utilities\DownloadLogsFromS3.py --loco 4043 --day 2018-01-01</v>
      </c>
      <c r="AN154" s="241" t="str">
        <f t="shared" ref="AN154" si="63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08:05:52"},{"id":29,"name":"Sharepoint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ref="AO154" si="64"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-31T22:26:39-0700',mode:absolute,to:'2018-01-01T02:05:52-0700'))&amp;_a=(columns:!('Message%20ID',Summary),filters:!(),index:'emp_*',interval:auto,query:(query_string:(analyze_wildcard:!t,query:'%22rtdc.l.rtdc.4043%22')),sort:!(Time.ISO8601,asc))</v>
      </c>
    </row>
    <row r="155" spans="1:91" s="20" customFormat="1" x14ac:dyDescent="0.3">
      <c r="A155" s="229" t="s">
        <v>433</v>
      </c>
      <c r="B155" s="225">
        <v>4054</v>
      </c>
      <c r="C155" s="227" t="s">
        <v>192</v>
      </c>
      <c r="D155" s="227" t="s">
        <v>1001</v>
      </c>
      <c r="E155" s="226">
        <v>43100.984085648146</v>
      </c>
      <c r="F155" s="226">
        <v>43101.000451388885</v>
      </c>
      <c r="G155" s="225">
        <v>53</v>
      </c>
      <c r="H155" s="227" t="s">
        <v>1002</v>
      </c>
      <c r="I155" s="226">
        <v>43101.025694444441</v>
      </c>
      <c r="J155" s="225">
        <v>0</v>
      </c>
      <c r="K155" s="237" t="str">
        <f>IF(ISEVEN(B155),(B155-1)&amp;"/"&amp;B155,B155&amp;"/"&amp;(B155+1))</f>
        <v>4053/4054</v>
      </c>
      <c r="L155" s="245" t="str">
        <f>VLOOKUP(A155,'Trips&amp;Operators'!$C$1:$G$99911,5,FALSE)</f>
        <v>ELBAUM MIKE</v>
      </c>
      <c r="M155" s="224">
        <f>I155-F155</f>
        <v>2.5243055555620231E-2</v>
      </c>
      <c r="N155" s="225">
        <f>24*60*SUM($M155:$M155)</f>
        <v>36.350000000093132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-12-31T22:37:05-0700',mode:absolute,to:'2018-01-01T01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5" s="247" t="str">
        <f>IF(AA155&lt;VLOOKUP(AG155,Variables!$AC$3:$AD$8,2,FALSE),"Y","N")</f>
        <v>N</v>
      </c>
      <c r="X155" s="247">
        <f t="shared" si="59"/>
        <v>1</v>
      </c>
      <c r="Y155" s="247">
        <f>RIGHT(D155,LEN(D155)-4)/10000</f>
        <v>7.6999999999999999E-2</v>
      </c>
      <c r="Z155" s="247">
        <f>RIGHT(H155,LEN(H155)-4)/10000</f>
        <v>23.331700000000001</v>
      </c>
      <c r="AA155" s="247">
        <f>ABS(Z155-Y155)</f>
        <v>23.2547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241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s3://rtdc.mdm.uploadarchive.raw/RTDC4054/ "%USERPROFILE%\AppData\Local\Temp\OnboardLogs"\RTDC4054\2018-01-01 --exclude "*" --recursive --include "*20180101*" &amp; "%USERPROFILE%\Documents\GitHub\mrs-test-scripts\Headless Mode &amp; Sideloading\WalkAndUnGZ.bat" "%USERPROFILE%\AppData\Local\Temp\OnboardLogs"\RTDC4054\2018-01-01 &amp; aws s3 cp s3://rtdc.mdm.uploadarchive.raw/RTDC4054/ "%USERPROFILE%\AppData\Local\Temp\OnboardLogs"\RTDC4054\2018-01-02 --exclude "*" --recursive --include "*20180102*" &amp; "%USERPROFILE%\Documents\GitHub\mrs-test-scripts\Headless Mode &amp; Sideloading\WalkAndUnGZ.bat" "%USERPROFILE%\AppData\Local\Temp\OnboardLogs"\RTDC4054\2018-01-02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/stypes="app*4054*20180101*" /stext=" 07:.+((SYSTEM_STATE.+slice.+state.+changed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49"/>
        <v>"%USERPROFILE%\Documents\GitHub\eaglep3\Utilities\RefineRTDCRunTimes.py" --tripid 241-31 --locoid 4054 --swversion DE.1.0.9.0 --startMP 204:770 --initTime 2017-12-31T23:37:05 --startdatetime 2018-01-01T00:00:39 --delay 53 --endMP 204:233317 --enddatetime 2018-01-01T00:37:00 --enforcementcount 0 &gt;&gt;%USERPROFILE%\Documents\GitHub\eaglep3-reporting\EC\2017-12-31-refined-times.txt</v>
      </c>
      <c r="AI155" s="238" t="str">
        <f t="shared" si="50"/>
        <v>echo {"issue":{"subject":"","project_id":79,"tracker_id":40,"status_id":1,"priority_id":2,"assigned_to_id":338,"start_date":"2018-01-01","description":"","custom_fields":[{"id":1,"name":"Subdivision","value":"EC"},{"id":4,"name":"Milepost","value":"23.3317"},{"id":17,"name":"Train ID","value":"241-31"},{"id":16,"name":"Locomotive ID","value":"4054"},{"id":130,"name":"Impact","value":""},{"id":150,"name":"Time of Event (Mountain Time)","value":"00:37:00"},{"id":151,"name":"Denver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51"/>
        <v>start /low /b %USERPROFILE%\Documents\GitHub\eaglep3\Utilities\DownloadLogsFromS3.py --loco 4054 --day 2018-01-01</v>
      </c>
      <c r="AN155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07:37:00"},{"id":29,"name":"Sharepoint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53"/>
        <v>https://d0f6bd738d7f1b3e5a7ca70fe4ff75f0.us-east-1.aws.found.io/app/kibana#/discover/Steve-Slow-Train-Analysis-(2080s-and-2083s)?_g=(refreshInterval:(display:Off,pause:!f,section:0,value:0),time:(from:'2017-12-31T22:37:05-0700',mode:absolute,to:'2018-01-01T01:37:00-0700'))&amp;_a=(columns:!('Message%20ID',Summary),filters:!(),index:'emp_*',interval:auto,query:(query_string:(analyze_wildcard:!t,query:'%22rtdc.l.rtdc.4054%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437</v>
      </c>
      <c r="B156" s="225">
        <v>4039</v>
      </c>
      <c r="C156" s="227" t="s">
        <v>192</v>
      </c>
      <c r="D156" s="227" t="s">
        <v>1001</v>
      </c>
      <c r="E156" s="226">
        <v>43100.984085648146</v>
      </c>
      <c r="F156" s="226">
        <v>43101.039733796293</v>
      </c>
      <c r="G156" s="225">
        <v>53</v>
      </c>
      <c r="H156" s="227" t="s">
        <v>1002</v>
      </c>
      <c r="I156" s="226">
        <v>43101.066319444442</v>
      </c>
      <c r="J156" s="225">
        <v>0</v>
      </c>
      <c r="K156" s="237" t="str">
        <f>IF(ISEVEN(B156),(B156-1)&amp;"/"&amp;B156,B156&amp;"/"&amp;(B156+1))</f>
        <v>4039/4040</v>
      </c>
      <c r="L156" s="245" t="str">
        <f>VLOOKUP(A156,'Trips&amp;Operators'!$C$1:$G$99911,5,FALSE)</f>
        <v>ELBAUM MIKE</v>
      </c>
      <c r="M156" s="224">
        <f>I156-F156</f>
        <v>2.658564814919373E-2</v>
      </c>
      <c r="N156" s="225">
        <f>24*60*SUM($M156:$M156)</f>
        <v>38.283333334838971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-31T22:37:05-0700',mode:absolute,to:'2018-01-01T02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6" s="247" t="str">
        <f>IF(AA156&lt;VLOOKUP(AG156,Variables!$AC$3:$AD$8,2,FALSE),"Y","N")</f>
        <v>N</v>
      </c>
      <c r="X156" s="247">
        <f t="shared" si="59"/>
        <v>1</v>
      </c>
      <c r="Y156" s="247">
        <v>23.240500000000001</v>
      </c>
      <c r="Z156" s="247">
        <v>1.5800000000000002E-2</v>
      </c>
      <c r="AA156" s="247">
        <f>ABS(Z156-Y156)</f>
        <v>23.224700000000002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242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s3://rtdc.mdm.uploadarchive.raw/RTDC4039/ "%USERPROFILE%\AppData\Local\Temp\OnboardLogs"\RTDC4039\2018-01-01 --exclude "*" --recursive --include "*20180101*" &amp; "%USERPROFILE%\Documents\GitHub\mrs-test-scripts\Headless Mode &amp; Sideloading\WalkAndUnGZ.bat" "%USERPROFILE%\AppData\Local\Temp\OnboardLogs"\RTDC4039\2018-01-01 &amp; aws s3 cp s3://rtdc.mdm.uploadarchive.raw/RTDC4039/ "%USERPROFILE%\AppData\Local\Temp\OnboardLogs"\RTDC4039\2018-01-02 --exclude "*" --recursive --include "*20180102*" &amp; "%USERPROFILE%\Documents\GitHub\mrs-test-scripts\Headless Mode &amp; Sideloading\WalkAndUnGZ.bat" "%USERPROFILE%\AppData\Local\Temp\OnboardLogs"\RTDC4039\2018-01-02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/stypes="app*4039*20180101*" /stext=" 08:.+((SYSTEM_STATE.+slice.+state.+changed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ref="AH156" si="65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242-31 --locoid 4039 --swversion DE.1.0.9.0 --startMP 204:770 --initTime 2017-12-31T23:37:05 --startdatetime 2018-01-01T00:57:13 --delay 53 --endMP 204:233317 --enddatetime 2018-01-01T01:35:30 --enforcementcount 0 &gt;&gt;%USERPROFILE%\Documents\GitHub\eaglep3-reporting\EC\2017-12-31-refined-times.txt</v>
      </c>
      <c r="AI156" s="238" t="str">
        <f t="shared" ref="AI156" si="66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{"issue":{"subject":"","project_id":79,"tracker_id":40,"status_id":1,"priority_id":2,"assigned_to_id":338,"start_date":"2018-01-01","description":"","custom_fields":[{"id":1,"name":"Subdivision","value":"EC"},{"id":4,"name":"Milepost","value":"0.0158"},{"id":17,"name":"Train ID","value":"242-31"},{"id":16,"name":"Locomotive ID","value":"4039"},{"id":130,"name":"Impact","value":""},{"id":150,"name":"Time of Event (Mountain Time)","value":"01:35:30"},{"id":151,"name":"Denver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ref="AM156" si="67">"start /low /b "&amp;dls3logs&amp;" --loco "&amp;B156&amp;" --day "&amp;TEXT(F156,"YYYY-MM-DD")</f>
        <v>start /low /b %USERPROFILE%\Documents\GitHub\eaglep3\Utilities\DownloadLogsFromS3.py --loco 4039 --day 2018-01-01</v>
      </c>
      <c r="AN156" s="241" t="str">
        <f t="shared" ref="AN156" si="68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ref="AO156" si="69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-31T22:37:05-0700',mode:absolute,to:'2018-01-01T02:35:30-0700'))&amp;_a=(columns:!('Message%20ID',Summary),filters:!(),index:'emp_*',interval:auto,query:(query_string:(analyze_wildcard:!t,query:'%22rtdc.l.rtdc.4039%22')),sort:!(Time.ISO8601,asc))</v>
      </c>
    </row>
    <row r="157" spans="1:91" s="223" customFormat="1" x14ac:dyDescent="0.3">
      <c r="A157" s="229" t="s">
        <v>435</v>
      </c>
      <c r="B157" s="225">
        <v>4062</v>
      </c>
      <c r="C157" s="227" t="s">
        <v>192</v>
      </c>
      <c r="D157" s="227" t="s">
        <v>1003</v>
      </c>
      <c r="E157" s="226">
        <v>43101.016412037039</v>
      </c>
      <c r="F157" s="226">
        <v>43101.021099537036</v>
      </c>
      <c r="G157" s="225">
        <v>98</v>
      </c>
      <c r="H157" s="227" t="s">
        <v>582</v>
      </c>
      <c r="I157" s="226">
        <v>43101.047314814816</v>
      </c>
      <c r="J157" s="225">
        <v>0</v>
      </c>
      <c r="K157" s="237" t="str">
        <f>IF(ISEVEN(B157),(B157-1)&amp;"/"&amp;B157,B157&amp;"/"&amp;(B157+1))</f>
        <v>4061/4062</v>
      </c>
      <c r="L157" s="245" t="str">
        <f>VLOOKUP(A157,'Trips&amp;Operators'!$C$1:$G$99911,5,FALSE)</f>
        <v>RESPASS AARON</v>
      </c>
      <c r="M157" s="224">
        <f>I157-F157</f>
        <v>2.6215277779556345E-2</v>
      </c>
      <c r="N157" s="225">
        <f>24*60*SUM($M157:$M157)</f>
        <v>37.750000002561137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-31T23:23:38-0700',mode:absolute,to:'2018-01-01T02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7" s="247" t="str">
        <f>IF(AA157&lt;VLOOKUP(AG157,Variables!$AC$3:$AD$8,2,FALSE),"Y","N")</f>
        <v>N</v>
      </c>
      <c r="X157" s="247">
        <f t="shared" si="59"/>
        <v>1</v>
      </c>
      <c r="Y157" s="247">
        <f>RIGHT(D157,LEN(D157)-4)/10000</f>
        <v>8.6499999999999994E-2</v>
      </c>
      <c r="Z157" s="247">
        <f>RIGHT(H157,LEN(H157)-4)/10000</f>
        <v>23.3216</v>
      </c>
      <c r="AA157" s="247">
        <f>ABS(Z157-Y157)</f>
        <v>23.235099999999999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243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 &amp; aws s3 cp s3://rtdc.mdm.uploadarchive.raw/RTDC4062/ "%USERPROFILE%\AppData\Local\Temp\OnboardLogs"\RTDC4062\2018-01-02 --exclude "*" --recursive --include "*20180102*" &amp; "%USERPROFILE%\Documents\GitHub\mrs-test-scripts\Headless Mode &amp; Sideloading\WalkAndUnGZ.bat" "%USERPROFILE%\AppData\Local\Temp\OnboardLogs"\RTDC4062\2018-01-02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/stypes="app*4062*20180101*" /stext=" 08:.+((SYSTEM_STATE.+slice.+state.+changed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49"/>
        <v>"%USERPROFILE%\Documents\GitHub\eaglep3\Utilities\RefineRTDCRunTimes.py" --tripid 243-31 --locoid 4062 --swversion DE.1.0.9.0 --startMP 204:865 --initTime 2018-01-01T00:23:38 --startdatetime 2018-01-01T00:30:23 --delay 98 --endMP 204:233216 --enddatetime 2018-01-01T01:08:08 --enforcementcount 0 &gt;&gt;%USERPROFILE%\Documents\GitHub\eaglep3-reporting\EC\2017-12-31-refined-times.txt</v>
      </c>
      <c r="AI157" s="238" t="str">
        <f t="shared" si="50"/>
        <v>echo {"issue":{"subject":"","project_id":79,"tracker_id":40,"status_id":1,"priority_id":2,"assigned_to_id":338,"start_date":"2018-01-01","description":"","custom_fields":[{"id":1,"name":"Subdivision","value":"EC"},{"id":4,"name":"Milepost","value":"23.3216"},{"id":17,"name":"Train ID","value":"243-31"},{"id":16,"name":"Locomotive ID","value":"4062"},{"id":130,"name":"Impact","value":""},{"id":150,"name":"Time of Event (Mountain Time)","value":"01:08:08"},{"id":151,"name":"Denver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51"/>
        <v>start /low /b %USERPROFILE%\Documents\GitHub\eaglep3\Utilities\DownloadLogsFromS3.py --loco 4062 --day 2018-01-01</v>
      </c>
      <c r="AN157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08:08:08"},{"id":29,"name":"Sharepoint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53"/>
        <v>https://d0f6bd738d7f1b3e5a7ca70fe4ff75f0.us-east-1.aws.found.io/app/kibana#/discover/Steve-Slow-Train-Analysis-(2080s-and-2083s)?_g=(refreshInterval:(display:Off,pause:!f,section:0,value:0),time:(from:'2017-12-31T23:23:38-0700',mode:absolute,to:'2018-01-01T02:08:08-0700'))&amp;_a=(columns:!('Message%20ID',Summary),filters:!(),index:'emp_*',interval:auto,query:(query_string:(analyze_wildcard:!t,query:'%22rtdc.l.rtdc.4062%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439</v>
      </c>
      <c r="B158" s="225">
        <v>4033</v>
      </c>
      <c r="C158" s="227" t="s">
        <v>192</v>
      </c>
      <c r="D158" s="227" t="s">
        <v>1003</v>
      </c>
      <c r="E158" s="226">
        <v>43101.016412037039</v>
      </c>
      <c r="F158" s="226">
        <v>43101.061006944445</v>
      </c>
      <c r="G158" s="225">
        <v>98</v>
      </c>
      <c r="H158" s="227" t="s">
        <v>582</v>
      </c>
      <c r="I158" s="226">
        <v>43101.087766203702</v>
      </c>
      <c r="J158" s="225">
        <v>0</v>
      </c>
      <c r="K158" s="237" t="str">
        <f>IF(ISEVEN(B158),(B158-1)&amp;"/"&amp;B158,B158&amp;"/"&amp;(B158+1))</f>
        <v>4033/4034</v>
      </c>
      <c r="L158" s="245" t="str">
        <f>VLOOKUP(A158,'Trips&amp;Operators'!$C$1:$G$99911,5,FALSE)</f>
        <v>RESPASS AARON</v>
      </c>
      <c r="M158" s="224">
        <f>I158-F158</f>
        <v>2.675925925723277E-2</v>
      </c>
      <c r="N158" s="225">
        <f>24*60*SUM($M158:$M158)</f>
        <v>38.533333330415189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-31T23:23:38-0700',mode:absolute,to:'2018-01-01T03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8" s="247" t="str">
        <f>IF(AA158&lt;VLOOKUP(AG158,Variables!$AC$3:$AD$8,2,FALSE),"Y","N")</f>
        <v>N</v>
      </c>
      <c r="X158" s="247">
        <f t="shared" si="59"/>
        <v>1</v>
      </c>
      <c r="Y158" s="247">
        <v>23.2347</v>
      </c>
      <c r="Z158" s="247">
        <v>2.4199999999999999E-2</v>
      </c>
      <c r="AA158" s="247">
        <f>ABS(Z158-Y158)</f>
        <v>23.2105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244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 &amp; aws s3 cp s3://rtdc.mdm.uploadarchive.raw/RTDC4033/ "%USERPROFILE%\AppData\Local\Temp\OnboardLogs"\RTDC4033\2018-01-02 --exclude "*" --recursive --include "*20180102*" &amp; "%USERPROFILE%\Documents\GitHub\mrs-test-scripts\Headless Mode &amp; Sideloading\WalkAndUnGZ.bat" "%USERPROFILE%\AppData\Local\Temp\OnboardLogs"\RTDC4033\2018-01-02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/stypes="app*4033*20180101*" /stext=" 09:.+((SYSTEM_STATE.+slice.+state.+changed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ref="AH158" si="70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244-31 --locoid 4033 --swversion DE.1.0.9.0 --startMP 204:865 --initTime 2018-01-01T00:23:38 --startdatetime 2018-01-01T01:27:51 --delay 98 --endMP 204:233216 --enddatetime 2018-01-01T02:06:23 --enforcementcount 0 &gt;&gt;%USERPROFILE%\Documents\GitHub\eaglep3-reporting\EC\2017-12-31-refined-times.txt</v>
      </c>
      <c r="AI158" s="238" t="str">
        <f t="shared" ref="AI158" si="71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{"issue":{"subject":"","project_id":79,"tracker_id":40,"status_id":1,"priority_id":2,"assigned_to_id":338,"start_date":"2018-01-01","description":"","custom_fields":[{"id":1,"name":"Subdivision","value":"EC"},{"id":4,"name":"Milepost","value":"0.0242"},{"id":17,"name":"Train ID","value":"244-31"},{"id":16,"name":"Locomotive ID","value":"4033"},{"id":130,"name":"Impact","value":""},{"id":150,"name":"Time of Event (Mountain Time)","value":"02:06:23"},{"id":151,"name":"Denver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ref="AM158" si="72">"start /low /b "&amp;dls3logs&amp;" --loco "&amp;B158&amp;" --day "&amp;TEXT(F158,"YYYY-MM-DD")</f>
        <v>start /low /b %USERPROFILE%\Documents\GitHub\eaglep3\Utilities\DownloadLogsFromS3.py --loco 4033 --day 2018-01-01</v>
      </c>
      <c r="AN158" s="241" t="str">
        <f t="shared" ref="AN158" si="73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09:06:23"},{"id":29,"name":"Sharepoint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ref="AO158" si="74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-31T23:23:38-0700',mode:absolute,to:'2018-01-01T03:06:23-0700'))&amp;_a=(columns:!('Message%20ID',Summary),filters:!(),index:'emp_*',interval:auto,query:(query_string:(analyze_wildcard:!t,query:'%22rtdc.l.rtdc.4033%22')),sort:!(Time.ISO8601,asc))</v>
      </c>
    </row>
    <row r="159" spans="1:91" s="223" customFormat="1" x14ac:dyDescent="0.3">
      <c r="A159" s="229" t="s">
        <v>844</v>
      </c>
      <c r="B159" s="225">
        <v>4052</v>
      </c>
      <c r="C159" s="227" t="s">
        <v>192</v>
      </c>
      <c r="D159" s="227" t="s">
        <v>518</v>
      </c>
      <c r="E159" s="226">
        <v>43100.776701388888</v>
      </c>
      <c r="F159" s="226">
        <v>43100.781446759262</v>
      </c>
      <c r="G159" s="225">
        <v>67</v>
      </c>
      <c r="H159" s="227" t="s">
        <v>891</v>
      </c>
      <c r="I159" s="226">
        <v>43100.806701388887</v>
      </c>
      <c r="J159" s="225">
        <v>0</v>
      </c>
      <c r="K159" s="237" t="str">
        <f>IF(ISEVEN(B159),(B159-1)&amp;"/"&amp;B159,B159&amp;"/"&amp;(B159+1))</f>
        <v>4051/4052</v>
      </c>
      <c r="L159" s="245" t="str">
        <f>VLOOKUP(A159,'Trips&amp;Operators'!$C$1:$G$99911,5,FALSE)</f>
        <v>KILLION DAVID</v>
      </c>
      <c r="M159" s="224">
        <f>I159-F159</f>
        <v>2.5254629625123926E-2</v>
      </c>
      <c r="N159" s="225">
        <f>24*60*SUM($M159:$M159)</f>
        <v>36.366666660178453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-31T17:38:27-0700',mode:absolute,to:'2017-12-31T20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9" s="247" t="str">
        <f>IF(AA159&lt;VLOOKUP(AG159,Variables!$AC$3:$AD$8,2,FALSE),"Y","N")</f>
        <v>N</v>
      </c>
      <c r="X159" s="247">
        <f t="shared" si="59"/>
        <v>51</v>
      </c>
      <c r="Y159" s="247">
        <f>RIGHT(D159,LEN(D159)-4)/10000</f>
        <v>4.7800000000000002E-2</v>
      </c>
      <c r="Z159" s="247">
        <f>RIGHT(H159,LEN(H159)-4)/10000</f>
        <v>23.324100000000001</v>
      </c>
      <c r="AA159" s="247">
        <f>ABS(Z159-Y159)</f>
        <v>23.276300000000003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295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s3://rtdc.mdm.uploadarchive.raw/RTDC4052/ "%USERPROFILE%\AppData\Local\Temp\OnboardLogs"\RTDC4052\2017-12-31 --exclude "*" --recursive --include "*20171231*" &amp; "%USERPROFILE%\Documents\GitHub\mrs-test-scripts\Headless Mode &amp; Sideloading\WalkAndUnGZ.bat" "%USERPROFILE%\AppData\Local\Temp\OnboardLogs"\RTDC4052\2017-12-31 &amp; aws s3 cp s3://rtdc.mdm.uploadarchive.raw/RTDC4052/ "%USERPROFILE%\AppData\Local\Temp\OnboardLogs"\RTDC4052\2018-01-01 --exclude "*" --recursive --include "*20180101*" &amp; "%USERPROFILE%\Documents\GitHub\mrs-test-scripts\Headless Mode &amp; Sideloading\WalkAndUnGZ.bat" "%USERPROFILE%\AppData\Local\Temp\OnboardLogs"\RTDC4052\2018-01-01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/stypes="app*4052*20180101*" /stext=" 02:.+((SYSTEM_STATE.+slice.+state.+changed )|(ment ac)|(multiple cpu faults)|(system.+state.+changed )|(\[timeout)|(PRM\|1\|D)|(kpr)|(kdp)|(train st.+moving)|(\|lc)|(penalty))"</v>
      </c>
      <c r="AG159" s="244" t="str">
        <f>DetSubdiv(A159)</f>
        <v>EC</v>
      </c>
      <c r="AH159" s="236" t="str">
        <f t="shared" si="49"/>
        <v>"%USERPROFILE%\Documents\GitHub\eaglep3\Utilities\RefineRTDCRunTimes.py" --tripid 295-31 --locoid 4052 --swversion DE.1.0.9.0 --startMP 204:478 --initTime 2017-12-31T18:38:27 --startdatetime 2017-12-31T18:45:17 --delay 67 --endMP 204:233241 --enddatetime 2017-12-31T19:21:39 --enforcementcount 0 &gt;&gt;%USERPROFILE%\Documents\GitHub\eaglep3-reporting\EC\2017-12-31-refined-times.txt</v>
      </c>
      <c r="AI159" s="238" t="str">
        <f t="shared" si="50"/>
        <v>echo {"issue":{"subject":"","project_id":79,"tracker_id":40,"status_id":1,"priority_id":2,"assigned_to_id":338,"start_date":"2017-12-31","description":"","custom_fields":[{"id":1,"name":"Subdivision","value":"EC"},{"id":4,"name":"Milepost","value":"23.3241"},{"id":17,"name":"Train ID","value":"295-31"},{"id":16,"name":"Locomotive ID","value":"4052"},{"id":130,"name":"Impact","value":""},{"id":150,"name":"Time of Event (Mountain Time)","value":"19:21:39"},{"id":151,"name":"Denver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51"/>
        <v>start /low /b %USERPROFILE%\Documents\GitHub\eaglep3\Utilities\DownloadLogsFromS3.py --loco 4052 --day 2017-12-31</v>
      </c>
      <c r="AN159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53"/>
        <v>https://d0f6bd738d7f1b3e5a7ca70fe4ff75f0.us-east-1.aws.found.io/app/kibana#/discover/Steve-Slow-Train-Analysis-(2080s-and-2083s)?_g=(refreshInterval:(display:Off,pause:!f,section:0,value:0),time:(from:'2017-12-31T17:38:27-0700',mode:absolute,to:'2017-12-31T20:21:39-0700'))&amp;_a=(columns:!('Message%20ID',Summary),filters:!(),index:'emp_*',interval:auto,query:(query_string:(analyze_wildcard:!t,query:'%22rtdc.l.rtdc.4052%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29" t="s">
        <v>847</v>
      </c>
      <c r="B160" s="225">
        <v>4051</v>
      </c>
      <c r="C160" s="227" t="s">
        <v>192</v>
      </c>
      <c r="D160" s="227" t="s">
        <v>658</v>
      </c>
      <c r="E160" s="226">
        <v>43100.812303240738</v>
      </c>
      <c r="F160" s="226">
        <v>43100.821018518516</v>
      </c>
      <c r="G160" s="225">
        <v>70</v>
      </c>
      <c r="H160" s="227" t="s">
        <v>640</v>
      </c>
      <c r="I160" s="226">
        <v>43100.847442129627</v>
      </c>
      <c r="J160" s="225">
        <v>0</v>
      </c>
      <c r="K160" s="237" t="str">
        <f>IF(ISEVEN(B160),(B160-1)&amp;"/"&amp;B160,B160&amp;"/"&amp;(B160+1))</f>
        <v>4051/4052</v>
      </c>
      <c r="L160" s="245" t="str">
        <f>VLOOKUP(A160,'Trips&amp;Operators'!$C$1:$G$99911,5,FALSE)</f>
        <v>KILLION DAVID</v>
      </c>
      <c r="M160" s="224">
        <f>I160-F160</f>
        <v>2.6423611110658385E-2</v>
      </c>
      <c r="N160" s="225">
        <f>24*60*SUM($M160:$M160)</f>
        <v>38.049999999348074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-31T18:29:43-0700',mode:absolute,to:'2017-12-31T21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0" s="247" t="str">
        <f>IF(AA160&lt;VLOOKUP(AG160,Variables!$AC$3:$AD$8,2,FALSE),"Y","N")</f>
        <v>N</v>
      </c>
      <c r="X160" s="247">
        <f t="shared" si="59"/>
        <v>1</v>
      </c>
      <c r="Y160" s="247">
        <f>RIGHT(D160,LEN(D160)-4)/10000</f>
        <v>23.291699999999999</v>
      </c>
      <c r="Z160" s="247">
        <f>RIGHT(H160,LEN(H160)-4)/10000</f>
        <v>1.83E-2</v>
      </c>
      <c r="AA160" s="247">
        <f>ABS(Z160-Y160)</f>
        <v>23.273399999999999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296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s3://rtdc.mdm.uploadarchive.raw/RTDC4051/ "%USERPROFILE%\AppData\Local\Temp\OnboardLogs"\RTDC4051\2017-12-31 --exclude "*" --recursive --include "*20171231*" &amp; "%USERPROFILE%\Documents\GitHub\mrs-test-scripts\Headless Mode &amp; Sideloading\WalkAndUnGZ.bat" "%USERPROFILE%\AppData\Local\Temp\OnboardLogs"\RTDC4051\2017-12-31 &amp; aws s3 cp s3://rtdc.mdm.uploadarchive.raw/RTDC4051/ "%USERPROFILE%\AppData\Local\Temp\OnboardLogs"\RTDC4051\2018-01-01 --exclude "*" --recursive --include "*20180101*" &amp; "%USERPROFILE%\Documents\GitHub\mrs-test-scripts\Headless Mode &amp; Sideloading\WalkAndUnGZ.bat" "%USERPROFILE%\AppData\Local\Temp\OnboardLogs"\RTDC4051\2018-01-01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/stypes="app*4051*20180101*" /stext=" 03:.+((SYSTEM_STATE.+slice.+state.+changed )|(ment ac)|(multiple cpu faults)|(system.+state.+changed )|(\[timeout)|(PRM\|1\|D)|(kpr)|(kdp)|(train st.+moving)|(\|lc)|(penalty))"</v>
      </c>
      <c r="AG160" s="244" t="str">
        <f>DetSubdiv(A160)</f>
        <v>EC</v>
      </c>
      <c r="AH160" s="236" t="str">
        <f t="shared" si="49"/>
        <v>"%USERPROFILE%\Documents\GitHub\eaglep3\Utilities\RefineRTDCRunTimes.py" --tripid 296-31 --locoid 4051 --swversion DE.1.0.9.0 --startMP 204:232917 --initTime 2017-12-31T19:29:43 --startdatetime 2017-12-31T19:42:16 --delay 70 --endMP 204:183 --enddatetime 2017-12-31T20:20:19 --enforcementcount 0 &gt;&gt;%USERPROFILE%\Documents\GitHub\eaglep3-reporting\EC\2017-12-31-refined-times.txt</v>
      </c>
      <c r="AI160" s="238" t="str">
        <f t="shared" si="50"/>
        <v>echo {"issue":{"subject":"","project_id":79,"tracker_id":40,"status_id":1,"priority_id":2,"assigned_to_id":338,"start_date":"2017-12-31","description":"","custom_fields":[{"id":1,"name":"Subdivision","value":"EC"},{"id":4,"name":"Milepost","value":"0.0183"},{"id":17,"name":"Train ID","value":"296-31"},{"id":16,"name":"Locomotive ID","value":"4051"},{"id":130,"name":"Impact","value":""},{"id":150,"name":"Time of Event (Mountain Time)","value":"20:20:19"},{"id":151,"name":"Denver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51"/>
        <v>start /low /b %USERPROFILE%\Documents\GitHub\eaglep3\Utilities\DownloadLogsFromS3.py --loco 4051 --day 2017-12-31</v>
      </c>
      <c r="AN160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03:20:19"},{"id":29,"name":"Sharepoint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53"/>
        <v>https://d0f6bd738d7f1b3e5a7ca70fe4ff75f0.us-east-1.aws.found.io/app/kibana#/discover/Steve-Slow-Train-Analysis-(2080s-and-2083s)?_g=(refreshInterval:(display:Off,pause:!f,section:0,value:0),time:(from:'2017-12-31T18:29:43-0700',mode:absolute,to:'2017-12-31T21:20:19-0700'))&amp;_a=(columns:!('Message%20ID',Summary),filters:!(),index:'emp_*',interval:auto,query:(query_string:(analyze_wildcard:!t,query:'%22rtdc.l.rtdc.4051%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229" t="s">
        <v>846</v>
      </c>
      <c r="B161" s="225">
        <v>4002</v>
      </c>
      <c r="C161" s="227" t="s">
        <v>192</v>
      </c>
      <c r="D161" s="227" t="s">
        <v>647</v>
      </c>
      <c r="E161" s="226">
        <v>43100.798055555555</v>
      </c>
      <c r="F161" s="226">
        <v>43100.800740740742</v>
      </c>
      <c r="G161" s="225">
        <v>62</v>
      </c>
      <c r="H161" s="227" t="s">
        <v>1004</v>
      </c>
      <c r="I161" s="226">
        <v>43100.801435185182</v>
      </c>
      <c r="J161" s="225">
        <v>0</v>
      </c>
      <c r="K161" s="237" t="str">
        <f>IF(ISEVEN(B161),(B161-1)&amp;"/"&amp;B161,B161&amp;"/"&amp;(B161+1))</f>
        <v>4001/4002</v>
      </c>
      <c r="L161" s="245" t="str">
        <f>VLOOKUP(A161,'Trips&amp;Operators'!$C$1:$G$99911,5,FALSE)</f>
        <v>GUNTHIER ERIC</v>
      </c>
      <c r="M161" s="224">
        <f>I161-F161</f>
        <v>6.9444443943211809E-4</v>
      </c>
      <c r="N161" s="225"/>
      <c r="O161" s="225"/>
      <c r="P161" s="225">
        <f>24*60*SUM($M161:$M161)</f>
        <v>0.99999999278225005</v>
      </c>
      <c r="Q161" s="228"/>
      <c r="R161" s="242" t="s">
        <v>1050</v>
      </c>
      <c r="S161" s="249">
        <f>1/IF(AG161="EC",12,1)*SUM(U161:U161)</f>
        <v>0</v>
      </c>
      <c r="T161" s="242" t="str">
        <f>IF(ISEVEN(LEFT(AD161,4)),"Southbound","NorthBound")</f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-31T18:09:12-0700',mode:absolute,to:'2017-12-31T20:14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1" s="247" t="str">
        <f>IF(AA161&lt;VLOOKUP(AG161,Variables!$AC$3:$AD$8,2,FALSE),"Y","N")</f>
        <v>Y</v>
      </c>
      <c r="X161" s="247">
        <f>VALUE(LEFT(AD161,4))-VALUE(LEFT(AD160,4))</f>
        <v>1</v>
      </c>
      <c r="Y161" s="247">
        <f>RIGHT(D161,LEN(D161)-4)/10000</f>
        <v>4.8399999999999999E-2</v>
      </c>
      <c r="Z161" s="247">
        <f>RIGHT(H161,LEN(H161)-4)/10000</f>
        <v>0.11559999999999999</v>
      </c>
      <c r="AA161" s="247">
        <f>ABS(Z161-Y161)</f>
        <v>6.7199999999999996E-2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297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s3://rtdc.mdm.uploadarchive.raw/RTDC4002/ "%USERPROFILE%\AppData\Local\Temp\OnboardLogs"\RTDC4002\2017-12-31 --exclude "*" --recursive --include "*20171231*" &amp; "%USERPROFILE%\Documents\GitHub\mrs-test-scripts\Headless Mode &amp; Sideloading\WalkAndUnGZ.bat" "%USERPROFILE%\AppData\Local\Temp\OnboardLogs"\RTDC4002\2017-12-31 &amp; aws s3 cp s3://rtdc.mdm.uploadarchive.raw/RTDC4002/ "%USERPROFILE%\AppData\Local\Temp\OnboardLogs"\RTDC4002\2018-01-01 --exclude "*" --recursive --include "*20180101*" &amp; "%USERPROFILE%\Documents\GitHub\mrs-test-scripts\Headless Mode &amp; Sideloading\WalkAndUnGZ.bat" "%USERPROFILE%\AppData\Local\Temp\OnboardLogs"\RTDC4002\2018-01-01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/stypes="app*4002*20180101*" /stext=" 02:.+((SYSTEM_STATE.+slice.+state.+changed )|(ment ac)|(multiple cpu faults)|(system.+state.+changed )|(\[timeout)|(PRM\|1\|D)|(kpr)|(kdp)|(train st.+moving)|(\|lc)|(penalty))"</v>
      </c>
      <c r="AG161" s="244" t="str">
        <f>DetSubdiv(A161)</f>
        <v>EC</v>
      </c>
      <c r="AH161" s="236" t="str">
        <f t="shared" si="49"/>
        <v>"%USERPROFILE%\Documents\GitHub\eaglep3\Utilities\RefineRTDCRunTimes.py" --tripid 297-31 --locoid 4002 --swversion DE.1.0.9.0 --startMP 204:484 --initTime 2017-12-31T19:09:12 --startdatetime 2017-12-31T19:13:04 --delay 62 --endMP 204:1156 --enddatetime 2017-12-31T19:14:04 --enforcementcount 0 &gt;&gt;%USERPROFILE%\Documents\GitHub\eaglep3-reporting\EC\2017-12-31-refined-times.txt</v>
      </c>
      <c r="AI161" s="238" t="str">
        <f t="shared" si="50"/>
        <v>echo {"issue":{"subject":"Onboard en route failure during init","project_id":79,"tracker_id":40,"status_id":1,"priority_id":2,"assigned_to_id":338,"start_date":"2017-12-31","description":"","custom_fields":[{"id":1,"name":"Subdivision","value":"EC"},{"id":4,"name":"Milepost","value":"0.1156"},{"id":17,"name":"Train ID","value":"297-31"},{"id":16,"name":"Locomotive ID","value":"4002"},{"id":130,"name":"Impact","value":""},{"id":150,"name":"Time of Event (Mountain Time)","value":"19:14:04"},{"id":151,"name":"Denver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3"/>
      <c r="AK161" s="231"/>
      <c r="AL161" s="231"/>
      <c r="AM161" s="240" t="str">
        <f t="shared" si="51"/>
        <v>start /low /b %USERPROFILE%\Documents\GitHub\eaglep3\Utilities\DownloadLogsFromS3.py --loco 4002 --day 2017-12-31</v>
      </c>
      <c r="AN161" s="241" t="str">
        <f t="shared" si="52"/>
        <v>echo {"issue":{"subject":"Onboard en route failure during init","project_id":30,"tracker_id":4,"status_id":1,"priority_id":1,"assigned_to_id":10,"start_date":"2018-01-01","description":"","custom_fields":[{"id":30,"name":"Category","value":"Issue"},{"id":3,"name":"Functional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02:14:04"},{"id":29,"name":"Sharepoint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53"/>
        <v>https://d0f6bd738d7f1b3e5a7ca70fe4ff75f0.us-east-1.aws.found.io/app/kibana#/discover/Steve-Slow-Train-Analysis-(2080s-and-2083s)?_g=(refreshInterval:(display:Off,pause:!f,section:0,value:0),time:(from:'2017-12-31T18:09:12-0700',mode:absolute,to:'2017-12-31T20:14:04-0700'))&amp;_a=(columns:!('Message%20ID',Summary),filters:!(),index:'emp_*',interval:auto,query:(query_string:(analyze_wildcard:!t,query:'%22rtdc.l.rtdc.4002%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229" t="s">
        <v>849</v>
      </c>
      <c r="B162" s="225">
        <v>4001</v>
      </c>
      <c r="C162" s="227" t="s">
        <v>192</v>
      </c>
      <c r="D162" s="227" t="s">
        <v>551</v>
      </c>
      <c r="E162" s="226">
        <v>43100.838148148148</v>
      </c>
      <c r="F162" s="226">
        <v>43100.842291666668</v>
      </c>
      <c r="G162" s="225">
        <v>62</v>
      </c>
      <c r="H162" s="227" t="s">
        <v>1004</v>
      </c>
      <c r="I162" s="226">
        <v>43100.868634259263</v>
      </c>
      <c r="J162" s="225">
        <v>0</v>
      </c>
      <c r="K162" s="237" t="str">
        <f>IF(ISEVEN(B162),(B162-1)&amp;"/"&amp;B162,B162&amp;"/"&amp;(B162+1))</f>
        <v>4001/4002</v>
      </c>
      <c r="L162" s="245" t="str">
        <f>VLOOKUP(A162,'Trips&amp;Operators'!$C$1:$G$99911,5,FALSE)</f>
        <v>GUNTHIER ERIC</v>
      </c>
      <c r="M162" s="224">
        <f>I162-F162</f>
        <v>2.6342592595028691E-2</v>
      </c>
      <c r="N162" s="225">
        <f>24*60*SUM($M162:$M162)</f>
        <v>37.933333336841315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-12-31T19:06:56-0700',mode:absolute,to:'2017-12-31T21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23.296700000000001</v>
      </c>
      <c r="Z162" s="247">
        <f>RIGHT(H162,LEN(H162)-4)/10000</f>
        <v>0.11559999999999999</v>
      </c>
      <c r="AA162" s="247">
        <f>ABS(Z162-Y162)</f>
        <v>23.181100000000001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298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s3://rtdc.mdm.uploadarchive.raw/RTDC4001/ "%USERPROFILE%\AppData\Local\Temp\OnboardLogs"\RTDC4001\2017-12-31 --exclude "*" --recursive --include "*20171231*" &amp; "%USERPROFILE%\Documents\GitHub\mrs-test-scripts\Headless Mode &amp; Sideloading\WalkAndUnGZ.bat" "%USERPROFILE%\AppData\Local\Temp\OnboardLogs"\RTDC4001\2017-12-31 &amp; aws s3 cp s3://rtdc.mdm.uploadarchive.raw/RTDC4001/ "%USERPROFILE%\AppData\Local\Temp\OnboardLogs"\RTDC4001\2018-01-01 --exclude "*" --recursive --include "*20180101*" &amp; "%USERPROFILE%\Documents\GitHub\mrs-test-scripts\Headless Mode &amp; Sideloading\WalkAndUnGZ.bat" "%USERPROFILE%\AppData\Local\Temp\OnboardLogs"\RTDC4001\2018-01-01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/stypes="app*4001*20180101*" /stext=" 03:.+((SYSTEM_STATE.+slice.+state.+changed )|(ment ac)|(multiple cpu faults)|(system.+state.+changed )|(\[timeout)|(PRM\|1\|D)|(kpr)|(kdp)|(train st.+moving)|(\|lc)|(penalty))"</v>
      </c>
      <c r="AG162" s="244" t="str">
        <f>DetSubdiv(A162)</f>
        <v>EC</v>
      </c>
      <c r="AH162" s="236" t="str">
        <f t="shared" si="49"/>
        <v>"%USERPROFILE%\Documents\GitHub\eaglep3\Utilities\RefineRTDCRunTimes.py" --tripid 298-31 --locoid 4001 --swversion DE.1.0.9.0 --startMP 204:232967 --initTime 2017-12-31T20:06:56 --startdatetime 2017-12-31T20:12:54 --delay 62 --endMP 204:1156 --enddatetime 2017-12-31T20:50:50 --enforcementcount 0 &gt;&gt;%USERPROFILE%\Documents\GitHub\eaglep3-reporting\EC\2017-12-31-refined-times.txt</v>
      </c>
      <c r="AI162" s="238" t="str">
        <f t="shared" si="50"/>
        <v>echo {"issue":{"subject":"","project_id":79,"tracker_id":40,"status_id":1,"priority_id":2,"assigned_to_id":338,"start_date":"2017-12-31","description":"","custom_fields":[{"id":1,"name":"Subdivision","value":"EC"},{"id":4,"name":"Milepost","value":"0.1156"},{"id":17,"name":"Train ID","value":"298-31"},{"id":16,"name":"Locomotive ID","value":"4001"},{"id":130,"name":"Impact","value":""},{"id":150,"name":"Time of Event (Mountain Time)","value":"20:50:50"},{"id":151,"name":"Denver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3"/>
      <c r="AK162" s="231"/>
      <c r="AL162" s="231"/>
      <c r="AM162" s="240" t="str">
        <f t="shared" si="51"/>
        <v>start /low /b %USERPROFILE%\Documents\GitHub\eaglep3\Utilities\DownloadLogsFromS3.py --loco 4001 --day 2017-12-31</v>
      </c>
      <c r="AN162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03:50:50"},{"id":29,"name":"Sharepoint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53"/>
        <v>https://d0f6bd738d7f1b3e5a7ca70fe4ff75f0.us-east-1.aws.found.io/app/kibana#/discover/Steve-Slow-Train-Analysis-(2080s-and-2083s)?_g=(refreshInterval:(display:Off,pause:!f,section:0,value:0),time:(from:'2017-12-31T19:06:56-0700',mode:absolute,to:'2017-12-31T21:50:50-0700'))&amp;_a=(columns:!('Message%20ID',Summary),filters:!(),index:'emp_*',interval:auto,query:(query_string:(analyze_wildcard:!t,query:'%22rtdc.l.rtdc.4001%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717</v>
      </c>
      <c r="B163" s="225">
        <v>4025</v>
      </c>
      <c r="C163" s="227" t="s">
        <v>192</v>
      </c>
      <c r="D163" s="227" t="s">
        <v>921</v>
      </c>
      <c r="E163" s="226">
        <v>43100.241493055553</v>
      </c>
      <c r="F163" s="226">
        <v>43100.242546296293</v>
      </c>
      <c r="G163" s="225">
        <v>44</v>
      </c>
      <c r="H163" s="227" t="s">
        <v>529</v>
      </c>
      <c r="I163" s="226">
        <v>43100.251203703701</v>
      </c>
      <c r="J163" s="225">
        <v>0</v>
      </c>
      <c r="K163" s="237" t="str">
        <f>IF(ISEVEN(B163),(B163-1)&amp;"/"&amp;B163,B163&amp;"/"&amp;(B163+1))</f>
        <v>4025/4026</v>
      </c>
      <c r="L163" s="245" t="str">
        <f>VLOOKUP(A163,'Trips&amp;Operators'!$C$1:$G$99911,5,FALSE)</f>
        <v>MACDONALD THOMAS</v>
      </c>
      <c r="M163" s="224">
        <f>I163-F163</f>
        <v>8.6574074084637687E-3</v>
      </c>
      <c r="N163" s="225">
        <f>24*60*SUM($M163:$M163)</f>
        <v>12.466666668187827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-12-31T04:47:45-0700',mode:absolute,to:'2017-12-31T07:01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1502</v>
      </c>
      <c r="Y163" s="247">
        <f>RIGHT(D163,LEN(D163)-4)/10000</f>
        <v>5.8589000000000002</v>
      </c>
      <c r="Z163" s="247">
        <f>RIGHT(H163,LEN(H163)-4)/10000</f>
        <v>1.6899999999999998E-2</v>
      </c>
      <c r="AA163" s="247">
        <f>ABS(Z163-Y163)</f>
        <v>5.8420000000000005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1800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/stypes="app*4025*20171231*" /stext=" 13:.+((SYSTEM_STATE.+slice.+state.+changed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49"/>
        <v>"%USERPROFILE%\Documents\GitHub\eaglep3\Utilities\RefineRTDCRunTimes.py" --tripid 1800-31 --locoid 4025 --swversion DE.1.0.9.0 --startMP 300:58589 --initTime 2017-12-31T05:47:45 --startdatetime 2017-12-31T05:49:16 --delay 44 --endMP 204:169 --enddatetime 2017-12-31T06:01:44 --enforcementcount 0 &gt;&gt;%USERPROFILE%\Documents\GitHub\eaglep3-reporting\EC\2017-12-31-refined-times.txt</v>
      </c>
      <c r="AI163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{"issue":{"subject":"","project_id":79,"tracker_id":40,"status_id":1,"priority_id":2,"assigned_to_id":338,"start_date":"2017-12-31","description":"","custom_fields":[{"id":1,"name":"Subdivision","value":"NW"},{"id":4,"name":"Milepost","value":"0.0169"},{"id":17,"name":"Train ID","value":"1800-31"},{"id":16,"name":"Locomotive ID","value":"4025"},{"id":130,"name":"Impact","value":""},{"id":150,"name":"Time of Event (Mountain Time)","value":"06:01:44"},{"id":151,"name":"Denver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51"/>
        <v>start /low /b %USERPROFILE%\Documents\GitHub\eaglep3\Utilities\DownloadLogsFromS3.py --loco 4025 --day 2017-12-31</v>
      </c>
      <c r="AN163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13:01:44"},{"id":29,"name":"Sharepoint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53"/>
        <v>https://d0f6bd738d7f1b3e5a7ca70fe4ff75f0.us-east-1.aws.found.io/app/kibana#/discover/Steve-Slow-Train-Analysis-(2080s-and-2083s)?_g=(refreshInterval:(display:Off,pause:!f,section:0,value:0),time:(from:'2017-12-31T04:47:45-0700',mode:absolute,to:'2017-12-31T07:01:44-0700'))&amp;_a=(columns:!('Message%20ID',Summary),filters:!(),index:'emp_*',interval:auto,query:(query_string:(analyze_wildcard:!t,query:'%22rtdc.l.rtdc.4025%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720</v>
      </c>
      <c r="B164" s="225">
        <v>4026</v>
      </c>
      <c r="C164" s="227" t="s">
        <v>192</v>
      </c>
      <c r="D164" s="227" t="s">
        <v>597</v>
      </c>
      <c r="E164" s="226">
        <v>43100.255578703705</v>
      </c>
      <c r="F164" s="226">
        <v>43100.25677083333</v>
      </c>
      <c r="G164" s="225">
        <v>52</v>
      </c>
      <c r="H164" s="227" t="s">
        <v>922</v>
      </c>
      <c r="I164" s="226">
        <v>43100.266006944446</v>
      </c>
      <c r="J164" s="225">
        <v>0</v>
      </c>
      <c r="K164" s="237" t="str">
        <f>IF(ISEVEN(B164),(B164-1)&amp;"/"&amp;B164,B164&amp;"/"&amp;(B164+1))</f>
        <v>4025/4026</v>
      </c>
      <c r="L164" s="245" t="str">
        <f>VLOOKUP(A164,'Trips&amp;Operators'!$C$1:$G$99911,5,FALSE)</f>
        <v>MACDONALD THOMAS</v>
      </c>
      <c r="M164" s="224">
        <f>I164-F164</f>
        <v>9.236111116479151E-3</v>
      </c>
      <c r="N164" s="225">
        <f>24*60*SUM($M164:$M164)</f>
        <v>13.300000007729977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-12-31T05:08:02-0700',mode:absolute,to:'2017-12-31T07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4.6800000000000001E-2</v>
      </c>
      <c r="Z164" s="247">
        <f>RIGHT(H164,LEN(H164)-4)/10000</f>
        <v>5.8925999999999998</v>
      </c>
      <c r="AA164" s="247">
        <f>ABS(Z164-Y164)</f>
        <v>5.8457999999999997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1801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/stypes="app*4026*20171231*" /stext=" 13:.+((SYSTEM_STATE.+slice.+state.+changed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49"/>
        <v>"%USERPROFILE%\Documents\GitHub\eaglep3\Utilities\RefineRTDCRunTimes.py" --tripid 1801-31 --locoid 4026 --swversion DE.1.0.9.0 --startMP 204:468 --initTime 2017-12-31T06:08:02 --startdatetime 2017-12-31T06:09:45 --delay 52 --endMP 300:58926 --enddatetime 2017-12-31T06:23:03 --enforcementcount 0 &gt;&gt;%USERPROFILE%\Documents\GitHub\eaglep3-reporting\EC\2017-12-31-refined-times.txt</v>
      </c>
      <c r="AI164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{"issue":{"subject":"","project_id":79,"tracker_id":40,"status_id":1,"priority_id":2,"assigned_to_id":338,"start_date":"2017-12-31","description":"","custom_fields":[{"id":1,"name":"Subdivision","value":"NW"},{"id":4,"name":"Milepost","value":"5.8926"},{"id":17,"name":"Train ID","value":"1801-31"},{"id":16,"name":"Locomotive ID","value":"4026"},{"id":130,"name":"Impact","value":""},{"id":150,"name":"Time of Event (Mountain Time)","value":"06:23:03"},{"id":151,"name":"Denver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51"/>
        <v>start /low /b %USERPROFILE%\Documents\GitHub\eaglep3\Utilities\DownloadLogsFromS3.py --loco 4026 --day 2017-12-31</v>
      </c>
      <c r="AN164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13:23:03"},{"id":29,"name":"Sharepoint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53"/>
        <v>https://d0f6bd738d7f1b3e5a7ca70fe4ff75f0.us-east-1.aws.found.io/app/kibana#/discover/Steve-Slow-Train-Analysis-(2080s-and-2083s)?_g=(refreshInterval:(display:Off,pause:!f,section:0,value:0),time:(from:'2017-12-31T05:08:02-0700',mode:absolute,to:'2017-12-31T07:23:03-0700'))&amp;_a=(columns:!('Message%20ID',Summary),filters:!(),index:'emp_*',interval:auto,query:(query_string:(analyze_wildcard:!t,query:'%22rtdc.l.rtdc.4026%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724</v>
      </c>
      <c r="B165" s="225">
        <v>4025</v>
      </c>
      <c r="C165" s="227" t="s">
        <v>192</v>
      </c>
      <c r="D165" s="227" t="s">
        <v>923</v>
      </c>
      <c r="E165" s="226">
        <v>43100.267187500001</v>
      </c>
      <c r="F165" s="226">
        <v>43100.279988425929</v>
      </c>
      <c r="G165" s="225">
        <v>45</v>
      </c>
      <c r="H165" s="227" t="s">
        <v>924</v>
      </c>
      <c r="I165" s="226">
        <v>43100.28800925926</v>
      </c>
      <c r="J165" s="225">
        <v>0</v>
      </c>
      <c r="K165" s="237" t="str">
        <f>IF(ISEVEN(B165),(B165-1)&amp;"/"&amp;B165,B165&amp;"/"&amp;(B165+1))</f>
        <v>4025/4026</v>
      </c>
      <c r="L165" s="245" t="str">
        <f>VLOOKUP(A165,'Trips&amp;Operators'!$C$1:$G$99911,5,FALSE)</f>
        <v>MACDONALD THOMAS</v>
      </c>
      <c r="M165" s="224">
        <f>I165-F165</f>
        <v>8.0208333311020397E-3</v>
      </c>
      <c r="N165" s="225">
        <f>24*60*SUM($M165:$M165)</f>
        <v>11.549999996786937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-12-31T05:24:45-0700',mode:absolute,to:'2017-12-31T07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5.8596000000000004</v>
      </c>
      <c r="Z165" s="247">
        <f>RIGHT(H165,LEN(H165)-4)/10000</f>
        <v>1.66E-2</v>
      </c>
      <c r="AA165" s="247">
        <f>ABS(Z165-Y165)</f>
        <v>5.843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1802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/stypes="app*4025*20171231*" /stext=" 13:.+((SYSTEM_STATE.+slice.+state.+changed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49"/>
        <v>"%USERPROFILE%\Documents\GitHub\eaglep3\Utilities\RefineRTDCRunTimes.py" --tripid 1802-31 --locoid 4025 --swversion DE.1.0.9.0 --startMP 300:58596 --initTime 2017-12-31T06:24:45 --startdatetime 2017-12-31T06:43:11 --delay 45 --endMP 204:166 --enddatetime 2017-12-31T06:54:44 --enforcementcount 0 &gt;&gt;%USERPROFILE%\Documents\GitHub\eaglep3-reporting\EC\2017-12-31-refined-times.txt</v>
      </c>
      <c r="AI165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{"issue":{"subject":"","project_id":79,"tracker_id":40,"status_id":1,"priority_id":2,"assigned_to_id":338,"start_date":"2017-12-31","description":"","custom_fields":[{"id":1,"name":"Subdivision","value":"NW"},{"id":4,"name":"Milepost","value":"0.0166"},{"id":17,"name":"Train ID","value":"1802-31"},{"id":16,"name":"Locomotive ID","value":"4025"},{"id":130,"name":"Impact","value":""},{"id":150,"name":"Time of Event (Mountain Time)","value":"06:54:44"},{"id":151,"name":"Denver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51"/>
        <v>start /low /b %USERPROFILE%\Documents\GitHub\eaglep3\Utilities\DownloadLogsFromS3.py --loco 4025 --day 2017-12-31</v>
      </c>
      <c r="AN165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13:54:44"},{"id":29,"name":"Sharepoint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53"/>
        <v>https://d0f6bd738d7f1b3e5a7ca70fe4ff75f0.us-east-1.aws.found.io/app/kibana#/discover/Steve-Slow-Train-Analysis-(2080s-and-2083s)?_g=(refreshInterval:(display:Off,pause:!f,section:0,value:0),time:(from:'2017-12-31T05:24:45-0700',mode:absolute,to:'2017-12-31T07:54:44-0700'))&amp;_a=(columns:!('Message%20ID',Summary),filters:!(),index:'emp_*',interval:auto,query:(query_string:(analyze_wildcard:!t,query:'%22rtdc.l.rtdc.4025%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728</v>
      </c>
      <c r="B166" s="225">
        <v>4026</v>
      </c>
      <c r="C166" s="227" t="s">
        <v>192</v>
      </c>
      <c r="D166" s="227" t="s">
        <v>597</v>
      </c>
      <c r="E166" s="226">
        <v>43100.296296296299</v>
      </c>
      <c r="F166" s="226">
        <v>43100.298148148147</v>
      </c>
      <c r="G166" s="225">
        <v>78</v>
      </c>
      <c r="H166" s="227" t="s">
        <v>925</v>
      </c>
      <c r="I166" s="226">
        <v>43100.307604166665</v>
      </c>
      <c r="J166" s="225">
        <v>0</v>
      </c>
      <c r="K166" s="237" t="str">
        <f>IF(ISEVEN(B166),(B166-1)&amp;"/"&amp;B166,B166&amp;"/"&amp;(B166+1))</f>
        <v>4025/4026</v>
      </c>
      <c r="L166" s="245" t="str">
        <f>VLOOKUP(A166,'Trips&amp;Operators'!$C$1:$G$99911,5,FALSE)</f>
        <v>MACDONALD THOMAS</v>
      </c>
      <c r="M166" s="224">
        <f>I166-F166</f>
        <v>9.4560185170848854E-3</v>
      </c>
      <c r="N166" s="225">
        <f>24*60*SUM($M166:$M166)</f>
        <v>13.616666664602235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-12-31T06:06:40-0700',mode:absolute,to:'2017-12-31T08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4.6800000000000001E-2</v>
      </c>
      <c r="Z166" s="247">
        <f>RIGHT(H166,LEN(H166)-4)/10000</f>
        <v>5.8905000000000003</v>
      </c>
      <c r="AA166" s="247">
        <f>ABS(Z166-Y166)</f>
        <v>5.8437000000000001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1803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/stypes="app*4026*20171231*" /stext=" 14:.+((SYSTEM_STATE.+slice.+state.+changed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49"/>
        <v>"%USERPROFILE%\Documents\GitHub\eaglep3\Utilities\RefineRTDCRunTimes.py" --tripid 1803-31 --locoid 4026 --swversion DE.1.0.9.0 --startMP 204:468 --initTime 2017-12-31T07:06:40 --startdatetime 2017-12-31T07:09:20 --delay 78 --endMP 300:58905 --enddatetime 2017-12-31T07:22:57 --enforcementcount 0 &gt;&gt;%USERPROFILE%\Documents\GitHub\eaglep3-reporting\EC\2017-12-31-refined-times.txt</v>
      </c>
      <c r="AI166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{"issue":{"subject":"","project_id":79,"tracker_id":40,"status_id":1,"priority_id":2,"assigned_to_id":338,"start_date":"2017-12-31","description":"","custom_fields":[{"id":1,"name":"Subdivision","value":"NW"},{"id":4,"name":"Milepost","value":"5.8905"},{"id":17,"name":"Train ID","value":"1803-31"},{"id":16,"name":"Locomotive ID","value":"4026"},{"id":130,"name":"Impact","value":""},{"id":150,"name":"Time of Event (Mountain Time)","value":"07:22:57"},{"id":151,"name":"Denver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51"/>
        <v>start /low /b %USERPROFILE%\Documents\GitHub\eaglep3\Utilities\DownloadLogsFromS3.py --loco 4026 --day 2017-12-31</v>
      </c>
      <c r="AN166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14:22:57"},{"id":29,"name":"Sharepoint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53"/>
        <v>https://d0f6bd738d7f1b3e5a7ca70fe4ff75f0.us-east-1.aws.found.io/app/kibana#/discover/Steve-Slow-Train-Analysis-(2080s-and-2083s)?_g=(refreshInterval:(display:Off,pause:!f,section:0,value:0),time:(from:'2017-12-31T06:06:40-0700',mode:absolute,to:'2017-12-31T08:22:57-0700'))&amp;_a=(columns:!('Message%20ID',Summary),filters:!(),index:'emp_*',interval:auto,query:(query_string:(analyze_wildcard:!t,query:'%22rtdc.l.rtdc.4026%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731</v>
      </c>
      <c r="B167" s="225">
        <v>4025</v>
      </c>
      <c r="C167" s="227" t="s">
        <v>192</v>
      </c>
      <c r="D167" s="227" t="s">
        <v>926</v>
      </c>
      <c r="E167" s="226">
        <v>43100.308391203704</v>
      </c>
      <c r="F167" s="226">
        <v>43100.321655092594</v>
      </c>
      <c r="G167" s="225">
        <v>57</v>
      </c>
      <c r="H167" s="227" t="s">
        <v>649</v>
      </c>
      <c r="I167" s="226">
        <v>43100.329513888886</v>
      </c>
      <c r="J167" s="225">
        <v>0</v>
      </c>
      <c r="K167" s="237" t="str">
        <f>IF(ISEVEN(B167),(B167-1)&amp;"/"&amp;B167,B167&amp;"/"&amp;(B167+1))</f>
        <v>4025/4026</v>
      </c>
      <c r="L167" s="245" t="str">
        <f>VLOOKUP(A167,'Trips&amp;Operators'!$C$1:$G$99911,5,FALSE)</f>
        <v>MACDONALD THOMAS</v>
      </c>
      <c r="M167" s="224">
        <f>I167-F167</f>
        <v>7.8587962925666943E-3</v>
      </c>
      <c r="N167" s="225">
        <f>24*60*SUM($M167:$M167)</f>
        <v>11.31666666129604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-12-31T06:24:05-0700',mode:absolute,to:'2017-12-31T08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5.8586999999999998</v>
      </c>
      <c r="Z167" s="247">
        <f>RIGHT(H167,LEN(H167)-4)/10000</f>
        <v>1.6400000000000001E-2</v>
      </c>
      <c r="AA167" s="247">
        <f>ABS(Z167-Y167)</f>
        <v>5.8422999999999998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1804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/stypes="app*4025*20171231*" /stext=" 14:.+((SYSTEM_STATE.+slice.+state.+changed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49"/>
        <v>"%USERPROFILE%\Documents\GitHub\eaglep3\Utilities\RefineRTDCRunTimes.py" --tripid 1804-31 --locoid 4025 --swversion DE.1.0.9.0 --startMP 300:58587 --initTime 2017-12-31T07:24:05 --startdatetime 2017-12-31T07:43:11 --delay 57 --endMP 204:164 --enddatetime 2017-12-31T07:54:30 --enforcementcount 0 &gt;&gt;%USERPROFILE%\Documents\GitHub\eaglep3-reporting\EC\2017-12-31-refined-times.txt</v>
      </c>
      <c r="AI167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{"issue":{"subject":"","project_id":79,"tracker_id":40,"status_id":1,"priority_id":2,"assigned_to_id":338,"start_date":"2017-12-31","description":"","custom_fields":[{"id":1,"name":"Subdivision","value":"NW"},{"id":4,"name":"Milepost","value":"0.0164"},{"id":17,"name":"Train ID","value":"1804-31"},{"id":16,"name":"Locomotive ID","value":"4025"},{"id":130,"name":"Impact","value":""},{"id":150,"name":"Time of Event (Mountain Time)","value":"07:54:30"},{"id":151,"name":"Denver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51"/>
        <v>start /low /b %USERPROFILE%\Documents\GitHub\eaglep3\Utilities\DownloadLogsFromS3.py --loco 4025 --day 2017-12-31</v>
      </c>
      <c r="AN167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14:54:30"},{"id":29,"name":"Sharepoint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53"/>
        <v>https://d0f6bd738d7f1b3e5a7ca70fe4ff75f0.us-east-1.aws.found.io/app/kibana#/discover/Steve-Slow-Train-Analysis-(2080s-and-2083s)?_g=(refreshInterval:(display:Off,pause:!f,section:0,value:0),time:(from:'2017-12-31T06:24:05-0700',mode:absolute,to:'2017-12-31T08:54:30-0700'))&amp;_a=(columns:!('Message%20ID',Summary),filters:!(),index:'emp_*',interval:auto,query:(query_string:(analyze_wildcard:!t,query:'%22rtdc.l.rtdc.4025%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676</v>
      </c>
      <c r="B168" s="225">
        <v>4026</v>
      </c>
      <c r="C168" s="227" t="s">
        <v>192</v>
      </c>
      <c r="D168" s="227" t="s">
        <v>565</v>
      </c>
      <c r="E168" s="226">
        <v>43100.338078703702</v>
      </c>
      <c r="F168" s="226">
        <v>43100.339803240742</v>
      </c>
      <c r="G168" s="225">
        <v>54</v>
      </c>
      <c r="H168" s="227" t="s">
        <v>927</v>
      </c>
      <c r="I168" s="226">
        <v>43100.349953703706</v>
      </c>
      <c r="J168" s="225">
        <v>0</v>
      </c>
      <c r="K168" s="237" t="str">
        <f>IF(ISEVEN(B168),(B168-1)&amp;"/"&amp;B168,B168&amp;"/"&amp;(B168+1))</f>
        <v>4025/4026</v>
      </c>
      <c r="L168" s="245" t="str">
        <f>VLOOKUP(A168,'Trips&amp;Operators'!$C$1:$G$99911,5,FALSE)</f>
        <v>MACDONALD THOMAS</v>
      </c>
      <c r="M168" s="224">
        <f>I168-F168</f>
        <v>1.0150462963792961E-2</v>
      </c>
      <c r="N168" s="225">
        <f>24*60*SUM($M168:$M168)</f>
        <v>14.616666667861864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-31T07:06:50-0700',mode:absolute,to:'2017-12-31T09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4.5499999999999999E-2</v>
      </c>
      <c r="Z168" s="247">
        <f>RIGHT(H168,LEN(H168)-4)/10000</f>
        <v>5.8917999999999999</v>
      </c>
      <c r="AA168" s="247">
        <f>ABS(Z168-Y168)</f>
        <v>5.8463000000000003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1805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/stypes="app*4026*20171231*" /stext=" 15:.+((SYSTEM_STATE.+slice.+state.+changed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49"/>
        <v>"%USERPROFILE%\Documents\GitHub\eaglep3\Utilities\RefineRTDCRunTimes.py" --tripid 1805-31 --locoid 4026 --swversion DE.1.0.9.0 --startMP 204:455 --initTime 2017-12-31T08:06:50 --startdatetime 2017-12-31T08:09:19 --delay 54 --endMP 300:58918 --enddatetime 2017-12-31T08:23:56 --enforcementcount 0 &gt;&gt;%USERPROFILE%\Documents\GitHub\eaglep3-reporting\EC\2017-12-31-refined-times.txt</v>
      </c>
      <c r="AI168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{"issue":{"subject":"","project_id":79,"tracker_id":40,"status_id":1,"priority_id":2,"assigned_to_id":338,"start_date":"2017-12-31","description":"","custom_fields":[{"id":1,"name":"Subdivision","value":"NW"},{"id":4,"name":"Milepost","value":"5.8918"},{"id":17,"name":"Train ID","value":"1805-31"},{"id":16,"name":"Locomotive ID","value":"4026"},{"id":130,"name":"Impact","value":""},{"id":150,"name":"Time of Event (Mountain Time)","value":"08:23:56"},{"id":151,"name":"Denver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51"/>
        <v>start /low /b %USERPROFILE%\Documents\GitHub\eaglep3\Utilities\DownloadLogsFromS3.py --loco 4026 --day 2017-12-31</v>
      </c>
      <c r="AN168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15:23:56"},{"id":29,"name":"Sharepoint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53"/>
        <v>https://d0f6bd738d7f1b3e5a7ca70fe4ff75f0.us-east-1.aws.found.io/app/kibana#/discover/Steve-Slow-Train-Analysis-(2080s-and-2083s)?_g=(refreshInterval:(display:Off,pause:!f,section:0,value:0),time:(from:'2017-12-31T07:06:50-0700',mode:absolute,to:'2017-12-31T09:23:56-0700'))&amp;_a=(columns:!('Message%20ID',Summary),filters:!(),index:'emp_*',interval:auto,query:(query_string:(analyze_wildcard:!t,query:'%22rtdc.l.rtdc.4026%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741</v>
      </c>
      <c r="B169" s="225">
        <v>4025</v>
      </c>
      <c r="C169" s="227" t="s">
        <v>192</v>
      </c>
      <c r="D169" s="227" t="s">
        <v>928</v>
      </c>
      <c r="E169" s="226">
        <v>43100.350578703707</v>
      </c>
      <c r="F169" s="226">
        <v>43100.362037037034</v>
      </c>
      <c r="G169" s="225">
        <v>50</v>
      </c>
      <c r="H169" s="227" t="s">
        <v>929</v>
      </c>
      <c r="I169" s="226">
        <v>43100.371562499997</v>
      </c>
      <c r="J169" s="225">
        <v>0</v>
      </c>
      <c r="K169" s="237" t="str">
        <f>IF(ISEVEN(B169),(B169-1)&amp;"/"&amp;B169,B169&amp;"/"&amp;(B169+1))</f>
        <v>4025/4026</v>
      </c>
      <c r="L169" s="245" t="str">
        <f>VLOOKUP(A169,'Trips&amp;Operators'!$C$1:$G$99911,5,FALSE)</f>
        <v>MACDONALD THOMAS</v>
      </c>
      <c r="M169" s="224">
        <f>I169-F169</f>
        <v>9.5254629632108845E-3</v>
      </c>
      <c r="N169" s="225">
        <f>24*60*SUM($M169:$M169)</f>
        <v>13.716666667023674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-12-31T07:24:50-0700',mode:absolute,to:'2017-12-31T09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5.8605999999999998</v>
      </c>
      <c r="Z169" s="247">
        <f>RIGHT(H169,LEN(H169)-4)/10000</f>
        <v>1.6199999999999999E-2</v>
      </c>
      <c r="AA169" s="247">
        <f>ABS(Z169-Y169)</f>
        <v>5.8443999999999994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1806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/stypes="app*4025*20171231*" /stext=" 15:.+((SYSTEM_STATE.+slice.+state.+changed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49"/>
        <v>"%USERPROFILE%\Documents\GitHub\eaglep3\Utilities\RefineRTDCRunTimes.py" --tripid 1806-31 --locoid 4025 --swversion DE.1.0.9.0 --startMP 300:58606 --initTime 2017-12-31T08:24:50 --startdatetime 2017-12-31T08:41:20 --delay 50 --endMP 204:162 --enddatetime 2017-12-31T08:55:03 --enforcementcount 0 &gt;&gt;%USERPROFILE%\Documents\GitHub\eaglep3-reporting\EC\2017-12-31-refined-times.txt</v>
      </c>
      <c r="AI169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{"issue":{"subject":"","project_id":79,"tracker_id":40,"status_id":1,"priority_id":2,"assigned_to_id":338,"start_date":"2017-12-31","description":"","custom_fields":[{"id":1,"name":"Subdivision","value":"NW"},{"id":4,"name":"Milepost","value":"0.0162"},{"id":17,"name":"Train ID","value":"1806-31"},{"id":16,"name":"Locomotive ID","value":"4025"},{"id":130,"name":"Impact","value":""},{"id":150,"name":"Time of Event (Mountain Time)","value":"08:55:03"},{"id":151,"name":"Denver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51"/>
        <v>start /low /b %USERPROFILE%\Documents\GitHub\eaglep3\Utilities\DownloadLogsFromS3.py --loco 4025 --day 2017-12-31</v>
      </c>
      <c r="AN169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15:55:03"},{"id":29,"name":"Sharepoint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53"/>
        <v>https://d0f6bd738d7f1b3e5a7ca70fe4ff75f0.us-east-1.aws.found.io/app/kibana#/discover/Steve-Slow-Train-Analysis-(2080s-and-2083s)?_g=(refreshInterval:(display:Off,pause:!f,section:0,value:0),time:(from:'2017-12-31T07:24:50-0700',mode:absolute,to:'2017-12-31T09:55:03-0700'))&amp;_a=(columns:!('Message%20ID',Summary),filters:!(),index:'emp_*',interval:auto,query:(query_string:(analyze_wildcard:!t,query:'%22rtdc.l.rtdc.4025%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746</v>
      </c>
      <c r="B170" s="225">
        <v>4026</v>
      </c>
      <c r="C170" s="227" t="s">
        <v>192</v>
      </c>
      <c r="D170" s="227" t="s">
        <v>510</v>
      </c>
      <c r="E170" s="226">
        <v>43100.380613425928</v>
      </c>
      <c r="F170" s="226">
        <v>43100.381932870368</v>
      </c>
      <c r="G170" s="225">
        <v>78</v>
      </c>
      <c r="H170" s="227" t="s">
        <v>930</v>
      </c>
      <c r="I170" s="226">
        <v>43100.391250000001</v>
      </c>
      <c r="J170" s="225">
        <v>0</v>
      </c>
      <c r="K170" s="237" t="str">
        <f>IF(ISEVEN(B170),(B170-1)&amp;"/"&amp;B170,B170&amp;"/"&amp;(B170+1))</f>
        <v>4025/4026</v>
      </c>
      <c r="L170" s="245" t="str">
        <f>VLOOKUP(A170,'Trips&amp;Operators'!$C$1:$G$99911,5,FALSE)</f>
        <v>MACDONALD THOMAS</v>
      </c>
      <c r="M170" s="224">
        <f>I170-F170</f>
        <v>9.3171296321088448E-3</v>
      </c>
      <c r="N170" s="225">
        <f>24*60*SUM($M170:$M170)</f>
        <v>13.416666670236737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-12-31T08:08:05-0700',mode:absolute,to:'2017-12-31T10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4.6399999999999997E-2</v>
      </c>
      <c r="Z170" s="247">
        <f>RIGHT(H170,LEN(H170)-4)/10000</f>
        <v>5.8909000000000002</v>
      </c>
      <c r="AA170" s="247">
        <f>ABS(Z170-Y170)</f>
        <v>5.8445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1807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/stypes="app*4026*20171231*" /stext=" 16:.+((SYSTEM_STATE.+slice.+state.+changed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49"/>
        <v>"%USERPROFILE%\Documents\GitHub\eaglep3\Utilities\RefineRTDCRunTimes.py" --tripid 1807-31 --locoid 4026 --swversion DE.1.0.9.0 --startMP 204:464 --initTime 2017-12-31T09:08:05 --startdatetime 2017-12-31T09:09:59 --delay 78 --endMP 300:58909 --enddatetime 2017-12-31T09:23:24 --enforcementcount 0 &gt;&gt;%USERPROFILE%\Documents\GitHub\eaglep3-reporting\EC\2017-12-31-refined-times.txt</v>
      </c>
      <c r="AI170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{"issue":{"subject":"","project_id":79,"tracker_id":40,"status_id":1,"priority_id":2,"assigned_to_id":338,"start_date":"2017-12-31","description":"","custom_fields":[{"id":1,"name":"Subdivision","value":"NW"},{"id":4,"name":"Milepost","value":"5.8909"},{"id":17,"name":"Train ID","value":"1807-31"},{"id":16,"name":"Locomotive ID","value":"4026"},{"id":130,"name":"Impact","value":""},{"id":150,"name":"Time of Event (Mountain Time)","value":"09:23:24"},{"id":151,"name":"Denver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51"/>
        <v>start /low /b %USERPROFILE%\Documents\GitHub\eaglep3\Utilities\DownloadLogsFromS3.py --loco 4026 --day 2017-12-31</v>
      </c>
      <c r="AN170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16:23:24"},{"id":29,"name":"Sharepoint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53"/>
        <v>https://d0f6bd738d7f1b3e5a7ca70fe4ff75f0.us-east-1.aws.found.io/app/kibana#/discover/Steve-Slow-Train-Analysis-(2080s-and-2083s)?_g=(refreshInterval:(display:Off,pause:!f,section:0,value:0),time:(from:'2017-12-31T08:08:05-0700',mode:absolute,to:'2017-12-31T10:23:24-0700'))&amp;_a=(columns:!('Message%20ID',Summary),filters:!(),index:'emp_*',interval:auto,query:(query_string:(analyze_wildcard:!t,query:'%22rtdc.l.rtdc.4026%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749</v>
      </c>
      <c r="B171" s="225">
        <v>4025</v>
      </c>
      <c r="C171" s="227" t="s">
        <v>192</v>
      </c>
      <c r="D171" s="227" t="s">
        <v>931</v>
      </c>
      <c r="E171" s="226">
        <v>43100.391817129632</v>
      </c>
      <c r="F171" s="226">
        <v>43100.404409722221</v>
      </c>
      <c r="G171" s="225">
        <v>44</v>
      </c>
      <c r="H171" s="227" t="s">
        <v>529</v>
      </c>
      <c r="I171" s="226">
        <v>43100.413148148145</v>
      </c>
      <c r="J171" s="225">
        <v>0</v>
      </c>
      <c r="K171" s="237" t="str">
        <f>IF(ISEVEN(B171),(B171-1)&amp;"/"&amp;B171,B171&amp;"/"&amp;(B171+1))</f>
        <v>4025/4026</v>
      </c>
      <c r="L171" s="245" t="str">
        <f>VLOOKUP(A171,'Trips&amp;Operators'!$C$1:$G$99911,5,FALSE)</f>
        <v>MACDONALD THOMAS</v>
      </c>
      <c r="M171" s="224">
        <f>I171-F171</f>
        <v>8.7384259240934625E-3</v>
      </c>
      <c r="N171" s="225">
        <f>24*60*SUM($M171:$M171)</f>
        <v>12.583333330694586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-31T08:24:13-0700',mode:absolute,to:'2017-12-31T10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5.8597999999999999</v>
      </c>
      <c r="Z171" s="247">
        <f>RIGHT(H171,LEN(H171)-4)/10000</f>
        <v>1.6899999999999998E-2</v>
      </c>
      <c r="AA171" s="247">
        <f>ABS(Z171-Y171)</f>
        <v>5.8429000000000002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1808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/stypes="app*4025*20171231*" /stext=" 16:.+((SYSTEM_STATE.+slice.+state.+changed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49"/>
        <v>"%USERPROFILE%\Documents\GitHub\eaglep3\Utilities\RefineRTDCRunTimes.py" --tripid 1808-31 --locoid 4025 --swversion DE.1.0.9.0 --startMP 300:58598 --initTime 2017-12-31T09:24:13 --startdatetime 2017-12-31T09:42:21 --delay 44 --endMP 204:169 --enddatetime 2017-12-31T09:54:56 --enforcementcount 0 &gt;&gt;%USERPROFILE%\Documents\GitHub\eaglep3-reporting\EC\2017-12-31-refined-times.txt</v>
      </c>
      <c r="AI171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{"issue":{"subject":"","project_id":79,"tracker_id":40,"status_id":1,"priority_id":2,"assigned_to_id":338,"start_date":"2017-12-31","description":"","custom_fields":[{"id":1,"name":"Subdivision","value":"NW"},{"id":4,"name":"Milepost","value":"0.0169"},{"id":17,"name":"Train ID","value":"1808-31"},{"id":16,"name":"Locomotive ID","value":"4025"},{"id":130,"name":"Impact","value":""},{"id":150,"name":"Time of Event (Mountain Time)","value":"09:54:56"},{"id":151,"name":"Denver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51"/>
        <v>start /low /b %USERPROFILE%\Documents\GitHub\eaglep3\Utilities\DownloadLogsFromS3.py --loco 4025 --day 2017-12-31</v>
      </c>
      <c r="AN171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16:54:56"},{"id":29,"name":"Sharepoint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53"/>
        <v>https://d0f6bd738d7f1b3e5a7ca70fe4ff75f0.us-east-1.aws.found.io/app/kibana#/discover/Steve-Slow-Train-Analysis-(2080s-and-2083s)?_g=(refreshInterval:(display:Off,pause:!f,section:0,value:0),time:(from:'2017-12-31T08:24:13-0700',mode:absolute,to:'2017-12-31T10:54:56-0700'))&amp;_a=(columns:!('Message%20ID',Summary),filters:!(),index:'emp_*',interval:auto,query:(query_string:(analyze_wildcard:!t,query:'%22rtdc.l.rtdc.4025%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229" t="s">
        <v>756</v>
      </c>
      <c r="B172" s="225">
        <v>4026</v>
      </c>
      <c r="C172" s="227" t="s">
        <v>192</v>
      </c>
      <c r="D172" s="227" t="s">
        <v>596</v>
      </c>
      <c r="E172" s="226">
        <v>43100.42287037037</v>
      </c>
      <c r="F172" s="226">
        <v>43100.424039351848</v>
      </c>
      <c r="G172" s="225">
        <v>56</v>
      </c>
      <c r="H172" s="227" t="s">
        <v>932</v>
      </c>
      <c r="I172" s="226">
        <v>43100.433553240742</v>
      </c>
      <c r="J172" s="225">
        <v>0</v>
      </c>
      <c r="K172" s="237" t="str">
        <f>IF(ISEVEN(B172),(B172-1)&amp;"/"&amp;B172,B172&amp;"/"&amp;(B172+1))</f>
        <v>4025/4026</v>
      </c>
      <c r="L172" s="245" t="str">
        <f>VLOOKUP(A172,'Trips&amp;Operators'!$C$1:$G$99911,5,FALSE)</f>
        <v>MACDONALD THOMAS</v>
      </c>
      <c r="M172" s="224">
        <f>I172-F172</f>
        <v>9.5138888937071897E-3</v>
      </c>
      <c r="N172" s="225">
        <f>24*60*SUM($M172:$M172)</f>
        <v>13.700000006938353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-12-31T09:08:56-0700',mode:absolute,to:'2017-12-31T11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4.7100000000000003E-2</v>
      </c>
      <c r="Z172" s="247">
        <f>RIGHT(H172,LEN(H172)-4)/10000</f>
        <v>5.8920000000000003</v>
      </c>
      <c r="AA172" s="247">
        <f>ABS(Z172-Y172)</f>
        <v>5.8449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1809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/stypes="app*4026*20171231*" /stext=" 17:.+((SYSTEM_STATE.+slice.+state.+changed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49"/>
        <v>"%USERPROFILE%\Documents\GitHub\eaglep3\Utilities\RefineRTDCRunTimes.py" --tripid 1809-31 --locoid 4026 --swversion DE.1.0.9.0 --startMP 204:471 --initTime 2017-12-31T10:08:56 --startdatetime 2017-12-31T10:10:37 --delay 56 --endMP 300:58920 --enddatetime 2017-12-31T10:24:19 --enforcementcount 0 &gt;&gt;%USERPROFILE%\Documents\GitHub\eaglep3-reporting\EC\2017-12-31-refined-times.txt</v>
      </c>
      <c r="AI172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{"issue":{"subject":"","project_id":79,"tracker_id":40,"status_id":1,"priority_id":2,"assigned_to_id":338,"start_date":"2017-12-31","description":"","custom_fields":[{"id":1,"name":"Subdivision","value":"NW"},{"id":4,"name":"Milepost","value":"5.892"},{"id":17,"name":"Train ID","value":"1809-31"},{"id":16,"name":"Locomotive ID","value":"4026"},{"id":130,"name":"Impact","value":""},{"id":150,"name":"Time of Event (Mountain Time)","value":"10:24:19"},{"id":151,"name":"Denver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3"/>
      <c r="AK172" s="231"/>
      <c r="AL172" s="231"/>
      <c r="AM172" s="240" t="str">
        <f t="shared" si="51"/>
        <v>start /low /b %USERPROFILE%\Documents\GitHub\eaglep3\Utilities\DownloadLogsFromS3.py --loco 4026 --day 2017-12-31</v>
      </c>
      <c r="AN172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17:24:19"},{"id":29,"name":"Sharepoint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53"/>
        <v>https://d0f6bd738d7f1b3e5a7ca70fe4ff75f0.us-east-1.aws.found.io/app/kibana#/discover/Steve-Slow-Train-Analysis-(2080s-and-2083s)?_g=(refreshInterval:(display:Off,pause:!f,section:0,value:0),time:(from:'2017-12-31T09:08:56-0700',mode:absolute,to:'2017-12-31T11:24:19-0700'))&amp;_a=(columns:!('Message%20ID',Summary),filters:!(),index:'emp_*',interval:auto,query:(query_string:(analyze_wildcard:!t,query:'%22rtdc.l.rtdc.4026%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29" t="s">
        <v>758</v>
      </c>
      <c r="B173" s="225">
        <v>4025</v>
      </c>
      <c r="C173" s="227" t="s">
        <v>192</v>
      </c>
      <c r="D173" s="227" t="s">
        <v>934</v>
      </c>
      <c r="E173" s="226">
        <v>43100.434120370373</v>
      </c>
      <c r="F173" s="226">
        <v>43100.446805555555</v>
      </c>
      <c r="G173" s="225">
        <v>75</v>
      </c>
      <c r="H173" s="227" t="s">
        <v>627</v>
      </c>
      <c r="I173" s="226">
        <v>43100.455011574071</v>
      </c>
      <c r="J173" s="225">
        <v>0</v>
      </c>
      <c r="K173" s="237" t="str">
        <f>IF(ISEVEN(B173),(B173-1)&amp;"/"&amp;B173,B173&amp;"/"&amp;(B173+1))</f>
        <v>4025/4026</v>
      </c>
      <c r="L173" s="245" t="str">
        <f>VLOOKUP(A173,'Trips&amp;Operators'!$C$1:$G$99911,5,FALSE)</f>
        <v>MACDONALD THOMAS</v>
      </c>
      <c r="M173" s="224">
        <f>I173-F173</f>
        <v>8.2060185159207322E-3</v>
      </c>
      <c r="N173" s="225">
        <f>24*60*SUM($M173:$M173)</f>
        <v>11.816666662925854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-31T09:25:08-0700',mode:absolute,to:'2017-12-31T11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5.8592000000000004</v>
      </c>
      <c r="Z173" s="247">
        <f>RIGHT(H173,LEN(H173)-4)/10000</f>
        <v>1.7999999999999999E-2</v>
      </c>
      <c r="AA173" s="247">
        <f>ABS(Z173-Y173)</f>
        <v>5.8412000000000006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1810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/stypes="app*4025*20171231*" /stext=" 17:.+((SYSTEM_STATE.+slice.+state.+changed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49"/>
        <v>"%USERPROFILE%\Documents\GitHub\eaglep3\Utilities\RefineRTDCRunTimes.py" --tripid 1810-31 --locoid 4025 --swversion DE.1.0.9.0 --startMP 300:58592 --initTime 2017-12-31T10:25:08 --startdatetime 2017-12-31T10:43:24 --delay 75 --endMP 204:180 --enddatetime 2017-12-31T10:55:13 --enforcementcount 0 &gt;&gt;%USERPROFILE%\Documents\GitHub\eaglep3-reporting\EC\2017-12-31-refined-times.txt</v>
      </c>
      <c r="AI173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{"issue":{"subject":"","project_id":79,"tracker_id":40,"status_id":1,"priority_id":2,"assigned_to_id":338,"start_date":"2017-12-31","description":"","custom_fields":[{"id":1,"name":"Subdivision","value":"NW"},{"id":4,"name":"Milepost","value":"0.018"},{"id":17,"name":"Train ID","value":"1810-31"},{"id":16,"name":"Locomotive ID","value":"4025"},{"id":130,"name":"Impact","value":""},{"id":150,"name":"Time of Event (Mountain Time)","value":"10:55:13"},{"id":151,"name":"Denver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51"/>
        <v>start /low /b %USERPROFILE%\Documents\GitHub\eaglep3\Utilities\DownloadLogsFromS3.py --loco 4025 --day 2017-12-31</v>
      </c>
      <c r="AN173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17:55:13"},{"id":29,"name":"Sharepoint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53"/>
        <v>https://d0f6bd738d7f1b3e5a7ca70fe4ff75f0.us-east-1.aws.found.io/app/kibana#/discover/Steve-Slow-Train-Analysis-(2080s-and-2083s)?_g=(refreshInterval:(display:Off,pause:!f,section:0,value:0),time:(from:'2017-12-31T09:25:08-0700',mode:absolute,to:'2017-12-31T11:55:13-0700'))&amp;_a=(columns:!('Message%20ID',Summary),filters:!(),index:'emp_*',interval:auto,query:(query_string:(analyze_wildcard:!t,query:'%22rtdc.l.rtdc.4025%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764</v>
      </c>
      <c r="B174" s="225">
        <v>4026</v>
      </c>
      <c r="C174" s="227" t="s">
        <v>192</v>
      </c>
      <c r="D174" s="227" t="s">
        <v>657</v>
      </c>
      <c r="E174" s="226">
        <v>43100.463599537034</v>
      </c>
      <c r="F174" s="226">
        <v>43100.46497685185</v>
      </c>
      <c r="G174" s="225">
        <v>80</v>
      </c>
      <c r="H174" s="227" t="s">
        <v>935</v>
      </c>
      <c r="I174" s="226">
        <v>43100.474710648145</v>
      </c>
      <c r="J174" s="225">
        <v>0</v>
      </c>
      <c r="K174" s="237" t="str">
        <f>IF(ISEVEN(B174),(B174-1)&amp;"/"&amp;B174,B174&amp;"/"&amp;(B174+1))</f>
        <v>4025/4026</v>
      </c>
      <c r="L174" s="245" t="str">
        <f>VLOOKUP(A174,'Trips&amp;Operators'!$C$1:$G$99911,5,FALSE)</f>
        <v>MACDONALD THOMAS</v>
      </c>
      <c r="M174" s="224">
        <f>I174-F174</f>
        <v>9.7337962943129241E-3</v>
      </c>
      <c r="N174" s="225">
        <f>24*60*SUM($M174:$M174)</f>
        <v>14.016666663810611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-12-31T10:07:35-0700',mode:absolute,to:'2017-12-31T12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4.7500000000000001E-2</v>
      </c>
      <c r="Z174" s="247">
        <f>RIGHT(H174,LEN(H174)-4)/10000</f>
        <v>5.8921999999999999</v>
      </c>
      <c r="AA174" s="247">
        <f>ABS(Z174-Y174)</f>
        <v>5.8446999999999996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1811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/stypes="app*4026*20171231*" /stext=" 18:.+((SYSTEM_STATE.+slice.+state.+changed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49"/>
        <v>"%USERPROFILE%\Documents\GitHub\eaglep3\Utilities\RefineRTDCRunTimes.py" --tripid 1811-31 --locoid 4026 --swversion DE.1.0.9.0 --startMP 204:475 --initTime 2017-12-31T11:07:35 --startdatetime 2017-12-31T11:09:34 --delay 80 --endMP 300:58922 --enddatetime 2017-12-31T11:23:35 --enforcementcount 0 &gt;&gt;%USERPROFILE%\Documents\GitHub\eaglep3-reporting\EC\2017-12-31-refined-times.txt</v>
      </c>
      <c r="AI174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{"issue":{"subject":"","project_id":79,"tracker_id":40,"status_id":1,"priority_id":2,"assigned_to_id":338,"start_date":"2017-12-31","description":"","custom_fields":[{"id":1,"name":"Subdivision","value":"NW"},{"id":4,"name":"Milepost","value":"5.8922"},{"id":17,"name":"Train ID","value":"1811-31"},{"id":16,"name":"Locomotive ID","value":"4026"},{"id":130,"name":"Impact","value":""},{"id":150,"name":"Time of Event (Mountain Time)","value":"11:23:35"},{"id":151,"name":"Denver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51"/>
        <v>start /low /b %USERPROFILE%\Documents\GitHub\eaglep3\Utilities\DownloadLogsFromS3.py --loco 4026 --day 2017-12-31</v>
      </c>
      <c r="AN174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18:23:35"},{"id":29,"name":"Sharepoint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53"/>
        <v>https://d0f6bd738d7f1b3e5a7ca70fe4ff75f0.us-east-1.aws.found.io/app/kibana#/discover/Steve-Slow-Train-Analysis-(2080s-and-2083s)?_g=(refreshInterval:(display:Off,pause:!f,section:0,value:0),time:(from:'2017-12-31T10:07:35-0700',mode:absolute,to:'2017-12-31T12:23:35-0700'))&amp;_a=(columns:!('Message%20ID',Summary),filters:!(),index:'emp_*',interval:auto,query:(query_string:(analyze_wildcard:!t,query:'%22rtdc.l.rtdc.4026%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769</v>
      </c>
      <c r="B175" s="225">
        <v>4025</v>
      </c>
      <c r="C175" s="227" t="s">
        <v>192</v>
      </c>
      <c r="D175" s="227" t="s">
        <v>931</v>
      </c>
      <c r="E175" s="226">
        <v>43100.475578703707</v>
      </c>
      <c r="F175" s="226">
        <v>43100.488726851851</v>
      </c>
      <c r="G175" s="225">
        <v>42</v>
      </c>
      <c r="H175" s="227" t="s">
        <v>464</v>
      </c>
      <c r="I175" s="226">
        <v>43100.496874999997</v>
      </c>
      <c r="J175" s="225">
        <v>0</v>
      </c>
      <c r="K175" s="237" t="str">
        <f>IF(ISEVEN(B175),(B175-1)&amp;"/"&amp;B175,B175&amp;"/"&amp;(B175+1))</f>
        <v>4025/4026</v>
      </c>
      <c r="L175" s="245" t="str">
        <f>VLOOKUP(A175,'Trips&amp;Operators'!$C$1:$G$99911,5,FALSE)</f>
        <v>MACDONALD THOMAS</v>
      </c>
      <c r="M175" s="224">
        <f>I175-F175</f>
        <v>8.1481481465743855E-3</v>
      </c>
      <c r="N175" s="225">
        <f>24*60*SUM($M175:$M175)</f>
        <v>11.733333331067115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-12-31T10:24:50-0700',mode:absolute,to:'2017-12-31T12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5.8597999999999999</v>
      </c>
      <c r="Z175" s="247">
        <f>RIGHT(H175,LEN(H175)-4)/10000</f>
        <v>1.9599999999999999E-2</v>
      </c>
      <c r="AA175" s="247">
        <f>ABS(Z175-Y175)</f>
        <v>5.8402000000000003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1812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/stypes="app*4025*20171231*" /stext=" 18:.+((SYSTEM_STATE.+slice.+state.+changed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49"/>
        <v>"%USERPROFILE%\Documents\GitHub\eaglep3\Utilities\RefineRTDCRunTimes.py" --tripid 1812-31 --locoid 4025 --swversion DE.1.0.9.0 --startMP 300:58598 --initTime 2017-12-31T11:24:50 --startdatetime 2017-12-31T11:43:46 --delay 42 --endMP 204:196 --enddatetime 2017-12-31T11:55:30 --enforcementcount 0 &gt;&gt;%USERPROFILE%\Documents\GitHub\eaglep3-reporting\EC\2017-12-31-refined-times.txt</v>
      </c>
      <c r="AI175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{"issue":{"subject":"","project_id":79,"tracker_id":40,"status_id":1,"priority_id":2,"assigned_to_id":338,"start_date":"2017-12-31","description":"","custom_fields":[{"id":1,"name":"Subdivision","value":"NW"},{"id":4,"name":"Milepost","value":"0.0196"},{"id":17,"name":"Train ID","value":"1812-31"},{"id":16,"name":"Locomotive ID","value":"4025"},{"id":130,"name":"Impact","value":""},{"id":150,"name":"Time of Event (Mountain Time)","value":"11:55:30"},{"id":151,"name":"Denver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51"/>
        <v>start /low /b %USERPROFILE%\Documents\GitHub\eaglep3\Utilities\DownloadLogsFromS3.py --loco 4025 --day 2017-12-31</v>
      </c>
      <c r="AN175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18:55:30"},{"id":29,"name":"Sharepoint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53"/>
        <v>https://d0f6bd738d7f1b3e5a7ca70fe4ff75f0.us-east-1.aws.found.io/app/kibana#/discover/Steve-Slow-Train-Analysis-(2080s-and-2083s)?_g=(refreshInterval:(display:Off,pause:!f,section:0,value:0),time:(from:'2017-12-31T10:24:50-0700',mode:absolute,to:'2017-12-31T12:55:30-0700'))&amp;_a=(columns:!('Message%20ID',Summary),filters:!(),index:'emp_*',interval:auto,query:(query_string:(analyze_wildcard:!t,query:'%22rtdc.l.rtdc.4025%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774</v>
      </c>
      <c r="B176" s="225">
        <v>4026</v>
      </c>
      <c r="C176" s="227" t="s">
        <v>192</v>
      </c>
      <c r="D176" s="227" t="s">
        <v>588</v>
      </c>
      <c r="E176" s="226">
        <v>43100.500428240739</v>
      </c>
      <c r="F176" s="226">
        <v>43100.506469907406</v>
      </c>
      <c r="G176" s="225">
        <v>151</v>
      </c>
      <c r="H176" s="227" t="s">
        <v>930</v>
      </c>
      <c r="I176" s="226">
        <v>43100.516504629632</v>
      </c>
      <c r="J176" s="225">
        <v>0</v>
      </c>
      <c r="K176" s="237" t="str">
        <f>IF(ISEVEN(B176),(B176-1)&amp;"/"&amp;B176,B176&amp;"/"&amp;(B176+1))</f>
        <v>4025/4026</v>
      </c>
      <c r="L176" s="245" t="str">
        <f>VLOOKUP(A176,'Trips&amp;Operators'!$C$1:$G$99911,5,FALSE)</f>
        <v>MACDONALD THOMAS</v>
      </c>
      <c r="M176" s="224">
        <f>I176-F176</f>
        <v>1.0034722225100268E-2</v>
      </c>
      <c r="N176" s="225">
        <f>24*60*SUM($M176:$M176)</f>
        <v>14.450000004144385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-12-31T11:00:37-0700',mode:absolute,to:'2017-12-31T13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4.8599999999999997E-2</v>
      </c>
      <c r="Z176" s="247">
        <f>RIGHT(H176,LEN(H176)-4)/10000</f>
        <v>5.8909000000000002</v>
      </c>
      <c r="AA176" s="247">
        <f>ABS(Z176-Y176)</f>
        <v>5.8422999999999998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1813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/stypes="app*4026*20171231*" /stext=" 19:.+((SYSTEM_STATE.+slice.+state.+changed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49"/>
        <v>"%USERPROFILE%\Documents\GitHub\eaglep3\Utilities\RefineRTDCRunTimes.py" --tripid 1813-31 --locoid 4026 --swversion DE.1.0.9.0 --startMP 204:486 --initTime 2017-12-31T12:00:37 --startdatetime 2017-12-31T12:09:19 --delay 151 --endMP 300:58909 --enddatetime 2017-12-31T12:23:46 --enforcementcount 0 &gt;&gt;%USERPROFILE%\Documents\GitHub\eaglep3-reporting\EC\2017-12-31-refined-times.txt</v>
      </c>
      <c r="AI176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{"issue":{"subject":"","project_id":79,"tracker_id":40,"status_id":1,"priority_id":2,"assigned_to_id":338,"start_date":"2017-12-31","description":"","custom_fields":[{"id":1,"name":"Subdivision","value":"NW"},{"id":4,"name":"Milepost","value":"5.8909"},{"id":17,"name":"Train ID","value":"1813-31"},{"id":16,"name":"Locomotive ID","value":"4026"},{"id":130,"name":"Impact","value":""},{"id":150,"name":"Time of Event (Mountain Time)","value":"12:23:46"},{"id":151,"name":"Denver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51"/>
        <v>start /low /b %USERPROFILE%\Documents\GitHub\eaglep3\Utilities\DownloadLogsFromS3.py --loco 4026 --day 2017-12-31</v>
      </c>
      <c r="AN176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19:23:46"},{"id":29,"name":"Sharepoint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53"/>
        <v>https://d0f6bd738d7f1b3e5a7ca70fe4ff75f0.us-east-1.aws.found.io/app/kibana#/discover/Steve-Slow-Train-Analysis-(2080s-and-2083s)?_g=(refreshInterval:(display:Off,pause:!f,section:0,value:0),time:(from:'2017-12-31T11:00:37-0700',mode:absolute,to:'2017-12-31T13:23:46-0700'))&amp;_a=(columns:!('Message%20ID',Summary),filters:!(),index:'emp_*',interval:auto,query:(query_string:(analyze_wildcard:!t,query:'%22rtdc.l.rtdc.4026%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29" t="s">
        <v>778</v>
      </c>
      <c r="B177" s="225">
        <v>4025</v>
      </c>
      <c r="C177" s="227" t="s">
        <v>192</v>
      </c>
      <c r="D177" s="227" t="s">
        <v>928</v>
      </c>
      <c r="E177" s="226">
        <v>43100.517141203702</v>
      </c>
      <c r="F177" s="226">
        <v>43100.529942129629</v>
      </c>
      <c r="G177" s="225">
        <v>50</v>
      </c>
      <c r="H177" s="227" t="s">
        <v>936</v>
      </c>
      <c r="I177" s="226">
        <v>43100.538032407407</v>
      </c>
      <c r="J177" s="225">
        <v>0</v>
      </c>
      <c r="K177" s="237" t="str">
        <f>IF(ISEVEN(B177),(B177-1)&amp;"/"&amp;B177,B177&amp;"/"&amp;(B177+1))</f>
        <v>4025/4026</v>
      </c>
      <c r="L177" s="245" t="str">
        <f>VLOOKUP(A177,'Trips&amp;Operators'!$C$1:$G$99911,5,FALSE)</f>
        <v>MACDONALD THOMAS</v>
      </c>
      <c r="M177" s="224">
        <f>I177-F177</f>
        <v>8.0902777772280388E-3</v>
      </c>
      <c r="N177" s="225">
        <f>24*60*SUM($M177:$M177)</f>
        <v>11.649999999208376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-31T11:24:41-0700',mode:absolute,to:'2017-12-31T13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5.8605999999999998</v>
      </c>
      <c r="Z177" s="247">
        <f>RIGHT(H177,LEN(H177)-4)/10000</f>
        <v>1.7500000000000002E-2</v>
      </c>
      <c r="AA177" s="247">
        <f>ABS(Z177-Y177)</f>
        <v>5.8430999999999997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1814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/stypes="app*4025*20171231*" /stext=" 19:.+((SYSTEM_STATE.+slice.+state.+changed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49"/>
        <v>"%USERPROFILE%\Documents\GitHub\eaglep3\Utilities\RefineRTDCRunTimes.py" --tripid 1814-31 --locoid 4025 --swversion DE.1.0.9.0 --startMP 300:58606 --initTime 2017-12-31T12:24:41 --startdatetime 2017-12-31T12:43:07 --delay 50 --endMP 204:175 --enddatetime 2017-12-31T12:54:46 --enforcementcount 0 &gt;&gt;%USERPROFILE%\Documents\GitHub\eaglep3-reporting\EC\2017-12-31-refined-times.txt</v>
      </c>
      <c r="AI177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{"issue":{"subject":"","project_id":79,"tracker_id":40,"status_id":1,"priority_id":2,"assigned_to_id":338,"start_date":"2017-12-31","description":"","custom_fields":[{"id":1,"name":"Subdivision","value":"NW"},{"id":4,"name":"Milepost","value":"0.0175"},{"id":17,"name":"Train ID","value":"1814-31"},{"id":16,"name":"Locomotive ID","value":"4025"},{"id":130,"name":"Impact","value":""},{"id":150,"name":"Time of Event (Mountain Time)","value":"12:54:46"},{"id":151,"name":"Denver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51"/>
        <v>start /low /b %USERPROFILE%\Documents\GitHub\eaglep3\Utilities\DownloadLogsFromS3.py --loco 4025 --day 2017-12-31</v>
      </c>
      <c r="AN177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19:54:46"},{"id":29,"name":"Sharepoint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53"/>
        <v>https://d0f6bd738d7f1b3e5a7ca70fe4ff75f0.us-east-1.aws.found.io/app/kibana#/discover/Steve-Slow-Train-Analysis-(2080s-and-2083s)?_g=(refreshInterval:(display:Off,pause:!f,section:0,value:0),time:(from:'2017-12-31T11:24:41-0700',mode:absolute,to:'2017-12-31T13:54:46-0700'))&amp;_a=(columns:!('Message%20ID',Summary),filters:!(),index:'emp_*',interval:auto,query:(query_string:(analyze_wildcard:!t,query:'%22rtdc.l.rtdc.4025%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3" customFormat="1" x14ac:dyDescent="0.3">
      <c r="A178" s="229" t="s">
        <v>783</v>
      </c>
      <c r="B178" s="225">
        <v>4026</v>
      </c>
      <c r="C178" s="227" t="s">
        <v>192</v>
      </c>
      <c r="D178" s="227" t="s">
        <v>900</v>
      </c>
      <c r="E178" s="226">
        <v>43100.547430555554</v>
      </c>
      <c r="F178" s="226">
        <v>43100.548541666663</v>
      </c>
      <c r="G178" s="225">
        <v>47</v>
      </c>
      <c r="H178" s="227" t="s">
        <v>927</v>
      </c>
      <c r="I178" s="226">
        <v>43100.558078703703</v>
      </c>
      <c r="J178" s="225">
        <v>0</v>
      </c>
      <c r="K178" s="237" t="str">
        <f>IF(ISEVEN(B178),(B178-1)&amp;"/"&amp;B178,B178&amp;"/"&amp;(B178+1))</f>
        <v>4025/4026</v>
      </c>
      <c r="L178" s="245" t="str">
        <f>VLOOKUP(A178,'Trips&amp;Operators'!$C$1:$G$99911,5,FALSE)</f>
        <v>MACDONALD THOMAS</v>
      </c>
      <c r="M178" s="224">
        <f>I178-F178</f>
        <v>9.5370370399905369E-3</v>
      </c>
      <c r="N178" s="225">
        <f>24*60*SUM($M178:$M178)</f>
        <v>13.733333337586373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-12-31T12:08:18-0700',mode:absolute,to:'2017-12-31T14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4.6199999999999998E-2</v>
      </c>
      <c r="Z178" s="247">
        <f>RIGHT(H178,LEN(H178)-4)/10000</f>
        <v>5.8917999999999999</v>
      </c>
      <c r="AA178" s="247">
        <f>ABS(Z178-Y178)</f>
        <v>5.8456000000000001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1815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/stypes="app*4026*20171231*" /stext=" 20:.+((SYSTEM_STATE.+slice.+state.+changed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49"/>
        <v>"%USERPROFILE%\Documents\GitHub\eaglep3\Utilities\RefineRTDCRunTimes.py" --tripid 1815-31 --locoid 4026 --swversion DE.1.0.9.0 --startMP 204:462 --initTime 2017-12-31T13:08:18 --startdatetime 2017-12-31T13:09:54 --delay 47 --endMP 300:58918 --enddatetime 2017-12-31T13:23:38 --enforcementcount 0 &gt;&gt;%USERPROFILE%\Documents\GitHub\eaglep3-reporting\EC\2017-12-31-refined-times.txt</v>
      </c>
      <c r="AI178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{"issue":{"subject":"","project_id":79,"tracker_id":40,"status_id":1,"priority_id":2,"assigned_to_id":338,"start_date":"2017-12-31","description":"","custom_fields":[{"id":1,"name":"Subdivision","value":"NW"},{"id":4,"name":"Milepost","value":"5.8918"},{"id":17,"name":"Train ID","value":"1815-31"},{"id":16,"name":"Locomotive ID","value":"4026"},{"id":130,"name":"Impact","value":""},{"id":150,"name":"Time of Event (Mountain Time)","value":"13:23:38"},{"id":151,"name":"Denver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51"/>
        <v>start /low /b %USERPROFILE%\Documents\GitHub\eaglep3\Utilities\DownloadLogsFromS3.py --loco 4026 --day 2017-12-31</v>
      </c>
      <c r="AN178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20:23:38"},{"id":29,"name":"Sharepoint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53"/>
        <v>https://d0f6bd738d7f1b3e5a7ca70fe4ff75f0.us-east-1.aws.found.io/app/kibana#/discover/Steve-Slow-Train-Analysis-(2080s-and-2083s)?_g=(refreshInterval:(display:Off,pause:!f,section:0,value:0),time:(from:'2017-12-31T12:08:18-0700',mode:absolute,to:'2017-12-31T14:23:38-0700'))&amp;_a=(columns:!('Message%20ID',Summary),filters:!(),index:'emp_*',interval:auto,query:(query_string:(analyze_wildcard:!t,query:'%22rtdc.l.rtdc.4026%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787</v>
      </c>
      <c r="B179" s="225">
        <v>4025</v>
      </c>
      <c r="C179" s="227" t="s">
        <v>192</v>
      </c>
      <c r="D179" s="227" t="s">
        <v>928</v>
      </c>
      <c r="E179" s="226">
        <v>43100.559305555558</v>
      </c>
      <c r="F179" s="226">
        <v>43100.571689814817</v>
      </c>
      <c r="G179" s="225">
        <v>52</v>
      </c>
      <c r="H179" s="227" t="s">
        <v>651</v>
      </c>
      <c r="I179" s="226">
        <v>43100.579791666663</v>
      </c>
      <c r="J179" s="225">
        <v>0</v>
      </c>
      <c r="K179" s="237" t="str">
        <f>IF(ISEVEN(B179),(B179-1)&amp;"/"&amp;B179,B179&amp;"/"&amp;(B179+1))</f>
        <v>4025/4026</v>
      </c>
      <c r="L179" s="245" t="str">
        <f>VLOOKUP(A179,'Trips&amp;Operators'!$C$1:$G$99911,5,FALSE)</f>
        <v>MACDONALD THOMAS</v>
      </c>
      <c r="M179" s="224">
        <f>I179-F179</f>
        <v>8.1018518467317335E-3</v>
      </c>
      <c r="N179" s="225">
        <f>24*60*SUM($M179:$M179)</f>
        <v>11.666666659293696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-12-31T12:25:24-0700',mode:absolute,to:'2017-12-31T14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5.8605999999999998</v>
      </c>
      <c r="Z179" s="247">
        <f>RIGHT(H179,LEN(H179)-4)/10000</f>
        <v>1.67E-2</v>
      </c>
      <c r="AA179" s="247">
        <f>ABS(Z179-Y179)</f>
        <v>5.8438999999999997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1816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/stypes="app*4025*20171231*" /stext=" 20:.+((SYSTEM_STATE.+slice.+state.+changed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49"/>
        <v>"%USERPROFILE%\Documents\GitHub\eaglep3\Utilities\RefineRTDCRunTimes.py" --tripid 1816-31 --locoid 4025 --swversion DE.1.0.9.0 --startMP 300:58606 --initTime 2017-12-31T13:25:24 --startdatetime 2017-12-31T13:43:14 --delay 52 --endMP 204:167 --enddatetime 2017-12-31T13:54:54 --enforcementcount 0 &gt;&gt;%USERPROFILE%\Documents\GitHub\eaglep3-reporting\EC\2017-12-31-refined-times.txt</v>
      </c>
      <c r="AI179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{"issue":{"subject":"","project_id":79,"tracker_id":40,"status_id":1,"priority_id":2,"assigned_to_id":338,"start_date":"2017-12-31","description":"","custom_fields":[{"id":1,"name":"Subdivision","value":"NW"},{"id":4,"name":"Milepost","value":"0.0167"},{"id":17,"name":"Train ID","value":"1816-31"},{"id":16,"name":"Locomotive ID","value":"4025"},{"id":130,"name":"Impact","value":""},{"id":150,"name":"Time of Event (Mountain Time)","value":"13:54:54"},{"id":151,"name":"Denver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51"/>
        <v>start /low /b %USERPROFILE%\Documents\GitHub\eaglep3\Utilities\DownloadLogsFromS3.py --loco 4025 --day 2017-12-31</v>
      </c>
      <c r="AN179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20:54:54"},{"id":29,"name":"Sharepoint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53"/>
        <v>https://d0f6bd738d7f1b3e5a7ca70fe4ff75f0.us-east-1.aws.found.io/app/kibana#/discover/Steve-Slow-Train-Analysis-(2080s-and-2083s)?_g=(refreshInterval:(display:Off,pause:!f,section:0,value:0),time:(from:'2017-12-31T12:25:24-0700',mode:absolute,to:'2017-12-31T14:54:54-0700'))&amp;_a=(columns:!('Message%20ID',Summary),filters:!(),index:'emp_*',interval:auto,query:(query_string:(analyze_wildcard:!t,query:'%22rtdc.l.rtdc.4025%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796</v>
      </c>
      <c r="B180" s="225">
        <v>4026</v>
      </c>
      <c r="C180" s="227" t="s">
        <v>192</v>
      </c>
      <c r="D180" s="227" t="s">
        <v>584</v>
      </c>
      <c r="E180" s="226">
        <v>43100.584444444445</v>
      </c>
      <c r="F180" s="226">
        <v>43100.589918981481</v>
      </c>
      <c r="G180" s="225">
        <v>85</v>
      </c>
      <c r="H180" s="227" t="s">
        <v>937</v>
      </c>
      <c r="I180" s="226">
        <v>43100.599872685183</v>
      </c>
      <c r="J180" s="225">
        <v>0</v>
      </c>
      <c r="K180" s="237" t="str">
        <f>IF(ISEVEN(B180),(B180-1)&amp;"/"&amp;B180,B180&amp;"/"&amp;(B180+1))</f>
        <v>4025/4026</v>
      </c>
      <c r="L180" s="245" t="str">
        <f>VLOOKUP(A180,'Trips&amp;Operators'!$C$1:$G$99911,5,FALSE)</f>
        <v>HOLCOMB KAMDEN</v>
      </c>
      <c r="M180" s="224">
        <f>I180-F180</f>
        <v>9.9537037021946162E-3</v>
      </c>
      <c r="N180" s="225">
        <f>24*60*SUM($M180:$M180)</f>
        <v>14.333333331160247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-31T13:01:36-0700',mode:absolute,to:'2017-12-31T15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4.8000000000000001E-2</v>
      </c>
      <c r="Z180" s="247">
        <f>RIGHT(H180,LEN(H180)-4)/10000</f>
        <v>5.8994999999999997</v>
      </c>
      <c r="AA180" s="247">
        <f>ABS(Z180-Y180)</f>
        <v>5.8514999999999997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1817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/stypes="app*4026*20171231*" /stext=" 21:.+((SYSTEM_STATE.+slice.+state.+changed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49"/>
        <v>"%USERPROFILE%\Documents\GitHub\eaglep3\Utilities\RefineRTDCRunTimes.py" --tripid 1817-31 --locoid 4026 --swversion DE.1.0.9.0 --startMP 204:480 --initTime 2017-12-31T14:01:36 --startdatetime 2017-12-31T14:09:29 --delay 85 --endMP 300:58995 --enddatetime 2017-12-31T14:23:49 --enforcementcount 0 &gt;&gt;%USERPROFILE%\Documents\GitHub\eaglep3-reporting\EC\2017-12-31-refined-times.txt</v>
      </c>
      <c r="AI180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{"issue":{"subject":"","project_id":79,"tracker_id":40,"status_id":1,"priority_id":2,"assigned_to_id":338,"start_date":"2017-12-31","description":"","custom_fields":[{"id":1,"name":"Subdivision","value":"NW"},{"id":4,"name":"Milepost","value":"5.8995"},{"id":17,"name":"Train ID","value":"1817-31"},{"id":16,"name":"Locomotive ID","value":"4026"},{"id":130,"name":"Impact","value":""},{"id":150,"name":"Time of Event (Mountain Time)","value":"14:23:49"},{"id":151,"name":"Denver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51"/>
        <v>start /low /b %USERPROFILE%\Documents\GitHub\eaglep3\Utilities\DownloadLogsFromS3.py --loco 4026 --day 2017-12-31</v>
      </c>
      <c r="AN180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53"/>
        <v>https://d0f6bd738d7f1b3e5a7ca70fe4ff75f0.us-east-1.aws.found.io/app/kibana#/discover/Steve-Slow-Train-Analysis-(2080s-and-2083s)?_g=(refreshInterval:(display:Off,pause:!f,section:0,value:0),time:(from:'2017-12-31T13:01:36-0700',mode:absolute,to:'2017-12-31T15:23:49-0700'))&amp;_a=(columns:!('Message%20ID',Summary),filters:!(),index:'emp_*',interval:auto,query:(query_string:(analyze_wildcard:!t,query:'%22rtdc.l.rtdc.4026%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29" t="s">
        <v>684</v>
      </c>
      <c r="B181" s="225">
        <v>4025</v>
      </c>
      <c r="C181" s="227" t="s">
        <v>192</v>
      </c>
      <c r="D181" s="227" t="s">
        <v>656</v>
      </c>
      <c r="E181" s="226">
        <v>43100.600937499999</v>
      </c>
      <c r="F181" s="226">
        <v>43100.612442129626</v>
      </c>
      <c r="G181" s="225">
        <v>81</v>
      </c>
      <c r="H181" s="227" t="s">
        <v>938</v>
      </c>
      <c r="I181" s="226">
        <v>43100.621793981481</v>
      </c>
      <c r="J181" s="225">
        <v>0</v>
      </c>
      <c r="K181" s="237" t="str">
        <f>IF(ISEVEN(B181),(B181-1)&amp;"/"&amp;B181,B181&amp;"/"&amp;(B181+1))</f>
        <v>4025/4026</v>
      </c>
      <c r="L181" s="245" t="str">
        <f>VLOOKUP(A181,'Trips&amp;Operators'!$C$1:$G$99911,5,FALSE)</f>
        <v>HOLCOMB KAMDEN</v>
      </c>
      <c r="M181" s="224">
        <f>I181-F181</f>
        <v>9.3518518551718444E-3</v>
      </c>
      <c r="N181" s="225">
        <f>24*60*SUM($M181:$M181)</f>
        <v>13.466666671447456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-12-31T13:25:21-0700',mode:absolute,to:'2017-12-31T15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5.8674999999999997</v>
      </c>
      <c r="Z181" s="247">
        <f>RIGHT(H181,LEN(H181)-4)/10000</f>
        <v>1.2E-2</v>
      </c>
      <c r="AA181" s="247">
        <f>ABS(Z181-Y181)</f>
        <v>5.8555000000000001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1818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/stypes="app*4025*20171231*" /stext=" 21:.+((SYSTEM_STATE.+slice.+state.+changed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49"/>
        <v>"%USERPROFILE%\Documents\GitHub\eaglep3\Utilities\RefineRTDCRunTimes.py" --tripid 1818-31 --locoid 4025 --swversion DE.1.0.9.0 --startMP 300:58675 --initTime 2017-12-31T14:25:21 --startdatetime 2017-12-31T14:41:55 --delay 81 --endMP 204:120 --enddatetime 2017-12-31T14:55:23 --enforcementcount 0 &gt;&gt;%USERPROFILE%\Documents\GitHub\eaglep3-reporting\EC\2017-12-31-refined-times.txt</v>
      </c>
      <c r="AI181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{"issue":{"subject":"","project_id":79,"tracker_id":40,"status_id":1,"priority_id":2,"assigned_to_id":338,"start_date":"2017-12-31","description":"","custom_fields":[{"id":1,"name":"Subdivision","value":"NW"},{"id":4,"name":"Milepost","value":"0.012"},{"id":17,"name":"Train ID","value":"1818-31"},{"id":16,"name":"Locomotive ID","value":"4025"},{"id":130,"name":"Impact","value":""},{"id":150,"name":"Time of Event (Mountain Time)","value":"14:55:23"},{"id":151,"name":"Denver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51"/>
        <v>start /low /b %USERPROFILE%\Documents\GitHub\eaglep3\Utilities\DownloadLogsFromS3.py --loco 4025 --day 2017-12-31</v>
      </c>
      <c r="AN181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53"/>
        <v>https://d0f6bd738d7f1b3e5a7ca70fe4ff75f0.us-east-1.aws.found.io/app/kibana#/discover/Steve-Slow-Train-Analysis-(2080s-and-2083s)?_g=(refreshInterval:(display:Off,pause:!f,section:0,value:0),time:(from:'2017-12-31T13:25:21-0700',mode:absolute,to:'2017-12-31T15:55:23-0700'))&amp;_a=(columns:!('Message%20ID',Summary),filters:!(),index:'emp_*',interval:auto,query:(query_string:(analyze_wildcard:!t,query:'%22rtdc.l.rtdc.4025%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685</v>
      </c>
      <c r="B182" s="225">
        <v>4026</v>
      </c>
      <c r="C182" s="227" t="s">
        <v>192</v>
      </c>
      <c r="D182" s="227" t="s">
        <v>939</v>
      </c>
      <c r="E182" s="226">
        <v>43100.626886574071</v>
      </c>
      <c r="F182" s="226">
        <v>43100.631527777776</v>
      </c>
      <c r="G182" s="225">
        <v>81</v>
      </c>
      <c r="H182" s="227" t="s">
        <v>940</v>
      </c>
      <c r="I182" s="226">
        <v>43100.642129629632</v>
      </c>
      <c r="J182" s="225">
        <v>0</v>
      </c>
      <c r="K182" s="237" t="str">
        <f>IF(ISEVEN(B182),(B182-1)&amp;"/"&amp;B182,B182&amp;"/"&amp;(B182+1))</f>
        <v>4025/4026</v>
      </c>
      <c r="L182" s="245" t="str">
        <f>VLOOKUP(A182,'Trips&amp;Operators'!$C$1:$G$99911,5,FALSE)</f>
        <v>HOLCOMB KAMDEN</v>
      </c>
      <c r="M182" s="224">
        <f>I182-F182</f>
        <v>1.0601851856335998E-2</v>
      </c>
      <c r="N182" s="225">
        <f>24*60*SUM($M182:$M182)</f>
        <v>15.266666673123837</v>
      </c>
      <c r="O182" s="225"/>
      <c r="P182" s="225"/>
      <c r="Q182" s="228"/>
      <c r="R182" s="242" t="s">
        <v>1053</v>
      </c>
      <c r="S182" s="249">
        <f>1/IF(AG182="EC",12,1)*SUM(U182:U182)</f>
        <v>1</v>
      </c>
      <c r="T182" s="242" t="str">
        <f>IF(ISEVEN(LEFT(AD182,4)),"Southbound","NorthBound")</f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-31T14:02:43-0700',mode:absolute,to:'2017-12-31T16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4.1000000000000002E-2</v>
      </c>
      <c r="Z182" s="247">
        <v>5.8986000000000001</v>
      </c>
      <c r="AA182" s="247">
        <f>ABS(Z182-Y182)</f>
        <v>5.8575999999999997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1819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/stypes="app*4026*20171231*" /stext=" 22:.+((SYSTEM_STATE.+slice.+state.+changed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49"/>
        <v>"%USERPROFILE%\Documents\GitHub\eaglep3\Utilities\RefineRTDCRunTimes.py" --tripid 1819-31 --locoid 4026 --swversion DE.1.0.9.0 --startMP 204:410 --initTime 2017-12-31T15:02:43 --startdatetime 2017-12-31T15:09:24 --delay 81 --endMP 300:47001 --enddatetime 2017-12-31T15:24:40 --enforcementcount 0 &gt;&gt;%USERPROFILE%\Documents\GitHub\eaglep3-reporting\EC\2017-12-31-refined-times.txt</v>
      </c>
      <c r="AI182" s="238" t="str">
        <f t="shared" si="50"/>
        <v>echo {"issue":{"subject":"Overspeed enforcement then observed onboard en route failure","project_id":79,"tracker_id":40,"status_id":1,"priority_id":2,"assigned_to_id":338,"start_date":"2017-12-31","description":"","custom_fields":[{"id":1,"name":"Subdivision","value":"NW"},{"id":4,"name":"Milepost","value":"5.8986"},{"id":17,"name":"Train ID","value":"1819-31"},{"id":16,"name":"Locomotive ID","value":"4026"},{"id":130,"name":"Impact","value":""},{"id":150,"name":"Time of Event (Mountain Time)","value":"15:24:40"},{"id":151,"name":"Denver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51"/>
        <v>start /low /b %USERPROFILE%\Documents\GitHub\eaglep3\Utilities\DownloadLogsFromS3.py --loco 4026 --day 2017-12-31</v>
      </c>
      <c r="AN182" s="241" t="str">
        <f t="shared" si="52"/>
        <v>echo {"issue":{"subject":"Overspeed enforcement then observed onboard en route failure","project_id":30,"tracker_id":4,"status_id":1,"priority_id":1,"assigned_to_id":10,"start_date":"2017-12-31","description":"","custom_fields":[{"id":30,"name":"Category","value":"Issue"},{"id":3,"name":"Functional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22:24:40"},{"id":29,"name":"Sharepoint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53"/>
        <v>https://d0f6bd738d7f1b3e5a7ca70fe4ff75f0.us-east-1.aws.found.io/app/kibana#/discover/Steve-Slow-Train-Analysis-(2080s-and-2083s)?_g=(refreshInterval:(display:Off,pause:!f,section:0,value:0),time:(from:'2017-12-31T14:02:43-0700',mode:absolute,to:'2017-12-31T16:24:40-0700'))&amp;_a=(columns:!('Message%20ID',Summary),filters:!(),index:'emp_*',interval:auto,query:(query_string:(analyze_wildcard:!t,query:'%22rtdc.l.rtdc.4026%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809</v>
      </c>
      <c r="B183" s="225">
        <v>4025</v>
      </c>
      <c r="C183" s="227" t="s">
        <v>192</v>
      </c>
      <c r="D183" s="227" t="s">
        <v>941</v>
      </c>
      <c r="E183" s="226">
        <v>43100.643194444441</v>
      </c>
      <c r="F183" s="226">
        <v>43100.655034722222</v>
      </c>
      <c r="G183" s="225">
        <v>49</v>
      </c>
      <c r="H183" s="227" t="s">
        <v>942</v>
      </c>
      <c r="I183" s="226">
        <v>43100.663761574076</v>
      </c>
      <c r="J183" s="225">
        <v>0</v>
      </c>
      <c r="K183" s="237" t="str">
        <f>IF(ISEVEN(B183),(B183-1)&amp;"/"&amp;B183,B183&amp;"/"&amp;(B183+1))</f>
        <v>4025/4026</v>
      </c>
      <c r="L183" s="245" t="str">
        <f>VLOOKUP(A183,'Trips&amp;Operators'!$C$1:$G$99911,5,FALSE)</f>
        <v>HOLCOMB KAMDEN</v>
      </c>
      <c r="M183" s="224">
        <f>I183-F183</f>
        <v>8.7268518545897678E-3</v>
      </c>
      <c r="N183" s="225">
        <f>24*60*SUM($M183:$M183)</f>
        <v>12.566666670609266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-12-31T14:26:12-0700',mode:absolute,to:'2017-12-31T16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5.8672000000000004</v>
      </c>
      <c r="Z183" s="247">
        <f>RIGHT(H183,LEN(H183)-4)/10000</f>
        <v>9.9000000000000008E-3</v>
      </c>
      <c r="AA183" s="247">
        <f>ABS(Z183-Y183)</f>
        <v>5.8573000000000004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1820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/stypes="app*4025*20171231*" /stext=" 22:.+((SYSTEM_STATE.+slice.+state.+changed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49"/>
        <v>"%USERPROFILE%\Documents\GitHub\eaglep3\Utilities\RefineRTDCRunTimes.py" --tripid 1820-31 --locoid 4025 --swversion DE.1.0.9.0 --startMP 300:58672 --initTime 2017-12-31T15:26:12 --startdatetime 2017-12-31T15:43:15 --delay 49 --endMP 204:99 --enddatetime 2017-12-31T15:55:49 --enforcementcount 0 &gt;&gt;%USERPROFILE%\Documents\GitHub\eaglep3-reporting\EC\2017-12-31-refined-times.txt</v>
      </c>
      <c r="AI183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{"issue":{"subject":"","project_id":79,"tracker_id":40,"status_id":1,"priority_id":2,"assigned_to_id":338,"start_date":"2017-12-31","description":"","custom_fields":[{"id":1,"name":"Subdivision","value":"NW"},{"id":4,"name":"Milepost","value":"0.0099"},{"id":17,"name":"Train ID","value":"1820-31"},{"id":16,"name":"Locomotive ID","value":"4025"},{"id":130,"name":"Impact","value":""},{"id":150,"name":"Time of Event (Mountain Time)","value":"15:55:49"},{"id":151,"name":"Denver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51"/>
        <v>start /low /b %USERPROFILE%\Documents\GitHub\eaglep3\Utilities\DownloadLogsFromS3.py --loco 4025 --day 2017-12-31</v>
      </c>
      <c r="AN183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22:55:49"},{"id":29,"name":"Sharepoint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53"/>
        <v>https://d0f6bd738d7f1b3e5a7ca70fe4ff75f0.us-east-1.aws.found.io/app/kibana#/discover/Steve-Slow-Train-Analysis-(2080s-and-2083s)?_g=(refreshInterval:(display:Off,pause:!f,section:0,value:0),time:(from:'2017-12-31T14:26:12-0700',mode:absolute,to:'2017-12-31T16:55:49-0700'))&amp;_a=(columns:!('Message%20ID',Summary),filters:!(),index:'emp_*',interval:auto,query:(query_string:(analyze_wildcard:!t,query:'%22rtdc.l.rtdc.4025%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815</v>
      </c>
      <c r="B184" s="225">
        <v>4026</v>
      </c>
      <c r="C184" s="227" t="s">
        <v>192</v>
      </c>
      <c r="D184" s="227" t="s">
        <v>943</v>
      </c>
      <c r="E184" s="226">
        <v>43100.668298611112</v>
      </c>
      <c r="F184" s="226">
        <v>43100.673391203702</v>
      </c>
      <c r="G184" s="225">
        <v>59</v>
      </c>
      <c r="H184" s="227" t="s">
        <v>654</v>
      </c>
      <c r="I184" s="226">
        <v>43100.683287037034</v>
      </c>
      <c r="J184" s="225">
        <v>0</v>
      </c>
      <c r="K184" s="237" t="str">
        <f>IF(ISEVEN(B184),(B184-1)&amp;"/"&amp;B184,B184&amp;"/"&amp;(B184+1))</f>
        <v>4025/4026</v>
      </c>
      <c r="L184" s="245" t="str">
        <f>VLOOKUP(A184,'Trips&amp;Operators'!$C$1:$G$99911,5,FALSE)</f>
        <v>HOLCOMB KAMDEN</v>
      </c>
      <c r="M184" s="224">
        <f>I184-F184</f>
        <v>9.8958333328482695E-3</v>
      </c>
      <c r="N184" s="225">
        <f>24*60*SUM($M184:$M184)</f>
        <v>14.249999999301508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-31T15:02:21-0700',mode:absolute,to:'2017-12-31T17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3.7900000000000003E-2</v>
      </c>
      <c r="Z184" s="247">
        <f>RIGHT(H184,LEN(H184)-4)/10000</f>
        <v>5.8987999999999996</v>
      </c>
      <c r="AA184" s="247">
        <f>ABS(Z184-Y184)</f>
        <v>5.8609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1821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/stypes="app*4026*20171231*" /stext=" 23:.+((SYSTEM_STATE.+slice.+state.+changed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49"/>
        <v>"%USERPROFILE%\Documents\GitHub\eaglep3\Utilities\RefineRTDCRunTimes.py" --tripid 1821-31 --locoid 4026 --swversion DE.1.0.9.0 --startMP 204:379 --initTime 2017-12-31T16:02:21 --startdatetime 2017-12-31T16:09:41 --delay 59 --endMP 300:58988 --enddatetime 2017-12-31T16:23:56 --enforcementcount 0 &gt;&gt;%USERPROFILE%\Documents\GitHub\eaglep3-reporting\EC\2017-12-31-refined-times.txt</v>
      </c>
      <c r="AI184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{"issue":{"subject":"","project_id":79,"tracker_id":40,"status_id":1,"priority_id":2,"assigned_to_id":338,"start_date":"2017-12-31","description":"","custom_fields":[{"id":1,"name":"Subdivision","value":"NW"},{"id":4,"name":"Milepost","value":"5.8988"},{"id":17,"name":"Train ID","value":"1821-31"},{"id":16,"name":"Locomotive ID","value":"4026"},{"id":130,"name":"Impact","value":""},{"id":150,"name":"Time of Event (Mountain Time)","value":"16:23:56"},{"id":151,"name":"Denver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51"/>
        <v>start /low /b %USERPROFILE%\Documents\GitHub\eaglep3\Utilities\DownloadLogsFromS3.py --loco 4026 --day 2017-12-31</v>
      </c>
      <c r="AN184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23:23:56"},{"id":29,"name":"Sharepoint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53"/>
        <v>https://d0f6bd738d7f1b3e5a7ca70fe4ff75f0.us-east-1.aws.found.io/app/kibana#/discover/Steve-Slow-Train-Analysis-(2080s-and-2083s)?_g=(refreshInterval:(display:Off,pause:!f,section:0,value:0),time:(from:'2017-12-31T15:02:21-0700',mode:absolute,to:'2017-12-31T17:23:56-0700'))&amp;_a=(columns:!('Message%20ID',Summary),filters:!(),index:'emp_*',interval:auto,query:(query_string:(analyze_wildcard:!t,query:'%22rtdc.l.rtdc.4026%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3">
      <c r="A185" s="229" t="s">
        <v>823</v>
      </c>
      <c r="B185" s="225">
        <v>4025</v>
      </c>
      <c r="C185" s="227" t="s">
        <v>192</v>
      </c>
      <c r="D185" s="227" t="s">
        <v>653</v>
      </c>
      <c r="E185" s="226">
        <v>43100.684074074074</v>
      </c>
      <c r="F185" s="226">
        <v>43100.69672453704</v>
      </c>
      <c r="G185" s="225">
        <v>53</v>
      </c>
      <c r="H185" s="227" t="s">
        <v>944</v>
      </c>
      <c r="I185" s="226">
        <v>43100.705208333333</v>
      </c>
      <c r="J185" s="225">
        <v>0</v>
      </c>
      <c r="K185" s="237" t="str">
        <f>IF(ISEVEN(B185),(B185-1)&amp;"/"&amp;B185,B185&amp;"/"&amp;(B185+1))</f>
        <v>4025/4026</v>
      </c>
      <c r="L185" s="245" t="str">
        <f>VLOOKUP(A185,'Trips&amp;Operators'!$C$1:$G$99911,5,FALSE)</f>
        <v>HOLCOMB KAMDEN</v>
      </c>
      <c r="M185" s="224">
        <f>I185-F185</f>
        <v>8.4837962931487709E-3</v>
      </c>
      <c r="N185" s="225">
        <f>24*60*SUM($M185:$M185)</f>
        <v>12.21666666213423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-31T15:25:04-0700',mode:absolute,to:'2017-12-31T17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5.8677000000000001</v>
      </c>
      <c r="Z185" s="247">
        <f>RIGHT(H185,LEN(H185)-4)/10000</f>
        <v>1.1900000000000001E-2</v>
      </c>
      <c r="AA185" s="247">
        <f>ABS(Z185-Y185)</f>
        <v>5.8558000000000003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1822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/stypes="app*4025*20171231*" /stext=" 23:.+((SYSTEM_STATE.+slice.+state.+changed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49"/>
        <v>"%USERPROFILE%\Documents\GitHub\eaglep3\Utilities\RefineRTDCRunTimes.py" --tripid 1822-31 --locoid 4025 --swversion DE.1.0.9.0 --startMP 300:58677 --initTime 2017-12-31T16:25:04 --startdatetime 2017-12-31T16:43:17 --delay 53 --endMP 204:119 --enddatetime 2017-12-31T16:55:30 --enforcementcount 0 &gt;&gt;%USERPROFILE%\Documents\GitHub\eaglep3-reporting\EC\2017-12-31-refined-times.txt</v>
      </c>
      <c r="AI185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{"issue":{"subject":"","project_id":79,"tracker_id":40,"status_id":1,"priority_id":2,"assigned_to_id":338,"start_date":"2017-12-31","description":"","custom_fields":[{"id":1,"name":"Subdivision","value":"NW"},{"id":4,"name":"Milepost","value":"0.0119"},{"id":17,"name":"Train ID","value":"1822-31"},{"id":16,"name":"Locomotive ID","value":"4025"},{"id":130,"name":"Impact","value":""},{"id":150,"name":"Time of Event (Mountain Time)","value":"16:55:30"},{"id":151,"name":"Denver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51"/>
        <v>start /low /b %USERPROFILE%\Documents\GitHub\eaglep3\Utilities\DownloadLogsFromS3.py --loco 4025 --day 2017-12-31</v>
      </c>
      <c r="AN185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23:55:30"},{"id":29,"name":"Sharepoint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53"/>
        <v>https://d0f6bd738d7f1b3e5a7ca70fe4ff75f0.us-east-1.aws.found.io/app/kibana#/discover/Steve-Slow-Train-Analysis-(2080s-and-2083s)?_g=(refreshInterval:(display:Off,pause:!f,section:0,value:0),time:(from:'2017-12-31T15:25:04-0700',mode:absolute,to:'2017-12-31T17:55:30-0700'))&amp;_a=(columns:!('Message%20ID',Summary),filters:!(),index:'emp_*',interval:auto,query:(query_string:(analyze_wildcard:!t,query:'%22rtdc.l.rtdc.4025%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828</v>
      </c>
      <c r="B186" s="225">
        <v>4026</v>
      </c>
      <c r="C186" s="227" t="s">
        <v>192</v>
      </c>
      <c r="D186" s="227" t="s">
        <v>653</v>
      </c>
      <c r="E186" s="226">
        <v>43100.684074074074</v>
      </c>
      <c r="F186" s="226">
        <v>43100.715428240743</v>
      </c>
      <c r="G186" s="225">
        <v>53</v>
      </c>
      <c r="H186" s="227" t="s">
        <v>944</v>
      </c>
      <c r="I186" s="226">
        <v>43100.726030092592</v>
      </c>
      <c r="J186" s="225">
        <v>0</v>
      </c>
      <c r="K186" s="237" t="str">
        <f>IF(ISEVEN(B186),(B186-1)&amp;"/"&amp;B186,B186&amp;"/"&amp;(B186+1))</f>
        <v>4025/4026</v>
      </c>
      <c r="L186" s="245" t="str">
        <f>VLOOKUP(A186,'Trips&amp;Operators'!$C$1:$G$99911,5,FALSE)</f>
        <v>HOLCOMB KAMDEN</v>
      </c>
      <c r="M186" s="224">
        <f>I186-F186</f>
        <v>1.060185184906004E-2</v>
      </c>
      <c r="N186" s="225">
        <f>24*60*SUM($M186:$M186)</f>
        <v>15.266666662646458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-31T15:25:04-0700',mode:absolute,to:'2017-12-31T18:25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v>6.6500000000000004E-2</v>
      </c>
      <c r="Z186" s="247">
        <v>5.9006999999999996</v>
      </c>
      <c r="AA186" s="247">
        <f>ABS(Z186-Y186)</f>
        <v>5.8341999999999992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1823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/stypes="app*4026*20180101*" /stext=" 00:.+((SYSTEM_STATE.+slice.+state.+changed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ref="AH186" si="75"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1823-31 --locoid 4026 --swversion DE.1.0.9.0 --startMP 300:58677 --initTime 2017-12-31T16:25:04 --startdatetime 2017-12-31T17:10:13 --delay 53 --endMP 204:119 --enddatetime 2017-12-31T17:25:29 --enforcementcount 0 &gt;&gt;%USERPROFILE%\Documents\GitHub\eaglep3-reporting\EC\2017-12-31-refined-times.txt</v>
      </c>
      <c r="AI186" s="238" t="str">
        <f t="shared" ref="AI186" si="76"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{"issue":{"subject":"","project_id":79,"tracker_id":40,"status_id":1,"priority_id":2,"assigned_to_id":338,"start_date":"2017-12-31","description":"","custom_fields":[{"id":1,"name":"Subdivision","value":"NW"},{"id":4,"name":"Milepost","value":"5.9007"},{"id":17,"name":"Train ID","value":"1823-31"},{"id":16,"name":"Locomotive ID","value":"4026"},{"id":130,"name":"Impact","value":""},{"id":150,"name":"Time of Event (Mountain Time)","value":"17:25:29"},{"id":151,"name":"Denver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ref="AM186" si="77">"start /low /b "&amp;dls3logs&amp;" --loco "&amp;B186&amp;" --day "&amp;TEXT(F186,"YYYY-MM-DD")</f>
        <v>start /low /b %USERPROFILE%\Documents\GitHub\eaglep3\Utilities\DownloadLogsFromS3.py --loco 4026 --day 2017-12-31</v>
      </c>
      <c r="AN186" s="241" t="str">
        <f t="shared" ref="AN186" si="78"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00:25:29"},{"id":29,"name":"Sharepoint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ref="AO186" si="79"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Message%20ID',Summary),filters:!(),index:'emp_*',interval:auto,query:"&amp;"(query_string:(analyze_wildcard:!t,query:'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-31T15:25:04-0700',mode:absolute,to:'2017-12-31T18:25:29-0700'))&amp;_a=(columns:!('Message%20ID',Summary),filters:!(),index:'emp_*',interval:auto,query:(query_string:(analyze_wildcard:!t,query:'%22rtdc.l.rtdc.4026%22')),sort:!(Time.ISO8601,asc))</v>
      </c>
    </row>
    <row r="187" spans="1:91" s="223" customFormat="1" x14ac:dyDescent="0.3">
      <c r="A187" s="229" t="s">
        <v>834</v>
      </c>
      <c r="B187" s="225">
        <v>4025</v>
      </c>
      <c r="C187" s="227" t="s">
        <v>192</v>
      </c>
      <c r="D187" s="227" t="s">
        <v>945</v>
      </c>
      <c r="E187" s="226">
        <v>43100.726817129631</v>
      </c>
      <c r="F187" s="226">
        <v>43100.738437499997</v>
      </c>
      <c r="G187" s="225">
        <v>52</v>
      </c>
      <c r="H187" s="227" t="s">
        <v>946</v>
      </c>
      <c r="I187" s="226">
        <v>43100.747303240743</v>
      </c>
      <c r="J187" s="225">
        <v>0</v>
      </c>
      <c r="K187" s="237" t="str">
        <f>IF(ISEVEN(B187),(B187-1)&amp;"/"&amp;B187,B187&amp;"/"&amp;(B187+1))</f>
        <v>4025/4026</v>
      </c>
      <c r="L187" s="245" t="str">
        <f>VLOOKUP(A187,'Trips&amp;Operators'!$C$1:$G$99911,5,FALSE)</f>
        <v>HOLCOMB KAMDEN</v>
      </c>
      <c r="M187" s="224">
        <f>I187-F187</f>
        <v>8.8657407468417659E-3</v>
      </c>
      <c r="N187" s="225">
        <f>24*60*SUM($M187:$M187)</f>
        <v>12.766666675452143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-31T16:26:37-0700',mode:absolute,to:'2017-12-31T18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7" s="247" t="str">
        <f>IF(AA187&lt;VLOOKUP(AG187,Variables!$AC$3:$AD$8,2,FALSE),"Y","N")</f>
        <v>N</v>
      </c>
      <c r="X187" s="247">
        <f t="shared" ref="X187:X192" si="80">VALUE(LEFT(AD187,4))-VALUE(LEFT(AD186,4))</f>
        <v>1</v>
      </c>
      <c r="Y187" s="247">
        <f>RIGHT(D187,LEN(D187)-4)/10000</f>
        <v>5.8678999999999997</v>
      </c>
      <c r="Z187" s="247">
        <f>RIGHT(H187,LEN(H187)-4)/10000</f>
        <v>1.0800000000000001E-2</v>
      </c>
      <c r="AA187" s="247">
        <f>ABS(Z187-Y187)</f>
        <v>5.8571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1824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/stypes="app*4025*20180101*" /stext=" 00:.+((SYSTEM_STATE.+slice.+state.+changed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49"/>
        <v>"%USERPROFILE%\Documents\GitHub\eaglep3\Utilities\RefineRTDCRunTimes.py" --tripid 1824-31 --locoid 4025 --swversion DE.1.0.9.0 --startMP 300:58679 --initTime 2017-12-31T17:26:37 --startdatetime 2017-12-31T17:43:21 --delay 52 --endMP 204:108 --enddatetime 2017-12-31T17:56:07 --enforcementcount 0 &gt;&gt;%USERPROFILE%\Documents\GitHub\eaglep3-reporting\EC\2017-12-31-refined-times.txt</v>
      </c>
      <c r="AI187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{"issue":{"subject":"","project_id":79,"tracker_id":40,"status_id":1,"priority_id":2,"assigned_to_id":338,"start_date":"2017-12-31","description":"","custom_fields":[{"id":1,"name":"Subdivision","value":"NW"},{"id":4,"name":"Milepost","value":"0.0108"},{"id":17,"name":"Train ID","value":"1824-31"},{"id":16,"name":"Locomotive ID","value":"4025"},{"id":130,"name":"Impact","value":""},{"id":150,"name":"Time of Event (Mountain Time)","value":"17:56:07"},{"id":151,"name":"Denver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51"/>
        <v>start /low /b %USERPROFILE%\Documents\GitHub\eaglep3\Utilities\DownloadLogsFromS3.py --loco 4025 --day 2017-12-31</v>
      </c>
      <c r="AN187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00:56:07"},{"id":29,"name":"Sharepoint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53"/>
        <v>https://d0f6bd738d7f1b3e5a7ca70fe4ff75f0.us-east-1.aws.found.io/app/kibana#/discover/Steve-Slow-Train-Analysis-(2080s-and-2083s)?_g=(refreshInterval:(display:Off,pause:!f,section:0,value:0),time:(from:'2017-12-31T16:26:37-0700',mode:absolute,to:'2017-12-31T18:56:07-0700'))&amp;_a=(columns:!('Message%20ID',Summary),filters:!(),index:'emp_*',interval:auto,query:(query_string:(analyze_wildcard:!t,query:'%22rtdc.l.rtdc.4025%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3">
      <c r="A188" s="229" t="s">
        <v>838</v>
      </c>
      <c r="B188" s="225">
        <v>4026</v>
      </c>
      <c r="C188" s="227" t="s">
        <v>192</v>
      </c>
      <c r="D188" s="227" t="s">
        <v>947</v>
      </c>
      <c r="E188" s="226">
        <v>43100.751550925925</v>
      </c>
      <c r="F188" s="226">
        <v>43100.756620370368</v>
      </c>
      <c r="G188" s="225">
        <v>82</v>
      </c>
      <c r="H188" s="227" t="s">
        <v>948</v>
      </c>
      <c r="I188" s="226">
        <v>43100.766574074078</v>
      </c>
      <c r="J188" s="225">
        <v>0</v>
      </c>
      <c r="K188" s="237" t="str">
        <f>IF(ISEVEN(B188),(B188-1)&amp;"/"&amp;B188,B188&amp;"/"&amp;(B188+1))</f>
        <v>4025/4026</v>
      </c>
      <c r="L188" s="245" t="str">
        <f>VLOOKUP(A188,'Trips&amp;Operators'!$C$1:$G$99911,5,FALSE)</f>
        <v>HOLCOMB KAMDEN</v>
      </c>
      <c r="M188" s="224">
        <f>I188-F188</f>
        <v>9.9537037094705738E-3</v>
      </c>
      <c r="N188" s="225">
        <f>24*60*SUM($M188:$M188)</f>
        <v>14.333333341637626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-31T17:02:14-0700',mode:absolute,to:'2017-12-31T19:23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8" s="247" t="str">
        <f>IF(AA188&lt;VLOOKUP(AG188,Variables!$AC$3:$AD$8,2,FALSE),"Y","N")</f>
        <v>N</v>
      </c>
      <c r="X188" s="247">
        <f t="shared" si="80"/>
        <v>1</v>
      </c>
      <c r="Y188" s="247">
        <f>RIGHT(D188,LEN(D188)-4)/10000</f>
        <v>3.9899999999999998E-2</v>
      </c>
      <c r="Z188" s="247">
        <f>RIGHT(H188,LEN(H188)-4)/10000</f>
        <v>5.8998999999999997</v>
      </c>
      <c r="AA188" s="247">
        <f>ABS(Z188-Y188)</f>
        <v>5.8599999999999994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1825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/stypes="app*4026*20180101*" /stext=" 01:.+((SYSTEM_STATE.+slice.+state.+changed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49"/>
        <v>"%USERPROFILE%\Documents\GitHub\eaglep3\Utilities\RefineRTDCRunTimes.py" --tripid 1825-31 --locoid 4026 --swversion DE.1.0.9.0 --startMP 204:399 --initTime 2017-12-31T18:02:14 --startdatetime 2017-12-31T18:09:32 --delay 82 --endMP 300:58999 --enddatetime 2017-12-31T18:23:52 --enforcementcount 0 &gt;&gt;%USERPROFILE%\Documents\GitHub\eaglep3-reporting\EC\2017-12-31-refined-times.txt</v>
      </c>
      <c r="AI188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{"issue":{"subject":"","project_id":79,"tracker_id":40,"status_id":1,"priority_id":2,"assigned_to_id":338,"start_date":"2017-12-31","description":"","custom_fields":[{"id":1,"name":"Subdivision","value":"NW"},{"id":4,"name":"Milepost","value":"5.8999"},{"id":17,"name":"Train ID","value":"1825-31"},{"id":16,"name":"Locomotive ID","value":"4026"},{"id":130,"name":"Impact","value":""},{"id":150,"name":"Time of Event (Mountain Time)","value":"18:23:52"},{"id":151,"name":"Denver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51"/>
        <v>start /low /b %USERPROFILE%\Documents\GitHub\eaglep3\Utilities\DownloadLogsFromS3.py --loco 4026 --day 2017-12-31</v>
      </c>
      <c r="AN188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01:23:52"},{"id":29,"name":"Sharepoint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53"/>
        <v>https://d0f6bd738d7f1b3e5a7ca70fe4ff75f0.us-east-1.aws.found.io/app/kibana#/discover/Steve-Slow-Train-Analysis-(2080s-and-2083s)?_g=(refreshInterval:(display:Off,pause:!f,section:0,value:0),time:(from:'2017-12-31T17:02:14-0700',mode:absolute,to:'2017-12-31T19:23:52-0700'))&amp;_a=(columns:!('Message%20ID',Summary),filters:!(),index:'emp_*',interval:auto,query:(query_string:(analyze_wildcard:!t,query:'%22rtdc.l.rtdc.4026%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843</v>
      </c>
      <c r="B189" s="225">
        <v>4025</v>
      </c>
      <c r="C189" s="227" t="s">
        <v>192</v>
      </c>
      <c r="D189" s="227" t="s">
        <v>653</v>
      </c>
      <c r="E189" s="226">
        <v>43100.767418981479</v>
      </c>
      <c r="F189" s="226">
        <v>43100.779224537036</v>
      </c>
      <c r="G189" s="225">
        <v>55</v>
      </c>
      <c r="H189" s="227" t="s">
        <v>949</v>
      </c>
      <c r="I189" s="226">
        <v>43100.7887962963</v>
      </c>
      <c r="J189" s="225">
        <v>0</v>
      </c>
      <c r="K189" s="237" t="str">
        <f>IF(ISEVEN(B189),(B189-1)&amp;"/"&amp;B189,B189&amp;"/"&amp;(B189+1))</f>
        <v>4025/4026</v>
      </c>
      <c r="L189" s="245" t="str">
        <f>VLOOKUP(A189,'Trips&amp;Operators'!$C$1:$G$99911,5,FALSE)</f>
        <v>HOLCOMB KAMDEN</v>
      </c>
      <c r="M189" s="224">
        <f>I189-F189</f>
        <v>9.5717592630535364E-3</v>
      </c>
      <c r="N189" s="225">
        <f>24*60*SUM($M189:$M189)</f>
        <v>13.783333338797092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-12-31T17:25:05-0700',mode:absolute,to:'2017-12-31T19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9" s="247" t="str">
        <f>IF(AA189&lt;VLOOKUP(AG189,Variables!$AC$3:$AD$8,2,FALSE),"Y","N")</f>
        <v>N</v>
      </c>
      <c r="X189" s="247">
        <f t="shared" si="80"/>
        <v>1</v>
      </c>
      <c r="Y189" s="247">
        <f>RIGHT(D189,LEN(D189)-4)/10000</f>
        <v>5.8677000000000001</v>
      </c>
      <c r="Z189" s="247">
        <f>RIGHT(H189,LEN(H189)-4)/10000</f>
        <v>1.15E-2</v>
      </c>
      <c r="AA189" s="247">
        <f>ABS(Z189-Y189)</f>
        <v>5.8562000000000003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1826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/stypes="app*4025*20180101*" /stext=" 01:.+((SYSTEM_STATE.+slice.+state.+changed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49"/>
        <v>"%USERPROFILE%\Documents\GitHub\eaglep3\Utilities\RefineRTDCRunTimes.py" --tripid 1826-31 --locoid 4025 --swversion DE.1.0.9.0 --startMP 300:58677 --initTime 2017-12-31T18:25:05 --startdatetime 2017-12-31T18:42:05 --delay 55 --endMP 204:115 --enddatetime 2017-12-31T18:55:52 --enforcementcount 0 &gt;&gt;%USERPROFILE%\Documents\GitHub\eaglep3-reporting\EC\2017-12-31-refined-times.txt</v>
      </c>
      <c r="AI189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{"issue":{"subject":"","project_id":79,"tracker_id":40,"status_id":1,"priority_id":2,"assigned_to_id":338,"start_date":"2017-12-31","description":"","custom_fields":[{"id":1,"name":"Subdivision","value":"NW"},{"id":4,"name":"Milepost","value":"0.0115"},{"id":17,"name":"Train ID","value":"1826-31"},{"id":16,"name":"Locomotive ID","value":"4025"},{"id":130,"name":"Impact","value":""},{"id":150,"name":"Time of Event (Mountain Time)","value":"18:55:52"},{"id":151,"name":"Denver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51"/>
        <v>start /low /b %USERPROFILE%\Documents\GitHub\eaglep3\Utilities\DownloadLogsFromS3.py --loco 4025 --day 2017-12-31</v>
      </c>
      <c r="AN189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01:55:52"},{"id":29,"name":"Sharepoint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53"/>
        <v>https://d0f6bd738d7f1b3e5a7ca70fe4ff75f0.us-east-1.aws.found.io/app/kibana#/discover/Steve-Slow-Train-Analysis-(2080s-and-2083s)?_g=(refreshInterval:(display:Off,pause:!f,section:0,value:0),time:(from:'2017-12-31T17:25:05-0700',mode:absolute,to:'2017-12-31T19:55:52-0700'))&amp;_a=(columns:!('Message%20ID',Summary),filters:!(),index:'emp_*',interval:auto,query:(query_string:(analyze_wildcard:!t,query:'%22rtdc.l.rtdc.4025%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845</v>
      </c>
      <c r="B190" s="225">
        <v>4026</v>
      </c>
      <c r="C190" s="227" t="s">
        <v>192</v>
      </c>
      <c r="D190" s="227" t="s">
        <v>653</v>
      </c>
      <c r="E190" s="226">
        <v>43100.767418981479</v>
      </c>
      <c r="F190" s="226">
        <v>43100.798437500001</v>
      </c>
      <c r="G190" s="225">
        <v>55</v>
      </c>
      <c r="H190" s="227" t="s">
        <v>949</v>
      </c>
      <c r="I190" s="226">
        <v>43100.807939814818</v>
      </c>
      <c r="J190" s="225">
        <v>0</v>
      </c>
      <c r="K190" s="237" t="str">
        <f>IF(ISEVEN(B190),(B190-1)&amp;"/"&amp;B190,B190&amp;"/"&amp;(B190+1))</f>
        <v>4025/4026</v>
      </c>
      <c r="L190" s="245" t="str">
        <f>VLOOKUP(A190,'Trips&amp;Operators'!$C$1:$G$99911,5,FALSE)</f>
        <v>HOLCOMB KAMDEN</v>
      </c>
      <c r="M190" s="224">
        <f>I190-F190</f>
        <v>9.5023148169275373E-3</v>
      </c>
      <c r="N190" s="225">
        <f>24*60*SUM($M190:$M190)</f>
        <v>13.683333336375654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-31T17:25:05-0700',mode:absolute,to:'2017-12-31T20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0" s="247" t="str">
        <f>IF(AA190&lt;VLOOKUP(AG190,Variables!$AC$3:$AD$8,2,FALSE),"Y","N")</f>
        <v>N</v>
      </c>
      <c r="X190" s="247">
        <f t="shared" si="80"/>
        <v>1</v>
      </c>
      <c r="Y190" s="247">
        <v>6.3600000000000004E-2</v>
      </c>
      <c r="Z190" s="247">
        <v>5.8993000000000002</v>
      </c>
      <c r="AA190" s="247">
        <f>ABS(Z190-Y190)</f>
        <v>5.8357000000000001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1827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/stypes="app*4026*20180101*" /stext=" 02:.+((SYSTEM_STATE.+slice.+state.+changed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ref="AH190" si="81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1827-31 --locoid 4026 --swversion DE.1.0.9.0 --startMP 300:58677 --initTime 2017-12-31T18:25:05 --startdatetime 2017-12-31T19:09:45 --delay 55 --endMP 204:115 --enddatetime 2017-12-31T19:23:26 --enforcementcount 0 &gt;&gt;%USERPROFILE%\Documents\GitHub\eaglep3-reporting\EC\2017-12-31-refined-times.txt</v>
      </c>
      <c r="AI190" s="238" t="str">
        <f t="shared" ref="AI190" si="82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{"issue":{"subject":"","project_id":79,"tracker_id":40,"status_id":1,"priority_id":2,"assigned_to_id":338,"start_date":"2017-12-31","description":"","custom_fields":[{"id":1,"name":"Subdivision","value":"NW"},{"id":4,"name":"Milepost","value":"5.8993"},{"id":17,"name":"Train ID","value":"1827-31"},{"id":16,"name":"Locomotive ID","value":"4026"},{"id":130,"name":"Impact","value":""},{"id":150,"name":"Time of Event (Mountain Time)","value":"19:23:26"},{"id":151,"name":"Denver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ref="AM190" si="83">"start /low /b "&amp;dls3logs&amp;" --loco "&amp;B190&amp;" --day "&amp;TEXT(F190,"YYYY-MM-DD")</f>
        <v>start /low /b %USERPROFILE%\Documents\GitHub\eaglep3\Utilities\DownloadLogsFromS3.py --loco 4026 --day 2017-12-31</v>
      </c>
      <c r="AN190" s="241" t="str">
        <f t="shared" ref="AN190" si="84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ref="AO190" si="85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-31T17:25:05-0700',mode:absolute,to:'2017-12-31T20:23:26-0700'))&amp;_a=(columns:!('Message%20ID',Summary),filters:!(),index:'emp_*',interval:auto,query:(query_string:(analyze_wildcard:!t,query:'%22rtdc.l.rtdc.4026%22')),sort:!(Time.ISO8601,asc))</v>
      </c>
    </row>
    <row r="191" spans="1:91" s="20" customFormat="1" x14ac:dyDescent="0.3">
      <c r="A191" s="229" t="s">
        <v>688</v>
      </c>
      <c r="B191" s="225">
        <v>4025</v>
      </c>
      <c r="C191" s="227" t="s">
        <v>192</v>
      </c>
      <c r="D191" s="227" t="s">
        <v>941</v>
      </c>
      <c r="E191" s="226">
        <v>43100.809328703705</v>
      </c>
      <c r="F191" s="226">
        <v>43100.821863425925</v>
      </c>
      <c r="G191" s="225">
        <v>52</v>
      </c>
      <c r="H191" s="227" t="s">
        <v>950</v>
      </c>
      <c r="I191" s="226">
        <v>43100.829131944447</v>
      </c>
      <c r="J191" s="225">
        <v>0</v>
      </c>
      <c r="K191" s="237" t="str">
        <f>IF(ISEVEN(B191),(B191-1)&amp;"/"&amp;B191,B191&amp;"/"&amp;(B191+1))</f>
        <v>4025/4026</v>
      </c>
      <c r="L191" s="245" t="str">
        <f>VLOOKUP(A191,'Trips&amp;Operators'!$C$1:$G$99911,5,FALSE)</f>
        <v>HOLCOMB KAMDEN</v>
      </c>
      <c r="M191" s="224">
        <f>I191-F191</f>
        <v>7.2685185223235749E-3</v>
      </c>
      <c r="N191" s="225">
        <f>24*60*SUM($M191:$M191)</f>
        <v>10.466666672145948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-12-31T18:25:26-0700',mode:absolute,to:'2017-12-31T20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1" s="247" t="str">
        <f>IF(AA191&lt;VLOOKUP(AG191,Variables!$AC$3:$AD$8,2,FALSE),"Y","N")</f>
        <v>Y</v>
      </c>
      <c r="X191" s="247">
        <f t="shared" si="80"/>
        <v>1</v>
      </c>
      <c r="Y191" s="247">
        <f>RIGHT(D191,LEN(D191)-4)/10000</f>
        <v>5.8672000000000004</v>
      </c>
      <c r="Z191" s="247">
        <f>RIGHT(H191,LEN(H191)-4)/10000</f>
        <v>0.45839999999999997</v>
      </c>
      <c r="AA191" s="247">
        <f>ABS(Z191-Y191)</f>
        <v>5.4088000000000003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1828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/stypes="app*4025*20180101*" /stext=" 02:.+((SYSTEM_STATE.+slice.+state.+changed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49"/>
        <v>"%USERPROFILE%\Documents\GitHub\eaglep3\Utilities\RefineRTDCRunTimes.py" --tripid 1828-31 --locoid 4025 --swversion DE.1.0.9.0 --startMP 300:58672 --initTime 2017-12-31T19:25:26 --startdatetime 2017-12-31T19:43:29 --delay 52 --endMP 204:4584 --enddatetime 2017-12-31T19:53:57 --enforcementcount 0 &gt;&gt;%USERPROFILE%\Documents\GitHub\eaglep3-reporting\EC\2017-12-31-refined-times.txt</v>
      </c>
      <c r="AI191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{"issue":{"subject":"","project_id":79,"tracker_id":40,"status_id":1,"priority_id":2,"assigned_to_id":338,"start_date":"2017-12-31","description":"","custom_fields":[{"id":1,"name":"Subdivision","value":"NW"},{"id":4,"name":"Milepost","value":"0.4584"},{"id":17,"name":"Train ID","value":"1828-31"},{"id":16,"name":"Locomotive ID","value":"4025"},{"id":130,"name":"Impact","value":""},{"id":150,"name":"Time of Event (Mountain Time)","value":"19:53:57"},{"id":151,"name":"Denver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51"/>
        <v>start /low /b %USERPROFILE%\Documents\GitHub\eaglep3\Utilities\DownloadLogsFromS3.py --loco 4025 --day 2017-12-31</v>
      </c>
      <c r="AN191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53"/>
        <v>https://d0f6bd738d7f1b3e5a7ca70fe4ff75f0.us-east-1.aws.found.io/app/kibana#/discover/Steve-Slow-Train-Analysis-(2080s-and-2083s)?_g=(refreshInterval:(display:Off,pause:!f,section:0,value:0),time:(from:'2017-12-31T18:25:26-0700',mode:absolute,to:'2017-12-31T20:53:57-0700'))&amp;_a=(columns:!('Message%20ID',Summary),filters:!(),index:'emp_*',interval:auto,query:(query_string:(analyze_wildcard:!t,query:'%22rtdc.l.rtdc.4025%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848</v>
      </c>
      <c r="B192" s="225">
        <v>4026</v>
      </c>
      <c r="C192" s="227" t="s">
        <v>192</v>
      </c>
      <c r="D192" s="227" t="s">
        <v>951</v>
      </c>
      <c r="E192" s="226">
        <v>43100.83394675926</v>
      </c>
      <c r="F192" s="226">
        <v>43100.840046296296</v>
      </c>
      <c r="G192" s="225">
        <v>59</v>
      </c>
      <c r="H192" s="227" t="s">
        <v>937</v>
      </c>
      <c r="I192" s="226">
        <v>43100.849872685183</v>
      </c>
      <c r="J192" s="225">
        <v>0</v>
      </c>
      <c r="K192" s="237" t="str">
        <f>IF(ISEVEN(B192),(B192-1)&amp;"/"&amp;B192,B192&amp;"/"&amp;(B192+1))</f>
        <v>4025/4026</v>
      </c>
      <c r="L192" s="245" t="str">
        <f>VLOOKUP(A192,'Trips&amp;Operators'!$C$1:$G$99911,5,FALSE)</f>
        <v>HOLCOMB KAMDEN</v>
      </c>
      <c r="M192" s="224">
        <f>I192-F192</f>
        <v>9.8263888867222704E-3</v>
      </c>
      <c r="N192" s="225">
        <f>24*60*SUM($M192:$M192)</f>
        <v>14.149999996880069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-31T19:00:53-0700',mode:absolute,to:'2017-12-31T21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2" s="247" t="str">
        <f>IF(AA192&lt;VLOOKUP(AG192,Variables!$AC$3:$AD$8,2,FALSE),"Y","N")</f>
        <v>N</v>
      </c>
      <c r="X192" s="247">
        <f t="shared" si="80"/>
        <v>1</v>
      </c>
      <c r="Y192" s="247">
        <f>RIGHT(D192,LEN(D192)-4)/10000</f>
        <v>3.5700000000000003E-2</v>
      </c>
      <c r="Z192" s="247">
        <f>RIGHT(H192,LEN(H192)-4)/10000</f>
        <v>5.8994999999999997</v>
      </c>
      <c r="AA192" s="247">
        <f>ABS(Z192-Y192)</f>
        <v>5.8637999999999995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1829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/stypes="app*4026*20180101*" /stext=" 03:.+((SYSTEM_STATE.+slice.+state.+changed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49"/>
        <v>"%USERPROFILE%\Documents\GitHub\eaglep3\Utilities\RefineRTDCRunTimes.py" --tripid 1829-31 --locoid 4026 --swversion DE.1.0.9.0 --startMP 204:357 --initTime 2017-12-31T20:00:53 --startdatetime 2017-12-31T20:09:40 --delay 59 --endMP 300:58995 --enddatetime 2017-12-31T20:23:49 --enforcementcount 0 &gt;&gt;%USERPROFILE%\Documents\GitHub\eaglep3-reporting\EC\2017-12-31-refined-times.txt</v>
      </c>
      <c r="AI192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{"issue":{"subject":"","project_id":79,"tracker_id":40,"status_id":1,"priority_id":2,"assigned_to_id":338,"start_date":"2017-12-31","description":"","custom_fields":[{"id":1,"name":"Subdivision","value":"NW"},{"id":4,"name":"Milepost","value":"5.8995"},{"id":17,"name":"Train ID","value":"1829-31"},{"id":16,"name":"Locomotive ID","value":"4026"},{"id":130,"name":"Impact","value":""},{"id":150,"name":"Time of Event (Mountain Time)","value":"20:23:49"},{"id":151,"name":"Denver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51"/>
        <v>start /low /b %USERPROFILE%\Documents\GitHub\eaglep3\Utilities\DownloadLogsFromS3.py --loco 4026 --day 2017-12-31</v>
      </c>
      <c r="AN192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03:23:49"},{"id":29,"name":"Sharepoint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53"/>
        <v>https://d0f6bd738d7f1b3e5a7ca70fe4ff75f0.us-east-1.aws.found.io/app/kibana#/discover/Steve-Slow-Train-Analysis-(2080s-and-2083s)?_g=(refreshInterval:(display:Off,pause:!f,section:0,value:0),time:(from:'2017-12-31T19:00:53-0700',mode:absolute,to:'2017-12-31T21:23:49-0700'))&amp;_a=(columns:!('Message%20ID',Summary),filters:!(),index:'emp_*',interval:auto,query:(query_string:(analyze_wildcard:!t,query:'%22rtdc.l.rtdc.4026%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850</v>
      </c>
      <c r="B193" s="225">
        <v>4025</v>
      </c>
      <c r="C193" s="227" t="s">
        <v>192</v>
      </c>
      <c r="D193" s="227" t="s">
        <v>952</v>
      </c>
      <c r="E193" s="226">
        <v>43100.850717592592</v>
      </c>
      <c r="F193" s="226">
        <v>43100.86341435185</v>
      </c>
      <c r="G193" s="225">
        <v>65</v>
      </c>
      <c r="H193" s="227" t="s">
        <v>942</v>
      </c>
      <c r="I193" s="226">
        <v>43100.872071759259</v>
      </c>
      <c r="J193" s="225">
        <v>0</v>
      </c>
      <c r="K193" s="237" t="str">
        <f>IF(ISEVEN(B193),(B193-1)&amp;"/"&amp;B193,B193&amp;"/"&amp;(B193+1))</f>
        <v>4025/4026</v>
      </c>
      <c r="L193" s="245" t="str">
        <f>VLOOKUP(A193,'Trips&amp;Operators'!$C$1:$G$99911,5,FALSE)</f>
        <v>HOLCOMB KAMDEN</v>
      </c>
      <c r="M193" s="224">
        <f>I193-F193</f>
        <v>8.6574074084637687E-3</v>
      </c>
      <c r="N193" s="225">
        <f>24*60*SUM($M193:$M193)</f>
        <v>12.466666668187827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-31T19:25:02-0700',mode:absolute,to:'2017-12-31T21:55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5.867</v>
      </c>
      <c r="Z193" s="247">
        <f>RIGHT(H193,LEN(H193)-4)/10000</f>
        <v>9.9000000000000008E-3</v>
      </c>
      <c r="AA193" s="247">
        <f>ABS(Z193-Y193)</f>
        <v>5.8571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1830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/stypes="app*4025*20180101*" /stext=" 03:.+((SYSTEM_STATE.+slice.+state.+changed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49"/>
        <v>"%USERPROFILE%\Documents\GitHub\eaglep3\Utilities\RefineRTDCRunTimes.py" --tripid 1830-31 --locoid 4025 --swversion DE.1.0.9.0 --startMP 300:58670 --initTime 2017-12-31T20:25:02 --startdatetime 2017-12-31T20:43:19 --delay 65 --endMP 204:99 --enddatetime 2017-12-31T20:55:47 --enforcementcount 0 &gt;&gt;%USERPROFILE%\Documents\GitHub\eaglep3-reporting\EC\2017-12-31-refined-times.txt</v>
      </c>
      <c r="AI193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{"issue":{"subject":"","project_id":79,"tracker_id":40,"status_id":1,"priority_id":2,"assigned_to_id":338,"start_date":"2017-12-31","description":"","custom_fields":[{"id":1,"name":"Subdivision","value":"NW"},{"id":4,"name":"Milepost","value":"0.0099"},{"id":17,"name":"Train ID","value":"1830-31"},{"id":16,"name":"Locomotive ID","value":"4025"},{"id":130,"name":"Impact","value":""},{"id":150,"name":"Time of Event (Mountain Time)","value":"20:55:47"},{"id":151,"name":"Denver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51"/>
        <v>start /low /b %USERPROFILE%\Documents\GitHub\eaglep3\Utilities\DownloadLogsFromS3.py --loco 4025 --day 2017-12-31</v>
      </c>
      <c r="AN193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03:55:47"},{"id":29,"name":"Sharepoint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53"/>
        <v>https://d0f6bd738d7f1b3e5a7ca70fe4ff75f0.us-east-1.aws.found.io/app/kibana#/discover/Steve-Slow-Train-Analysis-(2080s-and-2083s)?_g=(refreshInterval:(display:Off,pause:!f,section:0,value:0),time:(from:'2017-12-31T19:25:02-0700',mode:absolute,to:'2017-12-31T21:55:47-0700'))&amp;_a=(columns:!('Message%20ID',Summary),filters:!(),index:'emp_*',interval:auto,query:(query_string:(analyze_wildcard:!t,query:'%22rtdc.l.rtdc.4025%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851</v>
      </c>
      <c r="B194" s="225">
        <v>4026</v>
      </c>
      <c r="C194" s="227" t="s">
        <v>192</v>
      </c>
      <c r="D194" s="227" t="s">
        <v>952</v>
      </c>
      <c r="E194" s="226">
        <v>43100.850717592592</v>
      </c>
      <c r="F194" s="226">
        <v>43100.881643518522</v>
      </c>
      <c r="G194" s="225">
        <v>65</v>
      </c>
      <c r="H194" s="227" t="s">
        <v>942</v>
      </c>
      <c r="I194" s="226">
        <v>43100.89167824074</v>
      </c>
      <c r="J194" s="225">
        <v>0</v>
      </c>
      <c r="K194" s="237" t="str">
        <f>IF(ISEVEN(B194),(B194-1)&amp;"/"&amp;B194,B194&amp;"/"&amp;(B194+1))</f>
        <v>4025/4026</v>
      </c>
      <c r="L194" s="245" t="str">
        <f>VLOOKUP(A194,'Trips&amp;Operators'!$C$1:$G$99911,5,FALSE)</f>
        <v>HOLCOMB KAMDEN</v>
      </c>
      <c r="M194" s="224">
        <f>I194-F194</f>
        <v>1.003472221782431E-2</v>
      </c>
      <c r="N194" s="225">
        <f>24*60*SUM($M194:$M194)</f>
        <v>14.449999993667006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-31T19:25:02-0700',mode:absolute,to:'2017-12-31T22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v>6.3600000000000004E-2</v>
      </c>
      <c r="Z194" s="247">
        <v>5.8992000000000004</v>
      </c>
      <c r="AA194" s="247">
        <f>ABS(Z194-Y194)</f>
        <v>5.8356000000000003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1831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/stypes="app*4026*20180101*" /stext=" 04:.+((SYSTEM_STATE.+slice.+state.+changed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ref="AH194" si="86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1831-31 --locoid 4026 --swversion DE.1.0.9.0 --startMP 300:58670 --initTime 2017-12-31T20:25:02 --startdatetime 2017-12-31T21:09:34 --delay 65 --endMP 204:99 --enddatetime 2017-12-31T21:24:01 --enforcementcount 0 &gt;&gt;%USERPROFILE%\Documents\GitHub\eaglep3-reporting\EC\2017-12-31-refined-times.txt</v>
      </c>
      <c r="AI194" s="238" t="str">
        <f t="shared" ref="AI194" si="87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{"issue":{"subject":"","project_id":79,"tracker_id":40,"status_id":1,"priority_id":2,"assigned_to_id":338,"start_date":"2017-12-31","description":"","custom_fields":[{"id":1,"name":"Subdivision","value":"NW"},{"id":4,"name":"Milepost","value":"5.8992"},{"id":17,"name":"Train ID","value":"1831-31"},{"id":16,"name":"Locomotive ID","value":"4026"},{"id":130,"name":"Impact","value":""},{"id":150,"name":"Time of Event (Mountain Time)","value":"21:24:01"},{"id":151,"name":"Denver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ref="AM194" si="88">"start /low /b "&amp;dls3logs&amp;" --loco "&amp;B194&amp;" --day "&amp;TEXT(F194,"YYYY-MM-DD")</f>
        <v>start /low /b %USERPROFILE%\Documents\GitHub\eaglep3\Utilities\DownloadLogsFromS3.py --loco 4026 --day 2017-12-31</v>
      </c>
      <c r="AN194" s="241" t="str">
        <f t="shared" ref="AN194" si="89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04:24:01"},{"id":29,"name":"Sharepoint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ref="AO194" si="90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-31T19:25:02-0700',mode:absolute,to:'2017-12-31T22:24:01-0700'))&amp;_a=(columns:!('Message%20ID',Summary),filters:!(),index:'emp_*',interval:auto,query:(query_string:(analyze_wildcard:!t,query:'%22rtdc.l.rtdc.4026%22')),sort:!(Time.ISO8601,asc))</v>
      </c>
    </row>
    <row r="195" spans="1:91" s="223" customFormat="1" x14ac:dyDescent="0.3">
      <c r="A195" s="229" t="s">
        <v>852</v>
      </c>
      <c r="B195" s="225">
        <v>4025</v>
      </c>
      <c r="C195" s="227" t="s">
        <v>192</v>
      </c>
      <c r="D195" s="227" t="s">
        <v>656</v>
      </c>
      <c r="E195" s="226">
        <v>43100.89271990741</v>
      </c>
      <c r="F195" s="226">
        <v>43100.905138888891</v>
      </c>
      <c r="G195" s="225">
        <v>72</v>
      </c>
      <c r="H195" s="227" t="s">
        <v>953</v>
      </c>
      <c r="I195" s="226">
        <v>43100.913622685184</v>
      </c>
      <c r="J195" s="225">
        <v>0</v>
      </c>
      <c r="K195" s="237" t="str">
        <f>IF(ISEVEN(B195),(B195-1)&amp;"/"&amp;B195,B195&amp;"/"&amp;(B195+1))</f>
        <v>4025/4026</v>
      </c>
      <c r="L195" s="245" t="str">
        <f>VLOOKUP(A195,'Trips&amp;Operators'!$C$1:$G$99911,5,FALSE)</f>
        <v>HOLCOMB KAMDEN</v>
      </c>
      <c r="M195" s="224">
        <f>I195-F195</f>
        <v>8.4837962931487709E-3</v>
      </c>
      <c r="N195" s="225">
        <f>24*60*SUM($M195:$M195)</f>
        <v>12.21666666213423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-31T20:25:31-0700',mode:absolute,to:'2017-12-31T22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5.8674999999999997</v>
      </c>
      <c r="Z195" s="247">
        <f>RIGHT(H195,LEN(H195)-4)/10000</f>
        <v>0.01</v>
      </c>
      <c r="AA195" s="247">
        <f>ABS(Z195-Y195)</f>
        <v>5.8574999999999999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1832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/stypes="app*4025*20180101*" /stext=" 04:.+((SYSTEM_STATE.+slice.+state.+changed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49"/>
        <v>"%USERPROFILE%\Documents\GitHub\eaglep3\Utilities\RefineRTDCRunTimes.py" --tripid 1832-31 --locoid 4025 --swversion DE.1.0.9.0 --startMP 300:58675 --initTime 2017-12-31T21:25:31 --startdatetime 2017-12-31T21:43:24 --delay 72 --endMP 204:100 --enddatetime 2017-12-31T21:55:37 --enforcementcount 0 &gt;&gt;%USERPROFILE%\Documents\GitHub\eaglep3-reporting\EC\2017-12-31-refined-times.txt</v>
      </c>
      <c r="AI195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{"issue":{"subject":"","project_id":79,"tracker_id":40,"status_id":1,"priority_id":2,"assigned_to_id":338,"start_date":"2017-12-31","description":"","custom_fields":[{"id":1,"name":"Subdivision","value":"NW"},{"id":4,"name":"Milepost","value":"0.01"},{"id":17,"name":"Train ID","value":"1832-31"},{"id":16,"name":"Locomotive ID","value":"4025"},{"id":130,"name":"Impact","value":""},{"id":150,"name":"Time of Event (Mountain Time)","value":"21:55:37"},{"id":151,"name":"Denver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51"/>
        <v>start /low /b %USERPROFILE%\Documents\GitHub\eaglep3\Utilities\DownloadLogsFromS3.py --loco 4025 --day 2017-12-31</v>
      </c>
      <c r="AN195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04:55:37"},{"id":29,"name":"Sharepoint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53"/>
        <v>https://d0f6bd738d7f1b3e5a7ca70fe4ff75f0.us-east-1.aws.found.io/app/kibana#/discover/Steve-Slow-Train-Analysis-(2080s-and-2083s)?_g=(refreshInterval:(display:Off,pause:!f,section:0,value:0),time:(from:'2017-12-31T20:25:31-0700',mode:absolute,to:'2017-12-31T22:55:37-0700'))&amp;_a=(columns:!('Message%20ID',Summary),filters:!(),index:'emp_*',interval:auto,query:(query_string:(analyze_wildcard:!t,query:'%22rtdc.l.rtdc.4025%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691</v>
      </c>
      <c r="B196" s="225">
        <v>4026</v>
      </c>
      <c r="C196" s="227" t="s">
        <v>192</v>
      </c>
      <c r="D196" s="227" t="s">
        <v>954</v>
      </c>
      <c r="E196" s="226">
        <v>43100.915752314817</v>
      </c>
      <c r="F196" s="226">
        <v>43100.923449074071</v>
      </c>
      <c r="G196" s="225">
        <v>50</v>
      </c>
      <c r="H196" s="227" t="s">
        <v>955</v>
      </c>
      <c r="I196" s="226">
        <v>43100.934340277781</v>
      </c>
      <c r="J196" s="225">
        <v>0</v>
      </c>
      <c r="K196" s="237" t="str">
        <f>IF(ISEVEN(B196),(B196-1)&amp;"/"&amp;B196,B196&amp;"/"&amp;(B196+1))</f>
        <v>4025/4026</v>
      </c>
      <c r="L196" s="245" t="str">
        <f>VLOOKUP(A196,'Trips&amp;Operators'!$C$1:$G$99911,5,FALSE)</f>
        <v>HOLCOMB KAMDEN</v>
      </c>
      <c r="M196" s="224">
        <f>I196-F196</f>
        <v>1.0891203710343689E-2</v>
      </c>
      <c r="N196" s="225">
        <f>24*60*SUM($M196:$M196)</f>
        <v>15.683333342894912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-31T20:58:41-0700',mode:absolute,to:'2017-12-31T23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6" s="247" t="str">
        <f>IF(AA196&lt;VLOOKUP(AG196,Variables!$AC$3:$AD$8,2,FALSE),"Y","N")</f>
        <v>N</v>
      </c>
      <c r="X196" s="247">
        <f>VALUE(LEFT(AD196,4))-VALUE(LEFT(AD195,4))</f>
        <v>1</v>
      </c>
      <c r="Y196" s="247">
        <f>RIGHT(D196,LEN(D196)-4)/10000</f>
        <v>4.0399999999999998E-2</v>
      </c>
      <c r="Z196" s="247">
        <f>RIGHT(H196,LEN(H196)-4)/10000</f>
        <v>5.8993000000000002</v>
      </c>
      <c r="AA196" s="247">
        <f>ABS(Z196-Y196)</f>
        <v>5.8589000000000002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1833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/stypes="app*4026*20180101*" /stext=" 05:.+((SYSTEM_STATE.+slice.+state.+changed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49"/>
        <v>"%USERPROFILE%\Documents\GitHub\eaglep3\Utilities\RefineRTDCRunTimes.py" --tripid 1833-31 --locoid 4026 --swversion DE.1.0.9.0 --startMP 204:404 --initTime 2017-12-31T21:58:41 --startdatetime 2017-12-31T22:09:46 --delay 50 --endMP 300:58993 --enddatetime 2017-12-31T22:25:27 --enforcementcount 0 &gt;&gt;%USERPROFILE%\Documents\GitHub\eaglep3-reporting\EC\2017-12-31-refined-times.txt</v>
      </c>
      <c r="AI196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{"issue":{"subject":"","project_id":79,"tracker_id":40,"status_id":1,"priority_id":2,"assigned_to_id":338,"start_date":"2017-12-31","description":"","custom_fields":[{"id":1,"name":"Subdivision","value":"NW"},{"id":4,"name":"Milepost","value":"5.8993"},{"id":17,"name":"Train ID","value":"1833-31"},{"id":16,"name":"Locomotive ID","value":"4026"},{"id":130,"name":"Impact","value":""},{"id":150,"name":"Time of Event (Mountain Time)","value":"22:25:27"},{"id":151,"name":"Denver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51"/>
        <v>start /low /b %USERPROFILE%\Documents\GitHub\eaglep3\Utilities\DownloadLogsFromS3.py --loco 4026 --day 2017-12-31</v>
      </c>
      <c r="AN196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05:25:27"},{"id":29,"name":"Sharepoint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53"/>
        <v>https://d0f6bd738d7f1b3e5a7ca70fe4ff75f0.us-east-1.aws.found.io/app/kibana#/discover/Steve-Slow-Train-Analysis-(2080s-and-2083s)?_g=(refreshInterval:(display:Off,pause:!f,section:0,value:0),time:(from:'2017-12-31T20:58:41-0700',mode:absolute,to:'2017-12-31T23:25:27-0700'))&amp;_a=(columns:!('Message%20ID',Summary),filters:!(),index:'emp_*',interval:auto,query:(query_string:(analyze_wildcard:!t,query:'%22rtdc.l.rtdc.4026%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9" t="s">
        <v>692</v>
      </c>
      <c r="B197" s="225">
        <v>4025</v>
      </c>
      <c r="C197" s="227" t="s">
        <v>192</v>
      </c>
      <c r="D197" s="227" t="s">
        <v>956</v>
      </c>
      <c r="E197" s="226">
        <v>43100.935231481482</v>
      </c>
      <c r="F197" s="226">
        <v>43100.946493055555</v>
      </c>
      <c r="G197" s="225">
        <v>74</v>
      </c>
      <c r="H197" s="227" t="s">
        <v>957</v>
      </c>
      <c r="I197" s="226">
        <v>43100.954664351855</v>
      </c>
      <c r="J197" s="225">
        <v>0</v>
      </c>
      <c r="K197" s="237" t="str">
        <f>IF(ISEVEN(B197),(B197-1)&amp;"/"&amp;B197,B197&amp;"/"&amp;(B197+1))</f>
        <v>4025/4026</v>
      </c>
      <c r="L197" s="245" t="str">
        <f>VLOOKUP(A197,'Trips&amp;Operators'!$C$1:$G$99911,5,FALSE)</f>
        <v>HOLCOMB KAMDEN</v>
      </c>
      <c r="M197" s="224">
        <f>I197-F197</f>
        <v>8.1712963001336902E-3</v>
      </c>
      <c r="N197" s="225">
        <f>24*60*SUM($M197:$M197)</f>
        <v>11.766666672192514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-31T21:26:44-0700',mode:absolute,to:'2017-12-31T23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7" s="247" t="str">
        <f>IF(AA197&lt;VLOOKUP(AG197,Variables!$AC$3:$AD$8,2,FALSE),"Y","N")</f>
        <v>N</v>
      </c>
      <c r="X197" s="247">
        <f>VALUE(LEFT(AD197,4))-VALUE(LEFT(AD196,4))</f>
        <v>1</v>
      </c>
      <c r="Y197" s="247">
        <f>RIGHT(D197,LEN(D197)-4)/10000</f>
        <v>5.8681000000000001</v>
      </c>
      <c r="Z197" s="247">
        <f>RIGHT(H197,LEN(H197)-4)/10000</f>
        <v>1.2200000000000001E-2</v>
      </c>
      <c r="AA197" s="247">
        <f>ABS(Z197-Y197)</f>
        <v>5.8559000000000001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1834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/stypes="app*4025*20180101*" /stext=" 05:.+((SYSTEM_STATE.+slice.+state.+changed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si="49"/>
        <v>"%USERPROFILE%\Documents\GitHub\eaglep3\Utilities\RefineRTDCRunTimes.py" --tripid 1834-31 --locoid 4025 --swversion DE.1.0.9.0 --startMP 300:58681 --initTime 2017-12-31T22:26:44 --startdatetime 2017-12-31T22:42:57 --delay 74 --endMP 204:122 --enddatetime 2017-12-31T22:54:43 --enforcementcount 0 &gt;&gt;%USERPROFILE%\Documents\GitHub\eaglep3-reporting\EC\2017-12-31-refined-times.txt</v>
      </c>
      <c r="AI197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{"issue":{"subject":"","project_id":79,"tracker_id":40,"status_id":1,"priority_id":2,"assigned_to_id":338,"start_date":"2017-12-31","description":"","custom_fields":[{"id":1,"name":"Subdivision","value":"NW"},{"id":4,"name":"Milepost","value":"0.0122"},{"id":17,"name":"Train ID","value":"1834-31"},{"id":16,"name":"Locomotive ID","value":"4025"},{"id":130,"name":"Impact","value":""},{"id":150,"name":"Time of Event (Mountain Time)","value":"22:54:43"},{"id":151,"name":"Denver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51"/>
        <v>start /low /b %USERPROFILE%\Documents\GitHub\eaglep3\Utilities\DownloadLogsFromS3.py --loco 4025 --day 2017-12-31</v>
      </c>
      <c r="AN197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05:54:43"},{"id":29,"name":"Sharepoint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53"/>
        <v>https://d0f6bd738d7f1b3e5a7ca70fe4ff75f0.us-east-1.aws.found.io/app/kibana#/discover/Steve-Slow-Train-Analysis-(2080s-and-2083s)?_g=(refreshInterval:(display:Off,pause:!f,section:0,value:0),time:(from:'2017-12-31T21:26:44-0700',mode:absolute,to:'2017-12-31T23:54:43-0700'))&amp;_a=(columns:!('Message%20ID',Summary),filters:!(),index:'emp_*',interval:auto,query:(query_string:(analyze_wildcard:!t,query:'%22rtdc.l.rtdc.4025%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853</v>
      </c>
      <c r="B198" s="225">
        <v>4026</v>
      </c>
      <c r="C198" s="227" t="s">
        <v>192</v>
      </c>
      <c r="D198" s="227" t="s">
        <v>956</v>
      </c>
      <c r="E198" s="226">
        <v>43100.935231481482</v>
      </c>
      <c r="F198" s="226">
        <v>43100.964918981481</v>
      </c>
      <c r="G198" s="225">
        <v>74</v>
      </c>
      <c r="H198" s="227" t="s">
        <v>957</v>
      </c>
      <c r="I198" s="226">
        <v>43100.974710648145</v>
      </c>
      <c r="J198" s="225">
        <v>0</v>
      </c>
      <c r="K198" s="237" t="str">
        <f>IF(ISEVEN(B198),(B198-1)&amp;"/"&amp;B198,B198&amp;"/"&amp;(B198+1))</f>
        <v>4025/4026</v>
      </c>
      <c r="L198" s="245" t="str">
        <f>VLOOKUP(A198,'Trips&amp;Operators'!$C$1:$G$99911,5,FALSE)</f>
        <v>ANDREA WILLIAMS</v>
      </c>
      <c r="M198" s="224">
        <f>I198-F198</f>
        <v>9.7916666636592709E-3</v>
      </c>
      <c r="N198" s="225">
        <f>24*60*SUM($M198:$M198)</f>
        <v>14.09999999566935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-31T21:26:44-0700',mode:absolute,to:'2018-01-01T00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8" s="247" t="str">
        <f>IF(AA198&lt;VLOOKUP(AG198,Variables!$AC$3:$AD$8,2,FALSE),"Y","N")</f>
        <v>N</v>
      </c>
      <c r="X198" s="247">
        <f t="shared" ref="X198:X201" si="91">VALUE(LEFT(AD198,4))-VALUE(LEFT(AD197,4))</f>
        <v>1</v>
      </c>
      <c r="Y198" s="247">
        <v>6.0900000000000003E-2</v>
      </c>
      <c r="Z198" s="247">
        <v>5.8917999999999999</v>
      </c>
      <c r="AA198" s="247">
        <f>ABS(Z198-Y198)</f>
        <v>5.8308999999999997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1835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/stypes="app*4026*20180101*" /stext=" 06:.+((SYSTEM_STATE.+slice.+state.+changed )|(ment ac)|(multiple cpu faults)|(system.+state.+changed )|(\[timeout)|(PRM\|1\|D)|(kpr)|(kdp)|(train st.+moving)|(\|lc)|(penalty))"</v>
      </c>
      <c r="AG198" s="244" t="str">
        <f>DetSubdiv(A198)</f>
        <v>NW</v>
      </c>
      <c r="AH198" s="236" t="str">
        <f t="shared" ref="AH198" si="92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1835-31 --locoid 4026 --swversion DE.1.0.9.0 --startMP 300:58681 --initTime 2017-12-31T22:26:44 --startdatetime 2017-12-31T23:09:29 --delay 74 --endMP 204:122 --enddatetime 2017-12-31T23:23:35 --enforcementcount 0 &gt;&gt;%USERPROFILE%\Documents\GitHub\eaglep3-reporting\EC\2017-12-31-refined-times.txt</v>
      </c>
      <c r="AI198" s="238" t="str">
        <f t="shared" ref="AI198" si="93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{"issue":{"subject":"","project_id":79,"tracker_id":40,"status_id":1,"priority_id":2,"assigned_to_id":338,"start_date":"2017-12-31","description":"","custom_fields":[{"id":1,"name":"Subdivision","value":"NW"},{"id":4,"name":"Milepost","value":"5.8918"},{"id":17,"name":"Train ID","value":"1835-31"},{"id":16,"name":"Locomotive ID","value":"4026"},{"id":130,"name":"Impact","value":""},{"id":150,"name":"Time of Event (Mountain Time)","value":"23:23:35"},{"id":151,"name":"Denver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ref="AM198" si="94">"start /low /b "&amp;dls3logs&amp;" --loco "&amp;B198&amp;" --day "&amp;TEXT(F198,"YYYY-MM-DD")</f>
        <v>start /low /b %USERPROFILE%\Documents\GitHub\eaglep3\Utilities\DownloadLogsFromS3.py --loco 4026 --day 2017-12-31</v>
      </c>
      <c r="AN198" s="241" t="str">
        <f t="shared" ref="AN198" si="95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06:23:35"},{"id":29,"name":"Sharepoint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ref="AO198" si="96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-31T21:26:44-0700',mode:absolute,to:'2018-01-01T00:23:35-0700'))&amp;_a=(columns:!('Message%20ID',Summary),filters:!(),index:'emp_*',interval:auto,query:(query_string:(analyze_wildcard:!t,query:'%22rtdc.l.rtdc.4026%22')),sort:!(Time.ISO8601,asc))</v>
      </c>
    </row>
    <row r="199" spans="1:91" s="223" customFormat="1" x14ac:dyDescent="0.3">
      <c r="A199" s="229" t="s">
        <v>854</v>
      </c>
      <c r="B199" s="225">
        <v>4025</v>
      </c>
      <c r="C199" s="227" t="s">
        <v>192</v>
      </c>
      <c r="D199" s="227" t="s">
        <v>962</v>
      </c>
      <c r="E199" s="226">
        <v>43100.979814814818</v>
      </c>
      <c r="F199" s="226">
        <v>43100.981504629628</v>
      </c>
      <c r="G199" s="225">
        <v>64</v>
      </c>
      <c r="H199" s="227" t="s">
        <v>649</v>
      </c>
      <c r="I199" s="226">
        <v>43100.996631944443</v>
      </c>
      <c r="J199" s="225">
        <v>0</v>
      </c>
      <c r="K199" s="237" t="str">
        <f>IF(ISEVEN(B199),(B199-1)&amp;"/"&amp;B199,B199&amp;"/"&amp;(B199+1))</f>
        <v>4025/4026</v>
      </c>
      <c r="L199" s="245" t="str">
        <f>VLOOKUP(A199,'Trips&amp;Operators'!$C$1:$G$99911,5,FALSE)</f>
        <v>ANDREA WILLIAMS</v>
      </c>
      <c r="M199" s="224">
        <f>I199-F199</f>
        <v>1.5127314814890269E-2</v>
      </c>
      <c r="N199" s="225">
        <f>24*60*SUM($M199:$M199)</f>
        <v>21.783333333441988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-12-31T22:30:56-0700',mode:absolute,to:'2018-01-01T00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9" s="247" t="str">
        <f>IF(AA199&lt;VLOOKUP(AG199,Variables!$AC$3:$AD$8,2,FALSE),"Y","N")</f>
        <v>N</v>
      </c>
      <c r="X199" s="247">
        <f t="shared" si="91"/>
        <v>63</v>
      </c>
      <c r="Y199" s="247">
        <f>RIGHT(D199,LEN(D199)-4)/10000</f>
        <v>5.86</v>
      </c>
      <c r="Z199" s="247">
        <f>RIGHT(H199,LEN(H199)-4)/10000</f>
        <v>1.6400000000000001E-2</v>
      </c>
      <c r="AA199" s="247">
        <f>ABS(Z199-Y199)</f>
        <v>5.8436000000000003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1898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/stypes="app*4025*20180101*" /stext=" 06:.+((SYSTEM_STATE.+slice.+state.+changed )|(ment ac)|(multiple cpu faults)|(system.+state.+changed )|(\[timeout)|(PRM\|1\|D)|(kpr)|(kdp)|(train st.+moving)|(\|lc)|(penalty))"</v>
      </c>
      <c r="AG199" s="244" t="str">
        <f>DetSubdiv(A199)</f>
        <v>NW</v>
      </c>
      <c r="AH199" s="236" t="str">
        <f t="shared" si="49"/>
        <v>"%USERPROFILE%\Documents\GitHub\eaglep3\Utilities\RefineRTDCRunTimes.py" --tripid 1898-31 --locoid 4025 --swversion DE.1.0.9.0 --startMP 300:58600 --initTime 2017-12-31T23:30:56 --startdatetime 2017-12-31T23:33:22 --delay 64 --endMP 204:164 --enddatetime 2017-12-31T23:55:09 --enforcementcount 0 &gt;&gt;%USERPROFILE%\Documents\GitHub\eaglep3-reporting\EC\2017-12-31-refined-times.txt</v>
      </c>
      <c r="AI199" s="238" t="str">
        <f t="shared" si="50"/>
        <v>echo {"issue":{"subject":"","project_id":79,"tracker_id":40,"status_id":1,"priority_id":2,"assigned_to_id":338,"start_date":"2017-12-31","description":"","custom_fields":[{"id":1,"name":"Subdivision","value":"NW"},{"id":4,"name":"Milepost","value":"0.0164"},{"id":17,"name":"Train ID","value":"1898-31"},{"id":16,"name":"Locomotive ID","value":"4025"},{"id":130,"name":"Impact","value":""},{"id":150,"name":"Time of Event (Mountain Time)","value":"23:55:09"},{"id":151,"name":"Denver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51"/>
        <v>start /low /b %USERPROFILE%\Documents\GitHub\eaglep3\Utilities\DownloadLogsFromS3.py --loco 4025 --day 2017-12-31</v>
      </c>
      <c r="AN199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06:55:09"},{"id":29,"name":"Sharepoint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53"/>
        <v>https://d0f6bd738d7f1b3e5a7ca70fe4ff75f0.us-east-1.aws.found.io/app/kibana#/discover/Steve-Slow-Train-Analysis-(2080s-and-2083s)?_g=(refreshInterval:(display:Off,pause:!f,section:0,value:0),time:(from:'2017-12-31T22:30:56-0700',mode:absolute,to:'2018-01-01T00:55:09-0700'))&amp;_a=(columns:!('Message%20ID',Summary),filters:!(),index:'emp_*',interval:auto,query:(query_string:(analyze_wildcard:!t,query:'%22rtdc.l.rtdc.4025%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855</v>
      </c>
      <c r="B200" s="225">
        <v>4026</v>
      </c>
      <c r="C200" s="227" t="s">
        <v>192</v>
      </c>
      <c r="D200" s="227" t="s">
        <v>504</v>
      </c>
      <c r="E200" s="226">
        <v>43101.001145833332</v>
      </c>
      <c r="F200" s="226">
        <v>43101.02107638889</v>
      </c>
      <c r="G200" s="225">
        <v>134</v>
      </c>
      <c r="H200" s="227" t="s">
        <v>963</v>
      </c>
      <c r="I200" s="226">
        <v>43101.031631944446</v>
      </c>
      <c r="J200" s="225">
        <v>0</v>
      </c>
      <c r="K200" s="237" t="str">
        <f>IF(ISEVEN(B200),(B200-1)&amp;"/"&amp;B200,B200&amp;"/"&amp;(B200+1))</f>
        <v>4025/4026</v>
      </c>
      <c r="L200" s="245" t="str">
        <f>VLOOKUP(A200,'Trips&amp;Operators'!$C$1:$G$99911,5,FALSE)</f>
        <v>ANDREA WILLIAMS</v>
      </c>
      <c r="M200" s="224">
        <f>I200-F200</f>
        <v>1.0555555556493346E-2</v>
      </c>
      <c r="N200" s="225">
        <f>24*60*SUM($M200:$M200)</f>
        <v>15.200000001350418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-31T23:01:39-0700',mode:absolute,to:'2018-01-01T01:45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0" s="247" t="str">
        <f>IF(AA200&lt;VLOOKUP(AG200,Variables!$AC$3:$AD$8,2,FALSE),"Y","N")</f>
        <v>N</v>
      </c>
      <c r="X200" s="247">
        <f t="shared" si="91"/>
        <v>1</v>
      </c>
      <c r="Y200" s="247">
        <f>RIGHT(D200,LEN(D200)-4)/10000</f>
        <v>4.6600000000000003E-2</v>
      </c>
      <c r="Z200" s="247">
        <f>RIGHT(H200,LEN(H200)-4)/10000</f>
        <v>5.8928000000000003</v>
      </c>
      <c r="AA200" s="247">
        <f>ABS(Z200-Y200)</f>
        <v>5.8462000000000005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1899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 &amp; aws s3 cp s3://rtdc.mdm.uploadarchive.raw/RTDC4026/ "%USERPROFILE%\AppData\Local\Temp\OnboardLogs"\RTDC4026\2018-01-02 --exclude "*" --recursive --include "*20180102*" &amp; "%USERPROFILE%\Documents\GitHub\mrs-test-scripts\Headless Mode &amp; Sideloading\WalkAndUnGZ.bat" "%USERPROFILE%\AppData\Local\Temp\OnboardLogs"\RTDC4026\2018-01-02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/stypes="app*4026*20180101*" /stext=" 07:.+((SYSTEM_STATE.+slice.+state.+changed )|(ment ac)|(multiple cpu faults)|(system.+state.+changed )|(\[timeout)|(PRM\|1\|D)|(kpr)|(kdp)|(train st.+moving)|(\|lc)|(penalty))"</v>
      </c>
      <c r="AG200" s="244" t="str">
        <f>DetSubdiv(A200)</f>
        <v>NW</v>
      </c>
      <c r="AH200" s="236" t="str">
        <f t="shared" si="49"/>
        <v>"%USERPROFILE%\Documents\GitHub\eaglep3\Utilities\RefineRTDCRunTimes.py" --tripid 1899-31 --locoid 4026 --swversion DE.1.0.9.0 --startMP 204:466 --initTime 2018-01-01T00:01:39 --startdatetime 2018-01-01T00:30:21 --delay 134 --endMP 300:58928 --enddatetime 2018-01-01T00:45:33 --enforcementcount 0 &gt;&gt;%USERPROFILE%\Documents\GitHub\eaglep3-reporting\EC\2017-12-31-refined-times.txt</v>
      </c>
      <c r="AI200" s="238" t="str">
        <f t="shared" si="50"/>
        <v>echo {"issue":{"subject":"","project_id":79,"tracker_id":40,"status_id":1,"priority_id":2,"assigned_to_id":338,"start_date":"2018-01-01","description":"","custom_fields":[{"id":1,"name":"Subdivision","value":"NW"},{"id":4,"name":"Milepost","value":"5.8928"},{"id":17,"name":"Train ID","value":"1899-31"},{"id":16,"name":"Locomotive ID","value":"4026"},{"id":130,"name":"Impact","value":""},{"id":150,"name":"Time of Event (Mountain Time)","value":"00:45:33"},{"id":151,"name":"Denver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51"/>
        <v>start /low /b %USERPROFILE%\Documents\GitHub\eaglep3\Utilities\DownloadLogsFromS3.py --loco 4026 --day 2018-01-01</v>
      </c>
      <c r="AN200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07:45:33"},{"id":29,"name":"Sharepoint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53"/>
        <v>https://d0f6bd738d7f1b3e5a7ca70fe4ff75f0.us-east-1.aws.found.io/app/kibana#/discover/Steve-Slow-Train-Analysis-(2080s-and-2083s)?_g=(refreshInterval:(display:Off,pause:!f,section:0,value:0),time:(from:'2017-12-31T23:01:39-0700',mode:absolute,to:'2018-01-01T01:45:33-0700'))&amp;_a=(columns:!('Message%20ID',Summary),filters:!(),index:'emp_*',interval:auto,query:(query_string:(analyze_wildcard:!t,query:'%22rtdc.l.rtdc.4026%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29" t="s">
        <v>693</v>
      </c>
      <c r="B201" s="225">
        <v>4043</v>
      </c>
      <c r="C201" s="227" t="s">
        <v>192</v>
      </c>
      <c r="D201" s="227" t="s">
        <v>1005</v>
      </c>
      <c r="E201" s="226">
        <v>43100.118148148147</v>
      </c>
      <c r="F201" s="226">
        <v>43100.121562499997</v>
      </c>
      <c r="G201" s="225">
        <v>71</v>
      </c>
      <c r="H201" s="227" t="s">
        <v>472</v>
      </c>
      <c r="I201" s="226">
        <v>43100.128136574072</v>
      </c>
      <c r="J201" s="225">
        <v>0</v>
      </c>
      <c r="K201" s="237" t="str">
        <f>IF(ISEVEN(B201),(B201-1)&amp;"/"&amp;B201,B201&amp;"/"&amp;(B201+1))</f>
        <v>4043/4044</v>
      </c>
      <c r="L201" s="245" t="str">
        <f>VLOOKUP(A201,'Trips&amp;Operators'!$C$1:$G$99911,5,FALSE)</f>
        <v>THOMPSON LESTER</v>
      </c>
      <c r="M201" s="224">
        <f>I201-F201</f>
        <v>6.5740740756154992E-3</v>
      </c>
      <c r="N201" s="225">
        <f>24*60*SUM($M201:$M201)</f>
        <v>9.4666666688863188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-31T01:50:08-0700',mode:absolute,to:'2017-12-31T04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1" s="247" t="str">
        <f>IF(AA201&lt;VLOOKUP(AG201,Variables!$AC$3:$AD$8,2,FALSE),"Y","N")</f>
        <v>Y</v>
      </c>
      <c r="X201" s="247">
        <f t="shared" si="91"/>
        <v>-1599</v>
      </c>
      <c r="Y201" s="247">
        <f>RIGHT(D201,LEN(D201)-4)/10000</f>
        <v>2.3304999999999998</v>
      </c>
      <c r="Z201" s="247">
        <f>RIGHT(H201,LEN(H201)-4)/10000</f>
        <v>2.2499999999999999E-2</v>
      </c>
      <c r="AA201" s="247">
        <f>ABS(Z201-Y201)</f>
        <v>2.3079999999999998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300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/stypes="app*4043*20171231*" /stext=" 10:.+((SYSTEM_STATE.+slice.+state.+changed )|(ment ac)|(multiple cpu faults)|(system.+state.+changed )|(\[timeout)|(PRM\|1\|D)|(kpr)|(kdp)|(train st.+moving)|(\|lc)|(penalty))"</v>
      </c>
      <c r="AG201" s="244" t="str">
        <f>DetSubdiv(A201)</f>
        <v>Other</v>
      </c>
      <c r="AH201" s="236" t="str">
        <f t="shared" si="49"/>
        <v>"%USERPROFILE%\Documents\GitHub\eaglep3\Utilities\RefineRTDCRunTimes.py" --tripid 300-31 --locoid 4043 --swversion DE.1.0.9.0 --startMP 300:23305 --initTime 2017-12-31T02:50:08 --startdatetime 2017-12-31T02:55:03 --delay 71 --endMP 204:225 --enddatetime 2017-12-31T03:04:31 --enforcementcount 0 &gt;&gt;%USERPROFILE%\Documents\GitHub\eaglep3-reporting\EC\2017-12-31-refined-times.txt</v>
      </c>
      <c r="AI201" s="238" t="str">
        <f t="shared" si="50"/>
        <v>echo {"issue":{"subject":"","project_id":79,"tracker_id":40,"status_id":1,"priority_id":2,"assigned_to_id":338,"start_date":"2017-12-31","description":"","custom_fields":[{"id":1,"name":"Subdivision","value":"Other"},{"id":4,"name":"Milepost","value":"0.0225"},{"id":17,"name":"Train ID","value":"300-31"},{"id":16,"name":"Locomotive ID","value":"4043"},{"id":130,"name":"Impact","value":""},{"id":150,"name":"Time of Event (Mountain Time)","value":"03:04:31"},{"id":151,"name":"Denver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51"/>
        <v>start /low /b %USERPROFILE%\Documents\GitHub\eaglep3\Utilities\DownloadLogsFromS3.py --loco 4043 --day 2017-12-31</v>
      </c>
      <c r="AN201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10:04:31"},{"id":29,"name":"Sharepoint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53"/>
        <v>https://d0f6bd738d7f1b3e5a7ca70fe4ff75f0.us-east-1.aws.found.io/app/kibana#/discover/Steve-Slow-Train-Analysis-(2080s-and-2083s)?_g=(refreshInterval:(display:Off,pause:!f,section:0,value:0),time:(from:'2017-12-31T01:50:08-0700',mode:absolute,to:'2017-12-31T04:04:31-0700'))&amp;_a=(columns:!('Message%20ID',Summary),filters:!(),index:'emp_*',interval:auto,query:(query_string:(analyze_wildcard:!t,query:'%22rtdc.l.rtdc.4043%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3">
      <c r="A202" s="229" t="s">
        <v>400</v>
      </c>
      <c r="B202" s="225">
        <v>4052</v>
      </c>
      <c r="C202" s="227" t="s">
        <v>192</v>
      </c>
      <c r="D202" s="227" t="s">
        <v>869</v>
      </c>
      <c r="E202" s="226">
        <v>43100.851111111115</v>
      </c>
      <c r="F202" s="226">
        <v>43100.879236111112</v>
      </c>
      <c r="G202" s="225">
        <v>62</v>
      </c>
      <c r="H202" s="227" t="s">
        <v>520</v>
      </c>
      <c r="I202" s="226">
        <v>43100.886458333334</v>
      </c>
      <c r="J202" s="225">
        <v>0</v>
      </c>
      <c r="K202" s="237" t="str">
        <f>IF(ISEVEN(B202),(B202-1)&amp;"/"&amp;B202,B202&amp;"/"&amp;(B202+1))</f>
        <v>4051/4052</v>
      </c>
      <c r="L202" s="245" t="str">
        <f>VLOOKUP(A202,'Trips&amp;Operators'!$C$1:$G$99911,5,FALSE)</f>
        <v>KILLION DAVID</v>
      </c>
      <c r="M202" s="224">
        <f>I202-F202</f>
        <v>7.2222222224809229E-3</v>
      </c>
      <c r="N202" s="225">
        <f>24*60*SUM($M202:$M202)</f>
        <v>10.400000000372529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-31T19:25:36-0700',mode:absolute,to:'2017-12-31T22:16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2" s="247" t="str">
        <f>IF(AA202&lt;VLOOKUP(AG202,Variables!$AC$3:$AD$8,2,FALSE),"Y","N")</f>
        <v>Y</v>
      </c>
      <c r="X202" s="247">
        <f>VALUE(LEFT(AD202,4))-VALUE(LEFT(AD201,4))</f>
        <v>1</v>
      </c>
      <c r="Y202" s="247">
        <f>RIGHT(D202,LEN(D202)-4)/10000</f>
        <v>4.9799999999999997E-2</v>
      </c>
      <c r="Z202" s="247">
        <f>RIGHT(H202,LEN(H202)-4)/10000</f>
        <v>2.3311999999999999</v>
      </c>
      <c r="AA202" s="247">
        <f>ABS(Z202-Y202)</f>
        <v>2.2814000000000001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301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s3://rtdc.mdm.uploadarchive.raw/RTDC4052/ "%USERPROFILE%\AppData\Local\Temp\OnboardLogs"\RTDC4052\2017-12-31 --exclude "*" --recursive --include "*20171231*" &amp; "%USERPROFILE%\Documents\GitHub\mrs-test-scripts\Headless Mode &amp; Sideloading\WalkAndUnGZ.bat" "%USERPROFILE%\AppData\Local\Temp\OnboardLogs"\RTDC4052\2017-12-31 &amp; aws s3 cp s3://rtdc.mdm.uploadarchive.raw/RTDC4052/ "%USERPROFILE%\AppData\Local\Temp\OnboardLogs"\RTDC4052\2018-01-01 --exclude "*" --recursive --include "*20180101*" &amp; "%USERPROFILE%\Documents\GitHub\mrs-test-scripts\Headless Mode &amp; Sideloading\WalkAndUnGZ.bat" "%USERPROFILE%\AppData\Local\Temp\OnboardLogs"\RTDC4052\2018-01-01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/stypes="app*4052*20180101*" /stext=" 04:.+((SYSTEM_STATE.+slice.+state.+changed )|(ment ac)|(multiple cpu faults)|(system.+state.+changed )|(\[timeout)|(PRM\|1\|D)|(kpr)|(kdp)|(train st.+moving)|(\|lc)|(penalty))"</v>
      </c>
      <c r="AG202" s="244" t="str">
        <f>DetSubdiv(A202)</f>
        <v>Other</v>
      </c>
      <c r="AH202" s="236" t="str">
        <f t="shared" si="49"/>
        <v>"%USERPROFILE%\Documents\GitHub\eaglep3\Utilities\RefineRTDCRunTimes.py" --tripid 301-31 --locoid 4052 --swversion DE.1.0.9.0 --startMP 204:498 --initTime 2017-12-31T20:25:36 --startdatetime 2017-12-31T21:06:06 --delay 62 --endMP 300:23312 --enddatetime 2017-12-31T21:16:30 --enforcementcount 0 &gt;&gt;%USERPROFILE%\Documents\GitHub\eaglep3-reporting\EC\2017-12-31-refined-times.txt</v>
      </c>
      <c r="AI202" s="238" t="str">
        <f t="shared" si="50"/>
        <v>echo {"issue":{"subject":"","project_id":79,"tracker_id":40,"status_id":1,"priority_id":2,"assigned_to_id":338,"start_date":"2017-12-31","description":"","custom_fields":[{"id":1,"name":"Subdivision","value":"Other"},{"id":4,"name":"Milepost","value":"2.3312"},{"id":17,"name":"Train ID","value":"301-31"},{"id":16,"name":"Locomotive ID","value":"4052"},{"id":130,"name":"Impact","value":""},{"id":150,"name":"Time of Event (Mountain Time)","value":"21:16:30"},{"id":151,"name":"Denver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51"/>
        <v>start /low /b %USERPROFILE%\Documents\GitHub\eaglep3\Utilities\DownloadLogsFromS3.py --loco 4052 --day 2017-12-31</v>
      </c>
      <c r="AN202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04:16:30"},{"id":29,"name":"Sharepoint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53"/>
        <v>https://d0f6bd738d7f1b3e5a7ca70fe4ff75f0.us-east-1.aws.found.io/app/kibana#/discover/Steve-Slow-Train-Analysis-(2080s-and-2083s)?_g=(refreshInterval:(display:Off,pause:!f,section:0,value:0),time:(from:'2017-12-31T19:25:36-0700',mode:absolute,to:'2017-12-31T22:16:30-0700'))&amp;_a=(columns:!('Message%20ID',Summary),filters:!(),index:'emp_*',interval:auto,query:(query_string:(analyze_wildcard:!t,query:'%22rtdc.l.rtdc.4052%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3">
      <c r="A203" s="229" t="s">
        <v>695</v>
      </c>
      <c r="B203" s="225">
        <v>4017</v>
      </c>
      <c r="C203" s="227" t="s">
        <v>192</v>
      </c>
      <c r="D203" s="227" t="s">
        <v>1006</v>
      </c>
      <c r="E203" s="226">
        <v>43100.137604166666</v>
      </c>
      <c r="F203" s="226">
        <v>43100.143518518518</v>
      </c>
      <c r="G203" s="225">
        <v>115</v>
      </c>
      <c r="H203" s="227" t="s">
        <v>630</v>
      </c>
      <c r="I203" s="226">
        <v>43100.148275462961</v>
      </c>
      <c r="J203" s="225">
        <v>0</v>
      </c>
      <c r="K203" s="237" t="str">
        <f>IF(ISEVEN(B203),(B203-1)&amp;"/"&amp;B203,B203&amp;"/"&amp;(B203+1))</f>
        <v>4017/4018</v>
      </c>
      <c r="L203" s="245" t="str">
        <f>VLOOKUP(A203,'Trips&amp;Operators'!$C$1:$G$99911,5,FALSE)</f>
        <v>MAELZER KURT</v>
      </c>
      <c r="M203" s="224">
        <f>I203-F203</f>
        <v>4.756944443215616E-3</v>
      </c>
      <c r="N203" s="225">
        <f>24*60*SUM($M203:$M203)</f>
        <v>6.8499999982304871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-31T02:18:09-0700',mode:absolute,to:'2017-12-31T04:33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3" s="247" t="str">
        <f>IF(AA203&lt;VLOOKUP(AG203,Variables!$AC$3:$AD$8,2,FALSE),"Y","N")</f>
        <v>Y</v>
      </c>
      <c r="X203" s="247">
        <f>VALUE(LEFT(AD203,4))-VALUE(LEFT(AD202,4))</f>
        <v>1</v>
      </c>
      <c r="Y203" s="247">
        <f>RIGHT(D203,LEN(D203)-4)/10000</f>
        <v>1.9650000000000001</v>
      </c>
      <c r="Z203" s="247">
        <f>RIGHT(H203,LEN(H203)-4)/10000</f>
        <v>1.8100000000000002E-2</v>
      </c>
      <c r="AA203" s="247">
        <f>ABS(Z203-Y203)</f>
        <v>1.9469000000000001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302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s3://rtdc.mdm.uploadarchive.raw/RTDC4017/ "%USERPROFILE%\AppData\Local\Temp\OnboardLogs"\RTDC4017\2017-12-31 --exclude "*" --recursive --include "*20171231*" &amp; "%USERPROFILE%\Documents\GitHub\mrs-test-scripts\Headless Mode &amp; Sideloading\WalkAndUnGZ.bat" "%USERPROFILE%\AppData\Local\Temp\OnboardLogs"\RTDC4017\2017-12-31 &amp; aws s3 cp s3://rtdc.mdm.uploadarchive.raw/RTDC4017/ "%USERPROFILE%\AppData\Local\Temp\OnboardLogs"\RTDC4017\2018-01-01 --exclude "*" --recursive --include "*20180101*" &amp; "%USERPROFILE%\Documents\GitHub\mrs-test-scripts\Headless Mode &amp; Sideloading\WalkAndUnGZ.bat" "%USERPROFILE%\AppData\Local\Temp\OnboardLogs"\RTDC4017\2018-01-01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/stypes="app*4017*20171231*" /stext=" 10:.+((SYSTEM_STATE.+slice.+state.+changed )|(ment ac)|(multiple cpu faults)|(system.+state.+changed )|(\[timeout)|(PRM\|1\|D)|(kpr)|(kdp)|(train st.+moving)|(\|lc)|(penalty))"</v>
      </c>
      <c r="AG203" s="244" t="str">
        <f>DetSubdiv(A203)</f>
        <v>Other</v>
      </c>
      <c r="AH203" s="236" t="str">
        <f t="shared" si="49"/>
        <v>"%USERPROFILE%\Documents\GitHub\eaglep3\Utilities\RefineRTDCRunTimes.py" --tripid 302-31 --locoid 4017 --swversion DE.1.0.9.0 --startMP 300:19650 --initTime 2017-12-31T03:18:09 --startdatetime 2017-12-31T03:26:40 --delay 115 --endMP 204:181 --enddatetime 2017-12-31T03:33:31 --enforcementcount 0 &gt;&gt;%USERPROFILE%\Documents\GitHub\eaglep3-reporting\EC\2017-12-31-refined-times.txt</v>
      </c>
      <c r="AI203" s="238" t="str">
        <f t="shared" si="50"/>
        <v>echo {"issue":{"subject":"","project_id":79,"tracker_id":40,"status_id":1,"priority_id":2,"assigned_to_id":338,"start_date":"2017-12-31","description":"","custom_fields":[{"id":1,"name":"Subdivision","value":"Other"},{"id":4,"name":"Milepost","value":"0.0181"},{"id":17,"name":"Train ID","value":"302-31"},{"id":16,"name":"Locomotive ID","value":"4017"},{"id":130,"name":"Impact","value":""},{"id":150,"name":"Time of Event (Mountain Time)","value":"03:33:31"},{"id":151,"name":"Denver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51"/>
        <v>start /low /b %USERPROFILE%\Documents\GitHub\eaglep3\Utilities\DownloadLogsFromS3.py --loco 4017 --day 2017-12-31</v>
      </c>
      <c r="AN203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10:33:31"},{"id":29,"name":"Sharepoint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53"/>
        <v>https://d0f6bd738d7f1b3e5a7ca70fe4ff75f0.us-east-1.aws.found.io/app/kibana#/discover/Steve-Slow-Train-Analysis-(2080s-and-2083s)?_g=(refreshInterval:(display:Off,pause:!f,section:0,value:0),time:(from:'2017-12-31T02:18:09-0700',mode:absolute,to:'2017-12-31T04:33:31-0700'))&amp;_a=(columns:!('Message%20ID',Summary),filters:!(),index:'emp_*',interval:auto,query:(query_string:(analyze_wildcard:!t,query:'%22rtdc.l.rtdc.4017%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698</v>
      </c>
      <c r="B204" s="225">
        <v>4033</v>
      </c>
      <c r="C204" s="227" t="s">
        <v>192</v>
      </c>
      <c r="D204" s="227" t="s">
        <v>1007</v>
      </c>
      <c r="E204" s="226">
        <v>43100.158078703702</v>
      </c>
      <c r="F204" s="226">
        <v>43100.163761574076</v>
      </c>
      <c r="G204" s="225">
        <v>120</v>
      </c>
      <c r="H204" s="227" t="s">
        <v>1008</v>
      </c>
      <c r="I204" s="226">
        <v>43100.169178240743</v>
      </c>
      <c r="J204" s="225">
        <v>0</v>
      </c>
      <c r="K204" s="237" t="str">
        <f>IF(ISEVEN(B204),(B204-1)&amp;"/"&amp;B204,B204&amp;"/"&amp;(B204+1))</f>
        <v>4033/4034</v>
      </c>
      <c r="L204" s="245" t="str">
        <f>VLOOKUP(A204,'Trips&amp;Operators'!$C$1:$G$99911,5,FALSE)</f>
        <v>LOPES KIMBERLY</v>
      </c>
      <c r="M204" s="224">
        <f>I204-F204</f>
        <v>5.4166666668606922E-3</v>
      </c>
      <c r="N204" s="225">
        <f>24*60*SUM($M204:$M204)</f>
        <v>7.8000000002793968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-31T02:47:38-0700',mode:absolute,to:'2017-12-31T05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4" s="247" t="str">
        <f>IF(AA204&lt;VLOOKUP(AG204,Variables!$AC$3:$AD$8,2,FALSE),"Y","N")</f>
        <v>Y</v>
      </c>
      <c r="X204" s="247">
        <f>VALUE(LEFT(AD204,4))-VALUE(LEFT(AD203,4))</f>
        <v>2</v>
      </c>
      <c r="Y204" s="247">
        <f>RIGHT(D204,LEN(D204)-4)/10000</f>
        <v>2.3462999999999998</v>
      </c>
      <c r="Z204" s="247">
        <f>RIGHT(H204,LEN(H204)-4)/10000</f>
        <v>2.18E-2</v>
      </c>
      <c r="AA204" s="247">
        <f>ABS(Z204-Y204)</f>
        <v>2.3245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304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/stypes="app*4033*20171231*" /stext=" 11:.+((SYSTEM_STATE.+slice.+state.+changed )|(ment ac)|(multiple cpu faults)|(system.+state.+changed )|(\[timeout)|(PRM\|1\|D)|(kpr)|(kdp)|(train st.+moving)|(\|lc)|(penalty))"</v>
      </c>
      <c r="AG204" s="244" t="str">
        <f>DetSubdiv(A204)</f>
        <v>Other</v>
      </c>
      <c r="AH204" s="236" t="str">
        <f t="shared" si="49"/>
        <v>"%USERPROFILE%\Documents\GitHub\eaglep3\Utilities\RefineRTDCRunTimes.py" --tripid 304-31 --locoid 4033 --swversion DE.1.0.9.0 --startMP 300:23463 --initTime 2017-12-31T03:47:38 --startdatetime 2017-12-31T03:55:49 --delay 120 --endMP 204:218 --enddatetime 2017-12-31T04:03:37 --enforcementcount 0 &gt;&gt;%USERPROFILE%\Documents\GitHub\eaglep3-reporting\EC\2017-12-31-refined-times.txt</v>
      </c>
      <c r="AI204" s="238" t="str">
        <f t="shared" si="50"/>
        <v>echo {"issue":{"subject":"","project_id":79,"tracker_id":40,"status_id":1,"priority_id":2,"assigned_to_id":338,"start_date":"2017-12-31","description":"","custom_fields":[{"id":1,"name":"Subdivision","value":"Other"},{"id":4,"name":"Milepost","value":"0.0218"},{"id":17,"name":"Train ID","value":"304-31"},{"id":16,"name":"Locomotive ID","value":"4033"},{"id":130,"name":"Impact","value":""},{"id":150,"name":"Time of Event (Mountain Time)","value":"04:03:37"},{"id":151,"name":"Denver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51"/>
        <v>start /low /b %USERPROFILE%\Documents\GitHub\eaglep3\Utilities\DownloadLogsFromS3.py --loco 4033 --day 2017-12-31</v>
      </c>
      <c r="AN204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11:03:37"},{"id":29,"name":"Sharepoint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53"/>
        <v>https://d0f6bd738d7f1b3e5a7ca70fe4ff75f0.us-east-1.aws.found.io/app/kibana#/discover/Steve-Slow-Train-Analysis-(2080s-and-2083s)?_g=(refreshInterval:(display:Off,pause:!f,section:0,value:0),time:(from:'2017-12-31T02:47:38-0700',mode:absolute,to:'2017-12-31T05:03:37-0700'))&amp;_a=(columns:!('Message%20ID',Summary),filters:!(),index:'emp_*',interval:auto,query:(query_string:(analyze_wildcard:!t,query:'%22rtdc.l.rtdc.4033%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410</v>
      </c>
      <c r="B205" s="225">
        <v>4016</v>
      </c>
      <c r="C205" s="227" t="s">
        <v>192</v>
      </c>
      <c r="D205" s="227" t="s">
        <v>1009</v>
      </c>
      <c r="E205" s="226">
        <v>43100.819363425922</v>
      </c>
      <c r="F205" s="226">
        <v>43100.83221064815</v>
      </c>
      <c r="G205" s="225">
        <v>55</v>
      </c>
      <c r="H205" s="227" t="s">
        <v>1010</v>
      </c>
      <c r="I205" s="226">
        <v>43100.837453703702</v>
      </c>
      <c r="J205" s="225">
        <v>0</v>
      </c>
      <c r="K205" s="237" t="str">
        <f>IF(ISEVEN(B205),(B205-1)&amp;"/"&amp;B205,B205&amp;"/"&amp;(B205+1))</f>
        <v>4015/4016</v>
      </c>
      <c r="L205" s="245" t="str">
        <f>VLOOKUP(A205,'Trips&amp;Operators'!$C$1:$G$99911,5,FALSE)</f>
        <v>SMITH MICHAEL</v>
      </c>
      <c r="M205" s="224">
        <f>I205-F205</f>
        <v>5.2430555515456945E-3</v>
      </c>
      <c r="N205" s="225">
        <f>24*60*SUM($M205:$M205)</f>
        <v>7.5499999942258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-31T18:39:53-0700',mode:absolute,to:'2017-12-31T21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1</v>
      </c>
      <c r="Y205" s="247">
        <f>RIGHT(D205,LEN(D205)-4)/10000</f>
        <v>0.1242</v>
      </c>
      <c r="Z205" s="247">
        <f>RIGHT(H205,LEN(H205)-4)/10000</f>
        <v>2.3300999999999998</v>
      </c>
      <c r="AA205" s="247">
        <f>ABS(Z205-Y205)</f>
        <v>2.2058999999999997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305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"%USERPROFILE%\AppData\Local\Temp\OnboardLogs"\RTDC4016\2017-12-31 --exclude "*" --recursive --include "*20171231*" &amp; "%USERPROFILE%\Documents\GitHub\mrs-test-scripts\Headless Mode &amp; Sideloading\WalkAndUnGZ.bat" "%USERPROFILE%\AppData\Local\Temp\OnboardLogs"\RTDC4016\2017-12-31 &amp; aws s3 cp s3://rtdc.mdm.uploadarchive.raw/RTDC4016/ "%USERPROFILE%\AppData\Local\Temp\OnboardLogs"\RTDC4016\2018-01-01 --exclude "*" --recursive --include "*20180101*" &amp; "%USERPROFILE%\Documents\GitHub\mrs-test-scripts\Headless Mode &amp; Sideloading\WalkAndUnGZ.bat" "%USERPROFILE%\AppData\Local\Temp\OnboardLogs"\RTDC4016\2018-01-01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/stypes="app*4016*20180101*" /stext=" 03:.+((SYSTEM_STATE.+slice.+state.+changed )|(ment ac)|(multiple cpu faults)|(system.+state.+changed )|(\[timeout)|(PRM\|1\|D)|(kpr)|(kdp)|(train st.+moving)|(\|lc)|(penalty))"</v>
      </c>
      <c r="AG205" s="244" t="str">
        <f>DetSubdiv(A205)</f>
        <v>Other</v>
      </c>
      <c r="AH205" s="236" t="str">
        <f t="shared" si="49"/>
        <v>"%USERPROFILE%\Documents\GitHub\eaglep3\Utilities\RefineRTDCRunTimes.py" --tripid 305-31 --locoid 4016 --swversion DE.1.0.9.0 --startMP 204:1242 --initTime 2017-12-31T19:39:53 --startdatetime 2017-12-31T19:58:23 --delay 55 --endMP 300:23301 --enddatetime 2017-12-31T20:05:56 --enforcementcount 0 &gt;&gt;%USERPROFILE%\Documents\GitHub\eaglep3-reporting\EC\2017-12-31-refined-times.txt</v>
      </c>
      <c r="AI205" s="238" t="str">
        <f t="shared" si="50"/>
        <v>echo {"issue":{"subject":"","project_id":79,"tracker_id":40,"status_id":1,"priority_id":2,"assigned_to_id":338,"start_date":"2017-12-31","description":"","custom_fields":[{"id":1,"name":"Subdivision","value":"Other"},{"id":4,"name":"Milepost","value":"2.3301"},{"id":17,"name":"Train ID","value":"305-31"},{"id":16,"name":"Locomotive ID","value":"4016"},{"id":130,"name":"Impact","value":""},{"id":150,"name":"Time of Event (Mountain Time)","value":"20:05:56"},{"id":151,"name":"Denver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51"/>
        <v>start /low /b %USERPROFILE%\Documents\GitHub\eaglep3\Utilities\DownloadLogsFromS3.py --loco 4016 --day 2017-12-31</v>
      </c>
      <c r="AN205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53"/>
        <v>https://d0f6bd738d7f1b3e5a7ca70fe4ff75f0.us-east-1.aws.found.io/app/kibana#/discover/Steve-Slow-Train-Analysis-(2080s-and-2083s)?_g=(refreshInterval:(display:Off,pause:!f,section:0,value:0),time:(from:'2017-12-31T18:39:53-0700',mode:absolute,to:'2017-12-31T21:05:56-0700'))&amp;_a=(columns:!('Message%20ID',Summary),filters:!(),index:'emp_*',interval:auto,query:(query_string:(analyze_wildcard:!t,query:'%22rtdc.l.rtdc.4016%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3">
      <c r="A206" s="229" t="s">
        <v>700</v>
      </c>
      <c r="B206" s="225">
        <v>4061</v>
      </c>
      <c r="C206" s="227" t="s">
        <v>192</v>
      </c>
      <c r="D206" s="227" t="s">
        <v>1011</v>
      </c>
      <c r="E206" s="226">
        <v>43100.172615740739</v>
      </c>
      <c r="F206" s="226">
        <v>43100.177071759259</v>
      </c>
      <c r="G206" s="225">
        <v>162</v>
      </c>
      <c r="H206" s="227" t="s">
        <v>1012</v>
      </c>
      <c r="I206" s="226">
        <v>43100.18277777778</v>
      </c>
      <c r="J206" s="225">
        <v>0</v>
      </c>
      <c r="K206" s="237" t="str">
        <f>IF(ISEVEN(B206),(B206-1)&amp;"/"&amp;B206,B206&amp;"/"&amp;(B206+1))</f>
        <v>4061/4062</v>
      </c>
      <c r="L206" s="245" t="str">
        <f>VLOOKUP(A206,'Trips&amp;Operators'!$C$1:$G$99911,5,FALSE)</f>
        <v>DELGADO DIANAH</v>
      </c>
      <c r="M206" s="224">
        <f>I206-F206</f>
        <v>5.7060185208683833E-3</v>
      </c>
      <c r="N206" s="225">
        <f>24*60*SUM($M206:$M206)</f>
        <v>8.216666670050472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-31T03:08:34-0700',mode:absolute,to:'2017-12-31T05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6" s="247" t="str">
        <f>IF(AA206&lt;VLOOKUP(AG206,Variables!$AC$3:$AD$8,2,FALSE),"Y","N")</f>
        <v>Y</v>
      </c>
      <c r="X206" s="247">
        <f>VALUE(LEFT(AD206,4))-VALUE(LEFT(AD205,4))</f>
        <v>1</v>
      </c>
      <c r="Y206" s="247">
        <f>RIGHT(D206,LEN(D206)-4)/10000</f>
        <v>2.3169</v>
      </c>
      <c r="Z206" s="247">
        <f>RIGHT(H206,LEN(H206)-4)/10000</f>
        <v>1.4500000000000001E-2</v>
      </c>
      <c r="AA206" s="247">
        <f>ABS(Z206-Y206)</f>
        <v>2.3024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306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 &amp; aws s3 cp s3://rtdc.mdm.uploadarchive.raw/RTDC4061/ "%USERPROFILE%\AppData\Local\Temp\OnboardLogs"\RTDC4061\2018-01-01 --exclude "*" --recursive --include "*20180101*" &amp; "%USERPROFILE%\Documents\GitHub\mrs-test-scripts\Headless Mode &amp; Sideloading\WalkAndUnGZ.bat" "%USERPROFILE%\AppData\Local\Temp\OnboardLogs"\RTDC4061\2018-01-01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/stypes="app*4061*20171231*" /stext=" 11:.+((SYSTEM_STATE.+slice.+state.+changed )|(ment ac)|(multiple cpu faults)|(system.+state.+changed )|(\[timeout)|(PRM\|1\|D)|(kpr)|(kdp)|(train st.+moving)|(\|lc)|(penalty))"</v>
      </c>
      <c r="AG206" s="244" t="str">
        <f>DetSubdiv(A206)</f>
        <v>Other</v>
      </c>
      <c r="AH206" s="236" t="str">
        <f t="shared" si="49"/>
        <v>"%USERPROFILE%\Documents\GitHub\eaglep3\Utilities\RefineRTDCRunTimes.py" --tripid 306-31 --locoid 4061 --swversion DE.1.0.9.0 --startMP 300:23169 --initTime 2017-12-31T04:08:34 --startdatetime 2017-12-31T04:14:59 --delay 162 --endMP 204:145 --enddatetime 2017-12-31T04:23:12 --enforcementcount 0 &gt;&gt;%USERPROFILE%\Documents\GitHub\eaglep3-reporting\EC\2017-12-31-refined-times.txt</v>
      </c>
      <c r="AI206" s="238" t="str">
        <f t="shared" si="50"/>
        <v>echo {"issue":{"subject":"","project_id":79,"tracker_id":40,"status_id":1,"priority_id":2,"assigned_to_id":338,"start_date":"2017-12-31","description":"","custom_fields":[{"id":1,"name":"Subdivision","value":"Other"},{"id":4,"name":"Milepost","value":"0.0145"},{"id":17,"name":"Train ID","value":"306-31"},{"id":16,"name":"Locomotive ID","value":"4061"},{"id":130,"name":"Impact","value":""},{"id":150,"name":"Time of Event (Mountain Time)","value":"04:23:12"},{"id":151,"name":"Denver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51"/>
        <v>start /low /b %USERPROFILE%\Documents\GitHub\eaglep3\Utilities\DownloadLogsFromS3.py --loco 4061 --day 2017-12-31</v>
      </c>
      <c r="AN206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11:23:12"},{"id":29,"name":"Sharepoint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53"/>
        <v>https://d0f6bd738d7f1b3e5a7ca70fe4ff75f0.us-east-1.aws.found.io/app/kibana#/discover/Steve-Slow-Train-Analysis-(2080s-and-2083s)?_g=(refreshInterval:(display:Off,pause:!f,section:0,value:0),time:(from:'2017-12-31T03:08:34-0700',mode:absolute,to:'2017-12-31T05:23:12-0700'))&amp;_a=(columns:!('Message%20ID',Summary),filters:!(),index:'emp_*',interval:auto,query:(query_string:(analyze_wildcard:!t,query:'%22rtdc.l.rtdc.4061%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438</v>
      </c>
      <c r="B207" s="225">
        <v>4018</v>
      </c>
      <c r="C207" s="227" t="s">
        <v>192</v>
      </c>
      <c r="D207" s="227" t="s">
        <v>1013</v>
      </c>
      <c r="E207" s="226">
        <v>43101.048356481479</v>
      </c>
      <c r="F207" s="226">
        <v>43101.050844907404</v>
      </c>
      <c r="G207" s="225">
        <v>70</v>
      </c>
      <c r="H207" s="227" t="s">
        <v>1014</v>
      </c>
      <c r="I207" s="226">
        <v>43101.057812500003</v>
      </c>
      <c r="J207" s="225">
        <v>0</v>
      </c>
      <c r="K207" s="237" t="str">
        <f>IF(ISEVEN(B207),(B207-1)&amp;"/"&amp;B207,B207&amp;"/"&amp;(B207+1))</f>
        <v>4017/4018</v>
      </c>
      <c r="L207" s="245" t="str">
        <f>VLOOKUP(A207,'Trips&amp;Operators'!$C$1:$G$99911,5,FALSE)</f>
        <v>LOZA FIDEL</v>
      </c>
      <c r="M207" s="224">
        <f>I207-F207</f>
        <v>6.967592598812189E-3</v>
      </c>
      <c r="N207" s="225">
        <f>24*60*SUM($M207:$M207)</f>
        <v>10.033333342289552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-01T00:09:38-0700',mode:absolute,to:'2018-01-01T02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1</v>
      </c>
      <c r="Y207" s="247">
        <f>RIGHT(D207,LEN(D207)-4)/10000</f>
        <v>7.7200000000000005E-2</v>
      </c>
      <c r="Z207" s="247">
        <f>RIGHT(H207,LEN(H207)-4)/10000</f>
        <v>2.3306</v>
      </c>
      <c r="AA207" s="247">
        <f>ABS(Z207-Y207)</f>
        <v>2.2534000000000001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307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 &amp; aws s3 cp s3://rtdc.mdm.uploadarchive.raw/RTDC4018/ "%USERPROFILE%\AppData\Local\Temp\OnboardLogs"\RTDC4018\2018-01-02 --exclude "*" --recursive --include "*20180102*" &amp; "%USERPROFILE%\Documents\GitHub\mrs-test-scripts\Headless Mode &amp; Sideloading\WalkAndUnGZ.bat" "%USERPROFILE%\AppData\Local\Temp\OnboardLogs"\RTDC4018\2018-01-02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/stypes="app*4018*20180101*" /stext=" 08:.+((SYSTEM_STATE.+slice.+state.+changed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si="49"/>
        <v>"%USERPROFILE%\Documents\GitHub\eaglep3\Utilities\RefineRTDCRunTimes.py" --tripid 307-31 --locoid 4018 --swversion DE.1.0.9.0 --startMP 204:772 --initTime 2018-01-01T01:09:38 --startdatetime 2018-01-01T01:13:13 --delay 70 --endMP 300:23306 --enddatetime 2018-01-01T01:23:15 --enforcementcount 0 &gt;&gt;%USERPROFILE%\Documents\GitHub\eaglep3-reporting\EC\2017-12-31-refined-times.txt</v>
      </c>
      <c r="AI207" s="238" t="str">
        <f t="shared" si="50"/>
        <v>echo {"issue":{"subject":"","project_id":79,"tracker_id":40,"status_id":1,"priority_id":2,"assigned_to_id":338,"start_date":"2018-01-01","description":"","custom_fields":[{"id":1,"name":"Subdivision","value":"Other"},{"id":4,"name":"Milepost","value":"2.3306"},{"id":17,"name":"Train ID","value":"307-31"},{"id":16,"name":"Locomotive ID","value":"4018"},{"id":130,"name":"Impact","value":""},{"id":150,"name":"Time of Event (Mountain Time)","value":"01:23:15"},{"id":151,"name":"Denver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51"/>
        <v>start /low /b %USERPROFILE%\Documents\GitHub\eaglep3\Utilities\DownloadLogsFromS3.py --loco 4018 --day 2018-01-01</v>
      </c>
      <c r="AN207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08:23:15"},{"id":29,"name":"Sharepoint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53"/>
        <v>https://d0f6bd738d7f1b3e5a7ca70fe4ff75f0.us-east-1.aws.found.io/app/kibana#/discover/Steve-Slow-Train-Analysis-(2080s-and-2083s)?_g=(refreshInterval:(display:Off,pause:!f,section:0,value:0),time:(from:'2018-01-01T00:09:38-0700',mode:absolute,to:'2018-01-01T02:23:15-0700'))&amp;_a=(columns:!('Message%20ID',Summary),filters:!(),index:'emp_*',interval:auto,query:(query_string:(analyze_wildcard:!t,query:'%22rtdc.l.rtdc.4018%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441</v>
      </c>
      <c r="B208" s="225">
        <v>4062</v>
      </c>
      <c r="C208" s="227" t="s">
        <v>192</v>
      </c>
      <c r="D208" s="227" t="s">
        <v>1015</v>
      </c>
      <c r="E208" s="226">
        <v>43101.091087962966</v>
      </c>
      <c r="F208" s="226">
        <v>43101.092685185184</v>
      </c>
      <c r="G208" s="225">
        <v>49</v>
      </c>
      <c r="H208" s="227" t="s">
        <v>603</v>
      </c>
      <c r="I208" s="226">
        <v>43101.103946759256</v>
      </c>
      <c r="J208" s="225">
        <v>0</v>
      </c>
      <c r="K208" s="237" t="str">
        <f>IF(ISEVEN(B208),(B208-1)&amp;"/"&amp;B208,B208&amp;"/"&amp;(B208+1))</f>
        <v>4061/4062</v>
      </c>
      <c r="L208" s="245" t="str">
        <f>VLOOKUP(A208,'Trips&amp;Operators'!$C$1:$G$99911,5,FALSE)</f>
        <v>RESPASS AARON</v>
      </c>
      <c r="M208" s="224">
        <f>I208-F208</f>
        <v>1.1261574072705116E-2</v>
      </c>
      <c r="N208" s="225">
        <f>24*60*SUM($M208:$M208)</f>
        <v>16.216666664695367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-01T01:11:10-0700',mode:absolute,to:'2018-01-01T03:29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4</v>
      </c>
      <c r="Y208" s="247">
        <f>RIGHT(D208,LEN(D208)-4)/10000</f>
        <v>7.6799999999999993E-2</v>
      </c>
      <c r="Z208" s="247">
        <f>RIGHT(H208,LEN(H208)-4)/10000</f>
        <v>2.3304</v>
      </c>
      <c r="AA208" s="247">
        <f>ABS(Z208-Y208)</f>
        <v>2.2536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311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 &amp; aws s3 cp s3://rtdc.mdm.uploadarchive.raw/RTDC4062/ "%USERPROFILE%\AppData\Local\Temp\OnboardLogs"\RTDC4062\2018-01-02 --exclude "*" --recursive --include "*20180102*" &amp; "%USERPROFILE%\Documents\GitHub\mrs-test-scripts\Headless Mode &amp; Sideloading\WalkAndUnGZ.bat" "%USERPROFILE%\AppData\Local\Temp\OnboardLogs"\RTDC4062\2018-01-02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/stypes="app*4062*20180101*" /stext=" 09:.+((SYSTEM_STATE.+slice.+state.+changed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49"/>
        <v>"%USERPROFILE%\Documents\GitHub\eaglep3\Utilities\RefineRTDCRunTimes.py" --tripid 311-31 --locoid 4062 --swversion DE.1.0.9.0 --startMP 204:768 --initTime 2018-01-01T02:11:10 --startdatetime 2018-01-01T02:13:28 --delay 49 --endMP 300:23304 --enddatetime 2018-01-01T02:29:41 --enforcementcount 0 &gt;&gt;%USERPROFILE%\Documents\GitHub\eaglep3-reporting\EC\2017-12-31-refined-times.txt</v>
      </c>
      <c r="AI208" s="238" t="str">
        <f t="shared" si="50"/>
        <v>echo {"issue":{"subject":"","project_id":79,"tracker_id":40,"status_id":1,"priority_id":2,"assigned_to_id":338,"start_date":"2018-01-01","description":"","custom_fields":[{"id":1,"name":"Subdivision","value":"Other"},{"id":4,"name":"Milepost","value":"2.3304"},{"id":17,"name":"Train ID","value":"311-31"},{"id":16,"name":"Locomotive ID","value":"4062"},{"id":130,"name":"Impact","value":""},{"id":150,"name":"Time of Event (Mountain Time)","value":"02:29:41"},{"id":151,"name":"Denver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51"/>
        <v>start /low /b %USERPROFILE%\Documents\GitHub\eaglep3\Utilities\DownloadLogsFromS3.py --loco 4062 --day 2018-01-01</v>
      </c>
      <c r="AN208" s="241" t="str">
        <f t="shared" si="5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09:29:41"},{"id":29,"name":"Sharepoint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53"/>
        <v>https://d0f6bd738d7f1b3e5a7ca70fe4ff75f0.us-east-1.aws.found.io/app/kibana#/discover/Steve-Slow-Train-Analysis-(2080s-and-2083s)?_g=(refreshInterval:(display:Off,pause:!f,section:0,value:0),time:(from:'2018-01-01T01:11:10-0700',mode:absolute,to:'2018-01-01T03:29:41-0700'))&amp;_a=(columns:!('Message%20ID',Summary),filters:!(),index:'emp_*',interval:auto,query:(query_string:(analyze_wildcard:!t,query:'%22rtdc.l.rtdc.4062%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714</v>
      </c>
      <c r="B209" s="225">
        <v>4015</v>
      </c>
      <c r="C209" s="227" t="s">
        <v>192</v>
      </c>
      <c r="D209" s="227" t="s">
        <v>1016</v>
      </c>
      <c r="E209" s="226">
        <v>43100.225810185184</v>
      </c>
      <c r="F209" s="226">
        <v>43100.230902777781</v>
      </c>
      <c r="G209" s="225">
        <v>64</v>
      </c>
      <c r="H209" s="227" t="s">
        <v>497</v>
      </c>
      <c r="I209" s="226">
        <v>43100.235925925925</v>
      </c>
      <c r="J209" s="225">
        <v>0</v>
      </c>
      <c r="K209" s="237" t="str">
        <f>IF(ISEVEN(B209),(B209-1)&amp;"/"&amp;B209,B209&amp;"/"&amp;(B209+1))</f>
        <v>4015/4016</v>
      </c>
      <c r="L209" s="245" t="str">
        <f>VLOOKUP(A209,'Trips&amp;Operators'!$C$1:$G$99911,5,FALSE)</f>
        <v>LAMAR NEKESHA</v>
      </c>
      <c r="M209" s="224">
        <f>I209-F209</f>
        <v>5.0231481436640024E-3</v>
      </c>
      <c r="N209" s="225">
        <f>24*60*SUM($M209:$M209)</f>
        <v>7.2333333268761635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-31T04:25:10-0700',mode:absolute,to:'2017-12-31T06:39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1</v>
      </c>
      <c r="Y209" s="247">
        <f>RIGHT(D209,LEN(D209)-4)/10000</f>
        <v>2.2372000000000001</v>
      </c>
      <c r="Z209" s="247">
        <f>RIGHT(H209,LEN(H209)-4)/10000</f>
        <v>1.8499999999999999E-2</v>
      </c>
      <c r="AA209" s="247">
        <f>ABS(Z209-Y209)</f>
        <v>2.2187000000000001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312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s3://rtdc.mdm.uploadarchive.raw/RTDC4015/ "%USERPROFILE%\AppData\Local\Temp\OnboardLogs"\RTDC4015\2017-12-31 --exclude "*" --recursive --include "*20171231*" &amp; "%USERPROFILE%\Documents\GitHub\mrs-test-scripts\Headless Mode &amp; Sideloading\WalkAndUnGZ.bat" "%USERPROFILE%\AppData\Local\Temp\OnboardLogs"\RTDC4015\2017-12-31 &amp; 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/stypes="app*4015*20171231*" /stext=" 12:.+((SYSTEM_STATE.+slice.+state.+changed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49"/>
        <v>"%USERPROFILE%\Documents\GitHub\eaglep3\Utilities\RefineRTDCRunTimes.py" --tripid 312-31 --locoid 4015 --swversion DE.1.0.9.0 --startMP 300:22372 --initTime 2017-12-31T05:25:10 --startdatetime 2017-12-31T05:32:30 --delay 64 --endMP 204:185 --enddatetime 2017-12-31T05:39:44 --enforcementcount 0 &gt;&gt;%USERPROFILE%\Documents\GitHub\eaglep3-reporting\EC\2017-12-31-refined-times.txt</v>
      </c>
      <c r="AI209" s="238" t="str">
        <f t="shared" si="50"/>
        <v>echo {"issue":{"subject":"","project_id":79,"tracker_id":40,"status_id":1,"priority_id":2,"assigned_to_id":338,"start_date":"2017-12-31","description":"","custom_fields":[{"id":1,"name":"Subdivision","value":"Other"},{"id":4,"name":"Milepost","value":"0.0185"},{"id":17,"name":"Train ID","value":"312-31"},{"id":16,"name":"Locomotive ID","value":"4015"},{"id":130,"name":"Impact","value":""},{"id":150,"name":"Time of Event (Mountain Time)","value":"05:39:44"},{"id":151,"name":"Denver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51"/>
        <v>start /low /b %USERPROFILE%\Documents\GitHub\eaglep3\Utilities\DownloadLogsFromS3.py --loco 4015 --day 2017-12-31</v>
      </c>
      <c r="AN209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12:39:44"},{"id":29,"name":"Sharepoint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53"/>
        <v>https://d0f6bd738d7f1b3e5a7ca70fe4ff75f0.us-east-1.aws.found.io/app/kibana#/discover/Steve-Slow-Train-Analysis-(2080s-and-2083s)?_g=(refreshInterval:(display:Off,pause:!f,section:0,value:0),time:(from:'2017-12-31T04:25:10-0700',mode:absolute,to:'2017-12-31T06:39:44-0700'))&amp;_a=(columns:!('Message%20ID',Summary),filters:!(),index:'emp_*',interval:auto,query:(query_string:(analyze_wildcard:!t,query:'%22rtdc.l.rtdc.4015%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715</v>
      </c>
      <c r="B210" s="225">
        <v>4026</v>
      </c>
      <c r="C210" s="227" t="s">
        <v>192</v>
      </c>
      <c r="D210" s="227" t="s">
        <v>964</v>
      </c>
      <c r="E210" s="226">
        <v>43100.225995370369</v>
      </c>
      <c r="F210" s="226">
        <v>43100.235648148147</v>
      </c>
      <c r="G210" s="225">
        <v>161</v>
      </c>
      <c r="H210" s="227" t="s">
        <v>965</v>
      </c>
      <c r="I210" s="226">
        <v>43100.241041666668</v>
      </c>
      <c r="J210" s="225">
        <v>0</v>
      </c>
      <c r="K210" s="237" t="str">
        <f>IF(ISEVEN(B210),(B210-1)&amp;"/"&amp;B210,B210&amp;"/"&amp;(B210+1))</f>
        <v>4025/4026</v>
      </c>
      <c r="L210" s="245" t="str">
        <f>VLOOKUP(A210,'Trips&amp;Operators'!$C$1:$G$99911,5,FALSE)</f>
        <v>MACDONALD THOMAS</v>
      </c>
      <c r="M210" s="224">
        <f>I210-F210</f>
        <v>5.393518520577345E-3</v>
      </c>
      <c r="N210" s="225">
        <f>24*60*SUM($M210:$M210)</f>
        <v>7.7666666696313769</v>
      </c>
      <c r="O210" s="225"/>
      <c r="P210" s="225"/>
      <c r="Q210" s="228"/>
      <c r="R210" s="242"/>
      <c r="S210" s="249">
        <f>1/IF(AG210="EC",12,1)*SUM(U210:U210)</f>
        <v>0</v>
      </c>
      <c r="T210" s="242" t="str">
        <f>IF(ISEVEN(LEFT(AD210,4)),"Southbound","NorthBound")</f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-31T04:25:26-0700',mode:absolute,to:'2017-12-31T06:47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1589</v>
      </c>
      <c r="Y210" s="247">
        <f>RIGHT(D210,LEN(D210)-4)/10000</f>
        <v>2.1839</v>
      </c>
      <c r="Z210" s="247">
        <f>RIGHT(H210,LEN(H210)-4)/10000</f>
        <v>5.8901000000000003</v>
      </c>
      <c r="AA210" s="247">
        <f>ABS(Z210-Y210)</f>
        <v>3.7062000000000004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1901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/stypes="app*4026*20171231*" /stext=" 12:.+((SYSTEM_STATE.+slice.+state.+changed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49"/>
        <v>"%USERPROFILE%\Documents\GitHub\eaglep3\Utilities\RefineRTDCRunTimes.py" --tripid 1901-31 --locoid 4026 --swversion DE.1.0.9.0 --startMP 300:21839 --initTime 2017-12-31T05:25:26 --startdatetime 2017-12-31T05:39:20 --delay 161 --endMP 300:58901 --enddatetime 2017-12-31T05:47:06 --enforcementcount 0 &gt;&gt;%USERPROFILE%\Documents\GitHub\eaglep3-reporting\EC\2017-12-31-refined-times.txt</v>
      </c>
      <c r="AI210" s="238" t="str">
        <f t="shared" si="50"/>
        <v>echo {"issue":{"subject":"","project_id":79,"tracker_id":40,"status_id":1,"priority_id":2,"assigned_to_id":338,"start_date":"2017-12-31","description":"","custom_fields":[{"id":1,"name":"Subdivision","value":"Other"},{"id":4,"name":"Milepost","value":"5.8901"},{"id":17,"name":"Train ID","value":"1901-31"},{"id":16,"name":"Locomotive ID","value":"4026"},{"id":130,"name":"Impact","value":""},{"id":150,"name":"Time of Event (Mountain Time)","value":"05:47:06"},{"id":151,"name":"Denver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51"/>
        <v>start /low /b %USERPROFILE%\Documents\GitHub\eaglep3\Utilities\DownloadLogsFromS3.py --loco 4026 --day 2017-12-31</v>
      </c>
      <c r="AN210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12:47:06"},{"id":29,"name":"Sharepoint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53"/>
        <v>https://d0f6bd738d7f1b3e5a7ca70fe4ff75f0.us-east-1.aws.found.io/app/kibana#/discover/Steve-Slow-Train-Analysis-(2080s-and-2083s)?_g=(refreshInterval:(display:Off,pause:!f,section:0,value:0),time:(from:'2017-12-31T04:25:26-0700',mode:absolute,to:'2017-12-31T06:47:06-0700'))&amp;_a=(columns:!('Message%20ID',Summary),filters:!(),index:'emp_*',interval:auto,query:(query_string:(analyze_wildcard:!t,query:'%22rtdc.l.rtdc.4026%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715</v>
      </c>
      <c r="B211" s="225">
        <v>4026</v>
      </c>
      <c r="C211" s="227" t="s">
        <v>192</v>
      </c>
      <c r="D211" s="227" t="s">
        <v>964</v>
      </c>
      <c r="E211" s="226">
        <v>43100.234212962961</v>
      </c>
      <c r="F211" s="226">
        <v>43100.235648148147</v>
      </c>
      <c r="G211" s="225">
        <v>64</v>
      </c>
      <c r="H211" s="227" t="s">
        <v>965</v>
      </c>
      <c r="I211" s="226">
        <v>43100.241041666668</v>
      </c>
      <c r="J211" s="225">
        <v>0</v>
      </c>
      <c r="K211" s="237" t="str">
        <f>IF(ISEVEN(B211),(B211-1)&amp;"/"&amp;B211,B211&amp;"/"&amp;(B211+1))</f>
        <v>4025/4026</v>
      </c>
      <c r="L211" s="245" t="str">
        <f>VLOOKUP(A211,'Trips&amp;Operators'!$C$1:$G$99911,5,FALSE)</f>
        <v>MACDONALD THOMAS</v>
      </c>
      <c r="M211" s="224">
        <f>I211-F211</f>
        <v>5.393518520577345E-3</v>
      </c>
      <c r="N211" s="225">
        <f>24*60*SUM($M211:$M211)</f>
        <v>7.7666666696313769</v>
      </c>
      <c r="O211" s="225"/>
      <c r="P211" s="225"/>
      <c r="Q211" s="228"/>
      <c r="R211" s="242"/>
      <c r="S211" s="249">
        <f>1/IF(AG211="EC",12,1)*SUM(U211:U211)</f>
        <v>0</v>
      </c>
      <c r="T211" s="242" t="str">
        <f>IF(ISEVEN(LEFT(AD211,4)),"Southbound","NorthBound")</f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-31T04:37:16-0700',mode:absolute,to:'2017-12-31T06:47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0</v>
      </c>
      <c r="Y211" s="247">
        <f>RIGHT(D211,LEN(D211)-4)/10000</f>
        <v>2.1839</v>
      </c>
      <c r="Z211" s="247">
        <f>RIGHT(H211,LEN(H211)-4)/10000</f>
        <v>5.8901000000000003</v>
      </c>
      <c r="AA211" s="247">
        <f>ABS(Z211-Y211)</f>
        <v>3.7062000000000004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1901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/stypes="app*4026*20171231*" /stext=" 12:.+((SYSTEM_STATE.+slice.+state.+changed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si="49"/>
        <v>"%USERPROFILE%\Documents\GitHub\eaglep3\Utilities\RefineRTDCRunTimes.py" --tripid 1901-31 --locoid 4026 --swversion DE.1.0.9.0 --startMP 300:21839 --initTime 2017-12-31T05:37:16 --startdatetime 2017-12-31T05:39:20 --delay 64 --endMP 300:58901 --enddatetime 2017-12-31T05:47:06 --enforcementcount 0 &gt;&gt;%USERPROFILE%\Documents\GitHub\eaglep3-reporting\EC\2017-12-31-refined-times.txt</v>
      </c>
      <c r="AI211" s="238" t="str">
        <f t="shared" si="50"/>
        <v>echo {"issue":{"subject":"","project_id":79,"tracker_id":40,"status_id":1,"priority_id":2,"assigned_to_id":338,"start_date":"2017-12-31","description":"","custom_fields":[{"id":1,"name":"Subdivision","value":"Other"},{"id":4,"name":"Milepost","value":"5.8901"},{"id":17,"name":"Train ID","value":"1901-31"},{"id":16,"name":"Locomotive ID","value":"4026"},{"id":130,"name":"Impact","value":""},{"id":150,"name":"Time of Event (Mountain Time)","value":"05:47:06"},{"id":151,"name":"Denver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51"/>
        <v>start /low /b %USERPROFILE%\Documents\GitHub\eaglep3\Utilities\DownloadLogsFromS3.py --loco 4026 --day 2017-12-31</v>
      </c>
      <c r="AN211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12:47:06"},{"id":29,"name":"Sharepoint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53"/>
        <v>https://d0f6bd738d7f1b3e5a7ca70fe4ff75f0.us-east-1.aws.found.io/app/kibana#/discover/Steve-Slow-Train-Analysis-(2080s-and-2083s)?_g=(refreshInterval:(display:Off,pause:!f,section:0,value:0),time:(from:'2017-12-31T04:37:16-0700',mode:absolute,to:'2017-12-31T06:47:06-0700'))&amp;_a=(columns:!('Message%20ID',Summary),filters:!(),index:'emp_*',interval:auto,query:(query_string:(analyze_wildcard:!t,query:'%22rtdc.l.rtdc.4026%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29" t="s">
        <v>702</v>
      </c>
      <c r="B212" s="225">
        <v>4051</v>
      </c>
      <c r="C212" s="227" t="s">
        <v>192</v>
      </c>
      <c r="D212" s="227" t="s">
        <v>966</v>
      </c>
      <c r="E212" s="226">
        <v>43100.180266203701</v>
      </c>
      <c r="F212" s="226">
        <v>43100.186006944445</v>
      </c>
      <c r="G212" s="225">
        <v>293</v>
      </c>
      <c r="H212" s="227" t="s">
        <v>505</v>
      </c>
      <c r="I212" s="226">
        <v>43100.191574074073</v>
      </c>
      <c r="J212" s="225">
        <v>0</v>
      </c>
      <c r="K212" s="237" t="str">
        <f>IF(ISEVEN(B212),(B212-1)&amp;"/"&amp;B212,B212&amp;"/"&amp;(B212+1))</f>
        <v>4051/4052</v>
      </c>
      <c r="L212" s="245" t="str">
        <f>VLOOKUP(A212,'Trips&amp;Operators'!$C$1:$G$99911,5,FALSE)</f>
        <v>GEBRETEKLE DAGNEW</v>
      </c>
      <c r="M212" s="224">
        <f>I212-F212</f>
        <v>5.5671296286163852E-3</v>
      </c>
      <c r="N212" s="225">
        <f>24*60*SUM($M212:$M212)</f>
        <v>8.0166666652075946</v>
      </c>
      <c r="O212" s="225"/>
      <c r="P212" s="225"/>
      <c r="Q212" s="228"/>
      <c r="R212" s="242"/>
      <c r="S212" s="249">
        <f>1/IF(AG212="EC",12,1)*SUM(U212:U212)</f>
        <v>0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-31T03:19:35-0700',mode:absolute,to:'2017-12-31T05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6</v>
      </c>
      <c r="Y212" s="247">
        <f>RIGHT(D212,LEN(D212)-4)/10000</f>
        <v>2.3637000000000001</v>
      </c>
      <c r="Z212" s="247">
        <f>RIGHT(H212,LEN(H212)-4)/10000</f>
        <v>1.49E-2</v>
      </c>
      <c r="AA212" s="247">
        <f>ABS(Z212-Y212)</f>
        <v>2.3488000000000002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1907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s3://rtdc.mdm.uploadarchive.raw/RTDC4051/ "%USERPROFILE%\AppData\Local\Temp\OnboardLogs"\RTDC4051\2017-12-31 --exclude "*" --recursive --include "*20171231*" &amp; "%USERPROFILE%\Documents\GitHub\mrs-test-scripts\Headless Mode &amp; Sideloading\WalkAndUnGZ.bat" "%USERPROFILE%\AppData\Local\Temp\OnboardLogs"\RTDC4051\2017-12-31 &amp; aws s3 cp s3://rtdc.mdm.uploadarchive.raw/RTDC4051/ "%USERPROFILE%\AppData\Local\Temp\OnboardLogs"\RTDC4051\2018-01-01 --exclude "*" --recursive --include "*20180101*" &amp; "%USERPROFILE%\Documents\GitHub\mrs-test-scripts\Headless Mode &amp; Sideloading\WalkAndUnGZ.bat" "%USERPROFILE%\AppData\Local\Temp\OnboardLogs"\RTDC4051\2018-01-01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/stypes="app*4051*20171231*" /stext=" 11:.+((SYSTEM_STATE.+slice.+state.+changed )|(ment ac)|(multiple cpu faults)|(system.+state.+changed )|(\[timeout)|(PRM\|1\|D)|(kpr)|(kdp)|(train st.+moving)|(\|lc)|(penalty))"</v>
      </c>
      <c r="AG212" s="244" t="str">
        <f>DetSubdiv(A212)</f>
        <v>Other</v>
      </c>
      <c r="AH212" s="236" t="str">
        <f t="shared" si="49"/>
        <v>"%USERPROFILE%\Documents\GitHub\eaglep3\Utilities\RefineRTDCRunTimes.py" --tripid 1907-31 --locoid 4051 --swversion DE.1.0.9.0 --startMP 300:23637 --initTime 2017-12-31T04:19:35 --startdatetime 2017-12-31T04:27:51 --delay 293 --endMP 204:149 --enddatetime 2017-12-31T04:35:52 --enforcementcount 0 &gt;&gt;%USERPROFILE%\Documents\GitHub\eaglep3-reporting\EC\2017-12-31-refined-times.txt</v>
      </c>
      <c r="AI212" s="238" t="str">
        <f t="shared" si="50"/>
        <v>echo {"issue":{"subject":"","project_id":79,"tracker_id":40,"status_id":1,"priority_id":2,"assigned_to_id":338,"start_date":"2017-12-31","description":"","custom_fields":[{"id":1,"name":"Subdivision","value":"Other"},{"id":4,"name":"Milepost","value":"0.0149"},{"id":17,"name":"Train ID","value":"1907-31"},{"id":16,"name":"Locomotive ID","value":"4051"},{"id":130,"name":"Impact","value":""},{"id":150,"name":"Time of Event (Mountain Time)","value":"04:35:52"},{"id":151,"name":"Denver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51"/>
        <v>start /low /b %USERPROFILE%\Documents\GitHub\eaglep3\Utilities\DownloadLogsFromS3.py --loco 4051 --day 2017-12-31</v>
      </c>
      <c r="AN212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11:35:52"},{"id":29,"name":"Sharepoint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53"/>
        <v>https://d0f6bd738d7f1b3e5a7ca70fe4ff75f0.us-east-1.aws.found.io/app/kibana#/discover/Steve-Slow-Train-Analysis-(2080s-and-2083s)?_g=(refreshInterval:(display:Off,pause:!f,section:0,value:0),time:(from:'2017-12-31T03:19:35-0700',mode:absolute,to:'2017-12-31T05:35:52-0700'))&amp;_a=(columns:!('Message%20ID',Summary),filters:!(),index:'emp_*',interval:auto,query:(query_string:(analyze_wildcard:!t,query:'%22rtdc.l.rtdc.4051%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708</v>
      </c>
      <c r="B213" s="225">
        <v>4001</v>
      </c>
      <c r="C213" s="227" t="s">
        <v>192</v>
      </c>
      <c r="D213" s="227" t="s">
        <v>967</v>
      </c>
      <c r="E213" s="226">
        <v>43100.19835648148</v>
      </c>
      <c r="F213" s="226">
        <v>43100.203287037039</v>
      </c>
      <c r="G213" s="225">
        <v>187</v>
      </c>
      <c r="H213" s="227" t="s">
        <v>516</v>
      </c>
      <c r="I213" s="226">
        <v>43100.209027777775</v>
      </c>
      <c r="J213" s="225">
        <v>0</v>
      </c>
      <c r="K213" s="237" t="str">
        <f>IF(ISEVEN(B213),(B213-1)&amp;"/"&amp;B213,B213&amp;"/"&amp;(B213+1))</f>
        <v>4001/4002</v>
      </c>
      <c r="L213" s="245" t="str">
        <f>VLOOKUP(A213,'Trips&amp;Operators'!$C$1:$G$99911,5,FALSE)</f>
        <v>WILLIAMS DONTE</v>
      </c>
      <c r="M213" s="224">
        <f>I213-F213</f>
        <v>5.7407407366554253E-3</v>
      </c>
      <c r="N213" s="225">
        <f>24*60*SUM($M213:$M213)</f>
        <v>8.2666666607838124</v>
      </c>
      <c r="O213" s="225"/>
      <c r="P213" s="225"/>
      <c r="Q213" s="228"/>
      <c r="R213" s="242"/>
      <c r="S213" s="249">
        <f>1/IF(AG213="EC",12,1)*SUM(U213:U213)</f>
        <v>0</v>
      </c>
      <c r="T213" s="242" t="str">
        <f>IF(ISEVEN(LEFT(AD213,4)),"Southbound","NorthBound")</f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-31T03:45:38-0700',mode:absolute,to:'2017-12-31T06:01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2</v>
      </c>
      <c r="Y213" s="247">
        <f>RIGHT(D213,LEN(D213)-4)/10000</f>
        <v>2.3563000000000001</v>
      </c>
      <c r="Z213" s="247">
        <f>RIGHT(H213,LEN(H213)-4)/10000</f>
        <v>1.9199999999999998E-2</v>
      </c>
      <c r="AA213" s="247">
        <f>ABS(Z213-Y213)</f>
        <v>2.3371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1909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s3://rtdc.mdm.uploadarchive.raw/RTDC4001/ "%USERPROFILE%\AppData\Local\Temp\OnboardLogs"\RTDC4001\2017-12-31 --exclude "*" --recursive --include "*20171231*" &amp; "%USERPROFILE%\Documents\GitHub\mrs-test-scripts\Headless Mode &amp; Sideloading\WalkAndUnGZ.bat" "%USERPROFILE%\AppData\Local\Temp\OnboardLogs"\RTDC4001\2017-12-31 &amp; aws s3 cp s3://rtdc.mdm.uploadarchive.raw/RTDC4001/ "%USERPROFILE%\AppData\Local\Temp\OnboardLogs"\RTDC4001\2018-01-01 --exclude "*" --recursive --include "*20180101*" &amp; "%USERPROFILE%\Documents\GitHub\mrs-test-scripts\Headless Mode &amp; Sideloading\WalkAndUnGZ.bat" "%USERPROFILE%\AppData\Local\Temp\OnboardLogs"\RTDC4001\2018-01-01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/stypes="app*4001*20171231*" /stext=" 12:.+((SYSTEM_STATE.+slice.+state.+changed )|(ment ac)|(multiple cpu faults)|(system.+state.+changed )|(\[timeout)|(PRM\|1\|D)|(kpr)|(kdp)|(train st.+moving)|(\|lc)|(penalty))"</v>
      </c>
      <c r="AG213" s="244" t="str">
        <f>DetSubdiv(A213)</f>
        <v>Other</v>
      </c>
      <c r="AH213" s="236" t="str">
        <f t="shared" si="49"/>
        <v>"%USERPROFILE%\Documents\GitHub\eaglep3\Utilities\RefineRTDCRunTimes.py" --tripid 1909-31 --locoid 4001 --swversion DE.1.0.9.0 --startMP 300:23563 --initTime 2017-12-31T04:45:38 --startdatetime 2017-12-31T04:52:44 --delay 187 --endMP 204:192 --enddatetime 2017-12-31T05:01:00 --enforcementcount 0 &gt;&gt;%USERPROFILE%\Documents\GitHub\eaglep3-reporting\EC\2017-12-31-refined-times.txt</v>
      </c>
      <c r="AI213" s="238" t="str">
        <f t="shared" si="50"/>
        <v>echo {"issue":{"subject":"","project_id":79,"tracker_id":40,"status_id":1,"priority_id":2,"assigned_to_id":338,"start_date":"2017-12-31","description":"","custom_fields":[{"id":1,"name":"Subdivision","value":"Other"},{"id":4,"name":"Milepost","value":"0.0192"},{"id":17,"name":"Train ID","value":"1909-31"},{"id":16,"name":"Locomotive ID","value":"4001"},{"id":130,"name":"Impact","value":""},{"id":150,"name":"Time of Event (Mountain Time)","value":"05:01:00"},{"id":151,"name":"Denver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51"/>
        <v>start /low /b %USERPROFILE%\Documents\GitHub\eaglep3\Utilities\DownloadLogsFromS3.py --loco 4001 --day 2017-12-31</v>
      </c>
      <c r="AN213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12:01:00"},{"id":29,"name":"Sharepoint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53"/>
        <v>https://d0f6bd738d7f1b3e5a7ca70fe4ff75f0.us-east-1.aws.found.io/app/kibana#/discover/Steve-Slow-Train-Analysis-(2080s-and-2083s)?_g=(refreshInterval:(display:Off,pause:!f,section:0,value:0),time:(from:'2017-12-31T03:45:38-0700',mode:absolute,to:'2017-12-31T06:01:00-0700'))&amp;_a=(columns:!('Message%20ID',Summary),filters:!(),index:'emp_*',interval:auto,query:(query_string:(analyze_wildcard:!t,query:'%22rtdc.l.rtdc.4001%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694</v>
      </c>
      <c r="B214" s="225">
        <v>4044</v>
      </c>
      <c r="C214" s="227" t="s">
        <v>192</v>
      </c>
      <c r="D214" s="227" t="s">
        <v>562</v>
      </c>
      <c r="E214" s="226">
        <v>43100.128750000003</v>
      </c>
      <c r="F214" s="226">
        <v>43100.137187499997</v>
      </c>
      <c r="G214" s="225">
        <v>294</v>
      </c>
      <c r="H214" s="227" t="s">
        <v>1017</v>
      </c>
      <c r="I214" s="226">
        <v>43100.138391203705</v>
      </c>
      <c r="J214" s="225">
        <v>0</v>
      </c>
      <c r="K214" s="237" t="str">
        <f>IF(ISEVEN(B214),(B214-1)&amp;"/"&amp;B214,B214&amp;"/"&amp;(B214+1))</f>
        <v>4043/4044</v>
      </c>
      <c r="L214" s="245" t="str">
        <f>VLOOKUP(A214,'Trips&amp;Operators'!$C$1:$G$99911,5,FALSE)</f>
        <v>HUFFSMITH MONTY</v>
      </c>
      <c r="M214" s="224">
        <f>I214-F214</f>
        <v>1.2037037085974589E-3</v>
      </c>
      <c r="N214" s="225">
        <f>24*60*SUM($M214:$M214)</f>
        <v>1.7333333403803408</v>
      </c>
      <c r="O214" s="225"/>
      <c r="P214" s="225"/>
      <c r="Q214" s="228"/>
      <c r="R214" s="242"/>
      <c r="S214" s="249">
        <f>1/IF(AG214="EC",12,1)*SUM(U214:U214)</f>
        <v>0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-12-31T02:05:24-0700',mode:absolute,to:'2017-12-31T04:19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-1858</v>
      </c>
      <c r="Y214" s="247">
        <f>RIGHT(D214,LEN(D214)-4)/10000</f>
        <v>5.1900000000000002E-2</v>
      </c>
      <c r="Z214" s="247">
        <f>RIGHT(H214,LEN(H214)-4)/10000</f>
        <v>0.3372</v>
      </c>
      <c r="AA214" s="247">
        <f>ABS(Z214-Y214)</f>
        <v>0.2853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51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s3://rtdc.mdm.uploadarchive.raw/RTDC4044/ "%USERPROFILE%\AppData\Local\Temp\OnboardLogs"\RTDC4044\2017-12-31 --exclude "*" --recursive --include "*20171231*" &amp; "%USERPROFILE%\Documents\GitHub\mrs-test-scripts\Headless Mode &amp; Sideloading\WalkAndUnGZ.bat" "%USERPROFILE%\AppData\Local\Temp\OnboardLogs"\RTDC4044\2017-12-31 &amp; aws s3 cp s3://rtdc.mdm.uploadarchive.raw/RTDC4044/ "%USERPROFILE%\AppData\Local\Temp\OnboardLogs"\RTDC4044\2018-01-01 --exclude "*" --recursive --include "*20180101*" &amp; "%USERPROFILE%\Documents\GitHub\mrs-test-scripts\Headless Mode &amp; Sideloading\WalkAndUnGZ.bat" "%USERPROFILE%\AppData\Local\Temp\OnboardLogs"\RTDC4044\2018-01-01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/stypes="app*4044*20171231*" /stext=" 10:.+((SYSTEM_STATE.+slice.+state.+changed )|(ment ac)|(multiple cpu faults)|(system.+state.+changed )|(\[timeout)|(PRM\|1\|D)|(kpr)|(kdp)|(train st.+moving)|(\|lc)|(penalty))"</v>
      </c>
      <c r="AG214" s="244" t="str">
        <f>DetSubdiv(A214)</f>
        <v>Shuttle/Test</v>
      </c>
      <c r="AH214" s="236" t="str">
        <f t="shared" si="49"/>
        <v>"%USERPROFILE%\Documents\GitHub\eaglep3\Utilities\RefineRTDCRunTimes.py" --tripid 51-31 --locoid 4044 --swversion DE.1.0.9.0 --startMP 204:519 --initTime 2017-12-31T03:05:24 --startdatetime 2017-12-31T03:17:33 --delay 294 --endMP 204:3372 --enddatetime 2017-12-31T03:19:17 --enforcementcount 0 &gt;&gt;%USERPROFILE%\Documents\GitHub\eaglep3-reporting\EC\2017-12-31-refined-times.txt</v>
      </c>
      <c r="AI214" s="238" t="str">
        <f t="shared" si="50"/>
        <v>echo {"issue":{"subject":"","project_id":79,"tracker_id":40,"status_id":1,"priority_id":2,"assigned_to_id":338,"start_date":"2017-12-31","description":"","custom_fields":[{"id":1,"name":"Subdivision","value":"Shuttle/Test"},{"id":4,"name":"Milepost","value":"0.3372"},{"id":17,"name":"Train ID","value":"51-31"},{"id":16,"name":"Locomotive ID","value":"4044"},{"id":130,"name":"Impact","value":""},{"id":150,"name":"Time of Event (Mountain Time)","value":"03:19:17"},{"id":151,"name":"Denver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51"/>
        <v>start /low /b %USERPROFILE%\Documents\GitHub\eaglep3\Utilities\DownloadLogsFromS3.py --loco 4044 --day 2017-12-31</v>
      </c>
      <c r="AN214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10:19:17"},{"id":29,"name":"Sharepoint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53"/>
        <v>https://d0f6bd738d7f1b3e5a7ca70fe4ff75f0.us-east-1.aws.found.io/app/kibana#/discover/Steve-Slow-Train-Analysis-(2080s-and-2083s)?_g=(refreshInterval:(display:Off,pause:!f,section:0,value:0),time:(from:'2017-12-31T02:05:24-0700',mode:absolute,to:'2017-12-31T04:19:17-0700'))&amp;_a=(columns:!('Message%20ID',Summary),filters:!(),index:'emp_*',interval:auto,query:(query_string:(analyze_wildcard:!t,query:'%22rtdc.l.rtdc.4044%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694</v>
      </c>
      <c r="B215" s="225">
        <v>4044</v>
      </c>
      <c r="C215" s="227" t="s">
        <v>192</v>
      </c>
      <c r="D215" s="227" t="s">
        <v>1018</v>
      </c>
      <c r="E215" s="226">
        <v>43100.485300925924</v>
      </c>
      <c r="F215" s="226">
        <v>43100.49</v>
      </c>
      <c r="G215" s="225">
        <v>64</v>
      </c>
      <c r="H215" s="227" t="s">
        <v>1019</v>
      </c>
      <c r="I215" s="226">
        <v>43100.49114583333</v>
      </c>
      <c r="J215" s="225">
        <v>0</v>
      </c>
      <c r="K215" s="237" t="str">
        <f>IF(ISEVEN(B215),(B215-1)&amp;"/"&amp;B215,B215&amp;"/"&amp;(B215+1))</f>
        <v>4043/4044</v>
      </c>
      <c r="L215" s="245" t="str">
        <f>VLOOKUP(A215,'Trips&amp;Operators'!$C$1:$G$99911,5,FALSE)</f>
        <v>HUFFSMITH MONTY</v>
      </c>
      <c r="M215" s="224">
        <f>I215-F215</f>
        <v>1.1458333319751546E-3</v>
      </c>
      <c r="N215" s="225">
        <f>24*60*SUM($M215:$M215)</f>
        <v>1.6499999980442226</v>
      </c>
      <c r="O215" s="225"/>
      <c r="P215" s="225"/>
      <c r="Q215" s="228"/>
      <c r="R215" s="242"/>
      <c r="S215" s="249">
        <f>1/IF(AG215="EC",12,1)*SUM(U215:U215)</f>
        <v>0</v>
      </c>
      <c r="T215" s="242" t="str">
        <f>IF(ISEVEN(LEFT(AD215,4)),"Southbound","NorthBound")</f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-31T10:38:50-0700',mode:absolute,to:'2017-12-31T12:47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0</v>
      </c>
      <c r="Y215" s="247">
        <f>RIGHT(D215,LEN(D215)-4)/10000</f>
        <v>0.14749999999999999</v>
      </c>
      <c r="Z215" s="247">
        <f>RIGHT(H215,LEN(H215)-4)/10000</f>
        <v>0.34710000000000002</v>
      </c>
      <c r="AA215" s="247">
        <f>ABS(Z215-Y215)</f>
        <v>0.19960000000000003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51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s3://rtdc.mdm.uploadarchive.raw/RTDC4044/ "%USERPROFILE%\AppData\Local\Temp\OnboardLogs"\RTDC4044\2017-12-31 --exclude "*" --recursive --include "*20171231*" &amp; "%USERPROFILE%\Documents\GitHub\mrs-test-scripts\Headless Mode &amp; Sideloading\WalkAndUnGZ.bat" "%USERPROFILE%\AppData\Local\Temp\OnboardLogs"\RTDC4044\2017-12-31 &amp; aws s3 cp s3://rtdc.mdm.uploadarchive.raw/RTDC4044/ "%USERPROFILE%\AppData\Local\Temp\OnboardLogs"\RTDC4044\2018-01-01 --exclude "*" --recursive --include "*20180101*" &amp; "%USERPROFILE%\Documents\GitHub\mrs-test-scripts\Headless Mode &amp; Sideloading\WalkAndUnGZ.bat" "%USERPROFILE%\AppData\Local\Temp\OnboardLogs"\RTDC4044\2018-01-01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/stypes="app*4044*20171231*" /stext=" 18:.+((SYSTEM_STATE.+slice.+state.+changed )|(ment ac)|(multiple cpu faults)|(system.+state.+changed )|(\[timeout)|(PRM\|1\|D)|(kpr)|(kdp)|(train st.+moving)|(\|lc)|(penalty))"</v>
      </c>
      <c r="AG215" s="244" t="str">
        <f>DetSubdiv(A215)</f>
        <v>Shuttle/Test</v>
      </c>
      <c r="AH215" s="236" t="str">
        <f t="shared" si="49"/>
        <v>"%USERPROFILE%\Documents\GitHub\eaglep3\Utilities\RefineRTDCRunTimes.py" --tripid 51-31 --locoid 4044 --swversion DE.1.0.9.0 --startMP 204:1475 --initTime 2017-12-31T11:38:50 --startdatetime 2017-12-31T11:45:36 --delay 64 --endMP 204:3471 --enddatetime 2017-12-31T11:47:15 --enforcementcount 0 &gt;&gt;%USERPROFILE%\Documents\GitHub\eaglep3-reporting\EC\2017-12-31-refined-times.txt</v>
      </c>
      <c r="AI215" s="238" t="str">
        <f t="shared" si="50"/>
        <v>echo {"issue":{"subject":"","project_id":79,"tracker_id":40,"status_id":1,"priority_id":2,"assigned_to_id":338,"start_date":"2017-12-31","description":"","custom_fields":[{"id":1,"name":"Subdivision","value":"Shuttle/Test"},{"id":4,"name":"Milepost","value":"0.3471"},{"id":17,"name":"Train ID","value":"51-31"},{"id":16,"name":"Locomotive ID","value":"4044"},{"id":130,"name":"Impact","value":""},{"id":150,"name":"Time of Event (Mountain Time)","value":"11:47:15"},{"id":151,"name":"Denver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51"/>
        <v>start /low /b %USERPROFILE%\Documents\GitHub\eaglep3\Utilities\DownloadLogsFromS3.py --loco 4044 --day 2017-12-31</v>
      </c>
      <c r="AN215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18:47:15"},{"id":29,"name":"Sharepoint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53"/>
        <v>https://d0f6bd738d7f1b3e5a7ca70fe4ff75f0.us-east-1.aws.found.io/app/kibana#/discover/Steve-Slow-Train-Analysis-(2080s-and-2083s)?_g=(refreshInterval:(display:Off,pause:!f,section:0,value:0),time:(from:'2017-12-31T10:38:50-0700',mode:absolute,to:'2017-12-31T12:47:15-0700'))&amp;_a=(columns:!('Message%20ID',Summary),filters:!(),index:'emp_*',interval:auto,query:(query_string:(analyze_wildcard:!t,query:'%22rtdc.l.rtdc.4044%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694</v>
      </c>
      <c r="B216" s="225">
        <v>4043</v>
      </c>
      <c r="C216" s="227" t="s">
        <v>192</v>
      </c>
      <c r="D216" s="227" t="s">
        <v>1020</v>
      </c>
      <c r="E216" s="226">
        <v>43100.488541666666</v>
      </c>
      <c r="F216" s="226">
        <v>43100.49</v>
      </c>
      <c r="G216" s="225">
        <v>57</v>
      </c>
      <c r="H216" s="227" t="s">
        <v>601</v>
      </c>
      <c r="I216" s="226">
        <v>43100.49114583333</v>
      </c>
      <c r="J216" s="225">
        <v>0</v>
      </c>
      <c r="K216" s="237" t="str">
        <f>IF(ISEVEN(B216),(B216-1)&amp;"/"&amp;B216,B216&amp;"/"&amp;(B216+1))</f>
        <v>4043/4044</v>
      </c>
      <c r="L216" s="245" t="str">
        <f>VLOOKUP(A216,'Trips&amp;Operators'!$C$1:$G$99911,5,FALSE)</f>
        <v>HUFFSMITH MONTY</v>
      </c>
      <c r="M216" s="224">
        <f>I216-F216</f>
        <v>1.1458333319751546E-3</v>
      </c>
      <c r="N216" s="225">
        <f>24*60*SUM($M216:$M216)</f>
        <v>1.6499999980442226</v>
      </c>
      <c r="O216" s="225"/>
      <c r="P216" s="225"/>
      <c r="Q216" s="228"/>
      <c r="R216" s="242"/>
      <c r="S216" s="249">
        <f>1/IF(AG216="EC",12,1)*SUM(U216:U216)</f>
        <v>0</v>
      </c>
      <c r="T216" s="242" t="str">
        <f>IF(ISEVEN(LEFT(AD216,4)),"Southbound","NorthBound")</f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-12-31T10:43:30-0700',mode:absolute,to:'2017-12-31T12:47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0</v>
      </c>
      <c r="Y216" s="247">
        <f>RIGHT(D216,LEN(D216)-4)/10000</f>
        <v>0.32290000000000002</v>
      </c>
      <c r="Z216" s="247">
        <f>RIGHT(H216,LEN(H216)-4)/10000</f>
        <v>2.5600000000000001E-2</v>
      </c>
      <c r="AA216" s="247">
        <f>ABS(Z216-Y216)</f>
        <v>0.29730000000000001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51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/stypes="app*4043*20171231*" /stext=" 18:.+((SYSTEM_STATE.+slice.+state.+changed )|(ment ac)|(multiple cpu faults)|(system.+state.+changed )|(\[timeout)|(PRM\|1\|D)|(kpr)|(kdp)|(train st.+moving)|(\|lc)|(penalty))"</v>
      </c>
      <c r="AG216" s="244" t="str">
        <f>DetSubdiv(A216)</f>
        <v>Shuttle/Test</v>
      </c>
      <c r="AH216" s="236" t="str">
        <f t="shared" si="49"/>
        <v>"%USERPROFILE%\Documents\GitHub\eaglep3\Utilities\RefineRTDCRunTimes.py" --tripid 51-31 --locoid 4043 --swversion DE.1.0.9.0 --startMP 204:3229 --initTime 2017-12-31T11:43:30 --startdatetime 2017-12-31T11:45:36 --delay 57 --endMP 204:256 --enddatetime 2017-12-31T11:47:15 --enforcementcount 0 &gt;&gt;%USERPROFILE%\Documents\GitHub\eaglep3-reporting\EC\2017-12-31-refined-times.txt</v>
      </c>
      <c r="AI216" s="238" t="str">
        <f t="shared" si="50"/>
        <v>echo {"issue":{"subject":"","project_id":79,"tracker_id":40,"status_id":1,"priority_id":2,"assigned_to_id":338,"start_date":"2017-12-31","description":"","custom_fields":[{"id":1,"name":"Subdivision","value":"Shuttle/Test"},{"id":4,"name":"Milepost","value":"0.0256"},{"id":17,"name":"Train ID","value":"51-31"},{"id":16,"name":"Locomotive ID","value":"4043"},{"id":130,"name":"Impact","value":""},{"id":150,"name":"Time of Event (Mountain Time)","value":"11:47:15"},{"id":151,"name":"Denver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51"/>
        <v>start /low /b %USERPROFILE%\Documents\GitHub\eaglep3\Utilities\DownloadLogsFromS3.py --loco 4043 --day 2017-12-31</v>
      </c>
      <c r="AN216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18:47:15"},{"id":29,"name":"Sharepoint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53"/>
        <v>https://d0f6bd738d7f1b3e5a7ca70fe4ff75f0.us-east-1.aws.found.io/app/kibana#/discover/Steve-Slow-Train-Analysis-(2080s-and-2083s)?_g=(refreshInterval:(display:Off,pause:!f,section:0,value:0),time:(from:'2017-12-31T10:43:30-0700',mode:absolute,to:'2017-12-31T12:47:15-0700'))&amp;_a=(columns:!('Message%20ID',Summary),filters:!(),index:'emp_*',interval:auto,query:(query_string:(analyze_wildcard:!t,query:'%22rtdc.l.rtdc.4043%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29" t="s">
        <v>696</v>
      </c>
      <c r="B217" s="225">
        <v>4043</v>
      </c>
      <c r="C217" s="227" t="s">
        <v>192</v>
      </c>
      <c r="D217" s="227" t="s">
        <v>1021</v>
      </c>
      <c r="E217" s="226">
        <v>43100.140046296299</v>
      </c>
      <c r="F217" s="226">
        <v>43100.141585648147</v>
      </c>
      <c r="G217" s="225">
        <v>54</v>
      </c>
      <c r="H217" s="227" t="s">
        <v>1022</v>
      </c>
      <c r="I217" s="226">
        <v>43100.142824074072</v>
      </c>
      <c r="J217" s="225">
        <v>0</v>
      </c>
      <c r="K217" s="237" t="str">
        <f>IF(ISEVEN(B217),(B217-1)&amp;"/"&amp;B217,B217&amp;"/"&amp;(B217+1))</f>
        <v>4043/4044</v>
      </c>
      <c r="L217" s="245" t="str">
        <f>VLOOKUP(A217,'Trips&amp;Operators'!$C$1:$G$99911,5,FALSE)</f>
        <v>HUFFSMITH MONTY</v>
      </c>
      <c r="M217" s="224">
        <f>I217-F217</f>
        <v>1.2384259243845008E-3</v>
      </c>
      <c r="N217" s="225">
        <f>24*60*SUM($M217:$M217)</f>
        <v>1.7833333311136812</v>
      </c>
      <c r="O217" s="225"/>
      <c r="P217" s="225"/>
      <c r="Q217" s="228"/>
      <c r="R217" s="242"/>
      <c r="S217" s="249">
        <f>1/IF(AG217="EC",12,1)*SUM(U217:U217)</f>
        <v>0</v>
      </c>
      <c r="T217" s="242" t="str">
        <f>IF(ISEVEN(LEFT(AD217,4)),"Southbound","NorthBound")</f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-12-31T02:21:40-0700',mode:absolute,to:'2017-12-31T04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0.30299999999999999</v>
      </c>
      <c r="Z217" s="247">
        <f>RIGHT(H217,LEN(H217)-4)/10000</f>
        <v>0.1158</v>
      </c>
      <c r="AA217" s="247">
        <f>ABS(Z217-Y217)</f>
        <v>0.18719999999999998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52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/stypes="app*4043*20171231*" /stext=" 10:.+((SYSTEM_STATE.+slice.+state.+changed )|(ment ac)|(multiple cpu faults)|(system.+state.+changed )|(\[timeout)|(PRM\|1\|D)|(kpr)|(kdp)|(train st.+moving)|(\|lc)|(penalty))"</v>
      </c>
      <c r="AG217" s="244" t="str">
        <f>DetSubdiv(A217)</f>
        <v>Shuttle/Test</v>
      </c>
      <c r="AH217" s="236" t="str">
        <f t="shared" si="49"/>
        <v>"%USERPROFILE%\Documents\GitHub\eaglep3\Utilities\RefineRTDCRunTimes.py" --tripid 52-31 --locoid 4043 --swversion DE.1.0.9.0 --startMP 204:3030 --initTime 2017-12-31T03:21:40 --startdatetime 2017-12-31T03:23:53 --delay 54 --endMP 204:1158 --enddatetime 2017-12-31T03:25:40 --enforcementcount 0 &gt;&gt;%USERPROFILE%\Documents\GitHub\eaglep3-reporting\EC\2017-12-31-refined-times.txt</v>
      </c>
      <c r="AI217" s="238" t="str">
        <f t="shared" si="50"/>
        <v>echo {"issue":{"subject":"","project_id":79,"tracker_id":40,"status_id":1,"priority_id":2,"assigned_to_id":338,"start_date":"2017-12-31","description":"","custom_fields":[{"id":1,"name":"Subdivision","value":"Shuttle/Test"},{"id":4,"name":"Milepost","value":"0.1158"},{"id":17,"name":"Train ID","value":"52-31"},{"id":16,"name":"Locomotive ID","value":"4043"},{"id":130,"name":"Impact","value":""},{"id":150,"name":"Time of Event (Mountain Time)","value":"03:25:40"},{"id":151,"name":"Denver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51"/>
        <v>start /low /b %USERPROFILE%\Documents\GitHub\eaglep3\Utilities\DownloadLogsFromS3.py --loco 4043 --day 2017-12-31</v>
      </c>
      <c r="AN217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10:25:40"},{"id":29,"name":"Sharepoint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53"/>
        <v>https://d0f6bd738d7f1b3e5a7ca70fe4ff75f0.us-east-1.aws.found.io/app/kibana#/discover/Steve-Slow-Train-Analysis-(2080s-and-2083s)?_g=(refreshInterval:(display:Off,pause:!f,section:0,value:0),time:(from:'2017-12-31T02:21:40-0700',mode:absolute,to:'2017-12-31T04:25:40-0700'))&amp;_a=(columns:!('Message%20ID',Summary),filters:!(),index:'emp_*',interval:auto,query:(query_string:(analyze_wildcard:!t,query:'%22rtdc.l.rtdc.4043%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29" t="s">
        <v>696</v>
      </c>
      <c r="B218" s="225">
        <v>4043</v>
      </c>
      <c r="C218" s="227" t="s">
        <v>192</v>
      </c>
      <c r="D218" s="227" t="s">
        <v>1021</v>
      </c>
      <c r="E218" s="226">
        <v>43100.139386574076</v>
      </c>
      <c r="F218" s="226">
        <v>43100.141585648147</v>
      </c>
      <c r="G218" s="225">
        <v>53</v>
      </c>
      <c r="H218" s="227" t="s">
        <v>1022</v>
      </c>
      <c r="I218" s="226">
        <v>43100.142824074072</v>
      </c>
      <c r="J218" s="225">
        <v>0</v>
      </c>
      <c r="K218" s="237" t="str">
        <f>IF(ISEVEN(B218),(B218-1)&amp;"/"&amp;B218,B218&amp;"/"&amp;(B218+1))</f>
        <v>4043/4044</v>
      </c>
      <c r="L218" s="245" t="str">
        <f>VLOOKUP(A218,'Trips&amp;Operators'!$C$1:$G$99911,5,FALSE)</f>
        <v>HUFFSMITH MONTY</v>
      </c>
      <c r="M218" s="224">
        <f>I218-F218</f>
        <v>1.2384259243845008E-3</v>
      </c>
      <c r="N218" s="225">
        <f>24*60*SUM($M218:$M218)</f>
        <v>1.7833333311136812</v>
      </c>
      <c r="O218" s="225"/>
      <c r="P218" s="225"/>
      <c r="Q218" s="228"/>
      <c r="R218" s="242"/>
      <c r="S218" s="249">
        <f>1/IF(AG218="EC",12,1)*SUM(U218:U218)</f>
        <v>0</v>
      </c>
      <c r="T218" s="242" t="str">
        <f>IF(ISEVEN(LEFT(AD218,4)),"Southbound","NorthBound")</f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-12-31T02:20:43-0700',mode:absolute,to:'2017-12-31T04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0</v>
      </c>
      <c r="Y218" s="247">
        <f>RIGHT(D218,LEN(D218)-4)/10000</f>
        <v>0.30299999999999999</v>
      </c>
      <c r="Z218" s="247">
        <f>RIGHT(H218,LEN(H218)-4)/10000</f>
        <v>0.1158</v>
      </c>
      <c r="AA218" s="247">
        <f>ABS(Z218-Y218)</f>
        <v>0.18719999999999998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52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/stypes="app*4043*20171231*" /stext=" 10:.+((SYSTEM_STATE.+slice.+state.+changed )|(ment ac)|(multiple cpu faults)|(system.+state.+changed )|(\[timeout)|(PRM\|1\|D)|(kpr)|(kdp)|(train st.+moving)|(\|lc)|(penalty))"</v>
      </c>
      <c r="AG218" s="244" t="str">
        <f>DetSubdiv(A218)</f>
        <v>Shuttle/Test</v>
      </c>
      <c r="AH218" s="236" t="str">
        <f t="shared" si="49"/>
        <v>"%USERPROFILE%\Documents\GitHub\eaglep3\Utilities\RefineRTDCRunTimes.py" --tripid 52-31 --locoid 4043 --swversion DE.1.0.9.0 --startMP 204:3030 --initTime 2017-12-31T03:20:43 --startdatetime 2017-12-31T03:23:53 --delay 53 --endMP 204:1158 --enddatetime 2017-12-31T03:25:40 --enforcementcount 0 &gt;&gt;%USERPROFILE%\Documents\GitHub\eaglep3-reporting\EC\2017-12-31-refined-times.txt</v>
      </c>
      <c r="AI218" s="238" t="str">
        <f t="shared" si="50"/>
        <v>echo {"issue":{"subject":"","project_id":79,"tracker_id":40,"status_id":1,"priority_id":2,"assigned_to_id":338,"start_date":"2017-12-31","description":"","custom_fields":[{"id":1,"name":"Subdivision","value":"Shuttle/Test"},{"id":4,"name":"Milepost","value":"0.1158"},{"id":17,"name":"Train ID","value":"52-31"},{"id":16,"name":"Locomotive ID","value":"4043"},{"id":130,"name":"Impact","value":""},{"id":150,"name":"Time of Event (Mountain Time)","value":"03:25:40"},{"id":151,"name":"Denver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51"/>
        <v>start /low /b %USERPROFILE%\Documents\GitHub\eaglep3\Utilities\DownloadLogsFromS3.py --loco 4043 --day 2017-12-31</v>
      </c>
      <c r="AN218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10:25:40"},{"id":29,"name":"Sharepoint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53"/>
        <v>https://d0f6bd738d7f1b3e5a7ca70fe4ff75f0.us-east-1.aws.found.io/app/kibana#/discover/Steve-Slow-Train-Analysis-(2080s-and-2083s)?_g=(refreshInterval:(display:Off,pause:!f,section:0,value:0),time:(from:'2017-12-31T02:20:43-0700',mode:absolute,to:'2017-12-31T04:25:40-0700'))&amp;_a=(columns:!('Message%20ID',Summary),filters:!(),index:'emp_*',interval:auto,query:(query_string:(analyze_wildcard:!t,query:'%22rtdc.l.rtdc.4043%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 s="229" t="s">
        <v>790</v>
      </c>
      <c r="B219" s="225">
        <v>4012</v>
      </c>
      <c r="C219" s="227" t="s">
        <v>192</v>
      </c>
      <c r="D219" s="227" t="s">
        <v>1023</v>
      </c>
      <c r="E219" s="226">
        <v>43100.576562499999</v>
      </c>
      <c r="F219" s="226">
        <v>43100.579259259262</v>
      </c>
      <c r="G219" s="225">
        <v>100</v>
      </c>
      <c r="H219" s="227" t="s">
        <v>528</v>
      </c>
      <c r="I219" s="226">
        <v>43100.594930555555</v>
      </c>
      <c r="J219" s="225">
        <v>0</v>
      </c>
      <c r="K219" s="237" t="str">
        <f>IF(ISEVEN(B219),(B219-1)&amp;"/"&amp;B219,B219&amp;"/"&amp;(B219+1))</f>
        <v>4011/4012</v>
      </c>
      <c r="L219" s="245" t="str">
        <f>VLOOKUP(A219,'Trips&amp;Operators'!$C$1:$G$99911,5,FALSE)</f>
        <v>MCREYNOLDS KYLE</v>
      </c>
      <c r="M219" s="224">
        <f>I219-F219</f>
        <v>1.5671296292566694E-2</v>
      </c>
      <c r="N219" s="225">
        <f>24*60*SUM($M219:$M219)</f>
        <v>22.56666666129604</v>
      </c>
      <c r="O219" s="225"/>
      <c r="P219" s="225"/>
      <c r="Q219" s="228"/>
      <c r="R219" s="242"/>
      <c r="S219" s="249">
        <f>1/IF(AG219="EC",12,1)*SUM(U219:U219)</f>
        <v>1</v>
      </c>
      <c r="T219" s="242" t="str">
        <f>IF(ISEVEN(LEFT(AD219,4)),"Southbound","NorthBound")</f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-12-31T12:50:15-0700',mode:absolute,to:'2017-12-31T15:16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1</v>
      </c>
      <c r="Y219" s="247">
        <f>RIGHT(D219,LEN(D219)-4)/10000</f>
        <v>0.14810000000000001</v>
      </c>
      <c r="Z219" s="247">
        <f>RIGHT(H219,LEN(H219)-4)/10000</f>
        <v>2.3298999999999999</v>
      </c>
      <c r="AA219" s="247">
        <f>ABS(Z219-Y219)</f>
        <v>2.1818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53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/stypes="app*4012*20171231*" /stext=" 21:.+((SYSTEM_STATE.+slice.+state.+changed )|(ment ac)|(multiple cpu faults)|(system.+state.+changed )|(\[timeout)|(PRM\|1\|D)|(kpr)|(kdp)|(train st.+moving)|(\|lc)|(penalty))"</v>
      </c>
      <c r="AG219" s="244" t="str">
        <f>DetSubdiv(A219)</f>
        <v>Shuttle/Test</v>
      </c>
      <c r="AH219" s="236" t="str">
        <f t="shared" si="49"/>
        <v>"%USERPROFILE%\Documents\GitHub\eaglep3\Utilities\RefineRTDCRunTimes.py" --tripid 53-31 --locoid 4012 --swversion DE.1.0.9.0 --startMP 204:1481 --initTime 2017-12-31T13:50:15 --startdatetime 2017-12-31T13:54:08 --delay 100 --endMP 300:23299 --enddatetime 2017-12-31T14:16:42 --enforcementcount 0 &gt;&gt;%USERPROFILE%\Documents\GitHub\eaglep3-reporting\EC\2017-12-31-refined-times.txt</v>
      </c>
      <c r="AI219" s="238" t="str">
        <f t="shared" si="50"/>
        <v>echo {"issue":{"subject":"","project_id":79,"tracker_id":40,"status_id":1,"priority_id":2,"assigned_to_id":338,"start_date":"2017-12-31","description":"","custom_fields":[{"id":1,"name":"Subdivision","value":"Shuttle/Test"},{"id":4,"name":"Milepost","value":"2.3299"},{"id":17,"name":"Train ID","value":"53-31"},{"id":16,"name":"Locomotive ID","value":"4012"},{"id":130,"name":"Impact","value":""},{"id":150,"name":"Time of Event (Mountain Time)","value":"14:16:42"},{"id":151,"name":"Denver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51"/>
        <v>start /low /b %USERPROFILE%\Documents\GitHub\eaglep3\Utilities\DownloadLogsFromS3.py --loco 4012 --day 2017-12-31</v>
      </c>
      <c r="AN219" s="241" t="str">
        <f t="shared" si="52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21:16:42"},{"id":29,"name":"Sharepoint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53"/>
        <v>https://d0f6bd738d7f1b3e5a7ca70fe4ff75f0.us-east-1.aws.found.io/app/kibana#/discover/Steve-Slow-Train-Analysis-(2080s-and-2083s)?_g=(refreshInterval:(display:Off,pause:!f,section:0,value:0),time:(from:'2017-12-31T12:50:15-0700',mode:absolute,to:'2017-12-31T15:16:42-0700'))&amp;_a=(columns:!('Message%20ID',Summary),filters:!(),index:'emp_*',interval:auto,query:(query_string:(analyze_wildcard:!t,query:'%22rtdc.l.rtdc.4012%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798</v>
      </c>
      <c r="B220" s="225">
        <v>4057</v>
      </c>
      <c r="C220" s="227" t="s">
        <v>192</v>
      </c>
      <c r="D220" s="227" t="s">
        <v>1024</v>
      </c>
      <c r="E220" s="226">
        <v>43100.598310185182</v>
      </c>
      <c r="F220" s="226">
        <v>43100.601203703707</v>
      </c>
      <c r="G220" s="225">
        <v>87</v>
      </c>
      <c r="H220" s="227" t="s">
        <v>1025</v>
      </c>
      <c r="I220" s="226">
        <v>43100.605879629627</v>
      </c>
      <c r="J220" s="225">
        <v>0</v>
      </c>
      <c r="K220" s="237" t="str">
        <f>IF(ISEVEN(B220),(B220-1)&amp;"/"&amp;B220,B220&amp;"/"&amp;(B220+1))</f>
        <v>4057/4058</v>
      </c>
      <c r="L220" s="245" t="str">
        <f>VLOOKUP(A220,'Trips&amp;Operators'!$C$1:$G$99911,5,FALSE)</f>
        <v>MCREYNOLDS KYLE</v>
      </c>
      <c r="M220" s="224">
        <f>I220-F220</f>
        <v>4.6759259203099646E-3</v>
      </c>
      <c r="N220" s="225">
        <f>24*60*SUM($M220:$M220)</f>
        <v>6.733333325246349</v>
      </c>
      <c r="O220" s="225"/>
      <c r="P220" s="225"/>
      <c r="Q220" s="228"/>
      <c r="R220" s="242"/>
      <c r="S220" s="249">
        <f>1/IF(AG220="EC",12,1)*SUM(U220:U220)</f>
        <v>1</v>
      </c>
      <c r="T220" s="242" t="str">
        <f>IF(ISEVEN(LEFT(AD220,4)),"Southbound","NorthBound")</f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-31T13:21:34-0700',mode:absolute,to:'2017-12-31T15:32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13</v>
      </c>
      <c r="Y220" s="247">
        <f>RIGHT(D220,LEN(D220)-4)/10000</f>
        <v>2.2467000000000001</v>
      </c>
      <c r="Z220" s="247">
        <f>RIGHT(H220,LEN(H220)-4)/10000</f>
        <v>0.14610000000000001</v>
      </c>
      <c r="AA220" s="247">
        <f>ABS(Z220-Y220)</f>
        <v>2.1006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66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s3://rtdc.mdm.uploadarchive.raw/RTDC4057/ "%USERPROFILE%\AppData\Local\Temp\OnboardLogs"\RTDC4057\2017-12-31 --exclude "*" --recursive --include "*20171231*" &amp; "%USERPROFILE%\Documents\GitHub\mrs-test-scripts\Headless Mode &amp; Sideloading\WalkAndUnGZ.bat" "%USERPROFILE%\AppData\Local\Temp\OnboardLogs"\RTDC4057\2017-12-31 &amp; 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/stypes="app*4057*20171231*" /stext=" 21:.+((SYSTEM_STATE.+slice.+state.+changed )|(ment ac)|(multiple cpu faults)|(system.+state.+changed )|(\[timeout)|(PRM\|1\|D)|(kpr)|(kdp)|(train st.+moving)|(\|lc)|(penalty))"</v>
      </c>
      <c r="AG220" s="244" t="str">
        <f>DetSubdiv(A220)</f>
        <v>Shuttle/Test</v>
      </c>
      <c r="AH220" s="236" t="str">
        <f t="shared" ref="AH220:AH226" si="97">refinertdcruntimes&amp;" --tripid "&amp;A220&amp;" --locoid "&amp;B220&amp;" --swversion "&amp;C220&amp;" --startMP "&amp;D220&amp;" --initTime "&amp;TEXT(E220,"yyyy-mm-ddTHH:MM:SS")&amp;" --startdatetime "&amp;TEXT(F220,"yyyy-mm-ddTHH:MM:SS")&amp;" --delay "&amp;G220&amp;" --endMP "&amp;H220&amp;" --enddatetime "&amp;TEXT(I220,"yyyy-mm-ddTHH:MM:SS")&amp;" --enforcementcount "&amp;J220&amp;IF(outputrefinedruntimes," &gt;&gt;"&amp;RefinedRTDCRunTimesOutputFile,"")</f>
        <v>"%USERPROFILE%\Documents\GitHub\eaglep3\Utilities\RefineRTDCRunTimes.py" --tripid 66-31 --locoid 4057 --swversion DE.1.0.9.0 --startMP 300:22467 --initTime 2017-12-31T14:21:34 --startdatetime 2017-12-31T14:25:44 --delay 87 --endMP 204:1461 --enddatetime 2017-12-31T14:32:28 --enforcementcount 0 &gt;&gt;%USERPROFILE%\Documents\GitHub\eaglep3-reporting\EC\2017-12-31-refined-times.txt</v>
      </c>
      <c r="AI220" s="238" t="str">
        <f t="shared" ref="AI220:AI226" si="98">"echo {""issue"":{""subject"":"""&amp;R220&amp;""",""project_id"":79,""tracker_id"":40,""status_id"":"&amp;redmine_status&amp;",""priority_id"":"&amp;redmine_priority&amp;",""assigned_to_id"":"&amp;redmine_assignee&amp;",""start_date"":"""&amp;TEXT(I220,"YYYY-mm-dd")&amp;""",""description"":"""&amp;AJ220&amp;""",""custom_fields"":[{""id"":1,""name"":""Subdivision"",""value"":"""&amp;AG220&amp;"""},{""id"":4,""name"":""Milepost"",""value"":"""&amp;Z220&amp;"""},{""id"":17,""name"":""Train ID"",""value"":"""&amp;A220&amp;"""},{""id"":16,""name"":""Locomotive ID"",""value"":"""&amp;B220&amp;"""},{""id"":130,""name"":""Impact"",""value"":"""&amp;AK220&amp;"""},{""id"":150,""name"":""Time of Event (Mountain Time)"",""value"":"""&amp;TEXT(I220,"hh:mm:ss")&amp;"""},{""id"":151,""name"":""Denver Issue ID"",""value"":"""&amp;"""},{""id"":178,""name"":""Operational Impact"",""value"":"""&amp;redmine_op_impact&amp;"""},{""id"":179,""name"":""Denver Segment Assigned"",""value"":"""&amp;AL220&amp;"""}]}}"&amp;"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Shuttle/Test"},{"id":4,"name":"Milepost","value":"0.1461"},{"id":17,"name":"Train ID","value":"66-31"},{"id":16,"name":"Locomotive ID","value":"4057"},{"id":130,"name":"Impact","value":""},{"id":150,"name":"Time of Event (Mountain Time)","value":"14:32:28"},{"id":151,"name":"Denver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ref="AM220:AM226" si="99">"start /low /b "&amp;dls3logs&amp;" --loco "&amp;B220&amp;" --day "&amp;TEXT(F220,"YYYY-MM-DD")</f>
        <v>start /low /b %USERPROFILE%\Documents\GitHub\eaglep3\Utilities\DownloadLogsFromS3.py --loco 4057 --day 2017-12-31</v>
      </c>
      <c r="AN220" s="241" t="str">
        <f t="shared" ref="AN220:AN226" si="100">"echo {""issue"":{""subject"":"""&amp;R220&amp;""",""project_id"":30,""tracker_id"":4,""status_id"":"&amp;redmine_status_wcr&amp;",""priority_id"":"&amp;redmine_priority_wcr&amp;",""assigned_to_id"":"&amp;redmine_assignee_wcr&amp;",""start_date"":"""&amp;TEXT(I220-utc_offset/24,"YYYY-mm-dd")&amp;""",""description"":"""&amp;AJ220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21:32:28"},{"id":29,"name":"Sharepoint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ref="AO220:AO226" si="101"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Message%20ID',Summary),filters:!(),index:'emp_*',interval:auto,query:"&amp;"(query_string:(analyze_wildcard:!t,query:'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-31T13:21:34-0700',mode:absolute,to:'2017-12-31T15:32:28-0700'))&amp;_a=(columns:!('Message%20ID',Summary),filters:!(),index:'emp_*',interval:auto,query:(query_string:(analyze_wildcard:!t,query:'%22rtdc.l.rtdc.4057%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29" t="s">
        <v>841</v>
      </c>
      <c r="B221" s="225">
        <v>4045</v>
      </c>
      <c r="C221" s="227" t="s">
        <v>192</v>
      </c>
      <c r="D221" s="227" t="s">
        <v>1026</v>
      </c>
      <c r="E221" s="226">
        <v>43100.762164351851</v>
      </c>
      <c r="F221" s="226">
        <v>43100.768819444442</v>
      </c>
      <c r="G221" s="225">
        <v>96</v>
      </c>
      <c r="H221" s="227" t="s">
        <v>1027</v>
      </c>
      <c r="I221" s="226">
        <v>43100.775810185187</v>
      </c>
      <c r="J221" s="225">
        <v>0</v>
      </c>
      <c r="K221" s="237" t="str">
        <f>IF(ISEVEN(B221),(B221-1)&amp;"/"&amp;B221,B221&amp;"/"&amp;(B221+1))</f>
        <v>4045/4046</v>
      </c>
      <c r="L221" s="245" t="str">
        <f>VLOOKUP(A221,'Trips&amp;Operators'!$C$1:$G$99911,5,FALSE)</f>
        <v>HAMMOND JUSTYNN</v>
      </c>
      <c r="M221" s="224">
        <f>I221-F221</f>
        <v>6.9907407450955361E-3</v>
      </c>
      <c r="N221" s="225">
        <f>24*60*SUM($M221:$M221)</f>
        <v>10.066666672937572</v>
      </c>
      <c r="O221" s="225"/>
      <c r="P221" s="225"/>
      <c r="Q221" s="228"/>
      <c r="R221" s="242"/>
      <c r="S221" s="249">
        <f>1/IF(AG221="EC",12,1)*SUM(U221:U221)</f>
        <v>1</v>
      </c>
      <c r="T221" s="242" t="str">
        <f>IF(ISEVEN(LEFT(AD221,4)),"Southbound","NorthBound")</f>
        <v>Southbound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-12-31T17:17:31-0700',mode:absolute,to:'2017-12-31T19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2</v>
      </c>
      <c r="Y221" s="247">
        <f>RIGHT(D221,LEN(D221)-4)/10000</f>
        <v>2.3690000000000002</v>
      </c>
      <c r="Z221" s="247">
        <f>RIGHT(H221,LEN(H221)-4)/10000</f>
        <v>9.1999999999999998E-3</v>
      </c>
      <c r="AA221" s="247">
        <f>ABS(Z221-Y221)</f>
        <v>2.3598000000000003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68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s3://rtdc.mdm.uploadarchive.raw/RTDC4045/ "%USERPROFILE%\AppData\Local\Temp\OnboardLogs"\RTDC4045\2017-12-31 --exclude "*" --recursive --include "*20171231*" &amp; "%USERPROFILE%\Documents\GitHub\mrs-test-scripts\Headless Mode &amp; Sideloading\WalkAndUnGZ.bat" "%USERPROFILE%\AppData\Local\Temp\OnboardLogs"\RTDC4045\2017-12-31 &amp; aws s3 cp s3://rtdc.mdm.uploadarchive.raw/RTDC4045/ "%USERPROFILE%\AppData\Local\Temp\OnboardLogs"\RTDC4045\2018-01-01 --exclude "*" --recursive --include "*20180101*" &amp; "%USERPROFILE%\Documents\GitHub\mrs-test-scripts\Headless Mode &amp; Sideloading\WalkAndUnGZ.bat" "%USERPROFILE%\AppData\Local\Temp\OnboardLogs"\RTDC4045\2018-01-01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/stypes="app*4045*20180101*" /stext=" 01:.+((SYSTEM_STATE.+slice.+state.+changed )|(ment ac)|(multiple cpu faults)|(system.+state.+changed )|(\[timeout)|(PRM\|1\|D)|(kpr)|(kdp)|(train st.+moving)|(\|lc)|(penalty))"</v>
      </c>
      <c r="AG221" s="244" t="str">
        <f>DetSubdiv(A221)</f>
        <v>Shuttle/Test</v>
      </c>
      <c r="AH221" s="236" t="str">
        <f t="shared" si="97"/>
        <v>"%USERPROFILE%\Documents\GitHub\eaglep3\Utilities\RefineRTDCRunTimes.py" --tripid 68-31 --locoid 4045 --swversion DE.1.0.9.0 --startMP 300:23690 --initTime 2017-12-31T18:17:31 --startdatetime 2017-12-31T18:27:06 --delay 96 --endMP 204:92 --enddatetime 2017-12-31T18:37:10 --enforcementcount 0 &gt;&gt;%USERPROFILE%\Documents\GitHub\eaglep3-reporting\EC\2017-12-31-refined-times.txt</v>
      </c>
      <c r="AI221" s="238" t="str">
        <f t="shared" si="98"/>
        <v>echo {"issue":{"subject":"","project_id":79,"tracker_id":40,"status_id":1,"priority_id":2,"assigned_to_id":338,"start_date":"2017-12-31","description":"","custom_fields":[{"id":1,"name":"Subdivision","value":"Shuttle/Test"},{"id":4,"name":"Milepost","value":"0.0092"},{"id":17,"name":"Train ID","value":"68-31"},{"id":16,"name":"Locomotive ID","value":"4045"},{"id":130,"name":"Impact","value":""},{"id":150,"name":"Time of Event (Mountain Time)","value":"18:37:10"},{"id":151,"name":"Denver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99"/>
        <v>start /low /b %USERPROFILE%\Documents\GitHub\eaglep3\Utilities\DownloadLogsFromS3.py --loco 4045 --day 2017-12-31</v>
      </c>
      <c r="AN221" s="241" t="str">
        <f t="shared" si="100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01:37:10"},{"id":29,"name":"Sharepoint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01"/>
        <v>https://d0f6bd738d7f1b3e5a7ca70fe4ff75f0.us-east-1.aws.found.io/app/kibana#/discover/Steve-Slow-Train-Analysis-(2080s-and-2083s)?_g=(refreshInterval:(display:Off,pause:!f,section:0,value:0),time:(from:'2017-12-31T17:17:31-0700',mode:absolute,to:'2017-12-31T19:37:10-0700'))&amp;_a=(columns:!('Message%20ID',Summary),filters:!(),index:'emp_*',interval:auto,query:(query_string:(analyze_wildcard:!t,query:'%22rtdc.l.rtdc.4045%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229" t="s">
        <v>817</v>
      </c>
      <c r="B222" s="225">
        <v>4058</v>
      </c>
      <c r="C222" s="227" t="s">
        <v>192</v>
      </c>
      <c r="D222" s="227" t="s">
        <v>1028</v>
      </c>
      <c r="E222" s="226">
        <v>43100.668587962966</v>
      </c>
      <c r="F222" s="226">
        <v>43100.676064814812</v>
      </c>
      <c r="G222" s="225">
        <v>72</v>
      </c>
      <c r="H222" s="227" t="s">
        <v>1029</v>
      </c>
      <c r="I222" s="226">
        <v>43100.690150462964</v>
      </c>
      <c r="J222" s="225">
        <v>0</v>
      </c>
      <c r="K222" s="237" t="str">
        <f>IF(ISEVEN(B222),(B222-1)&amp;"/"&amp;B222,B222&amp;"/"&amp;(B222+1))</f>
        <v>4057/4058</v>
      </c>
      <c r="L222" s="245" t="str">
        <f>VLOOKUP(A222,'Trips&amp;Operators'!$C$1:$G$99911,5,FALSE)</f>
        <v>ROMERO CHAD</v>
      </c>
      <c r="M222" s="224">
        <f>I222-F222</f>
        <v>1.4085648152104113E-2</v>
      </c>
      <c r="N222" s="225">
        <f>24*60*SUM($M222:$M222)</f>
        <v>20.283333339029923</v>
      </c>
      <c r="O222" s="225"/>
      <c r="P222" s="225"/>
      <c r="Q222" s="228"/>
      <c r="R222" s="242"/>
      <c r="S222" s="249">
        <f>1/IF(AG222="EC",12,1)*SUM(U222:U222)</f>
        <v>1</v>
      </c>
      <c r="T222" s="242" t="str">
        <f>IF(ISEVEN(LEFT(AD222,4)),"Southbound","NorthBound")</f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-12-31T15:02:46-0700',mode:absolute,to:'2017-12-31T17:33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2" s="247" t="str">
        <f>IF(AA222&lt;VLOOKUP(AG222,Variables!$AC$3:$AD$8,2,FALSE),"Y","N")</f>
        <v>Y</v>
      </c>
      <c r="X222" s="247">
        <f>VALUE(LEFT(AD222,4))-VALUE(LEFT(AD221,4))</f>
        <v>7</v>
      </c>
      <c r="Y222" s="247">
        <f>RIGHT(D222,LEN(D222)-4)/10000</f>
        <v>0.1145</v>
      </c>
      <c r="Z222" s="247">
        <f>RIGHT(H222,LEN(H222)-4)/10000</f>
        <v>2.3302</v>
      </c>
      <c r="AA222" s="247">
        <f>ABS(Z222-Y222)</f>
        <v>2.2157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>VALUE(LEFT(A222,LEN(A222)-3))</f>
        <v>75</v>
      </c>
      <c r="AE222" s="23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s3://rtdc.mdm.uploadarchive.raw/RTDC4058/ "%USERPROFILE%\AppData\Local\Temp\OnboardLogs"\RTDC4058\2017-12-31 --exclude "*" --recursive --include "*20171231*" &amp; "%USERPROFILE%\Documents\GitHub\mrs-test-scripts\Headless Mode &amp; Sideloading\WalkAndUnGZ.bat" "%USERPROFILE%\AppData\Local\Temp\OnboardLogs"\RTDC4058\2017-12-31 &amp; 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/stypes="app*4058*20171231*" /stext=" 23:.+((SYSTEM_STATE.+slice.+state.+changed )|(ment ac)|(multiple cpu faults)|(system.+state.+changed )|(\[timeout)|(PRM\|1\|D)|(kpr)|(kdp)|(train st.+moving)|(\|lc)|(penalty))"</v>
      </c>
      <c r="AG222" s="244" t="str">
        <f>DetSubdiv(A222)</f>
        <v>Shuttle/Test</v>
      </c>
      <c r="AH222" s="236" t="str">
        <f t="shared" si="97"/>
        <v>"%USERPROFILE%\Documents\GitHub\eaglep3\Utilities\RefineRTDCRunTimes.py" --tripid 75-31 --locoid 4058 --swversion DE.1.0.9.0 --startMP 204:1145 --initTime 2017-12-31T16:02:46 --startdatetime 2017-12-31T16:13:32 --delay 72 --endMP 300:23302 --enddatetime 2017-12-31T16:33:49 --enforcementcount 0 &gt;&gt;%USERPROFILE%\Documents\GitHub\eaglep3-reporting\EC\2017-12-31-refined-times.txt</v>
      </c>
      <c r="AI222" s="238" t="str">
        <f t="shared" si="98"/>
        <v>echo {"issue":{"subject":"","project_id":79,"tracker_id":40,"status_id":1,"priority_id":2,"assigned_to_id":338,"start_date":"2017-12-31","description":"","custom_fields":[{"id":1,"name":"Subdivision","value":"Shuttle/Test"},{"id":4,"name":"Milepost","value":"2.3302"},{"id":17,"name":"Train ID","value":"75-31"},{"id":16,"name":"Locomotive ID","value":"4058"},{"id":130,"name":"Impact","value":""},{"id":150,"name":"Time of Event (Mountain Time)","value":"16:33:49"},{"id":151,"name":"Denver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99"/>
        <v>start /low /b %USERPROFILE%\Documents\GitHub\eaglep3\Utilities\DownloadLogsFromS3.py --loco 4058 --day 2017-12-31</v>
      </c>
      <c r="AN222" s="241" t="str">
        <f t="shared" si="100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23:33:49"},{"id":29,"name":"Sharepoint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01"/>
        <v>https://d0f6bd738d7f1b3e5a7ca70fe4ff75f0.us-east-1.aws.found.io/app/kibana#/discover/Steve-Slow-Train-Analysis-(2080s-and-2083s)?_g=(refreshInterval:(display:Off,pause:!f,section:0,value:0),time:(from:'2017-12-31T15:02:46-0700',mode:absolute,to:'2017-12-31T17:33:49-0700'))&amp;_a=(columns:!('Message%20ID',Summary),filters:!(),index:'emp_*',interval:auto,query:(query_string:(analyze_wildcard:!t,query:'%22rtdc.l.rtdc.4058%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3">
      <c r="A223" s="229" t="s">
        <v>690</v>
      </c>
      <c r="B223" s="225">
        <v>4039</v>
      </c>
      <c r="C223" s="227" t="s">
        <v>192</v>
      </c>
      <c r="D223" s="227" t="s">
        <v>1030</v>
      </c>
      <c r="E223" s="226">
        <v>43100.810381944444</v>
      </c>
      <c r="F223" s="226">
        <v>43100.815821759257</v>
      </c>
      <c r="G223" s="225">
        <v>167</v>
      </c>
      <c r="H223" s="227" t="s">
        <v>883</v>
      </c>
      <c r="I223" s="226">
        <v>43100.828310185185</v>
      </c>
      <c r="J223" s="225">
        <v>0</v>
      </c>
      <c r="K223" s="237" t="str">
        <f>IF(ISEVEN(B223),(B223-1)&amp;"/"&amp;B223,B223&amp;"/"&amp;(B223+1))</f>
        <v>4039/4040</v>
      </c>
      <c r="L223" s="245" t="str">
        <f>VLOOKUP(A223,'Trips&amp;Operators'!$C$1:$G$99911,5,FALSE)</f>
        <v>ANDREA WILLIAMS</v>
      </c>
      <c r="M223" s="224">
        <f>I223-F223</f>
        <v>1.2488425927585922E-2</v>
      </c>
      <c r="N223" s="225">
        <f>24*60*SUM($M223:$M223)</f>
        <v>17.983333335723728</v>
      </c>
      <c r="O223" s="225"/>
      <c r="P223" s="225"/>
      <c r="Q223" s="228"/>
      <c r="R223" s="242"/>
      <c r="S223" s="249">
        <f>1/IF(AG223="EC",12,1)*SUM(U223:U223)</f>
        <v>1</v>
      </c>
      <c r="T223" s="242" t="str">
        <f>IF(ISEVEN(LEFT(AD223,4)),"Southbound","NorthBound")</f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-12-31T18:26:57-0700',mode:absolute,to:'2017-12-31T20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3" s="247" t="str">
        <f>IF(AA223&lt;VLOOKUP(AG223,Variables!$AC$3:$AD$8,2,FALSE),"Y","N")</f>
        <v>Y</v>
      </c>
      <c r="X223" s="247">
        <f t="shared" ref="X223:X226" si="102">VALUE(LEFT(AD223,4))-VALUE(LEFT(AD222,4))</f>
        <v>3</v>
      </c>
      <c r="Y223" s="247">
        <f>RIGHT(D223,LEN(D223)-4)/10000</f>
        <v>2.3809</v>
      </c>
      <c r="Z223" s="247">
        <f>RIGHT(H223,LEN(H223)-4)/10000</f>
        <v>1.6500000000000001E-2</v>
      </c>
      <c r="AA223" s="247">
        <f>ABS(Z223-Y223)</f>
        <v>2.3643999999999998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>VALUE(LEFT(A223,LEN(A223)-3))</f>
        <v>78</v>
      </c>
      <c r="AE223" s="23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s3://rtdc.mdm.uploadarchive.raw/RTDC4039/ "%USERPROFILE%\AppData\Local\Temp\OnboardLogs"\RTDC4039\2017-12-31 --exclude "*" --recursive --include "*20171231*" &amp; "%USERPROFILE%\Documents\GitHub\mrs-test-scripts\Headless Mode &amp; Sideloading\WalkAndUnGZ.bat" "%USERPROFILE%\AppData\Local\Temp\OnboardLogs"\RTDC4039\2017-12-31 &amp; aws s3 cp s3://rtdc.mdm.uploadarchive.raw/RTDC4039/ "%USERPROFILE%\AppData\Local\Temp\OnboardLogs"\RTDC4039\2018-01-01 --exclude "*" --recursive --include "*20180101*" &amp; "%USERPROFILE%\Documents\GitHub\mrs-test-scripts\Headless Mode &amp; Sideloading\WalkAndUnGZ.bat" "%USERPROFILE%\AppData\Local\Temp\OnboardLogs"\RTDC4039\2018-01-01</v>
      </c>
      <c r="AF223" s="23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/stypes="app*4039*20180101*" /stext=" 02:.+((SYSTEM_STATE.+slice.+state.+changed )|(ment ac)|(multiple cpu faults)|(system.+state.+changed )|(\[timeout)|(PRM\|1\|D)|(kpr)|(kdp)|(train st.+moving)|(\|lc)|(penalty))"</v>
      </c>
      <c r="AG223" s="244" t="str">
        <f>DetSubdiv(A223)</f>
        <v>Shuttle/Test</v>
      </c>
      <c r="AH223" s="236" t="str">
        <f t="shared" si="97"/>
        <v>"%USERPROFILE%\Documents\GitHub\eaglep3\Utilities\RefineRTDCRunTimes.py" --tripid 78-31 --locoid 4039 --swversion DE.1.0.9.0 --startMP 300:23809 --initTime 2017-12-31T19:26:57 --startdatetime 2017-12-31T19:34:47 --delay 167 --endMP 204:165 --enddatetime 2017-12-31T19:52:46 --enforcementcount 0 &gt;&gt;%USERPROFILE%\Documents\GitHub\eaglep3-reporting\EC\2017-12-31-refined-times.txt</v>
      </c>
      <c r="AI223" s="238" t="str">
        <f t="shared" si="98"/>
        <v>echo {"issue":{"subject":"","project_id":79,"tracker_id":40,"status_id":1,"priority_id":2,"assigned_to_id":338,"start_date":"2017-12-31","description":"","custom_fields":[{"id":1,"name":"Subdivision","value":"Shuttle/Test"},{"id":4,"name":"Milepost","value":"0.0165"},{"id":17,"name":"Train ID","value":"78-31"},{"id":16,"name":"Locomotive ID","value":"4039"},{"id":130,"name":"Impact","value":""},{"id":150,"name":"Time of Event (Mountain Time)","value":"19:52:46"},{"id":151,"name":"Denver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1"/>
      <c r="AL223" s="231"/>
      <c r="AM223" s="240" t="str">
        <f t="shared" si="99"/>
        <v>start /low /b %USERPROFILE%\Documents\GitHub\eaglep3\Utilities\DownloadLogsFromS3.py --loco 4039 --day 2017-12-31</v>
      </c>
      <c r="AN223" s="241" t="str">
        <f t="shared" si="100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01"/>
        <v>https://d0f6bd738d7f1b3e5a7ca70fe4ff75f0.us-east-1.aws.found.io/app/kibana#/discover/Steve-Slow-Train-Analysis-(2080s-and-2083s)?_g=(refreshInterval:(display:Off,pause:!f,section:0,value:0),time:(from:'2017-12-31T18:26:57-0700',mode:absolute,to:'2017-12-31T20:52:46-0700'))&amp;_a=(columns:!('Message%20ID',Summary),filters:!(),index:'emp_*',interval:auto,query:(query_string:(analyze_wildcard:!t,query:'%22rtdc.l.rtdc.4039%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29" t="s">
        <v>687</v>
      </c>
      <c r="B224" s="225">
        <v>4043</v>
      </c>
      <c r="C224" s="227" t="s">
        <v>192</v>
      </c>
      <c r="D224" s="227" t="s">
        <v>1031</v>
      </c>
      <c r="E224" s="226">
        <v>43100.797708333332</v>
      </c>
      <c r="F224" s="226">
        <v>43100.799340277779</v>
      </c>
      <c r="G224" s="225">
        <v>78</v>
      </c>
      <c r="H224" s="227" t="s">
        <v>513</v>
      </c>
      <c r="I224" s="226">
        <v>43100.800509259258</v>
      </c>
      <c r="J224" s="225">
        <v>0</v>
      </c>
      <c r="K224" s="237" t="str">
        <f>IF(ISEVEN(B224),(B224-1)&amp;"/"&amp;B224,B224&amp;"/"&amp;(B224+1))</f>
        <v>4043/4044</v>
      </c>
      <c r="L224" s="245" t="str">
        <f>VLOOKUP(A224,'Trips&amp;Operators'!$C$1:$G$99911,5,FALSE)</f>
        <v>HAMMOND JUSTYNN</v>
      </c>
      <c r="M224" s="224">
        <f>I224-F224</f>
        <v>1.1689814782585017E-3</v>
      </c>
      <c r="N224" s="225">
        <f>24*60*SUM($M224:$M224)</f>
        <v>1.6833333286922425</v>
      </c>
      <c r="O224" s="225"/>
      <c r="P224" s="225"/>
      <c r="Q224" s="228"/>
      <c r="R224" s="242"/>
      <c r="S224" s="249">
        <f>1/IF(AG224="EC",12,1)*SUM(U224:U224)</f>
        <v>0</v>
      </c>
      <c r="T224" s="242" t="str">
        <f>IF(ISEVEN(LEFT(AD224,4)),"Southbound","NorthBound")</f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8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-12-31T18:08:42-0700',mode:absolute,to:'2017-12-31T20:12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4" s="247" t="str">
        <f>IF(AA224&lt;VLOOKUP(AG224,Variables!$AC$3:$AD$8,2,FALSE),"Y","N")</f>
        <v>Y</v>
      </c>
      <c r="X224" s="247">
        <f t="shared" si="102"/>
        <v>1</v>
      </c>
      <c r="Y224" s="247">
        <f>RIGHT(D224,LEN(D224)-4)/10000</f>
        <v>0.3589</v>
      </c>
      <c r="Z224" s="247">
        <f>RIGHT(H224,LEN(H224)-4)/10000</f>
        <v>1.5800000000000002E-2</v>
      </c>
      <c r="AA224" s="247">
        <f>ABS(Z224-Y224)</f>
        <v>0.34310000000000002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>VALUE(LEFT(A224,LEN(A224)-3))</f>
        <v>79</v>
      </c>
      <c r="AE224" s="23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AF224" s="23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/stypes="app*4043*20180101*" /stext=" 02:.+((SYSTEM_STATE.+slice.+state.+changed )|(ment ac)|(multiple cpu faults)|(system.+state.+changed )|(\[timeout)|(PRM\|1\|D)|(kpr)|(kdp)|(train st.+moving)|(\|lc)|(penalty))"</v>
      </c>
      <c r="AG224" s="244" t="str">
        <f>DetSubdiv(A224)</f>
        <v>Shuttle/Test</v>
      </c>
      <c r="AH224" s="236" t="str">
        <f t="shared" si="97"/>
        <v>"%USERPROFILE%\Documents\GitHub\eaglep3\Utilities\RefineRTDCRunTimes.py" --tripid 79-31 --locoid 4043 --swversion DE.1.0.9.0 --startMP 204:3589 --initTime 2017-12-31T19:08:42 --startdatetime 2017-12-31T19:11:03 --delay 78 --endMP 204:158 --enddatetime 2017-12-31T19:12:44 --enforcementcount 0 &gt;&gt;%USERPROFILE%\Documents\GitHub\eaglep3-reporting\EC\2017-12-31-refined-times.txt</v>
      </c>
      <c r="AI224" s="238" t="str">
        <f t="shared" si="98"/>
        <v>echo {"issue":{"subject":"","project_id":79,"tracker_id":40,"status_id":1,"priority_id":2,"assigned_to_id":338,"start_date":"2017-12-31","description":"","custom_fields":[{"id":1,"name":"Subdivision","value":"Shuttle/Test"},{"id":4,"name":"Milepost","value":"0.0158"},{"id":17,"name":"Train ID","value":"79-31"},{"id":16,"name":"Locomotive ID","value":"4043"},{"id":130,"name":"Impact","value":""},{"id":150,"name":"Time of Event (Mountain Time)","value":"19:12:44"},{"id":151,"name":"Denver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99"/>
        <v>start /low /b %USERPROFILE%\Documents\GitHub\eaglep3\Utilities\DownloadLogsFromS3.py --loco 4043 --day 2017-12-31</v>
      </c>
      <c r="AN224" s="241" t="str">
        <f t="shared" si="100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02:12:44"},{"id":29,"name":"Sharepoint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01"/>
        <v>https://d0f6bd738d7f1b3e5a7ca70fe4ff75f0.us-east-1.aws.found.io/app/kibana#/discover/Steve-Slow-Train-Analysis-(2080s-and-2083s)?_g=(refreshInterval:(display:Off,pause:!f,section:0,value:0),time:(from:'2017-12-31T18:08:42-0700',mode:absolute,to:'2017-12-31T20:12:44-0700'))&amp;_a=(columns:!('Message%20ID',Summary),filters:!(),index:'emp_*',interval:auto,query:(query_string:(analyze_wildcard:!t,query:'%22rtdc.l.rtdc.4043%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23" customFormat="1" x14ac:dyDescent="0.3">
      <c r="A225" s="229" t="s">
        <v>687</v>
      </c>
      <c r="B225" s="225">
        <v>4044</v>
      </c>
      <c r="C225" s="227" t="s">
        <v>192</v>
      </c>
      <c r="D225" s="227" t="s">
        <v>1031</v>
      </c>
      <c r="E225" s="226">
        <v>43100.797708333332</v>
      </c>
      <c r="F225" s="226">
        <v>43100.794421296298</v>
      </c>
      <c r="G225" s="225">
        <v>78</v>
      </c>
      <c r="H225" s="227" t="s">
        <v>513</v>
      </c>
      <c r="I225" s="226">
        <v>43100.794629629629</v>
      </c>
      <c r="J225" s="225">
        <v>0</v>
      </c>
      <c r="K225" s="237" t="str">
        <f>IF(ISEVEN(B225),(B225-1)&amp;"/"&amp;B225,B225&amp;"/"&amp;(B225+1))</f>
        <v>4043/4044</v>
      </c>
      <c r="L225" s="245" t="str">
        <f>VLOOKUP(A225,'Trips&amp;Operators'!$C$1:$G$99911,5,FALSE)</f>
        <v>HAMMOND JUSTYNN</v>
      </c>
      <c r="M225" s="224">
        <f>I225-F225</f>
        <v>2.0833333110203966E-4</v>
      </c>
      <c r="N225" s="225">
        <f>24*60*SUM($M225:$M225)</f>
        <v>0.29999999678693712</v>
      </c>
      <c r="O225" s="225"/>
      <c r="P225" s="225"/>
      <c r="Q225" s="228"/>
      <c r="R225" s="242" t="s">
        <v>1054</v>
      </c>
      <c r="S225" s="249">
        <f>1/IF(AG225="EC",12,1)*SUM(U225:U225)</f>
        <v>0</v>
      </c>
      <c r="T225" s="242" t="str">
        <f>IF(ISEVEN(LEFT(AD225,4)),"Southbound","NorthBound")</f>
        <v>NorthBound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-12-31T18:08:42-0700',mode:absolute,to:'2017-12-31T20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5" s="247" t="str">
        <f>IF(AA225&lt;VLOOKUP(AG225,Variables!$AC$3:$AD$8,2,FALSE),"Y","N")</f>
        <v>Y</v>
      </c>
      <c r="X225" s="247">
        <f t="shared" si="102"/>
        <v>0</v>
      </c>
      <c r="Y225" s="247">
        <v>0.17399999999999999</v>
      </c>
      <c r="Z225" s="247">
        <v>0.18410000000000001</v>
      </c>
      <c r="AA225" s="247">
        <f>ABS(Z225-Y225)</f>
        <v>1.0100000000000026E-2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>VALUE(LEFT(A225,LEN(A225)-3))</f>
        <v>79</v>
      </c>
      <c r="AE225" s="23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s3://rtdc.mdm.uploadarchive.raw/RTDC4044/ "%USERPROFILE%\AppData\Local\Temp\OnboardLogs"\RTDC4044\2017-12-31 --exclude "*" --recursive --include "*20171231*" &amp; "%USERPROFILE%\Documents\GitHub\mrs-test-scripts\Headless Mode &amp; Sideloading\WalkAndUnGZ.bat" "%USERPROFILE%\AppData\Local\Temp\OnboardLogs"\RTDC4044\2017-12-31 &amp; aws s3 cp s3://rtdc.mdm.uploadarchive.raw/RTDC4044/ "%USERPROFILE%\AppData\Local\Temp\OnboardLogs"\RTDC4044\2018-01-01 --exclude "*" --recursive --include "*20180101*" &amp; "%USERPROFILE%\Documents\GitHub\mrs-test-scripts\Headless Mode &amp; Sideloading\WalkAndUnGZ.bat" "%USERPROFILE%\AppData\Local\Temp\OnboardLogs"\RTDC4044\2018-01-01</v>
      </c>
      <c r="AF225" s="23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/stypes="app*4044*20180101*" /stext=" 02:.+((SYSTEM_STATE.+slice.+state.+changed )|(ment ac)|(multiple cpu faults)|(system.+state.+changed )|(\[timeout)|(PRM\|1\|D)|(kpr)|(kdp)|(train st.+moving)|(\|lc)|(penalty))"</v>
      </c>
      <c r="AG225" s="244" t="str">
        <f>DetSubdiv(A225)</f>
        <v>Shuttle/Test</v>
      </c>
      <c r="AH225" s="236" t="str">
        <f t="shared" ref="AH225" si="103">refinertdcruntimes&amp;" --tripid "&amp;A225&amp;" --locoid "&amp;B225&amp;" --swversion "&amp;C225&amp;" --startMP "&amp;D225&amp;" --initTime "&amp;TEXT(E225,"yyyy-mm-ddTHH:MM:SS")&amp;" --startdatetime "&amp;TEXT(F225,"yyyy-mm-ddTHH:MM:SS")&amp;" --delay "&amp;G225&amp;" --endMP "&amp;H225&amp;" --enddatetime "&amp;TEXT(I225,"yyyy-mm-ddTHH:MM:SS")&amp;" --enforcementcount "&amp;J225&amp;IF(outputrefinedruntimes," &gt;&gt;"&amp;RefinedRTDCRunTimesOutputFile,"")</f>
        <v>"%USERPROFILE%\Documents\GitHub\eaglep3\Utilities\RefineRTDCRunTimes.py" --tripid 79-31 --locoid 4044 --swversion DE.1.0.9.0 --startMP 204:3589 --initTime 2017-12-31T19:08:42 --startdatetime 2017-12-31T19:03:58 --delay 78 --endMP 204:158 --enddatetime 2017-12-31T19:04:16 --enforcementcount 0 &gt;&gt;%USERPROFILE%\Documents\GitHub\eaglep3-reporting\EC\2017-12-31-refined-times.txt</v>
      </c>
      <c r="AI225" s="238" t="str">
        <f t="shared" ref="AI225" si="104">"echo {""issue"":{""subject"":"""&amp;R225&amp;""",""project_id"":79,""tracker_id"":40,""status_id"":"&amp;redmine_status&amp;",""priority_id"":"&amp;redmine_priority&amp;",""assigned_to_id"":"&amp;redmine_assignee&amp;",""start_date"":"""&amp;TEXT(I225,"YYYY-mm-dd")&amp;""",""description"":"""&amp;AJ225&amp;""",""custom_fields"":[{""id"":1,""name"":""Subdivision"",""value"":"""&amp;AG225&amp;"""},{""id"":4,""name"":""Milepost"",""value"":"""&amp;Z225&amp;"""},{""id"":17,""name"":""Train ID"",""value"":"""&amp;A225&amp;"""},{""id"":16,""name"":""Locomotive ID"",""value"":"""&amp;B225&amp;"""},{""id"":130,""name"":""Impact"",""value"":"""&amp;AK225&amp;"""},{""id"":150,""name"":""Time of Event (Mountain Time)"",""value"":"""&amp;TEXT(I225,"hh:mm:ss")&amp;"""},{""id"":151,""name"":""Denver Issue ID"",""value"":"""&amp;"""},{""id"":178,""name"":""Operational Impact"",""value"":"""&amp;redmine_op_impact&amp;"""},{""id"":179,""name"":""Denver Segment Assigned"",""value"":"""&amp;AL225&amp;"""}]}}"&amp;" | curl --insecure -X POST -H ""Content-Type: application/json"" -H ""X-Redmine-API-Key: "&amp;redm_api_key&amp;""" "&amp;redm_url&amp;" --data @-"</f>
        <v>echo {"issue":{"subject":"Enforced for Main 3 departure","project_id":79,"tracker_id":40,"status_id":1,"priority_id":2,"assigned_to_id":338,"start_date":"2017-12-31","description":"","custom_fields":[{"id":1,"name":"Subdivision","value":"Shuttle/Test"},{"id":4,"name":"Milepost","value":"0.1841"},{"id":17,"name":"Train ID","value":"79-31"},{"id":16,"name":"Locomotive ID","value":"4044"},{"id":130,"name":"Impact","value":""},{"id":150,"name":"Time of Event (Mountain Time)","value":"19:04:16"},{"id":151,"name":"Denver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231"/>
      <c r="AL225" s="231"/>
      <c r="AM225" s="240" t="str">
        <f t="shared" ref="AM225" si="105">"start /low /b "&amp;dls3logs&amp;" --loco "&amp;B225&amp;" --day "&amp;TEXT(F225,"YYYY-MM-DD")</f>
        <v>start /low /b %USERPROFILE%\Documents\GitHub\eaglep3\Utilities\DownloadLogsFromS3.py --loco 4044 --day 2017-12-31</v>
      </c>
      <c r="AN225" s="241" t="str">
        <f t="shared" ref="AN225" si="106">"echo {""issue"":{""subject"":"""&amp;R225&amp;""",""project_id"":30,""tracker_id"":4,""status_id"":"&amp;redmine_status_wcr&amp;",""priority_id"":"&amp;redmine_priority_wcr&amp;",""assigned_to_id"":"&amp;redmine_assignee_wcr&amp;",""start_date"":"""&amp;TEXT(I225-utc_offset/24,"YYYY-mm-dd")&amp;""",""description"":"""&amp;AJ225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{"issue":{"subject":"Enforced for Main 3 departure","project_id":30,"tracker_id":4,"status_id":1,"priority_id":1,"assigned_to_id":10,"start_date":"2018-01-01","description":"","custom_fields":[{"id":30,"name":"Category","value":"Issue"},{"id":3,"name":"Functional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02:04:16"},{"id":29,"name":"Sharepoint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ref="AO225" si="107"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Message%20ID',Summary),filters:!(),index:'emp_*',interval:auto,query:"&amp;"(query_string:(analyze_wildcard:!t,query:'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-12-31T18:08:42-0700',mode:absolute,to:'2017-12-31T20:04:16-0700'))&amp;_a=(columns:!('Message%20ID',Summary),filters:!(),index:'emp_*',interval:auto,query:(query_string:(analyze_wildcard:!t,query:'%22rtdc.l.rtdc.4044%22')),sort:!(Time.ISO8601,asc))</v>
      </c>
    </row>
    <row r="226" spans="1:91" s="20" customFormat="1" x14ac:dyDescent="0.3">
      <c r="A226" s="229" t="s">
        <v>794</v>
      </c>
      <c r="B226" s="225">
        <v>4049</v>
      </c>
      <c r="C226" s="227" t="s">
        <v>192</v>
      </c>
      <c r="D226" s="227" t="s">
        <v>1032</v>
      </c>
      <c r="E226" s="226">
        <v>43100.584120370368</v>
      </c>
      <c r="F226" s="226">
        <v>43100.585659722223</v>
      </c>
      <c r="G226" s="225">
        <v>62</v>
      </c>
      <c r="H226" s="227" t="s">
        <v>1033</v>
      </c>
      <c r="I226" s="226">
        <v>43100.598414351851</v>
      </c>
      <c r="J226" s="225">
        <v>0</v>
      </c>
      <c r="K226" s="237" t="str">
        <f>IF(ISEVEN(B226),(B226-1)&amp;"/"&amp;B226,B226&amp;"/"&amp;(B226+1))</f>
        <v>4049/4050</v>
      </c>
      <c r="L226" s="245" t="str">
        <f>VLOOKUP(A226,'Trips&amp;Operators'!$C$1:$G$99911,5,FALSE)</f>
        <v>BIRENBAUM THOMAS</v>
      </c>
      <c r="M226" s="224">
        <f>I226-F226</f>
        <v>1.2754629628034309E-2</v>
      </c>
      <c r="N226" s="225">
        <f>24*60*SUM($M226:$M226)</f>
        <v>18.366666664369404</v>
      </c>
      <c r="O226" s="225"/>
      <c r="P226" s="225"/>
      <c r="Q226" s="228"/>
      <c r="R226" s="242"/>
      <c r="S226" s="249">
        <f>1/IF(AG226="EC",12,1)*SUM(U226:U226)</f>
        <v>1</v>
      </c>
      <c r="T226" s="242" t="str">
        <f>IF(ISEVEN(LEFT(AD226,4)),"Southbound","NorthBound")</f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48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-12-31T13:01:08-0700',mode:absolute,to:'2017-12-31T15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6" s="247" t="str">
        <f>IF(AA226&lt;VLOOKUP(AG226,Variables!$AC$3:$AD$8,2,FALSE),"Y","N")</f>
        <v>Y</v>
      </c>
      <c r="X226" s="247">
        <f t="shared" si="102"/>
        <v>9</v>
      </c>
      <c r="Y226" s="247">
        <f>RIGHT(D226,LEN(D226)-4)/10000</f>
        <v>3.0844999999999998</v>
      </c>
      <c r="Z226" s="247">
        <f>RIGHT(H226,LEN(H226)-4)/10000</f>
        <v>0.1943</v>
      </c>
      <c r="AA226" s="247">
        <f>ABS(Z226-Y226)</f>
        <v>2.8901999999999997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>VALUE(LEFT(A226,LEN(A226)-3))</f>
        <v>88</v>
      </c>
      <c r="AE226" s="23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s3://rtdc.mdm.uploadarchive.raw/RTDC4049/ "%USERPROFILE%\AppData\Local\Temp\OnboardLogs"\RTDC4049\2017-12-31 --exclude "*" --recursive --include "*20171231*" &amp; "%USERPROFILE%\Documents\GitHub\mrs-test-scripts\Headless Mode &amp; Sideloading\WalkAndUnGZ.bat" "%USERPROFILE%\AppData\Local\Temp\OnboardLogs"\RTDC4049\2017-12-31 &amp; 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</v>
      </c>
      <c r="AF226" s="23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/stypes="app*4049*20171231*" /stext=" 21:.+((SYSTEM_STATE.+slice.+state.+changed )|(ment ac)|(multiple cpu faults)|(system.+state.+changed )|(\[timeout)|(PRM\|1\|D)|(kpr)|(kdp)|(train st.+moving)|(\|lc)|(penalty))"</v>
      </c>
      <c r="AG226" s="244" t="str">
        <f>DetSubdiv(A226)</f>
        <v>Shuttle/Test</v>
      </c>
      <c r="AH226" s="236" t="str">
        <f t="shared" si="97"/>
        <v>"%USERPROFILE%\Documents\GitHub\eaglep3\Utilities\RefineRTDCRunTimes.py" --tripid 88-31 --locoid 4049 --swversion DE.1.0.9.0 --startMP 300:30845 --initTime 2017-12-31T14:01:08 --startdatetime 2017-12-31T14:03:21 --delay 62 --endMP 204:1943 --enddatetime 2017-12-31T14:21:43 --enforcementcount 0 &gt;&gt;%USERPROFILE%\Documents\GitHub\eaglep3-reporting\EC\2017-12-31-refined-times.txt</v>
      </c>
      <c r="AI226" s="238" t="str">
        <f t="shared" si="98"/>
        <v>echo {"issue":{"subject":"","project_id":79,"tracker_id":40,"status_id":1,"priority_id":2,"assigned_to_id":338,"start_date":"2017-12-31","description":"","custom_fields":[{"id":1,"name":"Subdivision","value":"Shuttle/Test"},{"id":4,"name":"Milepost","value":"0.1943"},{"id":17,"name":"Train ID","value":"88-31"},{"id":16,"name":"Locomotive ID","value":"4049"},{"id":130,"name":"Impact","value":""},{"id":150,"name":"Time of Event (Mountain Time)","value":"14:21:43"},{"id":151,"name":"Denver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99"/>
        <v>start /low /b %USERPROFILE%\Documents\GitHub\eaglep3\Utilities\DownloadLogsFromS3.py --loco 4049 --day 2017-12-31</v>
      </c>
      <c r="AN226" s="241" t="str">
        <f t="shared" si="100"/>
        <v>echo {"issue":{"subject":"","project_id":30,"tracker_id":4,"status_id":1,"priority_id":1,"assigned_to_id":10,"start_date":"2017-12-31","description":"","custom_fields":[{"id":30,"name":"Category","value":"Issue"},{"id":3,"name":"Functional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UTC","value":"2017-12-31 21:21:43"},{"id":29,"name":"Sharepoint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101"/>
        <v>https://d0f6bd738d7f1b3e5a7ca70fe4ff75f0.us-east-1.aws.found.io/app/kibana#/discover/Steve-Slow-Train-Analysis-(2080s-and-2083s)?_g=(refreshInterval:(display:Off,pause:!f,section:0,value:0),time:(from:'2017-12-31T13:01:08-0700',mode:absolute,to:'2017-12-31T15:21:43-0700'))&amp;_a=(columns:!('Message%20ID',Summary),filters:!(),index:'emp_*',interval:auto,query:(query_string:(analyze_wildcard:!t,query:'%22rtdc.l.rtdc.4049%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3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3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23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23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s="20" customFormat="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s="20" customForma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s="20" customFormat="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s="20" customFormat="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s="20" customFormat="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4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4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4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4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4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4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4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4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4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4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</sheetData>
  <autoFilter ref="A12:AG543">
    <sortState ref="A13:AG543">
      <sortCondition ref="AG13:AG226"/>
      <sortCondition ref="AD13:AD226"/>
    </sortState>
  </autoFilter>
  <sortState ref="A13:AN448">
    <sortCondition ref="AG13:AG448"/>
    <sortCondition ref="AD13:AD448"/>
  </sortState>
  <mergeCells count="1">
    <mergeCell ref="A11:P11"/>
  </mergeCells>
  <conditionalFormatting sqref="W11:W12 W549:X1048576 W13:X19 W21:W22 X20:X22 W23:X226">
    <cfRule type="cellIs" dxfId="2" priority="479" operator="equal">
      <formula>"Y"</formula>
    </cfRule>
  </conditionalFormatting>
  <conditionalFormatting sqref="X549:X1048576 X13:X226">
    <cfRule type="cellIs" dxfId="1" priority="462" operator="greaterThan">
      <formula>1</formula>
    </cfRule>
  </conditionalFormatting>
  <conditionalFormatting sqref="X549:X1048576 X12:X226">
    <cfRule type="cellIs" dxfId="0" priority="459" operator="equal">
      <formula>0</formula>
    </cfRule>
  </conditionalFormatting>
  <conditionalFormatting sqref="A13:S19 A21:S226">
    <cfRule type="expression" dxfId="17" priority="453" stopIfTrue="1">
      <formula>$P13&gt;0</formula>
    </cfRule>
    <cfRule type="expression" dxfId="16" priority="454" stopIfTrue="1">
      <formula>$O13&gt;0</formula>
    </cfRule>
  </conditionalFormatting>
  <conditionalFormatting sqref="W20">
    <cfRule type="cellIs" dxfId="13" priority="7" operator="equal">
      <formula>"Y"</formula>
    </cfRule>
  </conditionalFormatting>
  <conditionalFormatting sqref="A20:S20">
    <cfRule type="expression" dxfId="10" priority="2" stopIfTrue="1">
      <formula>$P20&gt;0</formula>
    </cfRule>
    <cfRule type="expression" dxfId="9" priority="3" stopIfTrue="1">
      <formula>$O20&gt;0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A13:S19 A21:S226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A13:S19 A21:S226</xm:sqref>
        </x14:conditionalFormatting>
        <x14:conditionalFormatting xmlns:xm="http://schemas.microsoft.com/office/excel/2006/main">
          <x14:cfRule type="expression" priority="4" stopIfTrue="1" id="{69341B42-69CE-4572-A1B6-E7E9E8C3A7AA}">
            <xm:f>IF($AG20="EC",OR($N20&gt;Variables!$C$2,$N20&lt;Variables!$C$5),OR($N20&gt;Variables!$D$2,$N20&lt;Variables!$D$5))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A20:S20</xm:sqref>
        </x14:conditionalFormatting>
        <x14:conditionalFormatting xmlns:xm="http://schemas.microsoft.com/office/excel/2006/main">
          <x14:cfRule type="expression" priority="1" stopIfTrue="1" id="{9E3BD7E8-D905-4B9E-BA43-EC1B236C1986}">
            <xm:f>IF($AG20="EC",OR($N20&gt;Variables!#REF!,$N20&lt;Variables!#REF!),OR($N20&gt;Variables!#REF!,$N20&lt;Variables!#REF!))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A20:S20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2"/>
  <sheetViews>
    <sheetView topLeftCell="A2" zoomScaleNormal="100" workbookViewId="0">
      <selection activeCell="A2" sqref="A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COUNTIF($O$7:$O$136,"=Y")</f>
        <v>4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COUNTA($O$7:$O$136)-O2</f>
        <v>19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- 2017-12-31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43100.359143518515</v>
      </c>
      <c r="B7" s="30" t="s">
        <v>370</v>
      </c>
      <c r="C7" s="30" t="s">
        <v>677</v>
      </c>
      <c r="D7" s="30" t="s">
        <v>49</v>
      </c>
      <c r="E7" s="30" t="s">
        <v>183</v>
      </c>
      <c r="F7" s="42">
        <v>0</v>
      </c>
      <c r="G7" s="42">
        <v>286</v>
      </c>
      <c r="H7" s="42">
        <v>26574</v>
      </c>
      <c r="I7" s="42">
        <v>27023</v>
      </c>
      <c r="J7" s="30" t="s">
        <v>184</v>
      </c>
      <c r="K7" s="42">
        <v>27053</v>
      </c>
      <c r="L7" s="131" t="s">
        <v>50</v>
      </c>
      <c r="M7" s="132">
        <f>CONVERT((I7-K7)/10000,"mi","ft")*IF(L7="Increasing Mileposts (1)",-1,1)</f>
        <v>15.84</v>
      </c>
      <c r="N7" s="133" t="str">
        <f>VLOOKUP(C7,'Trips&amp;Operators'!$C$1:$G$99911,5,FALSE)</f>
        <v>THOMPSON LESTER</v>
      </c>
      <c r="O7" s="175" t="s">
        <v>178</v>
      </c>
      <c r="P7" s="239" t="s">
        <v>507</v>
      </c>
      <c r="Q7" s="30"/>
      <c r="R7" s="81" t="str">
        <f>VLOOKUP(C7,'Train Runs'!$A$13:$AE$10202,31,0)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S7" s="84" t="str">
        <f>VLOOKUP(C7,'Train Runs'!$A$13:$AE$10202,22,0)</f>
        <v>https://d0f6bd738d7f1b3e5a7ca70fe4ff75f0.us-east-1.aws.found.io/app/kibana#/discover/Steve-Slow-Train-Analysis-(2080s-and-2083s)?_g=(refreshInterval:(display:Off,pause:!f,section:0,value:0),time:(from:'2017-12-31T07:27:37-0700',mode:absolute,to:'2017-12-31T10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/stypes="*4012*201712311*" /stext=" 15:.+((SYSTEM_STATE.+slice.+state.+changed )|(ment ac)|(multiple cpu faults)|(system.+state.+changed )|(\[timeout)|(PRM\|1\|D)|(kpr)|(kdp)|(train st.+moving)|(\|lc)|(penalty))"</v>
      </c>
      <c r="U7" s="9" t="str">
        <f>MID(B7,13,4)</f>
        <v>4012</v>
      </c>
      <c r="V7" s="31">
        <f>A7-utc_offset/24</f>
        <v>43100.65081018518</v>
      </c>
      <c r="W7" s="45" t="str">
        <f>DetSubdiv(C7)</f>
        <v>EC</v>
      </c>
      <c r="X7" s="22">
        <f>VALUE(LEFT(C7,LEN(C7)-3))</f>
        <v>139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Arrival","project_id":79,"tracker_id":40,"status_id":1,"priority_id":2,"assigned_to_id":338,"start_date":"2017-12-31","description":"","custom_fields":[{"id":1,"name":"Subdivision","value":"EC"},{"id":4,"name":"Milepost","value":"2.7053"},{"id":17,"name":"Train ID","value":"139-31"},{"id":16,"name":"Locomotive ID","value":"4012"},{"id":130,"name":"Impact","value":""},{"id":150,"name":"Time of Event (Mountain Time)","value":"08:37:10"},{"id":151,"name":"Denver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/c/Users/stu/AppData/Local/Temp/OnboardLogs/RTDC4012 --include="*4012*201712311*"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"%USERPROFILE%\AppData\Local\Temp\OnboardLogs"\RTDC4012\*4012*201712311* &gt;&gt; 2017-12-31-SliceDisagreementCheck.txt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4012 --day 2017-12-31</v>
      </c>
    </row>
    <row r="8" spans="1:32" s="1" customFormat="1" x14ac:dyDescent="0.3">
      <c r="A8" s="31">
        <v>43100.431655092594</v>
      </c>
      <c r="B8" s="30" t="s">
        <v>370</v>
      </c>
      <c r="C8" s="30" t="s">
        <v>678</v>
      </c>
      <c r="D8" s="30" t="s">
        <v>49</v>
      </c>
      <c r="E8" s="30" t="s">
        <v>183</v>
      </c>
      <c r="F8" s="42">
        <v>0</v>
      </c>
      <c r="G8" s="42">
        <v>220</v>
      </c>
      <c r="H8" s="42">
        <v>26928</v>
      </c>
      <c r="I8" s="42">
        <v>27295</v>
      </c>
      <c r="J8" s="30" t="s">
        <v>184</v>
      </c>
      <c r="K8" s="42">
        <v>27053</v>
      </c>
      <c r="L8" s="131" t="s">
        <v>50</v>
      </c>
      <c r="M8" s="132">
        <f>CONVERT((I8-K8)/10000,"mi","ft")*IF(L8="Increasing Mileposts (1)",-1,1)</f>
        <v>-127.776</v>
      </c>
      <c r="N8" s="133" t="str">
        <f>VLOOKUP(C8,'Trips&amp;Operators'!$C$1:$G$99911,5,FALSE)</f>
        <v>BROWN JACOB</v>
      </c>
      <c r="O8" s="175" t="s">
        <v>178</v>
      </c>
      <c r="P8" s="239" t="s">
        <v>507</v>
      </c>
      <c r="Q8" s="30"/>
      <c r="R8" s="81" t="str">
        <f>VLOOKUP(C8,'Train Runs'!$A$13:$AE$10202,31,0)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S8" s="84" t="str">
        <f>VLOOKUP(C8,'Train Runs'!$A$13:$AE$10202,22,0)</f>
        <v>https://d0f6bd738d7f1b3e5a7ca70fe4ff75f0.us-east-1.aws.found.io/app/kibana#/discover/Steve-Slow-Train-Analysis-(2080s-and-2083s)?_g=(refreshInterval:(display:Off,pause:!f,section:0,value:0),time:(from:'2017-12-31T09:09:13-0700',mode:absolute,to:'2017-12-31T11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/stypes="*4012*201712311*" /stext=" 17:.+((SYSTEM_STATE.+slice.+state.+changed )|(ment ac)|(multiple cpu faults)|(system.+state.+changed )|(\[timeout)|(PRM\|1\|D)|(kpr)|(kdp)|(train st.+moving)|(\|lc)|(penalty))"</v>
      </c>
      <c r="U8" s="9" t="str">
        <f>MID(B8,13,4)</f>
        <v>4012</v>
      </c>
      <c r="V8" s="31">
        <f>A8-utc_offset/24</f>
        <v>43100.723321759258</v>
      </c>
      <c r="W8" s="45" t="str">
        <f>DetSubdiv(C8)</f>
        <v>EC</v>
      </c>
      <c r="X8" s="228">
        <f>VALUE(LEFT(C8,LEN(C8)-3))</f>
        <v>153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Arrival","project_id":79,"tracker_id":40,"status_id":1,"priority_id":2,"assigned_to_id":338,"start_date":"2017-12-31","description":"","custom_fields":[{"id":1,"name":"Subdivision","value":"EC"},{"id":4,"name":"Milepost","value":"2.7053"},{"id":17,"name":"Train ID","value":"153-31"},{"id":16,"name":"Locomotive ID","value":"4012"},{"id":130,"name":"Impact","value":""},{"id":150,"name":"Time of Event (Mountain Time)","value":"10:21:35"},{"id":151,"name":"Denver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/c/Users/stu/AppData/Local/Temp/OnboardLogs/RTDC4012 --include="*4012*201712311*"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"%USERPROFILE%\AppData\Local\Temp\OnboardLogs"\RTDC4012\*4012*201712311* &gt;&gt; 2017-12-31-SliceDisagreementCheck.txt</v>
      </c>
      <c r="AE8" s="144" t="str">
        <f t="shared" ref="AE8:AE29" si="1">"start /low /b "&amp;dls3logs&amp;" --loco "&amp;U8&amp;" --day "&amp;TEXT(V8,"YYYY-MM-DD")</f>
        <v>start /low /b %USERPROFILE%\Documents\GitHub\eaglep3\Utilities\DownloadLogsFromS3.py --loco 4012 --day 2017-12-31</v>
      </c>
    </row>
    <row r="9" spans="1:32" s="1" customFormat="1" x14ac:dyDescent="0.3">
      <c r="A9" s="31">
        <v>43100.559594907405</v>
      </c>
      <c r="B9" s="30" t="s">
        <v>499</v>
      </c>
      <c r="C9" s="30" t="s">
        <v>680</v>
      </c>
      <c r="D9" s="30" t="s">
        <v>49</v>
      </c>
      <c r="E9" s="30" t="s">
        <v>183</v>
      </c>
      <c r="F9" s="42">
        <v>0</v>
      </c>
      <c r="G9" s="42">
        <v>204</v>
      </c>
      <c r="H9" s="42">
        <v>33271</v>
      </c>
      <c r="I9" s="42">
        <v>33139</v>
      </c>
      <c r="J9" s="30" t="s">
        <v>184</v>
      </c>
      <c r="K9" s="42">
        <v>33257</v>
      </c>
      <c r="L9" s="131" t="s">
        <v>51</v>
      </c>
      <c r="M9" s="132">
        <f>CONVERT((I9-K9)/10000,"mi","ft")*IF(L9="Increasing Mileposts (1)",-1,1)</f>
        <v>-62.304000000000002</v>
      </c>
      <c r="N9" s="133" t="str">
        <f>VLOOKUP(C9,'Trips&amp;Operators'!$C$1:$G$99911,5,FALSE)</f>
        <v>BROWN JACOB</v>
      </c>
      <c r="O9" s="175" t="s">
        <v>178</v>
      </c>
      <c r="P9" s="239" t="s">
        <v>507</v>
      </c>
      <c r="Q9" s="30"/>
      <c r="R9" s="81" t="str">
        <f>VLOOKUP(C9,'Train Runs'!$A$13:$AE$10202,31,0)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S9" s="84" t="str">
        <f>VLOOKUP(C9,'Train Runs'!$A$13:$AE$10202,22,0)</f>
        <v>https://d0f6bd738d7f1b3e5a7ca70fe4ff75f0.us-east-1.aws.found.io/app/kibana#/discover/Steve-Slow-Train-Analysis-(2080s-and-2083s)?_g=(refreshInterval:(display:Off,pause:!f,section:0,value:0),time:(from:'2017-12-31T11:53:52-0700',mode:absolute,to:'2017-12-31T14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/stypes="*4043*201712312*" /stext=" 20:.+((SYSTEM_STATE.+slice.+state.+changed )|(ment ac)|(multiple cpu faults)|(system.+state.+changed )|(\[timeout)|(PRM\|1\|D)|(kpr)|(kdp)|(train st.+moving)|(\|lc)|(penalty))"</v>
      </c>
      <c r="U9" s="9" t="str">
        <f>MID(B9,13,4)</f>
        <v>4043</v>
      </c>
      <c r="V9" s="31">
        <f>A9-utc_offset/24</f>
        <v>43100.851261574069</v>
      </c>
      <c r="W9" s="45" t="str">
        <f>DetSubdiv(C9)</f>
        <v>EC</v>
      </c>
      <c r="X9" s="228">
        <f>VALUE(LEFT(C9,LEN(C9)-3))</f>
        <v>168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Arrival","project_id":79,"tracker_id":40,"status_id":1,"priority_id":2,"assigned_to_id":338,"start_date":"2017-12-31","description":"","custom_fields":[{"id":1,"name":"Subdivision","value":"EC"},{"id":4,"name":"Milepost","value":"3.3257"},{"id":17,"name":"Train ID","value":"168-31"},{"id":16,"name":"Locomotive ID","value":"4043"},{"id":130,"name":"Impact","value":""},{"id":150,"name":"Time of Event (Mountain Time)","value":"13:25:49"},{"id":151,"name":"Denver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/c/Users/stu/AppData/Local/Temp/OnboardLogs/RTDC4043 --include="*4043*201712312*"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"%USERPROFILE%\AppData\Local\Temp\OnboardLogs"\RTDC4043\*4043*201712312* &gt;&gt; 2017-12-31-SliceDisagreementCheck.txt</v>
      </c>
      <c r="AE9" s="144" t="str">
        <f t="shared" si="1"/>
        <v>start /low /b %USERPROFILE%\Documents\GitHub\eaglep3\Utilities\DownloadLogsFromS3.py --loco 4043 --day 2017-12-31</v>
      </c>
    </row>
    <row r="10" spans="1:32" x14ac:dyDescent="0.3">
      <c r="A10" s="31">
        <v>43100.143240740741</v>
      </c>
      <c r="B10" s="30" t="s">
        <v>370</v>
      </c>
      <c r="C10" s="30" t="s">
        <v>668</v>
      </c>
      <c r="D10" s="30" t="s">
        <v>49</v>
      </c>
      <c r="E10" s="30" t="s">
        <v>183</v>
      </c>
      <c r="F10" s="42">
        <v>370</v>
      </c>
      <c r="G10" s="42">
        <v>436</v>
      </c>
      <c r="H10" s="42">
        <v>41756</v>
      </c>
      <c r="I10" s="42">
        <v>43137</v>
      </c>
      <c r="J10" s="30" t="s">
        <v>184</v>
      </c>
      <c r="K10" s="42">
        <v>42779</v>
      </c>
      <c r="L10" s="131" t="s">
        <v>50</v>
      </c>
      <c r="M10" s="132">
        <f>CONVERT((I10-K10)/10000,"mi","ft")*IF(L10="Increasing Mileposts (1)",-1,1)</f>
        <v>-189.024</v>
      </c>
      <c r="N10" s="133" t="str">
        <f>VLOOKUP(C10,'Trips&amp;Operators'!$C$1:$G$99911,5,FALSE)</f>
        <v>THOMPSON LESTER</v>
      </c>
      <c r="O10" s="175" t="s">
        <v>178</v>
      </c>
      <c r="P10" s="239" t="s">
        <v>507</v>
      </c>
      <c r="Q10" s="30"/>
      <c r="R10" s="81" t="str">
        <f>VLOOKUP(C10,'Train Runs'!$A$13:$AE$10202,31,0)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S10" s="84" t="str">
        <f>VLOOKUP(C10,'Train Runs'!$A$13:$AE$10202,22,0)</f>
        <v>https://d0f6bd738d7f1b3e5a7ca70fe4ff75f0.us-east-1.aws.found.io/app/kibana#/discover/Steve-Slow-Train-Analysis-(2080s-and-2083s)?_g=(refreshInterval:(display:Off,pause:!f,section:0,value:0),time:(from:'2017-12-31T02:13:10-0700',mode:absolute,to:'2017-12-31T04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/stypes="*4012*201712311*" /stext=" 10:.+((SYSTEM_STATE.+slice.+state.+changed )|(ment ac)|(multiple cpu faults)|(system.+state.+changed )|(\[timeout)|(PRM\|1\|D)|(kpr)|(kdp)|(train st.+moving)|(\|lc)|(penalty))"</v>
      </c>
      <c r="U10" s="9" t="str">
        <f>MID(B10,13,4)</f>
        <v>4012</v>
      </c>
      <c r="V10" s="31">
        <f>A10-utc_offset/24</f>
        <v>43100.434907407405</v>
      </c>
      <c r="W10" s="45" t="str">
        <f>DetSubdiv(C10)</f>
        <v>EC</v>
      </c>
      <c r="X10" s="228">
        <f>VALUE(LEFT(C10,LEN(C10)-3))</f>
        <v>101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Arrival","project_id":79,"tracker_id":40,"status_id":1,"priority_id":2,"assigned_to_id":338,"start_date":"2017-12-31","description":"","custom_fields":[{"id":1,"name":"Subdivision","value":"EC"},{"id":4,"name":"Milepost","value":"4.2779"},{"id":17,"name":"Train ID","value":"101-31"},{"id":16,"name":"Locomotive ID","value":"4012"},{"id":130,"name":"Impact","value":""},{"id":150,"name":"Time of Event (Mountain Time)","value":"03:26:16"},{"id":151,"name":"Denver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/c/Users/stu/AppData/Local/Temp/OnboardLogs/RTDC4012 --include="*4012*201712311*"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"%USERPROFILE%\AppData\Local\Temp\OnboardLogs"\RTDC4012\*4012*201712311* &gt;&gt; 2017-12-31-SliceDisagreementCheck.txt</v>
      </c>
      <c r="AE10" s="144" t="str">
        <f t="shared" si="1"/>
        <v>start /low /b %USERPROFILE%\Documents\GitHub\eaglep3\Utilities\DownloadLogsFromS3.py --loco 4012 --day 2017-12-31</v>
      </c>
      <c r="AF10" s="1"/>
    </row>
    <row r="11" spans="1:32" x14ac:dyDescent="0.3">
      <c r="A11" s="31">
        <v>43100.56726851852</v>
      </c>
      <c r="B11" s="30" t="s">
        <v>681</v>
      </c>
      <c r="C11" s="30" t="s">
        <v>682</v>
      </c>
      <c r="D11" s="30" t="s">
        <v>49</v>
      </c>
      <c r="E11" s="30" t="s">
        <v>183</v>
      </c>
      <c r="F11" s="42">
        <v>390</v>
      </c>
      <c r="G11" s="42">
        <v>440</v>
      </c>
      <c r="H11" s="42">
        <v>58963</v>
      </c>
      <c r="I11" s="42">
        <v>57849</v>
      </c>
      <c r="J11" s="30" t="s">
        <v>184</v>
      </c>
      <c r="K11" s="42">
        <v>58301</v>
      </c>
      <c r="L11" s="131" t="s">
        <v>51</v>
      </c>
      <c r="M11" s="132">
        <f>CONVERT((I11-K11)/10000,"mi","ft")*IF(L11="Increasing Mileposts (1)",-1,1)</f>
        <v>-238.65600000000001</v>
      </c>
      <c r="N11" s="133" t="str">
        <f>VLOOKUP(C11,'Trips&amp;Operators'!$C$1:$G$99911,5,FALSE)</f>
        <v>GONZALEZ ARMANDO</v>
      </c>
      <c r="O11" s="175" t="s">
        <v>178</v>
      </c>
      <c r="P11" s="239" t="s">
        <v>507</v>
      </c>
      <c r="Q11" s="30"/>
      <c r="R11" s="81" t="str">
        <f>VLOOKUP(C11,'Train Runs'!$A$13:$AE$10202,31,0)</f>
        <v>aws s3 cp s3://rtdc.mdm.uploadarchive.raw/RTDC4001/ "%USERPROFILE%\AppData\Local\Temp\OnboardLogs"\RTDC4001\2017-12-31 --exclude "*" --recursive --include "*20171231*" &amp; "%USERPROFILE%\Documents\GitHub\mrs-test-scripts\Headless Mode &amp; Sideloading\WalkAndUnGZ.bat" "%USERPROFILE%\AppData\Local\Temp\OnboardLogs"\RTDC4001\2017-12-31 &amp; aws s3 cp s3://rtdc.mdm.uploadarchive.raw/RTDC4001/ "%USERPROFILE%\AppData\Local\Temp\OnboardLogs"\RTDC4001\2018-01-01 --exclude "*" --recursive --include "*20180101*" &amp; "%USERPROFILE%\Documents\GitHub\mrs-test-scripts\Headless Mode &amp; Sideloading\WalkAndUnGZ.bat" "%USERPROFILE%\AppData\Local\Temp\OnboardLogs"\RTDC4001\2018-01-01</v>
      </c>
      <c r="S11" s="84" t="str">
        <f>VLOOKUP(C11,'Train Runs'!$A$13:$AE$10202,22,0)</f>
        <v>https://d0f6bd738d7f1b3e5a7ca70fe4ff75f0.us-east-1.aws.found.io/app/kibana#/discover/Steve-Slow-Train-Analysis-(2080s-and-2083s)?_g=(refreshInterval:(display:Off,pause:!f,section:0,value:0),time:(from:'2017-12-31T12:04:11-0700',mode:absolute,to:'2017-12-31T14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/stypes="*4001*201712312*" /stext=" 20:.+((SYSTEM_STATE.+slice.+state.+changed )|(ment ac)|(multiple cpu faults)|(system.+state.+changed )|(\[timeout)|(PRM\|1\|D)|(kpr)|(kdp)|(train st.+moving)|(\|lc)|(penalty))"</v>
      </c>
      <c r="U11" s="9" t="str">
        <f>MID(B11,13,4)</f>
        <v>4001</v>
      </c>
      <c r="V11" s="31">
        <f>A11-utc_offset/24</f>
        <v>43100.858935185184</v>
      </c>
      <c r="W11" s="45" t="str">
        <f>DetSubdiv(C11)</f>
        <v>EC</v>
      </c>
      <c r="X11" s="228">
        <f>VALUE(LEFT(C11,LEN(C11)-3))</f>
        <v>170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Arrival","project_id":79,"tracker_id":40,"status_id":1,"priority_id":2,"assigned_to_id":338,"start_date":"2017-12-31","description":"","custom_fields":[{"id":1,"name":"Subdivision","value":"EC"},{"id":4,"name":"Milepost","value":"5.8301"},{"id":17,"name":"Train ID","value":"170-31"},{"id":16,"name":"Locomotive ID","value":"4001"},{"id":130,"name":"Impact","value":""},{"id":150,"name":"Time of Event (Mountain Time)","value":"13:36:52"},{"id":151,"name":"Denver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/c/Users/stu/AppData/Local/Temp/OnboardLogs/RTDC4001 --include="*4001*201712312*"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"%USERPROFILE%\AppData\Local\Temp\OnboardLogs"\RTDC4001\*4001*201712312* &gt;&gt; 2017-12-31-SliceDisagreementCheck.txt</v>
      </c>
      <c r="AE11" s="144" t="str">
        <f t="shared" si="1"/>
        <v>start /low /b %USERPROFILE%\Documents\GitHub\eaglep3\Utilities\DownloadLogsFromS3.py --loco 4001 --day 2017-12-31</v>
      </c>
      <c r="AF11" s="1"/>
    </row>
    <row r="12" spans="1:32" x14ac:dyDescent="0.3">
      <c r="A12" s="31">
        <v>43100.904965277776</v>
      </c>
      <c r="B12" s="30" t="s">
        <v>360</v>
      </c>
      <c r="C12" s="30" t="s">
        <v>419</v>
      </c>
      <c r="D12" s="30" t="s">
        <v>49</v>
      </c>
      <c r="E12" s="30" t="s">
        <v>183</v>
      </c>
      <c r="F12" s="42">
        <v>260</v>
      </c>
      <c r="G12" s="42">
        <v>411</v>
      </c>
      <c r="H12" s="42">
        <v>62170</v>
      </c>
      <c r="I12" s="42">
        <v>63101</v>
      </c>
      <c r="J12" s="30" t="s">
        <v>184</v>
      </c>
      <c r="K12" s="42">
        <v>63069</v>
      </c>
      <c r="L12" s="131" t="s">
        <v>50</v>
      </c>
      <c r="M12" s="132">
        <f>CONVERT((I12-K12)/10000,"mi","ft")*IF(L12="Increasing Mileposts (1)",-1,1)</f>
        <v>-16.896000000000001</v>
      </c>
      <c r="N12" s="133" t="str">
        <f>VLOOKUP(C12,'Trips&amp;Operators'!$C$1:$G$99911,5,FALSE)</f>
        <v>LOZA FIDEL</v>
      </c>
      <c r="O12" s="175" t="s">
        <v>178</v>
      </c>
      <c r="P12" s="239" t="s">
        <v>507</v>
      </c>
      <c r="Q12" s="30"/>
      <c r="R12" s="81" t="str">
        <f>VLOOKUP(C12,'Train Runs'!$A$13:$AE$10202,31,0)</f>
        <v>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 &amp; aws s3 cp s3://rtdc.mdm.uploadarchive.raw/RTDC4018/ "%USERPROFILE%\AppData\Local\Temp\OnboardLogs"\RTDC4018\2018-01-01 --exclude "*" --recursive --include "*20180101*" &amp; "%USERPROFILE%\Documents\GitHub\mrs-test-scripts\Headless Mode &amp; Sideloading\WalkAndUnGZ.bat" "%USERPROFILE%\AppData\Local\Temp\OnboardLogs"\RTDC4018\2018-01-01</v>
      </c>
      <c r="S12" s="84" t="str">
        <f>VLOOKUP(C12,'Train Runs'!$A$13:$AE$10202,22,0)</f>
        <v>https://d0f6bd738d7f1b3e5a7ca70fe4ff75f0.us-east-1.aws.found.io/app/kibana#/discover/Steve-Slow-Train-Analysis-(2080s-and-2083s)?_g=(refreshInterval:(display:Off,pause:!f,section:0,value:0),time:(from:'2017-12-31T20:27:11-0700',mode:absolute,to:'2017-12-31T23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/stypes="*4018*201801010*" /stext=" 04:.+((SYSTEM_STATE.+slice.+state.+changed )|(ment ac)|(multiple cpu faults)|(system.+state.+changed )|(\[timeout)|(PRM\|1\|D)|(kpr)|(kdp)|(train st.+moving)|(\|lc)|(penalty))"</v>
      </c>
      <c r="U12" s="9" t="str">
        <f>MID(B12,13,4)</f>
        <v>4018</v>
      </c>
      <c r="V12" s="31">
        <f>A12-utc_offset/24</f>
        <v>43101.19663194444</v>
      </c>
      <c r="W12" s="45" t="str">
        <f>DetSubdiv(C12)</f>
        <v>EC</v>
      </c>
      <c r="X12" s="228">
        <f>VALUE(LEFT(C12,LEN(C12)-3))</f>
        <v>231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Arrival","project_id":79,"tracker_id":40,"status_id":1,"priority_id":2,"assigned_to_id":338,"start_date":"2017-12-31","description":"","custom_fields":[{"id":1,"name":"Subdivision","value":"EC"},{"id":4,"name":"Milepost","value":"6.3069"},{"id":17,"name":"Train ID","value":"231-31"},{"id":16,"name":"Locomotive ID","value":"4018"},{"id":130,"name":"Impact","value":""},{"id":150,"name":"Time of Event (Mountain Time)","value":"21:43:09"},{"id":151,"name":"Denver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/c/Users/stu/AppData/Local/Temp/OnboardLogs/RTDC4018 --include="*4018*201801010*"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"%USERPROFILE%\AppData\Local\Temp\OnboardLogs"\RTDC4018\*4018*201801010* &gt;&gt; 2017-12-31-SliceDisagreementCheck.txt</v>
      </c>
      <c r="AE12" s="144" t="str">
        <f t="shared" si="1"/>
        <v>start /low /b %USERPROFILE%\Documents\GitHub\eaglep3\Utilities\DownloadLogsFromS3.py --loco 4018 --day 2018-01-01</v>
      </c>
      <c r="AF12" s="1"/>
    </row>
    <row r="13" spans="1:32" x14ac:dyDescent="0.3">
      <c r="A13" s="31">
        <v>43100.259768518517</v>
      </c>
      <c r="B13" s="30" t="s">
        <v>371</v>
      </c>
      <c r="C13" s="30" t="s">
        <v>671</v>
      </c>
      <c r="D13" s="30" t="s">
        <v>95</v>
      </c>
      <c r="E13" s="30" t="s">
        <v>183</v>
      </c>
      <c r="F13" s="42">
        <v>370</v>
      </c>
      <c r="G13" s="42">
        <v>426</v>
      </c>
      <c r="H13" s="42">
        <v>109053</v>
      </c>
      <c r="I13" s="42">
        <v>107781</v>
      </c>
      <c r="J13" s="30" t="s">
        <v>184</v>
      </c>
      <c r="K13" s="42">
        <v>109135</v>
      </c>
      <c r="L13" s="131" t="s">
        <v>51</v>
      </c>
      <c r="M13" s="132">
        <f>CONVERT((I13-K13)/10000,"mi","ft")*IF(L13="Increasing Mileposts (1)",-1,1)</f>
        <v>-714.91200000000003</v>
      </c>
      <c r="N13" s="133" t="str">
        <f>VLOOKUP(C13,'Trips&amp;Operators'!$C$1:$G$99911,5,FALSE)</f>
        <v>THOMPSON LESTER</v>
      </c>
      <c r="O13" s="175" t="s">
        <v>178</v>
      </c>
      <c r="P13" s="239" t="s">
        <v>507</v>
      </c>
      <c r="Q13" s="30"/>
      <c r="R13" s="81" t="str">
        <f>VLOOKUP(C13,'Train Runs'!$A$13:$AE$10202,31,0)</f>
        <v>aws s3 cp s3://rtdc.mdm.uploadarchive.raw/RTDC4011/ "%USERPROFILE%\AppData\Local\Temp\OnboardLogs"\RTDC4011\2017-12-31 --exclude "*" --recursive --include "*20171231*" &amp; "%USERPROFILE%\Documents\GitHub\mrs-test-scripts\Headless Mode &amp; Sideloading\WalkAndUnGZ.bat" "%USERPROFILE%\AppData\Local\Temp\OnboardLogs"\RTDC4011\2017-12-31 &amp; 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</v>
      </c>
      <c r="S13" s="84" t="str">
        <f>VLOOKUP(C13,'Train Runs'!$A$13:$AE$10202,22,0)</f>
        <v>https://d0f6bd738d7f1b3e5a7ca70fe4ff75f0.us-east-1.aws.found.io/app/kibana#/discover/Steve-Slow-Train-Analysis-(2080s-and-2083s)?_g=(refreshInterval:(display:Off,pause:!f,section:0,value:0),time:(from:'2017-12-31T04:54:54-0700',mode:absolute,to:'2017-12-31T07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/stypes="*4011*201712311*" /stext=" 13:.+((SYSTEM_STATE.+slice.+state.+changed )|(ment ac)|(multiple cpu faults)|(system.+state.+changed )|(\[timeout)|(PRM\|1\|D)|(kpr)|(kdp)|(train st.+moving)|(\|lc)|(penalty))"</v>
      </c>
      <c r="U13" s="9" t="str">
        <f>MID(B13,13,4)</f>
        <v>4011</v>
      </c>
      <c r="V13" s="31">
        <f>A13-utc_offset/24</f>
        <v>43100.551435185182</v>
      </c>
      <c r="W13" s="45" t="str">
        <f>DetSubdiv(C13)</f>
        <v>EC</v>
      </c>
      <c r="X13" s="228">
        <f>VALUE(LEFT(C13,LEN(C13)-3))</f>
        <v>112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Arrival","project_id":79,"tracker_id":40,"status_id":1,"priority_id":2,"assigned_to_id":338,"start_date":"2017-12-31","description":"","custom_fields":[{"id":1,"name":"Subdivision","value":"EC"},{"id":4,"name":"Milepost","value":"10.9135"},{"id":17,"name":"Train ID","value":"112-31"},{"id":16,"name":"Locomotive ID","value":"4011"},{"id":130,"name":"Impact","value":""},{"id":150,"name":"Time of Event (Mountain Time)","value":"06:14:04"},{"id":151,"name":"Denver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/c/Users/stu/AppData/Local/Temp/OnboardLogs/RTDC4011 --include="*4011*201712311*"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"%USERPROFILE%\AppData\Local\Temp\OnboardLogs"\RTDC4011\*4011*201712311* &gt;&gt; 2017-12-31-SliceDisagreementCheck.txt</v>
      </c>
      <c r="AE13" s="144" t="str">
        <f t="shared" si="1"/>
        <v>start /low /b %USERPROFILE%\Documents\GitHub\eaglep3\Utilities\DownloadLogsFromS3.py --loco 4011 --day 2017-12-31</v>
      </c>
      <c r="AF13" s="1"/>
    </row>
    <row r="14" spans="1:32" x14ac:dyDescent="0.3">
      <c r="A14" s="31">
        <v>43100.30641203704</v>
      </c>
      <c r="B14" s="30" t="s">
        <v>370</v>
      </c>
      <c r="C14" s="30" t="s">
        <v>674</v>
      </c>
      <c r="D14" s="30" t="s">
        <v>49</v>
      </c>
      <c r="E14" s="30" t="s">
        <v>190</v>
      </c>
      <c r="F14" s="42">
        <v>550</v>
      </c>
      <c r="G14" s="42">
        <v>802</v>
      </c>
      <c r="H14" s="42">
        <v>217973</v>
      </c>
      <c r="I14" s="42">
        <v>221593</v>
      </c>
      <c r="J14" s="30" t="s">
        <v>191</v>
      </c>
      <c r="K14" s="42">
        <v>222090</v>
      </c>
      <c r="L14" s="131" t="s">
        <v>50</v>
      </c>
      <c r="M14" s="132">
        <f>CONVERT((I14-K14)/10000,"mi","ft")*IF(L14="Increasing Mileposts (1)",-1,1)</f>
        <v>262.416</v>
      </c>
      <c r="N14" s="133" t="str">
        <f>VLOOKUP(C14,'Trips&amp;Operators'!$C$1:$G$99911,5,FALSE)</f>
        <v>THOMPSON LESTER</v>
      </c>
      <c r="O14" s="175" t="s">
        <v>178</v>
      </c>
      <c r="P14" s="239"/>
      <c r="Q14" s="30"/>
      <c r="R14" s="81" t="str">
        <f>VLOOKUP(C14,'Train Runs'!$A$13:$AE$10202,31,0)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S14" s="84" t="str">
        <f>VLOOKUP(C14,'Train Runs'!$A$13:$AE$10202,22,0)</f>
        <v>https://d0f6bd738d7f1b3e5a7ca70fe4ff75f0.us-east-1.aws.found.io/app/kibana#/discover/Steve-Slow-Train-Analysis-(2080s-and-2083s)?_g=(refreshInterval:(display:Off,pause:!f,section:0,value:0),time:(from:'2017-12-31T05:42:27-0700',mode:absolute,to:'2017-12-31T08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/stypes="*4012*201712311*" /stext=" 14:.+((SYSTEM_STATE.+slice.+state.+changed )|(ment ac)|(multiple cpu faults)|(system.+state.+changed )|(\[timeout)|(PRM\|1\|D)|(kpr)|(kdp)|(train st.+moving)|(\|lc)|(penalty))"</v>
      </c>
      <c r="U14" s="9" t="str">
        <f>MID(B14,13,4)</f>
        <v>4012</v>
      </c>
      <c r="V14" s="31">
        <f>A14-utc_offset/24</f>
        <v>43100.598078703704</v>
      </c>
      <c r="W14" s="45" t="str">
        <f>DetSubdiv(C14)</f>
        <v>EC</v>
      </c>
      <c r="X14" s="228">
        <f>VALUE(LEFT(C14,LEN(C14)-3))</f>
        <v>125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{"issue":{"subject":"","project_id":79,"tracker_id":40,"status_id":1,"priority_id":2,"assigned_to_id":338,"start_date":"2017-12-31","description":"","custom_fields":[{"id":1,"name":"Subdivision","value":"EC"},{"id":4,"name":"Milepost","value":"22.209"},{"id":17,"name":"Train ID","value":"125-31"},{"id":16,"name":"Locomotive ID","value":"4012"},{"id":130,"name":"Impact","value":""},{"id":150,"name":"Time of Event (Mountain Time)","value":"07:21:14"},{"id":151,"name":"Denver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/c/Users/stu/AppData/Local/Temp/OnboardLogs/RTDC4012 --include="*4012*201712311*"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"%USERPROFILE%\AppData\Local\Temp\OnboardLogs"\RTDC4012\*4012*201712311* &gt;&gt; 2017-12-31-SliceDisagreementCheck.txt</v>
      </c>
      <c r="AE14" s="144" t="str">
        <f t="shared" si="1"/>
        <v>start /low /b %USERPROFILE%\Documents\GitHub\eaglep3\Utilities\DownloadLogsFromS3.py --loco 4012 --day 2017-12-31</v>
      </c>
      <c r="AF14" s="1"/>
    </row>
    <row r="15" spans="1:32" x14ac:dyDescent="0.3">
      <c r="A15" s="31">
        <v>43100.794016203705</v>
      </c>
      <c r="B15" s="30" t="s">
        <v>383</v>
      </c>
      <c r="C15" s="30" t="s">
        <v>686</v>
      </c>
      <c r="D15" s="30" t="s">
        <v>49</v>
      </c>
      <c r="E15" s="30" t="s">
        <v>190</v>
      </c>
      <c r="F15" s="42">
        <v>550</v>
      </c>
      <c r="G15" s="42">
        <v>788</v>
      </c>
      <c r="H15" s="42">
        <v>218170</v>
      </c>
      <c r="I15" s="42">
        <v>221838</v>
      </c>
      <c r="J15" s="30" t="s">
        <v>191</v>
      </c>
      <c r="K15" s="42">
        <v>222091</v>
      </c>
      <c r="L15" s="131" t="s">
        <v>50</v>
      </c>
      <c r="M15" s="132">
        <f>CONVERT((I15-K15)/10000,"mi","ft")*IF(L15="Increasing Mileposts (1)",-1,1)</f>
        <v>133.584</v>
      </c>
      <c r="N15" s="133" t="str">
        <f>VLOOKUP(C15,'Trips&amp;Operators'!$C$1:$G$99911,5,FALSE)</f>
        <v>RESPASS AARON</v>
      </c>
      <c r="O15" s="175" t="s">
        <v>178</v>
      </c>
      <c r="P15" s="239"/>
      <c r="Q15" s="30"/>
      <c r="R15" s="81" t="str">
        <f>VLOOKUP(C15,'Train Runs'!$A$13:$AE$10202,31,0)</f>
        <v>aws s3 cp s3://rtdc.mdm.uploadarchive.raw/RTDC4062/ "%USERPROFILE%\AppData\Local\Temp\OnboardLogs"\RTDC4062\2017-12-31 --exclude "*" --recursive --include "*20171231*" &amp; "%USERPROFILE%\Documents\GitHub\mrs-test-scripts\Headless Mode &amp; Sideloading\WalkAndUnGZ.bat" "%USERPROFILE%\AppData\Local\Temp\OnboardLogs"\RTDC4062\2017-12-31 &amp; aws s3 cp s3://rtdc.mdm.uploadarchive.raw/RTDC4062/ "%USERPROFILE%\AppData\Local\Temp\OnboardLogs"\RTDC4062\2018-01-01 --exclude "*" --recursive --include "*20180101*" &amp; "%USERPROFILE%\Documents\GitHub\mrs-test-scripts\Headless Mode &amp; Sideloading\WalkAndUnGZ.bat" "%USERPROFILE%\AppData\Local\Temp\OnboardLogs"\RTDC4062\2018-01-01</v>
      </c>
      <c r="S15" s="84" t="str">
        <f>VLOOKUP(C15,'Train Runs'!$A$13:$AE$10202,22,0)</f>
        <v>https://d0f6bd738d7f1b3e5a7ca70fe4ff75f0.us-east-1.aws.found.io/app/kibana#/discover/Steve-Slow-Train-Analysis-(2080s-and-2083s)?_g=(refreshInterval:(display:Off,pause:!f,section:0,value:0),time:(from:'2017-12-31T17:24:08-0700',mode:absolute,to:'2017-12-31T20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/stypes="*4062*201801010*" /stext=" 02:.+((SYSTEM_STATE.+slice.+state.+changed )|(ment ac)|(multiple cpu faults)|(system.+state.+changed )|(\[timeout)|(PRM\|1\|D)|(kpr)|(kdp)|(train st.+moving)|(\|lc)|(penalty))"</v>
      </c>
      <c r="U15" s="9" t="str">
        <f>MID(B15,13,4)</f>
        <v>4062</v>
      </c>
      <c r="V15" s="31">
        <f>A15-utc_offset/24</f>
        <v>43101.085682870369</v>
      </c>
      <c r="W15" s="45" t="str">
        <f>DetSubdiv(C15)</f>
        <v>EC</v>
      </c>
      <c r="X15" s="228">
        <f>VALUE(LEFT(C15,LEN(C15)-3))</f>
        <v>219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{"issue":{"subject":"","project_id":79,"tracker_id":40,"status_id":1,"priority_id":2,"assigned_to_id":338,"start_date":"2017-12-31","description":"","custom_fields":[{"id":1,"name":"Subdivision","value":"EC"},{"id":4,"name":"Milepost","value":"22.2091"},{"id":17,"name":"Train ID","value":"219-31"},{"id":16,"name":"Locomotive ID","value":"4062"},{"id":130,"name":"Impact","value":""},{"id":150,"name":"Time of Event (Mountain Time)","value":"19:03:23"},{"id":151,"name":"Denver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/c/Users/stu/AppData/Local/Temp/OnboardLogs/RTDC4062 --include="*4062*201801010*"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"%USERPROFILE%\AppData\Local\Temp\OnboardLogs"\RTDC4062\*4062*201801010* &gt;&gt; 2017-12-31-SliceDisagreementCheck.txt</v>
      </c>
      <c r="AE15" s="144" t="str">
        <f t="shared" si="1"/>
        <v>start /low /b %USERPROFILE%\Documents\GitHub\eaglep3\Utilities\DownloadLogsFromS3.py --loco 4062 --day 2018-01-01</v>
      </c>
      <c r="AF15" s="1"/>
    </row>
    <row r="16" spans="1:32" x14ac:dyDescent="0.3">
      <c r="A16" s="31">
        <v>43100.217280092591</v>
      </c>
      <c r="B16" s="30" t="s">
        <v>370</v>
      </c>
      <c r="C16" s="30" t="s">
        <v>669</v>
      </c>
      <c r="D16" s="30" t="s">
        <v>95</v>
      </c>
      <c r="E16" s="30" t="s">
        <v>354</v>
      </c>
      <c r="F16" s="42">
        <v>200</v>
      </c>
      <c r="G16" s="42">
        <v>259</v>
      </c>
      <c r="H16" s="42">
        <v>38135</v>
      </c>
      <c r="I16" s="42">
        <v>38862</v>
      </c>
      <c r="J16" s="30" t="s">
        <v>355</v>
      </c>
      <c r="K16" s="42">
        <v>36645</v>
      </c>
      <c r="L16" s="131" t="s">
        <v>50</v>
      </c>
      <c r="M16" s="132">
        <f>CONVERT((I16-K16)/10000,"mi","ft")*IF(L16="Increasing Mileposts (1)",-1,1)</f>
        <v>-1170.576</v>
      </c>
      <c r="N16" s="133" t="str">
        <f>VLOOKUP(C16,'Trips&amp;Operators'!$C$1:$G$99911,5,FALSE)</f>
        <v>THOMPSON LESTER</v>
      </c>
      <c r="O16" s="175" t="s">
        <v>178</v>
      </c>
      <c r="P16" s="239" t="s">
        <v>1051</v>
      </c>
      <c r="Q16" s="30"/>
      <c r="R16" s="81" t="str">
        <f>VLOOKUP(C16,'Train Runs'!$A$13:$AE$10202,31,0)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S16" s="84" t="str">
        <f>VLOOKUP(C16,'Train Runs'!$A$13:$AE$10202,22,0)</f>
        <v>https://d0f6bd738d7f1b3e5a7ca70fe4ff75f0.us-east-1.aws.found.io/app/kibana#/discover/Steve-Slow-Train-Analysis-(2080s-and-2083s)?_g=(refreshInterval:(display:Off,pause:!f,section:0,value:0),time:(from:'2017-12-31T03:57:43-0700',mode:absolute,to:'2017-12-31T06:39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/stypes="*4012*201712311*" /stext=" 12:.+((SYSTEM_STATE.+slice.+state.+changed )|(ment ac)|(multiple cpu faults)|(system.+state.+changed )|(\[timeout)|(PRM\|1\|D)|(kpr)|(kdp)|(train st.+moving)|(\|lc)|(penalty))"</v>
      </c>
      <c r="U16" s="9" t="str">
        <f>MID(B16,13,4)</f>
        <v>4012</v>
      </c>
      <c r="V16" s="31">
        <f>A16-utc_offset/24</f>
        <v>43100.508946759255</v>
      </c>
      <c r="W16" s="45" t="str">
        <f>DetSubdiv(C16)</f>
        <v>EC</v>
      </c>
      <c r="X16" s="228">
        <f>VALUE(LEFT(C16,LEN(C16)-3))</f>
        <v>111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{"issue":{"subject":"Restricted aspect","project_id":79,"tracker_id":40,"status_id":1,"priority_id":2,"assigned_to_id":338,"start_date":"2017-12-31","description":"","custom_fields":[{"id":1,"name":"Subdivision","value":"EC"},{"id":4,"name":"Milepost","value":"3.6645"},{"id":17,"name":"Train ID","value":"111-31"},{"id":16,"name":"Locomotive ID","value":"4012"},{"id":130,"name":"Impact","value":""},{"id":150,"name":"Time of Event (Mountain Time)","value":"05:12:53"},{"id":151,"name":"Denver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/c/Users/stu/AppData/Local/Temp/OnboardLogs/RTDC4012 --include="*4012*201712311*"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"%USERPROFILE%\AppData\Local\Temp\OnboardLogs"\RTDC4012\*4012*201712311* &gt;&gt; 2017-12-31-SliceDisagreementCheck.txt</v>
      </c>
      <c r="AE16" s="144" t="str">
        <f t="shared" si="1"/>
        <v>start /low /b %USERPROFILE%\Documents\GitHub\eaglep3\Utilities\DownloadLogsFromS3.py --loco 4012 --day 2017-12-31</v>
      </c>
      <c r="AF16" s="1"/>
    </row>
    <row r="17" spans="1:32" x14ac:dyDescent="0.3">
      <c r="A17" s="31">
        <v>43100.449652777781</v>
      </c>
      <c r="B17" s="30" t="s">
        <v>606</v>
      </c>
      <c r="C17" s="30" t="s">
        <v>679</v>
      </c>
      <c r="D17" s="30" t="s">
        <v>49</v>
      </c>
      <c r="E17" s="30" t="s">
        <v>354</v>
      </c>
      <c r="F17" s="42">
        <v>0</v>
      </c>
      <c r="G17" s="42">
        <v>576</v>
      </c>
      <c r="H17" s="42">
        <v>82883</v>
      </c>
      <c r="I17" s="42">
        <v>80197</v>
      </c>
      <c r="J17" s="30" t="s">
        <v>355</v>
      </c>
      <c r="K17" s="42">
        <v>81751</v>
      </c>
      <c r="L17" s="131" t="s">
        <v>51</v>
      </c>
      <c r="M17" s="132">
        <f>CONVERT((I17-K17)/10000,"mi","ft")*IF(L17="Increasing Mileposts (1)",-1,1)</f>
        <v>-820.51199999999994</v>
      </c>
      <c r="N17" s="133" t="str">
        <f>VLOOKUP(C17,'Trips&amp;Operators'!$C$1:$G$99911,5,FALSE)</f>
        <v>LOPES KIMBERLY</v>
      </c>
      <c r="O17" s="175" t="s">
        <v>348</v>
      </c>
      <c r="P17" s="239" t="s">
        <v>465</v>
      </c>
      <c r="Q17" s="30"/>
      <c r="R17" s="81" t="str">
        <f>VLOOKUP(C17,'Train Runs'!$A$13:$AE$10202,31,0)</f>
        <v>aws s3 cp s3://rtdc.mdm.uploadarchive.raw/RTDC4033/ "%USERPROFILE%\AppData\Local\Temp\OnboardLogs"\RTDC4033\2017-12-31 --exclude "*" --recursive --include "*20171231*" &amp; "%USERPROFILE%\Documents\GitHub\mrs-test-scripts\Headless Mode &amp; Sideloading\WalkAndUnGZ.bat" "%USERPROFILE%\AppData\Local\Temp\OnboardLogs"\RTDC4033\2017-12-31 &amp; aws s3 cp s3://rtdc.mdm.uploadarchive.raw/RTDC4033/ "%USERPROFILE%\AppData\Local\Temp\OnboardLogs"\RTDC4033\2018-01-01 --exclude "*" --recursive --include "*20180101*" &amp; "%USERPROFILE%\Documents\GitHub\mrs-test-scripts\Headless Mode &amp; Sideloading\WalkAndUnGZ.bat" "%USERPROFILE%\AppData\Local\Temp\OnboardLogs"\RTDC4033\2018-01-01</v>
      </c>
      <c r="S17" s="84" t="str">
        <f>VLOOKUP(C17,'Train Runs'!$A$13:$AE$10202,22,0)</f>
        <v>https://d0f6bd738d7f1b3e5a7ca70fe4ff75f0.us-east-1.aws.found.io/app/kibana#/discover/Steve-Slow-Train-Analysis-(2080s-and-2083s)?_g=(refreshInterval:(display:Off,pause:!f,section:0,value:0),time:(from:'2017-12-31T09:12:36-0700',mode:absolute,to:'2017-12-31T12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/stypes="*4033*201712311*" /stext=" 17:.+((SYSTEM_STATE.+slice.+state.+changed )|(ment ac)|(multiple cpu faults)|(system.+state.+changed )|(\[timeout)|(PRM\|1\|D)|(kpr)|(kdp)|(train st.+moving)|(\|lc)|(penalty))"</v>
      </c>
      <c r="U17" s="9" t="str">
        <f>MID(B17,13,4)</f>
        <v>4033</v>
      </c>
      <c r="V17" s="31">
        <f>A17-utc_offset/24</f>
        <v>43100.741319444445</v>
      </c>
      <c r="W17" s="45" t="str">
        <f>DetSubdiv(C17)</f>
        <v>EC</v>
      </c>
      <c r="X17" s="228">
        <f>VALUE(LEFT(C17,LEN(C17)-3))</f>
        <v>148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drop","project_id":79,"tracker_id":40,"status_id":1,"priority_id":2,"assigned_to_id":338,"start_date":"2017-12-31","description":"","custom_fields":[{"id":1,"name":"Subdivision","value":"EC"},{"id":4,"name":"Milepost","value":"8.1751"},{"id":17,"name":"Train ID","value":"148-31"},{"id":16,"name":"Locomotive ID","value":"4033"},{"id":130,"name":"Impact","value":""},{"id":150,"name":"Time of Event (Mountain Time)","value":"10:47:30"},{"id":151,"name":"Denver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/c/Users/stu/AppData/Local/Temp/OnboardLogs/RTDC4033 --include="*4033*201712311*"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"%USERPROFILE%\AppData\Local\Temp\OnboardLogs"\RTDC4033\*4033*201712311* &gt;&gt; 2017-12-31-SliceDisagreementCheck.txt</v>
      </c>
      <c r="AE17" s="144" t="str">
        <f t="shared" si="1"/>
        <v>start /low /b %USERPROFILE%\Documents\GitHub\eaglep3\Utilities\DownloadLogsFromS3.py --loco 4033 --day 2017-12-31</v>
      </c>
      <c r="AF17" s="1"/>
    </row>
    <row r="18" spans="1:32" x14ac:dyDescent="0.3">
      <c r="A18" s="31">
        <v>43100.891967592594</v>
      </c>
      <c r="B18" s="30" t="s">
        <v>609</v>
      </c>
      <c r="C18" s="30" t="s">
        <v>416</v>
      </c>
      <c r="D18" s="30" t="s">
        <v>49</v>
      </c>
      <c r="E18" s="30" t="s">
        <v>354</v>
      </c>
      <c r="F18" s="42">
        <v>0</v>
      </c>
      <c r="G18" s="42">
        <v>808</v>
      </c>
      <c r="H18" s="42">
        <v>140793</v>
      </c>
      <c r="I18" s="42">
        <v>145366</v>
      </c>
      <c r="J18" s="30" t="s">
        <v>355</v>
      </c>
      <c r="K18" s="42">
        <v>144300</v>
      </c>
      <c r="L18" s="131" t="s">
        <v>50</v>
      </c>
      <c r="M18" s="132">
        <f>CONVERT((I18-K18)/10000,"mi","ft")*IF(L18="Increasing Mileposts (1)",-1,1)</f>
        <v>-562.84799999999996</v>
      </c>
      <c r="N18" s="133" t="str">
        <f>VLOOKUP(C18,'Trips&amp;Operators'!$C$1:$G$99911,5,FALSE)</f>
        <v>STAMBAUGH JAMES</v>
      </c>
      <c r="O18" s="175" t="s">
        <v>348</v>
      </c>
      <c r="P18" s="239" t="s">
        <v>465</v>
      </c>
      <c r="Q18" s="30"/>
      <c r="R18" s="81" t="str">
        <f>VLOOKUP(C18,'Train Runs'!$A$13:$AE$10202,31,0)</f>
        <v>aws s3 cp s3://rtdc.mdm.uploadarchive.raw/RTDC4004/ "%USERPROFILE%\AppData\Local\Temp\OnboardLogs"\RTDC4004\2017-12-31 --exclude "*" --recursive --include "*20171231*" &amp; "%USERPROFILE%\Documents\GitHub\mrs-test-scripts\Headless Mode &amp; Sideloading\WalkAndUnGZ.bat" "%USERPROFILE%\AppData\Local\Temp\OnboardLogs"\RTDC4004\2017-12-31 &amp; aws s3 cp s3://rtdc.mdm.uploadarchive.raw/RTDC4004/ "%USERPROFILE%\AppData\Local\Temp\OnboardLogs"\RTDC4004\2018-01-01 --exclude "*" --recursive --include "*20180101*" &amp; "%USERPROFILE%\Documents\GitHub\mrs-test-scripts\Headless Mode &amp; Sideloading\WalkAndUnGZ.bat" "%USERPROFILE%\AppData\Local\Temp\OnboardLogs"\RTDC4004\2018-01-01</v>
      </c>
      <c r="S18" s="84" t="str">
        <f>VLOOKUP(C18,'Train Runs'!$A$13:$AE$10202,22,0)</f>
        <v>https://d0f6bd738d7f1b3e5a7ca70fe4ff75f0.us-east-1.aws.found.io/app/kibana#/discover/Steve-Slow-Train-Analysis-(2080s-and-2083s)?_g=(refreshInterval:(display:Off,pause:!f,section:0,value:0),time:(from:'2017-12-31T20:14:48-0700',mode:absolute,to:'2017-12-31T22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/stypes="*4004*201801010*" /stext=" 04:.+((SYSTEM_STATE.+slice.+state.+changed )|(ment ac)|(multiple cpu faults)|(system.+state.+changed )|(\[timeout)|(PRM\|1\|D)|(kpr)|(kdp)|(train st.+moving)|(\|lc)|(penalty))"</v>
      </c>
      <c r="U18" s="9" t="str">
        <f>MID(B18,13,4)</f>
        <v>4004</v>
      </c>
      <c r="V18" s="31">
        <f>A18-utc_offset/24</f>
        <v>43101.183634259258</v>
      </c>
      <c r="W18" s="45" t="str">
        <f>DetSubdiv(C18)</f>
        <v>EC</v>
      </c>
      <c r="X18" s="228">
        <f>VALUE(LEFT(C18,LEN(C18)-3))</f>
        <v>229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drop","project_id":79,"tracker_id":40,"status_id":1,"priority_id":2,"assigned_to_id":338,"start_date":"2017-12-31","description":"","custom_fields":[{"id":1,"name":"Subdivision","value":"EC"},{"id":4,"name":"Milepost","value":"14.43"},{"id":17,"name":"Train ID","value":"229-31"},{"id":16,"name":"Locomotive ID","value":"4004"},{"id":130,"name":"Impact","value":""},{"id":150,"name":"Time of Event (Mountain Time)","value":"21:24:26"},{"id":151,"name":"Denver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/c/Users/stu/AppData/Local/Temp/OnboardLogs/RTDC4004 --include="*4004*201801010*"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"%USERPROFILE%\AppData\Local\Temp\OnboardLogs"\RTDC4004\*4004*201801010* &gt;&gt; 2017-12-31-SliceDisagreementCheck.txt</v>
      </c>
      <c r="AE18" s="144" t="str">
        <f t="shared" si="1"/>
        <v>start /low /b %USERPROFILE%\Documents\GitHub\eaglep3\Utilities\DownloadLogsFromS3.py --loco 4004 --day 2018-01-01</v>
      </c>
      <c r="AF18" s="1"/>
    </row>
    <row r="19" spans="1:32" x14ac:dyDescent="0.3">
      <c r="A19" s="31">
        <v>43100.243206018517</v>
      </c>
      <c r="B19" s="30" t="s">
        <v>385</v>
      </c>
      <c r="C19" s="30" t="s">
        <v>670</v>
      </c>
      <c r="D19" s="30" t="s">
        <v>49</v>
      </c>
      <c r="E19" s="30" t="s">
        <v>566</v>
      </c>
      <c r="F19" s="42">
        <v>0</v>
      </c>
      <c r="G19" s="42">
        <v>613</v>
      </c>
      <c r="H19" s="42">
        <v>75551</v>
      </c>
      <c r="I19" s="42">
        <v>73028</v>
      </c>
      <c r="J19" s="30" t="s">
        <v>567</v>
      </c>
      <c r="K19" s="42">
        <v>69363</v>
      </c>
      <c r="L19" s="131" t="s">
        <v>51</v>
      </c>
      <c r="M19" s="132">
        <f>CONVERT((I19-K19)/10000,"mi","ft")*IF(L19="Increasing Mileposts (1)",-1,1)</f>
        <v>1935.12</v>
      </c>
      <c r="N19" s="133" t="str">
        <f>VLOOKUP(C19,'Trips&amp;Operators'!$C$1:$G$99911,5,FALSE)</f>
        <v>DELGADO DIANAH</v>
      </c>
      <c r="O19" s="175" t="s">
        <v>348</v>
      </c>
      <c r="P19" s="239" t="s">
        <v>465</v>
      </c>
      <c r="Q19" s="30"/>
      <c r="R19" s="81" t="str">
        <f>VLOOKUP(C19,'Train Runs'!$A$13:$AE$10202,31,0)</f>
        <v>aws s3 cp s3://rtdc.mdm.uploadarchive.raw/RTDC4061/ "%USERPROFILE%\AppData\Local\Temp\OnboardLogs"\RTDC4061\2017-12-31 --exclude "*" --recursive --include "*20171231*" &amp; "%USERPROFILE%\Documents\GitHub\mrs-test-scripts\Headless Mode &amp; Sideloading\WalkAndUnGZ.bat" "%USERPROFILE%\AppData\Local\Temp\OnboardLogs"\RTDC4061\2017-12-31 &amp; aws s3 cp s3://rtdc.mdm.uploadarchive.raw/RTDC4061/ "%USERPROFILE%\AppData\Local\Temp\OnboardLogs"\RTDC4061\2018-01-01 --exclude "*" --recursive --include "*20180101*" &amp; "%USERPROFILE%\Documents\GitHub\mrs-test-scripts\Headless Mode &amp; Sideloading\WalkAndUnGZ.bat" "%USERPROFILE%\AppData\Local\Temp\OnboardLogs"\RTDC4061\2018-01-01</v>
      </c>
      <c r="S19" s="84" t="str">
        <f>VLOOKUP(C19,'Train Runs'!$A$13:$AE$10202,22,0)</f>
        <v>https://d0f6bd738d7f1b3e5a7ca70fe4ff75f0.us-east-1.aws.found.io/app/kibana#/discover/Steve-Slow-Train-Analysis-(2080s-and-2083s)?_g=(refreshInterval:(display:Off,pause:!f,section:0,value:0),time:(from:'2017-12-31T04:55:25-0700',mode:absolute,to:'2017-12-31T06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/stypes="*4061*201712311*" /stext=" 12:.+((SYSTEM_STATE.+slice.+state.+changed )|(ment ac)|(multiple cpu faults)|(system.+state.+changed )|(\[timeout)|(PRM\|1\|D)|(kpr)|(kdp)|(train st.+moving)|(\|lc)|(penalty))"</v>
      </c>
      <c r="U19" s="9" t="str">
        <f>MID(B19,13,4)</f>
        <v>4061</v>
      </c>
      <c r="V19" s="31">
        <f>A19-utc_offset/24</f>
        <v>43100.534872685181</v>
      </c>
      <c r="W19" s="45" t="str">
        <f>DetSubdiv(C19)</f>
        <v>EC</v>
      </c>
      <c r="X19" s="228">
        <f>VALUE(LEFT(C19,LEN(C19)-3))</f>
        <v>108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drop","project_id":79,"tracker_id":40,"status_id":1,"priority_id":2,"assigned_to_id":338,"start_date":"2017-12-31","description":"","custom_fields":[{"id":1,"name":"Subdivision","value":"EC"},{"id":4,"name":"Milepost","value":"6.9363"},{"id":17,"name":"Train ID","value":"108-31"},{"id":16,"name":"Locomotive ID","value":"4061"},{"id":130,"name":"Impact","value":""},{"id":150,"name":"Time of Event (Mountain Time)","value":"05:50:13"},{"id":151,"name":"Denver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/c/Users/stu/AppData/Local/Temp/OnboardLogs/RTDC4061 --include="*4061*201712311*"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"%USERPROFILE%\AppData\Local\Temp\OnboardLogs"\RTDC4061\*4061*201712311* &gt;&gt; 2017-12-31-SliceDisagreementCheck.txt</v>
      </c>
      <c r="AE19" s="144" t="str">
        <f t="shared" si="1"/>
        <v>start /low /b %USERPROFILE%\Documents\GitHub\eaglep3\Utilities\DownloadLogsFromS3.py --loco 4061 --day 2017-12-31</v>
      </c>
      <c r="AF19" s="1"/>
    </row>
    <row r="20" spans="1:32" x14ac:dyDescent="0.3">
      <c r="A20" s="31">
        <v>43100.296817129631</v>
      </c>
      <c r="B20" s="30" t="s">
        <v>370</v>
      </c>
      <c r="C20" s="30" t="s">
        <v>674</v>
      </c>
      <c r="D20" s="30" t="s">
        <v>95</v>
      </c>
      <c r="E20" s="30" t="s">
        <v>673</v>
      </c>
      <c r="F20" s="42">
        <v>150</v>
      </c>
      <c r="G20" s="42">
        <v>205</v>
      </c>
      <c r="H20" s="42">
        <v>109318</v>
      </c>
      <c r="I20" s="42">
        <v>109612</v>
      </c>
      <c r="J20" s="30" t="s">
        <v>184</v>
      </c>
      <c r="K20" s="42">
        <v>108703</v>
      </c>
      <c r="L20" s="131" t="s">
        <v>50</v>
      </c>
      <c r="M20" s="132">
        <f>CONVERT((I20-K20)/10000,"mi","ft")*IF(L20="Increasing Mileposts (1)",-1,1)</f>
        <v>-479.952</v>
      </c>
      <c r="N20" s="133" t="str">
        <f>VLOOKUP(C20,'Trips&amp;Operators'!$C$1:$G$99911,5,FALSE)</f>
        <v>THOMPSON LESTER</v>
      </c>
      <c r="O20" s="175" t="s">
        <v>178</v>
      </c>
      <c r="P20" s="239"/>
      <c r="Q20" s="30"/>
      <c r="R20" s="81" t="str">
        <f>VLOOKUP(C20,'Train Runs'!$A$13:$AE$10202,31,0)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S20" s="84" t="str">
        <f>VLOOKUP(C20,'Train Runs'!$A$13:$AE$10202,22,0)</f>
        <v>https://d0f6bd738d7f1b3e5a7ca70fe4ff75f0.us-east-1.aws.found.io/app/kibana#/discover/Steve-Slow-Train-Analysis-(2080s-and-2083s)?_g=(refreshInterval:(display:Off,pause:!f,section:0,value:0),time:(from:'2017-12-31T05:42:27-0700',mode:absolute,to:'2017-12-31T08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/stypes="*4012*201712311*" /stext=" 14:.+((SYSTEM_STATE.+slice.+state.+changed )|(ment ac)|(multiple cpu faults)|(system.+state.+changed )|(\[timeout)|(PRM\|1\|D)|(kpr)|(kdp)|(train st.+moving)|(\|lc)|(penalty))"</v>
      </c>
      <c r="U20" s="9" t="str">
        <f>MID(B20,13,4)</f>
        <v>4012</v>
      </c>
      <c r="V20" s="31">
        <f>A20-utc_offset/24</f>
        <v>43100.588483796295</v>
      </c>
      <c r="W20" s="45" t="str">
        <f>DetSubdiv(C20)</f>
        <v>EC</v>
      </c>
      <c r="X20" s="228">
        <f>VALUE(LEFT(C20,LEN(C20)-3))</f>
        <v>125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{"issue":{"subject":"","project_id":79,"tracker_id":40,"status_id":1,"priority_id":2,"assigned_to_id":338,"start_date":"2017-12-31","description":"","custom_fields":[{"id":1,"name":"Subdivision","value":"EC"},{"id":4,"name":"Milepost","value":"10.8703"},{"id":17,"name":"Train ID","value":"125-31"},{"id":16,"name":"Locomotive ID","value":"4012"},{"id":130,"name":"Impact","value":""},{"id":150,"name":"Time of Event (Mountain Time)","value":"07:07:25"},{"id":151,"name":"Denver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/c/Users/stu/AppData/Local/Temp/OnboardLogs/RTDC4012 --include="*4012*201712311*"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"%USERPROFILE%\AppData\Local\Temp\OnboardLogs"\RTDC4012\*4012*201712311* &gt;&gt; 2017-12-31-SliceDisagreementCheck.txt</v>
      </c>
      <c r="AE20" s="144" t="str">
        <f t="shared" si="1"/>
        <v>start /low /b %USERPROFILE%\Documents\GitHub\eaglep3\Utilities\DownloadLogsFromS3.py --loco 4012 --day 2017-12-31</v>
      </c>
      <c r="AF20" s="1"/>
    </row>
    <row r="21" spans="1:32" x14ac:dyDescent="0.3">
      <c r="A21" s="31">
        <v>43100.292847222219</v>
      </c>
      <c r="B21" s="30" t="s">
        <v>473</v>
      </c>
      <c r="C21" s="30" t="s">
        <v>672</v>
      </c>
      <c r="D21" s="30" t="s">
        <v>95</v>
      </c>
      <c r="E21" s="30" t="s">
        <v>673</v>
      </c>
      <c r="F21" s="42">
        <v>150</v>
      </c>
      <c r="G21" s="42">
        <v>213</v>
      </c>
      <c r="H21" s="42">
        <v>108703</v>
      </c>
      <c r="I21" s="42">
        <v>108159</v>
      </c>
      <c r="J21" s="30" t="s">
        <v>184</v>
      </c>
      <c r="K21" s="42">
        <v>109100</v>
      </c>
      <c r="L21" s="131" t="s">
        <v>51</v>
      </c>
      <c r="M21" s="132">
        <f>CONVERT((I21-K21)/10000,"mi","ft")*IF(L21="Increasing Mileposts (1)",-1,1)</f>
        <v>-496.84800000000001</v>
      </c>
      <c r="N21" s="133" t="str">
        <f>VLOOKUP(C21,'Trips&amp;Operators'!$C$1:$G$99911,5,FALSE)</f>
        <v>LAMAR NEKESHA</v>
      </c>
      <c r="O21" s="175" t="s">
        <v>178</v>
      </c>
      <c r="P21" s="239"/>
      <c r="Q21" s="30"/>
      <c r="R21" s="81" t="str">
        <f>VLOOKUP(C21,'Train Runs'!$A$13:$AE$10202,31,0)</f>
        <v>aws s3 cp s3://rtdc.mdm.uploadarchive.raw/RTDC4015/ "%USERPROFILE%\AppData\Local\Temp\OnboardLogs"\RTDC4015\2017-12-31 --exclude "*" --recursive --include "*20171231*" &amp; "%USERPROFILE%\Documents\GitHub\mrs-test-scripts\Headless Mode &amp; Sideloading\WalkAndUnGZ.bat" "%USERPROFILE%\AppData\Local\Temp\OnboardLogs"\RTDC4015\2017-12-31 &amp; 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</v>
      </c>
      <c r="S21" s="84" t="str">
        <f>VLOOKUP(C21,'Train Runs'!$A$13:$AE$10202,22,0)</f>
        <v>https://d0f6bd738d7f1b3e5a7ca70fe4ff75f0.us-east-1.aws.found.io/app/kibana#/discover/Steve-Slow-Train-Analysis-(2080s-and-2083s)?_g=(refreshInterval:(display:Off,pause:!f,section:0,value:0),time:(from:'2017-12-31T05:23:24-0700',mode:absolute,to:'2017-12-31T08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/stypes="*4015*201712311*" /stext=" 14:.+((SYSTEM_STATE.+slice.+state.+changed )|(ment ac)|(multiple cpu faults)|(system.+state.+changed )|(\[timeout)|(PRM\|1\|D)|(kpr)|(kdp)|(train st.+moving)|(\|lc)|(penalty))"</v>
      </c>
      <c r="U21" s="9" t="str">
        <f>MID(B21,13,4)</f>
        <v>4015</v>
      </c>
      <c r="V21" s="31">
        <f>A21-utc_offset/24</f>
        <v>43100.584513888884</v>
      </c>
      <c r="W21" s="45" t="str">
        <f>DetSubdiv(C21)</f>
        <v>EC</v>
      </c>
      <c r="X21" s="228">
        <f>VALUE(LEFT(C21,LEN(C21)-3))</f>
        <v>118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{"issue":{"subject":"","project_id":79,"tracker_id":40,"status_id":1,"priority_id":2,"assigned_to_id":338,"start_date":"2017-12-31","description":"","custom_fields":[{"id":1,"name":"Subdivision","value":"EC"},{"id":4,"name":"Milepost","value":"10.91"},{"id":17,"name":"Train ID","value":"118-31"},{"id":16,"name":"Locomotive ID","value":"4015"},{"id":130,"name":"Impact","value":""},{"id":150,"name":"Time of Event (Mountain Time)","value":"07:01:42"},{"id":151,"name":"Denver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/c/Users/stu/AppData/Local/Temp/OnboardLogs/RTDC4015 --include="*4015*201712311*"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"%USERPROFILE%\AppData\Local\Temp\OnboardLogs"\RTDC4015\*4015*201712311* &gt;&gt; 2017-12-31-SliceDisagreementCheck.txt</v>
      </c>
      <c r="AE21" s="144" t="str">
        <f t="shared" si="1"/>
        <v>start /low /b %USERPROFILE%\Documents\GitHub\eaglep3\Utilities\DownloadLogsFromS3.py --loco 4015 --day 2017-12-31</v>
      </c>
      <c r="AF21" s="1"/>
    </row>
    <row r="22" spans="1:32" x14ac:dyDescent="0.3">
      <c r="A22" s="31">
        <v>43100.16064814815</v>
      </c>
      <c r="B22" s="30" t="s">
        <v>370</v>
      </c>
      <c r="C22" s="30" t="s">
        <v>668</v>
      </c>
      <c r="D22" s="30" t="s">
        <v>49</v>
      </c>
      <c r="E22" s="30" t="s">
        <v>568</v>
      </c>
      <c r="F22" s="42">
        <v>0</v>
      </c>
      <c r="G22" s="42">
        <v>157</v>
      </c>
      <c r="H22" s="42">
        <v>232767</v>
      </c>
      <c r="I22" s="42">
        <v>233003</v>
      </c>
      <c r="J22" s="30" t="s">
        <v>569</v>
      </c>
      <c r="K22" s="42">
        <v>233491</v>
      </c>
      <c r="L22" s="131" t="s">
        <v>50</v>
      </c>
      <c r="M22" s="132">
        <f>CONVERT((I22-K22)/10000,"mi","ft")*IF(L22="Increasing Mileposts (1)",-1,1)</f>
        <v>257.66399999999999</v>
      </c>
      <c r="N22" s="133" t="str">
        <f>VLOOKUP(C22,'Trips&amp;Operators'!$C$1:$G$99911,5,FALSE)</f>
        <v>THOMPSON LESTER</v>
      </c>
      <c r="O22" s="175" t="s">
        <v>178</v>
      </c>
      <c r="P22" s="239"/>
      <c r="Q22" s="30"/>
      <c r="R22" s="81" t="str">
        <f>VLOOKUP(C22,'Train Runs'!$A$13:$AE$10202,31,0)</f>
        <v>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 &amp; 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</v>
      </c>
      <c r="S22" s="84" t="str">
        <f>VLOOKUP(C22,'Train Runs'!$A$13:$AE$10202,22,0)</f>
        <v>https://d0f6bd738d7f1b3e5a7ca70fe4ff75f0.us-east-1.aws.found.io/app/kibana#/discover/Steve-Slow-Train-Analysis-(2080s-and-2083s)?_g=(refreshInterval:(display:Off,pause:!f,section:0,value:0),time:(from:'2017-12-31T02:13:10-0700',mode:absolute,to:'2017-12-31T04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/stypes="*4012*201712311*" /stext=" 10:.+((SYSTEM_STATE.+slice.+state.+changed )|(ment ac)|(multiple cpu faults)|(system.+state.+changed )|(\[timeout)|(PRM\|1\|D)|(kpr)|(kdp)|(train st.+moving)|(\|lc)|(penalty))"</v>
      </c>
      <c r="U22" s="9" t="str">
        <f>MID(B22,13,4)</f>
        <v>4012</v>
      </c>
      <c r="V22" s="31">
        <f>A22-utc_offset/24</f>
        <v>43100.452314814815</v>
      </c>
      <c r="W22" s="45" t="str">
        <f>DetSubdiv(C22)</f>
        <v>EC</v>
      </c>
      <c r="X22" s="228">
        <f>VALUE(LEFT(C22,LEN(C22)-3))</f>
        <v>101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{"issue":{"subject":"","project_id":79,"tracker_id":40,"status_id":1,"priority_id":2,"assigned_to_id":338,"start_date":"2017-12-31","description":"","custom_fields":[{"id":1,"name":"Subdivision","value":"EC"},{"id":4,"name":"Milepost","value":"23.3491"},{"id":17,"name":"Train ID","value":"101-31"},{"id":16,"name":"Locomotive ID","value":"4012"},{"id":130,"name":"Impact","value":""},{"id":150,"name":"Time of Event (Mountain Time)","value":"03:51:20"},{"id":151,"name":"Denver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/c/Users/stu/AppData/Local/Temp/OnboardLogs/RTDC4012 --include="*4012*201712311*"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"%USERPROFILE%\AppData\Local\Temp\OnboardLogs"\RTDC4012\*4012*201712311* &gt;&gt; 2017-12-31-SliceDisagreementCheck.txt</v>
      </c>
      <c r="AE22" s="144" t="str">
        <f t="shared" si="1"/>
        <v>start /low /b %USERPROFILE%\Documents\GitHub\eaglep3\Utilities\DownloadLogsFromS3.py --loco 4012 --day 2017-12-31</v>
      </c>
      <c r="AF22" s="1"/>
    </row>
    <row r="23" spans="1:32" x14ac:dyDescent="0.3">
      <c r="A23" s="31">
        <v>43100.63484953704</v>
      </c>
      <c r="B23" s="30" t="s">
        <v>675</v>
      </c>
      <c r="C23" s="30" t="s">
        <v>685</v>
      </c>
      <c r="D23" s="30" t="s">
        <v>49</v>
      </c>
      <c r="E23" s="30" t="s">
        <v>190</v>
      </c>
      <c r="F23" s="42">
        <v>300</v>
      </c>
      <c r="G23" s="42">
        <v>486</v>
      </c>
      <c r="H23" s="42">
        <v>18531</v>
      </c>
      <c r="I23" s="42">
        <v>20108</v>
      </c>
      <c r="J23" s="30" t="s">
        <v>191</v>
      </c>
      <c r="K23" s="42">
        <v>21312</v>
      </c>
      <c r="L23" s="131" t="s">
        <v>50</v>
      </c>
      <c r="M23" s="132">
        <f>CONVERT((I23-K23)/10000,"mi","ft")*IF(L23="Increasing Mileposts (1)",-1,1)</f>
        <v>635.71199999999999</v>
      </c>
      <c r="N23" s="133" t="str">
        <f>VLOOKUP(C23,'Trips&amp;Operators'!$C$1:$G$99911,5,FALSE)</f>
        <v>HOLCOMB KAMDEN</v>
      </c>
      <c r="O23" s="175" t="s">
        <v>178</v>
      </c>
      <c r="P23" s="239"/>
      <c r="Q23" s="30"/>
      <c r="R23" s="81" t="str">
        <f>VLOOKUP(C23,'Train Runs'!$A$13:$AE$10202,31,0)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S23" s="84" t="str">
        <f>VLOOKUP(C23,'Train Runs'!$A$13:$AE$10202,22,0)</f>
        <v>https://d0f6bd738d7f1b3e5a7ca70fe4ff75f0.us-east-1.aws.found.io/app/kibana#/discover/Steve-Slow-Train-Analysis-(2080s-and-2083s)?_g=(refreshInterval:(display:Off,pause:!f,section:0,value:0),time:(from:'2017-12-31T14:02:43-0700',mode:absolute,to:'2017-12-31T16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/stypes="*4026*201712312*" /stext=" 22:.+((SYSTEM_STATE.+slice.+state.+changed )|(ment ac)|(multiple cpu faults)|(system.+state.+changed )|(\[timeout)|(PRM\|1\|D)|(kpr)|(kdp)|(train st.+moving)|(\|lc)|(penalty))"</v>
      </c>
      <c r="U23" s="9" t="str">
        <f>MID(B23,13,4)</f>
        <v>4026</v>
      </c>
      <c r="V23" s="31">
        <f>A23-utc_offset/24</f>
        <v>43100.926516203705</v>
      </c>
      <c r="W23" s="45" t="str">
        <f>DetSubdiv(C23)</f>
        <v>NW</v>
      </c>
      <c r="X23" s="228">
        <f>VALUE(LEFT(C23,LEN(C23)-3))</f>
        <v>1819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{"issue":{"subject":"","project_id":79,"tracker_id":40,"status_id":1,"priority_id":2,"assigned_to_id":338,"start_date":"2017-12-31","description":"","custom_fields":[{"id":1,"name":"Subdivision","value":"NW"},{"id":4,"name":"Milepost","value":"2.1312"},{"id":17,"name":"Train ID","value":"1819-31"},{"id":16,"name":"Locomotive ID","value":"4026"},{"id":130,"name":"Impact","value":""},{"id":150,"name":"Time of Event (Mountain Time)","value":"15:14:11"},{"id":151,"name":"Denver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/c/Users/stu/AppData/Local/Temp/OnboardLogs/RTDC4026 --include="*4026*201712312*"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"%USERPROFILE%\AppData\Local\Temp\OnboardLogs"\RTDC4026\*4026*201712312* &gt;&gt; 2017-12-31-SliceDisagreementCheck.txt</v>
      </c>
      <c r="AE23" s="144" t="str">
        <f t="shared" si="1"/>
        <v>start /low /b %USERPROFILE%\Documents\GitHub\eaglep3\Utilities\DownloadLogsFromS3.py --loco 4026 --day 2017-12-31</v>
      </c>
      <c r="AF23" s="1"/>
    </row>
    <row r="24" spans="1:32" x14ac:dyDescent="0.3">
      <c r="A24" s="31">
        <v>43100.825532407405</v>
      </c>
      <c r="B24" s="30" t="s">
        <v>683</v>
      </c>
      <c r="C24" s="30" t="s">
        <v>688</v>
      </c>
      <c r="D24" s="30" t="s">
        <v>49</v>
      </c>
      <c r="E24" s="30" t="s">
        <v>190</v>
      </c>
      <c r="F24" s="42">
        <v>300</v>
      </c>
      <c r="G24" s="42">
        <v>454</v>
      </c>
      <c r="H24" s="42">
        <v>24725</v>
      </c>
      <c r="I24" s="42">
        <v>23432</v>
      </c>
      <c r="J24" s="30" t="s">
        <v>191</v>
      </c>
      <c r="K24" s="42">
        <v>23491</v>
      </c>
      <c r="L24" s="131" t="s">
        <v>51</v>
      </c>
      <c r="M24" s="132">
        <f>CONVERT((I24-K24)/10000,"mi","ft")*IF(L24="Increasing Mileposts (1)",-1,1)</f>
        <v>-31.152000000000001</v>
      </c>
      <c r="N24" s="133" t="str">
        <f>VLOOKUP(C24,'Trips&amp;Operators'!$C$1:$G$99911,5,FALSE)</f>
        <v>HOLCOMB KAMDEN</v>
      </c>
      <c r="O24" s="175" t="s">
        <v>178</v>
      </c>
      <c r="P24" s="239"/>
      <c r="Q24" s="30"/>
      <c r="R24" s="81" t="str">
        <f>VLOOKUP(C24,'Train Runs'!$A$13:$AE$10202,31,0)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S24" s="84" t="str">
        <f>VLOOKUP(C24,'Train Runs'!$A$13:$AE$10202,22,0)</f>
        <v>https://d0f6bd738d7f1b3e5a7ca70fe4ff75f0.us-east-1.aws.found.io/app/kibana#/discover/Steve-Slow-Train-Analysis-(2080s-and-2083s)?_g=(refreshInterval:(display:Off,pause:!f,section:0,value:0),time:(from:'2017-12-31T18:25:26-0700',mode:absolute,to:'2017-12-31T20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/stypes="*4025*201801010*" /stext=" 02:.+((SYSTEM_STATE.+slice.+state.+changed )|(ment ac)|(multiple cpu faults)|(system.+state.+changed )|(\[timeout)|(PRM\|1\|D)|(kpr)|(kdp)|(train st.+moving)|(\|lc)|(penalty))"</v>
      </c>
      <c r="U24" s="9" t="str">
        <f>MID(B24,13,4)</f>
        <v>4025</v>
      </c>
      <c r="V24" s="31">
        <f>A24-utc_offset/24</f>
        <v>43101.11719907407</v>
      </c>
      <c r="W24" s="45" t="str">
        <f>DetSubdiv(C24)</f>
        <v>NW</v>
      </c>
      <c r="X24" s="228">
        <f>VALUE(LEFT(C24,LEN(C24)-3))</f>
        <v>1828</v>
      </c>
      <c r="Y24" s="23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{"issue":{"subject":"","project_id":79,"tracker_id":40,"status_id":1,"priority_id":2,"assigned_to_id":338,"start_date":"2017-12-31","description":"","custom_fields":[{"id":1,"name":"Subdivision","value":"NW"},{"id":4,"name":"Milepost","value":"2.3491"},{"id":17,"name":"Train ID","value":"1828-31"},{"id":16,"name":"Locomotive ID","value":"4025"},{"id":130,"name":"Impact","value":""},{"id":150,"name":"Time of Event (Mountain Time)","value":"19:48:46"},{"id":151,"name":"Denver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/c/Users/stu/AppData/Local/Temp/OnboardLogs/RTDC4025 --include="*4025*201801010*"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"%USERPROFILE%\AppData\Local\Temp\OnboardLogs"\RTDC4025\*4025*201801010* &gt;&gt; 2017-12-31-SliceDisagreementCheck.txt</v>
      </c>
      <c r="AE24" s="144" t="str">
        <f t="shared" si="1"/>
        <v>start /low /b %USERPROFILE%\Documents\GitHub\eaglep3\Utilities\DownloadLogsFromS3.py --loco 4025 --day 2018-01-01</v>
      </c>
      <c r="AF24" s="1"/>
    </row>
    <row r="25" spans="1:32" x14ac:dyDescent="0.3">
      <c r="A25" s="31">
        <v>43100.928611111114</v>
      </c>
      <c r="B25" s="30" t="s">
        <v>675</v>
      </c>
      <c r="C25" s="30" t="s">
        <v>691</v>
      </c>
      <c r="D25" s="30" t="s">
        <v>49</v>
      </c>
      <c r="E25" s="30" t="s">
        <v>190</v>
      </c>
      <c r="F25" s="42">
        <v>400</v>
      </c>
      <c r="G25" s="42">
        <v>485</v>
      </c>
      <c r="H25" s="42">
        <v>35261</v>
      </c>
      <c r="I25" s="42">
        <v>37093</v>
      </c>
      <c r="J25" s="30" t="s">
        <v>191</v>
      </c>
      <c r="K25" s="42">
        <v>38172</v>
      </c>
      <c r="L25" s="131" t="s">
        <v>50</v>
      </c>
      <c r="M25" s="132">
        <f>CONVERT((I25-K25)/10000,"mi","ft")*IF(L25="Increasing Mileposts (1)",-1,1)</f>
        <v>569.71199999999999</v>
      </c>
      <c r="N25" s="133" t="str">
        <f>VLOOKUP(C25,'Trips&amp;Operators'!$C$1:$G$99911,5,FALSE)</f>
        <v>HOLCOMB KAMDEN</v>
      </c>
      <c r="O25" s="175" t="s">
        <v>178</v>
      </c>
      <c r="P25" s="239"/>
      <c r="Q25" s="30"/>
      <c r="R25" s="81" t="str">
        <f>VLOOKUP(C25,'Train Runs'!$A$13:$AE$10202,31,0)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S25" s="84" t="str">
        <f>VLOOKUP(C25,'Train Runs'!$A$13:$AE$10202,22,0)</f>
        <v>https://d0f6bd738d7f1b3e5a7ca70fe4ff75f0.us-east-1.aws.found.io/app/kibana#/discover/Steve-Slow-Train-Analysis-(2080s-and-2083s)?_g=(refreshInterval:(display:Off,pause:!f,section:0,value:0),time:(from:'2017-12-31T20:58:41-0700',mode:absolute,to:'2017-12-31T23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/stypes="*4026*201801010*" /stext=" 05:.+((SYSTEM_STATE.+slice.+state.+changed )|(ment ac)|(multiple cpu faults)|(system.+state.+changed )|(\[timeout)|(PRM\|1\|D)|(kpr)|(kdp)|(train st.+moving)|(\|lc)|(penalty))"</v>
      </c>
      <c r="U25" s="9" t="str">
        <f>MID(B25,13,4)</f>
        <v>4026</v>
      </c>
      <c r="V25" s="31">
        <f>A25-utc_offset/24</f>
        <v>43101.220277777778</v>
      </c>
      <c r="W25" s="45" t="str">
        <f>DetSubdiv(C25)</f>
        <v>NW</v>
      </c>
      <c r="X25" s="228">
        <f>VALUE(LEFT(C25,LEN(C25)-3))</f>
        <v>1833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{"issue":{"subject":"","project_id":79,"tracker_id":40,"status_id":1,"priority_id":2,"assigned_to_id":338,"start_date":"2017-12-31","description":"","custom_fields":[{"id":1,"name":"Subdivision","value":"NW"},{"id":4,"name":"Milepost","value":"3.8172"},{"id":17,"name":"Train ID","value":"1833-31"},{"id":16,"name":"Locomotive ID","value":"4026"},{"id":130,"name":"Impact","value":""},{"id":150,"name":"Time of Event (Mountain Time)","value":"22:17:12"},{"id":151,"name":"Denver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/c/Users/stu/AppData/Local/Temp/OnboardLogs/RTDC4026 --include="*4026*201801010*"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"%USERPROFILE%\AppData\Local\Temp\OnboardLogs"\RTDC4026\*4026*201801010* &gt;&gt; 2017-12-31-SliceDisagreementCheck.txt</v>
      </c>
      <c r="AE25" s="144" t="str">
        <f t="shared" si="1"/>
        <v>start /low /b %USERPROFILE%\Documents\GitHub\eaglep3\Utilities\DownloadLogsFromS3.py --loco 4026 --day 2018-01-01</v>
      </c>
      <c r="AF25" s="1"/>
    </row>
    <row r="26" spans="1:32" x14ac:dyDescent="0.3">
      <c r="A26" s="31">
        <v>43100.638194444444</v>
      </c>
      <c r="B26" s="30" t="s">
        <v>675</v>
      </c>
      <c r="C26" s="30" t="s">
        <v>685</v>
      </c>
      <c r="D26" s="30" t="s">
        <v>49</v>
      </c>
      <c r="E26" s="30" t="s">
        <v>190</v>
      </c>
      <c r="F26" s="42">
        <v>400</v>
      </c>
      <c r="G26" s="42">
        <v>464</v>
      </c>
      <c r="H26" s="42">
        <v>45794</v>
      </c>
      <c r="I26" s="42">
        <v>47022</v>
      </c>
      <c r="J26" s="30" t="s">
        <v>191</v>
      </c>
      <c r="K26" s="42">
        <v>47810</v>
      </c>
      <c r="L26" s="131" t="s">
        <v>50</v>
      </c>
      <c r="M26" s="132">
        <f>CONVERT((I26-K26)/10000,"mi","ft")*IF(L26="Increasing Mileposts (1)",-1,1)</f>
        <v>416.06400000000002</v>
      </c>
      <c r="N26" s="133" t="str">
        <f>VLOOKUP(C26,'Trips&amp;Operators'!$C$1:$G$99911,5,FALSE)</f>
        <v>HOLCOMB KAMDEN</v>
      </c>
      <c r="O26" s="175" t="s">
        <v>178</v>
      </c>
      <c r="P26" s="239"/>
      <c r="Q26" s="30"/>
      <c r="R26" s="81" t="str">
        <f>VLOOKUP(C26,'Train Runs'!$A$13:$AE$10202,31,0)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S26" s="84" t="str">
        <f>VLOOKUP(C26,'Train Runs'!$A$13:$AE$10202,22,0)</f>
        <v>https://d0f6bd738d7f1b3e5a7ca70fe4ff75f0.us-east-1.aws.found.io/app/kibana#/discover/Steve-Slow-Train-Analysis-(2080s-and-2083s)?_g=(refreshInterval:(display:Off,pause:!f,section:0,value:0),time:(from:'2017-12-31T14:02:43-0700',mode:absolute,to:'2017-12-31T16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/stypes="*4026*201712312*" /stext=" 22:.+((SYSTEM_STATE.+slice.+state.+changed )|(ment ac)|(multiple cpu faults)|(system.+state.+changed )|(\[timeout)|(PRM\|1\|D)|(kpr)|(kdp)|(train st.+moving)|(\|lc)|(penalty))"</v>
      </c>
      <c r="U26" s="9" t="str">
        <f>MID(B26,13,4)</f>
        <v>4026</v>
      </c>
      <c r="V26" s="31">
        <f>A26-utc_offset/24</f>
        <v>43100.929861111108</v>
      </c>
      <c r="W26" s="45" t="str">
        <f>DetSubdiv(C26)</f>
        <v>NW</v>
      </c>
      <c r="X26" s="228">
        <f>VALUE(LEFT(C26,LEN(C26)-3))</f>
        <v>1819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{"issue":{"subject":"","project_id":79,"tracker_id":40,"status_id":1,"priority_id":2,"assigned_to_id":338,"start_date":"2017-12-31","description":"","custom_fields":[{"id":1,"name":"Subdivision","value":"NW"},{"id":4,"name":"Milepost","value":"4.781"},{"id":17,"name":"Train ID","value":"1819-31"},{"id":16,"name":"Locomotive ID","value":"4026"},{"id":130,"name":"Impact","value":""},{"id":150,"name":"Time of Event (Mountain Time)","value":"15:19:00"},{"id":151,"name":"Denver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/c/Users/stu/AppData/Local/Temp/OnboardLogs/RTDC4026 --include="*4026*201712312*"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"%USERPROFILE%\AppData\Local\Temp\OnboardLogs"\RTDC4026\*4026*201712312* &gt;&gt; 2017-12-31-SliceDisagreementCheck.txt</v>
      </c>
      <c r="AE26" s="144" t="str">
        <f t="shared" si="1"/>
        <v>start /low /b %USERPROFILE%\Documents\GitHub\eaglep3\Utilities\DownloadLogsFromS3.py --loco 4026 --day 2017-12-31</v>
      </c>
      <c r="AF26" s="1"/>
    </row>
    <row r="27" spans="1:32" x14ac:dyDescent="0.3">
      <c r="A27" s="31">
        <v>43100.829155092593</v>
      </c>
      <c r="B27" s="30" t="s">
        <v>683</v>
      </c>
      <c r="C27" s="30" t="s">
        <v>688</v>
      </c>
      <c r="D27" s="30" t="s">
        <v>49</v>
      </c>
      <c r="E27" s="30" t="s">
        <v>354</v>
      </c>
      <c r="F27" s="42">
        <v>0</v>
      </c>
      <c r="G27" s="42">
        <v>82</v>
      </c>
      <c r="H27" s="42">
        <v>4811</v>
      </c>
      <c r="I27" s="42">
        <v>4694</v>
      </c>
      <c r="J27" s="30" t="s">
        <v>355</v>
      </c>
      <c r="K27" s="42">
        <v>4798</v>
      </c>
      <c r="L27" s="131" t="s">
        <v>51</v>
      </c>
      <c r="M27" s="132">
        <f>CONVERT((I27-K27)/10000,"mi","ft")*IF(L27="Increasing Mileposts (1)",-1,1)</f>
        <v>-54.911999999999999</v>
      </c>
      <c r="N27" s="133" t="str">
        <f>VLOOKUP(C27,'Trips&amp;Operators'!$C$1:$G$99911,5,FALSE)</f>
        <v>HOLCOMB KAMDEN</v>
      </c>
      <c r="O27" s="175" t="s">
        <v>348</v>
      </c>
      <c r="P27" s="239" t="s">
        <v>666</v>
      </c>
      <c r="Q27" s="30"/>
      <c r="R27" s="81" t="str">
        <f>VLOOKUP(C27,'Train Runs'!$A$13:$AE$10202,31,0)</f>
        <v>aws s3 cp s3://rtdc.mdm.uploadarchive.raw/RTDC4025/ "%USERPROFILE%\AppData\Local\Temp\OnboardLogs"\RTDC4025\2017-12-31 --exclude "*" --recursive --include "*20171231*" &amp; "%USERPROFILE%\Documents\GitHub\mrs-test-scripts\Headless Mode &amp; Sideloading\WalkAndUnGZ.bat" "%USERPROFILE%\AppData\Local\Temp\OnboardLogs"\RTDC4025\2017-12-31 &amp; aws s3 cp s3://rtdc.mdm.uploadarchive.raw/RTDC4025/ "%USERPROFILE%\AppData\Local\Temp\OnboardLogs"\RTDC4025\2018-01-01 --exclude "*" --recursive --include "*20180101*" &amp; "%USERPROFILE%\Documents\GitHub\mrs-test-scripts\Headless Mode &amp; Sideloading\WalkAndUnGZ.bat" "%USERPROFILE%\AppData\Local\Temp\OnboardLogs"\RTDC4025\2018-01-01</v>
      </c>
      <c r="S27" s="84" t="str">
        <f>VLOOKUP(C27,'Train Runs'!$A$13:$AE$10202,22,0)</f>
        <v>https://d0f6bd738d7f1b3e5a7ca70fe4ff75f0.us-east-1.aws.found.io/app/kibana#/discover/Steve-Slow-Train-Analysis-(2080s-and-2083s)?_g=(refreshInterval:(display:Off,pause:!f,section:0,value:0),time:(from:'2017-12-31T18:25:26-0700',mode:absolute,to:'2017-12-31T20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/stypes="*4025*201801010*" /stext=" 02:.+((SYSTEM_STATE.+slice.+state.+changed )|(ment ac)|(multiple cpu faults)|(system.+state.+changed )|(\[timeout)|(PRM\|1\|D)|(kpr)|(kdp)|(train st.+moving)|(\|lc)|(penalty))"</v>
      </c>
      <c r="U27" s="9" t="str">
        <f>MID(B27,13,4)</f>
        <v>4025</v>
      </c>
      <c r="V27" s="31">
        <f>A27-utc_offset/24</f>
        <v>43101.120821759258</v>
      </c>
      <c r="W27" s="45" t="str">
        <f>DetSubdiv(C27)</f>
        <v>NW</v>
      </c>
      <c r="X27" s="228">
        <f>VALUE(LEFT(C27,LEN(C27)-3))</f>
        <v>1828</v>
      </c>
      <c r="Y27" s="23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overpass","project_id":79,"tracker_id":40,"status_id":1,"priority_id":2,"assigned_to_id":338,"start_date":"2017-12-31","description":"","custom_fields":[{"id":1,"name":"Subdivision","value":"NW"},{"id":4,"name":"Milepost","value":"0.4798"},{"id":17,"name":"Train ID","value":"1828-31"},{"id":16,"name":"Locomotive ID","value":"4025"},{"id":130,"name":"Impact","value":""},{"id":150,"name":"Time of Event (Mountain Time)","value":"19:53:59"},{"id":151,"name":"Denver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/c/Users/stu/AppData/Local/Temp/OnboardLogs/RTDC4025 --include="*4025*201801010*"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"%USERPROFILE%\AppData\Local\Temp\OnboardLogs"\RTDC4025\*4025*201801010* &gt;&gt; 2017-12-31-SliceDisagreementCheck.txt</v>
      </c>
      <c r="AE27" s="144" t="str">
        <f t="shared" si="1"/>
        <v>start /low /b %USERPROFILE%\Documents\GitHub\eaglep3\Utilities\DownloadLogsFromS3.py --loco 4025 --day 2018-01-01</v>
      </c>
      <c r="AF27" s="1"/>
    </row>
    <row r="28" spans="1:32" x14ac:dyDescent="0.3">
      <c r="A28" s="31">
        <v>43100.348761574074</v>
      </c>
      <c r="B28" s="30" t="s">
        <v>675</v>
      </c>
      <c r="C28" s="30" t="s">
        <v>676</v>
      </c>
      <c r="D28" s="30" t="s">
        <v>49</v>
      </c>
      <c r="E28" s="30" t="s">
        <v>568</v>
      </c>
      <c r="F28" s="42">
        <v>0</v>
      </c>
      <c r="G28" s="42">
        <v>134</v>
      </c>
      <c r="H28" s="42">
        <v>58452</v>
      </c>
      <c r="I28" s="42">
        <v>58609</v>
      </c>
      <c r="J28" s="30" t="s">
        <v>569</v>
      </c>
      <c r="K28" s="42">
        <v>59048</v>
      </c>
      <c r="L28" s="131" t="s">
        <v>50</v>
      </c>
      <c r="M28" s="132">
        <f>CONVERT((I28-K28)/10000,"mi","ft")*IF(L28="Increasing Mileposts (1)",-1,1)</f>
        <v>231.792</v>
      </c>
      <c r="N28" s="133" t="str">
        <f>VLOOKUP(C28,'Trips&amp;Operators'!$C$1:$G$99911,5,FALSE)</f>
        <v>MACDONALD THOMAS</v>
      </c>
      <c r="O28" s="175" t="s">
        <v>178</v>
      </c>
      <c r="P28" s="239"/>
      <c r="Q28" s="30"/>
      <c r="R28" s="81" t="str">
        <f>VLOOKUP(C28,'Train Runs'!$A$13:$AE$10202,31,0)</f>
        <v>aws s3 cp s3://rtdc.mdm.uploadarchive.raw/RTDC4026/ "%USERPROFILE%\AppData\Local\Temp\OnboardLogs"\RTDC4026\2017-12-31 --exclude "*" --recursive --include "*20171231*" &amp; "%USERPROFILE%\Documents\GitHub\mrs-test-scripts\Headless Mode &amp; Sideloading\WalkAndUnGZ.bat" "%USERPROFILE%\AppData\Local\Temp\OnboardLogs"\RTDC4026\2017-12-31 &amp; aws s3 cp s3://rtdc.mdm.uploadarchive.raw/RTDC4026/ "%USERPROFILE%\AppData\Local\Temp\OnboardLogs"\RTDC4026\2018-01-01 --exclude "*" --recursive --include "*20180101*" &amp; "%USERPROFILE%\Documents\GitHub\mrs-test-scripts\Headless Mode &amp; Sideloading\WalkAndUnGZ.bat" "%USERPROFILE%\AppData\Local\Temp\OnboardLogs"\RTDC4026\2018-01-01</v>
      </c>
      <c r="S28" s="84" t="str">
        <f>VLOOKUP(C28,'Train Runs'!$A$13:$AE$10202,22,0)</f>
        <v>https://d0f6bd738d7f1b3e5a7ca70fe4ff75f0.us-east-1.aws.found.io/app/kibana#/discover/Steve-Slow-Train-Analysis-(2080s-and-2083s)?_g=(refreshInterval:(display:Off,pause:!f,section:0,value:0),time:(from:'2017-12-31T07:06:50-0700',mode:absolute,to:'2017-12-31T09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/stypes="*4026*201712311*" /stext=" 15:.+((SYSTEM_STATE.+slice.+state.+changed )|(ment ac)|(multiple cpu faults)|(system.+state.+changed )|(\[timeout)|(PRM\|1\|D)|(kpr)|(kdp)|(train st.+moving)|(\|lc)|(penalty))"</v>
      </c>
      <c r="U28" s="9" t="str">
        <f>MID(B28,13,4)</f>
        <v>4026</v>
      </c>
      <c r="V28" s="31">
        <f>A28-utc_offset/24</f>
        <v>43100.640428240738</v>
      </c>
      <c r="W28" s="45" t="str">
        <f>DetSubdiv(C28)</f>
        <v>NW</v>
      </c>
      <c r="X28" s="228">
        <f>VALUE(LEFT(C28,LEN(C28)-3))</f>
        <v>1805</v>
      </c>
      <c r="Y28" s="23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{"issue":{"subject":"","project_id":79,"tracker_id":40,"status_id":1,"priority_id":2,"assigned_to_id":338,"start_date":"2017-12-31","description":"","custom_fields":[{"id":1,"name":"Subdivision","value":"NW"},{"id":4,"name":"Milepost","value":"5.9048"},{"id":17,"name":"Train ID","value":"1805-31"},{"id":16,"name":"Locomotive ID","value":"4026"},{"id":130,"name":"Impact","value":""},{"id":150,"name":"Time of Event (Mountain Time)","value":"08:22:13"},{"id":151,"name":"Denver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/c/Users/stu/AppData/Local/Temp/OnboardLogs/RTDC4026 --include="*4026*201712311*"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"%USERPROFILE%\AppData\Local\Temp\OnboardLogs"\RTDC4026\*4026*201712311* &gt;&gt; 2017-12-31-SliceDisagreementCheck.txt</v>
      </c>
      <c r="AE28" s="144" t="str">
        <f t="shared" si="1"/>
        <v>start /low /b %USERPROFILE%\Documents\GitHub\eaglep3\Utilities\DownloadLogsFromS3.py --loco 4026 --day 2017-12-31</v>
      </c>
      <c r="AF28" s="1"/>
    </row>
    <row r="29" spans="1:32" x14ac:dyDescent="0.3">
      <c r="A29" s="31">
        <v>43100.794560185182</v>
      </c>
      <c r="B29" s="30" t="s">
        <v>498</v>
      </c>
      <c r="C29" s="30" t="s">
        <v>687</v>
      </c>
      <c r="D29" s="30" t="s">
        <v>95</v>
      </c>
      <c r="E29" s="30" t="s">
        <v>354</v>
      </c>
      <c r="F29" s="42">
        <v>0</v>
      </c>
      <c r="G29" s="42">
        <v>45</v>
      </c>
      <c r="H29" s="42">
        <v>1817</v>
      </c>
      <c r="I29" s="42">
        <v>1873</v>
      </c>
      <c r="J29" s="30" t="s">
        <v>355</v>
      </c>
      <c r="K29" s="42">
        <v>1692</v>
      </c>
      <c r="L29" s="131" t="s">
        <v>50</v>
      </c>
      <c r="M29" s="132">
        <f>CONVERT((I29-K29)/10000,"mi","ft")*IF(L29="Increasing Mileposts (1)",-1,1)</f>
        <v>-95.567999999999998</v>
      </c>
      <c r="N29" s="133" t="str">
        <f>VLOOKUP(C29,'Trips&amp;Operators'!$C$1:$G$99911,5,FALSE)</f>
        <v>HAMMOND JUSTYNN</v>
      </c>
      <c r="O29" s="175" t="s">
        <v>178</v>
      </c>
      <c r="P29" s="239" t="s">
        <v>1054</v>
      </c>
      <c r="Q29" s="30"/>
      <c r="R29" s="81" t="str">
        <f>VLOOKUP(C29,'Train Runs'!$A$13:$AE$10202,31,0)</f>
        <v>aws s3 cp s3://rtdc.mdm.uploadarchive.raw/RTDC4043/ "%USERPROFILE%\AppData\Local\Temp\OnboardLogs"\RTDC4043\2017-12-31 --exclude "*" --recursive --include "*20171231*" &amp; "%USERPROFILE%\Documents\GitHub\mrs-test-scripts\Headless Mode &amp; Sideloading\WalkAndUnGZ.bat" "%USERPROFILE%\AppData\Local\Temp\OnboardLogs"\RTDC4043\2017-12-31 &amp; aws s3 cp s3://rtdc.mdm.uploadarchive.raw/RTDC4043/ "%USERPROFILE%\AppData\Local\Temp\OnboardLogs"\RTDC4043\2018-01-01 --exclude "*" --recursive --include "*20180101*" &amp; "%USERPROFILE%\Documents\GitHub\mrs-test-scripts\Headless Mode &amp; Sideloading\WalkAndUnGZ.bat" "%USERPROFILE%\AppData\Local\Temp\OnboardLogs"\RTDC4043\2018-01-01</v>
      </c>
      <c r="S29" s="84" t="str">
        <f>VLOOKUP(C29,'Train Runs'!$A$13:$AE$10202,22,0)</f>
        <v>https://d0f6bd738d7f1b3e5a7ca70fe4ff75f0.us-east-1.aws.found.io/app/kibana#/discover/Steve-Slow-Train-Analysis-(2080s-and-2083s)?_g=(refreshInterval:(display:Off,pause:!f,section:0,value:0),time:(from:'2017-12-31T18:08:42-0700',mode:absolute,to:'2017-12-31T20:12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/stypes="*4044*201801010*" /stext=" 02:.+((SYSTEM_STATE.+slice.+state.+changed )|(ment ac)|(multiple cpu faults)|(system.+state.+changed )|(\[timeout)|(PRM\|1\|D)|(kpr)|(kdp)|(train st.+moving)|(\|lc)|(penalty))"</v>
      </c>
      <c r="U29" s="9" t="str">
        <f>MID(B29,13,4)</f>
        <v>4044</v>
      </c>
      <c r="V29" s="31">
        <f>A29-utc_offset/24</f>
        <v>43101.086226851847</v>
      </c>
      <c r="W29" s="45" t="str">
        <f>DetSubdiv(C29)</f>
        <v>Shuttle/Test</v>
      </c>
      <c r="X29" s="228">
        <f>VALUE(LEFT(C29,LEN(C29)-3))</f>
        <v>79</v>
      </c>
      <c r="Y29" s="23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{"issue":{"subject":"Enforced for Main 3 departure","project_id":79,"tracker_id":40,"status_id":1,"priority_id":2,"assigned_to_id":338,"start_date":"2017-12-31","description":"","custom_fields":[{"id":1,"name":"Subdivision","value":"Shuttle/Test"},{"id":4,"name":"Milepost","value":"0.1692"},{"id":17,"name":"Train ID","value":"79-31"},{"id":16,"name":"Locomotive ID","value":"4044"},{"id":130,"name":"Impact","value":""},{"id":150,"name":"Time of Event (Mountain Time)","value":"19:04:10"},{"id":151,"name":"Denver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/c/Users/stu/AppData/Local/Temp/OnboardLogs/RTDC4044 --include="*4044*201801010*"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"%USERPROFILE%\AppData\Local\Temp\OnboardLogs"\RTDC4044\*4044*201801010* &gt;&gt; 2017-12-31-SliceDisagreementCheck.txt</v>
      </c>
      <c r="AE29" s="144" t="str">
        <f t="shared" si="1"/>
        <v>start /low /b %USERPROFILE%\Documents\GitHub\eaglep3\Utilities\DownloadLogsFromS3.py --loco 4044 --day 2018-01-01</v>
      </c>
      <c r="AF29" s="1"/>
    </row>
    <row r="30" spans="1:32" x14ac:dyDescent="0.3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</sheetData>
  <autoFilter ref="A6:AC15">
    <sortState ref="A7:AC29">
      <sortCondition ref="W7:W29"/>
      <sortCondition ref="E7:E29"/>
      <sortCondition ref="K7:K29"/>
      <sortCondition ref="F7:F29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33:O1048576 O7:O29">
    <cfRule type="cellIs" dxfId="6" priority="42" operator="equal">
      <formula>"Y"</formula>
    </cfRule>
  </conditionalFormatting>
  <conditionalFormatting sqref="O2:O3">
    <cfRule type="cellIs" dxfId="5" priority="33" operator="equal">
      <formula>"Y"</formula>
    </cfRule>
  </conditionalFormatting>
  <conditionalFormatting sqref="A7:P29">
    <cfRule type="expression" dxfId="4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14" sqref="A14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2017-12-31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-31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" s="30" t="e">
        <f>VLOOKUP(B3,'Train Runs'!$A$13:$A$100199,1,FALSE)</f>
        <v>#N/A</v>
      </c>
    </row>
    <row r="4" spans="1:10" x14ac:dyDescent="0.3">
      <c r="A4" s="197"/>
      <c r="B4" s="42" t="str">
        <f>A4&amp;"-"&amp;IF(DAY(Variables!$A$2)&lt;10,0,"")&amp;DAY(Variables!$A$2)</f>
        <v>-31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" s="30" t="e">
        <f>VLOOKUP(B4,'Train Runs'!$A$13:$A$100199,1,FALSE)</f>
        <v>#N/A</v>
      </c>
    </row>
    <row r="5" spans="1:10" x14ac:dyDescent="0.3">
      <c r="A5" s="197"/>
      <c r="B5" s="42" t="str">
        <f>A5&amp;"-"&amp;IF(DAY(Variables!$A$2)&lt;10,0,"")&amp;DAY(Variables!$A$2)</f>
        <v>-31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" s="30" t="e">
        <f>VLOOKUP(B5,'Train Runs'!$A$13:$A$100199,1,FALSE)</f>
        <v>#N/A</v>
      </c>
    </row>
    <row r="6" spans="1:10" x14ac:dyDescent="0.3">
      <c r="A6" s="197"/>
      <c r="B6" s="42" t="str">
        <f>A6&amp;"-"&amp;IF(DAY(Variables!$A$2)&lt;10,0,"")&amp;DAY(Variables!$A$2)</f>
        <v>-31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" s="30" t="e">
        <f>VLOOKUP(B6,'Train Runs'!$A$13:$A$100199,1,FALSE)</f>
        <v>#N/A</v>
      </c>
    </row>
    <row r="7" spans="1:10" x14ac:dyDescent="0.3">
      <c r="A7" s="197"/>
      <c r="B7" s="42" t="str">
        <f>A7&amp;"-"&amp;IF(DAY(Variables!$A$2)&lt;10,0,"")&amp;DAY(Variables!$A$2)</f>
        <v>-31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" s="30" t="e">
        <f>VLOOKUP(B7,'Train Runs'!$A$13:$A$100199,1,FALSE)</f>
        <v>#N/A</v>
      </c>
    </row>
    <row r="8" spans="1:10" x14ac:dyDescent="0.3">
      <c r="A8" s="197"/>
      <c r="B8" s="42" t="str">
        <f>A8&amp;"-"&amp;IF(DAY(Variables!$A$2)&lt;10,0,"")&amp;DAY(Variables!$A$2)</f>
        <v>-31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" s="30" t="e">
        <f>VLOOKUP(B8,'Train Runs'!$A$13:$A$100199,1,FALSE)</f>
        <v>#N/A</v>
      </c>
    </row>
    <row r="9" spans="1:10" x14ac:dyDescent="0.3">
      <c r="A9" s="197"/>
      <c r="B9" s="42" t="str">
        <f>A9&amp;"-"&amp;IF(DAY(Variables!$A$2)&lt;10,0,"")&amp;DAY(Variables!$A$2)</f>
        <v>-31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" s="30" t="e">
        <f>VLOOKUP(B9,'Train Runs'!$A$13:$A$100199,1,FALSE)</f>
        <v>#N/A</v>
      </c>
    </row>
    <row r="10" spans="1:10" x14ac:dyDescent="0.3">
      <c r="A10" s="197"/>
      <c r="B10" s="42" t="str">
        <f>A10&amp;"-"&amp;IF(DAY(Variables!$A$2)&lt;10,0,"")&amp;DAY(Variables!$A$2)</f>
        <v>-31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" s="30" t="e">
        <f>VLOOKUP(B10,'Train Runs'!$A$13:$A$100199,1,FALSE)</f>
        <v>#N/A</v>
      </c>
    </row>
    <row r="11" spans="1:10" x14ac:dyDescent="0.3">
      <c r="A11" s="197"/>
      <c r="B11" s="42" t="str">
        <f>A11&amp;"-"&amp;IF(DAY(Variables!$A$2)&lt;10,0,"")&amp;DAY(Variables!$A$2)</f>
        <v>-31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" s="30" t="e">
        <f>VLOOKUP(B11,'Train Runs'!$A$13:$A$100199,1,FALSE)</f>
        <v>#N/A</v>
      </c>
    </row>
    <row r="12" spans="1:10" x14ac:dyDescent="0.3">
      <c r="A12" s="197"/>
      <c r="B12" s="42" t="str">
        <f>A12&amp;"-"&amp;IF(DAY(Variables!$A$2)&lt;10,0,"")&amp;DAY(Variables!$A$2)</f>
        <v>-31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2" s="30" t="e">
        <f>VLOOKUP(B12,'Train Runs'!$A$13:$A$100199,1,FALSE)</f>
        <v>#N/A</v>
      </c>
    </row>
    <row r="13" spans="1:10" x14ac:dyDescent="0.3">
      <c r="A13" s="197"/>
      <c r="B13" s="42" t="str">
        <f>A13&amp;"-"&amp;IF(DAY(Variables!$A$2)&lt;10,0,"")&amp;DAY(Variables!$A$2)</f>
        <v>-31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3" s="30" t="e">
        <f>VLOOKUP(B13,'Train Runs'!$A$13:$A$100199,1,FALSE)</f>
        <v>#N/A</v>
      </c>
    </row>
    <row r="14" spans="1:10" x14ac:dyDescent="0.3">
      <c r="A14" s="197"/>
      <c r="B14" s="42" t="str">
        <f>A14&amp;"-"&amp;IF(DAY(Variables!$A$2)&lt;10,0,"")&amp;DAY(Variables!$A$2)</f>
        <v>-31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4" s="30" t="e">
        <f>VLOOKUP(B14,'Train Runs'!$A$13:$A$100199,1,FALSE)</f>
        <v>#N/A</v>
      </c>
    </row>
    <row r="15" spans="1:10" x14ac:dyDescent="0.3">
      <c r="A15" s="197"/>
      <c r="B15" s="42" t="str">
        <f>A15&amp;"-"&amp;IF(DAY(Variables!$A$2)&lt;10,0,"")&amp;DAY(Variables!$A$2)</f>
        <v>-31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5" s="30" t="e">
        <f>VLOOKUP(B15,'Train Runs'!$A$13:$A$100199,1,FALSE)</f>
        <v>#N/A</v>
      </c>
    </row>
    <row r="16" spans="1:10" x14ac:dyDescent="0.3">
      <c r="A16" s="197"/>
      <c r="B16" s="42" t="str">
        <f>A16&amp;"-"&amp;IF(DAY(Variables!$A$2)&lt;10,0,"")&amp;DAY(Variables!$A$2)</f>
        <v>-31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6" s="30" t="e">
        <f>VLOOKUP(B16,'Train Runs'!$A$13:$A$100199,1,FALSE)</f>
        <v>#N/A</v>
      </c>
    </row>
    <row r="17" spans="1:10" x14ac:dyDescent="0.3">
      <c r="A17" s="197"/>
      <c r="B17" s="42" t="str">
        <f>A17&amp;"-"&amp;IF(DAY(Variables!$A$2)&lt;10,0,"")&amp;DAY(Variables!$A$2)</f>
        <v>-31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7" s="30" t="e">
        <f>VLOOKUP(B17,'Train Runs'!$A$13:$A$100199,1,FALSE)</f>
        <v>#N/A</v>
      </c>
    </row>
    <row r="18" spans="1:10" x14ac:dyDescent="0.3">
      <c r="A18" s="197"/>
      <c r="B18" s="42" t="str">
        <f>A18&amp;"-"&amp;IF(DAY(Variables!$A$2)&lt;10,0,"")&amp;DAY(Variables!$A$2)</f>
        <v>-31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8" s="30" t="e">
        <f>VLOOKUP(B18,'Train Runs'!$A$13:$A$100199,1,FALSE)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33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43100.039502314816</v>
      </c>
      <c r="B2" s="20" t="s">
        <v>447</v>
      </c>
      <c r="C2" s="20" t="s">
        <v>616</v>
      </c>
      <c r="D2" s="137">
        <v>3310000</v>
      </c>
      <c r="E2" s="20" t="s">
        <v>489</v>
      </c>
      <c r="F2" s="20" t="s">
        <v>490</v>
      </c>
      <c r="G2" s="8" t="str">
        <f>E2&amp;" "&amp;F2</f>
        <v>ANDERS STEVEN</v>
      </c>
      <c r="H2" t="str">
        <f>MID(B2,13,4)</f>
        <v>4042</v>
      </c>
    </row>
    <row r="3" spans="1:8" x14ac:dyDescent="0.3">
      <c r="A3" s="8">
        <v>43100.047488425924</v>
      </c>
      <c r="B3" s="20" t="s">
        <v>570</v>
      </c>
      <c r="C3" s="20" t="s">
        <v>617</v>
      </c>
      <c r="D3" s="137">
        <v>3000000</v>
      </c>
      <c r="E3" s="20" t="s">
        <v>466</v>
      </c>
      <c r="F3" s="20" t="s">
        <v>467</v>
      </c>
      <c r="G3" s="8" t="str">
        <f t="shared" ref="G3:G66" si="0">E3&amp;" "&amp;F3</f>
        <v>FORTUNATO FRANK</v>
      </c>
      <c r="H3" s="20" t="str">
        <f t="shared" ref="H3:H66" si="1">MID(B3,13,4)</f>
        <v>4014</v>
      </c>
    </row>
    <row r="4" spans="1:8" x14ac:dyDescent="0.3">
      <c r="A4" s="8">
        <v>43100.049907407411</v>
      </c>
      <c r="B4" s="20" t="s">
        <v>531</v>
      </c>
      <c r="C4" s="20" t="s">
        <v>618</v>
      </c>
      <c r="D4" s="137">
        <v>3320000</v>
      </c>
      <c r="E4" s="20" t="s">
        <v>363</v>
      </c>
      <c r="F4" s="20" t="s">
        <v>364</v>
      </c>
      <c r="G4" s="8" t="str">
        <f t="shared" si="0"/>
        <v>NICHOLSON WESLEY</v>
      </c>
      <c r="H4" s="20" t="str">
        <f t="shared" si="1"/>
        <v>4019</v>
      </c>
    </row>
    <row r="5" spans="1:8" x14ac:dyDescent="0.3">
      <c r="A5" s="8">
        <v>43100.068981481483</v>
      </c>
      <c r="B5" s="20" t="s">
        <v>607</v>
      </c>
      <c r="C5" s="20" t="s">
        <v>619</v>
      </c>
      <c r="D5" s="137">
        <v>3340000</v>
      </c>
      <c r="E5" s="20" t="s">
        <v>462</v>
      </c>
      <c r="F5" s="20" t="s">
        <v>463</v>
      </c>
      <c r="G5" s="8" t="str">
        <f t="shared" si="0"/>
        <v>ELBAUM MIKE</v>
      </c>
      <c r="H5" s="20" t="str">
        <f t="shared" si="1"/>
        <v>4064</v>
      </c>
    </row>
    <row r="6" spans="1:8" x14ac:dyDescent="0.3">
      <c r="A6" s="8">
        <v>43100.079097222224</v>
      </c>
      <c r="B6" s="20" t="s">
        <v>605</v>
      </c>
      <c r="C6" s="20" t="s">
        <v>610</v>
      </c>
      <c r="D6" s="137">
        <v>3310000</v>
      </c>
      <c r="E6" s="20" t="s">
        <v>489</v>
      </c>
      <c r="F6" s="20" t="s">
        <v>490</v>
      </c>
      <c r="G6" s="8" t="str">
        <f t="shared" si="0"/>
        <v>ANDERS STEVEN</v>
      </c>
      <c r="H6" s="20" t="str">
        <f t="shared" si="1"/>
        <v>4041</v>
      </c>
    </row>
    <row r="7" spans="1:8" x14ac:dyDescent="0.3">
      <c r="A7" s="8">
        <v>43100.096782407411</v>
      </c>
      <c r="B7" s="20" t="s">
        <v>532</v>
      </c>
      <c r="C7" s="20" t="s">
        <v>620</v>
      </c>
      <c r="D7" s="137">
        <v>3320000</v>
      </c>
      <c r="E7" s="20" t="s">
        <v>363</v>
      </c>
      <c r="F7" s="20" t="s">
        <v>364</v>
      </c>
      <c r="G7" s="8" t="str">
        <f t="shared" si="0"/>
        <v>NICHOLSON WESLEY</v>
      </c>
      <c r="H7" s="20" t="str">
        <f t="shared" si="1"/>
        <v>4020</v>
      </c>
    </row>
    <row r="8" spans="1:8" x14ac:dyDescent="0.3">
      <c r="A8" s="8">
        <v>43100.11142361111</v>
      </c>
      <c r="B8" s="20" t="s">
        <v>447</v>
      </c>
      <c r="C8" s="20" t="s">
        <v>621</v>
      </c>
      <c r="D8" s="137">
        <v>3310000</v>
      </c>
      <c r="E8" s="20" t="s">
        <v>489</v>
      </c>
      <c r="F8" s="20" t="s">
        <v>490</v>
      </c>
      <c r="G8" s="8" t="str">
        <f t="shared" si="0"/>
        <v>ANDERS STEVEN</v>
      </c>
      <c r="H8" s="20" t="str">
        <f t="shared" si="1"/>
        <v>4042</v>
      </c>
    </row>
    <row r="9" spans="1:8" ht="15" thickBot="1" x14ac:dyDescent="0.35">
      <c r="A9" s="24">
        <v>43100.118750000001</v>
      </c>
      <c r="B9" s="20" t="s">
        <v>499</v>
      </c>
      <c r="C9" s="20" t="s">
        <v>693</v>
      </c>
      <c r="D9" s="137">
        <v>3120000</v>
      </c>
      <c r="E9" s="20" t="s">
        <v>369</v>
      </c>
      <c r="F9" s="20" t="s">
        <v>573</v>
      </c>
      <c r="G9" s="8" t="str">
        <f t="shared" si="0"/>
        <v>THOMPSON LESTER</v>
      </c>
      <c r="H9" s="20" t="str">
        <f t="shared" si="1"/>
        <v>4043</v>
      </c>
    </row>
    <row r="10" spans="1:8" x14ac:dyDescent="0.3">
      <c r="A10" s="8">
        <v>43100.131840277776</v>
      </c>
      <c r="B10" s="20" t="s">
        <v>498</v>
      </c>
      <c r="C10" s="20" t="s">
        <v>694</v>
      </c>
      <c r="D10" s="137">
        <v>3180000</v>
      </c>
      <c r="E10" s="20" t="s">
        <v>611</v>
      </c>
      <c r="F10" s="20" t="s">
        <v>612</v>
      </c>
      <c r="G10" s="8" t="str">
        <f t="shared" si="0"/>
        <v>HUFFSMITH MONTY</v>
      </c>
      <c r="H10" s="20" t="str">
        <f t="shared" si="1"/>
        <v>4044</v>
      </c>
    </row>
    <row r="11" spans="1:8" x14ac:dyDescent="0.3">
      <c r="A11" s="8">
        <v>43100.134837962964</v>
      </c>
      <c r="B11" s="20" t="s">
        <v>370</v>
      </c>
      <c r="C11" s="20" t="s">
        <v>668</v>
      </c>
      <c r="D11" s="137">
        <v>3120000</v>
      </c>
      <c r="E11" s="20" t="s">
        <v>369</v>
      </c>
      <c r="F11" s="20" t="s">
        <v>573</v>
      </c>
      <c r="G11" s="8" t="str">
        <f t="shared" si="0"/>
        <v>THOMPSON LESTER</v>
      </c>
      <c r="H11" s="20" t="str">
        <f t="shared" si="1"/>
        <v>4012</v>
      </c>
    </row>
    <row r="12" spans="1:8" x14ac:dyDescent="0.3">
      <c r="A12" s="8">
        <v>43100.138194444444</v>
      </c>
      <c r="B12" s="20" t="s">
        <v>362</v>
      </c>
      <c r="C12" s="20" t="s">
        <v>695</v>
      </c>
      <c r="D12" s="137">
        <v>2010000</v>
      </c>
      <c r="E12" s="20" t="s">
        <v>486</v>
      </c>
      <c r="F12" s="20" t="s">
        <v>487</v>
      </c>
      <c r="G12" s="8" t="str">
        <f t="shared" si="0"/>
        <v>MAELZER KURT</v>
      </c>
      <c r="H12" s="20" t="str">
        <f t="shared" si="1"/>
        <v>4017</v>
      </c>
    </row>
    <row r="13" spans="1:8" x14ac:dyDescent="0.3">
      <c r="A13" s="8">
        <v>43100.139791666668</v>
      </c>
      <c r="B13" s="20" t="s">
        <v>499</v>
      </c>
      <c r="C13" s="20" t="s">
        <v>696</v>
      </c>
      <c r="D13" s="137">
        <v>3180000</v>
      </c>
      <c r="E13" s="20" t="s">
        <v>611</v>
      </c>
      <c r="F13" s="20" t="s">
        <v>612</v>
      </c>
      <c r="G13" s="8" t="str">
        <f t="shared" si="0"/>
        <v>HUFFSMITH MONTY</v>
      </c>
      <c r="H13" s="20" t="str">
        <f t="shared" si="1"/>
        <v>4043</v>
      </c>
    </row>
    <row r="14" spans="1:8" x14ac:dyDescent="0.3">
      <c r="A14" s="8">
        <v>43100.140393518515</v>
      </c>
      <c r="B14" s="20" t="s">
        <v>499</v>
      </c>
      <c r="C14" s="20" t="s">
        <v>696</v>
      </c>
      <c r="D14" s="137">
        <v>3180000</v>
      </c>
      <c r="E14" s="20" t="s">
        <v>611</v>
      </c>
      <c r="F14" s="20" t="s">
        <v>612</v>
      </c>
      <c r="G14" s="8" t="str">
        <f t="shared" si="0"/>
        <v>HUFFSMITH MONTY</v>
      </c>
      <c r="H14" s="20" t="str">
        <f t="shared" si="1"/>
        <v>4043</v>
      </c>
    </row>
    <row r="15" spans="1:8" x14ac:dyDescent="0.3">
      <c r="A15" s="8">
        <v>43100.151018518518</v>
      </c>
      <c r="B15" s="20" t="s">
        <v>360</v>
      </c>
      <c r="C15" s="20" t="s">
        <v>697</v>
      </c>
      <c r="D15" s="137">
        <v>2010000</v>
      </c>
      <c r="E15" s="20" t="s">
        <v>486</v>
      </c>
      <c r="F15" s="20" t="s">
        <v>487</v>
      </c>
      <c r="G15" s="8" t="str">
        <f t="shared" si="0"/>
        <v>MAELZER KURT</v>
      </c>
      <c r="H15" s="20" t="str">
        <f t="shared" si="1"/>
        <v>4018</v>
      </c>
    </row>
    <row r="16" spans="1:8" x14ac:dyDescent="0.3">
      <c r="A16" s="8">
        <v>43100.158784722225</v>
      </c>
      <c r="B16" s="20" t="s">
        <v>606</v>
      </c>
      <c r="C16" s="20" t="s">
        <v>698</v>
      </c>
      <c r="D16" s="137">
        <v>2440000</v>
      </c>
      <c r="E16" s="20" t="s">
        <v>451</v>
      </c>
      <c r="F16" s="20" t="s">
        <v>452</v>
      </c>
      <c r="G16" s="8" t="str">
        <f t="shared" si="0"/>
        <v>LOPES KIMBERLY</v>
      </c>
      <c r="H16" s="20" t="str">
        <f t="shared" si="1"/>
        <v>4033</v>
      </c>
    </row>
    <row r="17" spans="1:8" x14ac:dyDescent="0.3">
      <c r="A17" s="8">
        <v>43100.171018518522</v>
      </c>
      <c r="B17" s="20" t="s">
        <v>604</v>
      </c>
      <c r="C17" s="20" t="s">
        <v>699</v>
      </c>
      <c r="D17" s="137">
        <v>2440000</v>
      </c>
      <c r="E17" s="20" t="s">
        <v>451</v>
      </c>
      <c r="F17" s="20" t="s">
        <v>452</v>
      </c>
      <c r="G17" s="8" t="str">
        <f t="shared" si="0"/>
        <v>LOPES KIMBERLY</v>
      </c>
      <c r="H17" s="20" t="str">
        <f t="shared" si="1"/>
        <v>4034</v>
      </c>
    </row>
    <row r="18" spans="1:8" x14ac:dyDescent="0.3">
      <c r="A18" s="8">
        <v>43100.173587962963</v>
      </c>
      <c r="B18" s="20" t="s">
        <v>385</v>
      </c>
      <c r="C18" s="20" t="s">
        <v>700</v>
      </c>
      <c r="D18" s="137">
        <v>2370000</v>
      </c>
      <c r="E18" s="20" t="s">
        <v>613</v>
      </c>
      <c r="F18" s="20" t="s">
        <v>614</v>
      </c>
      <c r="G18" s="8" t="str">
        <f t="shared" si="0"/>
        <v>DELGADO DIANAH</v>
      </c>
      <c r="H18" s="20" t="str">
        <f t="shared" si="1"/>
        <v>4061</v>
      </c>
    </row>
    <row r="19" spans="1:8" x14ac:dyDescent="0.3">
      <c r="A19" s="8">
        <v>43100.174027777779</v>
      </c>
      <c r="B19" s="20" t="s">
        <v>371</v>
      </c>
      <c r="C19" s="20" t="s">
        <v>701</v>
      </c>
      <c r="D19" s="137">
        <v>3120000</v>
      </c>
      <c r="E19" s="20" t="s">
        <v>369</v>
      </c>
      <c r="F19" s="20" t="s">
        <v>573</v>
      </c>
      <c r="G19" s="8" t="str">
        <f t="shared" si="0"/>
        <v>THOMPSON LESTER</v>
      </c>
      <c r="H19" s="20" t="str">
        <f t="shared" si="1"/>
        <v>4011</v>
      </c>
    </row>
    <row r="20" spans="1:8" x14ac:dyDescent="0.3">
      <c r="A20" s="8">
        <v>43100.17428240741</v>
      </c>
      <c r="B20" s="20" t="s">
        <v>385</v>
      </c>
      <c r="C20" s="20" t="s">
        <v>700</v>
      </c>
      <c r="D20" s="137">
        <v>2370000</v>
      </c>
      <c r="E20" s="20" t="s">
        <v>613</v>
      </c>
      <c r="F20" s="20" t="s">
        <v>614</v>
      </c>
      <c r="G20" s="8" t="str">
        <f t="shared" si="0"/>
        <v>DELGADO DIANAH</v>
      </c>
      <c r="H20" s="20" t="str">
        <f t="shared" si="1"/>
        <v>4061</v>
      </c>
    </row>
    <row r="21" spans="1:8" x14ac:dyDescent="0.3">
      <c r="A21" s="8">
        <v>43100.183252314811</v>
      </c>
      <c r="B21" s="20" t="s">
        <v>450</v>
      </c>
      <c r="C21" s="20" t="s">
        <v>702</v>
      </c>
      <c r="D21" s="137">
        <v>1100000</v>
      </c>
      <c r="E21" s="20" t="s">
        <v>703</v>
      </c>
      <c r="F21" s="20" t="s">
        <v>704</v>
      </c>
      <c r="G21" s="8" t="str">
        <f t="shared" si="0"/>
        <v>GEBRETEKLE DAGNEW</v>
      </c>
      <c r="H21" s="20" t="str">
        <f t="shared" si="1"/>
        <v>4051</v>
      </c>
    </row>
    <row r="22" spans="1:8" x14ac:dyDescent="0.3">
      <c r="A22" s="26">
        <v>43100.185370370367</v>
      </c>
      <c r="B22" s="20" t="s">
        <v>383</v>
      </c>
      <c r="C22" s="20" t="s">
        <v>705</v>
      </c>
      <c r="D22" s="137">
        <v>2370000</v>
      </c>
      <c r="E22" s="20" t="s">
        <v>613</v>
      </c>
      <c r="F22" s="20" t="s">
        <v>614</v>
      </c>
      <c r="G22" s="8" t="str">
        <f t="shared" si="0"/>
        <v>DELGADO DIANAH</v>
      </c>
      <c r="H22" s="20" t="str">
        <f t="shared" si="1"/>
        <v>4062</v>
      </c>
    </row>
    <row r="23" spans="1:8" x14ac:dyDescent="0.3">
      <c r="A23" s="8">
        <v>43100.186539351853</v>
      </c>
      <c r="B23" s="20" t="s">
        <v>362</v>
      </c>
      <c r="C23" s="20" t="s">
        <v>706</v>
      </c>
      <c r="D23" s="137">
        <v>2010000</v>
      </c>
      <c r="E23" s="20" t="s">
        <v>486</v>
      </c>
      <c r="F23" s="20" t="s">
        <v>487</v>
      </c>
      <c r="G23" s="8" t="str">
        <f t="shared" si="0"/>
        <v>MAELZER KURT</v>
      </c>
      <c r="H23" s="20" t="str">
        <f t="shared" si="1"/>
        <v>4017</v>
      </c>
    </row>
    <row r="24" spans="1:8" x14ac:dyDescent="0.3">
      <c r="A24" s="8">
        <v>43100.19425925926</v>
      </c>
      <c r="B24" s="20" t="s">
        <v>448</v>
      </c>
      <c r="C24" s="20" t="s">
        <v>707</v>
      </c>
      <c r="D24" s="137">
        <v>1100000</v>
      </c>
      <c r="E24" s="20" t="s">
        <v>703</v>
      </c>
      <c r="F24" s="20" t="s">
        <v>704</v>
      </c>
      <c r="G24" s="8" t="str">
        <f t="shared" si="0"/>
        <v>GEBRETEKLE DAGNEW</v>
      </c>
      <c r="H24" s="20" t="str">
        <f t="shared" si="1"/>
        <v>4052</v>
      </c>
    </row>
    <row r="25" spans="1:8" x14ac:dyDescent="0.3">
      <c r="A25" s="8">
        <v>43100.200300925928</v>
      </c>
      <c r="B25" s="20" t="s">
        <v>681</v>
      </c>
      <c r="C25" s="20" t="s">
        <v>708</v>
      </c>
      <c r="D25" s="137">
        <v>3040000</v>
      </c>
      <c r="E25" s="20" t="s">
        <v>368</v>
      </c>
      <c r="F25" s="20" t="s">
        <v>488</v>
      </c>
      <c r="G25" s="8" t="str">
        <f t="shared" si="0"/>
        <v>WILLIAMS DONTE</v>
      </c>
      <c r="H25" s="20" t="str">
        <f t="shared" si="1"/>
        <v>4001</v>
      </c>
    </row>
    <row r="26" spans="1:8" x14ac:dyDescent="0.3">
      <c r="A26" s="8">
        <v>43100.207094907404</v>
      </c>
      <c r="B26" s="20" t="s">
        <v>370</v>
      </c>
      <c r="C26" s="20" t="s">
        <v>669</v>
      </c>
      <c r="D26" s="137">
        <v>3120000</v>
      </c>
      <c r="E26" s="20" t="s">
        <v>369</v>
      </c>
      <c r="F26" s="20" t="s">
        <v>573</v>
      </c>
      <c r="G26" s="8" t="str">
        <f t="shared" si="0"/>
        <v>THOMPSON LESTER</v>
      </c>
      <c r="H26" s="20" t="str">
        <f t="shared" si="1"/>
        <v>4012</v>
      </c>
    </row>
    <row r="27" spans="1:8" x14ac:dyDescent="0.3">
      <c r="A27" s="8">
        <v>43100.212627314817</v>
      </c>
      <c r="B27" s="20" t="s">
        <v>606</v>
      </c>
      <c r="C27" s="20" t="s">
        <v>709</v>
      </c>
      <c r="D27" s="137">
        <v>2440000</v>
      </c>
      <c r="E27" s="20" t="s">
        <v>451</v>
      </c>
      <c r="F27" s="20" t="s">
        <v>452</v>
      </c>
      <c r="G27" s="8" t="str">
        <f t="shared" si="0"/>
        <v>LOPES KIMBERLY</v>
      </c>
      <c r="H27" s="20" t="str">
        <f t="shared" si="1"/>
        <v>4033</v>
      </c>
    </row>
    <row r="28" spans="1:8" x14ac:dyDescent="0.3">
      <c r="A28" s="8">
        <v>43100.215752314813</v>
      </c>
      <c r="B28" s="20" t="s">
        <v>710</v>
      </c>
      <c r="C28" s="20" t="s">
        <v>711</v>
      </c>
      <c r="D28" s="137">
        <v>3040000</v>
      </c>
      <c r="E28" s="20" t="s">
        <v>368</v>
      </c>
      <c r="F28" s="20" t="s">
        <v>488</v>
      </c>
      <c r="G28" s="8" t="str">
        <f t="shared" si="0"/>
        <v>WILLIAMS DONTE</v>
      </c>
      <c r="H28" s="20" t="str">
        <f t="shared" si="1"/>
        <v>4002</v>
      </c>
    </row>
    <row r="29" spans="1:8" x14ac:dyDescent="0.3">
      <c r="A29" s="8">
        <v>43100.216168981482</v>
      </c>
      <c r="B29" s="20" t="s">
        <v>370</v>
      </c>
      <c r="C29" s="20" t="s">
        <v>669</v>
      </c>
      <c r="D29" s="137">
        <v>3120000</v>
      </c>
      <c r="E29" s="20" t="s">
        <v>369</v>
      </c>
      <c r="F29" s="20" t="s">
        <v>573</v>
      </c>
      <c r="G29" s="8" t="str">
        <f t="shared" si="0"/>
        <v>THOMPSON LESTER</v>
      </c>
      <c r="H29" s="20" t="str">
        <f t="shared" si="1"/>
        <v>4012</v>
      </c>
    </row>
    <row r="30" spans="1:8" x14ac:dyDescent="0.3">
      <c r="A30" s="8">
        <v>43100.216192129628</v>
      </c>
      <c r="B30" s="20" t="s">
        <v>385</v>
      </c>
      <c r="C30" s="20" t="s">
        <v>670</v>
      </c>
      <c r="D30" s="137">
        <v>2370000</v>
      </c>
      <c r="E30" s="20" t="s">
        <v>613</v>
      </c>
      <c r="F30" s="20" t="s">
        <v>614</v>
      </c>
      <c r="G30" s="8" t="str">
        <f t="shared" si="0"/>
        <v>DELGADO DIANAH</v>
      </c>
      <c r="H30" s="20" t="str">
        <f t="shared" si="1"/>
        <v>4061</v>
      </c>
    </row>
    <row r="31" spans="1:8" x14ac:dyDescent="0.3">
      <c r="A31" s="8">
        <v>43100.22451388889</v>
      </c>
      <c r="B31" s="20" t="s">
        <v>450</v>
      </c>
      <c r="C31" s="20" t="s">
        <v>712</v>
      </c>
      <c r="D31" s="137">
        <v>1100000</v>
      </c>
      <c r="E31" s="20" t="s">
        <v>703</v>
      </c>
      <c r="F31" s="20" t="s">
        <v>704</v>
      </c>
      <c r="G31" s="8" t="str">
        <f t="shared" si="0"/>
        <v>GEBRETEKLE DAGNEW</v>
      </c>
      <c r="H31" s="20" t="str">
        <f t="shared" si="1"/>
        <v>4051</v>
      </c>
    </row>
    <row r="32" spans="1:8" x14ac:dyDescent="0.3">
      <c r="A32" s="8">
        <v>43100.226215277777</v>
      </c>
      <c r="B32" s="20" t="s">
        <v>360</v>
      </c>
      <c r="C32" s="20" t="s">
        <v>713</v>
      </c>
      <c r="D32" s="137">
        <v>2010000</v>
      </c>
      <c r="E32" s="20" t="s">
        <v>486</v>
      </c>
      <c r="F32" s="20" t="s">
        <v>487</v>
      </c>
      <c r="G32" s="8" t="str">
        <f t="shared" si="0"/>
        <v>MAELZER KURT</v>
      </c>
      <c r="H32" s="20" t="str">
        <f t="shared" si="1"/>
        <v>4018</v>
      </c>
    </row>
    <row r="33" spans="1:8" x14ac:dyDescent="0.3">
      <c r="A33" s="8">
        <v>43100.226273148146</v>
      </c>
      <c r="B33" s="20" t="s">
        <v>473</v>
      </c>
      <c r="C33" s="20" t="s">
        <v>714</v>
      </c>
      <c r="D33" s="137">
        <v>3090000</v>
      </c>
      <c r="E33" s="20" t="s">
        <v>574</v>
      </c>
      <c r="F33" s="20" t="s">
        <v>575</v>
      </c>
      <c r="G33" s="8" t="str">
        <f t="shared" si="0"/>
        <v>LAMAR NEKESHA</v>
      </c>
      <c r="H33" s="20" t="str">
        <f t="shared" si="1"/>
        <v>4015</v>
      </c>
    </row>
    <row r="34" spans="1:8" x14ac:dyDescent="0.3">
      <c r="A34" s="8">
        <v>43100.227569444447</v>
      </c>
      <c r="B34" s="20" t="s">
        <v>675</v>
      </c>
      <c r="C34" s="20" t="s">
        <v>715</v>
      </c>
      <c r="D34" s="137">
        <v>2560000</v>
      </c>
      <c r="E34" s="20" t="s">
        <v>533</v>
      </c>
      <c r="F34" s="20" t="s">
        <v>534</v>
      </c>
      <c r="G34" s="8" t="str">
        <f t="shared" si="0"/>
        <v>MACDONALD THOMAS</v>
      </c>
      <c r="H34" s="20" t="str">
        <f t="shared" si="1"/>
        <v>4026</v>
      </c>
    </row>
    <row r="35" spans="1:8" x14ac:dyDescent="0.3">
      <c r="A35" s="8">
        <v>43100.230092592596</v>
      </c>
      <c r="B35" s="20" t="s">
        <v>683</v>
      </c>
      <c r="C35" s="20" t="s">
        <v>715</v>
      </c>
      <c r="D35" s="137">
        <v>2560000</v>
      </c>
      <c r="E35" s="20" t="s">
        <v>533</v>
      </c>
      <c r="F35" s="20" t="s">
        <v>534</v>
      </c>
      <c r="G35" s="8" t="str">
        <f t="shared" si="0"/>
        <v>MACDONALD THOMAS</v>
      </c>
      <c r="H35" s="20" t="str">
        <f t="shared" si="1"/>
        <v>4025</v>
      </c>
    </row>
    <row r="36" spans="1:8" x14ac:dyDescent="0.3">
      <c r="A36" s="8">
        <v>43100.2346875</v>
      </c>
      <c r="B36" s="20" t="s">
        <v>675</v>
      </c>
      <c r="C36" s="20" t="s">
        <v>715</v>
      </c>
      <c r="D36" s="137">
        <v>2560000</v>
      </c>
      <c r="E36" s="20" t="s">
        <v>533</v>
      </c>
      <c r="F36" s="20" t="s">
        <v>534</v>
      </c>
      <c r="G36" s="8" t="str">
        <f t="shared" si="0"/>
        <v>MACDONALD THOMAS</v>
      </c>
      <c r="H36" s="20" t="str">
        <f t="shared" si="1"/>
        <v>4026</v>
      </c>
    </row>
    <row r="37" spans="1:8" x14ac:dyDescent="0.3">
      <c r="A37" s="8">
        <v>43100.238819444443</v>
      </c>
      <c r="B37" s="20" t="s">
        <v>475</v>
      </c>
      <c r="C37" s="20" t="s">
        <v>716</v>
      </c>
      <c r="D37" s="137">
        <v>3090000</v>
      </c>
      <c r="E37" s="20" t="s">
        <v>574</v>
      </c>
      <c r="F37" s="20" t="s">
        <v>575</v>
      </c>
      <c r="G37" s="8" t="str">
        <f t="shared" si="0"/>
        <v>LAMAR NEKESHA</v>
      </c>
      <c r="H37" s="20" t="str">
        <f t="shared" si="1"/>
        <v>4016</v>
      </c>
    </row>
    <row r="38" spans="1:8" x14ac:dyDescent="0.3">
      <c r="A38" s="8">
        <v>43100.241805555554</v>
      </c>
      <c r="B38" s="20" t="s">
        <v>683</v>
      </c>
      <c r="C38" s="20" t="s">
        <v>717</v>
      </c>
      <c r="D38" s="137">
        <v>2560000</v>
      </c>
      <c r="E38" s="20" t="s">
        <v>533</v>
      </c>
      <c r="F38" s="20" t="s">
        <v>534</v>
      </c>
      <c r="G38" s="8" t="str">
        <f t="shared" si="0"/>
        <v>MACDONALD THOMAS</v>
      </c>
      <c r="H38" s="20" t="str">
        <f t="shared" si="1"/>
        <v>4025</v>
      </c>
    </row>
    <row r="39" spans="1:8" x14ac:dyDescent="0.3">
      <c r="A39" s="8">
        <v>43100.245219907411</v>
      </c>
      <c r="B39" s="20" t="s">
        <v>604</v>
      </c>
      <c r="C39" s="20" t="s">
        <v>718</v>
      </c>
      <c r="D39" s="137">
        <v>2440000</v>
      </c>
      <c r="E39" s="20" t="s">
        <v>451</v>
      </c>
      <c r="F39" s="20" t="s">
        <v>452</v>
      </c>
      <c r="G39" s="8" t="str">
        <f t="shared" si="0"/>
        <v>LOPES KIMBERLY</v>
      </c>
      <c r="H39" s="20" t="str">
        <f t="shared" si="1"/>
        <v>4034</v>
      </c>
    </row>
    <row r="40" spans="1:8" x14ac:dyDescent="0.3">
      <c r="A40" s="8">
        <v>43100.246828703705</v>
      </c>
      <c r="B40" s="25" t="s">
        <v>371</v>
      </c>
      <c r="C40" s="20" t="s">
        <v>671</v>
      </c>
      <c r="D40" s="137">
        <v>3120000</v>
      </c>
      <c r="E40" s="20" t="s">
        <v>369</v>
      </c>
      <c r="F40" s="20" t="s">
        <v>573</v>
      </c>
      <c r="G40" s="8" t="str">
        <f t="shared" si="0"/>
        <v>THOMPSON LESTER</v>
      </c>
      <c r="H40" s="20" t="str">
        <f t="shared" si="1"/>
        <v>4011</v>
      </c>
    </row>
    <row r="41" spans="1:8" x14ac:dyDescent="0.3">
      <c r="A41" s="8">
        <v>43100.247037037036</v>
      </c>
      <c r="B41" s="20" t="s">
        <v>385</v>
      </c>
      <c r="C41" s="20" t="s">
        <v>670</v>
      </c>
      <c r="D41" s="137">
        <v>2370000</v>
      </c>
      <c r="E41" s="20" t="s">
        <v>613</v>
      </c>
      <c r="F41" s="20" t="s">
        <v>614</v>
      </c>
      <c r="G41" s="8" t="str">
        <f t="shared" si="0"/>
        <v>DELGADO DIANAH</v>
      </c>
      <c r="H41" s="20" t="str">
        <f t="shared" si="1"/>
        <v>4061</v>
      </c>
    </row>
    <row r="42" spans="1:8" x14ac:dyDescent="0.3">
      <c r="A42" s="8">
        <v>43100.255659722221</v>
      </c>
      <c r="B42" s="20" t="s">
        <v>681</v>
      </c>
      <c r="C42" s="20" t="s">
        <v>719</v>
      </c>
      <c r="D42" s="137">
        <v>3040000</v>
      </c>
      <c r="E42" s="20" t="s">
        <v>368</v>
      </c>
      <c r="F42" s="20" t="s">
        <v>488</v>
      </c>
      <c r="G42" s="8" t="str">
        <f t="shared" si="0"/>
        <v>WILLIAMS DONTE</v>
      </c>
      <c r="H42" s="20" t="str">
        <f t="shared" si="1"/>
        <v>4001</v>
      </c>
    </row>
    <row r="43" spans="1:8" x14ac:dyDescent="0.3">
      <c r="A43" s="8">
        <v>43100.255925925929</v>
      </c>
      <c r="B43" s="20" t="s">
        <v>675</v>
      </c>
      <c r="C43" s="20" t="s">
        <v>720</v>
      </c>
      <c r="D43" s="137">
        <v>2560000</v>
      </c>
      <c r="E43" s="20" t="s">
        <v>533</v>
      </c>
      <c r="F43" s="20" t="s">
        <v>534</v>
      </c>
      <c r="G43" s="8" t="str">
        <f t="shared" si="0"/>
        <v>MACDONALD THOMAS</v>
      </c>
      <c r="H43" s="20" t="str">
        <f t="shared" si="1"/>
        <v>4026</v>
      </c>
    </row>
    <row r="44" spans="1:8" x14ac:dyDescent="0.3">
      <c r="A44" s="8">
        <v>43100.259363425925</v>
      </c>
      <c r="B44" s="20" t="s">
        <v>383</v>
      </c>
      <c r="C44" s="20" t="s">
        <v>721</v>
      </c>
      <c r="D44" s="137">
        <v>2370000</v>
      </c>
      <c r="E44" s="20" t="s">
        <v>613</v>
      </c>
      <c r="F44" s="20" t="s">
        <v>614</v>
      </c>
      <c r="G44" s="8" t="str">
        <f t="shared" si="0"/>
        <v>DELGADO DIANAH</v>
      </c>
      <c r="H44" s="20" t="str">
        <f t="shared" si="1"/>
        <v>4062</v>
      </c>
    </row>
    <row r="45" spans="1:8" x14ac:dyDescent="0.3">
      <c r="A45" s="8">
        <v>43100.265833333331</v>
      </c>
      <c r="B45" s="20" t="s">
        <v>362</v>
      </c>
      <c r="C45" s="20" t="s">
        <v>722</v>
      </c>
      <c r="D45" s="137">
        <v>2010000</v>
      </c>
      <c r="E45" s="20" t="s">
        <v>486</v>
      </c>
      <c r="F45" s="20" t="s">
        <v>487</v>
      </c>
      <c r="G45" s="8" t="str">
        <f t="shared" si="0"/>
        <v>MAELZER KURT</v>
      </c>
      <c r="H45" s="20" t="str">
        <f t="shared" si="1"/>
        <v>4017</v>
      </c>
    </row>
    <row r="46" spans="1:8" x14ac:dyDescent="0.3">
      <c r="A46" s="8">
        <v>43100.266446759262</v>
      </c>
      <c r="B46" s="20" t="s">
        <v>448</v>
      </c>
      <c r="C46" s="20" t="s">
        <v>723</v>
      </c>
      <c r="D46" s="137">
        <v>1100000</v>
      </c>
      <c r="E46" s="20" t="s">
        <v>703</v>
      </c>
      <c r="F46" s="20" t="s">
        <v>704</v>
      </c>
      <c r="G46" s="8" t="str">
        <f t="shared" si="0"/>
        <v>GEBRETEKLE DAGNEW</v>
      </c>
      <c r="H46" s="20" t="str">
        <f t="shared" si="1"/>
        <v>4052</v>
      </c>
    </row>
    <row r="47" spans="1:8" x14ac:dyDescent="0.3">
      <c r="A47" s="8">
        <v>43100.26666666667</v>
      </c>
      <c r="B47" s="20" t="s">
        <v>473</v>
      </c>
      <c r="C47" s="20" t="s">
        <v>672</v>
      </c>
      <c r="D47" s="137">
        <v>3090000</v>
      </c>
      <c r="E47" s="20" t="s">
        <v>574</v>
      </c>
      <c r="F47" s="20" t="s">
        <v>575</v>
      </c>
      <c r="G47" s="8" t="str">
        <f t="shared" si="0"/>
        <v>LAMAR NEKESHA</v>
      </c>
      <c r="H47" s="20" t="str">
        <f t="shared" si="1"/>
        <v>4015</v>
      </c>
    </row>
    <row r="48" spans="1:8" x14ac:dyDescent="0.3">
      <c r="A48" s="8">
        <v>43100.267500000002</v>
      </c>
      <c r="B48" s="20" t="s">
        <v>683</v>
      </c>
      <c r="C48" s="20" t="s">
        <v>724</v>
      </c>
      <c r="D48" s="137">
        <v>2560000</v>
      </c>
      <c r="E48" s="20" t="s">
        <v>533</v>
      </c>
      <c r="F48" s="20" t="s">
        <v>534</v>
      </c>
      <c r="G48" s="8" t="str">
        <f t="shared" si="0"/>
        <v>MACDONALD THOMAS</v>
      </c>
      <c r="H48" s="20" t="str">
        <f t="shared" si="1"/>
        <v>4025</v>
      </c>
    </row>
    <row r="49" spans="1:8" x14ac:dyDescent="0.3">
      <c r="A49" s="8">
        <v>43100.277442129627</v>
      </c>
      <c r="B49" s="20" t="s">
        <v>606</v>
      </c>
      <c r="C49" s="20" t="s">
        <v>725</v>
      </c>
      <c r="D49" s="137">
        <v>2440000</v>
      </c>
      <c r="E49" s="20" t="s">
        <v>451</v>
      </c>
      <c r="F49" s="20" t="s">
        <v>452</v>
      </c>
      <c r="G49" s="8" t="str">
        <f t="shared" si="0"/>
        <v>LOPES KIMBERLY</v>
      </c>
      <c r="H49" s="20" t="str">
        <f t="shared" si="1"/>
        <v>4033</v>
      </c>
    </row>
    <row r="50" spans="1:8" x14ac:dyDescent="0.3">
      <c r="A50" s="8">
        <v>43100.279988425929</v>
      </c>
      <c r="B50" s="20" t="s">
        <v>370</v>
      </c>
      <c r="C50" s="20" t="s">
        <v>674</v>
      </c>
      <c r="D50" s="137">
        <v>3120000</v>
      </c>
      <c r="E50" s="20" t="s">
        <v>369</v>
      </c>
      <c r="F50" s="20" t="s">
        <v>573</v>
      </c>
      <c r="G50" s="8" t="str">
        <f t="shared" si="0"/>
        <v>THOMPSON LESTER</v>
      </c>
      <c r="H50" s="20" t="str">
        <f t="shared" si="1"/>
        <v>4012</v>
      </c>
    </row>
    <row r="51" spans="1:8" x14ac:dyDescent="0.3">
      <c r="A51" s="8">
        <v>43100.28701388889</v>
      </c>
      <c r="B51" s="20" t="s">
        <v>710</v>
      </c>
      <c r="C51" s="20" t="s">
        <v>726</v>
      </c>
      <c r="D51" s="137">
        <v>3040000</v>
      </c>
      <c r="E51" s="20" t="s">
        <v>368</v>
      </c>
      <c r="F51" s="20" t="s">
        <v>488</v>
      </c>
      <c r="G51" s="8" t="str">
        <f t="shared" si="0"/>
        <v>WILLIAMS DONTE</v>
      </c>
      <c r="H51" s="20" t="str">
        <f t="shared" si="1"/>
        <v>4002</v>
      </c>
    </row>
    <row r="52" spans="1:8" x14ac:dyDescent="0.3">
      <c r="A52" s="8">
        <v>43100.290208333332</v>
      </c>
      <c r="B52" s="20" t="s">
        <v>385</v>
      </c>
      <c r="C52" s="20" t="s">
        <v>727</v>
      </c>
      <c r="D52" s="137">
        <v>2370000</v>
      </c>
      <c r="E52" s="20" t="s">
        <v>613</v>
      </c>
      <c r="F52" s="20" t="s">
        <v>614</v>
      </c>
      <c r="G52" s="8" t="str">
        <f t="shared" si="0"/>
        <v>DELGADO DIANAH</v>
      </c>
      <c r="H52" s="20" t="str">
        <f t="shared" si="1"/>
        <v>4061</v>
      </c>
    </row>
    <row r="53" spans="1:8" x14ac:dyDescent="0.3">
      <c r="A53" s="8">
        <v>43100.296759259261</v>
      </c>
      <c r="B53" s="20" t="s">
        <v>675</v>
      </c>
      <c r="C53" s="20" t="s">
        <v>728</v>
      </c>
      <c r="D53" s="137">
        <v>2560000</v>
      </c>
      <c r="E53" s="20" t="s">
        <v>533</v>
      </c>
      <c r="F53" s="20" t="s">
        <v>534</v>
      </c>
      <c r="G53" s="8" t="str">
        <f t="shared" si="0"/>
        <v>MACDONALD THOMAS</v>
      </c>
      <c r="H53" s="20" t="str">
        <f t="shared" si="1"/>
        <v>4026</v>
      </c>
    </row>
    <row r="54" spans="1:8" x14ac:dyDescent="0.3">
      <c r="A54" s="8">
        <v>43100.297962962963</v>
      </c>
      <c r="B54" s="20" t="s">
        <v>360</v>
      </c>
      <c r="C54" s="20" t="s">
        <v>729</v>
      </c>
      <c r="D54" s="137">
        <v>2010000</v>
      </c>
      <c r="E54" s="20" t="s">
        <v>486</v>
      </c>
      <c r="F54" s="20" t="s">
        <v>487</v>
      </c>
      <c r="G54" s="8" t="str">
        <f t="shared" si="0"/>
        <v>MAELZER KURT</v>
      </c>
      <c r="H54" s="20" t="str">
        <f t="shared" si="1"/>
        <v>4018</v>
      </c>
    </row>
    <row r="55" spans="1:8" x14ac:dyDescent="0.3">
      <c r="A55" s="8">
        <v>43100.299270833333</v>
      </c>
      <c r="B55" s="20" t="s">
        <v>450</v>
      </c>
      <c r="C55" s="20" t="s">
        <v>730</v>
      </c>
      <c r="D55" s="137">
        <v>1100000</v>
      </c>
      <c r="E55" s="20" t="s">
        <v>703</v>
      </c>
      <c r="F55" s="20" t="s">
        <v>704</v>
      </c>
      <c r="G55" s="8" t="str">
        <f t="shared" si="0"/>
        <v>GEBRETEKLE DAGNEW</v>
      </c>
      <c r="H55" s="20" t="str">
        <f t="shared" si="1"/>
        <v>4051</v>
      </c>
    </row>
    <row r="56" spans="1:8" x14ac:dyDescent="0.3">
      <c r="A56" s="8">
        <v>43100.308807870373</v>
      </c>
      <c r="B56" s="20" t="s">
        <v>683</v>
      </c>
      <c r="C56" s="20" t="s">
        <v>731</v>
      </c>
      <c r="D56" s="137">
        <v>2560000</v>
      </c>
      <c r="E56" s="20" t="s">
        <v>533</v>
      </c>
      <c r="F56" s="20" t="s">
        <v>534</v>
      </c>
      <c r="G56" s="8" t="str">
        <f t="shared" si="0"/>
        <v>MACDONALD THOMAS</v>
      </c>
      <c r="H56" s="20" t="str">
        <f t="shared" si="1"/>
        <v>4025</v>
      </c>
    </row>
    <row r="57" spans="1:8" x14ac:dyDescent="0.3">
      <c r="A57" s="8">
        <v>43100.308900462966</v>
      </c>
      <c r="B57" s="20" t="s">
        <v>475</v>
      </c>
      <c r="C57" s="20" t="s">
        <v>732</v>
      </c>
      <c r="D57" s="137">
        <v>3090000</v>
      </c>
      <c r="E57" s="20" t="s">
        <v>574</v>
      </c>
      <c r="F57" s="20" t="s">
        <v>575</v>
      </c>
      <c r="G57" s="8" t="str">
        <f t="shared" si="0"/>
        <v>LAMAR NEKESHA</v>
      </c>
      <c r="H57" s="20" t="str">
        <f t="shared" si="1"/>
        <v>4016</v>
      </c>
    </row>
    <row r="58" spans="1:8" x14ac:dyDescent="0.3">
      <c r="A58" s="8">
        <v>43100.31795138889</v>
      </c>
      <c r="B58" s="20" t="s">
        <v>604</v>
      </c>
      <c r="C58" s="20" t="s">
        <v>733</v>
      </c>
      <c r="D58" s="137">
        <v>2440000</v>
      </c>
      <c r="E58" s="20" t="s">
        <v>451</v>
      </c>
      <c r="F58" s="20" t="s">
        <v>452</v>
      </c>
      <c r="G58" s="8" t="str">
        <f t="shared" si="0"/>
        <v>LOPES KIMBERLY</v>
      </c>
      <c r="H58" s="20" t="str">
        <f t="shared" si="1"/>
        <v>4034</v>
      </c>
    </row>
    <row r="59" spans="1:8" x14ac:dyDescent="0.3">
      <c r="A59" s="8">
        <v>43100.32099537037</v>
      </c>
      <c r="B59" s="20" t="s">
        <v>371</v>
      </c>
      <c r="C59" s="20" t="s">
        <v>734</v>
      </c>
      <c r="D59" s="137">
        <v>3120000</v>
      </c>
      <c r="E59" s="20" t="s">
        <v>369</v>
      </c>
      <c r="F59" s="20" t="s">
        <v>573</v>
      </c>
      <c r="G59" s="8" t="str">
        <f t="shared" si="0"/>
        <v>THOMPSON LESTER</v>
      </c>
      <c r="H59" s="20" t="str">
        <f t="shared" si="1"/>
        <v>4011</v>
      </c>
    </row>
    <row r="60" spans="1:8" x14ac:dyDescent="0.3">
      <c r="A60" s="8">
        <v>43100.328541666669</v>
      </c>
      <c r="B60" s="20" t="s">
        <v>681</v>
      </c>
      <c r="C60" s="20" t="s">
        <v>735</v>
      </c>
      <c r="D60" s="137">
        <v>3040000</v>
      </c>
      <c r="E60" s="20" t="s">
        <v>368</v>
      </c>
      <c r="F60" s="20" t="s">
        <v>488</v>
      </c>
      <c r="G60" s="8" t="str">
        <f t="shared" si="0"/>
        <v>WILLIAMS DONTE</v>
      </c>
      <c r="H60" s="20" t="str">
        <f t="shared" si="1"/>
        <v>4001</v>
      </c>
    </row>
    <row r="61" spans="1:8" x14ac:dyDescent="0.3">
      <c r="A61" s="8">
        <v>43100.328935185185</v>
      </c>
      <c r="B61" s="20" t="s">
        <v>383</v>
      </c>
      <c r="C61" s="20" t="s">
        <v>736</v>
      </c>
      <c r="D61" s="137">
        <v>2370000</v>
      </c>
      <c r="E61" s="20" t="s">
        <v>613</v>
      </c>
      <c r="F61" s="20" t="s">
        <v>614</v>
      </c>
      <c r="G61" s="8" t="str">
        <f t="shared" si="0"/>
        <v>DELGADO DIANAH</v>
      </c>
      <c r="H61" s="20" t="str">
        <f t="shared" si="1"/>
        <v>4062</v>
      </c>
    </row>
    <row r="62" spans="1:8" x14ac:dyDescent="0.3">
      <c r="A62" s="8">
        <v>43100.335092592592</v>
      </c>
      <c r="B62" s="20" t="s">
        <v>362</v>
      </c>
      <c r="C62" s="20" t="s">
        <v>737</v>
      </c>
      <c r="D62" s="137">
        <v>2010000</v>
      </c>
      <c r="E62" s="20" t="s">
        <v>486</v>
      </c>
      <c r="F62" s="20" t="s">
        <v>487</v>
      </c>
      <c r="G62" s="8" t="str">
        <f t="shared" si="0"/>
        <v>MAELZER KURT</v>
      </c>
      <c r="H62" s="20" t="str">
        <f t="shared" si="1"/>
        <v>4017</v>
      </c>
    </row>
    <row r="63" spans="1:8" x14ac:dyDescent="0.3">
      <c r="A63" s="8">
        <v>43100.337812500002</v>
      </c>
      <c r="B63" s="20" t="s">
        <v>448</v>
      </c>
      <c r="C63" s="20" t="s">
        <v>738</v>
      </c>
      <c r="D63" s="137">
        <v>1100000</v>
      </c>
      <c r="E63" s="20" t="s">
        <v>703</v>
      </c>
      <c r="F63" s="20" t="s">
        <v>704</v>
      </c>
      <c r="G63" s="8" t="str">
        <f t="shared" si="0"/>
        <v>GEBRETEKLE DAGNEW</v>
      </c>
      <c r="H63" s="20" t="str">
        <f t="shared" si="1"/>
        <v>4052</v>
      </c>
    </row>
    <row r="64" spans="1:8" x14ac:dyDescent="0.3">
      <c r="A64" s="26">
        <v>43100.338506944441</v>
      </c>
      <c r="B64" s="20" t="s">
        <v>675</v>
      </c>
      <c r="C64" s="20" t="s">
        <v>676</v>
      </c>
      <c r="D64" s="137">
        <v>2560000</v>
      </c>
      <c r="E64" s="20" t="s">
        <v>533</v>
      </c>
      <c r="F64" s="20" t="s">
        <v>534</v>
      </c>
      <c r="G64" s="8" t="str">
        <f t="shared" si="0"/>
        <v>MACDONALD THOMAS</v>
      </c>
      <c r="H64" s="20" t="str">
        <f t="shared" si="1"/>
        <v>4026</v>
      </c>
    </row>
    <row r="65" spans="1:8" x14ac:dyDescent="0.3">
      <c r="A65" s="8">
        <v>43100.348530092589</v>
      </c>
      <c r="B65" s="20" t="s">
        <v>606</v>
      </c>
      <c r="C65" s="20" t="s">
        <v>739</v>
      </c>
      <c r="D65" s="137">
        <v>2440000</v>
      </c>
      <c r="E65" s="20" t="s">
        <v>451</v>
      </c>
      <c r="F65" s="20" t="s">
        <v>452</v>
      </c>
      <c r="G65" s="8" t="str">
        <f t="shared" si="0"/>
        <v>LOPES KIMBERLY</v>
      </c>
      <c r="H65" s="20" t="str">
        <f t="shared" si="1"/>
        <v>4033</v>
      </c>
    </row>
    <row r="66" spans="1:8" x14ac:dyDescent="0.3">
      <c r="A66" s="8">
        <v>43100.350752314815</v>
      </c>
      <c r="B66" s="20" t="s">
        <v>473</v>
      </c>
      <c r="C66" s="20" t="s">
        <v>740</v>
      </c>
      <c r="D66" s="137">
        <v>3090000</v>
      </c>
      <c r="E66" s="20" t="s">
        <v>574</v>
      </c>
      <c r="F66" s="20" t="s">
        <v>575</v>
      </c>
      <c r="G66" s="8" t="str">
        <f t="shared" si="0"/>
        <v>LAMAR NEKESHA</v>
      </c>
      <c r="H66" s="20" t="str">
        <f t="shared" si="1"/>
        <v>4015</v>
      </c>
    </row>
    <row r="67" spans="1:8" x14ac:dyDescent="0.3">
      <c r="A67" s="8">
        <v>43100.350914351853</v>
      </c>
      <c r="B67" s="20" t="s">
        <v>683</v>
      </c>
      <c r="C67" s="20" t="s">
        <v>741</v>
      </c>
      <c r="D67" s="137">
        <v>2560000</v>
      </c>
      <c r="E67" s="20" t="s">
        <v>533</v>
      </c>
      <c r="F67" s="20" t="s">
        <v>534</v>
      </c>
      <c r="G67" s="8" t="str">
        <f t="shared" ref="G67:G130" si="2">E67&amp;" "&amp;F67</f>
        <v>MACDONALD THOMAS</v>
      </c>
      <c r="H67" s="20" t="str">
        <f t="shared" ref="H67:H130" si="3">MID(B67,13,4)</f>
        <v>4025</v>
      </c>
    </row>
    <row r="68" spans="1:8" x14ac:dyDescent="0.3">
      <c r="A68" s="8">
        <v>43100.352881944447</v>
      </c>
      <c r="B68" s="20" t="s">
        <v>370</v>
      </c>
      <c r="C68" s="20" t="s">
        <v>677</v>
      </c>
      <c r="D68" s="137">
        <v>3120000</v>
      </c>
      <c r="E68" s="20" t="s">
        <v>369</v>
      </c>
      <c r="F68" s="20" t="s">
        <v>573</v>
      </c>
      <c r="G68" s="8" t="str">
        <f t="shared" si="2"/>
        <v>THOMPSON LESTER</v>
      </c>
      <c r="H68" s="20" t="str">
        <f t="shared" si="3"/>
        <v>4012</v>
      </c>
    </row>
    <row r="69" spans="1:8" x14ac:dyDescent="0.3">
      <c r="A69" s="8">
        <v>43100.359895833331</v>
      </c>
      <c r="B69" s="20" t="s">
        <v>710</v>
      </c>
      <c r="C69" s="20" t="s">
        <v>742</v>
      </c>
      <c r="D69" s="137">
        <v>3040000</v>
      </c>
      <c r="E69" s="20" t="s">
        <v>368</v>
      </c>
      <c r="F69" s="20" t="s">
        <v>488</v>
      </c>
      <c r="G69" s="8" t="str">
        <f t="shared" si="2"/>
        <v>WILLIAMS DONTE</v>
      </c>
      <c r="H69" s="20" t="str">
        <f t="shared" si="3"/>
        <v>4002</v>
      </c>
    </row>
    <row r="70" spans="1:8" x14ac:dyDescent="0.3">
      <c r="A70" s="8">
        <v>43100.368935185186</v>
      </c>
      <c r="B70" s="20" t="s">
        <v>450</v>
      </c>
      <c r="C70" s="20" t="s">
        <v>743</v>
      </c>
      <c r="D70" s="137">
        <v>1100000</v>
      </c>
      <c r="E70" s="20" t="s">
        <v>703</v>
      </c>
      <c r="F70" s="20" t="s">
        <v>704</v>
      </c>
      <c r="G70" s="8" t="str">
        <f t="shared" si="2"/>
        <v>GEBRETEKLE DAGNEW</v>
      </c>
      <c r="H70" s="20" t="str">
        <f t="shared" si="3"/>
        <v>4051</v>
      </c>
    </row>
    <row r="71" spans="1:8" x14ac:dyDescent="0.3">
      <c r="A71" s="8">
        <v>43100.370787037034</v>
      </c>
      <c r="B71" s="20" t="s">
        <v>360</v>
      </c>
      <c r="C71" s="20" t="s">
        <v>744</v>
      </c>
      <c r="D71" s="137">
        <v>2010000</v>
      </c>
      <c r="E71" s="20" t="s">
        <v>486</v>
      </c>
      <c r="F71" s="20" t="s">
        <v>487</v>
      </c>
      <c r="G71" s="8" t="str">
        <f t="shared" si="2"/>
        <v>MAELZER KURT</v>
      </c>
      <c r="H71" s="20" t="str">
        <f t="shared" si="3"/>
        <v>4018</v>
      </c>
    </row>
    <row r="72" spans="1:8" x14ac:dyDescent="0.3">
      <c r="A72" s="8">
        <v>43100.371099537035</v>
      </c>
      <c r="B72" s="20" t="s">
        <v>385</v>
      </c>
      <c r="C72" s="20" t="s">
        <v>745</v>
      </c>
      <c r="D72" s="137">
        <v>2370000</v>
      </c>
      <c r="E72" s="20" t="s">
        <v>613</v>
      </c>
      <c r="F72" s="20" t="s">
        <v>614</v>
      </c>
      <c r="G72" s="8" t="str">
        <f t="shared" si="2"/>
        <v>DELGADO DIANAH</v>
      </c>
      <c r="H72" s="20" t="str">
        <f t="shared" si="3"/>
        <v>4061</v>
      </c>
    </row>
    <row r="73" spans="1:8" x14ac:dyDescent="0.3">
      <c r="A73" s="8">
        <v>43100.381018518521</v>
      </c>
      <c r="B73" s="20" t="s">
        <v>675</v>
      </c>
      <c r="C73" s="20" t="s">
        <v>746</v>
      </c>
      <c r="D73" s="137">
        <v>2560000</v>
      </c>
      <c r="E73" s="20" t="s">
        <v>533</v>
      </c>
      <c r="F73" s="20" t="s">
        <v>534</v>
      </c>
      <c r="G73" s="8" t="str">
        <f t="shared" si="2"/>
        <v>MACDONALD THOMAS</v>
      </c>
      <c r="H73" s="20" t="str">
        <f t="shared" si="3"/>
        <v>4026</v>
      </c>
    </row>
    <row r="74" spans="1:8" x14ac:dyDescent="0.3">
      <c r="A74" s="8">
        <v>43100.381030092591</v>
      </c>
      <c r="B74" s="20" t="s">
        <v>475</v>
      </c>
      <c r="C74" s="20" t="s">
        <v>747</v>
      </c>
      <c r="D74" s="137">
        <v>3090000</v>
      </c>
      <c r="E74" s="20" t="s">
        <v>574</v>
      </c>
      <c r="F74" s="20" t="s">
        <v>575</v>
      </c>
      <c r="G74" s="8" t="str">
        <f t="shared" si="2"/>
        <v>LAMAR NEKESHA</v>
      </c>
      <c r="H74" s="20" t="str">
        <f t="shared" si="3"/>
        <v>4016</v>
      </c>
    </row>
    <row r="75" spans="1:8" x14ac:dyDescent="0.3">
      <c r="A75" s="8">
        <v>43100.39</v>
      </c>
      <c r="B75" s="20" t="s">
        <v>604</v>
      </c>
      <c r="C75" s="20" t="s">
        <v>748</v>
      </c>
      <c r="D75" s="137">
        <v>2440000</v>
      </c>
      <c r="E75" s="20" t="s">
        <v>451</v>
      </c>
      <c r="F75" s="20" t="s">
        <v>452</v>
      </c>
      <c r="G75" s="8" t="str">
        <f t="shared" si="2"/>
        <v>LOPES KIMBERLY</v>
      </c>
      <c r="H75" s="20" t="str">
        <f t="shared" si="3"/>
        <v>4034</v>
      </c>
    </row>
    <row r="76" spans="1:8" x14ac:dyDescent="0.3">
      <c r="A76" s="8">
        <v>43100.392118055555</v>
      </c>
      <c r="B76" s="20" t="s">
        <v>683</v>
      </c>
      <c r="C76" s="20" t="s">
        <v>749</v>
      </c>
      <c r="D76" s="137">
        <v>2560000</v>
      </c>
      <c r="E76" s="20" t="s">
        <v>533</v>
      </c>
      <c r="F76" s="20" t="s">
        <v>534</v>
      </c>
      <c r="G76" s="8" t="str">
        <f t="shared" si="2"/>
        <v>MACDONALD THOMAS</v>
      </c>
      <c r="H76" s="20" t="str">
        <f t="shared" si="3"/>
        <v>4025</v>
      </c>
    </row>
    <row r="77" spans="1:8" x14ac:dyDescent="0.3">
      <c r="A77" s="8">
        <v>43100.392881944441</v>
      </c>
      <c r="B77" s="20" t="s">
        <v>371</v>
      </c>
      <c r="C77" s="20" t="s">
        <v>750</v>
      </c>
      <c r="D77" s="137">
        <v>3120000</v>
      </c>
      <c r="E77" s="20" t="s">
        <v>369</v>
      </c>
      <c r="F77" s="20" t="s">
        <v>573</v>
      </c>
      <c r="G77" s="8" t="str">
        <f t="shared" si="2"/>
        <v>THOMPSON LESTER</v>
      </c>
      <c r="H77" s="20" t="str">
        <f t="shared" si="3"/>
        <v>4011</v>
      </c>
    </row>
    <row r="78" spans="1:8" x14ac:dyDescent="0.3">
      <c r="A78" s="8">
        <v>43100.399710648147</v>
      </c>
      <c r="B78" s="20" t="s">
        <v>681</v>
      </c>
      <c r="C78" s="20" t="s">
        <v>751</v>
      </c>
      <c r="D78" s="137">
        <v>3040000</v>
      </c>
      <c r="E78" s="20" t="s">
        <v>368</v>
      </c>
      <c r="F78" s="20" t="s">
        <v>488</v>
      </c>
      <c r="G78" s="8" t="str">
        <f t="shared" si="2"/>
        <v>WILLIAMS DONTE</v>
      </c>
      <c r="H78" s="20" t="str">
        <f t="shared" si="3"/>
        <v>4001</v>
      </c>
    </row>
    <row r="79" spans="1:8" x14ac:dyDescent="0.3">
      <c r="A79" s="8">
        <v>43100.401342592595</v>
      </c>
      <c r="B79" s="20" t="s">
        <v>383</v>
      </c>
      <c r="C79" s="20" t="s">
        <v>752</v>
      </c>
      <c r="D79" s="137">
        <v>2370000</v>
      </c>
      <c r="E79" s="20" t="s">
        <v>613</v>
      </c>
      <c r="F79" s="20" t="s">
        <v>614</v>
      </c>
      <c r="G79" s="8" t="str">
        <f t="shared" si="2"/>
        <v>DELGADO DIANAH</v>
      </c>
      <c r="H79" s="20" t="str">
        <f t="shared" si="3"/>
        <v>4062</v>
      </c>
    </row>
    <row r="80" spans="1:8" x14ac:dyDescent="0.3">
      <c r="A80" s="8">
        <v>43100.410300925927</v>
      </c>
      <c r="B80" s="20" t="s">
        <v>362</v>
      </c>
      <c r="C80" s="20" t="s">
        <v>753</v>
      </c>
      <c r="D80" s="137">
        <v>2010000</v>
      </c>
      <c r="E80" s="20" t="s">
        <v>486</v>
      </c>
      <c r="F80" s="20" t="s">
        <v>487</v>
      </c>
      <c r="G80" s="8" t="str">
        <f t="shared" si="2"/>
        <v>MAELZER KURT</v>
      </c>
      <c r="H80" s="20" t="str">
        <f t="shared" si="3"/>
        <v>4017</v>
      </c>
    </row>
    <row r="81" spans="1:8" x14ac:dyDescent="0.3">
      <c r="A81" s="8">
        <v>43100.411944444444</v>
      </c>
      <c r="B81" s="20" t="s">
        <v>448</v>
      </c>
      <c r="C81" s="20" t="s">
        <v>754</v>
      </c>
      <c r="D81" s="137">
        <v>1100000</v>
      </c>
      <c r="E81" s="20" t="s">
        <v>703</v>
      </c>
      <c r="F81" s="20" t="s">
        <v>704</v>
      </c>
      <c r="G81" s="8" t="str">
        <f t="shared" si="2"/>
        <v>GEBRETEKLE DAGNEW</v>
      </c>
      <c r="H81" s="20" t="str">
        <f t="shared" si="3"/>
        <v>4052</v>
      </c>
    </row>
    <row r="82" spans="1:8" x14ac:dyDescent="0.3">
      <c r="A82" s="8">
        <v>43100.42255787037</v>
      </c>
      <c r="B82" s="20" t="s">
        <v>473</v>
      </c>
      <c r="C82" s="20" t="s">
        <v>755</v>
      </c>
      <c r="D82" s="137">
        <v>3090000</v>
      </c>
      <c r="E82" s="20" t="s">
        <v>574</v>
      </c>
      <c r="F82" s="20" t="s">
        <v>575</v>
      </c>
      <c r="G82" s="8" t="str">
        <f t="shared" si="2"/>
        <v>LAMAR NEKESHA</v>
      </c>
      <c r="H82" s="20" t="str">
        <f t="shared" si="3"/>
        <v>4015</v>
      </c>
    </row>
    <row r="83" spans="1:8" x14ac:dyDescent="0.3">
      <c r="A83" s="8">
        <v>43100.423310185186</v>
      </c>
      <c r="B83" s="20" t="s">
        <v>675</v>
      </c>
      <c r="C83" s="20" t="s">
        <v>756</v>
      </c>
      <c r="D83" s="137">
        <v>2560000</v>
      </c>
      <c r="E83" s="20" t="s">
        <v>533</v>
      </c>
      <c r="F83" s="20" t="s">
        <v>534</v>
      </c>
      <c r="G83" s="8" t="str">
        <f t="shared" si="2"/>
        <v>MACDONALD THOMAS</v>
      </c>
      <c r="H83" s="20" t="str">
        <f t="shared" si="3"/>
        <v>4026</v>
      </c>
    </row>
    <row r="84" spans="1:8" x14ac:dyDescent="0.3">
      <c r="A84" s="8">
        <v>43100.424016203702</v>
      </c>
      <c r="B84" s="20" t="s">
        <v>370</v>
      </c>
      <c r="C84" s="20" t="s">
        <v>678</v>
      </c>
      <c r="D84" s="137">
        <v>2270000</v>
      </c>
      <c r="E84" s="20" t="s">
        <v>576</v>
      </c>
      <c r="F84" s="20" t="s">
        <v>577</v>
      </c>
      <c r="G84" s="8" t="str">
        <f t="shared" si="2"/>
        <v>BROWN JACOB</v>
      </c>
      <c r="H84" s="20" t="str">
        <f t="shared" si="3"/>
        <v>4012</v>
      </c>
    </row>
    <row r="85" spans="1:8" x14ac:dyDescent="0.3">
      <c r="A85" s="8">
        <v>43100.425833333335</v>
      </c>
      <c r="B85" s="20" t="s">
        <v>606</v>
      </c>
      <c r="C85" s="20" t="s">
        <v>679</v>
      </c>
      <c r="D85" s="137">
        <v>2440000</v>
      </c>
      <c r="E85" s="20" t="s">
        <v>451</v>
      </c>
      <c r="F85" s="20" t="s">
        <v>452</v>
      </c>
      <c r="G85" s="8" t="str">
        <f t="shared" si="2"/>
        <v>LOPES KIMBERLY</v>
      </c>
      <c r="H85" s="20" t="str">
        <f t="shared" si="3"/>
        <v>4033</v>
      </c>
    </row>
    <row r="86" spans="1:8" x14ac:dyDescent="0.3">
      <c r="A86" s="8">
        <v>43100.433749999997</v>
      </c>
      <c r="B86" s="20" t="s">
        <v>710</v>
      </c>
      <c r="C86" s="20" t="s">
        <v>757</v>
      </c>
      <c r="D86" s="137">
        <v>3040000</v>
      </c>
      <c r="E86" s="20" t="s">
        <v>368</v>
      </c>
      <c r="F86" s="20" t="s">
        <v>488</v>
      </c>
      <c r="G86" s="8" t="str">
        <f t="shared" si="2"/>
        <v>WILLIAMS DONTE</v>
      </c>
      <c r="H86" s="20" t="str">
        <f t="shared" si="3"/>
        <v>4002</v>
      </c>
    </row>
    <row r="87" spans="1:8" x14ac:dyDescent="0.3">
      <c r="A87" s="8">
        <v>43100.43478009259</v>
      </c>
      <c r="B87" s="20" t="s">
        <v>683</v>
      </c>
      <c r="C87" s="20" t="s">
        <v>758</v>
      </c>
      <c r="D87" s="137">
        <v>2560000</v>
      </c>
      <c r="E87" s="20" t="s">
        <v>533</v>
      </c>
      <c r="F87" s="20" t="s">
        <v>534</v>
      </c>
      <c r="G87" s="8" t="str">
        <f t="shared" si="2"/>
        <v>MACDONALD THOMAS</v>
      </c>
      <c r="H87" s="20" t="str">
        <f t="shared" si="3"/>
        <v>4025</v>
      </c>
    </row>
    <row r="88" spans="1:8" x14ac:dyDescent="0.3">
      <c r="A88" s="8">
        <v>43100.438888888886</v>
      </c>
      <c r="B88" s="20" t="s">
        <v>385</v>
      </c>
      <c r="C88" s="20" t="s">
        <v>759</v>
      </c>
      <c r="D88" s="137">
        <v>2370000</v>
      </c>
      <c r="E88" s="20" t="s">
        <v>613</v>
      </c>
      <c r="F88" s="20" t="s">
        <v>614</v>
      </c>
      <c r="G88" s="8" t="str">
        <f t="shared" si="2"/>
        <v>DELGADO DIANAH</v>
      </c>
      <c r="H88" s="20" t="str">
        <f t="shared" si="3"/>
        <v>4061</v>
      </c>
    </row>
    <row r="89" spans="1:8" x14ac:dyDescent="0.3">
      <c r="A89" s="8">
        <v>43100.442662037036</v>
      </c>
      <c r="B89" s="20" t="s">
        <v>450</v>
      </c>
      <c r="C89" s="20" t="s">
        <v>760</v>
      </c>
      <c r="D89" s="137">
        <v>1100000</v>
      </c>
      <c r="E89" s="20" t="s">
        <v>703</v>
      </c>
      <c r="F89" s="20" t="s">
        <v>704</v>
      </c>
      <c r="G89" s="8" t="str">
        <f t="shared" si="2"/>
        <v>GEBRETEKLE DAGNEW</v>
      </c>
      <c r="H89" s="20" t="str">
        <f t="shared" si="3"/>
        <v>4051</v>
      </c>
    </row>
    <row r="90" spans="1:8" x14ac:dyDescent="0.3">
      <c r="A90" s="8">
        <v>43100.444652777776</v>
      </c>
      <c r="B90" s="20" t="s">
        <v>360</v>
      </c>
      <c r="C90" s="20" t="s">
        <v>761</v>
      </c>
      <c r="D90" s="137">
        <v>880000</v>
      </c>
      <c r="E90" s="20" t="s">
        <v>762</v>
      </c>
      <c r="F90" s="20" t="s">
        <v>352</v>
      </c>
      <c r="G90" s="8" t="str">
        <f t="shared" si="2"/>
        <v>STEWART MICHAEL</v>
      </c>
      <c r="H90" s="20" t="str">
        <f t="shared" si="3"/>
        <v>4018</v>
      </c>
    </row>
    <row r="91" spans="1:8" x14ac:dyDescent="0.3">
      <c r="A91" s="8">
        <v>43100.456342592595</v>
      </c>
      <c r="B91" s="20" t="s">
        <v>475</v>
      </c>
      <c r="C91" s="20" t="s">
        <v>763</v>
      </c>
      <c r="D91" s="137">
        <v>3090000</v>
      </c>
      <c r="E91" s="20" t="s">
        <v>574</v>
      </c>
      <c r="F91" s="20" t="s">
        <v>575</v>
      </c>
      <c r="G91" s="8" t="str">
        <f t="shared" si="2"/>
        <v>LAMAR NEKESHA</v>
      </c>
      <c r="H91" s="20" t="str">
        <f t="shared" si="3"/>
        <v>4016</v>
      </c>
    </row>
    <row r="92" spans="1:8" x14ac:dyDescent="0.3">
      <c r="A92" s="8">
        <v>43100.464155092595</v>
      </c>
      <c r="B92" s="20" t="s">
        <v>675</v>
      </c>
      <c r="C92" s="20" t="s">
        <v>764</v>
      </c>
      <c r="D92" s="137">
        <v>2560000</v>
      </c>
      <c r="E92" s="20" t="s">
        <v>533</v>
      </c>
      <c r="F92" s="20" t="s">
        <v>534</v>
      </c>
      <c r="G92" s="8" t="str">
        <f t="shared" si="2"/>
        <v>MACDONALD THOMAS</v>
      </c>
      <c r="H92" s="20" t="str">
        <f t="shared" si="3"/>
        <v>4026</v>
      </c>
    </row>
    <row r="93" spans="1:8" x14ac:dyDescent="0.3">
      <c r="A93" s="8">
        <v>43100.464930555558</v>
      </c>
      <c r="B93" s="20" t="s">
        <v>371</v>
      </c>
      <c r="C93" s="20" t="s">
        <v>765</v>
      </c>
      <c r="D93" s="137">
        <v>2270000</v>
      </c>
      <c r="E93" s="20" t="s">
        <v>576</v>
      </c>
      <c r="F93" s="20" t="s">
        <v>577</v>
      </c>
      <c r="G93" s="8" t="str">
        <f t="shared" si="2"/>
        <v>BROWN JACOB</v>
      </c>
      <c r="H93" s="20" t="str">
        <f t="shared" si="3"/>
        <v>4011</v>
      </c>
    </row>
    <row r="94" spans="1:8" x14ac:dyDescent="0.3">
      <c r="A94" s="8">
        <v>43100.466122685182</v>
      </c>
      <c r="B94" s="20" t="s">
        <v>604</v>
      </c>
      <c r="C94" s="20" t="s">
        <v>766</v>
      </c>
      <c r="D94" s="137">
        <v>920000</v>
      </c>
      <c r="E94" s="20" t="s">
        <v>615</v>
      </c>
      <c r="F94" s="20" t="s">
        <v>352</v>
      </c>
      <c r="G94" s="8" t="str">
        <f t="shared" si="2"/>
        <v>DAVIS MICHAEL</v>
      </c>
      <c r="H94" s="20" t="str">
        <f t="shared" si="3"/>
        <v>4034</v>
      </c>
    </row>
    <row r="95" spans="1:8" x14ac:dyDescent="0.3">
      <c r="A95" s="8">
        <v>43100.473993055559</v>
      </c>
      <c r="B95" s="20" t="s">
        <v>681</v>
      </c>
      <c r="C95" s="20" t="s">
        <v>767</v>
      </c>
      <c r="D95" s="137">
        <v>3040000</v>
      </c>
      <c r="E95" s="20" t="s">
        <v>368</v>
      </c>
      <c r="F95" s="20" t="s">
        <v>488</v>
      </c>
      <c r="G95" s="8" t="str">
        <f t="shared" si="2"/>
        <v>WILLIAMS DONTE</v>
      </c>
      <c r="H95" s="20" t="str">
        <f t="shared" si="3"/>
        <v>4001</v>
      </c>
    </row>
    <row r="96" spans="1:8" x14ac:dyDescent="0.3">
      <c r="A96" s="8">
        <v>43100.475624999999</v>
      </c>
      <c r="B96" s="20" t="s">
        <v>383</v>
      </c>
      <c r="C96" s="20" t="s">
        <v>768</v>
      </c>
      <c r="D96" s="137">
        <v>2630000</v>
      </c>
      <c r="E96" s="20" t="s">
        <v>372</v>
      </c>
      <c r="F96" s="20" t="s">
        <v>373</v>
      </c>
      <c r="G96" s="8" t="str">
        <f t="shared" si="2"/>
        <v>SAFIEF AEIMEN</v>
      </c>
      <c r="H96" s="20" t="str">
        <f t="shared" si="3"/>
        <v>4062</v>
      </c>
    </row>
    <row r="97" spans="1:8" x14ac:dyDescent="0.3">
      <c r="A97" s="8">
        <v>43100.475868055553</v>
      </c>
      <c r="B97" s="20" t="s">
        <v>683</v>
      </c>
      <c r="C97" s="20" t="s">
        <v>769</v>
      </c>
      <c r="D97" s="137">
        <v>2560000</v>
      </c>
      <c r="E97" s="20" t="s">
        <v>533</v>
      </c>
      <c r="F97" s="20" t="s">
        <v>534</v>
      </c>
      <c r="G97" s="8" t="str">
        <f t="shared" si="2"/>
        <v>MACDONALD THOMAS</v>
      </c>
      <c r="H97" s="20" t="str">
        <f t="shared" si="3"/>
        <v>4025</v>
      </c>
    </row>
    <row r="98" spans="1:8" x14ac:dyDescent="0.3">
      <c r="A98" s="8">
        <v>43100.482268518521</v>
      </c>
      <c r="B98" s="20" t="s">
        <v>362</v>
      </c>
      <c r="C98" s="20" t="s">
        <v>770</v>
      </c>
      <c r="D98" s="137">
        <v>880000</v>
      </c>
      <c r="E98" s="20" t="s">
        <v>762</v>
      </c>
      <c r="F98" s="20" t="s">
        <v>352</v>
      </c>
      <c r="G98" s="8" t="str">
        <f t="shared" si="2"/>
        <v>STEWART MICHAEL</v>
      </c>
      <c r="H98" s="20" t="str">
        <f t="shared" si="3"/>
        <v>4017</v>
      </c>
    </row>
    <row r="99" spans="1:8" x14ac:dyDescent="0.3">
      <c r="A99" s="8">
        <v>43100.483483796299</v>
      </c>
      <c r="B99" s="20" t="s">
        <v>448</v>
      </c>
      <c r="C99" s="20" t="s">
        <v>771</v>
      </c>
      <c r="D99" s="137">
        <v>2970000</v>
      </c>
      <c r="E99" s="20" t="s">
        <v>374</v>
      </c>
      <c r="F99" s="20" t="s">
        <v>375</v>
      </c>
      <c r="G99" s="8" t="str">
        <f t="shared" si="2"/>
        <v>GUZMAN DANNY</v>
      </c>
      <c r="H99" s="20" t="str">
        <f t="shared" si="3"/>
        <v>4052</v>
      </c>
    </row>
    <row r="100" spans="1:8" x14ac:dyDescent="0.3">
      <c r="A100" s="8">
        <v>43100.485833333332</v>
      </c>
      <c r="B100" s="20" t="s">
        <v>498</v>
      </c>
      <c r="C100" s="20" t="s">
        <v>694</v>
      </c>
      <c r="D100" s="137">
        <v>2540000</v>
      </c>
      <c r="E100" s="20" t="s">
        <v>453</v>
      </c>
      <c r="F100" s="20" t="s">
        <v>454</v>
      </c>
      <c r="G100" s="8" t="str">
        <f t="shared" si="2"/>
        <v>MCREYNOLDS KYLE</v>
      </c>
      <c r="H100" s="20" t="str">
        <f t="shared" si="3"/>
        <v>4044</v>
      </c>
    </row>
    <row r="101" spans="1:8" x14ac:dyDescent="0.3">
      <c r="A101" s="8">
        <v>43100.488993055558</v>
      </c>
      <c r="B101" s="20" t="s">
        <v>499</v>
      </c>
      <c r="C101" s="20" t="s">
        <v>694</v>
      </c>
      <c r="D101" s="137">
        <v>2540000</v>
      </c>
      <c r="E101" s="20" t="s">
        <v>453</v>
      </c>
      <c r="F101" s="20" t="s">
        <v>454</v>
      </c>
      <c r="G101" s="8" t="str">
        <f t="shared" si="2"/>
        <v>MCREYNOLDS KYLE</v>
      </c>
      <c r="H101" s="20" t="str">
        <f t="shared" si="3"/>
        <v>4043</v>
      </c>
    </row>
    <row r="102" spans="1:8" x14ac:dyDescent="0.3">
      <c r="A102" s="8">
        <v>43100.496967592589</v>
      </c>
      <c r="B102" s="20" t="s">
        <v>473</v>
      </c>
      <c r="C102" s="20" t="s">
        <v>772</v>
      </c>
      <c r="D102" s="137">
        <v>3090000</v>
      </c>
      <c r="E102" s="20" t="s">
        <v>574</v>
      </c>
      <c r="F102" s="20" t="s">
        <v>575</v>
      </c>
      <c r="G102" s="8" t="str">
        <f t="shared" si="2"/>
        <v>LAMAR NEKESHA</v>
      </c>
      <c r="H102" s="20" t="str">
        <f t="shared" si="3"/>
        <v>4015</v>
      </c>
    </row>
    <row r="103" spans="1:8" x14ac:dyDescent="0.3">
      <c r="A103" s="8">
        <v>43100.49763888889</v>
      </c>
      <c r="B103" s="20" t="s">
        <v>498</v>
      </c>
      <c r="C103" s="20" t="s">
        <v>773</v>
      </c>
      <c r="D103" s="137">
        <v>2270000</v>
      </c>
      <c r="E103" s="20" t="s">
        <v>576</v>
      </c>
      <c r="F103" s="20" t="s">
        <v>577</v>
      </c>
      <c r="G103" s="8" t="str">
        <f t="shared" si="2"/>
        <v>BROWN JACOB</v>
      </c>
      <c r="H103" s="20" t="str">
        <f t="shared" si="3"/>
        <v>4044</v>
      </c>
    </row>
    <row r="104" spans="1:8" x14ac:dyDescent="0.3">
      <c r="A104" s="8">
        <v>43100.500821759262</v>
      </c>
      <c r="B104" s="20" t="s">
        <v>675</v>
      </c>
      <c r="C104" s="20" t="s">
        <v>774</v>
      </c>
      <c r="D104" s="137">
        <v>2560000</v>
      </c>
      <c r="E104" s="20" t="s">
        <v>533</v>
      </c>
      <c r="F104" s="20" t="s">
        <v>534</v>
      </c>
      <c r="G104" s="8" t="str">
        <f t="shared" si="2"/>
        <v>MACDONALD THOMAS</v>
      </c>
      <c r="H104" s="20" t="str">
        <f t="shared" si="3"/>
        <v>4026</v>
      </c>
    </row>
    <row r="105" spans="1:8" x14ac:dyDescent="0.3">
      <c r="A105" s="8">
        <v>43100.505393518521</v>
      </c>
      <c r="B105" s="20" t="s">
        <v>710</v>
      </c>
      <c r="C105" s="20" t="s">
        <v>775</v>
      </c>
      <c r="D105" s="137">
        <v>3330000</v>
      </c>
      <c r="E105" s="20" t="s">
        <v>500</v>
      </c>
      <c r="F105" s="20" t="s">
        <v>501</v>
      </c>
      <c r="G105" s="8" t="str">
        <f t="shared" si="2"/>
        <v>GONZALEZ ARMANDO</v>
      </c>
      <c r="H105" s="20" t="str">
        <f t="shared" si="3"/>
        <v>4002</v>
      </c>
    </row>
    <row r="106" spans="1:8" x14ac:dyDescent="0.3">
      <c r="A106" s="8">
        <v>43100.505995370368</v>
      </c>
      <c r="B106" s="20" t="s">
        <v>606</v>
      </c>
      <c r="C106" s="20" t="s">
        <v>776</v>
      </c>
      <c r="D106" s="137">
        <v>920000</v>
      </c>
      <c r="E106" s="20" t="s">
        <v>615</v>
      </c>
      <c r="F106" s="20" t="s">
        <v>352</v>
      </c>
      <c r="G106" s="8" t="str">
        <f t="shared" si="2"/>
        <v>DAVIS MICHAEL</v>
      </c>
      <c r="H106" s="20" t="str">
        <f t="shared" si="3"/>
        <v>4033</v>
      </c>
    </row>
    <row r="107" spans="1:8" x14ac:dyDescent="0.3">
      <c r="A107" s="8">
        <v>43100.515763888892</v>
      </c>
      <c r="B107" s="20" t="s">
        <v>385</v>
      </c>
      <c r="C107" s="20" t="s">
        <v>777</v>
      </c>
      <c r="D107" s="137">
        <v>2630000</v>
      </c>
      <c r="E107" s="20" t="s">
        <v>372</v>
      </c>
      <c r="F107" s="20" t="s">
        <v>373</v>
      </c>
      <c r="G107" s="8" t="str">
        <f t="shared" si="2"/>
        <v>SAFIEF AEIMEN</v>
      </c>
      <c r="H107" s="20" t="str">
        <f t="shared" si="3"/>
        <v>4061</v>
      </c>
    </row>
    <row r="108" spans="1:8" x14ac:dyDescent="0.3">
      <c r="A108" s="8">
        <v>43100.517511574071</v>
      </c>
      <c r="B108" s="20" t="s">
        <v>683</v>
      </c>
      <c r="C108" s="20" t="s">
        <v>778</v>
      </c>
      <c r="D108" s="137">
        <v>2560000</v>
      </c>
      <c r="E108" s="20" t="s">
        <v>533</v>
      </c>
      <c r="F108" s="20" t="s">
        <v>534</v>
      </c>
      <c r="G108" s="8" t="str">
        <f t="shared" si="2"/>
        <v>MACDONALD THOMAS</v>
      </c>
      <c r="H108" s="20" t="str">
        <f t="shared" si="3"/>
        <v>4025</v>
      </c>
    </row>
    <row r="109" spans="1:8" x14ac:dyDescent="0.3">
      <c r="A109" s="8">
        <v>43100.517777777779</v>
      </c>
      <c r="B109" s="20" t="s">
        <v>360</v>
      </c>
      <c r="C109" s="20" t="s">
        <v>779</v>
      </c>
      <c r="D109" s="137">
        <v>880000</v>
      </c>
      <c r="E109" s="20" t="s">
        <v>762</v>
      </c>
      <c r="F109" s="20" t="s">
        <v>352</v>
      </c>
      <c r="G109" s="8" t="str">
        <f t="shared" si="2"/>
        <v>STEWART MICHAEL</v>
      </c>
      <c r="H109" s="20" t="str">
        <f t="shared" si="3"/>
        <v>4018</v>
      </c>
    </row>
    <row r="110" spans="1:8" x14ac:dyDescent="0.3">
      <c r="A110" s="8">
        <v>43100.519155092596</v>
      </c>
      <c r="B110" s="20" t="s">
        <v>450</v>
      </c>
      <c r="C110" s="20" t="s">
        <v>780</v>
      </c>
      <c r="D110" s="137">
        <v>2970000</v>
      </c>
      <c r="E110" s="20" t="s">
        <v>374</v>
      </c>
      <c r="F110" s="20" t="s">
        <v>375</v>
      </c>
      <c r="G110" s="8" t="str">
        <f t="shared" si="2"/>
        <v>GUZMAN DANNY</v>
      </c>
      <c r="H110" s="20" t="str">
        <f t="shared" si="3"/>
        <v>4051</v>
      </c>
    </row>
    <row r="111" spans="1:8" x14ac:dyDescent="0.3">
      <c r="A111" s="8">
        <v>43100.52752314815</v>
      </c>
      <c r="B111" s="20" t="s">
        <v>475</v>
      </c>
      <c r="C111" s="20" t="s">
        <v>781</v>
      </c>
      <c r="D111" s="137">
        <v>2230000</v>
      </c>
      <c r="E111" s="20" t="s">
        <v>393</v>
      </c>
      <c r="F111" s="20" t="s">
        <v>352</v>
      </c>
      <c r="G111" s="8" t="str">
        <f t="shared" si="2"/>
        <v>SMITH MICHAEL</v>
      </c>
      <c r="H111" s="20" t="str">
        <f t="shared" si="3"/>
        <v>4016</v>
      </c>
    </row>
    <row r="112" spans="1:8" x14ac:dyDescent="0.3">
      <c r="A112" s="8">
        <v>43100.537916666668</v>
      </c>
      <c r="B112" s="20" t="s">
        <v>499</v>
      </c>
      <c r="C112" s="20" t="s">
        <v>680</v>
      </c>
      <c r="D112" s="137">
        <v>2270000</v>
      </c>
      <c r="E112" s="20" t="s">
        <v>576</v>
      </c>
      <c r="F112" s="20" t="s">
        <v>577</v>
      </c>
      <c r="G112" s="8" t="str">
        <f t="shared" si="2"/>
        <v>BROWN JACOB</v>
      </c>
      <c r="H112" s="20" t="str">
        <f t="shared" si="3"/>
        <v>4043</v>
      </c>
    </row>
    <row r="113" spans="1:8" x14ac:dyDescent="0.3">
      <c r="A113" s="8">
        <v>43100.539027777777</v>
      </c>
      <c r="B113" s="20" t="s">
        <v>604</v>
      </c>
      <c r="C113" s="20" t="s">
        <v>782</v>
      </c>
      <c r="D113" s="137">
        <v>920000</v>
      </c>
      <c r="E113" s="20" t="s">
        <v>615</v>
      </c>
      <c r="F113" s="20" t="s">
        <v>352</v>
      </c>
      <c r="G113" s="8" t="str">
        <f t="shared" si="2"/>
        <v>DAVIS MICHAEL</v>
      </c>
      <c r="H113" s="20" t="str">
        <f t="shared" si="3"/>
        <v>4034</v>
      </c>
    </row>
    <row r="114" spans="1:8" x14ac:dyDescent="0.3">
      <c r="A114" s="8">
        <v>43100.545254629629</v>
      </c>
      <c r="B114" s="20" t="s">
        <v>681</v>
      </c>
      <c r="C114" s="20" t="s">
        <v>682</v>
      </c>
      <c r="D114" s="137">
        <v>3330000</v>
      </c>
      <c r="E114" s="20" t="s">
        <v>500</v>
      </c>
      <c r="F114" s="20" t="s">
        <v>501</v>
      </c>
      <c r="G114" s="8" t="str">
        <f t="shared" si="2"/>
        <v>GONZALEZ ARMANDO</v>
      </c>
      <c r="H114" s="20" t="str">
        <f t="shared" si="3"/>
        <v>4001</v>
      </c>
    </row>
    <row r="115" spans="1:8" x14ac:dyDescent="0.3">
      <c r="A115" s="8">
        <v>43100.547766203701</v>
      </c>
      <c r="B115" s="20" t="s">
        <v>675</v>
      </c>
      <c r="C115" s="20" t="s">
        <v>783</v>
      </c>
      <c r="D115" s="137">
        <v>2560000</v>
      </c>
      <c r="E115" s="20" t="s">
        <v>533</v>
      </c>
      <c r="F115" s="20" t="s">
        <v>534</v>
      </c>
      <c r="G115" s="8" t="str">
        <f t="shared" si="2"/>
        <v>MACDONALD THOMAS</v>
      </c>
      <c r="H115" s="20" t="str">
        <f t="shared" si="3"/>
        <v>4026</v>
      </c>
    </row>
    <row r="116" spans="1:8" x14ac:dyDescent="0.3">
      <c r="A116" s="8">
        <v>43100.550416666665</v>
      </c>
      <c r="B116" s="20" t="s">
        <v>383</v>
      </c>
      <c r="C116" s="20" t="s">
        <v>784</v>
      </c>
      <c r="D116" s="137">
        <v>2630000</v>
      </c>
      <c r="E116" s="20" t="s">
        <v>372</v>
      </c>
      <c r="F116" s="20" t="s">
        <v>373</v>
      </c>
      <c r="G116" s="8" t="str">
        <f t="shared" si="2"/>
        <v>SAFIEF AEIMEN</v>
      </c>
      <c r="H116" s="20" t="str">
        <f t="shared" si="3"/>
        <v>4062</v>
      </c>
    </row>
    <row r="117" spans="1:8" x14ac:dyDescent="0.3">
      <c r="A117" s="8">
        <v>43100.557858796295</v>
      </c>
      <c r="B117" s="20" t="s">
        <v>362</v>
      </c>
      <c r="C117" s="20" t="s">
        <v>785</v>
      </c>
      <c r="D117" s="137">
        <v>880000</v>
      </c>
      <c r="E117" s="20" t="s">
        <v>762</v>
      </c>
      <c r="F117" s="20" t="s">
        <v>352</v>
      </c>
      <c r="G117" s="8" t="str">
        <f t="shared" si="2"/>
        <v>STEWART MICHAEL</v>
      </c>
      <c r="H117" s="20" t="str">
        <f t="shared" si="3"/>
        <v>4017</v>
      </c>
    </row>
    <row r="118" spans="1:8" x14ac:dyDescent="0.3">
      <c r="A118" s="8">
        <v>43100.559652777774</v>
      </c>
      <c r="B118" s="20" t="s">
        <v>448</v>
      </c>
      <c r="C118" s="20" t="s">
        <v>786</v>
      </c>
      <c r="D118" s="137">
        <v>2970000</v>
      </c>
      <c r="E118" s="20" t="s">
        <v>374</v>
      </c>
      <c r="F118" s="20" t="s">
        <v>375</v>
      </c>
      <c r="G118" s="8" t="str">
        <f t="shared" si="2"/>
        <v>GUZMAN DANNY</v>
      </c>
      <c r="H118" s="20" t="str">
        <f t="shared" si="3"/>
        <v>4052</v>
      </c>
    </row>
    <row r="119" spans="1:8" x14ac:dyDescent="0.3">
      <c r="A119" s="8">
        <v>43100.559710648151</v>
      </c>
      <c r="B119" s="20" t="s">
        <v>683</v>
      </c>
      <c r="C119" s="20" t="s">
        <v>787</v>
      </c>
      <c r="D119" s="137">
        <v>2560000</v>
      </c>
      <c r="E119" s="20" t="s">
        <v>533</v>
      </c>
      <c r="F119" s="20" t="s">
        <v>534</v>
      </c>
      <c r="G119" s="8" t="str">
        <f t="shared" si="2"/>
        <v>MACDONALD THOMAS</v>
      </c>
      <c r="H119" s="20" t="str">
        <f t="shared" si="3"/>
        <v>4025</v>
      </c>
    </row>
    <row r="120" spans="1:8" x14ac:dyDescent="0.3">
      <c r="A120" s="8">
        <v>43100.564143518517</v>
      </c>
      <c r="B120" s="20" t="s">
        <v>473</v>
      </c>
      <c r="C120" s="20" t="s">
        <v>788</v>
      </c>
      <c r="D120" s="137">
        <v>2230000</v>
      </c>
      <c r="E120" s="20" t="s">
        <v>393</v>
      </c>
      <c r="F120" s="20" t="s">
        <v>352</v>
      </c>
      <c r="G120" s="8" t="str">
        <f t="shared" si="2"/>
        <v>SMITH MICHAEL</v>
      </c>
      <c r="H120" s="20" t="str">
        <f t="shared" si="3"/>
        <v>4015</v>
      </c>
    </row>
    <row r="121" spans="1:8" x14ac:dyDescent="0.3">
      <c r="A121" s="8">
        <v>43100.570405092592</v>
      </c>
      <c r="B121" s="20" t="s">
        <v>498</v>
      </c>
      <c r="C121" s="20" t="s">
        <v>789</v>
      </c>
      <c r="D121" s="137">
        <v>2270000</v>
      </c>
      <c r="E121" s="20" t="s">
        <v>576</v>
      </c>
      <c r="F121" s="20" t="s">
        <v>577</v>
      </c>
      <c r="G121" s="8" t="str">
        <f t="shared" si="2"/>
        <v>BROWN JACOB</v>
      </c>
      <c r="H121" s="20" t="str">
        <f t="shared" si="3"/>
        <v>4044</v>
      </c>
    </row>
    <row r="122" spans="1:8" x14ac:dyDescent="0.3">
      <c r="A122" s="8">
        <v>43100.577511574076</v>
      </c>
      <c r="B122" s="25" t="s">
        <v>370</v>
      </c>
      <c r="C122" s="20" t="s">
        <v>790</v>
      </c>
      <c r="D122" s="137">
        <v>2540000</v>
      </c>
      <c r="E122" s="20" t="s">
        <v>453</v>
      </c>
      <c r="F122" s="20" t="s">
        <v>454</v>
      </c>
      <c r="G122" s="8" t="str">
        <f t="shared" si="2"/>
        <v>MCREYNOLDS KYLE</v>
      </c>
      <c r="H122" s="20" t="str">
        <f t="shared" si="3"/>
        <v>4012</v>
      </c>
    </row>
    <row r="123" spans="1:8" x14ac:dyDescent="0.3">
      <c r="A123" s="8">
        <v>43100.578287037039</v>
      </c>
      <c r="B123" s="20" t="s">
        <v>710</v>
      </c>
      <c r="C123" s="20" t="s">
        <v>791</v>
      </c>
      <c r="D123" s="137">
        <v>3330000</v>
      </c>
      <c r="E123" s="20" t="s">
        <v>500</v>
      </c>
      <c r="F123" s="20" t="s">
        <v>501</v>
      </c>
      <c r="G123" s="8" t="str">
        <f t="shared" si="2"/>
        <v>GONZALEZ ARMANDO</v>
      </c>
      <c r="H123" s="20" t="str">
        <f t="shared" si="3"/>
        <v>4002</v>
      </c>
    </row>
    <row r="124" spans="1:8" x14ac:dyDescent="0.3">
      <c r="A124" s="8">
        <v>43100.579826388886</v>
      </c>
      <c r="B124" s="20" t="s">
        <v>606</v>
      </c>
      <c r="C124" s="20" t="s">
        <v>792</v>
      </c>
      <c r="D124" s="137">
        <v>920000</v>
      </c>
      <c r="E124" s="20" t="s">
        <v>615</v>
      </c>
      <c r="F124" s="20" t="s">
        <v>352</v>
      </c>
      <c r="G124" s="8" t="str">
        <f t="shared" si="2"/>
        <v>DAVIS MICHAEL</v>
      </c>
      <c r="H124" s="20" t="str">
        <f t="shared" si="3"/>
        <v>4033</v>
      </c>
    </row>
    <row r="125" spans="1:8" x14ac:dyDescent="0.3">
      <c r="A125" s="8">
        <v>43100.580254629633</v>
      </c>
      <c r="B125" s="20" t="s">
        <v>385</v>
      </c>
      <c r="C125" s="20" t="s">
        <v>793</v>
      </c>
      <c r="D125" s="137">
        <v>2630000</v>
      </c>
      <c r="E125" s="20" t="s">
        <v>372</v>
      </c>
      <c r="F125" s="20" t="s">
        <v>373</v>
      </c>
      <c r="G125" s="8" t="str">
        <f t="shared" si="2"/>
        <v>SAFIEF AEIMEN</v>
      </c>
      <c r="H125" s="20" t="str">
        <f t="shared" si="3"/>
        <v>4061</v>
      </c>
    </row>
    <row r="126" spans="1:8" x14ac:dyDescent="0.3">
      <c r="A126" s="8">
        <v>43100.584629629629</v>
      </c>
      <c r="B126" s="20" t="s">
        <v>444</v>
      </c>
      <c r="C126" s="20" t="s">
        <v>794</v>
      </c>
      <c r="D126" s="137">
        <v>3030000</v>
      </c>
      <c r="E126" s="20" t="s">
        <v>795</v>
      </c>
      <c r="F126" s="20" t="s">
        <v>534</v>
      </c>
      <c r="G126" s="8" t="str">
        <f t="shared" si="2"/>
        <v>BIRENBAUM THOMAS</v>
      </c>
      <c r="H126" s="20" t="str">
        <f t="shared" si="3"/>
        <v>4049</v>
      </c>
    </row>
    <row r="127" spans="1:8" x14ac:dyDescent="0.3">
      <c r="A127" s="8">
        <v>43100.584988425922</v>
      </c>
      <c r="B127" s="20" t="s">
        <v>675</v>
      </c>
      <c r="C127" s="20" t="s">
        <v>796</v>
      </c>
      <c r="D127" s="137">
        <v>2420000</v>
      </c>
      <c r="E127" s="20" t="s">
        <v>493</v>
      </c>
      <c r="F127" s="20" t="s">
        <v>494</v>
      </c>
      <c r="G127" s="8" t="str">
        <f t="shared" si="2"/>
        <v>HOLCOMB KAMDEN</v>
      </c>
      <c r="H127" s="20" t="str">
        <f t="shared" si="3"/>
        <v>4026</v>
      </c>
    </row>
    <row r="128" spans="1:8" x14ac:dyDescent="0.3">
      <c r="A128" s="8">
        <v>43100.591689814813</v>
      </c>
      <c r="B128" s="20" t="s">
        <v>360</v>
      </c>
      <c r="C128" s="20" t="s">
        <v>797</v>
      </c>
      <c r="D128" s="137">
        <v>880000</v>
      </c>
      <c r="E128" s="20" t="s">
        <v>762</v>
      </c>
      <c r="F128" s="20" t="s">
        <v>352</v>
      </c>
      <c r="G128" s="8" t="str">
        <f t="shared" si="2"/>
        <v>STEWART MICHAEL</v>
      </c>
      <c r="H128" s="20" t="str">
        <f t="shared" si="3"/>
        <v>4018</v>
      </c>
    </row>
    <row r="129" spans="1:8" x14ac:dyDescent="0.3">
      <c r="A129" s="8">
        <v>43100.599085648151</v>
      </c>
      <c r="B129" s="20" t="s">
        <v>571</v>
      </c>
      <c r="C129" s="20" t="s">
        <v>798</v>
      </c>
      <c r="D129" s="137">
        <v>2540000</v>
      </c>
      <c r="E129" s="20" t="s">
        <v>453</v>
      </c>
      <c r="F129" s="20" t="s">
        <v>454</v>
      </c>
      <c r="G129" s="8" t="str">
        <f t="shared" si="2"/>
        <v>MCREYNOLDS KYLE</v>
      </c>
      <c r="H129" s="20" t="str">
        <f t="shared" si="3"/>
        <v>4057</v>
      </c>
    </row>
    <row r="130" spans="1:8" x14ac:dyDescent="0.3">
      <c r="A130" s="8">
        <v>43100.599236111113</v>
      </c>
      <c r="B130" s="20" t="s">
        <v>450</v>
      </c>
      <c r="C130" s="20" t="s">
        <v>799</v>
      </c>
      <c r="D130" s="137">
        <v>2970000</v>
      </c>
      <c r="E130" s="20" t="s">
        <v>374</v>
      </c>
      <c r="F130" s="20" t="s">
        <v>375</v>
      </c>
      <c r="G130" s="8" t="str">
        <f t="shared" si="2"/>
        <v>GUZMAN DANNY</v>
      </c>
      <c r="H130" s="20" t="str">
        <f t="shared" si="3"/>
        <v>4051</v>
      </c>
    </row>
    <row r="131" spans="1:8" x14ac:dyDescent="0.3">
      <c r="A131" s="8">
        <v>43100.599849537037</v>
      </c>
      <c r="B131" s="20" t="s">
        <v>475</v>
      </c>
      <c r="C131" s="20" t="s">
        <v>800</v>
      </c>
      <c r="D131" s="137">
        <v>2230000</v>
      </c>
      <c r="E131" s="20" t="s">
        <v>393</v>
      </c>
      <c r="F131" s="20" t="s">
        <v>352</v>
      </c>
      <c r="G131" s="8" t="str">
        <f t="shared" ref="G131:G194" si="4">E131&amp;" "&amp;F131</f>
        <v>SMITH MICHAEL</v>
      </c>
      <c r="H131" s="20" t="str">
        <f t="shared" ref="H131:H194" si="5">MID(B131,13,4)</f>
        <v>4016</v>
      </c>
    </row>
    <row r="132" spans="1:8" x14ac:dyDescent="0.3">
      <c r="A132" s="8">
        <v>43100.601458333331</v>
      </c>
      <c r="B132" s="20" t="s">
        <v>683</v>
      </c>
      <c r="C132" s="20" t="s">
        <v>684</v>
      </c>
      <c r="D132" s="137">
        <v>2420000</v>
      </c>
      <c r="E132" s="20" t="s">
        <v>493</v>
      </c>
      <c r="F132" s="20" t="s">
        <v>494</v>
      </c>
      <c r="G132" s="8" t="str">
        <f t="shared" si="4"/>
        <v>HOLCOMB KAMDEN</v>
      </c>
      <c r="H132" s="20" t="str">
        <f t="shared" si="5"/>
        <v>4025</v>
      </c>
    </row>
    <row r="133" spans="1:8" x14ac:dyDescent="0.3">
      <c r="A133" s="8">
        <v>43100.609560185185</v>
      </c>
      <c r="B133" s="20" t="s">
        <v>499</v>
      </c>
      <c r="C133" s="20" t="s">
        <v>801</v>
      </c>
      <c r="D133" s="137">
        <v>2270000</v>
      </c>
      <c r="E133" s="20" t="s">
        <v>576</v>
      </c>
      <c r="F133" s="20" t="s">
        <v>577</v>
      </c>
      <c r="G133" s="8" t="str">
        <f t="shared" si="4"/>
        <v>BROWN JACOB</v>
      </c>
      <c r="H133" s="20" t="str">
        <f t="shared" si="5"/>
        <v>4043</v>
      </c>
    </row>
    <row r="134" spans="1:8" x14ac:dyDescent="0.3">
      <c r="A134" s="8">
        <v>43100.613391203704</v>
      </c>
      <c r="B134" s="20" t="s">
        <v>604</v>
      </c>
      <c r="C134" s="20" t="s">
        <v>802</v>
      </c>
      <c r="D134" s="137">
        <v>920000</v>
      </c>
      <c r="E134" s="20" t="s">
        <v>615</v>
      </c>
      <c r="F134" s="20" t="s">
        <v>352</v>
      </c>
      <c r="G134" s="8" t="str">
        <f t="shared" si="4"/>
        <v>DAVIS MICHAEL</v>
      </c>
      <c r="H134" s="20" t="str">
        <f t="shared" si="5"/>
        <v>4034</v>
      </c>
    </row>
    <row r="135" spans="1:8" x14ac:dyDescent="0.3">
      <c r="A135" s="8">
        <v>43100.618923611109</v>
      </c>
      <c r="B135" s="20" t="s">
        <v>681</v>
      </c>
      <c r="C135" s="20" t="s">
        <v>803</v>
      </c>
      <c r="D135" s="137">
        <v>3330000</v>
      </c>
      <c r="E135" s="20" t="s">
        <v>500</v>
      </c>
      <c r="F135" s="20" t="s">
        <v>501</v>
      </c>
      <c r="G135" s="8" t="str">
        <f t="shared" si="4"/>
        <v>GONZALEZ ARMANDO</v>
      </c>
      <c r="H135" s="20" t="str">
        <f t="shared" si="5"/>
        <v>4001</v>
      </c>
    </row>
    <row r="136" spans="1:8" x14ac:dyDescent="0.3">
      <c r="A136" s="8">
        <v>43100.623194444444</v>
      </c>
      <c r="B136" s="20" t="s">
        <v>383</v>
      </c>
      <c r="C136" s="20" t="s">
        <v>804</v>
      </c>
      <c r="D136" s="137">
        <v>2630000</v>
      </c>
      <c r="E136" s="20" t="s">
        <v>372</v>
      </c>
      <c r="F136" s="20" t="s">
        <v>373</v>
      </c>
      <c r="G136" s="8" t="str">
        <f t="shared" si="4"/>
        <v>SAFIEF AEIMEN</v>
      </c>
      <c r="H136" s="20" t="str">
        <f t="shared" si="5"/>
        <v>4062</v>
      </c>
    </row>
    <row r="137" spans="1:8" x14ac:dyDescent="0.3">
      <c r="A137" s="8">
        <v>43100.62736111111</v>
      </c>
      <c r="B137" s="20" t="s">
        <v>675</v>
      </c>
      <c r="C137" s="20" t="s">
        <v>685</v>
      </c>
      <c r="D137" s="137">
        <v>2420000</v>
      </c>
      <c r="E137" s="20" t="s">
        <v>493</v>
      </c>
      <c r="F137" s="20" t="s">
        <v>494</v>
      </c>
      <c r="G137" s="8" t="str">
        <f t="shared" si="4"/>
        <v>HOLCOMB KAMDEN</v>
      </c>
      <c r="H137" s="20" t="str">
        <f t="shared" si="5"/>
        <v>4026</v>
      </c>
    </row>
    <row r="138" spans="1:8" x14ac:dyDescent="0.3">
      <c r="A138" s="8">
        <v>43100.631238425929</v>
      </c>
      <c r="B138" s="20" t="s">
        <v>362</v>
      </c>
      <c r="C138" s="20" t="s">
        <v>805</v>
      </c>
      <c r="D138" s="137">
        <v>880000</v>
      </c>
      <c r="E138" s="20" t="s">
        <v>762</v>
      </c>
      <c r="F138" s="20" t="s">
        <v>352</v>
      </c>
      <c r="G138" s="8" t="str">
        <f t="shared" si="4"/>
        <v>STEWART MICHAEL</v>
      </c>
      <c r="H138" s="20" t="str">
        <f t="shared" si="5"/>
        <v>4017</v>
      </c>
    </row>
    <row r="139" spans="1:8" x14ac:dyDescent="0.3">
      <c r="A139" s="8">
        <v>43100.633055555554</v>
      </c>
      <c r="B139" s="20" t="s">
        <v>448</v>
      </c>
      <c r="C139" s="20" t="s">
        <v>806</v>
      </c>
      <c r="D139" s="137">
        <v>2970000</v>
      </c>
      <c r="E139" s="20" t="s">
        <v>374</v>
      </c>
      <c r="F139" s="20" t="s">
        <v>375</v>
      </c>
      <c r="G139" s="8" t="str">
        <f t="shared" si="4"/>
        <v>GUZMAN DANNY</v>
      </c>
      <c r="H139" s="20" t="str">
        <f t="shared" si="5"/>
        <v>4052</v>
      </c>
    </row>
    <row r="140" spans="1:8" x14ac:dyDescent="0.3">
      <c r="A140" s="8">
        <v>43100.634756944448</v>
      </c>
      <c r="B140" s="20" t="s">
        <v>473</v>
      </c>
      <c r="C140" s="20" t="s">
        <v>807</v>
      </c>
      <c r="D140" s="137">
        <v>2230000</v>
      </c>
      <c r="E140" s="20" t="s">
        <v>393</v>
      </c>
      <c r="F140" s="20" t="s">
        <v>352</v>
      </c>
      <c r="G140" s="8" t="str">
        <f t="shared" si="4"/>
        <v>SMITH MICHAEL</v>
      </c>
      <c r="H140" s="20" t="str">
        <f t="shared" si="5"/>
        <v>4015</v>
      </c>
    </row>
    <row r="141" spans="1:8" x14ac:dyDescent="0.3">
      <c r="A141" s="8">
        <v>43100.643206018518</v>
      </c>
      <c r="B141" s="20" t="s">
        <v>498</v>
      </c>
      <c r="C141" s="20" t="s">
        <v>808</v>
      </c>
      <c r="D141" s="137">
        <v>2270000</v>
      </c>
      <c r="E141" s="20" t="s">
        <v>576</v>
      </c>
      <c r="F141" s="20" t="s">
        <v>577</v>
      </c>
      <c r="G141" s="8" t="str">
        <f t="shared" si="4"/>
        <v>BROWN JACOB</v>
      </c>
      <c r="H141" s="20" t="str">
        <f t="shared" si="5"/>
        <v>4044</v>
      </c>
    </row>
    <row r="142" spans="1:8" x14ac:dyDescent="0.3">
      <c r="A142" s="8">
        <v>43100.643541666665</v>
      </c>
      <c r="B142" s="20" t="s">
        <v>683</v>
      </c>
      <c r="C142" s="20" t="s">
        <v>809</v>
      </c>
      <c r="D142" s="137">
        <v>2420000</v>
      </c>
      <c r="E142" s="20" t="s">
        <v>493</v>
      </c>
      <c r="F142" s="20" t="s">
        <v>494</v>
      </c>
      <c r="G142" s="8" t="str">
        <f t="shared" si="4"/>
        <v>HOLCOMB KAMDEN</v>
      </c>
      <c r="H142" s="20" t="str">
        <f t="shared" si="5"/>
        <v>4025</v>
      </c>
    </row>
    <row r="143" spans="1:8" x14ac:dyDescent="0.3">
      <c r="A143" s="8">
        <v>43100.65152777778</v>
      </c>
      <c r="B143" s="20" t="s">
        <v>710</v>
      </c>
      <c r="C143" s="20" t="s">
        <v>810</v>
      </c>
      <c r="D143" s="137">
        <v>3330000</v>
      </c>
      <c r="E143" s="20" t="s">
        <v>500</v>
      </c>
      <c r="F143" s="20" t="s">
        <v>501</v>
      </c>
      <c r="G143" s="8" t="str">
        <f t="shared" si="4"/>
        <v>GONZALEZ ARMANDO</v>
      </c>
      <c r="H143" s="20" t="str">
        <f t="shared" si="5"/>
        <v>4002</v>
      </c>
    </row>
    <row r="144" spans="1:8" x14ac:dyDescent="0.3">
      <c r="A144" s="8">
        <v>43100.653171296297</v>
      </c>
      <c r="B144" s="20" t="s">
        <v>606</v>
      </c>
      <c r="C144" s="20" t="s">
        <v>811</v>
      </c>
      <c r="D144" s="137">
        <v>920000</v>
      </c>
      <c r="E144" s="20" t="s">
        <v>615</v>
      </c>
      <c r="F144" s="20" t="s">
        <v>352</v>
      </c>
      <c r="G144" s="8" t="str">
        <f t="shared" si="4"/>
        <v>DAVIS MICHAEL</v>
      </c>
      <c r="H144" s="20" t="str">
        <f t="shared" si="5"/>
        <v>4033</v>
      </c>
    </row>
    <row r="145" spans="1:8" x14ac:dyDescent="0.3">
      <c r="A145" s="8">
        <v>43100.653368055559</v>
      </c>
      <c r="B145" s="20" t="s">
        <v>385</v>
      </c>
      <c r="C145" s="20" t="s">
        <v>812</v>
      </c>
      <c r="D145" s="137">
        <v>2630000</v>
      </c>
      <c r="E145" s="20" t="s">
        <v>372</v>
      </c>
      <c r="F145" s="20" t="s">
        <v>373</v>
      </c>
      <c r="G145" s="8" t="str">
        <f t="shared" si="4"/>
        <v>SAFIEF AEIMEN</v>
      </c>
      <c r="H145" s="20" t="str">
        <f t="shared" si="5"/>
        <v>4061</v>
      </c>
    </row>
    <row r="146" spans="1:8" x14ac:dyDescent="0.3">
      <c r="A146" s="8">
        <v>43100.663229166668</v>
      </c>
      <c r="B146" s="20" t="s">
        <v>360</v>
      </c>
      <c r="C146" s="20" t="s">
        <v>813</v>
      </c>
      <c r="D146" s="137">
        <v>880000</v>
      </c>
      <c r="E146" s="20" t="s">
        <v>762</v>
      </c>
      <c r="F146" s="20" t="s">
        <v>352</v>
      </c>
      <c r="G146" s="8" t="str">
        <f t="shared" si="4"/>
        <v>STEWART MICHAEL</v>
      </c>
      <c r="H146" s="20" t="str">
        <f t="shared" si="5"/>
        <v>4018</v>
      </c>
    </row>
    <row r="147" spans="1:8" x14ac:dyDescent="0.3">
      <c r="A147" s="8">
        <v>43100.665243055555</v>
      </c>
      <c r="B147" s="20" t="s">
        <v>450</v>
      </c>
      <c r="C147" s="20" t="s">
        <v>814</v>
      </c>
      <c r="D147" s="137">
        <v>2970000</v>
      </c>
      <c r="E147" s="20" t="s">
        <v>374</v>
      </c>
      <c r="F147" s="20" t="s">
        <v>375</v>
      </c>
      <c r="G147" s="8" t="str">
        <f t="shared" si="4"/>
        <v>GUZMAN DANNY</v>
      </c>
      <c r="H147" s="20" t="str">
        <f t="shared" si="5"/>
        <v>4051</v>
      </c>
    </row>
    <row r="148" spans="1:8" x14ac:dyDescent="0.3">
      <c r="A148" s="8">
        <v>43100.668715277781</v>
      </c>
      <c r="B148" s="20" t="s">
        <v>675</v>
      </c>
      <c r="C148" s="20" t="s">
        <v>815</v>
      </c>
      <c r="D148" s="137">
        <v>2420000</v>
      </c>
      <c r="E148" s="20" t="s">
        <v>493</v>
      </c>
      <c r="F148" s="20" t="s">
        <v>494</v>
      </c>
      <c r="G148" s="8" t="str">
        <f t="shared" si="4"/>
        <v>HOLCOMB KAMDEN</v>
      </c>
      <c r="H148" s="20" t="str">
        <f t="shared" si="5"/>
        <v>4026</v>
      </c>
    </row>
    <row r="149" spans="1:8" x14ac:dyDescent="0.3">
      <c r="A149" s="8">
        <v>43100.66914351852</v>
      </c>
      <c r="B149" s="20" t="s">
        <v>816</v>
      </c>
      <c r="C149" s="20" t="s">
        <v>817</v>
      </c>
      <c r="D149" s="137">
        <v>2470000</v>
      </c>
      <c r="E149" s="20" t="s">
        <v>818</v>
      </c>
      <c r="F149" s="20" t="s">
        <v>819</v>
      </c>
      <c r="G149" s="8" t="str">
        <f t="shared" si="4"/>
        <v>ROMERO CHAD</v>
      </c>
      <c r="H149" s="20" t="str">
        <f t="shared" si="5"/>
        <v>4058</v>
      </c>
    </row>
    <row r="150" spans="1:8" x14ac:dyDescent="0.3">
      <c r="A150" s="8">
        <v>43100.672118055554</v>
      </c>
      <c r="B150" s="20" t="s">
        <v>475</v>
      </c>
      <c r="C150" s="20" t="s">
        <v>820</v>
      </c>
      <c r="D150" s="137">
        <v>2230000</v>
      </c>
      <c r="E150" s="20" t="s">
        <v>393</v>
      </c>
      <c r="F150" s="20" t="s">
        <v>352</v>
      </c>
      <c r="G150" s="8" t="str">
        <f t="shared" si="4"/>
        <v>SMITH MICHAEL</v>
      </c>
      <c r="H150" s="20" t="str">
        <f t="shared" si="5"/>
        <v>4016</v>
      </c>
    </row>
    <row r="151" spans="1:8" x14ac:dyDescent="0.3">
      <c r="A151" s="8">
        <v>43100.681388888886</v>
      </c>
      <c r="B151" s="20" t="s">
        <v>499</v>
      </c>
      <c r="C151" s="20" t="s">
        <v>821</v>
      </c>
      <c r="D151" s="137">
        <v>2270000</v>
      </c>
      <c r="E151" s="20" t="s">
        <v>576</v>
      </c>
      <c r="F151" s="20" t="s">
        <v>577</v>
      </c>
      <c r="G151" s="8" t="str">
        <f t="shared" si="4"/>
        <v>BROWN JACOB</v>
      </c>
      <c r="H151" s="20" t="str">
        <f t="shared" si="5"/>
        <v>4043</v>
      </c>
    </row>
    <row r="152" spans="1:8" x14ac:dyDescent="0.3">
      <c r="A152" s="8">
        <v>43100.684421296297</v>
      </c>
      <c r="B152" s="20" t="s">
        <v>604</v>
      </c>
      <c r="C152" s="20" t="s">
        <v>822</v>
      </c>
      <c r="D152" s="137">
        <v>920000</v>
      </c>
      <c r="E152" s="20" t="s">
        <v>615</v>
      </c>
      <c r="F152" s="20" t="s">
        <v>352</v>
      </c>
      <c r="G152" s="8" t="str">
        <f t="shared" si="4"/>
        <v>DAVIS MICHAEL</v>
      </c>
      <c r="H152" s="20" t="str">
        <f t="shared" si="5"/>
        <v>4034</v>
      </c>
    </row>
    <row r="153" spans="1:8" x14ac:dyDescent="0.3">
      <c r="A153" s="8">
        <v>43100.684479166666</v>
      </c>
      <c r="B153" s="20" t="s">
        <v>683</v>
      </c>
      <c r="C153" s="20" t="s">
        <v>823</v>
      </c>
      <c r="D153" s="137">
        <v>2420000</v>
      </c>
      <c r="E153" s="20" t="s">
        <v>493</v>
      </c>
      <c r="F153" s="20" t="s">
        <v>494</v>
      </c>
      <c r="G153" s="8" t="str">
        <f t="shared" si="4"/>
        <v>HOLCOMB KAMDEN</v>
      </c>
      <c r="H153" s="20" t="str">
        <f t="shared" si="5"/>
        <v>4025</v>
      </c>
    </row>
    <row r="154" spans="1:8" x14ac:dyDescent="0.3">
      <c r="A154" s="8">
        <v>43100.690057870372</v>
      </c>
      <c r="B154" s="20" t="s">
        <v>681</v>
      </c>
      <c r="C154" s="20" t="s">
        <v>824</v>
      </c>
      <c r="D154" s="137">
        <v>3330000</v>
      </c>
      <c r="E154" s="20" t="s">
        <v>500</v>
      </c>
      <c r="F154" s="20" t="s">
        <v>501</v>
      </c>
      <c r="G154" s="8" t="str">
        <f t="shared" si="4"/>
        <v>GONZALEZ ARMANDO</v>
      </c>
      <c r="H154" s="20" t="str">
        <f t="shared" si="5"/>
        <v>4001</v>
      </c>
    </row>
    <row r="155" spans="1:8" x14ac:dyDescent="0.3">
      <c r="A155" s="8">
        <v>43100.696377314816</v>
      </c>
      <c r="B155" s="20" t="s">
        <v>383</v>
      </c>
      <c r="C155" s="20" t="s">
        <v>825</v>
      </c>
      <c r="D155" s="137">
        <v>2630000</v>
      </c>
      <c r="E155" s="20" t="s">
        <v>372</v>
      </c>
      <c r="F155" s="20" t="s">
        <v>373</v>
      </c>
      <c r="G155" s="8" t="str">
        <f t="shared" si="4"/>
        <v>SAFIEF AEIMEN</v>
      </c>
      <c r="H155" s="20" t="str">
        <f t="shared" si="5"/>
        <v>4062</v>
      </c>
    </row>
    <row r="156" spans="1:8" x14ac:dyDescent="0.3">
      <c r="A156" s="8">
        <v>43100.702384259261</v>
      </c>
      <c r="B156" s="20" t="s">
        <v>448</v>
      </c>
      <c r="C156" s="20" t="s">
        <v>826</v>
      </c>
      <c r="D156" s="137">
        <v>2970000</v>
      </c>
      <c r="E156" s="20" t="s">
        <v>374</v>
      </c>
      <c r="F156" s="20" t="s">
        <v>375</v>
      </c>
      <c r="G156" s="8" t="str">
        <f t="shared" si="4"/>
        <v>GUZMAN DANNY</v>
      </c>
      <c r="H156" s="20" t="str">
        <f t="shared" si="5"/>
        <v>4052</v>
      </c>
    </row>
    <row r="157" spans="1:8" x14ac:dyDescent="0.3">
      <c r="A157" s="8">
        <v>43100.704131944447</v>
      </c>
      <c r="B157" s="20" t="s">
        <v>362</v>
      </c>
      <c r="C157" s="20" t="s">
        <v>827</v>
      </c>
      <c r="D157" s="137">
        <v>880000</v>
      </c>
      <c r="E157" s="20" t="s">
        <v>762</v>
      </c>
      <c r="F157" s="20" t="s">
        <v>352</v>
      </c>
      <c r="G157" s="8" t="str">
        <f t="shared" si="4"/>
        <v>STEWART MICHAEL</v>
      </c>
      <c r="H157" s="20" t="str">
        <f t="shared" si="5"/>
        <v>4017</v>
      </c>
    </row>
    <row r="158" spans="1:8" x14ac:dyDescent="0.3">
      <c r="A158" s="8">
        <v>43100.711354166669</v>
      </c>
      <c r="B158" s="20" t="s">
        <v>675</v>
      </c>
      <c r="C158" s="20" t="s">
        <v>828</v>
      </c>
      <c r="D158" s="137">
        <v>2420000</v>
      </c>
      <c r="E158" s="20" t="s">
        <v>493</v>
      </c>
      <c r="F158" s="20" t="s">
        <v>494</v>
      </c>
      <c r="G158" s="8" t="str">
        <f t="shared" si="4"/>
        <v>HOLCOMB KAMDEN</v>
      </c>
      <c r="H158" s="20" t="str">
        <f t="shared" si="5"/>
        <v>4026</v>
      </c>
    </row>
    <row r="159" spans="1:8" x14ac:dyDescent="0.3">
      <c r="A159" s="8">
        <v>43100.711909722224</v>
      </c>
      <c r="B159" s="20" t="s">
        <v>473</v>
      </c>
      <c r="C159" s="20" t="s">
        <v>829</v>
      </c>
      <c r="D159" s="137">
        <v>2230000</v>
      </c>
      <c r="E159" s="20" t="s">
        <v>393</v>
      </c>
      <c r="F159" s="20" t="s">
        <v>352</v>
      </c>
      <c r="G159" s="8" t="str">
        <f t="shared" si="4"/>
        <v>SMITH MICHAEL</v>
      </c>
      <c r="H159" s="20" t="str">
        <f t="shared" si="5"/>
        <v>4015</v>
      </c>
    </row>
    <row r="160" spans="1:8" x14ac:dyDescent="0.3">
      <c r="A160" s="8">
        <v>43100.713703703703</v>
      </c>
      <c r="B160" s="20" t="s">
        <v>498</v>
      </c>
      <c r="C160" s="20" t="s">
        <v>830</v>
      </c>
      <c r="D160" s="137">
        <v>2000000</v>
      </c>
      <c r="E160" s="20" t="s">
        <v>394</v>
      </c>
      <c r="F160" s="20" t="s">
        <v>395</v>
      </c>
      <c r="G160" s="8" t="str">
        <f t="shared" si="4"/>
        <v>STAMBAUGH JAMES</v>
      </c>
      <c r="H160" s="20" t="str">
        <f t="shared" si="5"/>
        <v>4044</v>
      </c>
    </row>
    <row r="161" spans="1:8" x14ac:dyDescent="0.3">
      <c r="A161" s="8">
        <v>43100.725821759261</v>
      </c>
      <c r="B161" s="20" t="s">
        <v>710</v>
      </c>
      <c r="C161" s="20" t="s">
        <v>831</v>
      </c>
      <c r="D161" s="137">
        <v>3330000</v>
      </c>
      <c r="E161" s="20" t="s">
        <v>500</v>
      </c>
      <c r="F161" s="20" t="s">
        <v>501</v>
      </c>
      <c r="G161" s="8" t="str">
        <f t="shared" si="4"/>
        <v>GONZALEZ ARMANDO</v>
      </c>
      <c r="H161" s="20" t="str">
        <f t="shared" si="5"/>
        <v>4002</v>
      </c>
    </row>
    <row r="162" spans="1:8" x14ac:dyDescent="0.3">
      <c r="A162" s="8">
        <v>43100.726331018515</v>
      </c>
      <c r="B162" s="20" t="s">
        <v>606</v>
      </c>
      <c r="C162" s="20" t="s">
        <v>832</v>
      </c>
      <c r="D162" s="137">
        <v>920000</v>
      </c>
      <c r="E162" s="20" t="s">
        <v>615</v>
      </c>
      <c r="F162" s="20" t="s">
        <v>352</v>
      </c>
      <c r="G162" s="8" t="str">
        <f t="shared" si="4"/>
        <v>DAVIS MICHAEL</v>
      </c>
      <c r="H162" s="20" t="str">
        <f t="shared" si="5"/>
        <v>4033</v>
      </c>
    </row>
    <row r="163" spans="1:8" x14ac:dyDescent="0.3">
      <c r="A163" s="8">
        <v>43100.726458333331</v>
      </c>
      <c r="B163" s="20" t="s">
        <v>385</v>
      </c>
      <c r="C163" s="20" t="s">
        <v>833</v>
      </c>
      <c r="D163" s="137">
        <v>2630000</v>
      </c>
      <c r="E163" s="20" t="s">
        <v>372</v>
      </c>
      <c r="F163" s="20" t="s">
        <v>373</v>
      </c>
      <c r="G163" s="8" t="str">
        <f t="shared" si="4"/>
        <v>SAFIEF AEIMEN</v>
      </c>
      <c r="H163" s="20" t="str">
        <f t="shared" si="5"/>
        <v>4061</v>
      </c>
    </row>
    <row r="164" spans="1:8" x14ac:dyDescent="0.3">
      <c r="A164" s="8">
        <v>43100.727222222224</v>
      </c>
      <c r="B164" s="20" t="s">
        <v>683</v>
      </c>
      <c r="C164" s="20" t="s">
        <v>834</v>
      </c>
      <c r="D164" s="137">
        <v>2420000</v>
      </c>
      <c r="E164" s="20" t="s">
        <v>493</v>
      </c>
      <c r="F164" s="20" t="s">
        <v>494</v>
      </c>
      <c r="G164" s="8" t="str">
        <f t="shared" si="4"/>
        <v>HOLCOMB KAMDEN</v>
      </c>
      <c r="H164" s="20" t="str">
        <f t="shared" si="5"/>
        <v>4025</v>
      </c>
    </row>
    <row r="165" spans="1:8" x14ac:dyDescent="0.3">
      <c r="A165" s="8">
        <v>43100.73814814815</v>
      </c>
      <c r="B165" s="20" t="s">
        <v>450</v>
      </c>
      <c r="C165" s="20" t="s">
        <v>835</v>
      </c>
      <c r="D165" s="137">
        <v>2970000</v>
      </c>
      <c r="E165" s="20" t="s">
        <v>374</v>
      </c>
      <c r="F165" s="20" t="s">
        <v>375</v>
      </c>
      <c r="G165" s="8" t="str">
        <f t="shared" si="4"/>
        <v>GUZMAN DANNY</v>
      </c>
      <c r="H165" s="20" t="str">
        <f t="shared" si="5"/>
        <v>4051</v>
      </c>
    </row>
    <row r="166" spans="1:8" x14ac:dyDescent="0.3">
      <c r="A166" s="8">
        <v>43100.738229166665</v>
      </c>
      <c r="B166" s="20" t="s">
        <v>360</v>
      </c>
      <c r="C166" s="20" t="s">
        <v>836</v>
      </c>
      <c r="D166" s="137">
        <v>890000</v>
      </c>
      <c r="E166" s="20" t="s">
        <v>344</v>
      </c>
      <c r="F166" s="20" t="s">
        <v>345</v>
      </c>
      <c r="G166" s="8" t="str">
        <f t="shared" si="4"/>
        <v>LOZA FIDEL</v>
      </c>
      <c r="H166" s="20" t="str">
        <f t="shared" si="5"/>
        <v>4018</v>
      </c>
    </row>
    <row r="167" spans="1:8" x14ac:dyDescent="0.3">
      <c r="A167" s="8">
        <v>43100.744722222225</v>
      </c>
      <c r="B167" s="20" t="s">
        <v>475</v>
      </c>
      <c r="C167" s="20" t="s">
        <v>837</v>
      </c>
      <c r="D167" s="137">
        <v>2230000</v>
      </c>
      <c r="E167" s="20" t="s">
        <v>393</v>
      </c>
      <c r="F167" s="20" t="s">
        <v>352</v>
      </c>
      <c r="G167" s="8" t="str">
        <f t="shared" si="4"/>
        <v>SMITH MICHAEL</v>
      </c>
      <c r="H167" s="20" t="str">
        <f t="shared" si="5"/>
        <v>4016</v>
      </c>
    </row>
    <row r="168" spans="1:8" x14ac:dyDescent="0.3">
      <c r="A168" s="8">
        <v>43100.752106481479</v>
      </c>
      <c r="B168" s="20" t="s">
        <v>675</v>
      </c>
      <c r="C168" s="20" t="s">
        <v>838</v>
      </c>
      <c r="D168" s="137">
        <v>2420000</v>
      </c>
      <c r="E168" s="20" t="s">
        <v>493</v>
      </c>
      <c r="F168" s="20" t="s">
        <v>494</v>
      </c>
      <c r="G168" s="8" t="str">
        <f t="shared" si="4"/>
        <v>HOLCOMB KAMDEN</v>
      </c>
      <c r="H168" s="20" t="str">
        <f t="shared" si="5"/>
        <v>4026</v>
      </c>
    </row>
    <row r="169" spans="1:8" x14ac:dyDescent="0.3">
      <c r="A169" s="8">
        <v>43100.752997685187</v>
      </c>
      <c r="B169" s="20" t="s">
        <v>499</v>
      </c>
      <c r="C169" s="20" t="s">
        <v>839</v>
      </c>
      <c r="D169" s="137">
        <v>2000000</v>
      </c>
      <c r="E169" s="20" t="s">
        <v>394</v>
      </c>
      <c r="F169" s="20" t="s">
        <v>395</v>
      </c>
      <c r="G169" s="8" t="str">
        <f t="shared" si="4"/>
        <v>STAMBAUGH JAMES</v>
      </c>
      <c r="H169" s="20" t="str">
        <f t="shared" si="5"/>
        <v>4043</v>
      </c>
    </row>
    <row r="170" spans="1:8" x14ac:dyDescent="0.3">
      <c r="A170" s="8">
        <v>43100.757175925923</v>
      </c>
      <c r="B170" s="20" t="s">
        <v>604</v>
      </c>
      <c r="C170" s="20" t="s">
        <v>840</v>
      </c>
      <c r="D170" s="137">
        <v>3340000</v>
      </c>
      <c r="E170" s="20" t="s">
        <v>462</v>
      </c>
      <c r="F170" s="20" t="s">
        <v>463</v>
      </c>
      <c r="G170" s="8" t="str">
        <f t="shared" si="4"/>
        <v>ELBAUM MIKE</v>
      </c>
      <c r="H170" s="20" t="str">
        <f t="shared" si="5"/>
        <v>4034</v>
      </c>
    </row>
    <row r="171" spans="1:8" x14ac:dyDescent="0.3">
      <c r="A171" s="8">
        <v>43100.762800925928</v>
      </c>
      <c r="B171" s="20" t="s">
        <v>535</v>
      </c>
      <c r="C171" s="20" t="s">
        <v>841</v>
      </c>
      <c r="D171" s="137">
        <v>3680000</v>
      </c>
      <c r="E171" s="20" t="s">
        <v>468</v>
      </c>
      <c r="F171" s="20" t="s">
        <v>469</v>
      </c>
      <c r="G171" s="8" t="str">
        <f t="shared" si="4"/>
        <v>HAMMOND JUSTYNN</v>
      </c>
      <c r="H171" s="20" t="str">
        <f t="shared" si="5"/>
        <v>4045</v>
      </c>
    </row>
    <row r="172" spans="1:8" x14ac:dyDescent="0.3">
      <c r="A172" s="8">
        <v>43100.76363425926</v>
      </c>
      <c r="B172" s="20" t="s">
        <v>681</v>
      </c>
      <c r="C172" s="20" t="s">
        <v>842</v>
      </c>
      <c r="D172" s="137">
        <v>3330000</v>
      </c>
      <c r="E172" s="20" t="s">
        <v>500</v>
      </c>
      <c r="F172" s="20" t="s">
        <v>501</v>
      </c>
      <c r="G172" s="8" t="str">
        <f t="shared" si="4"/>
        <v>GONZALEZ ARMANDO</v>
      </c>
      <c r="H172" s="20" t="str">
        <f t="shared" si="5"/>
        <v>4001</v>
      </c>
    </row>
    <row r="173" spans="1:8" x14ac:dyDescent="0.3">
      <c r="A173" s="8">
        <v>43100.767442129632</v>
      </c>
      <c r="B173" s="20" t="s">
        <v>383</v>
      </c>
      <c r="C173" s="20" t="s">
        <v>686</v>
      </c>
      <c r="D173" s="137">
        <v>3220000</v>
      </c>
      <c r="E173" s="20" t="s">
        <v>378</v>
      </c>
      <c r="F173" s="20" t="s">
        <v>379</v>
      </c>
      <c r="G173" s="8" t="str">
        <f t="shared" si="4"/>
        <v>RESPASS AARON</v>
      </c>
      <c r="H173" s="20" t="str">
        <f t="shared" si="5"/>
        <v>4062</v>
      </c>
    </row>
    <row r="174" spans="1:8" x14ac:dyDescent="0.3">
      <c r="A174" s="8">
        <v>43100.767789351848</v>
      </c>
      <c r="B174" s="20" t="s">
        <v>683</v>
      </c>
      <c r="C174" s="20" t="s">
        <v>843</v>
      </c>
      <c r="D174" s="137">
        <v>2420000</v>
      </c>
      <c r="E174" s="20" t="s">
        <v>493</v>
      </c>
      <c r="F174" s="20" t="s">
        <v>494</v>
      </c>
      <c r="G174" s="8" t="str">
        <f t="shared" si="4"/>
        <v>HOLCOMB KAMDEN</v>
      </c>
      <c r="H174" s="20" t="str">
        <f t="shared" si="5"/>
        <v>4025</v>
      </c>
    </row>
    <row r="175" spans="1:8" x14ac:dyDescent="0.3">
      <c r="A175" s="8">
        <v>43100.777222222219</v>
      </c>
      <c r="B175" s="20" t="s">
        <v>448</v>
      </c>
      <c r="C175" s="20" t="s">
        <v>844</v>
      </c>
      <c r="D175" s="137">
        <v>2030000</v>
      </c>
      <c r="E175" s="20" t="s">
        <v>578</v>
      </c>
      <c r="F175" s="20" t="s">
        <v>521</v>
      </c>
      <c r="G175" s="8" t="str">
        <f t="shared" si="4"/>
        <v>KILLION DAVID</v>
      </c>
      <c r="H175" s="20" t="str">
        <f t="shared" si="5"/>
        <v>4052</v>
      </c>
    </row>
    <row r="176" spans="1:8" x14ac:dyDescent="0.3">
      <c r="A176" s="8">
        <v>43100.777268518519</v>
      </c>
      <c r="B176" s="20" t="s">
        <v>362</v>
      </c>
      <c r="C176" s="20" t="s">
        <v>398</v>
      </c>
      <c r="D176" s="137">
        <v>890000</v>
      </c>
      <c r="E176" s="20" t="s">
        <v>344</v>
      </c>
      <c r="F176" s="20" t="s">
        <v>345</v>
      </c>
      <c r="G176" s="8" t="str">
        <f t="shared" si="4"/>
        <v>LOZA FIDEL</v>
      </c>
      <c r="H176" s="20" t="str">
        <f t="shared" si="5"/>
        <v>4017</v>
      </c>
    </row>
    <row r="177" spans="1:8" x14ac:dyDescent="0.3">
      <c r="A177" s="8">
        <v>43100.782905092594</v>
      </c>
      <c r="B177" s="20" t="s">
        <v>473</v>
      </c>
      <c r="C177" s="20" t="s">
        <v>401</v>
      </c>
      <c r="D177" s="137">
        <v>2230000</v>
      </c>
      <c r="E177" s="20" t="s">
        <v>393</v>
      </c>
      <c r="F177" s="20" t="s">
        <v>352</v>
      </c>
      <c r="G177" s="8" t="str">
        <f t="shared" si="4"/>
        <v>SMITH MICHAEL</v>
      </c>
      <c r="H177" s="20" t="str">
        <f t="shared" si="5"/>
        <v>4015</v>
      </c>
    </row>
    <row r="178" spans="1:8" x14ac:dyDescent="0.3">
      <c r="A178" s="8">
        <v>43100.78701388889</v>
      </c>
      <c r="B178" s="20" t="s">
        <v>498</v>
      </c>
      <c r="C178" s="20" t="s">
        <v>687</v>
      </c>
      <c r="D178" s="137">
        <v>3680000</v>
      </c>
      <c r="E178" s="20" t="s">
        <v>468</v>
      </c>
      <c r="F178" s="20" t="s">
        <v>469</v>
      </c>
      <c r="G178" s="8" t="str">
        <f t="shared" si="4"/>
        <v>HAMMOND JUSTYNN</v>
      </c>
      <c r="H178" s="20" t="str">
        <f t="shared" si="5"/>
        <v>4044</v>
      </c>
    </row>
    <row r="179" spans="1:8" x14ac:dyDescent="0.3">
      <c r="A179" s="8">
        <v>43100.787106481483</v>
      </c>
      <c r="B179" s="20" t="s">
        <v>606</v>
      </c>
      <c r="C179" s="20" t="s">
        <v>404</v>
      </c>
      <c r="D179" s="137">
        <v>3340000</v>
      </c>
      <c r="E179" s="20" t="s">
        <v>462</v>
      </c>
      <c r="F179" s="20" t="s">
        <v>463</v>
      </c>
      <c r="G179" s="8" t="str">
        <f t="shared" si="4"/>
        <v>ELBAUM MIKE</v>
      </c>
      <c r="H179" s="20" t="str">
        <f t="shared" si="5"/>
        <v>4033</v>
      </c>
    </row>
    <row r="180" spans="1:8" x14ac:dyDescent="0.3">
      <c r="A180" s="8">
        <v>43100.790034722224</v>
      </c>
      <c r="B180" s="20" t="s">
        <v>609</v>
      </c>
      <c r="C180" s="20" t="s">
        <v>403</v>
      </c>
      <c r="D180" s="137">
        <v>2000000</v>
      </c>
      <c r="E180" s="20" t="s">
        <v>394</v>
      </c>
      <c r="F180" s="20" t="s">
        <v>395</v>
      </c>
      <c r="G180" s="8" t="str">
        <f t="shared" si="4"/>
        <v>STAMBAUGH JAMES</v>
      </c>
      <c r="H180" s="20" t="str">
        <f t="shared" si="5"/>
        <v>4004</v>
      </c>
    </row>
    <row r="181" spans="1:8" x14ac:dyDescent="0.3">
      <c r="A181" s="8">
        <v>43100.791134259256</v>
      </c>
      <c r="B181" s="20" t="s">
        <v>609</v>
      </c>
      <c r="C181" s="20" t="s">
        <v>403</v>
      </c>
      <c r="D181" s="137">
        <v>2000000</v>
      </c>
      <c r="E181" s="20" t="s">
        <v>394</v>
      </c>
      <c r="F181" s="20" t="s">
        <v>395</v>
      </c>
      <c r="G181" s="8" t="str">
        <f t="shared" si="4"/>
        <v>STAMBAUGH JAMES</v>
      </c>
      <c r="H181" s="20" t="str">
        <f t="shared" si="5"/>
        <v>4004</v>
      </c>
    </row>
    <row r="182" spans="1:8" x14ac:dyDescent="0.3">
      <c r="A182" s="8">
        <v>43100.796284722222</v>
      </c>
      <c r="B182" s="20" t="s">
        <v>675</v>
      </c>
      <c r="C182" s="20" t="s">
        <v>845</v>
      </c>
      <c r="D182" s="137">
        <v>2420000</v>
      </c>
      <c r="E182" s="20" t="s">
        <v>493</v>
      </c>
      <c r="F182" s="20" t="s">
        <v>494</v>
      </c>
      <c r="G182" s="8" t="str">
        <f t="shared" si="4"/>
        <v>HOLCOMB KAMDEN</v>
      </c>
      <c r="H182" s="20" t="str">
        <f t="shared" si="5"/>
        <v>4026</v>
      </c>
    </row>
    <row r="183" spans="1:8" x14ac:dyDescent="0.3">
      <c r="A183" s="8">
        <v>43100.798402777778</v>
      </c>
      <c r="B183" s="20" t="s">
        <v>499</v>
      </c>
      <c r="C183" s="20" t="s">
        <v>687</v>
      </c>
      <c r="D183" s="137">
        <v>3680000</v>
      </c>
      <c r="E183" s="20" t="s">
        <v>468</v>
      </c>
      <c r="F183" s="20" t="s">
        <v>469</v>
      </c>
      <c r="G183" s="8" t="str">
        <f t="shared" si="4"/>
        <v>HAMMOND JUSTYNN</v>
      </c>
      <c r="H183" s="20" t="str">
        <f t="shared" si="5"/>
        <v>4043</v>
      </c>
    </row>
    <row r="184" spans="1:8" x14ac:dyDescent="0.3">
      <c r="A184" s="8">
        <v>43100.798657407409</v>
      </c>
      <c r="B184" s="20" t="s">
        <v>710</v>
      </c>
      <c r="C184" s="20" t="s">
        <v>846</v>
      </c>
      <c r="D184" s="137">
        <v>3500000</v>
      </c>
      <c r="E184" s="20" t="s">
        <v>376</v>
      </c>
      <c r="F184" s="20" t="s">
        <v>377</v>
      </c>
      <c r="G184" s="8" t="str">
        <f t="shared" si="4"/>
        <v>GUNTHIER ERIC</v>
      </c>
      <c r="H184" s="20" t="str">
        <f t="shared" si="5"/>
        <v>4002</v>
      </c>
    </row>
    <row r="185" spans="1:8" x14ac:dyDescent="0.3">
      <c r="A185" s="8">
        <v>43100.807187500002</v>
      </c>
      <c r="B185" s="20" t="s">
        <v>385</v>
      </c>
      <c r="C185" s="20" t="s">
        <v>408</v>
      </c>
      <c r="D185" s="137">
        <v>3220000</v>
      </c>
      <c r="E185" s="20" t="s">
        <v>378</v>
      </c>
      <c r="F185" s="20" t="s">
        <v>379</v>
      </c>
      <c r="G185" s="8" t="str">
        <f t="shared" si="4"/>
        <v>RESPASS AARON</v>
      </c>
      <c r="H185" s="20" t="str">
        <f t="shared" si="5"/>
        <v>4061</v>
      </c>
    </row>
    <row r="186" spans="1:8" x14ac:dyDescent="0.3">
      <c r="A186" s="8">
        <v>43100.809733796297</v>
      </c>
      <c r="B186" s="20" t="s">
        <v>683</v>
      </c>
      <c r="C186" s="20" t="s">
        <v>688</v>
      </c>
      <c r="D186" s="137">
        <v>2420000</v>
      </c>
      <c r="E186" s="20" t="s">
        <v>493</v>
      </c>
      <c r="F186" s="20" t="s">
        <v>494</v>
      </c>
      <c r="G186" s="8" t="str">
        <f t="shared" si="4"/>
        <v>HOLCOMB KAMDEN</v>
      </c>
      <c r="H186" s="20" t="str">
        <f t="shared" si="5"/>
        <v>4025</v>
      </c>
    </row>
    <row r="187" spans="1:8" x14ac:dyDescent="0.3">
      <c r="A187" s="8">
        <v>43100.811249999999</v>
      </c>
      <c r="B187" s="20" t="s">
        <v>360</v>
      </c>
      <c r="C187" s="20" t="s">
        <v>407</v>
      </c>
      <c r="D187" s="137">
        <v>890000</v>
      </c>
      <c r="E187" s="20" t="s">
        <v>344</v>
      </c>
      <c r="F187" s="20" t="s">
        <v>345</v>
      </c>
      <c r="G187" s="8" t="str">
        <f t="shared" si="4"/>
        <v>LOZA FIDEL</v>
      </c>
      <c r="H187" s="20" t="str">
        <f t="shared" si="5"/>
        <v>4018</v>
      </c>
    </row>
    <row r="188" spans="1:8" x14ac:dyDescent="0.3">
      <c r="A188" s="8">
        <v>43100.811956018515</v>
      </c>
      <c r="B188" s="20" t="s">
        <v>689</v>
      </c>
      <c r="C188" s="20" t="s">
        <v>690</v>
      </c>
      <c r="D188" s="137">
        <v>3670000</v>
      </c>
      <c r="E188" s="20" t="s">
        <v>382</v>
      </c>
      <c r="F188" s="20" t="s">
        <v>368</v>
      </c>
      <c r="G188" s="8" t="str">
        <f t="shared" si="4"/>
        <v>ANDREA WILLIAMS</v>
      </c>
      <c r="H188" s="20" t="str">
        <f t="shared" si="5"/>
        <v>4039</v>
      </c>
    </row>
    <row r="189" spans="1:8" x14ac:dyDescent="0.3">
      <c r="A189" s="8">
        <v>43100.812893518516</v>
      </c>
      <c r="B189" s="20" t="s">
        <v>450</v>
      </c>
      <c r="C189" s="20" t="s">
        <v>847</v>
      </c>
      <c r="D189" s="137">
        <v>2030000</v>
      </c>
      <c r="E189" s="20" t="s">
        <v>578</v>
      </c>
      <c r="F189" s="20" t="s">
        <v>521</v>
      </c>
      <c r="G189" s="8" t="str">
        <f t="shared" si="4"/>
        <v>KILLION DAVID</v>
      </c>
      <c r="H189" s="20" t="str">
        <f t="shared" si="5"/>
        <v>4051</v>
      </c>
    </row>
    <row r="190" spans="1:8" x14ac:dyDescent="0.3">
      <c r="A190" s="8">
        <v>43100.819791666669</v>
      </c>
      <c r="B190" s="20" t="s">
        <v>475</v>
      </c>
      <c r="C190" s="20" t="s">
        <v>410</v>
      </c>
      <c r="D190" s="137">
        <v>2230000</v>
      </c>
      <c r="E190" s="20" t="s">
        <v>393</v>
      </c>
      <c r="F190" s="20" t="s">
        <v>352</v>
      </c>
      <c r="G190" s="8" t="str">
        <f t="shared" si="4"/>
        <v>SMITH MICHAEL</v>
      </c>
      <c r="H190" s="20" t="str">
        <f t="shared" si="5"/>
        <v>4016</v>
      </c>
    </row>
    <row r="191" spans="1:8" x14ac:dyDescent="0.3">
      <c r="A191" s="8">
        <v>43100.827337962961</v>
      </c>
      <c r="B191" s="20" t="s">
        <v>535</v>
      </c>
      <c r="C191" s="20" t="s">
        <v>411</v>
      </c>
      <c r="D191" s="137">
        <v>2000000</v>
      </c>
      <c r="E191" s="20" t="s">
        <v>394</v>
      </c>
      <c r="F191" s="20" t="s">
        <v>395</v>
      </c>
      <c r="G191" s="8" t="str">
        <f t="shared" si="4"/>
        <v>STAMBAUGH JAMES</v>
      </c>
      <c r="H191" s="20" t="str">
        <f t="shared" si="5"/>
        <v>4045</v>
      </c>
    </row>
    <row r="192" spans="1:8" x14ac:dyDescent="0.3">
      <c r="A192" s="8">
        <v>43100.830983796295</v>
      </c>
      <c r="B192" s="20" t="s">
        <v>608</v>
      </c>
      <c r="C192" s="20" t="s">
        <v>413</v>
      </c>
      <c r="D192" s="137">
        <v>3340000</v>
      </c>
      <c r="E192" s="20" t="s">
        <v>462</v>
      </c>
      <c r="F192" s="20" t="s">
        <v>463</v>
      </c>
      <c r="G192" s="8" t="str">
        <f t="shared" si="4"/>
        <v>ELBAUM MIKE</v>
      </c>
      <c r="H192" s="20" t="str">
        <f t="shared" si="5"/>
        <v>4054</v>
      </c>
    </row>
    <row r="193" spans="1:8" x14ac:dyDescent="0.3">
      <c r="A193" s="8">
        <v>43100.834409722222</v>
      </c>
      <c r="B193" s="20" t="s">
        <v>675</v>
      </c>
      <c r="C193" s="20" t="s">
        <v>848</v>
      </c>
      <c r="D193" s="137">
        <v>2420000</v>
      </c>
      <c r="E193" s="20" t="s">
        <v>493</v>
      </c>
      <c r="F193" s="20" t="s">
        <v>494</v>
      </c>
      <c r="G193" s="8" t="str">
        <f t="shared" si="4"/>
        <v>HOLCOMB KAMDEN</v>
      </c>
      <c r="H193" s="20" t="str">
        <f t="shared" si="5"/>
        <v>4026</v>
      </c>
    </row>
    <row r="194" spans="1:8" x14ac:dyDescent="0.3">
      <c r="A194" s="8">
        <v>43100.836944444447</v>
      </c>
      <c r="B194" s="20" t="s">
        <v>681</v>
      </c>
      <c r="C194" s="20" t="s">
        <v>849</v>
      </c>
      <c r="D194" s="137">
        <v>3500000</v>
      </c>
      <c r="E194" s="20" t="s">
        <v>376</v>
      </c>
      <c r="F194" s="20" t="s">
        <v>377</v>
      </c>
      <c r="G194" s="8" t="str">
        <f t="shared" si="4"/>
        <v>GUNTHIER ERIC</v>
      </c>
      <c r="H194" s="20" t="str">
        <f t="shared" si="5"/>
        <v>4001</v>
      </c>
    </row>
    <row r="195" spans="1:8" x14ac:dyDescent="0.3">
      <c r="A195" s="8">
        <v>43100.837592592594</v>
      </c>
      <c r="B195" s="20" t="s">
        <v>681</v>
      </c>
      <c r="C195" s="20" t="s">
        <v>849</v>
      </c>
      <c r="D195" s="137">
        <v>3500000</v>
      </c>
      <c r="E195" s="20" t="s">
        <v>376</v>
      </c>
      <c r="F195" s="20" t="s">
        <v>377</v>
      </c>
      <c r="G195" s="8" t="str">
        <f t="shared" ref="G195:G258" si="6">E195&amp;" "&amp;F195</f>
        <v>GUNTHIER ERIC</v>
      </c>
      <c r="H195" s="20" t="str">
        <f t="shared" ref="H195:H258" si="7">MID(B195,13,4)</f>
        <v>4001</v>
      </c>
    </row>
    <row r="196" spans="1:8" x14ac:dyDescent="0.3">
      <c r="A196" s="8">
        <v>43100.838495370372</v>
      </c>
      <c r="B196" s="20" t="s">
        <v>681</v>
      </c>
      <c r="C196" s="20" t="s">
        <v>849</v>
      </c>
      <c r="D196" s="137">
        <v>3500000</v>
      </c>
      <c r="E196" s="20" t="s">
        <v>376</v>
      </c>
      <c r="F196" s="20" t="s">
        <v>377</v>
      </c>
      <c r="G196" s="8" t="str">
        <f t="shared" si="6"/>
        <v>GUNTHIER ERIC</v>
      </c>
      <c r="H196" s="20" t="str">
        <f t="shared" si="7"/>
        <v>4001</v>
      </c>
    </row>
    <row r="197" spans="1:8" x14ac:dyDescent="0.3">
      <c r="A197" s="8">
        <v>43100.841307870367</v>
      </c>
      <c r="B197" s="20" t="s">
        <v>383</v>
      </c>
      <c r="C197" s="20" t="s">
        <v>415</v>
      </c>
      <c r="D197" s="137">
        <v>3220000</v>
      </c>
      <c r="E197" s="20" t="s">
        <v>378</v>
      </c>
      <c r="F197" s="20" t="s">
        <v>379</v>
      </c>
      <c r="G197" s="8" t="str">
        <f t="shared" si="6"/>
        <v>RESPASS AARON</v>
      </c>
      <c r="H197" s="20" t="str">
        <f t="shared" si="7"/>
        <v>4062</v>
      </c>
    </row>
    <row r="198" spans="1:8" x14ac:dyDescent="0.3">
      <c r="A198" s="8">
        <v>43100.851180555554</v>
      </c>
      <c r="B198" s="20" t="s">
        <v>683</v>
      </c>
      <c r="C198" s="20" t="s">
        <v>850</v>
      </c>
      <c r="D198" s="137">
        <v>2420000</v>
      </c>
      <c r="E198" s="20" t="s">
        <v>493</v>
      </c>
      <c r="F198" s="20" t="s">
        <v>494</v>
      </c>
      <c r="G198" s="8" t="str">
        <f t="shared" si="6"/>
        <v>HOLCOMB KAMDEN</v>
      </c>
      <c r="H198" s="20" t="str">
        <f t="shared" si="7"/>
        <v>4025</v>
      </c>
    </row>
    <row r="199" spans="1:8" x14ac:dyDescent="0.3">
      <c r="A199" s="8">
        <v>43100.851493055554</v>
      </c>
      <c r="B199" s="20" t="s">
        <v>499</v>
      </c>
      <c r="C199" s="20" t="s">
        <v>387</v>
      </c>
      <c r="D199" s="137">
        <v>890000</v>
      </c>
      <c r="E199" s="20" t="s">
        <v>344</v>
      </c>
      <c r="F199" s="20" t="s">
        <v>345</v>
      </c>
      <c r="G199" s="8" t="str">
        <f t="shared" si="6"/>
        <v>LOZA FIDEL</v>
      </c>
      <c r="H199" s="20" t="str">
        <f t="shared" si="7"/>
        <v>4043</v>
      </c>
    </row>
    <row r="200" spans="1:8" x14ac:dyDescent="0.3">
      <c r="A200" s="8">
        <v>43100.851597222223</v>
      </c>
      <c r="B200" s="20" t="s">
        <v>448</v>
      </c>
      <c r="C200" s="20" t="s">
        <v>400</v>
      </c>
      <c r="D200" s="137">
        <v>2030000</v>
      </c>
      <c r="E200" s="20" t="s">
        <v>578</v>
      </c>
      <c r="F200" s="20" t="s">
        <v>521</v>
      </c>
      <c r="G200" s="8" t="str">
        <f t="shared" si="6"/>
        <v>KILLION DAVID</v>
      </c>
      <c r="H200" s="20" t="str">
        <f t="shared" si="7"/>
        <v>4052</v>
      </c>
    </row>
    <row r="201" spans="1:8" x14ac:dyDescent="0.3">
      <c r="A201" s="8">
        <v>43100.863530092596</v>
      </c>
      <c r="B201" s="20" t="s">
        <v>609</v>
      </c>
      <c r="C201" s="20" t="s">
        <v>416</v>
      </c>
      <c r="D201" s="137">
        <v>2000000</v>
      </c>
      <c r="E201" s="20" t="s">
        <v>394</v>
      </c>
      <c r="F201" s="20" t="s">
        <v>395</v>
      </c>
      <c r="G201" s="8" t="str">
        <f t="shared" si="6"/>
        <v>STAMBAUGH JAMES</v>
      </c>
      <c r="H201" s="20" t="str">
        <f t="shared" si="7"/>
        <v>4004</v>
      </c>
    </row>
    <row r="202" spans="1:8" x14ac:dyDescent="0.3">
      <c r="A202" s="26">
        <v>43100.868622685186</v>
      </c>
      <c r="B202" s="20" t="s">
        <v>689</v>
      </c>
      <c r="C202" s="20" t="s">
        <v>417</v>
      </c>
      <c r="D202" s="137">
        <v>3340000</v>
      </c>
      <c r="E202" s="20" t="s">
        <v>462</v>
      </c>
      <c r="F202" s="20" t="s">
        <v>463</v>
      </c>
      <c r="G202" s="8" t="str">
        <f t="shared" si="6"/>
        <v>ELBAUM MIKE</v>
      </c>
      <c r="H202" s="20" t="str">
        <f t="shared" si="7"/>
        <v>4039</v>
      </c>
    </row>
    <row r="203" spans="1:8" x14ac:dyDescent="0.3">
      <c r="A203" s="8">
        <v>43100.87835648148</v>
      </c>
      <c r="B203" s="20" t="s">
        <v>675</v>
      </c>
      <c r="C203" s="20" t="s">
        <v>851</v>
      </c>
      <c r="D203" s="137">
        <v>2420000</v>
      </c>
      <c r="E203" s="20" t="s">
        <v>493</v>
      </c>
      <c r="F203" s="20" t="s">
        <v>494</v>
      </c>
      <c r="G203" s="8" t="str">
        <f t="shared" si="6"/>
        <v>HOLCOMB KAMDEN</v>
      </c>
      <c r="H203" s="20" t="str">
        <f t="shared" si="7"/>
        <v>4026</v>
      </c>
    </row>
    <row r="204" spans="1:8" x14ac:dyDescent="0.3">
      <c r="A204" s="8">
        <v>43100.886030092595</v>
      </c>
      <c r="B204" s="20" t="s">
        <v>606</v>
      </c>
      <c r="C204" s="20" t="s">
        <v>420</v>
      </c>
      <c r="D204" s="137">
        <v>3220000</v>
      </c>
      <c r="E204" s="20" t="s">
        <v>378</v>
      </c>
      <c r="F204" s="20" t="s">
        <v>379</v>
      </c>
      <c r="G204" s="8" t="str">
        <f t="shared" si="6"/>
        <v>RESPASS AARON</v>
      </c>
      <c r="H204" s="20" t="str">
        <f t="shared" si="7"/>
        <v>4033</v>
      </c>
    </row>
    <row r="205" spans="1:8" x14ac:dyDescent="0.3">
      <c r="A205" s="8">
        <v>43100.893217592595</v>
      </c>
      <c r="B205" s="20" t="s">
        <v>683</v>
      </c>
      <c r="C205" s="20" t="s">
        <v>852</v>
      </c>
      <c r="D205" s="137">
        <v>2420000</v>
      </c>
      <c r="E205" s="20" t="s">
        <v>493</v>
      </c>
      <c r="F205" s="20" t="s">
        <v>494</v>
      </c>
      <c r="G205" s="8" t="str">
        <f t="shared" si="6"/>
        <v>HOLCOMB KAMDEN</v>
      </c>
      <c r="H205" s="20" t="str">
        <f t="shared" si="7"/>
        <v>4025</v>
      </c>
    </row>
    <row r="206" spans="1:8" x14ac:dyDescent="0.3">
      <c r="A206" s="8">
        <v>43100.89439814815</v>
      </c>
      <c r="B206" s="20" t="s">
        <v>360</v>
      </c>
      <c r="C206" s="20" t="s">
        <v>419</v>
      </c>
      <c r="D206" s="137">
        <v>890000</v>
      </c>
      <c r="E206" s="20" t="s">
        <v>344</v>
      </c>
      <c r="F206" s="20" t="s">
        <v>345</v>
      </c>
      <c r="G206" s="8" t="str">
        <f t="shared" si="6"/>
        <v>LOZA FIDEL</v>
      </c>
      <c r="H206" s="20" t="str">
        <f t="shared" si="7"/>
        <v>4018</v>
      </c>
    </row>
    <row r="207" spans="1:8" x14ac:dyDescent="0.3">
      <c r="A207" s="8">
        <v>43100.901990740742</v>
      </c>
      <c r="B207" s="20" t="s">
        <v>608</v>
      </c>
      <c r="C207" s="20" t="s">
        <v>422</v>
      </c>
      <c r="D207" s="137">
        <v>3340000</v>
      </c>
      <c r="E207" s="20" t="s">
        <v>462</v>
      </c>
      <c r="F207" s="20" t="s">
        <v>463</v>
      </c>
      <c r="G207" s="8" t="str">
        <f t="shared" si="6"/>
        <v>ELBAUM MIKE</v>
      </c>
      <c r="H207" s="20" t="str">
        <f t="shared" si="7"/>
        <v>4054</v>
      </c>
    </row>
    <row r="208" spans="1:8" x14ac:dyDescent="0.3">
      <c r="A208" s="8">
        <v>43100.907951388886</v>
      </c>
      <c r="B208" s="20" t="s">
        <v>535</v>
      </c>
      <c r="C208" s="20" t="s">
        <v>423</v>
      </c>
      <c r="D208" s="137">
        <v>2000000</v>
      </c>
      <c r="E208" s="20" t="s">
        <v>394</v>
      </c>
      <c r="F208" s="20" t="s">
        <v>395</v>
      </c>
      <c r="G208" s="8" t="str">
        <f t="shared" si="6"/>
        <v>STAMBAUGH JAMES</v>
      </c>
      <c r="H208" s="20" t="str">
        <f t="shared" si="7"/>
        <v>4045</v>
      </c>
    </row>
    <row r="209" spans="1:8" x14ac:dyDescent="0.3">
      <c r="A209" s="8">
        <v>43100.91609953704</v>
      </c>
      <c r="B209" s="20" t="s">
        <v>675</v>
      </c>
      <c r="C209" s="20" t="s">
        <v>691</v>
      </c>
      <c r="D209" s="137">
        <v>2420000</v>
      </c>
      <c r="E209" s="20" t="s">
        <v>493</v>
      </c>
      <c r="F209" s="20" t="s">
        <v>494</v>
      </c>
      <c r="G209" s="8" t="str">
        <f t="shared" si="6"/>
        <v>HOLCOMB KAMDEN</v>
      </c>
      <c r="H209" s="20" t="str">
        <f t="shared" si="7"/>
        <v>4026</v>
      </c>
    </row>
    <row r="210" spans="1:8" x14ac:dyDescent="0.3">
      <c r="A210" s="8">
        <v>43100.933553240742</v>
      </c>
      <c r="B210" s="20" t="s">
        <v>499</v>
      </c>
      <c r="C210" s="20" t="s">
        <v>388</v>
      </c>
      <c r="D210" s="137">
        <v>890000</v>
      </c>
      <c r="E210" s="20" t="s">
        <v>344</v>
      </c>
      <c r="F210" s="20" t="s">
        <v>345</v>
      </c>
      <c r="G210" s="8" t="str">
        <f t="shared" si="6"/>
        <v>LOZA FIDEL</v>
      </c>
      <c r="H210" s="20" t="str">
        <f t="shared" si="7"/>
        <v>4043</v>
      </c>
    </row>
    <row r="211" spans="1:8" x14ac:dyDescent="0.3">
      <c r="A211" s="8">
        <v>43100.93513888889</v>
      </c>
      <c r="B211" s="20" t="s">
        <v>383</v>
      </c>
      <c r="C211" s="20" t="s">
        <v>425</v>
      </c>
      <c r="D211" s="137">
        <v>3220000</v>
      </c>
      <c r="E211" s="20" t="s">
        <v>378</v>
      </c>
      <c r="F211" s="20" t="s">
        <v>379</v>
      </c>
      <c r="G211" s="8" t="str">
        <f t="shared" si="6"/>
        <v>RESPASS AARON</v>
      </c>
      <c r="H211" s="20" t="str">
        <f t="shared" si="7"/>
        <v>4062</v>
      </c>
    </row>
    <row r="212" spans="1:8" x14ac:dyDescent="0.3">
      <c r="A212" s="8">
        <v>43100.935671296298</v>
      </c>
      <c r="B212" s="20" t="s">
        <v>683</v>
      </c>
      <c r="C212" s="20" t="s">
        <v>692</v>
      </c>
      <c r="D212" s="137">
        <v>2420000</v>
      </c>
      <c r="E212" s="20" t="s">
        <v>493</v>
      </c>
      <c r="F212" s="20" t="s">
        <v>494</v>
      </c>
      <c r="G212" s="8" t="str">
        <f t="shared" si="6"/>
        <v>HOLCOMB KAMDEN</v>
      </c>
      <c r="H212" s="20" t="str">
        <f t="shared" si="7"/>
        <v>4025</v>
      </c>
    </row>
    <row r="213" spans="1:8" x14ac:dyDescent="0.3">
      <c r="A213" s="8">
        <v>43100.944641203707</v>
      </c>
      <c r="B213" s="20" t="s">
        <v>689</v>
      </c>
      <c r="C213" s="20" t="s">
        <v>428</v>
      </c>
      <c r="D213" s="137">
        <v>3340000</v>
      </c>
      <c r="E213" s="20" t="s">
        <v>462</v>
      </c>
      <c r="F213" s="20" t="s">
        <v>463</v>
      </c>
      <c r="G213" s="8" t="str">
        <f t="shared" si="6"/>
        <v>ELBAUM MIKE</v>
      </c>
      <c r="H213" s="20" t="str">
        <f t="shared" si="7"/>
        <v>4039</v>
      </c>
    </row>
    <row r="214" spans="1:8" x14ac:dyDescent="0.3">
      <c r="A214" s="8">
        <v>43100.945138888892</v>
      </c>
      <c r="B214" s="20" t="s">
        <v>609</v>
      </c>
      <c r="C214" s="20" t="s">
        <v>427</v>
      </c>
      <c r="D214" s="137">
        <v>2000000</v>
      </c>
      <c r="E214" s="20" t="s">
        <v>394</v>
      </c>
      <c r="F214" s="20" t="s">
        <v>395</v>
      </c>
      <c r="G214" s="8" t="str">
        <f t="shared" si="6"/>
        <v>STAMBAUGH JAMES</v>
      </c>
      <c r="H214" s="20" t="str">
        <f t="shared" si="7"/>
        <v>4004</v>
      </c>
    </row>
    <row r="215" spans="1:8" x14ac:dyDescent="0.3">
      <c r="A215" s="8">
        <v>43100.96025462963</v>
      </c>
      <c r="B215" s="20" t="s">
        <v>675</v>
      </c>
      <c r="C215" s="20" t="s">
        <v>853</v>
      </c>
      <c r="D215" s="137">
        <v>3670000</v>
      </c>
      <c r="E215" s="20" t="s">
        <v>382</v>
      </c>
      <c r="F215" s="20" t="s">
        <v>368</v>
      </c>
      <c r="G215" s="8" t="str">
        <f t="shared" si="6"/>
        <v>ANDREA WILLIAMS</v>
      </c>
      <c r="H215" s="20" t="str">
        <f t="shared" si="7"/>
        <v>4026</v>
      </c>
    </row>
    <row r="216" spans="1:8" x14ac:dyDescent="0.3">
      <c r="A216" s="8">
        <v>43100.971759259257</v>
      </c>
      <c r="B216" s="20" t="s">
        <v>606</v>
      </c>
      <c r="C216" s="20" t="s">
        <v>431</v>
      </c>
      <c r="D216" s="137">
        <v>3220000</v>
      </c>
      <c r="E216" s="20" t="s">
        <v>378</v>
      </c>
      <c r="F216" s="20" t="s">
        <v>379</v>
      </c>
      <c r="G216" s="8" t="str">
        <f t="shared" si="6"/>
        <v>RESPASS AARON</v>
      </c>
      <c r="H216" s="20" t="str">
        <f t="shared" si="7"/>
        <v>4033</v>
      </c>
    </row>
    <row r="217" spans="1:8" x14ac:dyDescent="0.3">
      <c r="A217" s="8">
        <v>43100.977141203701</v>
      </c>
      <c r="B217" s="20" t="s">
        <v>683</v>
      </c>
      <c r="C217" s="20" t="s">
        <v>854</v>
      </c>
      <c r="D217" s="137">
        <v>3670000</v>
      </c>
      <c r="E217" s="20" t="s">
        <v>382</v>
      </c>
      <c r="F217" s="20" t="s">
        <v>368</v>
      </c>
      <c r="G217" s="8" t="str">
        <f t="shared" si="6"/>
        <v>ANDREA WILLIAMS</v>
      </c>
      <c r="H217" s="20" t="str">
        <f t="shared" si="7"/>
        <v>4025</v>
      </c>
    </row>
    <row r="218" spans="1:8" x14ac:dyDescent="0.3">
      <c r="A218" s="8">
        <v>43100.977534722224</v>
      </c>
      <c r="B218" s="20" t="s">
        <v>360</v>
      </c>
      <c r="C218" s="20" t="s">
        <v>430</v>
      </c>
      <c r="D218" s="137">
        <v>890000</v>
      </c>
      <c r="E218" s="20" t="s">
        <v>344</v>
      </c>
      <c r="F218" s="20" t="s">
        <v>345</v>
      </c>
      <c r="G218" s="8" t="str">
        <f t="shared" si="6"/>
        <v>LOZA FIDEL</v>
      </c>
      <c r="H218" s="20" t="str">
        <f t="shared" si="7"/>
        <v>4018</v>
      </c>
    </row>
    <row r="219" spans="1:8" x14ac:dyDescent="0.3">
      <c r="A219" s="8">
        <v>43100.977986111109</v>
      </c>
      <c r="B219" s="20" t="s">
        <v>683</v>
      </c>
      <c r="C219" s="20" t="s">
        <v>854</v>
      </c>
      <c r="D219" s="137">
        <v>3670000</v>
      </c>
      <c r="E219" s="20" t="s">
        <v>382</v>
      </c>
      <c r="F219" s="20" t="s">
        <v>368</v>
      </c>
      <c r="G219" s="8" t="str">
        <f t="shared" si="6"/>
        <v>ANDREA WILLIAMS</v>
      </c>
      <c r="H219" s="20" t="str">
        <f t="shared" si="7"/>
        <v>4025</v>
      </c>
    </row>
    <row r="220" spans="1:8" x14ac:dyDescent="0.3">
      <c r="A220" s="8">
        <v>43100.980219907404</v>
      </c>
      <c r="B220" s="20" t="s">
        <v>683</v>
      </c>
      <c r="C220" s="20" t="s">
        <v>854</v>
      </c>
      <c r="D220" s="137">
        <v>3670000</v>
      </c>
      <c r="E220" s="20" t="s">
        <v>382</v>
      </c>
      <c r="F220" s="20" t="s">
        <v>368</v>
      </c>
      <c r="G220" s="8" t="str">
        <f t="shared" si="6"/>
        <v>ANDREA WILLIAMS</v>
      </c>
      <c r="H220" s="20" t="str">
        <f t="shared" si="7"/>
        <v>4025</v>
      </c>
    </row>
    <row r="221" spans="1:8" x14ac:dyDescent="0.3">
      <c r="A221" s="8">
        <v>43100.984479166669</v>
      </c>
      <c r="B221" s="20" t="s">
        <v>608</v>
      </c>
      <c r="C221" s="20" t="s">
        <v>433</v>
      </c>
      <c r="D221" s="137">
        <v>3340000</v>
      </c>
      <c r="E221" s="20" t="s">
        <v>462</v>
      </c>
      <c r="F221" s="20" t="s">
        <v>463</v>
      </c>
      <c r="G221" s="8" t="str">
        <f t="shared" si="6"/>
        <v>ELBAUM MIKE</v>
      </c>
      <c r="H221" s="20" t="str">
        <f t="shared" si="7"/>
        <v>4054</v>
      </c>
    </row>
    <row r="222" spans="1:8" x14ac:dyDescent="0.3">
      <c r="A222" s="8">
        <v>43100.995497685188</v>
      </c>
      <c r="B222" s="20" t="s">
        <v>535</v>
      </c>
      <c r="C222" s="20" t="s">
        <v>389</v>
      </c>
      <c r="D222" s="137">
        <v>2000000</v>
      </c>
      <c r="E222" s="20" t="s">
        <v>394</v>
      </c>
      <c r="F222" s="20" t="s">
        <v>395</v>
      </c>
      <c r="G222" s="8" t="str">
        <f t="shared" si="6"/>
        <v>STAMBAUGH JAMES</v>
      </c>
      <c r="H222" s="20" t="str">
        <f t="shared" si="7"/>
        <v>4045</v>
      </c>
    </row>
    <row r="223" spans="1:8" x14ac:dyDescent="0.3">
      <c r="A223" s="8">
        <v>43101.002233796295</v>
      </c>
      <c r="B223" s="20" t="s">
        <v>675</v>
      </c>
      <c r="C223" s="20" t="s">
        <v>855</v>
      </c>
      <c r="D223" s="137">
        <v>3670000</v>
      </c>
      <c r="E223" s="20" t="s">
        <v>382</v>
      </c>
      <c r="F223" s="20" t="s">
        <v>368</v>
      </c>
      <c r="G223" s="8" t="str">
        <f t="shared" si="6"/>
        <v>ANDREA WILLIAMS</v>
      </c>
      <c r="H223" s="20" t="str">
        <f t="shared" si="7"/>
        <v>4026</v>
      </c>
    </row>
    <row r="224" spans="1:8" x14ac:dyDescent="0.3">
      <c r="A224" s="8">
        <v>43101.016342592593</v>
      </c>
      <c r="B224" t="s">
        <v>499</v>
      </c>
      <c r="C224" t="s">
        <v>434</v>
      </c>
      <c r="D224" s="137">
        <v>890000</v>
      </c>
      <c r="E224" t="s">
        <v>344</v>
      </c>
      <c r="F224" s="20" t="s">
        <v>345</v>
      </c>
      <c r="G224" s="8" t="str">
        <f t="shared" si="6"/>
        <v>LOZA FIDEL</v>
      </c>
      <c r="H224" s="20" t="str">
        <f t="shared" si="7"/>
        <v>4043</v>
      </c>
    </row>
    <row r="225" spans="1:8" x14ac:dyDescent="0.3">
      <c r="A225" s="8">
        <v>43101.017337962963</v>
      </c>
      <c r="B225" t="s">
        <v>383</v>
      </c>
      <c r="C225" t="s">
        <v>435</v>
      </c>
      <c r="D225" s="137">
        <v>3220000</v>
      </c>
      <c r="E225" t="s">
        <v>378</v>
      </c>
      <c r="F225" s="20" t="s">
        <v>379</v>
      </c>
      <c r="G225" s="8" t="str">
        <f t="shared" si="6"/>
        <v>RESPASS AARON</v>
      </c>
      <c r="H225" s="20" t="str">
        <f t="shared" si="7"/>
        <v>4062</v>
      </c>
    </row>
    <row r="226" spans="1:8" x14ac:dyDescent="0.3">
      <c r="A226" s="8">
        <v>43101.026018518518</v>
      </c>
      <c r="B226" t="s">
        <v>609</v>
      </c>
      <c r="C226" t="s">
        <v>436</v>
      </c>
      <c r="D226" s="137">
        <v>2000000</v>
      </c>
      <c r="E226" t="s">
        <v>394</v>
      </c>
      <c r="F226" s="20" t="s">
        <v>395</v>
      </c>
      <c r="G226" s="8" t="str">
        <f t="shared" si="6"/>
        <v>STAMBAUGH JAMES</v>
      </c>
      <c r="H226" s="20" t="str">
        <f t="shared" si="7"/>
        <v>4004</v>
      </c>
    </row>
    <row r="227" spans="1:8" x14ac:dyDescent="0.3">
      <c r="A227" s="8">
        <v>43101.027870370373</v>
      </c>
      <c r="B227" t="s">
        <v>689</v>
      </c>
      <c r="C227" t="s">
        <v>437</v>
      </c>
      <c r="D227" s="137">
        <v>3340000</v>
      </c>
      <c r="E227" t="s">
        <v>462</v>
      </c>
      <c r="F227" s="20" t="s">
        <v>463</v>
      </c>
      <c r="G227" s="8" t="str">
        <f t="shared" si="6"/>
        <v>ELBAUM MIKE</v>
      </c>
      <c r="H227" s="20" t="str">
        <f t="shared" si="7"/>
        <v>4039</v>
      </c>
    </row>
    <row r="228" spans="1:8" x14ac:dyDescent="0.3">
      <c r="A228" s="8">
        <v>43101.03329861111</v>
      </c>
      <c r="B228" t="s">
        <v>683</v>
      </c>
      <c r="C228" t="s">
        <v>856</v>
      </c>
      <c r="D228" s="137">
        <v>3670000</v>
      </c>
      <c r="E228" t="s">
        <v>382</v>
      </c>
      <c r="F228" s="20" t="s">
        <v>368</v>
      </c>
      <c r="G228" s="8" t="str">
        <f t="shared" si="6"/>
        <v>ANDREA WILLIAMS</v>
      </c>
      <c r="H228" s="20" t="str">
        <f t="shared" si="7"/>
        <v>4025</v>
      </c>
    </row>
    <row r="229" spans="1:8" x14ac:dyDescent="0.3">
      <c r="A229" s="8">
        <v>43101.048877314817</v>
      </c>
      <c r="B229" t="s">
        <v>360</v>
      </c>
      <c r="C229" t="s">
        <v>438</v>
      </c>
      <c r="D229" s="137">
        <v>890000</v>
      </c>
      <c r="E229" t="s">
        <v>344</v>
      </c>
      <c r="F229" s="20" t="s">
        <v>345</v>
      </c>
      <c r="G229" s="8" t="str">
        <f t="shared" si="6"/>
        <v>LOZA FIDEL</v>
      </c>
      <c r="H229" s="20" t="str">
        <f t="shared" si="7"/>
        <v>4018</v>
      </c>
    </row>
    <row r="230" spans="1:8" x14ac:dyDescent="0.3">
      <c r="A230" s="8">
        <v>43101.05537037037</v>
      </c>
      <c r="B230" t="s">
        <v>606</v>
      </c>
      <c r="C230" t="s">
        <v>439</v>
      </c>
      <c r="D230" s="137">
        <v>3220000</v>
      </c>
      <c r="E230" t="s">
        <v>378</v>
      </c>
      <c r="F230" s="20" t="s">
        <v>379</v>
      </c>
      <c r="G230" s="8" t="str">
        <f t="shared" si="6"/>
        <v>RESPASS AARON</v>
      </c>
      <c r="H230" s="20" t="str">
        <f t="shared" si="7"/>
        <v>4033</v>
      </c>
    </row>
    <row r="231" spans="1:8" x14ac:dyDescent="0.3">
      <c r="A231" s="8">
        <v>43101.068055555559</v>
      </c>
      <c r="B231" t="s">
        <v>608</v>
      </c>
      <c r="C231" t="s">
        <v>440</v>
      </c>
      <c r="D231" s="137">
        <v>3340000</v>
      </c>
      <c r="E231" t="s">
        <v>462</v>
      </c>
      <c r="F231" s="20" t="s">
        <v>463</v>
      </c>
      <c r="G231" s="8" t="str">
        <f t="shared" si="6"/>
        <v>ELBAUM MIKE</v>
      </c>
      <c r="H231" s="20" t="str">
        <f t="shared" si="7"/>
        <v>4054</v>
      </c>
    </row>
    <row r="232" spans="1:8" x14ac:dyDescent="0.3">
      <c r="A232" s="8">
        <v>43101.091423611113</v>
      </c>
      <c r="B232" t="s">
        <v>383</v>
      </c>
      <c r="C232" t="s">
        <v>441</v>
      </c>
      <c r="D232" s="137">
        <v>3220000</v>
      </c>
      <c r="E232" t="s">
        <v>378</v>
      </c>
      <c r="F232" s="20" t="s">
        <v>379</v>
      </c>
      <c r="G232" s="8" t="str">
        <f t="shared" si="6"/>
        <v>RESPASS AARON</v>
      </c>
      <c r="H232" s="20" t="str">
        <f t="shared" si="7"/>
        <v>4062</v>
      </c>
    </row>
    <row r="233" spans="1:8" x14ac:dyDescent="0.3">
      <c r="A233" s="8">
        <v>43101.114525462966</v>
      </c>
      <c r="B233" t="s">
        <v>572</v>
      </c>
      <c r="C233" t="s">
        <v>857</v>
      </c>
      <c r="D233" s="137">
        <v>1090000</v>
      </c>
      <c r="E233" t="s">
        <v>530</v>
      </c>
      <c r="F233" s="20" t="s">
        <v>352</v>
      </c>
      <c r="G233" s="8" t="str">
        <f t="shared" si="6"/>
        <v>SPECTOR MICHAEL</v>
      </c>
      <c r="H233" s="20" t="str">
        <f t="shared" si="7"/>
        <v>4021</v>
      </c>
    </row>
    <row r="234" spans="1:8" x14ac:dyDescent="0.3">
      <c r="A234" s="8">
        <v>43091.920706018522</v>
      </c>
      <c r="B234" t="s">
        <v>474</v>
      </c>
      <c r="C234" t="s">
        <v>537</v>
      </c>
      <c r="D234" s="137">
        <v>3340000</v>
      </c>
      <c r="E234" t="s">
        <v>462</v>
      </c>
      <c r="F234" s="20" t="s">
        <v>463</v>
      </c>
      <c r="G234" s="8" t="str">
        <f t="shared" si="6"/>
        <v>ELBAUM MIKE</v>
      </c>
      <c r="H234" s="20" t="str">
        <f t="shared" si="7"/>
        <v>4006</v>
      </c>
    </row>
    <row r="235" spans="1:8" x14ac:dyDescent="0.3">
      <c r="A235" s="8">
        <v>43091.925208333334</v>
      </c>
      <c r="B235" t="s">
        <v>499</v>
      </c>
      <c r="C235" t="s">
        <v>538</v>
      </c>
      <c r="D235" s="137">
        <v>2600000</v>
      </c>
      <c r="E235" t="s">
        <v>536</v>
      </c>
      <c r="F235" s="20" t="s">
        <v>521</v>
      </c>
      <c r="G235" s="8" t="str">
        <f t="shared" si="6"/>
        <v>DAVIDSON DAVID</v>
      </c>
      <c r="H235" s="20" t="str">
        <f t="shared" si="7"/>
        <v>4043</v>
      </c>
    </row>
    <row r="236" spans="1:8" x14ac:dyDescent="0.3">
      <c r="A236" s="8">
        <v>43091.935162037036</v>
      </c>
      <c r="B236" t="s">
        <v>473</v>
      </c>
      <c r="C236" t="s">
        <v>539</v>
      </c>
      <c r="D236" s="137">
        <v>2230000</v>
      </c>
      <c r="E236" t="s">
        <v>393</v>
      </c>
      <c r="F236" s="20" t="s">
        <v>352</v>
      </c>
      <c r="G236" s="8" t="str">
        <f t="shared" si="6"/>
        <v>SMITH MICHAEL</v>
      </c>
      <c r="H236" s="20" t="str">
        <f t="shared" si="7"/>
        <v>4015</v>
      </c>
    </row>
    <row r="237" spans="1:8" x14ac:dyDescent="0.3">
      <c r="A237" s="8">
        <v>43091.948634259257</v>
      </c>
      <c r="B237" t="s">
        <v>531</v>
      </c>
      <c r="C237" t="s">
        <v>540</v>
      </c>
      <c r="D237" s="137">
        <v>3320000</v>
      </c>
      <c r="E237" t="s">
        <v>363</v>
      </c>
      <c r="F237" s="20" t="s">
        <v>364</v>
      </c>
      <c r="G237" s="8" t="str">
        <f t="shared" si="6"/>
        <v>NICHOLSON WESLEY</v>
      </c>
      <c r="H237" s="20" t="str">
        <f t="shared" si="7"/>
        <v>4019</v>
      </c>
    </row>
    <row r="238" spans="1:8" x14ac:dyDescent="0.3">
      <c r="A238" s="8">
        <v>43091.956342592595</v>
      </c>
      <c r="B238" t="s">
        <v>443</v>
      </c>
      <c r="C238" t="s">
        <v>541</v>
      </c>
      <c r="D238" s="137">
        <v>3310000</v>
      </c>
      <c r="E238" t="s">
        <v>489</v>
      </c>
      <c r="F238" s="20" t="s">
        <v>490</v>
      </c>
      <c r="G238" s="8" t="str">
        <f t="shared" si="6"/>
        <v>ANDERS STEVEN</v>
      </c>
      <c r="H238" s="20" t="str">
        <f t="shared" si="7"/>
        <v>4010</v>
      </c>
    </row>
    <row r="239" spans="1:8" x14ac:dyDescent="0.3">
      <c r="A239" s="8">
        <v>43091.957974537036</v>
      </c>
      <c r="B239" t="s">
        <v>475</v>
      </c>
      <c r="C239" t="s">
        <v>542</v>
      </c>
      <c r="D239" s="137">
        <v>2230000</v>
      </c>
      <c r="E239" t="s">
        <v>393</v>
      </c>
      <c r="F239" s="20" t="s">
        <v>352</v>
      </c>
      <c r="G239" s="8" t="str">
        <f t="shared" si="6"/>
        <v>SMITH MICHAEL</v>
      </c>
      <c r="H239" s="20" t="str">
        <f t="shared" si="7"/>
        <v>4016</v>
      </c>
    </row>
    <row r="240" spans="1:8" x14ac:dyDescent="0.3">
      <c r="A240" s="8">
        <v>43091.966365740744</v>
      </c>
      <c r="B240" t="s">
        <v>477</v>
      </c>
      <c r="C240" t="s">
        <v>543</v>
      </c>
      <c r="D240" s="137">
        <v>3340000</v>
      </c>
      <c r="E240" t="s">
        <v>462</v>
      </c>
      <c r="F240" s="20" t="s">
        <v>463</v>
      </c>
      <c r="G240" s="8" t="str">
        <f t="shared" si="6"/>
        <v>ELBAUM MIKE</v>
      </c>
      <c r="H240" s="20" t="str">
        <f t="shared" si="7"/>
        <v>4005</v>
      </c>
    </row>
    <row r="241" spans="1:8" x14ac:dyDescent="0.3">
      <c r="A241" s="8">
        <v>43091.968842592592</v>
      </c>
      <c r="B241" t="s">
        <v>498</v>
      </c>
      <c r="C241" t="s">
        <v>544</v>
      </c>
      <c r="D241" s="137">
        <v>2600000</v>
      </c>
      <c r="E241" t="s">
        <v>536</v>
      </c>
      <c r="F241" s="20" t="s">
        <v>521</v>
      </c>
      <c r="G241" s="8" t="str">
        <f t="shared" si="6"/>
        <v>DAVIDSON DAVID</v>
      </c>
      <c r="H241" s="20" t="str">
        <f t="shared" si="7"/>
        <v>4044</v>
      </c>
    </row>
    <row r="242" spans="1:8" x14ac:dyDescent="0.3">
      <c r="A242" s="8">
        <v>43091.976944444446</v>
      </c>
      <c r="B242" t="s">
        <v>473</v>
      </c>
      <c r="C242" t="s">
        <v>545</v>
      </c>
      <c r="D242" s="137">
        <v>2230000</v>
      </c>
      <c r="E242" t="s">
        <v>393</v>
      </c>
      <c r="F242" s="20" t="s">
        <v>352</v>
      </c>
      <c r="G242" s="8" t="str">
        <f t="shared" si="6"/>
        <v>SMITH MICHAEL</v>
      </c>
      <c r="H242" s="20" t="str">
        <f t="shared" si="7"/>
        <v>4015</v>
      </c>
    </row>
    <row r="243" spans="1:8" x14ac:dyDescent="0.3">
      <c r="A243" s="8">
        <v>43091.986886574072</v>
      </c>
      <c r="B243" t="s">
        <v>492</v>
      </c>
      <c r="C243" t="s">
        <v>478</v>
      </c>
      <c r="D243" s="137">
        <v>3310000</v>
      </c>
      <c r="E243" t="s">
        <v>489</v>
      </c>
      <c r="F243" s="20" t="s">
        <v>490</v>
      </c>
      <c r="G243" s="8" t="str">
        <f t="shared" si="6"/>
        <v>ANDERS STEVEN</v>
      </c>
      <c r="H243" s="20" t="str">
        <f t="shared" si="7"/>
        <v>4009</v>
      </c>
    </row>
    <row r="244" spans="1:8" x14ac:dyDescent="0.3">
      <c r="A244" s="8">
        <v>43091.991770833331</v>
      </c>
      <c r="B244" t="s">
        <v>532</v>
      </c>
      <c r="C244" t="s">
        <v>546</v>
      </c>
      <c r="D244" s="137">
        <v>3320000</v>
      </c>
      <c r="E244" t="s">
        <v>363</v>
      </c>
      <c r="F244" s="20" t="s">
        <v>364</v>
      </c>
      <c r="G244" s="8" t="str">
        <f t="shared" si="6"/>
        <v>NICHOLSON WESLEY</v>
      </c>
      <c r="H244" s="20" t="str">
        <f t="shared" si="7"/>
        <v>4020</v>
      </c>
    </row>
    <row r="245" spans="1:8" x14ac:dyDescent="0.3">
      <c r="A245" s="8">
        <v>43092.006620370368</v>
      </c>
      <c r="B245" t="s">
        <v>499</v>
      </c>
      <c r="C245" t="s">
        <v>476</v>
      </c>
      <c r="D245" s="137">
        <v>2600000</v>
      </c>
      <c r="E245" t="s">
        <v>536</v>
      </c>
      <c r="F245" s="20" t="s">
        <v>521</v>
      </c>
      <c r="G245" s="8" t="str">
        <f t="shared" si="6"/>
        <v>DAVIDSON DAVID</v>
      </c>
      <c r="H245" s="20" t="str">
        <f t="shared" si="7"/>
        <v>4043</v>
      </c>
    </row>
    <row r="246" spans="1:8" x14ac:dyDescent="0.3">
      <c r="A246" s="8">
        <v>43092.007326388892</v>
      </c>
      <c r="B246" t="s">
        <v>474</v>
      </c>
      <c r="C246" t="s">
        <v>479</v>
      </c>
      <c r="D246" s="137">
        <v>3340000</v>
      </c>
      <c r="E246" t="s">
        <v>462</v>
      </c>
      <c r="F246" s="20" t="s">
        <v>463</v>
      </c>
      <c r="G246" s="8" t="str">
        <f t="shared" si="6"/>
        <v>ELBAUM MIKE</v>
      </c>
      <c r="H246" s="20" t="str">
        <f t="shared" si="7"/>
        <v>4006</v>
      </c>
    </row>
    <row r="247" spans="1:8" x14ac:dyDescent="0.3">
      <c r="A247" s="8">
        <v>43092.036180555559</v>
      </c>
      <c r="B247" t="s">
        <v>531</v>
      </c>
      <c r="C247" t="s">
        <v>481</v>
      </c>
      <c r="D247" s="137">
        <v>3320000</v>
      </c>
      <c r="E247" t="s">
        <v>363</v>
      </c>
      <c r="F247" s="20" t="s">
        <v>364</v>
      </c>
      <c r="G247" s="8" t="str">
        <f t="shared" si="6"/>
        <v>NICHOLSON WESLEY</v>
      </c>
      <c r="H247" s="20" t="str">
        <f t="shared" si="7"/>
        <v>4019</v>
      </c>
    </row>
    <row r="248" spans="1:8" x14ac:dyDescent="0.3">
      <c r="A248" s="8">
        <v>43092.040810185186</v>
      </c>
      <c r="B248" t="s">
        <v>443</v>
      </c>
      <c r="C248" t="s">
        <v>547</v>
      </c>
      <c r="D248" s="137">
        <v>3310000</v>
      </c>
      <c r="E248" t="s">
        <v>489</v>
      </c>
      <c r="F248" s="20" t="s">
        <v>490</v>
      </c>
      <c r="G248" s="8" t="str">
        <f t="shared" si="6"/>
        <v>ANDERS STEVEN</v>
      </c>
      <c r="H248" s="20" t="str">
        <f t="shared" si="7"/>
        <v>4010</v>
      </c>
    </row>
    <row r="249" spans="1:8" x14ac:dyDescent="0.3">
      <c r="A249" s="8">
        <v>43092.047118055554</v>
      </c>
      <c r="B249" t="s">
        <v>477</v>
      </c>
      <c r="C249" t="s">
        <v>483</v>
      </c>
      <c r="D249" s="137">
        <v>3340000</v>
      </c>
      <c r="E249" t="s">
        <v>462</v>
      </c>
      <c r="F249" s="20" t="s">
        <v>463</v>
      </c>
      <c r="G249" s="8" t="str">
        <f t="shared" si="6"/>
        <v>ELBAUM MIKE</v>
      </c>
      <c r="H249" s="20" t="str">
        <f t="shared" si="7"/>
        <v>4005</v>
      </c>
    </row>
    <row r="250" spans="1:8" x14ac:dyDescent="0.3">
      <c r="A250" s="8">
        <v>43092.048067129632</v>
      </c>
      <c r="B250" t="s">
        <v>498</v>
      </c>
      <c r="C250" t="s">
        <v>482</v>
      </c>
      <c r="D250" s="137">
        <v>2600000</v>
      </c>
      <c r="E250" t="s">
        <v>536</v>
      </c>
      <c r="F250" s="20" t="s">
        <v>521</v>
      </c>
      <c r="G250" s="8" t="str">
        <f t="shared" si="6"/>
        <v>DAVIDSON DAVID</v>
      </c>
      <c r="H250" s="20" t="str">
        <f t="shared" si="7"/>
        <v>4044</v>
      </c>
    </row>
    <row r="251" spans="1:8" x14ac:dyDescent="0.3">
      <c r="A251" s="8">
        <v>43092.069814814815</v>
      </c>
      <c r="B251" t="s">
        <v>532</v>
      </c>
      <c r="C251" t="s">
        <v>484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3">
      <c r="A252" s="8">
        <v>43092.071180555555</v>
      </c>
      <c r="B252" t="s">
        <v>492</v>
      </c>
      <c r="C252" t="s">
        <v>548</v>
      </c>
      <c r="D252" s="137">
        <v>3310000</v>
      </c>
      <c r="E252" t="s">
        <v>489</v>
      </c>
      <c r="F252" s="20" t="s">
        <v>490</v>
      </c>
      <c r="G252" s="8" t="str">
        <f t="shared" si="6"/>
        <v>ANDERS STEVEN</v>
      </c>
      <c r="H252" s="20" t="str">
        <f t="shared" si="7"/>
        <v>4009</v>
      </c>
    </row>
    <row r="253" spans="1:8" x14ac:dyDescent="0.3">
      <c r="A253" s="8">
        <v>43092.086921296293</v>
      </c>
      <c r="B253" t="s">
        <v>474</v>
      </c>
      <c r="C253" t="s">
        <v>485</v>
      </c>
      <c r="D253" s="137">
        <v>3340000</v>
      </c>
      <c r="E253" t="s">
        <v>462</v>
      </c>
      <c r="F253" s="20" t="s">
        <v>463</v>
      </c>
      <c r="G253" s="8" t="str">
        <f t="shared" si="6"/>
        <v>ELBAUM MIKE</v>
      </c>
      <c r="H253" s="20" t="str">
        <f t="shared" si="7"/>
        <v>4006</v>
      </c>
    </row>
    <row r="254" spans="1:8" x14ac:dyDescent="0.3">
      <c r="A254" s="8">
        <v>43092.109120370369</v>
      </c>
      <c r="B254" t="s">
        <v>443</v>
      </c>
      <c r="C254" t="s">
        <v>480</v>
      </c>
      <c r="D254" s="137">
        <v>3310000</v>
      </c>
      <c r="E254" t="s">
        <v>489</v>
      </c>
      <c r="F254" s="20" t="s">
        <v>490</v>
      </c>
      <c r="G254" s="8" t="str">
        <f t="shared" si="6"/>
        <v>ANDERS STEVEN</v>
      </c>
      <c r="H254" s="20" t="str">
        <f t="shared" si="7"/>
        <v>4010</v>
      </c>
    </row>
    <row r="255" spans="1:8" x14ac:dyDescent="0.3">
      <c r="A255" s="8">
        <v>43057.086678240739</v>
      </c>
      <c r="B255" t="s">
        <v>447</v>
      </c>
      <c r="C255" t="s">
        <v>470</v>
      </c>
      <c r="D255" s="137">
        <v>3340000</v>
      </c>
      <c r="E255" t="s">
        <v>462</v>
      </c>
      <c r="F255" s="20" t="s">
        <v>463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443</v>
      </c>
      <c r="C256" t="s">
        <v>471</v>
      </c>
      <c r="D256" s="137">
        <v>3680000</v>
      </c>
      <c r="E256" t="s">
        <v>468</v>
      </c>
      <c r="F256" s="20" t="s">
        <v>469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444</v>
      </c>
      <c r="C257" t="s">
        <v>455</v>
      </c>
      <c r="D257" s="137">
        <v>2540000</v>
      </c>
      <c r="E257" t="s">
        <v>453</v>
      </c>
      <c r="F257" s="20" t="s">
        <v>454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449</v>
      </c>
      <c r="D258" s="137">
        <v>3700000</v>
      </c>
      <c r="E258" t="s">
        <v>446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443</v>
      </c>
      <c r="C259" t="s">
        <v>456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450</v>
      </c>
      <c r="C260" t="s">
        <v>457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445</v>
      </c>
      <c r="C261" t="s">
        <v>458</v>
      </c>
      <c r="D261" s="137">
        <v>2440000</v>
      </c>
      <c r="E261" t="s">
        <v>451</v>
      </c>
      <c r="F261" s="20" t="s">
        <v>452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459</v>
      </c>
      <c r="D262" s="137">
        <v>3700000</v>
      </c>
      <c r="E262" t="s">
        <v>446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448</v>
      </c>
      <c r="C263" t="s">
        <v>460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461</v>
      </c>
      <c r="D264" s="137">
        <v>3700000</v>
      </c>
      <c r="E264" t="s">
        <v>446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3">
      <c r="A2" s="195">
        <v>24.23</v>
      </c>
      <c r="B2" s="195">
        <v>0.85</v>
      </c>
      <c r="C2" s="195">
        <v>15.78</v>
      </c>
      <c r="D2" s="8">
        <v>43100</v>
      </c>
      <c r="E2" s="195">
        <v>0.7</v>
      </c>
      <c r="F2" s="195" t="s">
        <v>511</v>
      </c>
      <c r="G2" s="195">
        <v>334.66</v>
      </c>
      <c r="H2" s="195">
        <v>0</v>
      </c>
      <c r="I2" s="195">
        <v>0</v>
      </c>
      <c r="J2" s="195">
        <v>1026.67</v>
      </c>
      <c r="K2" s="195" t="s">
        <v>579</v>
      </c>
      <c r="L2" s="195">
        <v>24.23</v>
      </c>
      <c r="M2" s="195">
        <v>1514703600</v>
      </c>
      <c r="N2" s="195">
        <v>0</v>
      </c>
      <c r="O2" s="195">
        <v>4.22</v>
      </c>
      <c r="P2" s="195">
        <v>190</v>
      </c>
      <c r="Q2" s="195">
        <v>3.3</v>
      </c>
      <c r="R2" s="195">
        <v>1.1499999999999999</v>
      </c>
      <c r="S2"/>
      <c r="T2"/>
    </row>
    <row r="3" spans="1:20" x14ac:dyDescent="0.3">
      <c r="A3" s="195">
        <v>24.39</v>
      </c>
      <c r="B3" s="195">
        <v>0.56999999999999995</v>
      </c>
      <c r="C3" s="195">
        <v>16.149999999999999</v>
      </c>
      <c r="D3" s="8">
        <v>43100.041666666664</v>
      </c>
      <c r="E3" s="195">
        <v>0.7</v>
      </c>
      <c r="F3" s="195" t="s">
        <v>511</v>
      </c>
      <c r="G3" s="195">
        <v>335.18</v>
      </c>
      <c r="H3" s="195">
        <v>0</v>
      </c>
      <c r="I3" s="195">
        <v>0</v>
      </c>
      <c r="J3" s="195">
        <v>1026.04</v>
      </c>
      <c r="K3" s="195" t="s">
        <v>512</v>
      </c>
      <c r="L3" s="195">
        <v>24.39</v>
      </c>
      <c r="M3" s="195">
        <v>1514707200</v>
      </c>
      <c r="N3" s="195">
        <v>0</v>
      </c>
      <c r="O3" s="195">
        <v>4.22</v>
      </c>
      <c r="P3" s="195">
        <v>195</v>
      </c>
      <c r="Q3" s="195">
        <v>3.06</v>
      </c>
      <c r="R3" s="195">
        <v>0.93</v>
      </c>
      <c r="S3"/>
      <c r="T3"/>
    </row>
    <row r="4" spans="1:20" x14ac:dyDescent="0.3">
      <c r="A4" s="195">
        <v>24.95</v>
      </c>
      <c r="B4" s="195">
        <v>0.57999999999999996</v>
      </c>
      <c r="C4" s="195">
        <v>16.510000000000002</v>
      </c>
      <c r="D4" s="8">
        <v>43100.083333333336</v>
      </c>
      <c r="E4" s="195">
        <v>0.7</v>
      </c>
      <c r="F4" s="195" t="s">
        <v>511</v>
      </c>
      <c r="G4" s="195">
        <v>335.38</v>
      </c>
      <c r="H4" s="195">
        <v>0</v>
      </c>
      <c r="I4" s="195">
        <v>0</v>
      </c>
      <c r="J4" s="195">
        <v>1026.18</v>
      </c>
      <c r="K4" s="195" t="s">
        <v>512</v>
      </c>
      <c r="L4" s="195">
        <v>24.95</v>
      </c>
      <c r="M4" s="195">
        <v>1514710800</v>
      </c>
      <c r="N4" s="195">
        <v>0</v>
      </c>
      <c r="O4" s="195">
        <v>3.88</v>
      </c>
      <c r="P4" s="195">
        <v>205</v>
      </c>
      <c r="Q4" s="195">
        <v>2.25</v>
      </c>
      <c r="R4" s="195">
        <v>0.77</v>
      </c>
      <c r="S4"/>
      <c r="T4"/>
    </row>
    <row r="5" spans="1:20" x14ac:dyDescent="0.3">
      <c r="A5" s="195">
        <v>25.25</v>
      </c>
      <c r="B5" s="195">
        <v>0.71</v>
      </c>
      <c r="C5" s="195">
        <v>16.75</v>
      </c>
      <c r="D5" s="8">
        <v>43100.125</v>
      </c>
      <c r="E5" s="195">
        <v>0.7</v>
      </c>
      <c r="F5" s="195" t="s">
        <v>511</v>
      </c>
      <c r="G5" s="195">
        <v>335.18</v>
      </c>
      <c r="H5" s="195">
        <v>0</v>
      </c>
      <c r="I5" s="195">
        <v>0</v>
      </c>
      <c r="J5" s="195">
        <v>1024.8499999999999</v>
      </c>
      <c r="K5" s="195" t="s">
        <v>579</v>
      </c>
      <c r="L5" s="195">
        <v>25.25</v>
      </c>
      <c r="M5" s="195">
        <v>1514714400</v>
      </c>
      <c r="N5" s="195">
        <v>0</v>
      </c>
      <c r="O5" s="195">
        <v>4.01</v>
      </c>
      <c r="P5" s="195">
        <v>170</v>
      </c>
      <c r="Q5" s="195">
        <v>1.97</v>
      </c>
      <c r="R5" s="195">
        <v>0.5</v>
      </c>
      <c r="S5"/>
      <c r="T5"/>
    </row>
    <row r="6" spans="1:20" x14ac:dyDescent="0.3">
      <c r="A6" s="195">
        <v>25.44</v>
      </c>
      <c r="B6" s="195">
        <v>0.67</v>
      </c>
      <c r="C6" s="195">
        <v>17.010000000000002</v>
      </c>
      <c r="D6" s="8">
        <v>43100.166666666664</v>
      </c>
      <c r="E6" s="195">
        <v>0.7</v>
      </c>
      <c r="F6" s="195" t="s">
        <v>511</v>
      </c>
      <c r="G6" s="195">
        <v>334.67</v>
      </c>
      <c r="H6" s="195">
        <v>0</v>
      </c>
      <c r="I6" s="195">
        <v>0</v>
      </c>
      <c r="J6" s="195">
        <v>1026.26</v>
      </c>
      <c r="K6" s="195" t="s">
        <v>579</v>
      </c>
      <c r="L6" s="195">
        <v>25.44</v>
      </c>
      <c r="M6" s="195">
        <v>1514718000</v>
      </c>
      <c r="N6" s="195">
        <v>0</v>
      </c>
      <c r="O6" s="195">
        <v>4.22</v>
      </c>
      <c r="P6" s="195">
        <v>182</v>
      </c>
      <c r="Q6" s="195">
        <v>2.44</v>
      </c>
      <c r="R6" s="195">
        <v>0.96</v>
      </c>
      <c r="S6"/>
      <c r="T6"/>
    </row>
    <row r="7" spans="1:20" x14ac:dyDescent="0.3">
      <c r="A7" s="195">
        <v>25.49</v>
      </c>
      <c r="B7" s="195">
        <v>0.84</v>
      </c>
      <c r="C7" s="195">
        <v>17.04</v>
      </c>
      <c r="D7" s="8">
        <v>43100.208333333336</v>
      </c>
      <c r="E7" s="195">
        <v>0.7</v>
      </c>
      <c r="F7" s="195" t="s">
        <v>511</v>
      </c>
      <c r="G7" s="195">
        <v>335.98</v>
      </c>
      <c r="H7" s="195">
        <v>0</v>
      </c>
      <c r="I7" s="195">
        <v>0</v>
      </c>
      <c r="J7" s="195">
        <v>1025.3</v>
      </c>
      <c r="K7" s="195" t="s">
        <v>579</v>
      </c>
      <c r="L7" s="195">
        <v>25.49</v>
      </c>
      <c r="M7" s="195">
        <v>1514721600</v>
      </c>
      <c r="N7" s="195">
        <v>0</v>
      </c>
      <c r="O7" s="195">
        <v>4.22</v>
      </c>
      <c r="P7" s="195">
        <v>185</v>
      </c>
      <c r="Q7" s="195">
        <v>2.5</v>
      </c>
      <c r="R7" s="195">
        <v>0.88</v>
      </c>
      <c r="S7"/>
      <c r="T7"/>
    </row>
    <row r="8" spans="1:20" x14ac:dyDescent="0.3">
      <c r="A8" s="195">
        <v>25.44</v>
      </c>
      <c r="B8" s="195">
        <v>0.8</v>
      </c>
      <c r="C8" s="195">
        <v>16.89</v>
      </c>
      <c r="D8" s="8">
        <v>43100.25</v>
      </c>
      <c r="E8" s="195">
        <v>0.7</v>
      </c>
      <c r="F8" s="195" t="s">
        <v>511</v>
      </c>
      <c r="G8" s="195">
        <v>335.98</v>
      </c>
      <c r="H8" s="195">
        <v>0</v>
      </c>
      <c r="I8" s="195">
        <v>0</v>
      </c>
      <c r="J8" s="195">
        <v>1028.9000000000001</v>
      </c>
      <c r="K8" s="195" t="s">
        <v>579</v>
      </c>
      <c r="L8" s="195">
        <v>25.44</v>
      </c>
      <c r="M8" s="195">
        <v>1514725200</v>
      </c>
      <c r="N8" s="195">
        <v>0</v>
      </c>
      <c r="O8" s="195">
        <v>3.92</v>
      </c>
      <c r="P8" s="195">
        <v>175</v>
      </c>
      <c r="Q8" s="195">
        <v>2.65</v>
      </c>
      <c r="R8" s="195">
        <v>0.47</v>
      </c>
      <c r="S8"/>
      <c r="T8"/>
    </row>
    <row r="9" spans="1:20" x14ac:dyDescent="0.3">
      <c r="A9" s="195">
        <v>23.51</v>
      </c>
      <c r="B9" s="195">
        <v>0.74</v>
      </c>
      <c r="C9" s="195">
        <v>15.71</v>
      </c>
      <c r="D9" s="8">
        <v>43100.291666666664</v>
      </c>
      <c r="E9" s="195">
        <v>0.72</v>
      </c>
      <c r="F9" s="195" t="s">
        <v>511</v>
      </c>
      <c r="G9" s="195">
        <v>335.88</v>
      </c>
      <c r="H9" s="195">
        <v>0</v>
      </c>
      <c r="I9" s="195">
        <v>0</v>
      </c>
      <c r="J9" s="195">
        <v>1031.02</v>
      </c>
      <c r="K9" s="195" t="s">
        <v>579</v>
      </c>
      <c r="L9" s="195">
        <v>23.51</v>
      </c>
      <c r="M9" s="195">
        <v>1514728800</v>
      </c>
      <c r="N9" s="195">
        <v>0</v>
      </c>
      <c r="O9" s="195">
        <v>4.16</v>
      </c>
      <c r="P9" s="195">
        <v>71</v>
      </c>
      <c r="Q9" s="195">
        <v>3.34</v>
      </c>
      <c r="R9" s="195">
        <v>0.94</v>
      </c>
      <c r="S9"/>
      <c r="T9"/>
    </row>
    <row r="10" spans="1:20" x14ac:dyDescent="0.3">
      <c r="A10" s="195">
        <v>21.35</v>
      </c>
      <c r="B10" s="195">
        <v>0.6</v>
      </c>
      <c r="C10" s="195">
        <v>14.34</v>
      </c>
      <c r="D10" s="8">
        <v>43100.333333333336</v>
      </c>
      <c r="E10" s="195">
        <v>0.74</v>
      </c>
      <c r="F10" s="195" t="s">
        <v>624</v>
      </c>
      <c r="G10" s="195">
        <v>336.08</v>
      </c>
      <c r="H10" s="195">
        <v>0</v>
      </c>
      <c r="I10" s="195">
        <v>0</v>
      </c>
      <c r="J10" s="195">
        <v>1030.45</v>
      </c>
      <c r="K10" s="195" t="s">
        <v>579</v>
      </c>
      <c r="L10" s="195">
        <v>21.35</v>
      </c>
      <c r="M10" s="195">
        <v>1514732400</v>
      </c>
      <c r="N10" s="195">
        <v>0</v>
      </c>
      <c r="O10" s="195">
        <v>3.4</v>
      </c>
      <c r="P10" s="195">
        <v>44</v>
      </c>
      <c r="Q10" s="195">
        <v>6.15</v>
      </c>
      <c r="R10" s="195">
        <v>1.86</v>
      </c>
      <c r="S10"/>
      <c r="T10"/>
    </row>
    <row r="11" spans="1:20" x14ac:dyDescent="0.3">
      <c r="A11" s="195">
        <v>19.190000000000001</v>
      </c>
      <c r="B11" s="195">
        <v>0.84</v>
      </c>
      <c r="C11" s="195">
        <v>13.04</v>
      </c>
      <c r="D11" s="8">
        <v>43100.375</v>
      </c>
      <c r="E11" s="195">
        <v>0.77</v>
      </c>
      <c r="F11" s="195" t="s">
        <v>624</v>
      </c>
      <c r="G11" s="195">
        <v>336.7</v>
      </c>
      <c r="H11" s="195">
        <v>0</v>
      </c>
      <c r="I11" s="195">
        <v>0</v>
      </c>
      <c r="J11" s="195">
        <v>1031.8900000000001</v>
      </c>
      <c r="K11" s="195" t="s">
        <v>579</v>
      </c>
      <c r="L11" s="195">
        <v>19.190000000000001</v>
      </c>
      <c r="M11" s="195">
        <v>1514736000</v>
      </c>
      <c r="N11" s="195">
        <v>0</v>
      </c>
      <c r="O11" s="195">
        <v>2.16</v>
      </c>
      <c r="P11" s="195">
        <v>7</v>
      </c>
      <c r="Q11" s="195">
        <v>8.58</v>
      </c>
      <c r="R11" s="195">
        <v>2.63</v>
      </c>
      <c r="S11"/>
      <c r="T11"/>
    </row>
    <row r="12" spans="1:20" x14ac:dyDescent="0.3">
      <c r="A12" s="195">
        <v>11.76</v>
      </c>
      <c r="B12" s="195">
        <v>0.74</v>
      </c>
      <c r="C12" s="195">
        <v>11.31</v>
      </c>
      <c r="D12" s="8">
        <v>43100.416666666664</v>
      </c>
      <c r="E12" s="195">
        <v>0.75</v>
      </c>
      <c r="F12" s="195" t="s">
        <v>624</v>
      </c>
      <c r="G12" s="195">
        <v>337.41</v>
      </c>
      <c r="H12" s="195">
        <v>0</v>
      </c>
      <c r="I12" s="195">
        <v>0</v>
      </c>
      <c r="J12" s="195">
        <v>1030.58</v>
      </c>
      <c r="K12" s="195" t="s">
        <v>579</v>
      </c>
      <c r="L12" s="195">
        <v>17.78</v>
      </c>
      <c r="M12" s="195">
        <v>1514739600</v>
      </c>
      <c r="N12" s="195">
        <v>1</v>
      </c>
      <c r="O12" s="195">
        <v>3.86</v>
      </c>
      <c r="P12" s="195">
        <v>8</v>
      </c>
      <c r="Q12" s="195">
        <v>8.99</v>
      </c>
      <c r="R12" s="195">
        <v>3.92</v>
      </c>
      <c r="S12"/>
      <c r="T12"/>
    </row>
    <row r="13" spans="1:20" x14ac:dyDescent="0.3">
      <c r="A13" s="195">
        <v>10.62</v>
      </c>
      <c r="B13" s="195">
        <v>0.79</v>
      </c>
      <c r="C13" s="195">
        <v>10.28</v>
      </c>
      <c r="D13" s="8">
        <v>43100.458333333336</v>
      </c>
      <c r="E13" s="195">
        <v>0.74</v>
      </c>
      <c r="F13" s="195" t="s">
        <v>624</v>
      </c>
      <c r="G13" s="195">
        <v>350.66</v>
      </c>
      <c r="H13" s="195">
        <v>0</v>
      </c>
      <c r="I13" s="195">
        <v>0</v>
      </c>
      <c r="J13" s="195">
        <v>1031.72</v>
      </c>
      <c r="K13" s="195" t="s">
        <v>579</v>
      </c>
      <c r="L13" s="195">
        <v>17.059999999999999</v>
      </c>
      <c r="M13" s="195">
        <v>1514743200</v>
      </c>
      <c r="N13" s="195">
        <v>1</v>
      </c>
      <c r="O13" s="195">
        <v>3.35</v>
      </c>
      <c r="P13" s="195">
        <v>18</v>
      </c>
      <c r="Q13" s="195">
        <v>9.66</v>
      </c>
      <c r="R13" s="195">
        <v>4.1399999999999997</v>
      </c>
      <c r="S13"/>
      <c r="T13"/>
    </row>
    <row r="14" spans="1:20" x14ac:dyDescent="0.3">
      <c r="A14" s="195">
        <v>10.23</v>
      </c>
      <c r="B14" s="195">
        <v>0.88</v>
      </c>
      <c r="C14" s="195">
        <v>9.33</v>
      </c>
      <c r="D14" s="8">
        <v>43100.5</v>
      </c>
      <c r="E14" s="195">
        <v>0.73</v>
      </c>
      <c r="F14" s="195" t="s">
        <v>624</v>
      </c>
      <c r="G14" s="195">
        <v>351.06</v>
      </c>
      <c r="H14" s="195">
        <v>0</v>
      </c>
      <c r="I14" s="195">
        <v>0</v>
      </c>
      <c r="J14" s="195">
        <v>1030.76</v>
      </c>
      <c r="K14" s="195" t="s">
        <v>579</v>
      </c>
      <c r="L14" s="195">
        <v>16.3</v>
      </c>
      <c r="M14" s="195">
        <v>1514746800</v>
      </c>
      <c r="N14" s="195">
        <v>1</v>
      </c>
      <c r="O14" s="195">
        <v>2.96</v>
      </c>
      <c r="P14" s="195">
        <v>28</v>
      </c>
      <c r="Q14" s="195">
        <v>8.31</v>
      </c>
      <c r="R14" s="195">
        <v>3.81</v>
      </c>
      <c r="S14"/>
      <c r="T14"/>
    </row>
    <row r="15" spans="1:20" x14ac:dyDescent="0.3">
      <c r="A15" s="195">
        <v>10.5</v>
      </c>
      <c r="B15" s="195">
        <v>0.83</v>
      </c>
      <c r="C15" s="195">
        <v>8.73</v>
      </c>
      <c r="D15" s="8">
        <v>43100.541666666664</v>
      </c>
      <c r="E15" s="195">
        <v>0.73</v>
      </c>
      <c r="F15" s="195" t="s">
        <v>624</v>
      </c>
      <c r="G15" s="195">
        <v>349.56</v>
      </c>
      <c r="H15" s="195">
        <v>0</v>
      </c>
      <c r="I15" s="195">
        <v>0</v>
      </c>
      <c r="J15" s="195">
        <v>1030.1199999999999</v>
      </c>
      <c r="K15" s="195" t="s">
        <v>579</v>
      </c>
      <c r="L15" s="195">
        <v>15.94</v>
      </c>
      <c r="M15" s="195">
        <v>1514750400</v>
      </c>
      <c r="N15" s="195">
        <v>1</v>
      </c>
      <c r="O15" s="195">
        <v>2.94</v>
      </c>
      <c r="P15" s="195">
        <v>33</v>
      </c>
      <c r="Q15" s="195">
        <v>7.9</v>
      </c>
      <c r="R15" s="195">
        <v>3.37</v>
      </c>
      <c r="S15"/>
      <c r="T15"/>
    </row>
    <row r="16" spans="1:20" x14ac:dyDescent="0.3">
      <c r="A16" s="195">
        <v>16.010000000000002</v>
      </c>
      <c r="B16" s="195">
        <v>0.73</v>
      </c>
      <c r="C16" s="195">
        <v>8.86</v>
      </c>
      <c r="D16" s="8">
        <v>43100.583333333336</v>
      </c>
      <c r="E16" s="195">
        <v>0.73</v>
      </c>
      <c r="F16" s="195" t="s">
        <v>624</v>
      </c>
      <c r="G16" s="195">
        <v>347.96</v>
      </c>
      <c r="H16" s="195">
        <v>0</v>
      </c>
      <c r="I16" s="195">
        <v>0</v>
      </c>
      <c r="J16" s="195">
        <v>1030.22</v>
      </c>
      <c r="K16" s="195" t="s">
        <v>579</v>
      </c>
      <c r="L16" s="195">
        <v>16.010000000000002</v>
      </c>
      <c r="M16" s="195">
        <v>1514754000</v>
      </c>
      <c r="N16" s="195">
        <v>1</v>
      </c>
      <c r="O16" s="195">
        <v>3.54</v>
      </c>
      <c r="P16" s="195">
        <v>27</v>
      </c>
      <c r="Q16" s="195">
        <v>6.77</v>
      </c>
      <c r="R16" s="195">
        <v>2.86</v>
      </c>
      <c r="S16"/>
      <c r="T16"/>
    </row>
    <row r="17" spans="1:20" x14ac:dyDescent="0.3">
      <c r="A17" s="195">
        <v>16.3</v>
      </c>
      <c r="B17" s="195">
        <v>0.68</v>
      </c>
      <c r="C17" s="195">
        <v>9.3699999999999992</v>
      </c>
      <c r="D17" s="8">
        <v>43100.625</v>
      </c>
      <c r="E17" s="195">
        <v>0.74</v>
      </c>
      <c r="F17" s="195" t="s">
        <v>624</v>
      </c>
      <c r="G17" s="195">
        <v>346.75</v>
      </c>
      <c r="H17" s="195">
        <v>0</v>
      </c>
      <c r="I17" s="195">
        <v>0</v>
      </c>
      <c r="J17" s="195">
        <v>1030.5899999999999</v>
      </c>
      <c r="K17" s="195" t="s">
        <v>579</v>
      </c>
      <c r="L17" s="195">
        <v>16.3</v>
      </c>
      <c r="M17" s="195">
        <v>1514757600</v>
      </c>
      <c r="N17" s="195">
        <v>1</v>
      </c>
      <c r="O17" s="195">
        <v>3.77</v>
      </c>
      <c r="P17" s="195">
        <v>12</v>
      </c>
      <c r="Q17" s="195">
        <v>5.03</v>
      </c>
      <c r="R17" s="195">
        <v>1.76</v>
      </c>
      <c r="S17"/>
      <c r="T17"/>
    </row>
    <row r="18" spans="1:20" x14ac:dyDescent="0.3">
      <c r="A18" s="195">
        <v>16.489999999999998</v>
      </c>
      <c r="B18" s="195">
        <v>0.65</v>
      </c>
      <c r="C18" s="195">
        <v>9.59</v>
      </c>
      <c r="D18" s="8">
        <v>43100.666666666664</v>
      </c>
      <c r="E18" s="195">
        <v>0.74</v>
      </c>
      <c r="F18" s="195" t="s">
        <v>624</v>
      </c>
      <c r="G18" s="195">
        <v>345.45</v>
      </c>
      <c r="H18" s="195">
        <v>0</v>
      </c>
      <c r="I18" s="195">
        <v>0</v>
      </c>
      <c r="J18" s="195">
        <v>1030.99</v>
      </c>
      <c r="K18" s="195" t="s">
        <v>579</v>
      </c>
      <c r="L18" s="195">
        <v>16.489999999999998</v>
      </c>
      <c r="M18" s="195">
        <v>1514761200</v>
      </c>
      <c r="N18" s="195">
        <v>0</v>
      </c>
      <c r="O18" s="195">
        <v>3.68</v>
      </c>
      <c r="P18" s="195">
        <v>19</v>
      </c>
      <c r="Q18" s="195">
        <v>3.96</v>
      </c>
      <c r="R18" s="195">
        <v>1.22</v>
      </c>
      <c r="S18"/>
      <c r="T18"/>
    </row>
    <row r="19" spans="1:20" x14ac:dyDescent="0.3">
      <c r="A19" s="195">
        <v>15.75</v>
      </c>
      <c r="B19" s="195">
        <v>0.7</v>
      </c>
      <c r="C19" s="195">
        <v>9.19</v>
      </c>
      <c r="D19" s="8">
        <v>43100.708333333336</v>
      </c>
      <c r="E19" s="195">
        <v>0.75</v>
      </c>
      <c r="F19" s="195" t="s">
        <v>511</v>
      </c>
      <c r="G19" s="195">
        <v>338.73</v>
      </c>
      <c r="H19" s="195">
        <v>0</v>
      </c>
      <c r="I19" s="195">
        <v>0</v>
      </c>
      <c r="J19" s="195">
        <v>1033.03</v>
      </c>
      <c r="K19" s="195" t="s">
        <v>579</v>
      </c>
      <c r="L19" s="195">
        <v>15.75</v>
      </c>
      <c r="M19" s="195">
        <v>1514764800</v>
      </c>
      <c r="N19" s="195">
        <v>0</v>
      </c>
      <c r="O19" s="195">
        <v>3.79</v>
      </c>
      <c r="P19" s="195">
        <v>34</v>
      </c>
      <c r="Q19" s="195">
        <v>3.37</v>
      </c>
      <c r="R19" s="195">
        <v>1.0900000000000001</v>
      </c>
      <c r="S19"/>
      <c r="T19"/>
    </row>
    <row r="20" spans="1:20" x14ac:dyDescent="0.3">
      <c r="A20" s="195">
        <v>14.66</v>
      </c>
      <c r="B20" s="195">
        <v>0.66</v>
      </c>
      <c r="C20" s="195">
        <v>8.68</v>
      </c>
      <c r="D20" s="8">
        <v>43100.75</v>
      </c>
      <c r="E20" s="195">
        <v>0.77</v>
      </c>
      <c r="F20" s="195" t="s">
        <v>511</v>
      </c>
      <c r="G20" s="195">
        <v>340.13</v>
      </c>
      <c r="H20" s="195">
        <v>0</v>
      </c>
      <c r="I20" s="195">
        <v>0</v>
      </c>
      <c r="J20" s="195">
        <v>1033.99</v>
      </c>
      <c r="K20" s="195" t="s">
        <v>579</v>
      </c>
      <c r="L20" s="195">
        <v>14.66</v>
      </c>
      <c r="M20" s="195">
        <v>1514768400</v>
      </c>
      <c r="N20" s="195">
        <v>0</v>
      </c>
      <c r="O20" s="195">
        <v>3.79</v>
      </c>
      <c r="P20" s="195">
        <v>59</v>
      </c>
      <c r="Q20" s="195">
        <v>4.07</v>
      </c>
      <c r="R20" s="195">
        <v>1.65</v>
      </c>
      <c r="S20"/>
      <c r="T20"/>
    </row>
    <row r="21" spans="1:20" x14ac:dyDescent="0.3">
      <c r="A21" s="195">
        <v>13.75</v>
      </c>
      <c r="B21" s="195">
        <v>0.62</v>
      </c>
      <c r="C21" s="195">
        <v>8.1300000000000008</v>
      </c>
      <c r="D21" s="8">
        <v>43100.791666666664</v>
      </c>
      <c r="E21" s="195">
        <v>0.78</v>
      </c>
      <c r="F21" s="195" t="s">
        <v>511</v>
      </c>
      <c r="G21" s="195">
        <v>343.54</v>
      </c>
      <c r="H21" s="195">
        <v>0</v>
      </c>
      <c r="I21" s="195">
        <v>0</v>
      </c>
      <c r="J21" s="195">
        <v>1034.1300000000001</v>
      </c>
      <c r="K21" s="195" t="s">
        <v>579</v>
      </c>
      <c r="L21" s="195">
        <v>13.75</v>
      </c>
      <c r="M21" s="195">
        <v>1514772000</v>
      </c>
      <c r="N21" s="195">
        <v>0</v>
      </c>
      <c r="O21" s="195">
        <v>3.85</v>
      </c>
      <c r="P21" s="195">
        <v>75</v>
      </c>
      <c r="Q21" s="195">
        <v>3.82</v>
      </c>
      <c r="R21" s="195">
        <v>1.5</v>
      </c>
      <c r="S21"/>
      <c r="T21"/>
    </row>
    <row r="22" spans="1:20" x14ac:dyDescent="0.3">
      <c r="A22" s="195">
        <v>12.83</v>
      </c>
      <c r="B22" s="195">
        <v>0.6</v>
      </c>
      <c r="C22" s="195">
        <v>7.56</v>
      </c>
      <c r="D22" s="8">
        <v>43100.833333333336</v>
      </c>
      <c r="E22" s="195">
        <v>0.79</v>
      </c>
      <c r="F22" s="195" t="s">
        <v>511</v>
      </c>
      <c r="G22" s="195">
        <v>347.14</v>
      </c>
      <c r="H22" s="195">
        <v>0</v>
      </c>
      <c r="I22" s="195">
        <v>0</v>
      </c>
      <c r="J22" s="195">
        <v>1034.5</v>
      </c>
      <c r="K22" s="195" t="s">
        <v>579</v>
      </c>
      <c r="L22" s="195">
        <v>12.83</v>
      </c>
      <c r="M22" s="195">
        <v>1514775600</v>
      </c>
      <c r="N22" s="195">
        <v>0</v>
      </c>
      <c r="O22" s="195">
        <v>4.03</v>
      </c>
      <c r="P22" s="195">
        <v>85</v>
      </c>
      <c r="Q22" s="195">
        <v>3.44</v>
      </c>
      <c r="R22" s="195">
        <v>1.51</v>
      </c>
      <c r="S22"/>
      <c r="T22"/>
    </row>
    <row r="23" spans="1:20" x14ac:dyDescent="0.3">
      <c r="A23" s="195">
        <v>12.52</v>
      </c>
      <c r="B23" s="195">
        <v>0.62</v>
      </c>
      <c r="C23" s="195">
        <v>7.38</v>
      </c>
      <c r="D23" s="8">
        <v>43100.875</v>
      </c>
      <c r="E23" s="195">
        <v>0.79</v>
      </c>
      <c r="F23" s="195" t="s">
        <v>511</v>
      </c>
      <c r="G23" s="195">
        <v>350.74</v>
      </c>
      <c r="H23" s="195">
        <v>0</v>
      </c>
      <c r="I23" s="195">
        <v>0</v>
      </c>
      <c r="J23" s="195">
        <v>1034.5999999999999</v>
      </c>
      <c r="K23" s="195" t="s">
        <v>579</v>
      </c>
      <c r="L23" s="195">
        <v>12.52</v>
      </c>
      <c r="M23" s="195">
        <v>1514779200</v>
      </c>
      <c r="N23" s="195">
        <v>0</v>
      </c>
      <c r="O23" s="195">
        <v>4.03</v>
      </c>
      <c r="P23" s="195">
        <v>65</v>
      </c>
      <c r="Q23" s="195">
        <v>3.7</v>
      </c>
      <c r="R23" s="195">
        <v>1.49</v>
      </c>
      <c r="S23"/>
      <c r="T23"/>
    </row>
    <row r="24" spans="1:20" x14ac:dyDescent="0.3">
      <c r="A24" s="195">
        <v>12.25</v>
      </c>
      <c r="B24" s="195">
        <v>0.74</v>
      </c>
      <c r="C24" s="195">
        <v>7.17</v>
      </c>
      <c r="D24" s="8">
        <v>43100.916666666664</v>
      </c>
      <c r="E24" s="195">
        <v>0.8</v>
      </c>
      <c r="F24" s="195" t="s">
        <v>511</v>
      </c>
      <c r="G24" s="195">
        <v>354.54</v>
      </c>
      <c r="H24" s="195">
        <v>0</v>
      </c>
      <c r="I24" s="195">
        <v>0</v>
      </c>
      <c r="J24" s="195">
        <v>1033.97</v>
      </c>
      <c r="K24" s="195" t="s">
        <v>579</v>
      </c>
      <c r="L24" s="195">
        <v>12.25</v>
      </c>
      <c r="M24" s="195">
        <v>1514782800</v>
      </c>
      <c r="N24" s="195">
        <v>0</v>
      </c>
      <c r="O24" s="195">
        <v>3.77</v>
      </c>
      <c r="P24" s="195">
        <v>70</v>
      </c>
      <c r="Q24" s="195">
        <v>3.38</v>
      </c>
      <c r="R24" s="195">
        <v>1.1299999999999999</v>
      </c>
      <c r="S24"/>
      <c r="T24"/>
    </row>
    <row r="25" spans="1:20" x14ac:dyDescent="0.3">
      <c r="A25" s="195">
        <v>12.12</v>
      </c>
      <c r="B25" s="195">
        <v>0.9</v>
      </c>
      <c r="C25" s="195">
        <v>7.12</v>
      </c>
      <c r="D25" s="8">
        <v>43100.958333333336</v>
      </c>
      <c r="E25" s="195">
        <v>0.8</v>
      </c>
      <c r="F25" s="195" t="s">
        <v>511</v>
      </c>
      <c r="G25" s="195">
        <v>357.54</v>
      </c>
      <c r="H25" s="195">
        <v>0</v>
      </c>
      <c r="I25" s="195">
        <v>0</v>
      </c>
      <c r="J25" s="195">
        <v>1034.51</v>
      </c>
      <c r="K25" s="195" t="s">
        <v>579</v>
      </c>
      <c r="L25" s="195">
        <v>12.12</v>
      </c>
      <c r="M25" s="195">
        <v>1514786400</v>
      </c>
      <c r="N25" s="195">
        <v>0</v>
      </c>
      <c r="O25" s="195">
        <v>3.71</v>
      </c>
      <c r="P25" s="195">
        <v>95</v>
      </c>
      <c r="Q25" s="195">
        <v>3.05</v>
      </c>
      <c r="R25" s="195">
        <v>1.1299999999999999</v>
      </c>
      <c r="S25"/>
      <c r="T25"/>
    </row>
    <row r="26" spans="1:20" x14ac:dyDescent="0.3">
      <c r="A26" s="195">
        <v>11.96</v>
      </c>
      <c r="B26" s="195">
        <v>0.98</v>
      </c>
      <c r="C26" s="195">
        <v>7.01</v>
      </c>
      <c r="D26" s="8">
        <v>43101</v>
      </c>
      <c r="E26" s="195">
        <v>0.8</v>
      </c>
      <c r="F26" s="195" t="s">
        <v>622</v>
      </c>
      <c r="G26" s="195">
        <v>359.34</v>
      </c>
      <c r="H26" s="195">
        <v>0</v>
      </c>
      <c r="I26" s="195">
        <v>0</v>
      </c>
      <c r="J26" s="195">
        <v>1034.79</v>
      </c>
      <c r="K26" s="195" t="s">
        <v>623</v>
      </c>
      <c r="L26" s="195">
        <v>11.96</v>
      </c>
      <c r="M26" s="195">
        <v>1514790000</v>
      </c>
      <c r="N26" s="195">
        <v>0</v>
      </c>
      <c r="O26" s="195">
        <v>3.59</v>
      </c>
      <c r="P26" s="195">
        <v>58</v>
      </c>
      <c r="Q26" s="195">
        <v>3.33</v>
      </c>
      <c r="R26" s="195">
        <v>1.0900000000000001</v>
      </c>
      <c r="S26"/>
      <c r="T26"/>
    </row>
    <row r="27" spans="1:20" x14ac:dyDescent="0.3">
      <c r="A27" s="195">
        <v>12.31</v>
      </c>
      <c r="B27" s="195">
        <v>0.99</v>
      </c>
      <c r="C27" s="195">
        <v>7.42</v>
      </c>
      <c r="D27" s="8">
        <v>43101.041666666664</v>
      </c>
      <c r="E27" s="195">
        <v>0.8</v>
      </c>
      <c r="F27" s="195" t="s">
        <v>622</v>
      </c>
      <c r="G27" s="195">
        <v>360.24</v>
      </c>
      <c r="H27" s="195">
        <v>0</v>
      </c>
      <c r="I27" s="195">
        <v>0</v>
      </c>
      <c r="J27" s="195">
        <v>1035.19</v>
      </c>
      <c r="K27" s="195" t="s">
        <v>623</v>
      </c>
      <c r="L27" s="195">
        <v>12.31</v>
      </c>
      <c r="M27" s="195">
        <v>1514793600</v>
      </c>
      <c r="N27" s="195">
        <v>0</v>
      </c>
      <c r="O27" s="195">
        <v>3.79</v>
      </c>
      <c r="P27" s="195">
        <v>71</v>
      </c>
      <c r="Q27" s="195">
        <v>2.02</v>
      </c>
      <c r="R27" s="195">
        <v>0.44</v>
      </c>
      <c r="S27"/>
      <c r="T27"/>
    </row>
    <row r="28" spans="1:20" x14ac:dyDescent="0.3">
      <c r="A28" s="195">
        <v>12.53</v>
      </c>
      <c r="B28" s="195">
        <v>0.97</v>
      </c>
      <c r="C28" s="195">
        <v>7.85</v>
      </c>
      <c r="D28" s="8">
        <v>43101.083333333336</v>
      </c>
      <c r="E28" s="195">
        <v>0.81</v>
      </c>
      <c r="F28" s="195" t="s">
        <v>622</v>
      </c>
      <c r="G28" s="195">
        <v>360.34</v>
      </c>
      <c r="H28" s="195">
        <v>0</v>
      </c>
      <c r="I28" s="195">
        <v>0</v>
      </c>
      <c r="J28" s="195">
        <v>1034.72</v>
      </c>
      <c r="K28" s="195" t="s">
        <v>623</v>
      </c>
      <c r="L28" s="195">
        <v>12.53</v>
      </c>
      <c r="M28" s="195">
        <v>1514797200</v>
      </c>
      <c r="N28" s="195">
        <v>0</v>
      </c>
      <c r="O28" s="195">
        <v>4.04</v>
      </c>
      <c r="P28" s="195">
        <v>142</v>
      </c>
      <c r="Q28" s="195">
        <v>1.93</v>
      </c>
      <c r="R28" s="195">
        <v>0.38</v>
      </c>
      <c r="S28"/>
      <c r="T28"/>
    </row>
    <row r="29" spans="1:20" x14ac:dyDescent="0.3">
      <c r="A29" s="195">
        <v>11.4</v>
      </c>
      <c r="B29" s="195">
        <v>0.79</v>
      </c>
      <c r="C29" s="195">
        <v>7.41</v>
      </c>
      <c r="D29" s="8">
        <v>43101.125</v>
      </c>
      <c r="E29" s="195">
        <v>0.84</v>
      </c>
      <c r="F29" s="195" t="s">
        <v>511</v>
      </c>
      <c r="G29" s="195">
        <v>359.23</v>
      </c>
      <c r="H29" s="195">
        <v>0</v>
      </c>
      <c r="I29" s="195">
        <v>0</v>
      </c>
      <c r="J29" s="195">
        <v>1035.17</v>
      </c>
      <c r="K29" s="195" t="s">
        <v>579</v>
      </c>
      <c r="L29" s="195">
        <v>11.4</v>
      </c>
      <c r="M29" s="195">
        <v>1514800800</v>
      </c>
      <c r="N29" s="195">
        <v>0</v>
      </c>
      <c r="O29" s="195">
        <v>5.74</v>
      </c>
      <c r="P29" s="195">
        <v>139</v>
      </c>
      <c r="Q29" s="195">
        <v>2.34</v>
      </c>
      <c r="R29" s="195">
        <v>1.23</v>
      </c>
      <c r="S29"/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topLeftCell="A7" workbookViewId="0">
      <selection activeCell="C18" sqref="C18:C32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43100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1034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1035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1036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1037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1038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1039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1040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1041</v>
      </c>
      <c r="J25" s="139" t="s">
        <v>144</v>
      </c>
      <c r="M25" s="153" t="b">
        <v>1</v>
      </c>
    </row>
    <row r="26" spans="3:24" x14ac:dyDescent="0.3">
      <c r="C26" t="s">
        <v>1042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%USERPROFILE%\Documents\GitHub\eaglep3-reporting\EC\2017-12-31-refined-times.txt</v>
      </c>
    </row>
    <row r="27" spans="3:24" x14ac:dyDescent="0.3">
      <c r="C27" t="s">
        <v>1043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%USERPROFILE%\Documents\GitHub\eaglep3-reporting\EC\2017-12-31-Enforcements.txt</v>
      </c>
    </row>
    <row r="28" spans="3:24" x14ac:dyDescent="0.3">
      <c r="C28" t="s">
        <v>1044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%USERPROFILE%\Documents\GitHub\eaglep3-reporting\EC\2017-12-31-Runs-refined.txt</v>
      </c>
    </row>
    <row r="29" spans="3:24" x14ac:dyDescent="0.3">
      <c r="C29" t="s">
        <v>1045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%USERPROFILE%\Documents\GitHub\eaglep3-reporting\EC\2017-12-31-Trips.txt</v>
      </c>
    </row>
    <row r="30" spans="3:24" x14ac:dyDescent="0.3">
      <c r="C30" t="s">
        <v>1046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%USERPROFILE%\Documents\GitHub\eaglep3-reporting\EC\2017-12-31-Weather.txt</v>
      </c>
    </row>
    <row r="31" spans="3:24" x14ac:dyDescent="0.3">
      <c r="C31" t="s">
        <v>1047</v>
      </c>
      <c r="J31" s="139" t="s">
        <v>188</v>
      </c>
      <c r="M31" s="153" t="s">
        <v>189</v>
      </c>
    </row>
    <row r="32" spans="3:24" x14ac:dyDescent="0.3">
      <c r="C32" t="s">
        <v>1048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3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2018-01-03T00:46:22Z</dcterms:modified>
</cp:coreProperties>
</file>