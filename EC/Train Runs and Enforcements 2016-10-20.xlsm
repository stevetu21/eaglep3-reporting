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8" i="1" l="1"/>
  <c r="S114" i="1"/>
  <c r="P114" i="1"/>
  <c r="P59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T16" i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AA17" i="1" s="1"/>
  <c r="Z17" i="1"/>
  <c r="AB17" i="1"/>
  <c r="AC17" i="1"/>
  <c r="AD17" i="1"/>
  <c r="T17" i="1" s="1"/>
  <c r="AE17" i="1"/>
  <c r="AF17" i="1"/>
  <c r="AG17" i="1"/>
  <c r="AI17" i="1" s="1"/>
  <c r="AH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A21" i="1" s="1"/>
  <c r="W21" i="1" s="1"/>
  <c r="AB21" i="1"/>
  <c r="AC21" i="1"/>
  <c r="AD21" i="1"/>
  <c r="AE21" i="1"/>
  <c r="AF21" i="1"/>
  <c r="AG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T24" i="1"/>
  <c r="V24" i="1"/>
  <c r="Y24" i="1"/>
  <c r="Z24" i="1"/>
  <c r="AA24" i="1" s="1"/>
  <c r="AB24" i="1"/>
  <c r="AC24" i="1"/>
  <c r="AD24" i="1"/>
  <c r="AE24" i="1"/>
  <c r="AF24" i="1"/>
  <c r="AH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T28" i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N29" i="1" s="1"/>
  <c r="T29" i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T32" i="1"/>
  <c r="V32" i="1"/>
  <c r="Y32" i="1"/>
  <c r="Z32" i="1"/>
  <c r="AA32" i="1" s="1"/>
  <c r="W32" i="1" s="1"/>
  <c r="AB32" i="1"/>
  <c r="AC32" i="1"/>
  <c r="AD32" i="1"/>
  <c r="AE32" i="1"/>
  <c r="AF32" i="1"/>
  <c r="AG32" i="1"/>
  <c r="AH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AG33" i="1" s="1"/>
  <c r="AE33" i="1"/>
  <c r="AF33" i="1"/>
  <c r="AH33" i="1"/>
  <c r="AI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24" i="3" s="1"/>
  <c r="AF35" i="1"/>
  <c r="AH35" i="1"/>
  <c r="K36" i="1"/>
  <c r="L36" i="1"/>
  <c r="M36" i="1"/>
  <c r="N36" i="1" s="1"/>
  <c r="V36" i="1"/>
  <c r="X36" i="1"/>
  <c r="Y36" i="1"/>
  <c r="Z36" i="1"/>
  <c r="AB36" i="1"/>
  <c r="AC36" i="1"/>
  <c r="AD36" i="1"/>
  <c r="T36" i="1" s="1"/>
  <c r="AE36" i="1"/>
  <c r="AF36" i="1"/>
  <c r="AG36" i="1"/>
  <c r="U36" i="1" s="1"/>
  <c r="AH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G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A41" i="1"/>
  <c r="W41" i="1" s="1"/>
  <c r="AB41" i="1"/>
  <c r="AC41" i="1"/>
  <c r="AD41" i="1"/>
  <c r="T41" i="1" s="1"/>
  <c r="AE41" i="1"/>
  <c r="AF41" i="1"/>
  <c r="AG41" i="1"/>
  <c r="AH41" i="1"/>
  <c r="AI41" i="1"/>
  <c r="K42" i="1"/>
  <c r="L42" i="1"/>
  <c r="M42" i="1"/>
  <c r="N42" i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A45" i="1"/>
  <c r="W45" i="1" s="1"/>
  <c r="AB45" i="1"/>
  <c r="AC45" i="1"/>
  <c r="AD45" i="1"/>
  <c r="AG45" i="1" s="1"/>
  <c r="AE45" i="1"/>
  <c r="AF45" i="1"/>
  <c r="AH45" i="1"/>
  <c r="AI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U47" i="1" s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X49" i="1"/>
  <c r="Y49" i="1"/>
  <c r="Z49" i="1"/>
  <c r="AB49" i="1"/>
  <c r="AC49" i="1"/>
  <c r="AD49" i="1"/>
  <c r="AG49" i="1" s="1"/>
  <c r="AE49" i="1"/>
  <c r="AF49" i="1"/>
  <c r="AH49" i="1"/>
  <c r="AI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T58" i="1"/>
  <c r="V58" i="1"/>
  <c r="Y58" i="1"/>
  <c r="Z58" i="1"/>
  <c r="AA58" i="1" s="1"/>
  <c r="AB58" i="1"/>
  <c r="AC58" i="1"/>
  <c r="AD58" i="1"/>
  <c r="AE58" i="1"/>
  <c r="AF58" i="1"/>
  <c r="AH58" i="1"/>
  <c r="K59" i="1"/>
  <c r="L59" i="1"/>
  <c r="M59" i="1"/>
  <c r="V59" i="1"/>
  <c r="Y59" i="1"/>
  <c r="Z59" i="1"/>
  <c r="AA59" i="1" s="1"/>
  <c r="AB59" i="1"/>
  <c r="AC59" i="1"/>
  <c r="AD59" i="1"/>
  <c r="AE59" i="1"/>
  <c r="AF59" i="1"/>
  <c r="AH59" i="1"/>
  <c r="K60" i="1"/>
  <c r="L60" i="1"/>
  <c r="M60" i="1"/>
  <c r="V60" i="1"/>
  <c r="Y60" i="1"/>
  <c r="Z60" i="1"/>
  <c r="AA60" i="1" s="1"/>
  <c r="W60" i="1" s="1"/>
  <c r="AB60" i="1"/>
  <c r="AC60" i="1"/>
  <c r="AD60" i="1"/>
  <c r="T60" i="1" s="1"/>
  <c r="AE60" i="1"/>
  <c r="AF60" i="1"/>
  <c r="AG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A62" i="1" s="1"/>
  <c r="W62" i="1" s="1"/>
  <c r="AB62" i="1"/>
  <c r="AC62" i="1"/>
  <c r="AD62" i="1"/>
  <c r="T62" i="1" s="1"/>
  <c r="AE62" i="1"/>
  <c r="AF62" i="1"/>
  <c r="AG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X70" i="1"/>
  <c r="Y70" i="1"/>
  <c r="AA70" i="1" s="1"/>
  <c r="W70" i="1" s="1"/>
  <c r="Z70" i="1"/>
  <c r="AB70" i="1"/>
  <c r="AC70" i="1"/>
  <c r="AD70" i="1"/>
  <c r="T70" i="1" s="1"/>
  <c r="AE70" i="1"/>
  <c r="AF70" i="1"/>
  <c r="AG70" i="1"/>
  <c r="AH70" i="1"/>
  <c r="AI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G72" i="1"/>
  <c r="AH72" i="1"/>
  <c r="K73" i="1"/>
  <c r="L73" i="1"/>
  <c r="M73" i="1"/>
  <c r="N73" i="1" s="1"/>
  <c r="V73" i="1"/>
  <c r="Y73" i="1"/>
  <c r="AB73" i="1"/>
  <c r="AC73" i="1"/>
  <c r="AD73" i="1"/>
  <c r="T73" i="1" s="1"/>
  <c r="AE73" i="1"/>
  <c r="R7" i="3" s="1"/>
  <c r="AF73" i="1"/>
  <c r="AH73" i="1"/>
  <c r="K74" i="1"/>
  <c r="L74" i="1"/>
  <c r="M74" i="1"/>
  <c r="N74" i="1" s="1"/>
  <c r="V74" i="1"/>
  <c r="X74" i="1"/>
  <c r="Y74" i="1"/>
  <c r="Z74" i="1"/>
  <c r="AB74" i="1"/>
  <c r="AC74" i="1"/>
  <c r="AD74" i="1"/>
  <c r="AG74" i="1" s="1"/>
  <c r="AE74" i="1"/>
  <c r="AF74" i="1"/>
  <c r="AH74" i="1"/>
  <c r="AI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G77" i="1"/>
  <c r="AH77" i="1"/>
  <c r="K78" i="1"/>
  <c r="L78" i="1"/>
  <c r="M78" i="1"/>
  <c r="N78" i="1" s="1"/>
  <c r="V78" i="1"/>
  <c r="X78" i="1"/>
  <c r="Y78" i="1"/>
  <c r="Z78" i="1"/>
  <c r="AB78" i="1"/>
  <c r="AC78" i="1"/>
  <c r="AD78" i="1"/>
  <c r="AG78" i="1" s="1"/>
  <c r="AE78" i="1"/>
  <c r="AF78" i="1"/>
  <c r="AH78" i="1"/>
  <c r="AI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G80" i="1"/>
  <c r="AH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A82" i="1"/>
  <c r="W82" i="1" s="1"/>
  <c r="AB82" i="1"/>
  <c r="AC82" i="1"/>
  <c r="AD82" i="1"/>
  <c r="AG82" i="1" s="1"/>
  <c r="AE82" i="1"/>
  <c r="AF82" i="1"/>
  <c r="AH82" i="1"/>
  <c r="AI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K88" i="1"/>
  <c r="L88" i="1"/>
  <c r="M88" i="1"/>
  <c r="N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X96" i="1"/>
  <c r="Y96" i="1"/>
  <c r="Z96" i="1"/>
  <c r="AA96" i="1"/>
  <c r="W96" i="1" s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S30" i="3" s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E103" i="1"/>
  <c r="AF103" i="1"/>
  <c r="AH103" i="1"/>
  <c r="K104" i="1"/>
  <c r="L104" i="1"/>
  <c r="M104" i="1"/>
  <c r="N104" i="1"/>
  <c r="V104" i="1"/>
  <c r="Y104" i="1"/>
  <c r="Z104" i="1"/>
  <c r="AA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A108" i="1" s="1"/>
  <c r="W108" i="1" s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X112" i="1"/>
  <c r="Y112" i="1"/>
  <c r="Z112" i="1"/>
  <c r="AA112" i="1"/>
  <c r="W112" i="1" s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K114" i="1"/>
  <c r="L114" i="1"/>
  <c r="M114" i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T116" i="1"/>
  <c r="V116" i="1"/>
  <c r="Y116" i="1"/>
  <c r="Z116" i="1"/>
  <c r="AA116" i="1" s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G123" i="1"/>
  <c r="U123" i="1" s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G124" i="1" s="1"/>
  <c r="AE124" i="1"/>
  <c r="AF124" i="1"/>
  <c r="AH124" i="1"/>
  <c r="K125" i="1"/>
  <c r="L125" i="1"/>
  <c r="M125" i="1"/>
  <c r="N125" i="1"/>
  <c r="V125" i="1"/>
  <c r="Y125" i="1"/>
  <c r="AA125" i="1" s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X132" i="1"/>
  <c r="Y132" i="1"/>
  <c r="Z132" i="1"/>
  <c r="AB132" i="1"/>
  <c r="AC132" i="1"/>
  <c r="AD132" i="1"/>
  <c r="AG132" i="1" s="1"/>
  <c r="AE132" i="1"/>
  <c r="AF132" i="1"/>
  <c r="AH132" i="1"/>
  <c r="AI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/>
  <c r="V136" i="1"/>
  <c r="Y136" i="1"/>
  <c r="AA136" i="1" s="1"/>
  <c r="Z136" i="1"/>
  <c r="AB136" i="1"/>
  <c r="AC136" i="1"/>
  <c r="AD136" i="1"/>
  <c r="AG136" i="1" s="1"/>
  <c r="AE136" i="1"/>
  <c r="AF136" i="1"/>
  <c r="AH136" i="1"/>
  <c r="AI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G137" i="1"/>
  <c r="AH137" i="1"/>
  <c r="K138" i="1"/>
  <c r="L138" i="1"/>
  <c r="M138" i="1"/>
  <c r="N138" i="1" s="1"/>
  <c r="V138" i="1"/>
  <c r="X138" i="1"/>
  <c r="Y138" i="1"/>
  <c r="Z138" i="1"/>
  <c r="AB138" i="1"/>
  <c r="AC138" i="1"/>
  <c r="AD138" i="1"/>
  <c r="AE138" i="1"/>
  <c r="AF138" i="1"/>
  <c r="AG138" i="1"/>
  <c r="AH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T153" i="1"/>
  <c r="V153" i="1"/>
  <c r="S27" i="3" s="1"/>
  <c r="Y153" i="1"/>
  <c r="Z153" i="1"/>
  <c r="AB153" i="1"/>
  <c r="AC153" i="1"/>
  <c r="AD153" i="1"/>
  <c r="AE153" i="1"/>
  <c r="AF153" i="1"/>
  <c r="AG153" i="1"/>
  <c r="AH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/>
  <c r="V156" i="1"/>
  <c r="S9" i="3" s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T158" i="1"/>
  <c r="V158" i="1"/>
  <c r="Y158" i="1"/>
  <c r="Z158" i="1"/>
  <c r="AA158" i="1"/>
  <c r="AB158" i="1"/>
  <c r="AC158" i="1"/>
  <c r="AD158" i="1"/>
  <c r="AE158" i="1"/>
  <c r="AF158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T209" i="1" s="1"/>
  <c r="AE209" i="1"/>
  <c r="AF209" i="1"/>
  <c r="AG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6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9" i="1"/>
  <c r="K221" i="1"/>
  <c r="L221" i="1"/>
  <c r="M221" i="1"/>
  <c r="N221" i="1" s="1"/>
  <c r="T221" i="1"/>
  <c r="V221" i="1"/>
  <c r="Y221" i="1"/>
  <c r="Z221" i="1"/>
  <c r="AA221" i="1" s="1"/>
  <c r="AB221" i="1"/>
  <c r="AC221" i="1"/>
  <c r="AD221" i="1"/>
  <c r="AE221" i="1"/>
  <c r="AF221" i="1"/>
  <c r="AG221" i="1"/>
  <c r="AH17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G223" i="1"/>
  <c r="AH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50" i="3" s="1"/>
  <c r="AF224" i="1"/>
  <c r="AH173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R62" i="3" s="1"/>
  <c r="AF225" i="1"/>
  <c r="AH174" i="1"/>
  <c r="K226" i="1"/>
  <c r="L226" i="1"/>
  <c r="M226" i="1"/>
  <c r="N226" i="1" s="1"/>
  <c r="V226" i="1"/>
  <c r="S53" i="3" s="1"/>
  <c r="Y226" i="1"/>
  <c r="Z226" i="1"/>
  <c r="AB226" i="1"/>
  <c r="AC226" i="1"/>
  <c r="AD226" i="1"/>
  <c r="T226" i="1" s="1"/>
  <c r="AE226" i="1"/>
  <c r="AF226" i="1"/>
  <c r="AH175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176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AG159" i="1" s="1"/>
  <c r="AE159" i="1"/>
  <c r="AF159" i="1"/>
  <c r="AH177" i="1"/>
  <c r="K160" i="1"/>
  <c r="L160" i="1"/>
  <c r="M160" i="1"/>
  <c r="N160" i="1" s="1"/>
  <c r="V160" i="1"/>
  <c r="Y160" i="1"/>
  <c r="AA160" i="1"/>
  <c r="AB160" i="1"/>
  <c r="AC160" i="1"/>
  <c r="AD160" i="1"/>
  <c r="T160" i="1" s="1"/>
  <c r="AE160" i="1"/>
  <c r="AF160" i="1"/>
  <c r="AH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T162" i="1"/>
  <c r="V162" i="1"/>
  <c r="Y162" i="1"/>
  <c r="Z162" i="1"/>
  <c r="AB162" i="1"/>
  <c r="AC162" i="1"/>
  <c r="AD162" i="1"/>
  <c r="AE162" i="1"/>
  <c r="AF162" i="1"/>
  <c r="AG162" i="1"/>
  <c r="AI162" i="1" s="1"/>
  <c r="AH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G167" i="1"/>
  <c r="U167" i="1" s="1"/>
  <c r="S167" i="1" s="1"/>
  <c r="AH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36" i="3" s="1"/>
  <c r="AF168" i="1"/>
  <c r="AH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8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K173" i="1"/>
  <c r="L173" i="1"/>
  <c r="M173" i="1"/>
  <c r="N173" i="1" s="1"/>
  <c r="V173" i="1"/>
  <c r="S34" i="3" s="1"/>
  <c r="Y173" i="1"/>
  <c r="Z173" i="1"/>
  <c r="AB173" i="1"/>
  <c r="AC173" i="1"/>
  <c r="AD173" i="1"/>
  <c r="T173" i="1" s="1"/>
  <c r="AE173" i="1"/>
  <c r="AF173" i="1"/>
  <c r="AH191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G174" i="1"/>
  <c r="AH192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6" i="1"/>
  <c r="K179" i="1"/>
  <c r="L179" i="1"/>
  <c r="M179" i="1"/>
  <c r="N179" i="1" s="1"/>
  <c r="V179" i="1"/>
  <c r="X179" i="1"/>
  <c r="Y179" i="1"/>
  <c r="Z179" i="1"/>
  <c r="AA179" i="1" s="1"/>
  <c r="W179" i="1" s="1"/>
  <c r="AB179" i="1"/>
  <c r="AC179" i="1"/>
  <c r="AD179" i="1"/>
  <c r="AG179" i="1" s="1"/>
  <c r="AE179" i="1"/>
  <c r="AF179" i="1"/>
  <c r="AH197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8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99" i="1"/>
  <c r="K182" i="1"/>
  <c r="L182" i="1"/>
  <c r="M182" i="1"/>
  <c r="N182" i="1" s="1"/>
  <c r="T182" i="1"/>
  <c r="V182" i="1"/>
  <c r="Y182" i="1"/>
  <c r="Z182" i="1"/>
  <c r="AB182" i="1"/>
  <c r="AC182" i="1"/>
  <c r="AD182" i="1"/>
  <c r="AG182" i="1" s="1"/>
  <c r="AE182" i="1"/>
  <c r="AF182" i="1"/>
  <c r="AH200" i="1"/>
  <c r="K183" i="1"/>
  <c r="L183" i="1"/>
  <c r="M183" i="1"/>
  <c r="N183" i="1" s="1"/>
  <c r="V183" i="1"/>
  <c r="X183" i="1"/>
  <c r="Y183" i="1"/>
  <c r="Z183" i="1"/>
  <c r="AB183" i="1"/>
  <c r="AC183" i="1"/>
  <c r="AD183" i="1"/>
  <c r="T183" i="1" s="1"/>
  <c r="AE183" i="1"/>
  <c r="AF183" i="1"/>
  <c r="AG183" i="1"/>
  <c r="AH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Y187" i="1"/>
  <c r="Z187" i="1"/>
  <c r="AA187" i="1"/>
  <c r="W187" i="1" s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S47" i="3" s="1"/>
  <c r="Y188" i="1"/>
  <c r="Z188" i="1"/>
  <c r="AA188" i="1" s="1"/>
  <c r="AB188" i="1"/>
  <c r="AC188" i="1"/>
  <c r="AD188" i="1"/>
  <c r="T188" i="1" s="1"/>
  <c r="AE188" i="1"/>
  <c r="R47" i="3" s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K190" i="1"/>
  <c r="L190" i="1"/>
  <c r="M190" i="1"/>
  <c r="N190" i="1" s="1"/>
  <c r="V190" i="1"/>
  <c r="Y190" i="1"/>
  <c r="Z190" i="1"/>
  <c r="AB190" i="1"/>
  <c r="AC190" i="1"/>
  <c r="AD190" i="1"/>
  <c r="AE190" i="1"/>
  <c r="R48" i="3" s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09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0" i="1"/>
  <c r="K193" i="1"/>
  <c r="L193" i="1"/>
  <c r="M193" i="1"/>
  <c r="N193" i="1" s="1"/>
  <c r="V193" i="1"/>
  <c r="S41" i="3" s="1"/>
  <c r="Y193" i="1"/>
  <c r="Z193" i="1"/>
  <c r="AA193" i="1" s="1"/>
  <c r="AB193" i="1"/>
  <c r="AC193" i="1"/>
  <c r="AD193" i="1"/>
  <c r="T193" i="1" s="1"/>
  <c r="AE193" i="1"/>
  <c r="AF193" i="1"/>
  <c r="AH211" i="1"/>
  <c r="K194" i="1"/>
  <c r="L194" i="1"/>
  <c r="M194" i="1"/>
  <c r="N194" i="1" s="1"/>
  <c r="V194" i="1"/>
  <c r="Y194" i="1"/>
  <c r="Z194" i="1"/>
  <c r="AA194" i="1" s="1"/>
  <c r="W194" i="1" s="1"/>
  <c r="AB194" i="1"/>
  <c r="AC194" i="1"/>
  <c r="AD194" i="1"/>
  <c r="AG194" i="1" s="1"/>
  <c r="AE194" i="1"/>
  <c r="R40" i="3" s="1"/>
  <c r="AF194" i="1"/>
  <c r="AH212" i="1"/>
  <c r="K195" i="1"/>
  <c r="L195" i="1"/>
  <c r="M195" i="1"/>
  <c r="N195" i="1" s="1"/>
  <c r="V195" i="1"/>
  <c r="Y195" i="1"/>
  <c r="Z195" i="1"/>
  <c r="AA195" i="1" s="1"/>
  <c r="W195" i="1" s="1"/>
  <c r="AB195" i="1"/>
  <c r="AC195" i="1"/>
  <c r="AD195" i="1"/>
  <c r="AG195" i="1" s="1"/>
  <c r="AE195" i="1"/>
  <c r="AF195" i="1"/>
  <c r="AH213" i="1"/>
  <c r="K196" i="1"/>
  <c r="L196" i="1"/>
  <c r="M196" i="1"/>
  <c r="N196" i="1"/>
  <c r="V196" i="1"/>
  <c r="Y196" i="1"/>
  <c r="AA196" i="1" s="1"/>
  <c r="Z196" i="1"/>
  <c r="AB196" i="1"/>
  <c r="AC196" i="1"/>
  <c r="AD196" i="1"/>
  <c r="T196" i="1" s="1"/>
  <c r="AE196" i="1"/>
  <c r="AF196" i="1"/>
  <c r="AH214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6" i="1"/>
  <c r="K199" i="1"/>
  <c r="L199" i="1"/>
  <c r="M199" i="1"/>
  <c r="N199" i="1" s="1"/>
  <c r="V199" i="1"/>
  <c r="Y199" i="1"/>
  <c r="Z199" i="1"/>
  <c r="AA199" i="1" s="1"/>
  <c r="W199" i="1" s="1"/>
  <c r="AB199" i="1"/>
  <c r="AC199" i="1"/>
  <c r="AD199" i="1"/>
  <c r="AG199" i="1" s="1"/>
  <c r="AE199" i="1"/>
  <c r="AF199" i="1"/>
  <c r="AH217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K202" i="1"/>
  <c r="L202" i="1"/>
  <c r="M202" i="1"/>
  <c r="N202" i="1" s="1"/>
  <c r="T202" i="1"/>
  <c r="V202" i="1"/>
  <c r="Y202" i="1"/>
  <c r="Z202" i="1"/>
  <c r="AB202" i="1"/>
  <c r="AC202" i="1"/>
  <c r="AD202" i="1"/>
  <c r="AG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I221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2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3" i="1"/>
  <c r="K213" i="1"/>
  <c r="L213" i="1"/>
  <c r="M213" i="1"/>
  <c r="N213" i="1" s="1"/>
  <c r="T213" i="1"/>
  <c r="V213" i="1"/>
  <c r="Y213" i="1"/>
  <c r="Z213" i="1"/>
  <c r="AB213" i="1"/>
  <c r="AC213" i="1"/>
  <c r="AD213" i="1"/>
  <c r="AG213" i="1" s="1"/>
  <c r="AE213" i="1"/>
  <c r="AF213" i="1"/>
  <c r="AH22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25" i="1"/>
  <c r="K215" i="1"/>
  <c r="L215" i="1"/>
  <c r="M215" i="1"/>
  <c r="N215" i="1"/>
  <c r="V215" i="1"/>
  <c r="Y215" i="1"/>
  <c r="AA215" i="1" s="1"/>
  <c r="Z215" i="1"/>
  <c r="AB215" i="1"/>
  <c r="AC215" i="1"/>
  <c r="AD215" i="1"/>
  <c r="T215" i="1" s="1"/>
  <c r="AE215" i="1"/>
  <c r="AF215" i="1"/>
  <c r="AH22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7" i="1"/>
  <c r="M11" i="3"/>
  <c r="N11" i="3"/>
  <c r="R11" i="3"/>
  <c r="S11" i="3"/>
  <c r="U11" i="3"/>
  <c r="T11" i="3" s="1"/>
  <c r="V11" i="3"/>
  <c r="W11" i="3"/>
  <c r="X11" i="3"/>
  <c r="M8" i="3"/>
  <c r="N8" i="3"/>
  <c r="R8" i="3"/>
  <c r="S8" i="3"/>
  <c r="T8" i="3"/>
  <c r="U8" i="3"/>
  <c r="V8" i="3"/>
  <c r="W8" i="3"/>
  <c r="Y8" i="3" s="1"/>
  <c r="X8" i="3"/>
  <c r="AC8" i="3"/>
  <c r="M24" i="3"/>
  <c r="N24" i="3"/>
  <c r="S24" i="3"/>
  <c r="U24" i="3"/>
  <c r="AC24" i="3" s="1"/>
  <c r="V24" i="3"/>
  <c r="W24" i="3"/>
  <c r="X24" i="3"/>
  <c r="M12" i="3"/>
  <c r="N12" i="3"/>
  <c r="R12" i="3"/>
  <c r="S12" i="3"/>
  <c r="T12" i="3"/>
  <c r="U12" i="3"/>
  <c r="AC12" i="3" s="1"/>
  <c r="V12" i="3"/>
  <c r="W12" i="3"/>
  <c r="Y12" i="3" s="1"/>
  <c r="X12" i="3"/>
  <c r="M32" i="3"/>
  <c r="N32" i="3"/>
  <c r="R32" i="3"/>
  <c r="S32" i="3"/>
  <c r="U32" i="3"/>
  <c r="T32" i="3" s="1"/>
  <c r="V32" i="3"/>
  <c r="W32" i="3"/>
  <c r="X32" i="3"/>
  <c r="M19" i="3"/>
  <c r="N19" i="3"/>
  <c r="R19" i="3"/>
  <c r="S19" i="3"/>
  <c r="U19" i="3"/>
  <c r="T19" i="3" s="1"/>
  <c r="V19" i="3"/>
  <c r="W19" i="3"/>
  <c r="X19" i="3"/>
  <c r="AC19" i="3"/>
  <c r="M36" i="3"/>
  <c r="N36" i="3"/>
  <c r="S36" i="3"/>
  <c r="U36" i="3"/>
  <c r="AC36" i="3" s="1"/>
  <c r="V36" i="3"/>
  <c r="W36" i="3"/>
  <c r="X36" i="3"/>
  <c r="M38" i="3"/>
  <c r="N38" i="3"/>
  <c r="S38" i="3"/>
  <c r="U38" i="3"/>
  <c r="T38" i="3" s="1"/>
  <c r="V38" i="3"/>
  <c r="W38" i="3"/>
  <c r="X38" i="3"/>
  <c r="AC38" i="3"/>
  <c r="M28" i="3"/>
  <c r="N28" i="3"/>
  <c r="R28" i="3"/>
  <c r="S28" i="3"/>
  <c r="U28" i="3"/>
  <c r="T28" i="3" s="1"/>
  <c r="V28" i="3"/>
  <c r="W28" i="3"/>
  <c r="X28" i="3"/>
  <c r="M29" i="3"/>
  <c r="N29" i="3"/>
  <c r="R29" i="3"/>
  <c r="S29" i="3"/>
  <c r="U29" i="3"/>
  <c r="T29" i="3" s="1"/>
  <c r="V29" i="3"/>
  <c r="W29" i="3"/>
  <c r="X29" i="3"/>
  <c r="AC29" i="3"/>
  <c r="M25" i="3"/>
  <c r="N25" i="3"/>
  <c r="R25" i="3"/>
  <c r="S25" i="3"/>
  <c r="U25" i="3"/>
  <c r="AC25" i="3" s="1"/>
  <c r="V25" i="3"/>
  <c r="W25" i="3"/>
  <c r="X25" i="3"/>
  <c r="M22" i="3"/>
  <c r="N22" i="3"/>
  <c r="R22" i="3"/>
  <c r="S22" i="3"/>
  <c r="U22" i="3"/>
  <c r="AC22" i="3" s="1"/>
  <c r="V22" i="3"/>
  <c r="W22" i="3"/>
  <c r="X22" i="3"/>
  <c r="Y22" i="3"/>
  <c r="M23" i="3"/>
  <c r="N23" i="3"/>
  <c r="R23" i="3"/>
  <c r="S23" i="3"/>
  <c r="U23" i="3"/>
  <c r="T23" i="3" s="1"/>
  <c r="V23" i="3"/>
  <c r="W23" i="3"/>
  <c r="X23" i="3"/>
  <c r="M34" i="3"/>
  <c r="N34" i="3"/>
  <c r="R34" i="3"/>
  <c r="U34" i="3"/>
  <c r="T34" i="3" s="1"/>
  <c r="V34" i="3"/>
  <c r="W34" i="3"/>
  <c r="X34" i="3"/>
  <c r="AC34" i="3"/>
  <c r="M60" i="3"/>
  <c r="N60" i="3"/>
  <c r="R60" i="3"/>
  <c r="S60" i="3"/>
  <c r="U60" i="3"/>
  <c r="AC60" i="3" s="1"/>
  <c r="V60" i="3"/>
  <c r="W60" i="3"/>
  <c r="Y60" i="3" s="1"/>
  <c r="X60" i="3"/>
  <c r="M57" i="3"/>
  <c r="N57" i="3"/>
  <c r="R57" i="3"/>
  <c r="S57" i="3"/>
  <c r="U57" i="3"/>
  <c r="T57" i="3" s="1"/>
  <c r="V57" i="3"/>
  <c r="W57" i="3"/>
  <c r="Y57" i="3" s="1"/>
  <c r="X57" i="3"/>
  <c r="AC57" i="3"/>
  <c r="M59" i="3"/>
  <c r="N59" i="3"/>
  <c r="R59" i="3"/>
  <c r="S59" i="3"/>
  <c r="U59" i="3"/>
  <c r="T59" i="3" s="1"/>
  <c r="V59" i="3"/>
  <c r="W59" i="3"/>
  <c r="X59" i="3"/>
  <c r="M33" i="3"/>
  <c r="N33" i="3"/>
  <c r="R33" i="3"/>
  <c r="S33" i="3"/>
  <c r="U33" i="3"/>
  <c r="T33" i="3" s="1"/>
  <c r="V33" i="3"/>
  <c r="W33" i="3"/>
  <c r="X33" i="3"/>
  <c r="AC33" i="3"/>
  <c r="M61" i="3"/>
  <c r="N61" i="3"/>
  <c r="R61" i="3"/>
  <c r="S61" i="3"/>
  <c r="U61" i="3"/>
  <c r="AC61" i="3" s="1"/>
  <c r="V61" i="3"/>
  <c r="W61" i="3"/>
  <c r="X61" i="3"/>
  <c r="M14" i="3"/>
  <c r="N14" i="3"/>
  <c r="R14" i="3"/>
  <c r="S14" i="3"/>
  <c r="T14" i="3"/>
  <c r="U14" i="3"/>
  <c r="AC14" i="3" s="1"/>
  <c r="V14" i="3"/>
  <c r="W14" i="3"/>
  <c r="Y14" i="3" s="1"/>
  <c r="X14" i="3"/>
  <c r="M18" i="3"/>
  <c r="N18" i="3"/>
  <c r="R18" i="3"/>
  <c r="S18" i="3"/>
  <c r="U18" i="3"/>
  <c r="T18" i="3" s="1"/>
  <c r="V18" i="3"/>
  <c r="W18" i="3"/>
  <c r="X18" i="3"/>
  <c r="M50" i="3"/>
  <c r="N50" i="3"/>
  <c r="S50" i="3"/>
  <c r="U50" i="3"/>
  <c r="T50" i="3" s="1"/>
  <c r="V50" i="3"/>
  <c r="W50" i="3"/>
  <c r="X50" i="3"/>
  <c r="AC50" i="3"/>
  <c r="M51" i="3"/>
  <c r="N51" i="3"/>
  <c r="R51" i="3"/>
  <c r="S51" i="3"/>
  <c r="U51" i="3"/>
  <c r="AC51" i="3" s="1"/>
  <c r="V51" i="3"/>
  <c r="W51" i="3"/>
  <c r="Y51" i="3" s="1"/>
  <c r="X51" i="3"/>
  <c r="M52" i="3"/>
  <c r="N52" i="3"/>
  <c r="R52" i="3"/>
  <c r="S52" i="3"/>
  <c r="U52" i="3"/>
  <c r="T52" i="3" s="1"/>
  <c r="V52" i="3"/>
  <c r="W52" i="3"/>
  <c r="Y52" i="3" s="1"/>
  <c r="X52" i="3"/>
  <c r="AC52" i="3"/>
  <c r="M63" i="3"/>
  <c r="N63" i="3"/>
  <c r="R63" i="3"/>
  <c r="S63" i="3"/>
  <c r="U63" i="3"/>
  <c r="T63" i="3" s="1"/>
  <c r="V63" i="3"/>
  <c r="W63" i="3"/>
  <c r="X63" i="3"/>
  <c r="M64" i="3"/>
  <c r="N64" i="3"/>
  <c r="R64" i="3"/>
  <c r="S64" i="3"/>
  <c r="U64" i="3"/>
  <c r="T64" i="3" s="1"/>
  <c r="V64" i="3"/>
  <c r="W64" i="3"/>
  <c r="X64" i="3"/>
  <c r="AC64" i="3"/>
  <c r="M58" i="3"/>
  <c r="N58" i="3"/>
  <c r="R58" i="3"/>
  <c r="S58" i="3"/>
  <c r="U58" i="3"/>
  <c r="AC58" i="3" s="1"/>
  <c r="V58" i="3"/>
  <c r="W58" i="3"/>
  <c r="X58" i="3"/>
  <c r="M7" i="3"/>
  <c r="N7" i="3"/>
  <c r="S7" i="3"/>
  <c r="U7" i="3"/>
  <c r="AC7" i="3" s="1"/>
  <c r="V7" i="3"/>
  <c r="W7" i="3"/>
  <c r="X7" i="3"/>
  <c r="M44" i="3"/>
  <c r="N44" i="3"/>
  <c r="R44" i="3"/>
  <c r="U44" i="3"/>
  <c r="T44" i="3" s="1"/>
  <c r="V44" i="3"/>
  <c r="W44" i="3"/>
  <c r="Y44" i="3" s="1"/>
  <c r="X44" i="3"/>
  <c r="M45" i="3"/>
  <c r="N45" i="3"/>
  <c r="R45" i="3"/>
  <c r="U45" i="3"/>
  <c r="T45" i="3" s="1"/>
  <c r="V45" i="3"/>
  <c r="W45" i="3"/>
  <c r="X45" i="3"/>
  <c r="AC45" i="3"/>
  <c r="M37" i="3"/>
  <c r="N37" i="3"/>
  <c r="R37" i="3"/>
  <c r="S37" i="3"/>
  <c r="U37" i="3"/>
  <c r="AC37" i="3" s="1"/>
  <c r="V37" i="3"/>
  <c r="W37" i="3"/>
  <c r="Y37" i="3" s="1"/>
  <c r="X37" i="3"/>
  <c r="M10" i="3"/>
  <c r="N10" i="3"/>
  <c r="R10" i="3"/>
  <c r="S10" i="3"/>
  <c r="U10" i="3"/>
  <c r="T10" i="3" s="1"/>
  <c r="V10" i="3"/>
  <c r="W10" i="3"/>
  <c r="X10" i="3"/>
  <c r="AC10" i="3"/>
  <c r="M26" i="3"/>
  <c r="N26" i="3"/>
  <c r="R26" i="3"/>
  <c r="S26" i="3"/>
  <c r="U26" i="3"/>
  <c r="T26" i="3" s="1"/>
  <c r="V26" i="3"/>
  <c r="W26" i="3"/>
  <c r="X26" i="3"/>
  <c r="M30" i="3"/>
  <c r="N30" i="3"/>
  <c r="R30" i="3"/>
  <c r="U30" i="3"/>
  <c r="T30" i="3" s="1"/>
  <c r="V30" i="3"/>
  <c r="W30" i="3"/>
  <c r="X30" i="3"/>
  <c r="AC30" i="3"/>
  <c r="M46" i="3"/>
  <c r="N46" i="3"/>
  <c r="R46" i="3"/>
  <c r="S46" i="3"/>
  <c r="U46" i="3"/>
  <c r="AC46" i="3" s="1"/>
  <c r="V46" i="3"/>
  <c r="W46" i="3"/>
  <c r="X46" i="3"/>
  <c r="M39" i="3"/>
  <c r="N39" i="3"/>
  <c r="S39" i="3"/>
  <c r="T39" i="3"/>
  <c r="U39" i="3"/>
  <c r="AC39" i="3" s="1"/>
  <c r="V39" i="3"/>
  <c r="W39" i="3"/>
  <c r="Y39" i="3" s="1"/>
  <c r="X39" i="3"/>
  <c r="M20" i="3"/>
  <c r="N20" i="3"/>
  <c r="R20" i="3"/>
  <c r="S20" i="3"/>
  <c r="U20" i="3"/>
  <c r="T20" i="3" s="1"/>
  <c r="V20" i="3"/>
  <c r="W20" i="3"/>
  <c r="Y20" i="3" s="1"/>
  <c r="X20" i="3"/>
  <c r="M47" i="3"/>
  <c r="N47" i="3"/>
  <c r="U47" i="3"/>
  <c r="T47" i="3" s="1"/>
  <c r="V47" i="3"/>
  <c r="W47" i="3"/>
  <c r="X47" i="3"/>
  <c r="AC47" i="3"/>
  <c r="M48" i="3"/>
  <c r="N48" i="3"/>
  <c r="S48" i="3"/>
  <c r="U48" i="3"/>
  <c r="AC48" i="3" s="1"/>
  <c r="V48" i="3"/>
  <c r="W48" i="3"/>
  <c r="X48" i="3"/>
  <c r="M53" i="3"/>
  <c r="N53" i="3"/>
  <c r="R53" i="3"/>
  <c r="U53" i="3"/>
  <c r="T53" i="3" s="1"/>
  <c r="V53" i="3"/>
  <c r="W53" i="3"/>
  <c r="X53" i="3"/>
  <c r="AC53" i="3"/>
  <c r="M21" i="3"/>
  <c r="N21" i="3"/>
  <c r="R21" i="3"/>
  <c r="S21" i="3"/>
  <c r="U21" i="3"/>
  <c r="T21" i="3" s="1"/>
  <c r="V21" i="3"/>
  <c r="W21" i="3"/>
  <c r="X21" i="3"/>
  <c r="M49" i="3"/>
  <c r="N49" i="3"/>
  <c r="S49" i="3"/>
  <c r="U49" i="3"/>
  <c r="T49" i="3" s="1"/>
  <c r="V49" i="3"/>
  <c r="W49" i="3"/>
  <c r="X49" i="3"/>
  <c r="AC49" i="3"/>
  <c r="M41" i="3"/>
  <c r="N41" i="3"/>
  <c r="U41" i="3"/>
  <c r="AC41" i="3" s="1"/>
  <c r="V41" i="3"/>
  <c r="W41" i="3"/>
  <c r="Y41" i="3" s="1"/>
  <c r="X41" i="3"/>
  <c r="M42" i="3"/>
  <c r="N42" i="3"/>
  <c r="U42" i="3"/>
  <c r="AC42" i="3" s="1"/>
  <c r="V42" i="3"/>
  <c r="W42" i="3"/>
  <c r="X42" i="3"/>
  <c r="Y42" i="3"/>
  <c r="M40" i="3"/>
  <c r="N40" i="3"/>
  <c r="S40" i="3"/>
  <c r="U40" i="3"/>
  <c r="T40" i="3" s="1"/>
  <c r="V40" i="3"/>
  <c r="W40" i="3"/>
  <c r="X40" i="3"/>
  <c r="M62" i="3"/>
  <c r="N62" i="3"/>
  <c r="S62" i="3"/>
  <c r="U62" i="3"/>
  <c r="T62" i="3" s="1"/>
  <c r="V62" i="3"/>
  <c r="W62" i="3"/>
  <c r="X62" i="3"/>
  <c r="AC62" i="3"/>
  <c r="M15" i="3"/>
  <c r="N15" i="3"/>
  <c r="S15" i="3"/>
  <c r="U15" i="3"/>
  <c r="AC15" i="3" s="1"/>
  <c r="V15" i="3"/>
  <c r="W15" i="3"/>
  <c r="X15" i="3"/>
  <c r="M16" i="3"/>
  <c r="N16" i="3"/>
  <c r="S16" i="3"/>
  <c r="U16" i="3"/>
  <c r="T16" i="3" s="1"/>
  <c r="V16" i="3"/>
  <c r="W16" i="3"/>
  <c r="Y16" i="3" s="1"/>
  <c r="X16" i="3"/>
  <c r="AC16" i="3"/>
  <c r="M35" i="3"/>
  <c r="N35" i="3"/>
  <c r="R35" i="3"/>
  <c r="S35" i="3"/>
  <c r="U35" i="3"/>
  <c r="T35" i="3" s="1"/>
  <c r="V35" i="3"/>
  <c r="W35" i="3"/>
  <c r="X35" i="3"/>
  <c r="M17" i="3"/>
  <c r="N17" i="3"/>
  <c r="R17" i="3"/>
  <c r="S17" i="3"/>
  <c r="U17" i="3"/>
  <c r="T17" i="3" s="1"/>
  <c r="V17" i="3"/>
  <c r="W17" i="3"/>
  <c r="X17" i="3"/>
  <c r="AC17" i="3"/>
  <c r="M31" i="3"/>
  <c r="N31" i="3"/>
  <c r="R31" i="3"/>
  <c r="S31" i="3"/>
  <c r="U31" i="3"/>
  <c r="AC31" i="3" s="1"/>
  <c r="V31" i="3"/>
  <c r="W31" i="3"/>
  <c r="Y31" i="3" s="1"/>
  <c r="X31" i="3"/>
  <c r="M27" i="3"/>
  <c r="N27" i="3"/>
  <c r="R27" i="3"/>
  <c r="T27" i="3"/>
  <c r="U27" i="3"/>
  <c r="AC27" i="3" s="1"/>
  <c r="V27" i="3"/>
  <c r="W27" i="3"/>
  <c r="Y27" i="3" s="1"/>
  <c r="X27" i="3"/>
  <c r="M13" i="3"/>
  <c r="N13" i="3"/>
  <c r="R13" i="3"/>
  <c r="S13" i="3"/>
  <c r="U13" i="3"/>
  <c r="T13" i="3" s="1"/>
  <c r="V13" i="3"/>
  <c r="W13" i="3"/>
  <c r="X13" i="3"/>
  <c r="M54" i="3"/>
  <c r="N54" i="3"/>
  <c r="S54" i="3"/>
  <c r="U54" i="3"/>
  <c r="T54" i="3" s="1"/>
  <c r="V54" i="3"/>
  <c r="W54" i="3"/>
  <c r="X54" i="3"/>
  <c r="AC54" i="3"/>
  <c r="M55" i="3"/>
  <c r="N55" i="3"/>
  <c r="S55" i="3"/>
  <c r="U55" i="3"/>
  <c r="AC55" i="3" s="1"/>
  <c r="V55" i="3"/>
  <c r="W55" i="3"/>
  <c r="X55" i="3"/>
  <c r="Y55" i="3"/>
  <c r="M56" i="3"/>
  <c r="N56" i="3"/>
  <c r="R56" i="3"/>
  <c r="S56" i="3"/>
  <c r="U56" i="3"/>
  <c r="T56" i="3" s="1"/>
  <c r="V56" i="3"/>
  <c r="W56" i="3"/>
  <c r="Y56" i="3" s="1"/>
  <c r="X56" i="3"/>
  <c r="AC56" i="3"/>
  <c r="M9" i="3"/>
  <c r="N9" i="3"/>
  <c r="R9" i="3"/>
  <c r="U9" i="3"/>
  <c r="T9" i="3" s="1"/>
  <c r="V9" i="3"/>
  <c r="W9" i="3"/>
  <c r="X9" i="3"/>
  <c r="Y48" i="3" l="1"/>
  <c r="Y30" i="3"/>
  <c r="Y61" i="3"/>
  <c r="Y25" i="3"/>
  <c r="Y11" i="3"/>
  <c r="Y15" i="3"/>
  <c r="Y49" i="3"/>
  <c r="Y7" i="3"/>
  <c r="Y29" i="3"/>
  <c r="Y36" i="3"/>
  <c r="Y32" i="3"/>
  <c r="AA214" i="1"/>
  <c r="X203" i="1"/>
  <c r="AG146" i="1"/>
  <c r="X146" i="1"/>
  <c r="T99" i="1"/>
  <c r="AG99" i="1"/>
  <c r="T40" i="1"/>
  <c r="AG40" i="1"/>
  <c r="T19" i="1"/>
  <c r="AG19" i="1"/>
  <c r="R42" i="3"/>
  <c r="R41" i="3"/>
  <c r="S44" i="3"/>
  <c r="S45" i="3"/>
  <c r="R54" i="3"/>
  <c r="R55" i="3"/>
  <c r="T115" i="1"/>
  <c r="AG115" i="1"/>
  <c r="T56" i="1"/>
  <c r="AG56" i="1"/>
  <c r="U183" i="1"/>
  <c r="S183" i="1" s="1"/>
  <c r="R15" i="3"/>
  <c r="R16" i="3"/>
  <c r="T91" i="1"/>
  <c r="X92" i="1"/>
  <c r="AG91" i="1"/>
  <c r="T81" i="1"/>
  <c r="X81" i="1"/>
  <c r="AG81" i="1"/>
  <c r="W17" i="1"/>
  <c r="AG214" i="1"/>
  <c r="X214" i="1"/>
  <c r="X191" i="1"/>
  <c r="T190" i="1"/>
  <c r="AG190" i="1"/>
  <c r="U190" i="1" s="1"/>
  <c r="X167" i="1"/>
  <c r="T166" i="1"/>
  <c r="AG166" i="1"/>
  <c r="U166" i="1" s="1"/>
  <c r="AA223" i="1"/>
  <c r="W223" i="1" s="1"/>
  <c r="X209" i="1"/>
  <c r="T208" i="1"/>
  <c r="AG208" i="1"/>
  <c r="AA128" i="1"/>
  <c r="AA121" i="1"/>
  <c r="T107" i="1"/>
  <c r="X108" i="1"/>
  <c r="AG107" i="1"/>
  <c r="AA78" i="1"/>
  <c r="W78" i="1" s="1"/>
  <c r="T61" i="1"/>
  <c r="X62" i="1"/>
  <c r="X61" i="1"/>
  <c r="AG61" i="1"/>
  <c r="T44" i="1"/>
  <c r="X44" i="1"/>
  <c r="AG44" i="1"/>
  <c r="U182" i="1"/>
  <c r="AA133" i="1"/>
  <c r="AA111" i="1"/>
  <c r="AA95" i="1"/>
  <c r="AA48" i="1"/>
  <c r="AA25" i="1"/>
  <c r="X21" i="1"/>
  <c r="X17" i="1"/>
  <c r="AA16" i="1"/>
  <c r="W16" i="1" s="1"/>
  <c r="T178" i="1"/>
  <c r="AA203" i="1"/>
  <c r="W203" i="1" s="1"/>
  <c r="AA183" i="1"/>
  <c r="AA178" i="1"/>
  <c r="W178" i="1" s="1"/>
  <c r="AA172" i="1"/>
  <c r="X163" i="1"/>
  <c r="X221" i="1"/>
  <c r="AA218" i="1"/>
  <c r="AA157" i="1"/>
  <c r="AA156" i="1"/>
  <c r="AG154" i="1"/>
  <c r="W154" i="1" s="1"/>
  <c r="X154" i="1"/>
  <c r="AA137" i="1"/>
  <c r="W137" i="1" s="1"/>
  <c r="AA132" i="1"/>
  <c r="AG131" i="1"/>
  <c r="AA129" i="1"/>
  <c r="AG127" i="1"/>
  <c r="AA123" i="1"/>
  <c r="AA119" i="1"/>
  <c r="AG111" i="1"/>
  <c r="AA102" i="1"/>
  <c r="AA101" i="1"/>
  <c r="AA100" i="1"/>
  <c r="AG95" i="1"/>
  <c r="AA86" i="1"/>
  <c r="AA85" i="1"/>
  <c r="AA84" i="1"/>
  <c r="U77" i="1"/>
  <c r="AA74" i="1"/>
  <c r="W74" i="1" s="1"/>
  <c r="AG73" i="1"/>
  <c r="X73" i="1"/>
  <c r="AG69" i="1"/>
  <c r="X69" i="1"/>
  <c r="AA68" i="1"/>
  <c r="AA67" i="1"/>
  <c r="AA66" i="1"/>
  <c r="AG64" i="1"/>
  <c r="AG54" i="1"/>
  <c r="AA52" i="1"/>
  <c r="AA49" i="1"/>
  <c r="AG48" i="1"/>
  <c r="U48" i="1" s="1"/>
  <c r="X48" i="1"/>
  <c r="AG35" i="1"/>
  <c r="U35" i="1" s="1"/>
  <c r="AA30" i="1"/>
  <c r="AA29" i="1"/>
  <c r="AA177" i="1"/>
  <c r="U174" i="1"/>
  <c r="U221" i="1"/>
  <c r="AA151" i="1"/>
  <c r="AA150" i="1"/>
  <c r="AA148" i="1"/>
  <c r="AA147" i="1"/>
  <c r="AA146" i="1"/>
  <c r="W146" i="1" s="1"/>
  <c r="T145" i="1"/>
  <c r="AI137" i="1"/>
  <c r="W136" i="1"/>
  <c r="X82" i="1"/>
  <c r="X45" i="1"/>
  <c r="X41" i="1"/>
  <c r="AA40" i="1"/>
  <c r="W40" i="1" s="1"/>
  <c r="AA36" i="1"/>
  <c r="AG20" i="1"/>
  <c r="X20" i="1"/>
  <c r="AA18" i="1"/>
  <c r="U213" i="1"/>
  <c r="AI213" i="1"/>
  <c r="U198" i="1"/>
  <c r="AA216" i="1"/>
  <c r="T203" i="1"/>
  <c r="U203" i="1" s="1"/>
  <c r="S203" i="1" s="1"/>
  <c r="AA201" i="1"/>
  <c r="X199" i="1"/>
  <c r="T198" i="1"/>
  <c r="X195" i="1"/>
  <c r="T186" i="1"/>
  <c r="W183" i="1"/>
  <c r="T179" i="1"/>
  <c r="U179" i="1" s="1"/>
  <c r="S179" i="1" s="1"/>
  <c r="W167" i="1"/>
  <c r="W221" i="1"/>
  <c r="S221" i="1"/>
  <c r="U154" i="1"/>
  <c r="S154" i="1" s="1"/>
  <c r="AI154" i="1"/>
  <c r="AA213" i="1"/>
  <c r="W213" i="1" s="1"/>
  <c r="AA198" i="1"/>
  <c r="W198" i="1" s="1"/>
  <c r="U191" i="1"/>
  <c r="S191" i="1" s="1"/>
  <c r="X187" i="1"/>
  <c r="AA186" i="1"/>
  <c r="W186" i="1" s="1"/>
  <c r="AA175" i="1"/>
  <c r="T175" i="1"/>
  <c r="X171" i="1"/>
  <c r="AG171" i="1"/>
  <c r="U171" i="1" s="1"/>
  <c r="S171" i="1" s="1"/>
  <c r="AA163" i="1"/>
  <c r="AA226" i="1"/>
  <c r="AI166" i="1"/>
  <c r="X217" i="1"/>
  <c r="AG217" i="1"/>
  <c r="AI217" i="1" s="1"/>
  <c r="T157" i="1"/>
  <c r="AG157" i="1"/>
  <c r="W157" i="1" s="1"/>
  <c r="AA155" i="1"/>
  <c r="X142" i="1"/>
  <c r="AG142" i="1"/>
  <c r="U195" i="1"/>
  <c r="S195" i="1" s="1"/>
  <c r="T195" i="1"/>
  <c r="U209" i="1"/>
  <c r="S209" i="1" s="1"/>
  <c r="AI209" i="1"/>
  <c r="X150" i="1"/>
  <c r="AG150" i="1"/>
  <c r="T141" i="1"/>
  <c r="AG141" i="1"/>
  <c r="T214" i="1"/>
  <c r="U214" i="1" s="1"/>
  <c r="S214" i="1" s="1"/>
  <c r="T199" i="1"/>
  <c r="U199" i="1" s="1"/>
  <c r="S199" i="1" s="1"/>
  <c r="AA202" i="1"/>
  <c r="W202" i="1" s="1"/>
  <c r="T194" i="1"/>
  <c r="AA191" i="1"/>
  <c r="W191" i="1" s="1"/>
  <c r="AA189" i="1"/>
  <c r="T187" i="1"/>
  <c r="U187" i="1" s="1"/>
  <c r="S187" i="1" s="1"/>
  <c r="AA184" i="1"/>
  <c r="AG175" i="1"/>
  <c r="U175" i="1" s="1"/>
  <c r="S175" i="1" s="1"/>
  <c r="T170" i="1"/>
  <c r="AG170" i="1"/>
  <c r="AI170" i="1" s="1"/>
  <c r="AA168" i="1"/>
  <c r="AG227" i="1"/>
  <c r="W227" i="1" s="1"/>
  <c r="AA222" i="1"/>
  <c r="T220" i="1"/>
  <c r="AG220" i="1"/>
  <c r="T212" i="1"/>
  <c r="U212" i="1" s="1"/>
  <c r="S212" i="1" s="1"/>
  <c r="AG212" i="1"/>
  <c r="W212" i="1" s="1"/>
  <c r="AA210" i="1"/>
  <c r="X158" i="1"/>
  <c r="AG158" i="1"/>
  <c r="W158" i="1" s="1"/>
  <c r="T149" i="1"/>
  <c r="AG149" i="1"/>
  <c r="AI146" i="1"/>
  <c r="T142" i="1"/>
  <c r="T103" i="1"/>
  <c r="AG103" i="1"/>
  <c r="U103" i="1" s="1"/>
  <c r="W103" i="1"/>
  <c r="AG100" i="1"/>
  <c r="X100" i="1"/>
  <c r="T23" i="1"/>
  <c r="AG23" i="1"/>
  <c r="AA190" i="1"/>
  <c r="W190" i="1" s="1"/>
  <c r="AA182" i="1"/>
  <c r="W182" i="1" s="1"/>
  <c r="AA174" i="1"/>
  <c r="W174" i="1" s="1"/>
  <c r="AA166" i="1"/>
  <c r="W166" i="1" s="1"/>
  <c r="AA162" i="1"/>
  <c r="W162" i="1" s="1"/>
  <c r="AA208" i="1"/>
  <c r="W208" i="1" s="1"/>
  <c r="AA153" i="1"/>
  <c r="W153" i="1" s="1"/>
  <c r="AA145" i="1"/>
  <c r="W145" i="1" s="1"/>
  <c r="AG139" i="1"/>
  <c r="X136" i="1"/>
  <c r="AG135" i="1"/>
  <c r="X135" i="1"/>
  <c r="T128" i="1"/>
  <c r="W123" i="1"/>
  <c r="AA122" i="1"/>
  <c r="AG120" i="1"/>
  <c r="X120" i="1"/>
  <c r="T87" i="1"/>
  <c r="AG87" i="1"/>
  <c r="U87" i="1" s="1"/>
  <c r="T84" i="1"/>
  <c r="X84" i="1"/>
  <c r="AA83" i="1"/>
  <c r="AA72" i="1"/>
  <c r="W72" i="1" s="1"/>
  <c r="U72" i="1"/>
  <c r="X58" i="1"/>
  <c r="AG58" i="1"/>
  <c r="W58" i="1" s="1"/>
  <c r="AI54" i="1"/>
  <c r="X53" i="1"/>
  <c r="AG53" i="1"/>
  <c r="T53" i="1"/>
  <c r="T39" i="1"/>
  <c r="X40" i="1"/>
  <c r="AG39" i="1"/>
  <c r="AA37" i="1"/>
  <c r="W37" i="1" s="1"/>
  <c r="W25" i="1"/>
  <c r="AA173" i="1"/>
  <c r="AA165" i="1"/>
  <c r="T163" i="1"/>
  <c r="AA161" i="1"/>
  <c r="T159" i="1"/>
  <c r="AA207" i="1"/>
  <c r="AA152" i="1"/>
  <c r="T146" i="1"/>
  <c r="U146" i="1" s="1"/>
  <c r="S146" i="1" s="1"/>
  <c r="T132" i="1"/>
  <c r="U107" i="1"/>
  <c r="T100" i="1"/>
  <c r="X66" i="1"/>
  <c r="AG66" i="1"/>
  <c r="W66" i="1" s="1"/>
  <c r="X57" i="1"/>
  <c r="AG57" i="1"/>
  <c r="T57" i="1"/>
  <c r="T27" i="1"/>
  <c r="X28" i="1"/>
  <c r="AG27" i="1"/>
  <c r="X25" i="1"/>
  <c r="AG25" i="1"/>
  <c r="AI21" i="1"/>
  <c r="AA149" i="1"/>
  <c r="AA141" i="1"/>
  <c r="W141" i="1" s="1"/>
  <c r="X139" i="1"/>
  <c r="T136" i="1"/>
  <c r="U136" i="1" s="1"/>
  <c r="S136" i="1" s="1"/>
  <c r="AA131" i="1"/>
  <c r="W131" i="1" s="1"/>
  <c r="AA130" i="1"/>
  <c r="X128" i="1"/>
  <c r="X124" i="1"/>
  <c r="T120" i="1"/>
  <c r="T119" i="1"/>
  <c r="AG119" i="1"/>
  <c r="AG116" i="1"/>
  <c r="W116" i="1" s="1"/>
  <c r="X116" i="1"/>
  <c r="W100" i="1"/>
  <c r="AA97" i="1"/>
  <c r="U91" i="1"/>
  <c r="AA88" i="1"/>
  <c r="X65" i="1"/>
  <c r="AG65" i="1"/>
  <c r="T65" i="1"/>
  <c r="AA54" i="1"/>
  <c r="W54" i="1" s="1"/>
  <c r="U37" i="1"/>
  <c r="S37" i="1" s="1"/>
  <c r="AI37" i="1"/>
  <c r="T31" i="1"/>
  <c r="X32" i="1"/>
  <c r="AG31" i="1"/>
  <c r="U31" i="1" s="1"/>
  <c r="X29" i="1"/>
  <c r="AG29" i="1"/>
  <c r="X24" i="1"/>
  <c r="T15" i="1"/>
  <c r="X16" i="1"/>
  <c r="AG15" i="1"/>
  <c r="U111" i="1"/>
  <c r="W107" i="1"/>
  <c r="AA106" i="1"/>
  <c r="T104" i="1"/>
  <c r="U95" i="1"/>
  <c r="W91" i="1"/>
  <c r="AA90" i="1"/>
  <c r="T88" i="1"/>
  <c r="U81" i="1"/>
  <c r="AA76" i="1"/>
  <c r="AA75" i="1"/>
  <c r="U73" i="1"/>
  <c r="S73" i="1" s="1"/>
  <c r="U69" i="1"/>
  <c r="AA65" i="1"/>
  <c r="W65" i="1" s="1"/>
  <c r="U62" i="1"/>
  <c r="S62" i="1" s="1"/>
  <c r="AA57" i="1"/>
  <c r="W57" i="1" s="1"/>
  <c r="AA55" i="1"/>
  <c r="T54" i="1"/>
  <c r="U54" i="1" s="1"/>
  <c r="S54" i="1" s="1"/>
  <c r="AA53" i="1"/>
  <c r="W53" i="1" s="1"/>
  <c r="AA50" i="1"/>
  <c r="W48" i="1"/>
  <c r="AA38" i="1"/>
  <c r="T37" i="1"/>
  <c r="W36" i="1"/>
  <c r="AA31" i="1"/>
  <c r="W31" i="1" s="1"/>
  <c r="AA27" i="1"/>
  <c r="AA22" i="1"/>
  <c r="T21" i="1"/>
  <c r="U21" i="1" s="1"/>
  <c r="S21" i="1" s="1"/>
  <c r="AA15" i="1"/>
  <c r="W15" i="1" s="1"/>
  <c r="AA127" i="1"/>
  <c r="W127" i="1" s="1"/>
  <c r="AA126" i="1"/>
  <c r="T124" i="1"/>
  <c r="AA115" i="1"/>
  <c r="W115" i="1" s="1"/>
  <c r="AA114" i="1"/>
  <c r="T112" i="1"/>
  <c r="X104" i="1"/>
  <c r="AA99" i="1"/>
  <c r="W99" i="1" s="1"/>
  <c r="AA98" i="1"/>
  <c r="T96" i="1"/>
  <c r="X88" i="1"/>
  <c r="T82" i="1"/>
  <c r="T78" i="1"/>
  <c r="AA77" i="1"/>
  <c r="W77" i="1" s="1"/>
  <c r="AA73" i="1"/>
  <c r="W73" i="1" s="1"/>
  <c r="AA71" i="1"/>
  <c r="AA69" i="1"/>
  <c r="W69" i="1" s="1"/>
  <c r="AI62" i="1"/>
  <c r="AA61" i="1"/>
  <c r="W61" i="1" s="1"/>
  <c r="U60" i="1"/>
  <c r="U45" i="1"/>
  <c r="S45" i="1" s="1"/>
  <c r="T45" i="1"/>
  <c r="AA42" i="1"/>
  <c r="AA35" i="1"/>
  <c r="W35" i="1" s="1"/>
  <c r="T33" i="1"/>
  <c r="U115" i="1"/>
  <c r="W111" i="1"/>
  <c r="AA110" i="1"/>
  <c r="T108" i="1"/>
  <c r="U99" i="1"/>
  <c r="W95" i="1"/>
  <c r="AA94" i="1"/>
  <c r="T92" i="1"/>
  <c r="U74" i="1"/>
  <c r="T74" i="1"/>
  <c r="U70" i="1"/>
  <c r="S70" i="1" s="1"/>
  <c r="U68" i="1"/>
  <c r="AA63" i="1"/>
  <c r="AA56" i="1"/>
  <c r="W56" i="1" s="1"/>
  <c r="T49" i="1"/>
  <c r="AA46" i="1"/>
  <c r="AA44" i="1"/>
  <c r="W44" i="1" s="1"/>
  <c r="U41" i="1"/>
  <c r="S41" i="1" s="1"/>
  <c r="AA34" i="1"/>
  <c r="U32" i="1"/>
  <c r="U28" i="1"/>
  <c r="AG24" i="1"/>
  <c r="W24" i="1" s="1"/>
  <c r="AA20" i="1"/>
  <c r="W20" i="1" s="1"/>
  <c r="U19" i="1"/>
  <c r="U17" i="1"/>
  <c r="S17" i="1" s="1"/>
  <c r="U16" i="1"/>
  <c r="U159" i="1"/>
  <c r="S159" i="1" s="1"/>
  <c r="U163" i="1"/>
  <c r="S163" i="1" s="1"/>
  <c r="W163" i="1"/>
  <c r="W159" i="1"/>
  <c r="U202" i="1"/>
  <c r="S202" i="1" s="1"/>
  <c r="U194" i="1"/>
  <c r="S194" i="1" s="1"/>
  <c r="U186" i="1"/>
  <c r="S186" i="1" s="1"/>
  <c r="U178" i="1"/>
  <c r="S178" i="1" s="1"/>
  <c r="U170" i="1"/>
  <c r="S170" i="1" s="1"/>
  <c r="U162" i="1"/>
  <c r="S162" i="1" s="1"/>
  <c r="R39" i="3"/>
  <c r="AG216" i="1"/>
  <c r="W216" i="1" s="1"/>
  <c r="X213" i="1"/>
  <c r="AG205" i="1"/>
  <c r="AI205" i="1" s="1"/>
  <c r="X202" i="1"/>
  <c r="AG201" i="1"/>
  <c r="AI201" i="1" s="1"/>
  <c r="X198" i="1"/>
  <c r="AG197" i="1"/>
  <c r="AI197" i="1" s="1"/>
  <c r="X194" i="1"/>
  <c r="AG193" i="1"/>
  <c r="AI193" i="1" s="1"/>
  <c r="X186" i="1"/>
  <c r="AG185" i="1"/>
  <c r="AI185" i="1" s="1"/>
  <c r="X182" i="1"/>
  <c r="AG181" i="1"/>
  <c r="AI181" i="1" s="1"/>
  <c r="X178" i="1"/>
  <c r="AG177" i="1"/>
  <c r="AI177" i="1" s="1"/>
  <c r="X174" i="1"/>
  <c r="AG173" i="1"/>
  <c r="X170" i="1"/>
  <c r="AG169" i="1"/>
  <c r="AI169" i="1" s="1"/>
  <c r="X166" i="1"/>
  <c r="AG165" i="1"/>
  <c r="W165" i="1" s="1"/>
  <c r="X162" i="1"/>
  <c r="AG161" i="1"/>
  <c r="X227" i="1"/>
  <c r="AG226" i="1"/>
  <c r="AG224" i="1"/>
  <c r="X224" i="1"/>
  <c r="X220" i="1"/>
  <c r="U227" i="1"/>
  <c r="S227" i="1" s="1"/>
  <c r="T222" i="1"/>
  <c r="X222" i="1"/>
  <c r="AG222" i="1"/>
  <c r="W222" i="1" s="1"/>
  <c r="R49" i="3"/>
  <c r="X190" i="1"/>
  <c r="AG189" i="1"/>
  <c r="AI189" i="1" s="1"/>
  <c r="R38" i="3"/>
  <c r="X216" i="1"/>
  <c r="AG215" i="1"/>
  <c r="AI224" i="1"/>
  <c r="S213" i="1"/>
  <c r="X205" i="1"/>
  <c r="AG204" i="1"/>
  <c r="AI204" i="1" s="1"/>
  <c r="AI220" i="1"/>
  <c r="X201" i="1"/>
  <c r="AG200" i="1"/>
  <c r="W200" i="1" s="1"/>
  <c r="AI216" i="1"/>
  <c r="S198" i="1"/>
  <c r="X197" i="1"/>
  <c r="AG196" i="1"/>
  <c r="W196" i="1" s="1"/>
  <c r="AI212" i="1"/>
  <c r="X193" i="1"/>
  <c r="AG192" i="1"/>
  <c r="W192" i="1" s="1"/>
  <c r="AI208" i="1"/>
  <c r="S190" i="1"/>
  <c r="X189" i="1"/>
  <c r="AG188" i="1"/>
  <c r="W188" i="1" s="1"/>
  <c r="X185" i="1"/>
  <c r="AG184" i="1"/>
  <c r="AI200" i="1"/>
  <c r="S182" i="1"/>
  <c r="X181" i="1"/>
  <c r="AG180" i="1"/>
  <c r="AI196" i="1"/>
  <c r="X177" i="1"/>
  <c r="AG176" i="1"/>
  <c r="AI176" i="1" s="1"/>
  <c r="AI192" i="1"/>
  <c r="S174" i="1"/>
  <c r="X173" i="1"/>
  <c r="AG172" i="1"/>
  <c r="AI172" i="1" s="1"/>
  <c r="AI188" i="1"/>
  <c r="X169" i="1"/>
  <c r="AG168" i="1"/>
  <c r="W168" i="1" s="1"/>
  <c r="AI184" i="1"/>
  <c r="S166" i="1"/>
  <c r="X165" i="1"/>
  <c r="AG164" i="1"/>
  <c r="W164" i="1" s="1"/>
  <c r="AI180" i="1"/>
  <c r="X161" i="1"/>
  <c r="AG160" i="1"/>
  <c r="X226" i="1"/>
  <c r="AG225" i="1"/>
  <c r="AI225" i="1" s="1"/>
  <c r="T223" i="1"/>
  <c r="U223" i="1" s="1"/>
  <c r="S223" i="1" s="1"/>
  <c r="X223" i="1"/>
  <c r="U217" i="1"/>
  <c r="S217" i="1" s="1"/>
  <c r="AI165" i="1"/>
  <c r="T219" i="1"/>
  <c r="U219" i="1" s="1"/>
  <c r="S219" i="1" s="1"/>
  <c r="X219" i="1"/>
  <c r="S42" i="3"/>
  <c r="X215" i="1"/>
  <c r="X204" i="1"/>
  <c r="X200" i="1"/>
  <c r="X196" i="1"/>
  <c r="X192" i="1"/>
  <c r="X188" i="1"/>
  <c r="X184" i="1"/>
  <c r="X180" i="1"/>
  <c r="X176" i="1"/>
  <c r="X172" i="1"/>
  <c r="X168" i="1"/>
  <c r="X164" i="1"/>
  <c r="X160" i="1"/>
  <c r="X225" i="1"/>
  <c r="AA224" i="1"/>
  <c r="W224" i="1" s="1"/>
  <c r="AA220" i="1"/>
  <c r="W220" i="1" s="1"/>
  <c r="U220" i="1"/>
  <c r="S220" i="1" s="1"/>
  <c r="AA219" i="1"/>
  <c r="W219" i="1" s="1"/>
  <c r="T218" i="1"/>
  <c r="X218" i="1"/>
  <c r="AG218" i="1"/>
  <c r="W218" i="1" s="1"/>
  <c r="U208" i="1"/>
  <c r="S208" i="1" s="1"/>
  <c r="U157" i="1"/>
  <c r="S157" i="1" s="1"/>
  <c r="U153" i="1"/>
  <c r="S153" i="1" s="1"/>
  <c r="U149" i="1"/>
  <c r="S149" i="1" s="1"/>
  <c r="U145" i="1"/>
  <c r="S145" i="1" s="1"/>
  <c r="U141" i="1"/>
  <c r="S141" i="1" s="1"/>
  <c r="T138" i="1"/>
  <c r="AI135" i="1"/>
  <c r="AI134" i="1"/>
  <c r="U128" i="1"/>
  <c r="S128" i="1" s="1"/>
  <c r="AI128" i="1"/>
  <c r="W124" i="1"/>
  <c r="T122" i="1"/>
  <c r="X122" i="1"/>
  <c r="AG122" i="1"/>
  <c r="X123" i="1"/>
  <c r="U120" i="1"/>
  <c r="S120" i="1" s="1"/>
  <c r="AI120" i="1"/>
  <c r="U104" i="1"/>
  <c r="S104" i="1" s="1"/>
  <c r="AI104" i="1"/>
  <c r="U88" i="1"/>
  <c r="S88" i="1" s="1"/>
  <c r="AI88" i="1"/>
  <c r="X212" i="1"/>
  <c r="AG211" i="1"/>
  <c r="W211" i="1" s="1"/>
  <c r="X208" i="1"/>
  <c r="AG207" i="1"/>
  <c r="X157" i="1"/>
  <c r="AG156" i="1"/>
  <c r="W156" i="1" s="1"/>
  <c r="X153" i="1"/>
  <c r="AG152" i="1"/>
  <c r="X149" i="1"/>
  <c r="AG148" i="1"/>
  <c r="X145" i="1"/>
  <c r="AG144" i="1"/>
  <c r="X141" i="1"/>
  <c r="AG140" i="1"/>
  <c r="AI138" i="1"/>
  <c r="AI131" i="1"/>
  <c r="U124" i="1"/>
  <c r="S124" i="1" s="1"/>
  <c r="AI124" i="1"/>
  <c r="U116" i="1"/>
  <c r="S116" i="1" s="1"/>
  <c r="AI116" i="1"/>
  <c r="U100" i="1"/>
  <c r="S100" i="1"/>
  <c r="AI100" i="1"/>
  <c r="X211" i="1"/>
  <c r="AG210" i="1"/>
  <c r="W210" i="1" s="1"/>
  <c r="AI161" i="1"/>
  <c r="X207" i="1"/>
  <c r="AG206" i="1"/>
  <c r="AI157" i="1"/>
  <c r="X156" i="1"/>
  <c r="AG155" i="1"/>
  <c r="W155" i="1" s="1"/>
  <c r="AI153" i="1"/>
  <c r="X152" i="1"/>
  <c r="AG151" i="1"/>
  <c r="W151" i="1" s="1"/>
  <c r="AI149" i="1"/>
  <c r="X148" i="1"/>
  <c r="AG147" i="1"/>
  <c r="W147" i="1" s="1"/>
  <c r="AI145" i="1"/>
  <c r="X144" i="1"/>
  <c r="AG143" i="1"/>
  <c r="AI141" i="1"/>
  <c r="X140" i="1"/>
  <c r="T137" i="1"/>
  <c r="U137" i="1" s="1"/>
  <c r="S137" i="1" s="1"/>
  <c r="X137" i="1"/>
  <c r="U135" i="1"/>
  <c r="S135" i="1" s="1"/>
  <c r="AA134" i="1"/>
  <c r="W134" i="1" s="1"/>
  <c r="T133" i="1"/>
  <c r="X133" i="1"/>
  <c r="AG133" i="1"/>
  <c r="W132" i="1"/>
  <c r="U131" i="1"/>
  <c r="S131" i="1" s="1"/>
  <c r="T130" i="1"/>
  <c r="X130" i="1"/>
  <c r="AG130" i="1"/>
  <c r="X131" i="1"/>
  <c r="AI127" i="1"/>
  <c r="W126" i="1"/>
  <c r="U112" i="1"/>
  <c r="S112" i="1"/>
  <c r="AI112" i="1"/>
  <c r="U96" i="1"/>
  <c r="S96" i="1" s="1"/>
  <c r="AI96" i="1"/>
  <c r="X210" i="1"/>
  <c r="X206" i="1"/>
  <c r="X155" i="1"/>
  <c r="X151" i="1"/>
  <c r="X147" i="1"/>
  <c r="X143" i="1"/>
  <c r="AA138" i="1"/>
  <c r="W138" i="1" s="1"/>
  <c r="U138" i="1"/>
  <c r="S138" i="1" s="1"/>
  <c r="W135" i="1"/>
  <c r="T134" i="1"/>
  <c r="U134" i="1" s="1"/>
  <c r="S134" i="1" s="1"/>
  <c r="X134" i="1"/>
  <c r="U132" i="1"/>
  <c r="S132" i="1"/>
  <c r="W128" i="1"/>
  <c r="U127" i="1"/>
  <c r="S127" i="1" s="1"/>
  <c r="T126" i="1"/>
  <c r="X126" i="1"/>
  <c r="AG126" i="1"/>
  <c r="X127" i="1"/>
  <c r="S123" i="1"/>
  <c r="AI123" i="1"/>
  <c r="W122" i="1"/>
  <c r="W120" i="1"/>
  <c r="U108" i="1"/>
  <c r="S108" i="1" s="1"/>
  <c r="AI108" i="1"/>
  <c r="W104" i="1"/>
  <c r="U92" i="1"/>
  <c r="S92" i="1" s="1"/>
  <c r="AI92" i="1"/>
  <c r="W88" i="1"/>
  <c r="X119" i="1"/>
  <c r="AG118" i="1"/>
  <c r="X115" i="1"/>
  <c r="AG114" i="1"/>
  <c r="X111" i="1"/>
  <c r="AG110" i="1"/>
  <c r="W110" i="1" s="1"/>
  <c r="X107" i="1"/>
  <c r="AG106" i="1"/>
  <c r="X103" i="1"/>
  <c r="AG102" i="1"/>
  <c r="X99" i="1"/>
  <c r="AG98" i="1"/>
  <c r="X95" i="1"/>
  <c r="AG94" i="1"/>
  <c r="X91" i="1"/>
  <c r="AG90" i="1"/>
  <c r="X87" i="1"/>
  <c r="AG86" i="1"/>
  <c r="W86" i="1" s="1"/>
  <c r="T83" i="1"/>
  <c r="X83" i="1"/>
  <c r="AI64" i="1"/>
  <c r="T63" i="1"/>
  <c r="X63" i="1"/>
  <c r="AG63" i="1"/>
  <c r="W49" i="1"/>
  <c r="AG129" i="1"/>
  <c r="AG125" i="1"/>
  <c r="W125" i="1" s="1"/>
  <c r="AG121" i="1"/>
  <c r="AI119" i="1"/>
  <c r="X118" i="1"/>
  <c r="AG117" i="1"/>
  <c r="AI115" i="1"/>
  <c r="X114" i="1"/>
  <c r="AG113" i="1"/>
  <c r="AI111" i="1"/>
  <c r="S111" i="1"/>
  <c r="X110" i="1"/>
  <c r="AG109" i="1"/>
  <c r="AI107" i="1"/>
  <c r="S107" i="1"/>
  <c r="X106" i="1"/>
  <c r="AG105" i="1"/>
  <c r="AI103" i="1"/>
  <c r="S103" i="1"/>
  <c r="X102" i="1"/>
  <c r="AG101" i="1"/>
  <c r="AI99" i="1"/>
  <c r="S99" i="1"/>
  <c r="X98" i="1"/>
  <c r="AG97" i="1"/>
  <c r="AI95" i="1"/>
  <c r="S95" i="1"/>
  <c r="X94" i="1"/>
  <c r="AG93" i="1"/>
  <c r="AI91" i="1"/>
  <c r="S91" i="1"/>
  <c r="X90" i="1"/>
  <c r="AG89" i="1"/>
  <c r="AI87" i="1"/>
  <c r="S87" i="1"/>
  <c r="X86" i="1"/>
  <c r="AG85" i="1"/>
  <c r="AG83" i="1"/>
  <c r="W83" i="1" s="1"/>
  <c r="AI81" i="1"/>
  <c r="W80" i="1"/>
  <c r="T79" i="1"/>
  <c r="X79" i="1"/>
  <c r="AG79" i="1"/>
  <c r="T76" i="1"/>
  <c r="X76" i="1"/>
  <c r="W68" i="1"/>
  <c r="U65" i="1"/>
  <c r="S65" i="1" s="1"/>
  <c r="U64" i="1"/>
  <c r="S64" i="1" s="1"/>
  <c r="AI60" i="1"/>
  <c r="T59" i="1"/>
  <c r="X59" i="1"/>
  <c r="AG59" i="1"/>
  <c r="W59" i="1" s="1"/>
  <c r="U49" i="1"/>
  <c r="S49" i="1" s="1"/>
  <c r="U33" i="1"/>
  <c r="S33" i="1" s="1"/>
  <c r="T22" i="1"/>
  <c r="X22" i="1"/>
  <c r="AG22" i="1"/>
  <c r="W22" i="1" s="1"/>
  <c r="X129" i="1"/>
  <c r="X125" i="1"/>
  <c r="X121" i="1"/>
  <c r="X117" i="1"/>
  <c r="X113" i="1"/>
  <c r="X109" i="1"/>
  <c r="X105" i="1"/>
  <c r="X101" i="1"/>
  <c r="X97" i="1"/>
  <c r="X93" i="1"/>
  <c r="X89" i="1"/>
  <c r="X85" i="1"/>
  <c r="AG84" i="1"/>
  <c r="U82" i="1"/>
  <c r="S82" i="1" s="1"/>
  <c r="W81" i="1"/>
  <c r="T80" i="1"/>
  <c r="U80" i="1" s="1"/>
  <c r="S80" i="1" s="1"/>
  <c r="X80" i="1"/>
  <c r="U78" i="1"/>
  <c r="S78" i="1" s="1"/>
  <c r="S77" i="1"/>
  <c r="AI77" i="1"/>
  <c r="X77" i="1"/>
  <c r="AG76" i="1"/>
  <c r="T75" i="1"/>
  <c r="X75" i="1"/>
  <c r="AG75" i="1"/>
  <c r="W75" i="1" s="1"/>
  <c r="S74" i="1"/>
  <c r="S72" i="1"/>
  <c r="AI72" i="1"/>
  <c r="T71" i="1"/>
  <c r="X71" i="1"/>
  <c r="AG71" i="1"/>
  <c r="W71" i="1" s="1"/>
  <c r="AA64" i="1"/>
  <c r="W64" i="1" s="1"/>
  <c r="U61" i="1"/>
  <c r="AI56" i="1"/>
  <c r="T55" i="1"/>
  <c r="X55" i="1"/>
  <c r="AG55" i="1"/>
  <c r="W55" i="1" s="1"/>
  <c r="W52" i="1"/>
  <c r="T42" i="1"/>
  <c r="X42" i="1"/>
  <c r="AG42" i="1"/>
  <c r="W42" i="1" s="1"/>
  <c r="AI23" i="1"/>
  <c r="U23" i="1"/>
  <c r="S23" i="1" s="1"/>
  <c r="S81" i="1"/>
  <c r="AI80" i="1"/>
  <c r="S68" i="1"/>
  <c r="AI68" i="1"/>
  <c r="T67" i="1"/>
  <c r="X67" i="1"/>
  <c r="AG67" i="1"/>
  <c r="W63" i="1"/>
  <c r="U52" i="1"/>
  <c r="S52" i="1" s="1"/>
  <c r="AI52" i="1"/>
  <c r="T51" i="1"/>
  <c r="X51" i="1"/>
  <c r="AG51" i="1"/>
  <c r="X52" i="1"/>
  <c r="AI43" i="1"/>
  <c r="U43" i="1"/>
  <c r="S43" i="1" s="1"/>
  <c r="AI73" i="1"/>
  <c r="X72" i="1"/>
  <c r="AI69" i="1"/>
  <c r="S69" i="1"/>
  <c r="X68" i="1"/>
  <c r="AI65" i="1"/>
  <c r="X64" i="1"/>
  <c r="AI61" i="1"/>
  <c r="S61" i="1"/>
  <c r="X60" i="1"/>
  <c r="AI57" i="1"/>
  <c r="X56" i="1"/>
  <c r="AI53" i="1"/>
  <c r="AA47" i="1"/>
  <c r="W47" i="1" s="1"/>
  <c r="U44" i="1"/>
  <c r="AI39" i="1"/>
  <c r="T38" i="1"/>
  <c r="X38" i="1"/>
  <c r="AG38" i="1"/>
  <c r="W27" i="1"/>
  <c r="U24" i="1"/>
  <c r="S19" i="1"/>
  <c r="AI19" i="1"/>
  <c r="T18" i="1"/>
  <c r="X18" i="1"/>
  <c r="AG18" i="1"/>
  <c r="AA43" i="1"/>
  <c r="W43" i="1" s="1"/>
  <c r="U40" i="1"/>
  <c r="S40" i="1" s="1"/>
  <c r="S35" i="1"/>
  <c r="AI35" i="1"/>
  <c r="T34" i="1"/>
  <c r="X34" i="1"/>
  <c r="AG34" i="1"/>
  <c r="S31" i="1"/>
  <c r="AI31" i="1"/>
  <c r="T30" i="1"/>
  <c r="X30" i="1"/>
  <c r="AG30" i="1"/>
  <c r="W30" i="1" s="1"/>
  <c r="AA23" i="1"/>
  <c r="W23" i="1" s="1"/>
  <c r="U20" i="1"/>
  <c r="S20" i="1" s="1"/>
  <c r="AI15" i="1"/>
  <c r="T14" i="1"/>
  <c r="AG14" i="1"/>
  <c r="W14" i="1" s="1"/>
  <c r="AA51" i="1"/>
  <c r="W51" i="1" s="1"/>
  <c r="T50" i="1"/>
  <c r="X50" i="1"/>
  <c r="AG50" i="1"/>
  <c r="W50" i="1" s="1"/>
  <c r="S47" i="1"/>
  <c r="AI47" i="1"/>
  <c r="T46" i="1"/>
  <c r="X46" i="1"/>
  <c r="AG46" i="1"/>
  <c r="AA39" i="1"/>
  <c r="W39" i="1" s="1"/>
  <c r="AI27" i="1"/>
  <c r="T26" i="1"/>
  <c r="X26" i="1"/>
  <c r="AG26" i="1"/>
  <c r="W26" i="1" s="1"/>
  <c r="AA19" i="1"/>
  <c r="W19" i="1" s="1"/>
  <c r="AI48" i="1"/>
  <c r="S48" i="1"/>
  <c r="X47" i="1"/>
  <c r="AI44" i="1"/>
  <c r="S44" i="1"/>
  <c r="X43" i="1"/>
  <c r="AI40" i="1"/>
  <c r="X39" i="1"/>
  <c r="AI36" i="1"/>
  <c r="S36" i="1"/>
  <c r="X35" i="1"/>
  <c r="AI32" i="1"/>
  <c r="S32" i="1"/>
  <c r="X31" i="1"/>
  <c r="AI28" i="1"/>
  <c r="S28" i="1"/>
  <c r="X27" i="1"/>
  <c r="AI24" i="1"/>
  <c r="S24" i="1"/>
  <c r="X23" i="1"/>
  <c r="AI20" i="1"/>
  <c r="X19" i="1"/>
  <c r="AI16" i="1"/>
  <c r="S16" i="1"/>
  <c r="X15" i="1"/>
  <c r="T7" i="3"/>
  <c r="Y17" i="3"/>
  <c r="Y40" i="3"/>
  <c r="T42" i="3"/>
  <c r="Y10" i="3"/>
  <c r="Y58" i="3"/>
  <c r="Y33" i="3"/>
  <c r="Y23" i="3"/>
  <c r="T22" i="3"/>
  <c r="Y13" i="3"/>
  <c r="Y53" i="3"/>
  <c r="Y46" i="3"/>
  <c r="Y64" i="3"/>
  <c r="Y18" i="3"/>
  <c r="Y38" i="3"/>
  <c r="Y24" i="3"/>
  <c r="Y9" i="3"/>
  <c r="Y21" i="3"/>
  <c r="Y26" i="3"/>
  <c r="Y63" i="3"/>
  <c r="Y59" i="3"/>
  <c r="Y28" i="3"/>
  <c r="Y35" i="3"/>
  <c r="Y54" i="3"/>
  <c r="Y62" i="3"/>
  <c r="Y47" i="3"/>
  <c r="Y45" i="3"/>
  <c r="Y50" i="3"/>
  <c r="Y34" i="3"/>
  <c r="Y19" i="3"/>
  <c r="AC9" i="3"/>
  <c r="T55" i="3"/>
  <c r="AC13" i="3"/>
  <c r="T31" i="3"/>
  <c r="AC35" i="3"/>
  <c r="T15" i="3"/>
  <c r="AC40" i="3"/>
  <c r="T41" i="3"/>
  <c r="AC21" i="3"/>
  <c r="T48" i="3"/>
  <c r="AC20" i="3"/>
  <c r="T46" i="3"/>
  <c r="AC26" i="3"/>
  <c r="T37" i="3"/>
  <c r="AC44" i="3"/>
  <c r="T58" i="3"/>
  <c r="AC63" i="3"/>
  <c r="T51" i="3"/>
  <c r="AC18" i="3"/>
  <c r="T61" i="3"/>
  <c r="AC59" i="3"/>
  <c r="T60" i="3"/>
  <c r="AC23" i="3"/>
  <c r="T25" i="3"/>
  <c r="AC28" i="3"/>
  <c r="T36" i="3"/>
  <c r="AC32" i="3"/>
  <c r="T24" i="3"/>
  <c r="AC11" i="3"/>
  <c r="S43" i="3"/>
  <c r="R43" i="3"/>
  <c r="M43" i="3"/>
  <c r="N43" i="3"/>
  <c r="U43" i="3"/>
  <c r="AC43" i="3" s="1"/>
  <c r="V43" i="3"/>
  <c r="W43" i="3"/>
  <c r="X43" i="3"/>
  <c r="W149" i="1" l="1"/>
  <c r="U27" i="1"/>
  <c r="S27" i="1" s="1"/>
  <c r="U119" i="1"/>
  <c r="S119" i="1" s="1"/>
  <c r="U53" i="1"/>
  <c r="S53" i="1" s="1"/>
  <c r="U56" i="1"/>
  <c r="S56" i="1" s="1"/>
  <c r="W214" i="1"/>
  <c r="AI168" i="1"/>
  <c r="U15" i="1"/>
  <c r="S15" i="1" s="1"/>
  <c r="U29" i="1"/>
  <c r="S29" i="1" s="1"/>
  <c r="AI29" i="1"/>
  <c r="U57" i="1"/>
  <c r="S57" i="1" s="1"/>
  <c r="U39" i="1"/>
  <c r="S39" i="1" s="1"/>
  <c r="U150" i="1"/>
  <c r="S150" i="1" s="1"/>
  <c r="AI150" i="1"/>
  <c r="W119" i="1"/>
  <c r="U25" i="1"/>
  <c r="S25" i="1" s="1"/>
  <c r="AI25" i="1"/>
  <c r="U139" i="1"/>
  <c r="S139" i="1" s="1"/>
  <c r="AI139" i="1"/>
  <c r="W150" i="1"/>
  <c r="W175" i="1"/>
  <c r="W29" i="1"/>
  <c r="U66" i="1"/>
  <c r="S66" i="1" s="1"/>
  <c r="AI66" i="1"/>
  <c r="U58" i="1"/>
  <c r="S58" i="1" s="1"/>
  <c r="AI58" i="1"/>
  <c r="W87" i="1"/>
  <c r="W139" i="1"/>
  <c r="U158" i="1"/>
  <c r="S158" i="1" s="1"/>
  <c r="AI158" i="1"/>
  <c r="W170" i="1"/>
  <c r="U142" i="1"/>
  <c r="S142" i="1" s="1"/>
  <c r="AI142" i="1"/>
  <c r="W142" i="1"/>
  <c r="W217" i="1"/>
  <c r="W171" i="1"/>
  <c r="AI76" i="1"/>
  <c r="U76" i="1"/>
  <c r="S76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U121" i="1"/>
  <c r="S121" i="1" s="1"/>
  <c r="AI121" i="1"/>
  <c r="AI90" i="1"/>
  <c r="U90" i="1"/>
  <c r="S90" i="1" s="1"/>
  <c r="AI98" i="1"/>
  <c r="U98" i="1"/>
  <c r="S98" i="1" s="1"/>
  <c r="AI106" i="1"/>
  <c r="U106" i="1"/>
  <c r="S106" i="1" s="1"/>
  <c r="AI114" i="1"/>
  <c r="U114" i="1"/>
  <c r="AI130" i="1"/>
  <c r="U130" i="1"/>
  <c r="S130" i="1" s="1"/>
  <c r="U143" i="1"/>
  <c r="S143" i="1" s="1"/>
  <c r="AI143" i="1"/>
  <c r="U206" i="1"/>
  <c r="S206" i="1"/>
  <c r="AI159" i="1"/>
  <c r="W121" i="1"/>
  <c r="W130" i="1"/>
  <c r="AI144" i="1"/>
  <c r="U144" i="1"/>
  <c r="S144" i="1" s="1"/>
  <c r="AI152" i="1"/>
  <c r="U152" i="1"/>
  <c r="S152" i="1" s="1"/>
  <c r="AI160" i="1"/>
  <c r="U207" i="1"/>
  <c r="S207" i="1" s="1"/>
  <c r="W93" i="1"/>
  <c r="W106" i="1"/>
  <c r="U225" i="1"/>
  <c r="S225" i="1" s="1"/>
  <c r="AI174" i="1"/>
  <c r="U180" i="1"/>
  <c r="S180" i="1" s="1"/>
  <c r="AI198" i="1"/>
  <c r="S184" i="1"/>
  <c r="U184" i="1"/>
  <c r="AI202" i="1"/>
  <c r="AI207" i="1"/>
  <c r="U189" i="1"/>
  <c r="S189" i="1" s="1"/>
  <c r="AI179" i="1"/>
  <c r="U161" i="1"/>
  <c r="S161" i="1" s="1"/>
  <c r="AI187" i="1"/>
  <c r="U169" i="1"/>
  <c r="S169" i="1" s="1"/>
  <c r="AI195" i="1"/>
  <c r="U177" i="1"/>
  <c r="S177" i="1" s="1"/>
  <c r="AI203" i="1"/>
  <c r="U185" i="1"/>
  <c r="S185" i="1" s="1"/>
  <c r="AI215" i="1"/>
  <c r="U197" i="1"/>
  <c r="S197" i="1" s="1"/>
  <c r="AI223" i="1"/>
  <c r="U205" i="1"/>
  <c r="S205" i="1" s="1"/>
  <c r="W144" i="1"/>
  <c r="W184" i="1"/>
  <c r="W169" i="1"/>
  <c r="W197" i="1"/>
  <c r="W177" i="1"/>
  <c r="AI34" i="1"/>
  <c r="U34" i="1"/>
  <c r="S34" i="1" s="1"/>
  <c r="AI18" i="1"/>
  <c r="U18" i="1"/>
  <c r="S18" i="1" s="1"/>
  <c r="W34" i="1"/>
  <c r="AI75" i="1"/>
  <c r="U75" i="1"/>
  <c r="S75" i="1" s="1"/>
  <c r="U84" i="1"/>
  <c r="S84" i="1" s="1"/>
  <c r="AI84" i="1"/>
  <c r="U125" i="1"/>
  <c r="S125" i="1" s="1"/>
  <c r="AI125" i="1"/>
  <c r="AI63" i="1"/>
  <c r="U63" i="1"/>
  <c r="S63" i="1" s="1"/>
  <c r="W84" i="1"/>
  <c r="W113" i="1"/>
  <c r="W85" i="1"/>
  <c r="W98" i="1"/>
  <c r="U133" i="1"/>
  <c r="S133" i="1" s="1"/>
  <c r="AI133" i="1"/>
  <c r="W133" i="1"/>
  <c r="U155" i="1"/>
  <c r="S155" i="1" s="1"/>
  <c r="AI155" i="1"/>
  <c r="W109" i="1"/>
  <c r="W152" i="1"/>
  <c r="U172" i="1"/>
  <c r="S172" i="1" s="1"/>
  <c r="AI190" i="1"/>
  <c r="AI194" i="1"/>
  <c r="U176" i="1"/>
  <c r="S176" i="1" s="1"/>
  <c r="AI222" i="1"/>
  <c r="U204" i="1"/>
  <c r="S204" i="1" s="1"/>
  <c r="U215" i="1"/>
  <c r="S215" i="1" s="1"/>
  <c r="AI226" i="1"/>
  <c r="AI173" i="1"/>
  <c r="U224" i="1"/>
  <c r="S224" i="1" s="1"/>
  <c r="W205" i="1"/>
  <c r="W185" i="1"/>
  <c r="AI46" i="1"/>
  <c r="U46" i="1"/>
  <c r="S46" i="1" s="1"/>
  <c r="AI38" i="1"/>
  <c r="U38" i="1"/>
  <c r="S38" i="1" s="1"/>
  <c r="W38" i="1"/>
  <c r="AI67" i="1"/>
  <c r="U67" i="1"/>
  <c r="S67" i="1" s="1"/>
  <c r="W18" i="1"/>
  <c r="AI42" i="1"/>
  <c r="U42" i="1"/>
  <c r="S42" i="1" s="1"/>
  <c r="W67" i="1"/>
  <c r="AI22" i="1"/>
  <c r="U22" i="1"/>
  <c r="S22" i="1" s="1"/>
  <c r="AI59" i="1"/>
  <c r="U59" i="1"/>
  <c r="S59" i="1" s="1"/>
  <c r="U79" i="1"/>
  <c r="S79" i="1" s="1"/>
  <c r="W79" i="1"/>
  <c r="AI79" i="1"/>
  <c r="U129" i="1"/>
  <c r="S129" i="1" s="1"/>
  <c r="W129" i="1"/>
  <c r="AI129" i="1"/>
  <c r="W76" i="1"/>
  <c r="AI86" i="1"/>
  <c r="U86" i="1"/>
  <c r="S86" i="1" s="1"/>
  <c r="AI94" i="1"/>
  <c r="U94" i="1"/>
  <c r="S94" i="1" s="1"/>
  <c r="AI102" i="1"/>
  <c r="U102" i="1"/>
  <c r="S102" i="1" s="1"/>
  <c r="AI110" i="1"/>
  <c r="U110" i="1"/>
  <c r="S110" i="1" s="1"/>
  <c r="AI118" i="1"/>
  <c r="U118" i="1"/>
  <c r="S118" i="1" s="1"/>
  <c r="W94" i="1"/>
  <c r="W101" i="1"/>
  <c r="W114" i="1"/>
  <c r="U151" i="1"/>
  <c r="S151" i="1" s="1"/>
  <c r="AI151" i="1"/>
  <c r="W89" i="1"/>
  <c r="W102" i="1"/>
  <c r="AI140" i="1"/>
  <c r="U140" i="1"/>
  <c r="S140" i="1" s="1"/>
  <c r="AI148" i="1"/>
  <c r="U148" i="1"/>
  <c r="S148" i="1" s="1"/>
  <c r="AI156" i="1"/>
  <c r="U156" i="1"/>
  <c r="S156" i="1" s="1"/>
  <c r="AI164" i="1"/>
  <c r="U211" i="1"/>
  <c r="S211" i="1" s="1"/>
  <c r="AI122" i="1"/>
  <c r="U122" i="1"/>
  <c r="S122" i="1" s="1"/>
  <c r="W207" i="1"/>
  <c r="W140" i="1"/>
  <c r="U164" i="1"/>
  <c r="S164" i="1" s="1"/>
  <c r="AI182" i="1"/>
  <c r="AI186" i="1"/>
  <c r="U168" i="1"/>
  <c r="S168" i="1" s="1"/>
  <c r="AI214" i="1"/>
  <c r="U196" i="1"/>
  <c r="S196" i="1" s="1"/>
  <c r="U200" i="1"/>
  <c r="S200" i="1" s="1"/>
  <c r="AI218" i="1"/>
  <c r="AI175" i="1"/>
  <c r="U226" i="1"/>
  <c r="S226" i="1" s="1"/>
  <c r="AI183" i="1"/>
  <c r="U165" i="1"/>
  <c r="S165" i="1" s="1"/>
  <c r="S173" i="1"/>
  <c r="AI191" i="1"/>
  <c r="U173" i="1"/>
  <c r="AI199" i="1"/>
  <c r="U181" i="1"/>
  <c r="S181" i="1" s="1"/>
  <c r="AI211" i="1"/>
  <c r="U193" i="1"/>
  <c r="S193" i="1" s="1"/>
  <c r="S201" i="1"/>
  <c r="AI219" i="1"/>
  <c r="U201" i="1"/>
  <c r="AI227" i="1"/>
  <c r="U216" i="1"/>
  <c r="S216" i="1" s="1"/>
  <c r="W176" i="1"/>
  <c r="W215" i="1"/>
  <c r="W204" i="1"/>
  <c r="W193" i="1"/>
  <c r="W226" i="1"/>
  <c r="W172" i="1"/>
  <c r="W173" i="1"/>
  <c r="AI26" i="1"/>
  <c r="U26" i="1"/>
  <c r="S26" i="1" s="1"/>
  <c r="U50" i="1"/>
  <c r="S50" i="1"/>
  <c r="AI50" i="1"/>
  <c r="AI14" i="1"/>
  <c r="U14" i="1"/>
  <c r="S14" i="1" s="1"/>
  <c r="AI30" i="1"/>
  <c r="U30" i="1"/>
  <c r="S30" i="1" s="1"/>
  <c r="W46" i="1"/>
  <c r="AI51" i="1"/>
  <c r="U51" i="1"/>
  <c r="S51" i="1" s="1"/>
  <c r="AI55" i="1"/>
  <c r="U55" i="1"/>
  <c r="S55" i="1" s="1"/>
  <c r="AI71" i="1"/>
  <c r="U71" i="1"/>
  <c r="S71" i="1" s="1"/>
  <c r="AI83" i="1"/>
  <c r="U83" i="1"/>
  <c r="S83" i="1" s="1"/>
  <c r="W97" i="1"/>
  <c r="AI126" i="1"/>
  <c r="U126" i="1"/>
  <c r="S126" i="1" s="1"/>
  <c r="W117" i="1"/>
  <c r="U147" i="1"/>
  <c r="S147" i="1" s="1"/>
  <c r="AI147" i="1"/>
  <c r="U210" i="1"/>
  <c r="S210" i="1" s="1"/>
  <c r="AI163" i="1"/>
  <c r="W105" i="1"/>
  <c r="W118" i="1"/>
  <c r="W90" i="1"/>
  <c r="U218" i="1"/>
  <c r="S218" i="1"/>
  <c r="AI167" i="1"/>
  <c r="W148" i="1"/>
  <c r="AI178" i="1"/>
  <c r="U160" i="1"/>
  <c r="S160" i="1" s="1"/>
  <c r="AI206" i="1"/>
  <c r="U188" i="1"/>
  <c r="S188" i="1" s="1"/>
  <c r="U192" i="1"/>
  <c r="S192" i="1" s="1"/>
  <c r="AI210" i="1"/>
  <c r="U222" i="1"/>
  <c r="S222" i="1" s="1"/>
  <c r="AI171" i="1"/>
  <c r="W143" i="1"/>
  <c r="W206" i="1"/>
  <c r="W161" i="1"/>
  <c r="W189" i="1"/>
  <c r="W225" i="1"/>
  <c r="W201" i="1"/>
  <c r="W160" i="1"/>
  <c r="W180" i="1"/>
  <c r="W181" i="1"/>
  <c r="Y43" i="3"/>
  <c r="T43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<sst xmlns="http://schemas.openxmlformats.org/spreadsheetml/2006/main" count="2378" uniqueCount="782">
  <si>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</si>
  <si>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</si>
  <si>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</si>
  <si>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</si>
  <si>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</si>
  <si>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</si>
  <si>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</si>
  <si>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</si>
  <si>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</si>
  <si>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</si>
  <si>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</si>
  <si>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</si>
  <si>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</si>
  <si>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</si>
  <si>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</si>
  <si>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</si>
  <si>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</si>
  <si>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</si>
  <si>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</si>
  <si>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</si>
  <si>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</si>
  <si>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</si>
  <si>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</si>
  <si>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</si>
  <si>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</si>
  <si>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</si>
  <si>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</si>
  <si>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</si>
  <si>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</si>
  <si>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</si>
  <si>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</si>
  <si>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</si>
  <si>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</si>
  <si>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</si>
  <si>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</si>
  <si>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</si>
  <si>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</si>
  <si>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</si>
  <si>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</si>
  <si>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</si>
  <si>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</si>
  <si>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</si>
  <si>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</si>
  <si>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</si>
  <si>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</si>
  <si>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</si>
  <si>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</si>
  <si>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</si>
  <si>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</si>
  <si>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</si>
  <si>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</si>
  <si>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</si>
  <si>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</si>
  <si>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</si>
  <si>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</si>
  <si>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</si>
  <si>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</si>
  <si>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</si>
  <si>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</si>
  <si>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</si>
  <si>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</si>
  <si>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</si>
  <si>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</si>
  <si>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</si>
  <si>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</si>
  <si>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</si>
  <si>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</si>
  <si>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</si>
  <si>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</si>
  <si>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</si>
  <si>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</si>
  <si>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</si>
  <si>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</si>
  <si>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</si>
  <si>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</si>
  <si>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</si>
  <si>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</si>
  <si>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</si>
  <si>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</si>
  <si>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</si>
  <si>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</si>
  <si>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</si>
  <si>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</si>
  <si>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</si>
  <si>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</si>
  <si>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</si>
  <si>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</si>
  <si>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</si>
  <si>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</si>
  <si>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</si>
  <si>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</si>
  <si>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</si>
  <si>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</si>
  <si>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</si>
  <si>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</si>
  <si>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</si>
  <si>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</si>
  <si>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</si>
  <si>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</si>
  <si>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</si>
  <si>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</si>
  <si>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</si>
  <si>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</si>
  <si>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</si>
  <si>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</si>
  <si>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</si>
  <si>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</si>
  <si>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</si>
  <si>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</si>
  <si>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</si>
  <si>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</si>
  <si>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</si>
  <si>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</si>
  <si>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</si>
  <si>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</si>
  <si>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</si>
  <si>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</si>
  <si>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</si>
  <si>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</si>
  <si>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</si>
  <si>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</si>
  <si>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</si>
  <si>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</si>
  <si>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</si>
  <si>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</si>
  <si>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</si>
  <si>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</si>
  <si>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</si>
  <si>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</si>
  <si>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</si>
  <si>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</si>
  <si>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</si>
  <si>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</si>
  <si>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</si>
  <si>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</si>
  <si>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</si>
  <si>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</si>
  <si>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</si>
  <si>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</si>
  <si>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</si>
  <si>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</si>
  <si>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</si>
  <si>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</si>
  <si>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</si>
  <si>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</si>
  <si>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</si>
  <si>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</si>
  <si>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</si>
  <si>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</si>
  <si>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</si>
  <si>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</si>
  <si>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</si>
  <si>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</si>
  <si>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</si>
  <si>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</si>
  <si>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</si>
  <si>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</si>
  <si>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</si>
  <si>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</si>
  <si>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</si>
  <si>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</si>
  <si>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</si>
  <si>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</si>
  <si>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</si>
  <si>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</si>
  <si>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</si>
  <si>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</si>
  <si>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</si>
  <si>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</si>
  <si>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</si>
  <si>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</si>
  <si>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</si>
  <si>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</si>
  <si>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</si>
  <si>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</si>
  <si>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</si>
  <si>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</si>
  <si>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</si>
  <si>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</si>
  <si>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</si>
  <si>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</si>
  <si>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</si>
  <si>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</si>
  <si>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</si>
  <si>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</si>
  <si>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</si>
  <si>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</si>
  <si>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</si>
  <si>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</si>
  <si>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</si>
  <si>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</si>
  <si>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</si>
  <si>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</si>
  <si>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</si>
  <si>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</si>
  <si>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</si>
  <si>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</si>
  <si>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</si>
  <si>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</si>
  <si>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</si>
  <si>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</si>
  <si>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</si>
  <si>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</si>
  <si>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</si>
  <si>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</si>
  <si>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</si>
  <si>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</si>
  <si>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</si>
  <si>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</si>
  <si>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</si>
  <si>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</si>
  <si>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</si>
  <si>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</si>
  <si>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</si>
  <si>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</si>
  <si>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</si>
  <si>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</si>
  <si>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204:233314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</si>
  <si>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</si>
  <si>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</si>
  <si>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</si>
  <si>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</si>
  <si>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</si>
  <si>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</si>
  <si>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</si>
  <si>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</si>
  <si>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</si>
  <si>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</si>
  <si>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</si>
  <si>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</si>
  <si>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</si>
  <si>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</si>
  <si>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</si>
  <si>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</si>
  <si>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</si>
  <si>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</si>
  <si>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204:457</t>
  </si>
  <si>
    <t>204:232978</t>
  </si>
  <si>
    <t>204:466</t>
  </si>
  <si>
    <t>204:233295</t>
  </si>
  <si>
    <t>204:446</t>
  </si>
  <si>
    <t>204:233299</t>
  </si>
  <si>
    <t>204:167</t>
  </si>
  <si>
    <t>204:160</t>
  </si>
  <si>
    <t>204:232979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</si>
  <si>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</si>
  <si>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</si>
  <si>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</si>
  <si>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</si>
  <si>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</si>
  <si>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</si>
  <si>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</si>
  <si>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</si>
  <si>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</si>
  <si>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</si>
  <si>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</si>
  <si>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</si>
  <si>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</si>
  <si>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</si>
  <si>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</si>
  <si>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</si>
  <si>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</si>
  <si>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</si>
  <si>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</si>
  <si>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</si>
  <si>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</si>
  <si>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</si>
  <si>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</si>
  <si>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</si>
  <si>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</si>
  <si>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</si>
  <si>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</si>
  <si>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</si>
  <si>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rtdc.l.rtdc.4011:itc</t>
  </si>
  <si>
    <t>204:444</t>
  </si>
  <si>
    <t>204:232987</t>
  </si>
  <si>
    <t>clear-day</t>
  </si>
  <si>
    <t>204:156</t>
  </si>
  <si>
    <t>204:233000</t>
  </si>
  <si>
    <t>204:233308</t>
  </si>
  <si>
    <t>rtdc.l.rtdc.4029:itc</t>
  </si>
  <si>
    <t>rtdc.l.rtdc.4030:itc</t>
  </si>
  <si>
    <t>BERLING</t>
  </si>
  <si>
    <t>204:139</t>
  </si>
  <si>
    <t>204:233317</t>
  </si>
  <si>
    <t>204:232981</t>
  </si>
  <si>
    <t>204:233278</t>
  </si>
  <si>
    <t>204:233304</t>
  </si>
  <si>
    <t>300:58615</t>
  </si>
  <si>
    <t>204:484</t>
  </si>
  <si>
    <t>Early arrival</t>
  </si>
  <si>
    <t>Pena 4S STOP, cleared afterward</t>
  </si>
  <si>
    <t>rtdc.l.rtdc.4002:itc</t>
  </si>
  <si>
    <t>rtdc.l.rtdc.4054:itc</t>
  </si>
  <si>
    <t>SPECTOR</t>
  </si>
  <si>
    <t>rtdc.l.rtdc.4053:itc</t>
  </si>
  <si>
    <t>ROCHA</t>
  </si>
  <si>
    <t>HELVIE</t>
  </si>
  <si>
    <t>DELGADO</t>
  </si>
  <si>
    <t>MATTHEWS</t>
  </si>
  <si>
    <t>204:232983</t>
  </si>
  <si>
    <t>204:449</t>
  </si>
  <si>
    <t>204:232974</t>
  </si>
  <si>
    <t>204:158</t>
  </si>
  <si>
    <t>204:233311</t>
  </si>
  <si>
    <t>204:232986</t>
  </si>
  <si>
    <t>204:138</t>
  </si>
  <si>
    <t>204:232990</t>
  </si>
  <si>
    <t>204:233334</t>
  </si>
  <si>
    <t>204:437</t>
  </si>
  <si>
    <t>204:232967</t>
  </si>
  <si>
    <t>300:23304</t>
  </si>
  <si>
    <t>204:974</t>
  </si>
  <si>
    <t>204:969</t>
  </si>
  <si>
    <t>300:58613</t>
  </si>
  <si>
    <t>204:979</t>
  </si>
  <si>
    <t>300:58928</t>
  </si>
  <si>
    <t>204:172</t>
  </si>
  <si>
    <t>rtdc.l.rtdc.4016:itc</t>
  </si>
  <si>
    <t>rtdc.l.rtdc.4015:itc</t>
  </si>
  <si>
    <t>54-18</t>
  </si>
  <si>
    <t>BRANNON</t>
  </si>
  <si>
    <t>STORY</t>
  </si>
  <si>
    <t>PINCURA</t>
  </si>
  <si>
    <t>228-18</t>
  </si>
  <si>
    <t>844-18</t>
  </si>
  <si>
    <t>230-18</t>
  </si>
  <si>
    <t>233-18</t>
  </si>
  <si>
    <t>847-18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</si>
  <si>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</si>
  <si>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</si>
  <si>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</si>
  <si>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</si>
  <si>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</si>
  <si>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</si>
  <si>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</si>
  <si>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</si>
  <si>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</si>
  <si>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</si>
  <si>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</si>
  <si>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</si>
  <si>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</si>
  <si>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</si>
  <si>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</si>
  <si>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</si>
  <si>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204:739</t>
  </si>
  <si>
    <t>204:233319</t>
  </si>
  <si>
    <t>204:232984</t>
  </si>
  <si>
    <t>204:233329</t>
  </si>
  <si>
    <t>204:462</t>
  </si>
  <si>
    <t>204:233326</t>
  </si>
  <si>
    <t>204:480</t>
  </si>
  <si>
    <t>300:23301</t>
  </si>
  <si>
    <t>300:58604</t>
  </si>
  <si>
    <t>204:995</t>
  </si>
  <si>
    <t>204:706</t>
  </si>
  <si>
    <t>300:58933</t>
  </si>
  <si>
    <t>244-19</t>
  </si>
  <si>
    <t>Y</t>
  </si>
  <si>
    <t>MAELZER</t>
  </si>
  <si>
    <t>STARKS</t>
  </si>
  <si>
    <t>STRICKLAND</t>
  </si>
  <si>
    <t>ADANE</t>
  </si>
  <si>
    <t>MOSES</t>
  </si>
  <si>
    <t>YOUNG</t>
  </si>
  <si>
    <t>rtdc.l.rtdc.4008:itc</t>
  </si>
  <si>
    <t>309-19</t>
  </si>
  <si>
    <t>204:232675</t>
  </si>
  <si>
    <t>204:232973</t>
  </si>
  <si>
    <t>204:232996</t>
  </si>
  <si>
    <t>204:233285</t>
  </si>
  <si>
    <t>204:1051</t>
  </si>
  <si>
    <t>204:233026</t>
  </si>
  <si>
    <t>204:232989</t>
  </si>
  <si>
    <t>204:232988</t>
  </si>
  <si>
    <t>204:232993</t>
  </si>
  <si>
    <t>204:440</t>
  </si>
  <si>
    <t>204:233310</t>
  </si>
  <si>
    <t>204:180</t>
  </si>
  <si>
    <t>204:233302</t>
  </si>
  <si>
    <t>204:169</t>
  </si>
  <si>
    <t>204:233011</t>
  </si>
  <si>
    <t>204:232968</t>
  </si>
  <si>
    <t>204:233270</t>
  </si>
  <si>
    <t>204:129</t>
  </si>
  <si>
    <t>300:23308</t>
  </si>
  <si>
    <t>300:58617</t>
  </si>
  <si>
    <t>300:58073</t>
  </si>
  <si>
    <t>204:664</t>
  </si>
  <si>
    <t>204:976</t>
  </si>
  <si>
    <t>40th 4S STOP, cleared afterward</t>
  </si>
  <si>
    <t>Wi-MAX outage</t>
  </si>
  <si>
    <t>801-20</t>
  </si>
  <si>
    <t>112-20</t>
  </si>
  <si>
    <t>123-20</t>
  </si>
  <si>
    <t>Reactive Warning (1)</t>
  </si>
  <si>
    <t>125-20</t>
  </si>
  <si>
    <t>121-20</t>
  </si>
  <si>
    <t>809-20</t>
  </si>
  <si>
    <t>130-20</t>
  </si>
  <si>
    <t>rtdc.l.rtdc.4037:itc</t>
  </si>
  <si>
    <t>132-20</t>
  </si>
  <si>
    <t>138-20</t>
  </si>
  <si>
    <t>rtdc.l.rtdc.4006:itc</t>
  </si>
  <si>
    <t>147-20</t>
  </si>
  <si>
    <t>814-20</t>
  </si>
  <si>
    <t>50-20</t>
  </si>
  <si>
    <t>SWITCH ALIGNMENT</t>
  </si>
  <si>
    <t>Track device (7)</t>
  </si>
  <si>
    <t>157-20</t>
  </si>
  <si>
    <t>54-20</t>
  </si>
  <si>
    <t>161-20</t>
  </si>
  <si>
    <t>55-20</t>
  </si>
  <si>
    <t>WORK ZONE</t>
  </si>
  <si>
    <t>160-20</t>
  </si>
  <si>
    <t>819-20</t>
  </si>
  <si>
    <t>820-20</t>
  </si>
  <si>
    <t>172-20</t>
  </si>
  <si>
    <t>180-20</t>
  </si>
  <si>
    <t>188-20</t>
  </si>
  <si>
    <t>827-20</t>
  </si>
  <si>
    <t>829-20</t>
  </si>
  <si>
    <t>199-20</t>
  </si>
  <si>
    <t>831-20</t>
  </si>
  <si>
    <t>59-20</t>
  </si>
  <si>
    <t>207-20</t>
  </si>
  <si>
    <t>58-20</t>
  </si>
  <si>
    <t>834-20</t>
  </si>
  <si>
    <t>835-20</t>
  </si>
  <si>
    <t>217-20</t>
  </si>
  <si>
    <t>840-20</t>
  </si>
  <si>
    <t>rtdc.l.rtdc.4005:itc</t>
  </si>
  <si>
    <t>226-20</t>
  </si>
  <si>
    <t>239-20</t>
  </si>
  <si>
    <t>TEMPORARY SPEED RESTRICTION</t>
  </si>
  <si>
    <t>241-20</t>
  </si>
  <si>
    <t>311-20</t>
  </si>
  <si>
    <t>242-20</t>
  </si>
  <si>
    <t>302-20</t>
  </si>
  <si>
    <t>101-20</t>
  </si>
  <si>
    <t>105-20</t>
  </si>
  <si>
    <t>SANTIZO</t>
  </si>
  <si>
    <t>306-20</t>
  </si>
  <si>
    <t>103-20</t>
  </si>
  <si>
    <t>102-20</t>
  </si>
  <si>
    <t>107-20</t>
  </si>
  <si>
    <t>109-20</t>
  </si>
  <si>
    <t>104-20</t>
  </si>
  <si>
    <t>111-20</t>
  </si>
  <si>
    <t>106-20</t>
  </si>
  <si>
    <t>800-20</t>
  </si>
  <si>
    <t>YORK</t>
  </si>
  <si>
    <t>113-20</t>
  </si>
  <si>
    <t>115-20</t>
  </si>
  <si>
    <t>108-20</t>
  </si>
  <si>
    <t>110-20</t>
  </si>
  <si>
    <t>rtdc.l.rtdc.4038:itc</t>
  </si>
  <si>
    <t>117-20</t>
  </si>
  <si>
    <t>902-20</t>
  </si>
  <si>
    <t>ISHMAEL</t>
  </si>
  <si>
    <t>119-20</t>
  </si>
  <si>
    <t>114-20</t>
  </si>
  <si>
    <t>803-20</t>
  </si>
  <si>
    <t>802-20</t>
  </si>
  <si>
    <t>116-20</t>
  </si>
  <si>
    <t>805-20</t>
  </si>
  <si>
    <t>118-20</t>
  </si>
  <si>
    <t>804-20</t>
  </si>
  <si>
    <t>120-20</t>
  </si>
  <si>
    <t>127-20</t>
  </si>
  <si>
    <t>122-20</t>
  </si>
  <si>
    <t>129-20</t>
  </si>
  <si>
    <t>806-20</t>
  </si>
  <si>
    <t>807-20</t>
  </si>
  <si>
    <t>124-20</t>
  </si>
  <si>
    <t>131-20</t>
  </si>
  <si>
    <t>126-20</t>
  </si>
  <si>
    <t>808-20</t>
  </si>
  <si>
    <t>133-20</t>
  </si>
  <si>
    <t>128-20</t>
  </si>
  <si>
    <t>135-20</t>
  </si>
  <si>
    <t>810-20</t>
  </si>
  <si>
    <t>137-20</t>
  </si>
  <si>
    <t>811-20</t>
  </si>
  <si>
    <t>134-20</t>
  </si>
  <si>
    <t>139-20</t>
  </si>
  <si>
    <t>903-20</t>
  </si>
  <si>
    <t>812-20</t>
  </si>
  <si>
    <t>141-20</t>
  </si>
  <si>
    <t>136-20</t>
  </si>
  <si>
    <t>143-20</t>
  </si>
  <si>
    <t>813-20</t>
  </si>
  <si>
    <t>145-20</t>
  </si>
  <si>
    <t>140-20</t>
  </si>
  <si>
    <t>142-20</t>
  </si>
  <si>
    <t>149-20</t>
  </si>
  <si>
    <t>PELLITIER</t>
  </si>
  <si>
    <t>144-20</t>
  </si>
  <si>
    <t>151-20</t>
  </si>
  <si>
    <t>815-20</t>
  </si>
  <si>
    <t>146-20</t>
  </si>
  <si>
    <t>153-20</t>
  </si>
  <si>
    <t>148-20</t>
  </si>
  <si>
    <t>155-20</t>
  </si>
  <si>
    <t>150-20</t>
  </si>
  <si>
    <t>816-20</t>
  </si>
  <si>
    <t>152-20</t>
  </si>
  <si>
    <t>159-20</t>
  </si>
  <si>
    <t>BROWN</t>
  </si>
  <si>
    <t>817-20</t>
  </si>
  <si>
    <t>154-20</t>
  </si>
  <si>
    <t>SHOOK</t>
  </si>
  <si>
    <t>156-20</t>
  </si>
  <si>
    <t>53-20</t>
  </si>
  <si>
    <t>BEAM</t>
  </si>
  <si>
    <t>163-20</t>
  </si>
  <si>
    <t>CRAYTON</t>
  </si>
  <si>
    <t>158-20</t>
  </si>
  <si>
    <t>818-20</t>
  </si>
  <si>
    <t>165-20</t>
  </si>
  <si>
    <t>NEWELL</t>
  </si>
  <si>
    <t>167-20</t>
  </si>
  <si>
    <t>162-20</t>
  </si>
  <si>
    <t>164-20</t>
  </si>
  <si>
    <t>169-20</t>
  </si>
  <si>
    <t>166-20</t>
  </si>
  <si>
    <t>171-20</t>
  </si>
  <si>
    <t>168-20</t>
  </si>
  <si>
    <t>173-20</t>
  </si>
  <si>
    <t>BONDS</t>
  </si>
  <si>
    <t>175-20</t>
  </si>
  <si>
    <t>170-20</t>
  </si>
  <si>
    <t>821-20</t>
  </si>
  <si>
    <t>177-20</t>
  </si>
  <si>
    <t>179-20</t>
  </si>
  <si>
    <t>174-20</t>
  </si>
  <si>
    <t>822-20</t>
  </si>
  <si>
    <t>181-20</t>
  </si>
  <si>
    <t>176-20</t>
  </si>
  <si>
    <t>183-20</t>
  </si>
  <si>
    <t>178-20</t>
  </si>
  <si>
    <t>185-20</t>
  </si>
  <si>
    <t>823-20</t>
  </si>
  <si>
    <t>187-20</t>
  </si>
  <si>
    <t>182-20</t>
  </si>
  <si>
    <t>824-20</t>
  </si>
  <si>
    <t>189-20</t>
  </si>
  <si>
    <t>184-20</t>
  </si>
  <si>
    <t>191-20</t>
  </si>
  <si>
    <t>186-20</t>
  </si>
  <si>
    <t>193-20</t>
  </si>
  <si>
    <t>825-20</t>
  </si>
  <si>
    <t>195-20</t>
  </si>
  <si>
    <t>190-20</t>
  </si>
  <si>
    <t>826-20</t>
  </si>
  <si>
    <t>197-20</t>
  </si>
  <si>
    <t>192-20</t>
  </si>
  <si>
    <t>194-20</t>
  </si>
  <si>
    <t>201-20</t>
  </si>
  <si>
    <t>828-20</t>
  </si>
  <si>
    <t>196-20</t>
  </si>
  <si>
    <t>203-20</t>
  </si>
  <si>
    <t>198-20</t>
  </si>
  <si>
    <t>830-20</t>
  </si>
  <si>
    <t>205-20</t>
  </si>
  <si>
    <t>200-20</t>
  </si>
  <si>
    <t>202-20</t>
  </si>
  <si>
    <t>832-20</t>
  </si>
  <si>
    <t>209-20</t>
  </si>
  <si>
    <t>833-20</t>
  </si>
  <si>
    <t>204-20</t>
  </si>
  <si>
    <t>211-20</t>
  </si>
  <si>
    <t>206-20</t>
  </si>
  <si>
    <t>208-20</t>
  </si>
  <si>
    <t>213-20</t>
  </si>
  <si>
    <t>215-20</t>
  </si>
  <si>
    <t>62-20</t>
  </si>
  <si>
    <t>210-20</t>
  </si>
  <si>
    <t>836-20</t>
  </si>
  <si>
    <t>212-20</t>
  </si>
  <si>
    <t>837-20</t>
  </si>
  <si>
    <t>219-20</t>
  </si>
  <si>
    <t>214-20</t>
  </si>
  <si>
    <t>303-20</t>
  </si>
  <si>
    <t>838-20</t>
  </si>
  <si>
    <t>839-20</t>
  </si>
  <si>
    <t>216-20</t>
  </si>
  <si>
    <t>221-20</t>
  </si>
  <si>
    <t>218-20</t>
  </si>
  <si>
    <t>906-20</t>
  </si>
  <si>
    <t>220-20</t>
  </si>
  <si>
    <t>841-20</t>
  </si>
  <si>
    <t>223-20</t>
  </si>
  <si>
    <t>305-20</t>
  </si>
  <si>
    <t>307-20</t>
  </si>
  <si>
    <t>222-20</t>
  </si>
  <si>
    <t>225-20</t>
  </si>
  <si>
    <t>843-20</t>
  </si>
  <si>
    <t>227-20</t>
  </si>
  <si>
    <t>224-20</t>
  </si>
  <si>
    <t>842-20</t>
  </si>
  <si>
    <t>229-20</t>
  </si>
  <si>
    <t>228-20</t>
  </si>
  <si>
    <t>845-20</t>
  </si>
  <si>
    <t>231-20</t>
  </si>
  <si>
    <t>844-20</t>
  </si>
  <si>
    <t>233-20</t>
  </si>
  <si>
    <t>230-20</t>
  </si>
  <si>
    <t>847-20</t>
  </si>
  <si>
    <t>235-20</t>
  </si>
  <si>
    <t>232-20</t>
  </si>
  <si>
    <t>908-20</t>
  </si>
  <si>
    <t>234-20</t>
  </si>
  <si>
    <t>237-20</t>
  </si>
  <si>
    <t>236-20</t>
  </si>
  <si>
    <t>238-20</t>
  </si>
  <si>
    <t>240-20</t>
  </si>
  <si>
    <t>243-20</t>
  </si>
  <si>
    <t>309-20</t>
  </si>
  <si>
    <t>244-20</t>
  </si>
  <si>
    <t>204:768</t>
  </si>
  <si>
    <t>204:232690</t>
  </si>
  <si>
    <t>204:755</t>
  </si>
  <si>
    <t>204:232677</t>
  </si>
  <si>
    <t>204:744</t>
  </si>
  <si>
    <t>204:233321</t>
  </si>
  <si>
    <t>204:233006</t>
  </si>
  <si>
    <t>204:233316</t>
  </si>
  <si>
    <t>204:232992</t>
  </si>
  <si>
    <t>204:165</t>
  </si>
  <si>
    <t>204:431</t>
  </si>
  <si>
    <t>204:233309</t>
  </si>
  <si>
    <t>204:770</t>
  </si>
  <si>
    <t>204:467</t>
  </si>
  <si>
    <t>204:163</t>
  </si>
  <si>
    <t>204:488</t>
  </si>
  <si>
    <t>204:233284</t>
  </si>
  <si>
    <t>204:233010</t>
  </si>
  <si>
    <t>204:232980</t>
  </si>
  <si>
    <t>204:214</t>
  </si>
  <si>
    <t>204:136</t>
  </si>
  <si>
    <t>204:233328</t>
  </si>
  <si>
    <t>204:515</t>
  </si>
  <si>
    <t>204:130</t>
  </si>
  <si>
    <t>204:19144</t>
  </si>
  <si>
    <t>204:1555</t>
  </si>
  <si>
    <t>204:233268</t>
  </si>
  <si>
    <t>204:233336</t>
  </si>
  <si>
    <t>204:13617</t>
  </si>
  <si>
    <t>204:233362</t>
  </si>
  <si>
    <t>204:233061</t>
  </si>
  <si>
    <t>204:233008</t>
  </si>
  <si>
    <t>204:233272</t>
  </si>
  <si>
    <t>204:232966</t>
  </si>
  <si>
    <t>204:233303</t>
  </si>
  <si>
    <t>204:233427</t>
  </si>
  <si>
    <t>204:233042</t>
  </si>
  <si>
    <t>204:482</t>
  </si>
  <si>
    <t>204:187</t>
  </si>
  <si>
    <t>204:232957</t>
  </si>
  <si>
    <t>204:233013</t>
  </si>
  <si>
    <t>204:19140</t>
  </si>
  <si>
    <t>204:233263</t>
  </si>
  <si>
    <t>204:504</t>
  </si>
  <si>
    <t>204:1173</t>
  </si>
  <si>
    <t>204:232934</t>
  </si>
  <si>
    <t>204:233372</t>
  </si>
  <si>
    <t>204:233051</t>
  </si>
  <si>
    <t>204:233320</t>
  </si>
  <si>
    <t>204:232953</t>
  </si>
  <si>
    <t>204:420</t>
  </si>
  <si>
    <t>204:232949</t>
  </si>
  <si>
    <t>204:233327</t>
  </si>
  <si>
    <t>204:178</t>
  </si>
  <si>
    <t>204:233002</t>
  </si>
  <si>
    <t>204:233283</t>
  </si>
  <si>
    <t>204:232950</t>
  </si>
  <si>
    <t>204:154009</t>
  </si>
  <si>
    <t>300:23232</t>
  </si>
  <si>
    <t>300:20992</t>
  </si>
  <si>
    <t>300:22835</t>
  </si>
  <si>
    <t>204:418</t>
  </si>
  <si>
    <t>300:14284</t>
  </si>
  <si>
    <t>300:42648</t>
  </si>
  <si>
    <t>300:14418</t>
  </si>
  <si>
    <t>300:42468</t>
  </si>
  <si>
    <t>300:19983</t>
  </si>
  <si>
    <t>300:24267</t>
  </si>
  <si>
    <t>300:24161</t>
  </si>
  <si>
    <t>300:13956</t>
  </si>
  <si>
    <t>300:42153</t>
  </si>
  <si>
    <t>300:19678</t>
  </si>
  <si>
    <t>300:42392</t>
  </si>
  <si>
    <t>300:14121</t>
  </si>
  <si>
    <t>300:22217</t>
  </si>
  <si>
    <t>204:876</t>
  </si>
  <si>
    <t>204:1194</t>
  </si>
  <si>
    <t>300:24205</t>
  </si>
  <si>
    <t>300:23248</t>
  </si>
  <si>
    <t>204:1982</t>
  </si>
  <si>
    <t>204:1486</t>
  </si>
  <si>
    <t>204:1795</t>
  </si>
  <si>
    <t>300:23381</t>
  </si>
  <si>
    <t>204:917</t>
  </si>
  <si>
    <t>300:58611</t>
  </si>
  <si>
    <t>204:740</t>
  </si>
  <si>
    <t>300:42099</t>
  </si>
  <si>
    <t>204:137</t>
  </si>
  <si>
    <t>204:450</t>
  </si>
  <si>
    <t>204:164</t>
  </si>
  <si>
    <t>204:433</t>
  </si>
  <si>
    <t>300:58918</t>
  </si>
  <si>
    <t>204:131</t>
  </si>
  <si>
    <t>300:58946</t>
  </si>
  <si>
    <t>204:153</t>
  </si>
  <si>
    <t>300:58609</t>
  </si>
  <si>
    <t>204:1169</t>
  </si>
  <si>
    <t>300:58624</t>
  </si>
  <si>
    <t>204:685</t>
  </si>
  <si>
    <t>300:58937</t>
  </si>
  <si>
    <t>300:58619</t>
  </si>
  <si>
    <t>204:705</t>
  </si>
  <si>
    <t>300:58929</t>
  </si>
  <si>
    <t>204:971</t>
  </si>
  <si>
    <t>300:58924</t>
  </si>
  <si>
    <t>300:58911</t>
  </si>
  <si>
    <t>300:58594</t>
  </si>
  <si>
    <t>204:682</t>
  </si>
  <si>
    <t>204:752</t>
  </si>
  <si>
    <t>204:1035</t>
  </si>
  <si>
    <t>300:58939</t>
  </si>
  <si>
    <t>300:58626</t>
  </si>
  <si>
    <t>204:1034</t>
  </si>
  <si>
    <t>300:58931</t>
  </si>
  <si>
    <t>300:58608</t>
  </si>
  <si>
    <t>204:146</t>
  </si>
  <si>
    <t>204:911</t>
  </si>
  <si>
    <t>300:58606</t>
  </si>
  <si>
    <t>204:441</t>
  </si>
  <si>
    <t>204:764</t>
  </si>
  <si>
    <t>204:943</t>
  </si>
  <si>
    <t>300:58935</t>
  </si>
  <si>
    <t>300:58628</t>
  </si>
  <si>
    <t>204:670</t>
  </si>
  <si>
    <t>204:1065</t>
  </si>
  <si>
    <t>204:804</t>
  </si>
  <si>
    <t>204:964</t>
  </si>
  <si>
    <t>204:1095</t>
  </si>
  <si>
    <t>204:747</t>
  </si>
  <si>
    <t>300:58926</t>
  </si>
  <si>
    <t>204:754</t>
  </si>
  <si>
    <t>300:58623</t>
  </si>
  <si>
    <t>204:778</t>
  </si>
  <si>
    <t>204:1039</t>
  </si>
  <si>
    <t>204:663</t>
  </si>
  <si>
    <t>204:1055</t>
  </si>
  <si>
    <t>204:951</t>
  </si>
  <si>
    <t>300:22055</t>
  </si>
  <si>
    <t>204:157</t>
  </si>
  <si>
    <t>204:1032</t>
  </si>
  <si>
    <t>300:24233</t>
  </si>
  <si>
    <t>300:28710</t>
  </si>
  <si>
    <t>300:21504</t>
  </si>
  <si>
    <t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t>
  </si>
  <si>
    <t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t>
  </si>
  <si>
    <t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</si>
  <si>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</si>
  <si>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t>
  </si>
  <si>
    <t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t>
  </si>
  <si>
    <t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t>
  </si>
  <si>
    <t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t>
  </si>
  <si>
    <t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t>
  </si>
  <si>
    <t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t>
  </si>
  <si>
    <t>Another train was moving from MAIN 2 to MAIN 1, DUS 2N was at STOP</t>
  </si>
  <si>
    <t>DUS 4N at STOP because 22N at STOP</t>
  </si>
  <si>
    <t>See title</t>
  </si>
  <si>
    <t>Delayed at 40th 4S - Form O</t>
  </si>
  <si>
    <t>Delayed at Sable - Form O</t>
  </si>
  <si>
    <t>http://stevetu21.github.io/eaglep3/load_kml.html?kml=http://rtdc.gmaps-snips.s3.amazonaws.com/816c19f7-d56c-404e-99b6-09b90689a8db.kml</t>
  </si>
  <si>
    <t>Early arrival - 41st Station</t>
  </si>
  <si>
    <t>RESTRICTED aspect</t>
  </si>
  <si>
    <t>Canceled - end of operating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</si>
</sst>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169" fontId="20" fillId="0" borderId="0" xfId="4" applyFill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816c19f7-d56c-404e-99b6-09b90689a8db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0"/>
  <sheetViews>
    <sheetView tabSelected="1" topLeftCell="A137" zoomScaleNormal="100" workbookViewId="0">
      <selection activeCell="R159" sqref="R159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42663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COUNTIFS($N$13:$N$9413,"&gt;0",$AG$13:$AG$9413,I1)</f>
        <v>141</v>
      </c>
      <c r="K5" s="44"/>
      <c r="L5" s="44"/>
      <c r="M5" s="45">
        <f>AVERAGEIFS($N$13:$N$9413,$AG$13:$AG$9413,I1)</f>
        <v>38.930378250574613</v>
      </c>
      <c r="N5" s="43">
        <f t="array" ref="N5">MIN(IF($AG$13:$AG$9413=I1,IF(ISNUMBER($N$13:$N$9413),IF($N$13:$N$9413&gt;0,$N$13:$N$9413))))</f>
        <v>34.583333329064772</v>
      </c>
      <c r="O5" s="3">
        <f t="array" ref="O5">MAX(IF($AG$13:$AG$9413=I1,IF(ISNUMBER($N$13:$N$9413),IF($N$13:$N$9413&gt;0,$N$13:$N$9413))))</f>
        <v>70.466666668653488</v>
      </c>
      <c r="P5" s="2"/>
      <c r="R5" s="80" t="s">
        <v>17</v>
      </c>
      <c r="S5" s="55">
        <f>COUNTIFS($N$13:$N$9413,"&gt;0",$AG$13:$AG$9413,R1)</f>
        <v>47</v>
      </c>
      <c r="T5" s="44"/>
      <c r="U5" s="175"/>
      <c r="V5" s="45">
        <f>AVERAGEIFS($N$13:$N$9413,$AG$13:$AG$9413,R1)</f>
        <v>15.28723404244916</v>
      </c>
      <c r="W5" s="43">
        <f t="array" ref="W5">MIN(IF($AG$13:$AG$9413=R1,IF(ISNUMBER($N$13:$N$9413),IF($N$13:$N$9413&gt;0,$N$13:$N$9413))))</f>
        <v>12.366666665766388</v>
      </c>
      <c r="X5" s="167">
        <f t="array" ref="X5">MAX(IF($AG$13:$AG$9413=R1,IF(ISNUMBER($N$13:$N$9413),IF($N$13:$N$9413&gt;0,$N$13:$N$9413))))</f>
        <v>21.049999996321276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75"/>
      <c r="V6" s="45">
        <f>IFERROR(AVERAGE($O$13:$O$183),0)</f>
        <v>0</v>
      </c>
      <c r="W6" s="43">
        <f>MIN($O$13:$O$183)</f>
        <v>0</v>
      </c>
      <c r="X6" s="167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COUNTIFS($P$13:$P$9413,"&gt;0",$AG$13:$AG$9413,I1)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COUNTIFS($P$13:$P$9413,"&gt;0",$AG$13:$AG$9413,R1)</f>
        <v>0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38.930378250574613</v>
      </c>
      <c r="N8" s="43">
        <f>N5</f>
        <v>34.583333329064772</v>
      </c>
      <c r="O8" s="3">
        <f>O5</f>
        <v>70.466666668653488</v>
      </c>
      <c r="P8" s="2"/>
      <c r="R8" s="80" t="s">
        <v>16</v>
      </c>
      <c r="S8" s="55">
        <f>S5</f>
        <v>47</v>
      </c>
      <c r="T8" s="44"/>
      <c r="U8" s="175"/>
      <c r="V8" s="45">
        <f>V5</f>
        <v>15.28723404244916</v>
      </c>
      <c r="W8" s="43">
        <f>W5</f>
        <v>12.366666665766388</v>
      </c>
      <c r="X8" s="167">
        <f>X5</f>
        <v>21.049999996321276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- 2016-10-20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439</v>
      </c>
      <c r="B13" s="7">
        <v>4044</v>
      </c>
      <c r="C13" s="22" t="s">
        <v>99</v>
      </c>
      <c r="D13" s="22" t="s">
        <v>620</v>
      </c>
      <c r="E13" s="13">
        <v>42663.136122685188</v>
      </c>
      <c r="F13" s="13">
        <v>42663.139050925929</v>
      </c>
      <c r="G13" s="7">
        <v>1</v>
      </c>
      <c r="H13" s="13" t="s">
        <v>348</v>
      </c>
      <c r="I13" s="13">
        <v>42663.165219907409</v>
      </c>
      <c r="J13" s="7">
        <v>0</v>
      </c>
      <c r="K13" s="112" t="str">
        <f t="shared" ref="K13:K76" si="0">IF(ISEVEN(B13),(B13-1)&amp;"/"&amp;B13,B13&amp;"/"&amp;(B13+1))</f>
        <v>4043/4044</v>
      </c>
      <c r="L13" s="22" t="str">
        <f>VLOOKUP(A13,'Trips&amp;Operators'!$C$1:$E$10000,3,FALSE)</f>
        <v>MAELZER</v>
      </c>
      <c r="M13" s="6">
        <f t="shared" ref="M13:M76" si="1">I13-F13</f>
        <v>2.6168981479713693E-2</v>
      </c>
      <c r="N13" s="7">
        <f t="shared" ref="N13:N58" si="2">24*60*SUM($M13:$M13)</f>
        <v>37.683333330787718</v>
      </c>
      <c r="O13" s="7"/>
      <c r="P13" s="7"/>
      <c r="Q13" s="23"/>
      <c r="R13" s="23"/>
      <c r="S13" s="35">
        <f t="shared" ref="S13:S59" si="3">SUM(U13:U13)/IF(AG13="EC",12,1)</f>
        <v>1</v>
      </c>
      <c r="T13" s="50" t="str">
        <f t="shared" ref="T13:T76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https://search-rtdc-monitor-bjffxe2xuh6vdkpspy63sjmuny.us-east-1.es.amazonaws.com/_plugin/kibana/#/discover/Steve-Slow-Train-Analysis-(2080s-and-2083s)?_g=(refreshInterval:(display:Off,section:0,value:0),time:(from:'2016-10-20 02:16:01-0600',mode:absolute,to:'2016-10-20 04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1" t="e">
        <f t="shared" ref="X13:X76" si="7">VALUE(LEFT(AD13,4))-VALUE(LEFT(AD12,4))</f>
        <v>#VALUE!</v>
      </c>
      <c r="Y13" s="67">
        <f t="shared" ref="Y13:Y76" si="8">RIGHT(D13,LEN(D13)-4)/10000</f>
        <v>7.6799999999999993E-2</v>
      </c>
      <c r="Z13" s="67">
        <f t="shared" ref="Z13:Z44" si="9">RIGHT(H13,LEN(H13)-4)/10000</f>
        <v>23.332899999999999</v>
      </c>
      <c r="AA13" s="67">
        <f t="shared" ref="AA13:AA76" si="10">ABS(Z13-Y13)</f>
        <v>23.2561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/stypes="app*4044*20161020*"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4044 --swversion DE.1.0.7.0 --startMP 204:768 --initTime 2016-10-20T03:16:01 --startdatetime 2016-10-20T03:20:14 --delay 1 --endMP 204:233329 --enddatetime 2016-10-20T03:57:55 --enforcementcount 0 &gt;&gt;C:\Users\stu\Documents\GitHub\eaglep3-reporting\EC\2016-10-20-refined-times.txt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ID","value":"101-20"},{"id":16,"name":"Locomotive ID","value":"4044"},{"id":130,"name":"Impact","value":""},{"id":150,"name":"Time of Event (Mountain Time)","value":"03:57:55"},{"id":151,"name":"Denver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444</v>
      </c>
      <c r="B14" s="7">
        <v>4030</v>
      </c>
      <c r="C14" s="22" t="s">
        <v>99</v>
      </c>
      <c r="D14" s="22" t="s">
        <v>621</v>
      </c>
      <c r="E14" s="13">
        <v>42663.170613425929</v>
      </c>
      <c r="F14" s="13">
        <v>42663.17460648148</v>
      </c>
      <c r="G14" s="7">
        <v>1</v>
      </c>
      <c r="H14" s="13" t="s">
        <v>229</v>
      </c>
      <c r="I14" s="13">
        <v>42663.201643518521</v>
      </c>
      <c r="J14" s="7">
        <v>0</v>
      </c>
      <c r="K14" s="112" t="str">
        <f t="shared" si="0"/>
        <v>4029/4030</v>
      </c>
      <c r="L14" s="22" t="str">
        <f>VLOOKUP(A14,'Trips&amp;Operators'!$C$1:$E$10000,3,FALSE)</f>
        <v>MAELZER</v>
      </c>
      <c r="M14" s="6">
        <f t="shared" si="1"/>
        <v>2.7037037041736767E-2</v>
      </c>
      <c r="N14" s="7">
        <f t="shared" si="2"/>
        <v>38.933333340100944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03:05:41-0600',mode:absolute,to:'2016-10-20 05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23.268999999999998</v>
      </c>
      <c r="Z14" s="67">
        <f t="shared" si="9"/>
        <v>1.4999999999999999E-2</v>
      </c>
      <c r="AA14" s="67">
        <f t="shared" si="10"/>
        <v>23.253999999999998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0102-20</v>
      </c>
      <c r="AE14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" s="88" t="str">
        <f t="shared" si="13"/>
        <v>"C:\Program Files (x86)\AstroGrep\AstroGrep.exe" /spath="%USERPROFILE%\AppData\Local\Temp\OnboardLogs" /stypes="app*4030*20161020*"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4030 --swversion DE.1.0.7.0 --startMP 204:232690 --initTime 2016-10-20T04:05:41 --startdatetime 2016-10-20T04:11:26 --delay 1 --endMP 204:150 --enddatetime 2016-10-20T04:50:22 --enforcementcount 0 &gt;&gt;C:\Users\stu\Documents\GitHub\eaglep3-reporting\EC\2016-10-20-refined-times.txt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ID","value":"102-20"},{"id":16,"name":"Locomotive ID","value":"4030"},{"id":130,"name":"Impact","value":""},{"id":150,"name":"Time of Event (Mountain Time)","value":"04:50:22"},{"id":151,"name":"Denver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443</v>
      </c>
      <c r="B15" s="7">
        <v>4016</v>
      </c>
      <c r="C15" s="22" t="s">
        <v>99</v>
      </c>
      <c r="D15" s="22" t="s">
        <v>622</v>
      </c>
      <c r="E15" s="13">
        <v>42663.165231481478</v>
      </c>
      <c r="F15" s="13">
        <v>42663.171909722223</v>
      </c>
      <c r="G15" s="7">
        <v>9</v>
      </c>
      <c r="H15" s="13" t="s">
        <v>268</v>
      </c>
      <c r="I15" s="13">
        <v>42663.199675925927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SPECTOR</v>
      </c>
      <c r="M15" s="6">
        <f t="shared" si="1"/>
        <v>2.7766203704231884E-2</v>
      </c>
      <c r="N15" s="7">
        <f t="shared" si="2"/>
        <v>39.983333334093913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02:57:56-0600',mode:absolute,to:'2016-10-20 05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7.5499999999999998E-2</v>
      </c>
      <c r="Z15" s="67">
        <f t="shared" si="9"/>
        <v>23.331499999999998</v>
      </c>
      <c r="AA15" s="67">
        <f t="shared" si="10"/>
        <v>23.255999999999997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0103-20</v>
      </c>
      <c r="AE15" s="91" t="str">
        <f t="shared" si="1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5" s="88" t="str">
        <f t="shared" si="13"/>
        <v>"C:\Program Files (x86)\AstroGrep\AstroGrep.exe" /spath="%USERPROFILE%\AppData\Local\Temp\OnboardLogs" /stypes="app*4016*20161020*"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4016 --swversion DE.1.0.7.0 --startMP 204:755 --initTime 2016-10-20T03:57:56 --startdatetime 2016-10-20T04:07:33 --delay 9 --endMP 204:233315 --enddatetime 2016-10-20T04:47:32 --enforcementcount 0 &gt;&gt;C:\Users\stu\Documents\GitHub\eaglep3-reporting\EC\2016-10-20-refined-times.txt</v>
      </c>
      <c r="AI1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ID","value":"103-20"},{"id":16,"name":"Locomotive ID","value":"4016"},{"id":130,"name":"Impact","value":""},{"id":150,"name":"Time of Event (Mountain Time)","value":"04:47:32"},{"id":151,"name":"Denver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447</v>
      </c>
      <c r="B16" s="7">
        <v>4037</v>
      </c>
      <c r="C16" s="22" t="s">
        <v>99</v>
      </c>
      <c r="D16" s="22" t="s">
        <v>623</v>
      </c>
      <c r="E16" s="13">
        <v>42663.204317129632</v>
      </c>
      <c r="F16" s="13">
        <v>42663.206944444442</v>
      </c>
      <c r="G16" s="7">
        <v>2</v>
      </c>
      <c r="H16" s="13" t="s">
        <v>176</v>
      </c>
      <c r="I16" s="13">
        <v>42663.234409722223</v>
      </c>
      <c r="J16" s="7">
        <v>0</v>
      </c>
      <c r="K16" s="112" t="str">
        <f t="shared" si="0"/>
        <v>4037/4038</v>
      </c>
      <c r="L16" s="22" t="str">
        <f>VLOOKUP(A16,'Trips&amp;Operators'!$C$1:$E$10000,3,FALSE)</f>
        <v>SPECTOR</v>
      </c>
      <c r="M16" s="6">
        <f t="shared" si="1"/>
        <v>2.7465277780720498E-2</v>
      </c>
      <c r="N16" s="7">
        <f t="shared" si="2"/>
        <v>39.550000004237518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23.267700000000001</v>
      </c>
      <c r="Z16" s="67">
        <f t="shared" si="9"/>
        <v>1.47E-2</v>
      </c>
      <c r="AA16" s="67">
        <f t="shared" si="10"/>
        <v>23.253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0104-20</v>
      </c>
      <c r="AE16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6" s="88" t="str">
        <f t="shared" si="13"/>
        <v>"C:\Program Files (x86)\AstroGrep\AstroGrep.exe" /spath="%USERPROFILE%\AppData\Local\Temp\OnboardLogs" /stypes="app*4037*20161020*"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4037 --swversion DE.1.0.7.0 --startMP 204:232677 --initTime 2016-10-20T04:54:13 --startdatetime 2016-10-20T04:58:00 --delay 2 --endMP 204:147 --enddatetime 2016-10-20T05:37:33 --enforcementcount 0 &gt;&gt;C:\Users\stu\Documents\GitHub\eaglep3-reporting\EC\2016-10-20-refined-times.txt</v>
      </c>
      <c r="AI1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ID","value":"104-20"},{"id":16,"name":"Locomotive ID","value":"4037"},{"id":130,"name":"Impact","value":""},{"id":150,"name":"Time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440</v>
      </c>
      <c r="B17" s="7">
        <v>4006</v>
      </c>
      <c r="C17" s="22" t="s">
        <v>99</v>
      </c>
      <c r="D17" s="22" t="s">
        <v>624</v>
      </c>
      <c r="E17" s="13">
        <v>42663.176990740743</v>
      </c>
      <c r="F17" s="13">
        <v>42663.178865740738</v>
      </c>
      <c r="G17" s="7">
        <v>1</v>
      </c>
      <c r="H17" s="13" t="s">
        <v>183</v>
      </c>
      <c r="I17" s="13">
        <v>42663.204351851855</v>
      </c>
      <c r="J17" s="7">
        <v>0</v>
      </c>
      <c r="K17" s="112" t="str">
        <f t="shared" si="0"/>
        <v>4005/4006</v>
      </c>
      <c r="L17" s="22" t="str">
        <f>VLOOKUP(A17,'Trips&amp;Operators'!$C$1:$E$10000,3,FALSE)</f>
        <v>SANTIZO</v>
      </c>
      <c r="M17" s="6">
        <f t="shared" si="1"/>
        <v>2.5486111117061228E-2</v>
      </c>
      <c r="N17" s="7">
        <f t="shared" si="2"/>
        <v>36.700000008568168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03:14:52-0600',mode:absolute,to:'2016-10-20 05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7.4399999999999994E-2</v>
      </c>
      <c r="Z17" s="67">
        <f t="shared" si="9"/>
        <v>23.331199999999999</v>
      </c>
      <c r="AA17" s="67">
        <f t="shared" si="10"/>
        <v>23.256799999999998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0105-20</v>
      </c>
      <c r="AE17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7" s="88" t="str">
        <f t="shared" si="13"/>
        <v>"C:\Program Files (x86)\AstroGrep\AstroGrep.exe" /spath="%USERPROFILE%\AppData\Local\Temp\OnboardLogs" /stypes="app*4006*20161020*"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4006 --swversion DE.1.0.7.0 --startMP 204:744 --initTime 2016-10-20T04:14:52 --startdatetime 2016-10-20T04:17:34 --delay 1 --endMP 204:233312 --enddatetime 2016-10-20T04:54:16 --enforcementcount 0 &gt;&gt;C:\Users\stu\Documents\GitHub\eaglep3-reporting\EC\2016-10-20-refined-times.txt</v>
      </c>
      <c r="AI1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ID","value":"105-20"},{"id":16,"name":"Locomotive ID","value":"4006"},{"id":130,"name":"Impact","value":""},{"id":150,"name":"Time of Event (Mountain Time)","value":"04:54:16"},{"id":151,"name":"Denver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449</v>
      </c>
      <c r="B18" s="7">
        <v>4028</v>
      </c>
      <c r="C18" s="22" t="s">
        <v>99</v>
      </c>
      <c r="D18" s="22" t="s">
        <v>367</v>
      </c>
      <c r="E18" s="13">
        <v>42663.211284722223</v>
      </c>
      <c r="F18" s="13">
        <v>42663.216180555559</v>
      </c>
      <c r="G18" s="7">
        <v>2</v>
      </c>
      <c r="H18" s="13" t="s">
        <v>182</v>
      </c>
      <c r="I18" s="13">
        <v>42663.243310185186</v>
      </c>
      <c r="J18" s="7">
        <v>0</v>
      </c>
      <c r="K18" s="112" t="str">
        <f t="shared" si="0"/>
        <v>4027/4028</v>
      </c>
      <c r="L18" s="22" t="str">
        <f>VLOOKUP(A18,'Trips&amp;Operators'!$C$1:$E$10000,3,FALSE)</f>
        <v>SANTIZO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04:04:15-0600',mode:absolute,to:'2016-10-20 06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23.267499999999998</v>
      </c>
      <c r="Z18" s="67">
        <f t="shared" si="9"/>
        <v>1.41E-2</v>
      </c>
      <c r="AA18" s="67">
        <f t="shared" si="10"/>
        <v>23.253399999999999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0106-20</v>
      </c>
      <c r="AE18" s="91" t="str">
        <f t="shared" si="12"/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18" s="88" t="str">
        <f t="shared" si="13"/>
        <v>"C:\Program Files (x86)\AstroGrep\AstroGrep.exe" /spath="%USERPROFILE%\AppData\Local\Temp\OnboardLogs" /stypes="app*4028*20161020*"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4028 --swversion DE.1.0.7.0 --startMP 204:232675 --initTime 2016-10-20T05:04:15 --startdatetime 2016-10-20T05:11:18 --delay 2 --endMP 204:141 --enddatetime 2016-10-20T05:50:22 --enforcementcount 0 &gt;&gt;C:\Users\stu\Documents\GitHub\eaglep3-reporting\EC\2016-10-20-refined-times.txt</v>
      </c>
      <c r="AI1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ID","value":"106-20"},{"id":16,"name":"Locomotive ID","value":"4028"},{"id":130,"name":"Impact","value":""},{"id":150,"name":"Time of Event (Mountain Time)","value":"05:50:22"},{"id":151,"name":"Denver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4011</v>
      </c>
      <c r="C19" s="22" t="s">
        <v>99</v>
      </c>
      <c r="D19" s="22" t="s">
        <v>225</v>
      </c>
      <c r="E19" s="13">
        <v>42663.18414351852</v>
      </c>
      <c r="F19" s="13">
        <v>42663.187939814816</v>
      </c>
      <c r="G19" s="7">
        <v>2</v>
      </c>
      <c r="H19" s="13" t="s">
        <v>625</v>
      </c>
      <c r="I19" s="13">
        <v>42663.214918981481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STRICKLAND</v>
      </c>
      <c r="M19" s="6">
        <f t="shared" si="1"/>
        <v>2.6979166665114462E-2</v>
      </c>
      <c r="N19" s="7">
        <f t="shared" si="2"/>
        <v>38.849999997764826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03:25:10-0600',mode:absolute,to:'2016-10-20 06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4.58E-2</v>
      </c>
      <c r="Z19" s="67">
        <f t="shared" si="9"/>
        <v>23.332100000000001</v>
      </c>
      <c r="AA19" s="67">
        <f t="shared" si="10"/>
        <v>23.286300000000001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0107-20</v>
      </c>
      <c r="AE19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9" s="88" t="str">
        <f t="shared" si="13"/>
        <v>"C:\Program Files (x86)\AstroGrep\AstroGrep.exe" /spath="%USERPROFILE%\AppData\Local\Temp\OnboardLogs" /stypes="app*4011*20161020*"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4011 --swversion DE.1.0.7.0 --startMP 204:458 --initTime 2016-10-20T04:25:10 --startdatetime 2016-10-20T04:30:38 --delay 2 --endMP 204:233321 --enddatetime 2016-10-20T05:09:29 --enforcementcount 0 &gt;&gt;C:\Users\stu\Documents\GitHub\eaglep3-reporting\EC\2016-10-20-refined-times.txt</v>
      </c>
      <c r="AI1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ID","value":"107-20"},{"id":16,"name":"Locomotive ID","value":"4011"},{"id":130,"name":"Impact","value":""},{"id":150,"name":"Time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454</v>
      </c>
      <c r="B20" s="7">
        <v>4012</v>
      </c>
      <c r="C20" s="22" t="s">
        <v>99</v>
      </c>
      <c r="D20" s="22" t="s">
        <v>626</v>
      </c>
      <c r="E20" s="13">
        <v>42663.222546296296</v>
      </c>
      <c r="F20" s="13">
        <v>42663.226597222223</v>
      </c>
      <c r="G20" s="7">
        <v>1</v>
      </c>
      <c r="H20" s="13" t="s">
        <v>384</v>
      </c>
      <c r="I20" s="13">
        <v>42663.256562499999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STRICKLAND</v>
      </c>
      <c r="M20" s="6">
        <f t="shared" si="1"/>
        <v>2.9965277775772847E-2</v>
      </c>
      <c r="N20" s="7">
        <f t="shared" si="2"/>
        <v>43.1499999971129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04:20:28-0600',mode:absolute,to:'2016-10-20 07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23.300599999999999</v>
      </c>
      <c r="Z20" s="67">
        <f t="shared" si="9"/>
        <v>1.29E-2</v>
      </c>
      <c r="AA20" s="67">
        <f t="shared" si="10"/>
        <v>23.287700000000001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0108-20</v>
      </c>
      <c r="AE20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20" s="88" t="str">
        <f t="shared" si="13"/>
        <v>"C:\Program Files (x86)\AstroGrep\AstroGrep.exe" /spath="%USERPROFILE%\AppData\Local\Temp\OnboardLogs" /stypes="app*4012*20161020*"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4012 --swversion DE.1.0.7.0 --startMP 204:233006 --initTime 2016-10-20T05:20:28 --startdatetime 2016-10-20T05:26:18 --delay 1 --endMP 204:129 --enddatetime 2016-10-20T06:09:27 --enforcementcount 0 &gt;&gt;C:\Users\stu\Documents\GitHub\eaglep3-reporting\EC\2016-10-20-refined-times.txt</v>
      </c>
      <c r="AI2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ID","value":"108-20"},{"id":16,"name":"Locomotive ID","value":"4012"},{"id":130,"name":"Impact","value":""},{"id":150,"name":"Time of Event (Mountain Time)","value":"06:09:27"},{"id":151,"name":"Denver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446</v>
      </c>
      <c r="B21" s="7">
        <v>4042</v>
      </c>
      <c r="C21" s="22" t="s">
        <v>99</v>
      </c>
      <c r="D21" s="22" t="s">
        <v>234</v>
      </c>
      <c r="E21" s="13">
        <v>42663.196261574078</v>
      </c>
      <c r="F21" s="13">
        <v>42663.198125000003</v>
      </c>
      <c r="G21" s="7">
        <v>1</v>
      </c>
      <c r="H21" s="13" t="s">
        <v>286</v>
      </c>
      <c r="I21" s="13">
        <v>42663.222581018519</v>
      </c>
      <c r="J21" s="7">
        <v>0</v>
      </c>
      <c r="K21" s="112" t="str">
        <f t="shared" si="0"/>
        <v>4041/4042</v>
      </c>
      <c r="L21" s="22" t="str">
        <f>VLOOKUP(A21,'Trips&amp;Operators'!$C$1:$E$10000,3,FALSE)</f>
        <v>ROCHA</v>
      </c>
      <c r="M21" s="6">
        <f t="shared" si="1"/>
        <v>2.4456018516502809E-2</v>
      </c>
      <c r="N21" s="7">
        <f t="shared" si="2"/>
        <v>35.216666663764045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03:42:37-0600',mode:absolute,to:'2016-10-20 06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4.5499999999999999E-2</v>
      </c>
      <c r="Z21" s="67">
        <f t="shared" si="9"/>
        <v>23.3278</v>
      </c>
      <c r="AA21" s="67">
        <f t="shared" si="10"/>
        <v>23.282299999999999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0109-20</v>
      </c>
      <c r="AE21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21" s="88" t="str">
        <f t="shared" si="13"/>
        <v>"C:\Program Files (x86)\AstroGrep\AstroGrep.exe" /spath="%USERPROFILE%\AppData\Local\Temp\OnboardLogs" /stypes="app*4042*20161020*"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4042 --swversion DE.1.0.7.0 --startMP 204:455 --initTime 2016-10-20T04:42:37 --startdatetime 2016-10-20T04:45:18 --delay 1 --endMP 204:233278 --enddatetime 2016-10-20T05:20:31 --enforcementcount 0 &gt;&gt;C:\Users\stu\Documents\GitHub\eaglep3-reporting\EC\2016-10-20-refined-times.txt</v>
      </c>
      <c r="AI2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ID","value":"109-20"},{"id":16,"name":"Locomotive ID","value":"4042"},{"id":130,"name":"Impact","value":""},{"id":150,"name":"Time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4041</v>
      </c>
      <c r="C22" s="22" t="s">
        <v>99</v>
      </c>
      <c r="D22" s="22" t="s">
        <v>368</v>
      </c>
      <c r="E22" s="13">
        <v>42663.235150462962</v>
      </c>
      <c r="F22" s="13">
        <v>42663.237060185187</v>
      </c>
      <c r="G22" s="7">
        <v>1</v>
      </c>
      <c r="H22" s="13" t="s">
        <v>226</v>
      </c>
      <c r="I22" s="13">
        <v>42663.263645833336</v>
      </c>
      <c r="J22" s="7">
        <v>0</v>
      </c>
      <c r="K22" s="112" t="str">
        <f t="shared" si="0"/>
        <v>4041/4042</v>
      </c>
      <c r="L22" s="22" t="str">
        <f>VLOOKUP(A22,'Trips&amp;Operators'!$C$1:$E$10000,3,FALSE)</f>
        <v>ROCHA</v>
      </c>
      <c r="M22" s="6">
        <f t="shared" si="1"/>
        <v>2.658564814919373E-2</v>
      </c>
      <c r="N22" s="7">
        <f t="shared" si="2"/>
        <v>38.283333334838971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04:38:37-0600',mode:absolute,to:'2016-10-20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23.2973</v>
      </c>
      <c r="Z22" s="67">
        <f t="shared" si="9"/>
        <v>1.49E-2</v>
      </c>
      <c r="AA22" s="67">
        <f t="shared" si="10"/>
        <v>23.282399999999999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0110-20</v>
      </c>
      <c r="AE22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22" s="88" t="str">
        <f t="shared" si="13"/>
        <v>"C:\Program Files (x86)\AstroGrep\AstroGrep.exe" /spath="%USERPROFILE%\AppData\Local\Temp\OnboardLogs" /stypes="app*4041*20161020*"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4041 --swversion DE.1.0.7.0 --startMP 204:232973 --initTime 2016-10-20T05:38:37 --startdatetime 2016-10-20T05:41:22 --delay 1 --endMP 204:149 --enddatetime 2016-10-20T06:19:39 --enforcementcount 0 &gt;&gt;C:\Users\stu\Documents\GitHub\eaglep3-reporting\EC\2016-10-20-refined-times.txt</v>
      </c>
      <c r="AI2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ID","value":"110-20"},{"id":16,"name":"Locomotive ID","value":"4041"},{"id":130,"name":"Impact","value":""},{"id":150,"name":"Time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448</v>
      </c>
      <c r="B23" s="7">
        <v>4044</v>
      </c>
      <c r="C23" s="22" t="s">
        <v>99</v>
      </c>
      <c r="D23" s="22" t="s">
        <v>345</v>
      </c>
      <c r="E23" s="13">
        <v>42663.204317129632</v>
      </c>
      <c r="F23" s="13">
        <v>42663.208796296298</v>
      </c>
      <c r="G23" s="7">
        <v>2</v>
      </c>
      <c r="H23" s="13" t="s">
        <v>239</v>
      </c>
      <c r="I23" s="13">
        <v>42663.235358796293</v>
      </c>
      <c r="J23" s="7">
        <v>0</v>
      </c>
      <c r="K23" s="112" t="str">
        <f t="shared" si="0"/>
        <v>4043/4044</v>
      </c>
      <c r="L23" s="22" t="str">
        <f>VLOOKUP(A23,'Trips&amp;Operators'!$C$1:$E$10000,3,FALSE)</f>
        <v>STARKS</v>
      </c>
      <c r="M23" s="6">
        <f t="shared" si="1"/>
        <v>2.6562499995634425E-2</v>
      </c>
      <c r="N23" s="7">
        <f t="shared" si="2"/>
        <v>38.249999993713573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7.3899999999999993E-2</v>
      </c>
      <c r="Z23" s="67">
        <f t="shared" si="9"/>
        <v>23.329499999999999</v>
      </c>
      <c r="AA23" s="67">
        <f t="shared" si="10"/>
        <v>23.255600000000001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0111-20</v>
      </c>
      <c r="AE23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23" s="88" t="str">
        <f t="shared" si="13"/>
        <v>"C:\Program Files (x86)\AstroGrep\AstroGrep.exe" /spath="%USERPROFILE%\AppData\Local\Temp\OnboardLogs" /stypes="app*4044*20161020*"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4044 --swversion DE.1.0.7.0 --startMP 204:739 --initTime 2016-10-20T04:54:13 --startdatetime 2016-10-20T05:00:40 --delay 2 --endMP 204:233295 --enddatetime 2016-10-20T05:38:55 --enforcementcount 0 &gt;&gt;C:\Users\stu\Documents\GitHub\eaglep3-reporting\EC\2016-10-20-refined-times.txt</v>
      </c>
      <c r="AI2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ID","value":"111-20"},{"id":16,"name":"Locomotive ID","value":"4044"},{"id":130,"name":"Impact","value":""},{"id":150,"name":"Time of Event (Mountain Time)","value":"05:38:55"},{"id":151,"name":"Denver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393</v>
      </c>
      <c r="B24" s="7">
        <v>4043</v>
      </c>
      <c r="C24" s="22" t="s">
        <v>99</v>
      </c>
      <c r="D24" s="22" t="s">
        <v>373</v>
      </c>
      <c r="E24" s="13">
        <v>42663.245636574073</v>
      </c>
      <c r="F24" s="13">
        <v>42663.247430555559</v>
      </c>
      <c r="G24" s="7">
        <v>1</v>
      </c>
      <c r="H24" s="13" t="s">
        <v>228</v>
      </c>
      <c r="I24" s="13">
        <v>42663.276666666665</v>
      </c>
      <c r="J24" s="7">
        <v>0</v>
      </c>
      <c r="K24" s="112" t="str">
        <f t="shared" si="0"/>
        <v>4043/4044</v>
      </c>
      <c r="L24" s="22" t="str">
        <f>VLOOKUP(A24,'Trips&amp;Operators'!$C$1:$E$10000,3,FALSE)</f>
        <v>STARKS</v>
      </c>
      <c r="M24" s="6">
        <f t="shared" si="1"/>
        <v>2.9236111106001772E-2</v>
      </c>
      <c r="N24" s="7">
        <f t="shared" si="2"/>
        <v>42.099999992642552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23.2989</v>
      </c>
      <c r="Z24" s="67">
        <f t="shared" si="9"/>
        <v>1.43E-2</v>
      </c>
      <c r="AA24" s="67">
        <f t="shared" si="10"/>
        <v>23.284600000000001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11"/>
        <v>0112-20</v>
      </c>
      <c r="AE24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24" s="88" t="str">
        <f t="shared" si="13"/>
        <v>"C:\Program Files (x86)\AstroGrep\AstroGrep.exe" /spath="%USERPROFILE%\AppData\Local\Temp\OnboardLogs" /stypes="app*4043*20161020*"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4043 --swversion DE.1.0.7.0 --startMP 204:232989 --initTime 2016-10-20T05:53:43 --startdatetime 2016-10-20T05:56:18 --delay 1 --endMP 204:143 --enddatetime 2016-10-20T06:38:24 --enforcementcount 0 &gt;&gt;C:\Users\stu\Documents\GitHub\eaglep3-reporting\EC\2016-10-20-refined-times.txt</v>
      </c>
      <c r="AI2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ID","value":"112-20"},{"id":16,"name":"Locomotive ID","value":"4043"},{"id":130,"name":"Impact","value":""},{"id":150,"name":"Time of Event (Mountain Time)","value":"06:38:24"},{"id":151,"name":"Denver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4029</v>
      </c>
      <c r="C25" s="22" t="s">
        <v>99</v>
      </c>
      <c r="D25" s="22" t="s">
        <v>247</v>
      </c>
      <c r="E25" s="13">
        <v>42663.215578703705</v>
      </c>
      <c r="F25" s="13">
        <v>42663.218993055554</v>
      </c>
      <c r="G25" s="7">
        <v>1</v>
      </c>
      <c r="H25" s="13" t="s">
        <v>627</v>
      </c>
      <c r="I25" s="13">
        <v>42663.244780092595</v>
      </c>
      <c r="J25" s="7">
        <v>0</v>
      </c>
      <c r="K25" s="112" t="str">
        <f t="shared" si="0"/>
        <v>4029/4030</v>
      </c>
      <c r="L25" s="22" t="str">
        <f>VLOOKUP(A25,'Trips&amp;Operators'!$C$1:$E$10000,3,FALSE)</f>
        <v>MAELZER</v>
      </c>
      <c r="M25" s="6">
        <f t="shared" si="1"/>
        <v>2.5787037040572613E-2</v>
      </c>
      <c r="N25" s="7">
        <f t="shared" si="2"/>
        <v>37.133333338424563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04:10:26-0600',mode:absolute,to:'2016-10-20 06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4.5100000000000001E-2</v>
      </c>
      <c r="Z25" s="67">
        <f t="shared" si="9"/>
        <v>23.331600000000002</v>
      </c>
      <c r="AA25" s="67">
        <f t="shared" si="10"/>
        <v>23.2865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0113-20</v>
      </c>
      <c r="AE25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25" s="88" t="str">
        <f t="shared" si="13"/>
        <v>"C:\Program Files (x86)\AstroGrep\AstroGrep.exe" /spath="%USERPROFILE%\AppData\Local\Temp\OnboardLogs" /stypes="app*4029*20161020*"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4029 --swversion DE.1.0.7.0 --startMP 204:451 --initTime 2016-10-20T05:10:26 --startdatetime 2016-10-20T05:15:21 --delay 1 --endMP 204:233316 --enddatetime 2016-10-20T05:52:29 --enforcementcount 0 &gt;&gt;C:\Users\stu\Documents\GitHub\eaglep3-reporting\EC\2016-10-20-refined-times.txt</v>
      </c>
      <c r="AI2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ID","value":"113-20"},{"id":16,"name":"Locomotive ID","value":"4029"},{"id":130,"name":"Impact","value":""},{"id":150,"name":"Time of Event (Mountain Time)","value":"05:52:29"},{"id":151,"name":"Denver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4030</v>
      </c>
      <c r="C26" s="22" t="s">
        <v>99</v>
      </c>
      <c r="D26" s="22" t="s">
        <v>628</v>
      </c>
      <c r="E26" s="13">
        <v>42663.253761574073</v>
      </c>
      <c r="F26" s="13">
        <v>42663.2580787037</v>
      </c>
      <c r="G26" s="7">
        <v>1</v>
      </c>
      <c r="H26" s="13" t="s">
        <v>229</v>
      </c>
      <c r="I26" s="13">
        <v>42663.286643518521</v>
      </c>
      <c r="J26" s="7">
        <v>0</v>
      </c>
      <c r="K26" s="112" t="str">
        <f t="shared" si="0"/>
        <v>4029/4030</v>
      </c>
      <c r="L26" s="22" t="str">
        <f>VLOOKUP(A26,'Trips&amp;Operators'!$C$1:$E$10000,3,FALSE)</f>
        <v>MAELZER</v>
      </c>
      <c r="M26" s="6">
        <f t="shared" si="1"/>
        <v>2.8564814820128959E-2</v>
      </c>
      <c r="N26" s="7">
        <f t="shared" si="2"/>
        <v>41.1333333409857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05:05:25-0600',mode:absolute,to:'2016-10-20 07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23.299199999999999</v>
      </c>
      <c r="Z26" s="67">
        <f t="shared" si="9"/>
        <v>1.4999999999999999E-2</v>
      </c>
      <c r="AA26" s="67">
        <f t="shared" si="10"/>
        <v>23.284199999999998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0114-20</v>
      </c>
      <c r="AE26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6" s="88" t="str">
        <f t="shared" si="13"/>
        <v>"C:\Program Files (x86)\AstroGrep\AstroGrep.exe" /spath="%USERPROFILE%\AppData\Local\Temp\OnboardLogs" /stypes="app*4030*20161020*"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4030 --swversion DE.1.0.7.0 --startMP 204:232992 --initTime 2016-10-20T06:05:25 --startdatetime 2016-10-20T06:11:38 --delay 1 --endMP 204:150 --enddatetime 2016-10-20T06:52:46 --enforcementcount 0 &gt;&gt;C:\Users\stu\Documents\GitHub\eaglep3-reporting\EC\2016-10-20-refined-times.txt</v>
      </c>
      <c r="AI2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ID","value":"114-20"},{"id":16,"name":"Locomotive ID","value":"4030"},{"id":130,"name":"Impact","value":""},{"id":150,"name":"Time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99</v>
      </c>
      <c r="D27" s="22" t="s">
        <v>301</v>
      </c>
      <c r="E27" s="13">
        <v>42663.222233796296</v>
      </c>
      <c r="F27" s="13">
        <v>42663.229351851849</v>
      </c>
      <c r="G27" s="7">
        <v>1</v>
      </c>
      <c r="H27" s="13" t="s">
        <v>377</v>
      </c>
      <c r="I27" s="13">
        <v>42663.256273148145</v>
      </c>
      <c r="J27" s="7">
        <v>0</v>
      </c>
      <c r="K27" s="112" t="str">
        <f t="shared" si="0"/>
        <v>4017/4018</v>
      </c>
      <c r="L27" s="22" t="str">
        <f>VLOOKUP(A27,'Trips&amp;Operators'!$C$1:$E$10000,3,FALSE)</f>
        <v>BRANNON</v>
      </c>
      <c r="M27" s="6">
        <f t="shared" si="1"/>
        <v>2.6921296295768116E-2</v>
      </c>
      <c r="N27" s="7">
        <f t="shared" si="2"/>
        <v>38.766666665906087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04:20:01-0600',mode:absolute,to:'2016-10-20 07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4.4900000000000002E-2</v>
      </c>
      <c r="Z27" s="67">
        <f t="shared" si="9"/>
        <v>23.331</v>
      </c>
      <c r="AA27" s="67">
        <f t="shared" si="10"/>
        <v>23.286100000000001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0115-20</v>
      </c>
      <c r="AE27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7" s="88" t="str">
        <f t="shared" si="13"/>
        <v>"C:\Program Files (x86)\AstroGrep\AstroGrep.exe" /spath="%USERPROFILE%\AppData\Local\Temp\OnboardLogs" /stypes="app*4018*20161020*"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4018 --swversion DE.1.0.7.0 --startMP 204:449 --initTime 2016-10-20T05:20:01 --startdatetime 2016-10-20T05:30:16 --delay 1 --endMP 204:233310 --enddatetime 2016-10-20T06:09:02 --enforcementcount 0 &gt;&gt;C:\Users\stu\Documents\GitHub\eaglep3-reporting\EC\2016-10-20-refined-times.txt</v>
      </c>
      <c r="AI2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ID","value":"115-20"},{"id":16,"name":"Locomotive ID","value":"4018"},{"id":130,"name":"Impact","value":""},{"id":150,"name":"Time of Event (Mountain Time)","value":"06:09:02"},{"id":151,"name":"Denver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464</v>
      </c>
      <c r="B28" s="7">
        <v>4017</v>
      </c>
      <c r="C28" s="22" t="s">
        <v>99</v>
      </c>
      <c r="D28" s="22" t="s">
        <v>269</v>
      </c>
      <c r="E28" s="13">
        <v>42663.258009259262</v>
      </c>
      <c r="F28" s="13">
        <v>42663.268263888887</v>
      </c>
      <c r="G28" s="7">
        <v>1</v>
      </c>
      <c r="H28" s="13" t="s">
        <v>629</v>
      </c>
      <c r="I28" s="13">
        <v>42663.295057870368</v>
      </c>
      <c r="J28" s="7">
        <v>0</v>
      </c>
      <c r="K28" s="112" t="str">
        <f t="shared" si="0"/>
        <v>4017/4018</v>
      </c>
      <c r="L28" s="22" t="str">
        <f>VLOOKUP(A28,'Trips&amp;Operators'!$C$1:$E$10000,3,FALSE)</f>
        <v>BRANNON</v>
      </c>
      <c r="M28" s="6">
        <f t="shared" si="1"/>
        <v>2.679398148029577E-2</v>
      </c>
      <c r="N28" s="7">
        <f t="shared" si="2"/>
        <v>38.583333331625909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05:11:32-0600',mode:absolute,to:'2016-10-20 08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23.299099999999999</v>
      </c>
      <c r="Z28" s="67">
        <f t="shared" si="9"/>
        <v>1.6500000000000001E-2</v>
      </c>
      <c r="AA28" s="67">
        <f t="shared" si="10"/>
        <v>23.282599999999999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0116-20</v>
      </c>
      <c r="AE28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28" s="88" t="str">
        <f t="shared" si="13"/>
        <v>"C:\Program Files (x86)\AstroGrep\AstroGrep.exe" /spath="%USERPROFILE%\AppData\Local\Temp\OnboardLogs" /stypes="app*4017*20161020*"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4017 --swversion DE.1.0.7.0 --startMP 204:232991 --initTime 2016-10-20T06:11:32 --startdatetime 2016-10-20T06:26:18 --delay 1 --endMP 204:165 --enddatetime 2016-10-20T07:04:53 --enforcementcount 0 &gt;&gt;C:\Users\stu\Documents\GitHub\eaglep3-reporting\EC\2016-10-20-refined-times.txt</v>
      </c>
      <c r="AI2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{"issue":{"subject":"","project_id":79,"tracker_id":40,"status_id":1,"priority_id":2,"assigned_to_id":23,"start_date":"2016-10-20","description":"","custom_fields":[{"id":1,"name":"Subdivision","value":"EC"},{"id":4,"name":"Milepost","value":"0.0165"},{"id":17,"name":"Train ID","value":"116-20"},{"id":16,"name":"Locomotive ID","value":"4017"},{"id":130,"name":"Impact","value":""},{"id":150,"name":"Time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457</v>
      </c>
      <c r="B29" s="7">
        <v>4038</v>
      </c>
      <c r="C29" s="22" t="s">
        <v>99</v>
      </c>
      <c r="D29" s="22" t="s">
        <v>630</v>
      </c>
      <c r="E29" s="13">
        <v>42663.239594907405</v>
      </c>
      <c r="F29" s="13">
        <v>42663.241840277777</v>
      </c>
      <c r="G29" s="7">
        <v>2</v>
      </c>
      <c r="H29" s="13" t="s">
        <v>631</v>
      </c>
      <c r="I29" s="13">
        <v>42663.267175925925</v>
      </c>
      <c r="J29" s="7">
        <v>0</v>
      </c>
      <c r="K29" s="112" t="str">
        <f t="shared" si="0"/>
        <v>4037/4038</v>
      </c>
      <c r="L29" s="22" t="str">
        <f>VLOOKUP(A29,'Trips&amp;Operators'!$C$1:$E$10000,3,FALSE)</f>
        <v>SPECTOR</v>
      </c>
      <c r="M29" s="6">
        <f t="shared" si="1"/>
        <v>2.5335648148029577E-2</v>
      </c>
      <c r="N29" s="7">
        <f t="shared" si="2"/>
        <v>36.483333333162591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04:45:01-0600',mode:absolute,to:'2016-10-20 07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4.3099999999999999E-2</v>
      </c>
      <c r="Z29" s="67">
        <f t="shared" si="9"/>
        <v>23.3309</v>
      </c>
      <c r="AA29" s="67">
        <f t="shared" si="10"/>
        <v>23.287800000000001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0117-20</v>
      </c>
      <c r="AE29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29" s="88" t="str">
        <f t="shared" si="13"/>
        <v>"C:\Program Files (x86)\AstroGrep\AstroGrep.exe" /spath="%USERPROFILE%\AppData\Local\Temp\OnboardLogs" /stypes="app*4038*20161020*"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4038 --swversion DE.1.0.7.0 --startMP 204:431 --initTime 2016-10-20T05:45:01 --startdatetime 2016-10-20T05:48:15 --delay 2 --endMP 204:233309 --enddatetime 2016-10-20T06:24:44 --enforcementcount 0 &gt;&gt;C:\Users\stu\Documents\GitHub\eaglep3-reporting\EC\2016-10-20-refined-times.txt</v>
      </c>
      <c r="AI2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ID","value":"117-20"},{"id":16,"name":"Locomotive ID","value":"4038"},{"id":130,"name":"Impact","value":""},{"id":150,"name":"Time of Event (Mountain Time)","value":"06:24:44"},{"id":151,"name":"Denver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4037</v>
      </c>
      <c r="C30" s="22" t="s">
        <v>99</v>
      </c>
      <c r="D30" s="22" t="s">
        <v>237</v>
      </c>
      <c r="E30" s="13">
        <v>42663.273784722223</v>
      </c>
      <c r="F30" s="13">
        <v>42663.278645833336</v>
      </c>
      <c r="G30" s="7">
        <v>6</v>
      </c>
      <c r="H30" s="13" t="s">
        <v>176</v>
      </c>
      <c r="I30" s="13">
        <v>42663.307303240741</v>
      </c>
      <c r="J30" s="7">
        <v>0</v>
      </c>
      <c r="K30" s="112" t="str">
        <f t="shared" si="0"/>
        <v>4037/4038</v>
      </c>
      <c r="L30" s="22" t="str">
        <f>VLOOKUP(A30,'Trips&amp;Operators'!$C$1:$E$10000,3,FALSE)</f>
        <v>SPECTOR</v>
      </c>
      <c r="M30" s="6">
        <f t="shared" si="1"/>
        <v>2.8657407405262347E-2</v>
      </c>
      <c r="N30" s="7">
        <f t="shared" si="2"/>
        <v>41.26666666357778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05:34:15-0600',mode:absolute,to:'2016-10-20 08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23.297799999999999</v>
      </c>
      <c r="Z30" s="67">
        <f t="shared" si="9"/>
        <v>1.47E-2</v>
      </c>
      <c r="AA30" s="67">
        <f t="shared" si="10"/>
        <v>23.283099999999997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0118-20</v>
      </c>
      <c r="AE30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30" s="88" t="str">
        <f t="shared" si="13"/>
        <v>"C:\Program Files (x86)\AstroGrep\AstroGrep.exe" /spath="%USERPROFILE%\AppData\Local\Temp\OnboardLogs" /stypes="app*4037*20161020*"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4037 --swversion DE.1.0.7.0 --startMP 204:232978 --initTime 2016-10-20T06:34:15 --startdatetime 2016-10-20T06:41:15 --delay 6 --endMP 204:147 --enddatetime 2016-10-20T07:22:31 --enforcementcount 0 &gt;&gt;C:\Users\stu\Documents\GitHub\eaglep3-reporting\EC\2016-10-20-refined-times.txt</v>
      </c>
      <c r="AI3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ID","value":"118-20"},{"id":16,"name":"Locomotive ID","value":"4037"},{"id":130,"name":"Impact","value":""},{"id":150,"name":"Time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460</v>
      </c>
      <c r="B31" s="7">
        <v>4006</v>
      </c>
      <c r="C31" s="22" t="s">
        <v>99</v>
      </c>
      <c r="D31" s="22" t="s">
        <v>632</v>
      </c>
      <c r="E31" s="13">
        <v>42663.247835648152</v>
      </c>
      <c r="F31" s="13">
        <v>42663.2502662037</v>
      </c>
      <c r="G31" s="7">
        <v>1</v>
      </c>
      <c r="H31" s="13" t="s">
        <v>239</v>
      </c>
      <c r="I31" s="13">
        <v>42663.274837962963</v>
      </c>
      <c r="J31" s="7">
        <v>0</v>
      </c>
      <c r="K31" s="112" t="str">
        <f t="shared" si="0"/>
        <v>4005/4006</v>
      </c>
      <c r="L31" s="22" t="str">
        <f>VLOOKUP(A31,'Trips&amp;Operators'!$C$1:$E$10000,3,FALSE)</f>
        <v>SANTIZO</v>
      </c>
      <c r="M31" s="6">
        <f t="shared" si="1"/>
        <v>2.457175926247146E-2</v>
      </c>
      <c r="N31" s="7">
        <f t="shared" si="2"/>
        <v>35.383333337958902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04:56:53-0600',mode:absolute,to:'2016-10-20 07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7.6999999999999999E-2</v>
      </c>
      <c r="Z31" s="67">
        <f t="shared" si="9"/>
        <v>23.329499999999999</v>
      </c>
      <c r="AA31" s="67">
        <f t="shared" si="10"/>
        <v>23.252499999999998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0119-20</v>
      </c>
      <c r="AE31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31" s="88" t="str">
        <f t="shared" si="13"/>
        <v>"C:\Program Files (x86)\AstroGrep\AstroGrep.exe" /spath="%USERPROFILE%\AppData\Local\Temp\OnboardLogs" /stypes="app*4006*20161020*"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4006 --swversion DE.1.0.7.0 --startMP 204:770 --initTime 2016-10-20T05:56:53 --startdatetime 2016-10-20T06:00:23 --delay 1 --endMP 204:233295 --enddatetime 2016-10-20T06:35:46 --enforcementcount 0 &gt;&gt;C:\Users\stu\Documents\GitHub\eaglep3-reporting\EC\2016-10-20-refined-times.txt</v>
      </c>
      <c r="AI3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ID","value":"119-20"},{"id":16,"name":"Locomotive ID","value":"4006"},{"id":130,"name":"Impact","value":""},{"id":150,"name":"Time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468</v>
      </c>
      <c r="B32" s="7">
        <v>4005</v>
      </c>
      <c r="C32" s="22" t="s">
        <v>99</v>
      </c>
      <c r="D32" s="22" t="s">
        <v>369</v>
      </c>
      <c r="E32" s="13">
        <v>42663.276087962964</v>
      </c>
      <c r="F32" s="13">
        <v>42663.289155092592</v>
      </c>
      <c r="G32" s="7">
        <v>1</v>
      </c>
      <c r="H32" s="13" t="s">
        <v>177</v>
      </c>
      <c r="I32" s="13">
        <v>42663.317349537036</v>
      </c>
      <c r="J32" s="7">
        <v>0</v>
      </c>
      <c r="K32" s="112" t="str">
        <f t="shared" si="0"/>
        <v>4005/4006</v>
      </c>
      <c r="L32" s="22" t="str">
        <f>VLOOKUP(A32,'Trips&amp;Operators'!$C$1:$E$10000,3,FALSE)</f>
        <v>SANTIZO</v>
      </c>
      <c r="M32" s="6">
        <f t="shared" si="1"/>
        <v>2.8194444443215616E-2</v>
      </c>
      <c r="N32" s="7">
        <f t="shared" si="2"/>
        <v>40.599999998230487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05:37:34-0600',mode:absolute,to:'2016-10-20 08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23.299600000000002</v>
      </c>
      <c r="Z32" s="67">
        <f t="shared" si="9"/>
        <v>1.52E-2</v>
      </c>
      <c r="AA32" s="67">
        <f t="shared" si="10"/>
        <v>23.284400000000002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0120-20</v>
      </c>
      <c r="AE32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32" s="88" t="str">
        <f t="shared" si="13"/>
        <v>"C:\Program Files (x86)\AstroGrep\AstroGrep.exe" /spath="%USERPROFILE%\AppData\Local\Temp\OnboardLogs" /stypes="app*4005*20161020*"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4005 --swversion DE.1.0.7.0 --startMP 204:232996 --initTime 2016-10-20T06:37:34 --startdatetime 2016-10-20T06:56:23 --delay 1 --endMP 204:152 --enddatetime 2016-10-20T07:36:59 --enforcementcount 0 &gt;&gt;C:\Users\stu\Documents\GitHub\eaglep3-reporting\EC\2016-10-20-refined-times.txt</v>
      </c>
      <c r="AI3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ID","value":"120-20"},{"id":16,"name":"Locomotive ID","value":"4005"},{"id":130,"name":"Impact","value":""},{"id":150,"name":"Time of Event (Mountain Time)","value":"07:36:59"},{"id":151,"name":"Denver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397</v>
      </c>
      <c r="B33" s="7">
        <v>4011</v>
      </c>
      <c r="C33" s="22" t="s">
        <v>99</v>
      </c>
      <c r="D33" s="22" t="s">
        <v>633</v>
      </c>
      <c r="E33" s="13">
        <v>42663.258229166669</v>
      </c>
      <c r="F33" s="13">
        <v>42663.260763888888</v>
      </c>
      <c r="G33" s="7">
        <v>1</v>
      </c>
      <c r="H33" s="13" t="s">
        <v>631</v>
      </c>
      <c r="I33" s="13">
        <v>42663.287997685184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STRICKLAND</v>
      </c>
      <c r="M33" s="6">
        <f t="shared" si="1"/>
        <v>2.7233796296059154E-2</v>
      </c>
      <c r="N33" s="7">
        <f t="shared" si="2"/>
        <v>39.216666666325182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4.6699999999999998E-2</v>
      </c>
      <c r="Z33" s="67">
        <f t="shared" si="9"/>
        <v>23.3309</v>
      </c>
      <c r="AA33" s="67">
        <f t="shared" si="10"/>
        <v>23.284199999999998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0121-20</v>
      </c>
      <c r="AE33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33" s="88" t="str">
        <f t="shared" si="13"/>
        <v>"C:\Program Files (x86)\AstroGrep\AstroGrep.exe" /spath="%USERPROFILE%\AppData\Local\Temp\OnboardLogs" /stypes="app*4011*20161020*"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4011 --swversion DE.1.0.7.0 --startMP 204:467 --initTime 2016-10-20T06:11:51 --startdatetime 2016-10-20T06:15:30 --delay 1 --endMP 204:233309 --enddatetime 2016-10-20T06:54:43 --enforcementcount 0 &gt;&gt;C:\Users\stu\Documents\GitHub\eaglep3-reporting\EC\2016-10-20-refined-times.txt</v>
      </c>
      <c r="AI3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ID","value":"121-20"},{"id":16,"name":"Locomotive ID","value":"4011"},{"id":130,"name":"Impact","value":""},{"id":150,"name":"Time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470</v>
      </c>
      <c r="B34" s="7">
        <v>4012</v>
      </c>
      <c r="C34" s="22" t="s">
        <v>99</v>
      </c>
      <c r="D34" s="22" t="s">
        <v>267</v>
      </c>
      <c r="E34" s="13">
        <v>42663.295624999999</v>
      </c>
      <c r="F34" s="13">
        <v>42663.299571759257</v>
      </c>
      <c r="G34" s="7">
        <v>1</v>
      </c>
      <c r="H34" s="13" t="s">
        <v>634</v>
      </c>
      <c r="I34" s="13">
        <v>42663.328090277777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STRICKLAND</v>
      </c>
      <c r="M34" s="6">
        <f t="shared" si="1"/>
        <v>2.8518518520286307E-2</v>
      </c>
      <c r="N34" s="7">
        <f t="shared" si="2"/>
        <v>41.066666669212282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06:05:42-0600',mode:absolute,to:'2016-10-20 08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23.299399999999999</v>
      </c>
      <c r="Z34" s="67">
        <f t="shared" si="9"/>
        <v>1.6299999999999999E-2</v>
      </c>
      <c r="AA34" s="67">
        <f t="shared" si="10"/>
        <v>23.283099999999997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0122-20</v>
      </c>
      <c r="AE34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34" s="88" t="str">
        <f t="shared" si="13"/>
        <v>"C:\Program Files (x86)\AstroGrep\AstroGrep.exe" /spath="%USERPROFILE%\AppData\Local\Temp\OnboardLogs" /stypes="app*4012*20161020*"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4012 --swversion DE.1.0.7.0 --startMP 204:232994 --initTime 2016-10-20T07:05:42 --startdatetime 2016-10-20T07:11:23 --delay 1 --endMP 204:163 --enddatetime 2016-10-20T07:52:27 --enforcementcount 0 &gt;&gt;C:\Users\stu\Documents\GitHub\eaglep3-reporting\EC\2016-10-20-refined-times.txt</v>
      </c>
      <c r="AI3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ID","value":"122-20"},{"id":16,"name":"Locomotive ID","value":"4012"},{"id":130,"name":"Impact","value":""},{"id":150,"name":"Time of Event (Mountain Time)","value":"07:52:27"},{"id":151,"name":"Denver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394</v>
      </c>
      <c r="B35" s="7">
        <v>4042</v>
      </c>
      <c r="C35" s="22" t="s">
        <v>99</v>
      </c>
      <c r="D35" s="22" t="s">
        <v>635</v>
      </c>
      <c r="E35" s="13">
        <v>42663.266157407408</v>
      </c>
      <c r="F35" s="13">
        <v>42663.271122685182</v>
      </c>
      <c r="G35" s="7">
        <v>6</v>
      </c>
      <c r="H35" s="13" t="s">
        <v>287</v>
      </c>
      <c r="I35" s="13">
        <v>42663.299039351848</v>
      </c>
      <c r="J35" s="7">
        <v>0</v>
      </c>
      <c r="K35" s="112" t="str">
        <f t="shared" si="0"/>
        <v>4041/4042</v>
      </c>
      <c r="L35" s="22" t="str">
        <f>VLOOKUP(A35,'Trips&amp;Operators'!$C$1:$E$10000,3,FALSE)</f>
        <v>ROCHA</v>
      </c>
      <c r="M35" s="6">
        <f t="shared" si="1"/>
        <v>2.7916666665987577E-2</v>
      </c>
      <c r="N35" s="7">
        <f t="shared" si="2"/>
        <v>40.199999999022111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4.8800000000000003E-2</v>
      </c>
      <c r="Z35" s="67">
        <f t="shared" si="9"/>
        <v>23.330400000000001</v>
      </c>
      <c r="AA35" s="67">
        <f t="shared" si="10"/>
        <v>23.281600000000001</v>
      </c>
      <c r="AB35" s="64" t="str">
        <f>VLOOKUP(A35,Enforcements!$C$7:$K$21,8,0)</f>
        <v>Bulletin (2)</v>
      </c>
      <c r="AC35" s="60" t="str">
        <f>VLOOKUP(A35,Enforcements!$C$7:$E$21,3,0)</f>
        <v>GRADE CROSSING</v>
      </c>
      <c r="AD35" s="61" t="str">
        <f t="shared" si="11"/>
        <v>0123-20</v>
      </c>
      <c r="AE35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35" s="88" t="str">
        <f t="shared" si="13"/>
        <v>"C:\Program Files (x86)\AstroGrep\AstroGrep.exe" /spath="%USERPROFILE%\AppData\Local\Temp\OnboardLogs" /stypes="app*4042*20161020*"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4042 --swversion DE.1.0.7.0 --startMP 204:488 --initTime 2016-10-20T06:23:16 --startdatetime 2016-10-20T06:30:25 --delay 6 --endMP 204:233304 --enddatetime 2016-10-20T07:10:37 --enforcementcount 0 &gt;&gt;C:\Users\stu\Documents\GitHub\eaglep3-reporting\EC\2016-10-20-refined-times.txt</v>
      </c>
      <c r="AI3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ID","value":"123-20"},{"id":16,"name":"Locomotive ID","value":"4042"},{"id":130,"name":"Impact","value":""},{"id":150,"name":"Time of Event (Mountain Time)","value":"07:10:37"},{"id":151,"name":"Denver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474</v>
      </c>
      <c r="B36" s="7">
        <v>4041</v>
      </c>
      <c r="C36" s="22" t="s">
        <v>99</v>
      </c>
      <c r="D36" s="22" t="s">
        <v>373</v>
      </c>
      <c r="E36" s="13">
        <v>42663.307858796295</v>
      </c>
      <c r="F36" s="13">
        <v>42663.310636574075</v>
      </c>
      <c r="G36" s="7">
        <v>2</v>
      </c>
      <c r="H36" s="13" t="s">
        <v>226</v>
      </c>
      <c r="I36" s="13">
        <v>42663.338206018518</v>
      </c>
      <c r="J36" s="7">
        <v>0</v>
      </c>
      <c r="K36" s="112" t="str">
        <f t="shared" si="0"/>
        <v>4041/4042</v>
      </c>
      <c r="L36" s="22" t="str">
        <f>VLOOKUP(A36,'Trips&amp;Operators'!$C$1:$E$10000,3,FALSE)</f>
        <v>ROCHA</v>
      </c>
      <c r="M36" s="6">
        <f t="shared" si="1"/>
        <v>2.7569444442633539E-2</v>
      </c>
      <c r="N36" s="7">
        <f t="shared" si="2"/>
        <v>39.699999997392297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06:23:19-0600',mode:absolute,to:'2016-10-20 09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23.2989</v>
      </c>
      <c r="Z36" s="67">
        <f t="shared" si="9"/>
        <v>1.49E-2</v>
      </c>
      <c r="AA36" s="67">
        <f t="shared" si="10"/>
        <v>23.283999999999999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0124-20</v>
      </c>
      <c r="AE36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36" s="88" t="str">
        <f t="shared" si="13"/>
        <v>"C:\Program Files (x86)\AstroGrep\AstroGrep.exe" /spath="%USERPROFILE%\AppData\Local\Temp\OnboardLogs" /stypes="app*4041*20161020*"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4041 --swversion DE.1.0.7.0 --startMP 204:232989 --initTime 2016-10-20T07:23:19 --startdatetime 2016-10-20T07:27:19 --delay 2 --endMP 204:149 --enddatetime 2016-10-20T08:07:01 --enforcementcount 0 &gt;&gt;C:\Users\stu\Documents\GitHub\eaglep3-reporting\EC\2016-10-20-refined-times.txt</v>
      </c>
      <c r="AI3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ID","value":"124-20"},{"id":16,"name":"Locomotive ID","value":"4041"},{"id":130,"name":"Impact","value":""},{"id":150,"name":"Time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396</v>
      </c>
      <c r="B37" s="7">
        <v>4044</v>
      </c>
      <c r="C37" s="22" t="s">
        <v>99</v>
      </c>
      <c r="D37" s="22" t="s">
        <v>230</v>
      </c>
      <c r="E37" s="13">
        <v>42663.277719907404</v>
      </c>
      <c r="F37" s="13">
        <v>42663.281446759262</v>
      </c>
      <c r="G37" s="7">
        <v>1</v>
      </c>
      <c r="H37" s="13" t="s">
        <v>636</v>
      </c>
      <c r="I37" s="13">
        <v>42663.307476851849</v>
      </c>
      <c r="J37" s="7">
        <v>0</v>
      </c>
      <c r="K37" s="112" t="str">
        <f t="shared" si="0"/>
        <v>4043/4044</v>
      </c>
      <c r="L37" s="22" t="str">
        <f>VLOOKUP(A37,'Trips&amp;Operators'!$C$1:$E$10000,3,FALSE)</f>
        <v>STARKS</v>
      </c>
      <c r="M37" s="6">
        <f t="shared" si="1"/>
        <v>2.6030092587461695E-2</v>
      </c>
      <c r="N37" s="7">
        <f t="shared" si="2"/>
        <v>37.483333325944841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4.4699999999999997E-2</v>
      </c>
      <c r="Z37" s="67">
        <f t="shared" si="9"/>
        <v>23.328399999999998</v>
      </c>
      <c r="AA37" s="67">
        <f t="shared" si="10"/>
        <v>23.2837</v>
      </c>
      <c r="AB37" s="64" t="str">
        <f>VLOOKUP(A37,Enforcements!$C$7:$K$21,8,0)</f>
        <v>Speed (6)</v>
      </c>
      <c r="AC37" s="60" t="str">
        <f>VLOOKUP(A37,Enforcements!$C$7:$E$21,3,0)</f>
        <v>PERMANENT SPEED RESTRICTION</v>
      </c>
      <c r="AD37" s="61" t="str">
        <f t="shared" si="11"/>
        <v>0125-20</v>
      </c>
      <c r="AE37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37" s="88" t="str">
        <f t="shared" si="13"/>
        <v>"C:\Program Files (x86)\AstroGrep\AstroGrep.exe" /spath="%USERPROFILE%\AppData\Local\Temp\OnboardLogs" /stypes="app*4044*20161020*"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4044 --swversion DE.1.0.7.0 --startMP 204:447 --initTime 2016-10-20T06:39:55 --startdatetime 2016-10-20T06:45:17 --delay 1 --endMP 204:233284 --enddatetime 2016-10-20T07:22:46 --enforcementcount 0 &gt;&gt;C:\Users\stu\Documents\GitHub\eaglep3-reporting\EC\2016-10-20-refined-times.txt</v>
      </c>
      <c r="AI3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ID","value":"125-20"},{"id":16,"name":"Locomotive ID","value":"4044"},{"id":130,"name":"Impact","value":""},{"id":150,"name":"Time of Event (Mountain Time)","value":"07:22:46"},{"id":151,"name":"Denver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476</v>
      </c>
      <c r="B38" s="7">
        <v>4043</v>
      </c>
      <c r="C38" s="22" t="s">
        <v>99</v>
      </c>
      <c r="D38" s="22" t="s">
        <v>347</v>
      </c>
      <c r="E38" s="13">
        <v>42663.31585648148</v>
      </c>
      <c r="F38" s="13">
        <v>42663.320324074077</v>
      </c>
      <c r="G38" s="7">
        <v>1</v>
      </c>
      <c r="H38" s="13" t="s">
        <v>228</v>
      </c>
      <c r="I38" s="13">
        <v>42663.348391203705</v>
      </c>
      <c r="J38" s="7">
        <v>0</v>
      </c>
      <c r="K38" s="112" t="str">
        <f t="shared" si="0"/>
        <v>4043/4044</v>
      </c>
      <c r="L38" s="22" t="str">
        <f>VLOOKUP(A38,'Trips&amp;Operators'!$C$1:$E$10000,3,FALSE)</f>
        <v>STARKS</v>
      </c>
      <c r="M38" s="6">
        <f t="shared" si="1"/>
        <v>2.806712962774327E-2</v>
      </c>
      <c r="N38" s="7">
        <f t="shared" si="2"/>
        <v>40.416666663950309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06:34:50-0600',mode:absolute,to:'2016-10-20 09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23.298400000000001</v>
      </c>
      <c r="Z38" s="67">
        <f t="shared" si="9"/>
        <v>1.43E-2</v>
      </c>
      <c r="AA38" s="67">
        <f t="shared" si="10"/>
        <v>23.284100000000002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0126-20</v>
      </c>
      <c r="AE38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38" s="88" t="str">
        <f t="shared" si="13"/>
        <v>"C:\Program Files (x86)\AstroGrep\AstroGrep.exe" /spath="%USERPROFILE%\AppData\Local\Temp\OnboardLogs" /stypes="app*4043*20161020*"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4043 --swversion DE.1.0.7.0 --startMP 204:232984 --initTime 2016-10-20T07:34:50 --startdatetime 2016-10-20T07:41:16 --delay 1 --endMP 204:143 --enddatetime 2016-10-20T08:21:41 --enforcementcount 0 &gt;&gt;C:\Users\stu\Documents\GitHub\eaglep3-reporting\EC\2016-10-20-refined-times.txt</v>
      </c>
      <c r="AI3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ID","value":"126-20"},{"id":16,"name":"Locomotive ID","value":"4043"},{"id":130,"name":"Impact","value":""},{"id":150,"name":"Time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469</v>
      </c>
      <c r="B39" s="7">
        <v>4029</v>
      </c>
      <c r="C39" s="22" t="s">
        <v>99</v>
      </c>
      <c r="D39" s="22" t="s">
        <v>231</v>
      </c>
      <c r="E39" s="13">
        <v>42663.288263888891</v>
      </c>
      <c r="F39" s="13">
        <v>42663.293194444443</v>
      </c>
      <c r="G39" s="7">
        <v>1</v>
      </c>
      <c r="H39" s="13" t="s">
        <v>308</v>
      </c>
      <c r="I39" s="13">
        <v>42663.318912037037</v>
      </c>
      <c r="J39" s="7">
        <v>0</v>
      </c>
      <c r="K39" s="112" t="str">
        <f t="shared" si="0"/>
        <v>4029/4030</v>
      </c>
      <c r="L39" s="22" t="str">
        <f>VLOOKUP(A39,'Trips&amp;Operators'!$C$1:$E$10000,3,FALSE)</f>
        <v>MAELZER</v>
      </c>
      <c r="M39" s="6">
        <f t="shared" si="1"/>
        <v>2.5717592594446614E-2</v>
      </c>
      <c r="N39" s="7">
        <f t="shared" si="2"/>
        <v>37.033333336003125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05:55:06-0600',mode:absolute,to:'2016-10-20 08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4.53E-2</v>
      </c>
      <c r="Z39" s="67">
        <f t="shared" si="9"/>
        <v>23.333400000000001</v>
      </c>
      <c r="AA39" s="67">
        <f t="shared" si="10"/>
        <v>23.2881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0127-20</v>
      </c>
      <c r="AE39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39" s="88" t="str">
        <f t="shared" si="13"/>
        <v>"C:\Program Files (x86)\AstroGrep\AstroGrep.exe" /spath="%USERPROFILE%\AppData\Local\Temp\OnboardLogs" /stypes="app*4029*20161020*"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4029 --swversion DE.1.0.7.0 --startMP 204:453 --initTime 2016-10-20T06:55:06 --startdatetime 2016-10-20T07:02:12 --delay 1 --endMP 204:233334 --enddatetime 2016-10-20T07:39:14 --enforcementcount 0 &gt;&gt;C:\Users\stu\Documents\GitHub\eaglep3-reporting\EC\2016-10-20-refined-times.txt</v>
      </c>
      <c r="AI3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{"issue":{"subject":"","project_id":79,"tracker_id":40,"status_id":1,"priority_id":2,"assigned_to_id":23,"start_date":"2016-10-20","description":"","custom_fields":[{"id":1,"name":"Subdivision","value":"EC"},{"id":4,"name":"Milepost","value":"23.3334"},{"id":17,"name":"Train ID","value":"127-20"},{"id":16,"name":"Locomotive ID","value":"4029"},{"id":130,"name":"Impact","value":""},{"id":150,"name":"Time of Event (Mountain Time)","value":"07:39:14"},{"id":151,"name":"Denver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479</v>
      </c>
      <c r="B40" s="7">
        <v>4030</v>
      </c>
      <c r="C40" s="22" t="s">
        <v>99</v>
      </c>
      <c r="D40" s="22" t="s">
        <v>637</v>
      </c>
      <c r="E40" s="13">
        <v>42663.323923611111</v>
      </c>
      <c r="F40" s="13">
        <v>42663.331678240742</v>
      </c>
      <c r="G40" s="7">
        <v>0</v>
      </c>
      <c r="H40" s="13" t="s">
        <v>226</v>
      </c>
      <c r="I40" s="13">
        <v>42663.357407407406</v>
      </c>
      <c r="J40" s="7">
        <v>0</v>
      </c>
      <c r="K40" s="112" t="str">
        <f t="shared" si="0"/>
        <v>4029/4030</v>
      </c>
      <c r="L40" s="22" t="str">
        <f>VLOOKUP(A40,'Trips&amp;Operators'!$C$1:$E$10000,3,FALSE)</f>
        <v>MAELZER</v>
      </c>
      <c r="M40" s="6">
        <f t="shared" si="1"/>
        <v>2.5729166663950309E-2</v>
      </c>
      <c r="N40" s="7">
        <f t="shared" si="2"/>
        <v>37.049999996088445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06:46:27-0600',mode:absolute,to:'2016-10-20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23.300999999999998</v>
      </c>
      <c r="Z40" s="67">
        <f t="shared" si="9"/>
        <v>1.49E-2</v>
      </c>
      <c r="AA40" s="67">
        <f t="shared" si="10"/>
        <v>23.286099999999998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0128-20</v>
      </c>
      <c r="AE40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40" s="88" t="str">
        <f t="shared" si="13"/>
        <v>"C:\Program Files (x86)\AstroGrep\AstroGrep.exe" /spath="%USERPROFILE%\AppData\Local\Temp\OnboardLogs" /stypes="app*4030*20161020*"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4030 --swversion DE.1.0.7.0 --startMP 204:233010 --initTime 2016-10-20T07:46:27 --startdatetime 2016-10-20T07:57:37 --delay 0 --endMP 204:149 --enddatetime 2016-10-20T08:34:40 --enforcementcount 0 &gt;&gt;C:\Users\stu\Documents\GitHub\eaglep3-reporting\EC\2016-10-20-refined-times.txt</v>
      </c>
      <c r="AI4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ID","value":"128-20"},{"id":16,"name":"Locomotive ID","value":"4030"},{"id":130,"name":"Impact","value":""},{"id":150,"name":"Time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471</v>
      </c>
      <c r="B41" s="7">
        <v>4018</v>
      </c>
      <c r="C41" s="22" t="s">
        <v>99</v>
      </c>
      <c r="D41" s="22" t="s">
        <v>301</v>
      </c>
      <c r="E41" s="13">
        <v>42663.2966087963</v>
      </c>
      <c r="F41" s="13">
        <v>42663.30228009259</v>
      </c>
      <c r="G41" s="7">
        <v>1</v>
      </c>
      <c r="H41" s="13" t="s">
        <v>195</v>
      </c>
      <c r="I41" s="13">
        <v>42663.327361111114</v>
      </c>
      <c r="J41" s="7">
        <v>0</v>
      </c>
      <c r="K41" s="112" t="str">
        <f t="shared" si="0"/>
        <v>4017/4018</v>
      </c>
      <c r="L41" s="22" t="str">
        <f>VLOOKUP(A41,'Trips&amp;Operators'!$C$1:$E$10000,3,FALSE)</f>
        <v>BRANNON</v>
      </c>
      <c r="M41" s="6">
        <f t="shared" si="1"/>
        <v>2.5081018524360843E-2</v>
      </c>
      <c r="N41" s="7">
        <f t="shared" si="2"/>
        <v>36.116666675079614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06:07:07-0600',mode:absolute,to:'2016-10-20 08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4.4900000000000002E-2</v>
      </c>
      <c r="Z41" s="67">
        <f t="shared" si="9"/>
        <v>23.329699999999999</v>
      </c>
      <c r="AA41" s="67">
        <f t="shared" si="10"/>
        <v>23.284800000000001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0129-20</v>
      </c>
      <c r="AE41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41" s="88" t="str">
        <f t="shared" si="13"/>
        <v>"C:\Program Files (x86)\AstroGrep\AstroGrep.exe" /spath="%USERPROFILE%\AppData\Local\Temp\OnboardLogs" /stypes="app*4018*20161020*"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4018 --swversion DE.1.0.7.0 --startMP 204:449 --initTime 2016-10-20T07:07:07 --startdatetime 2016-10-20T07:15:17 --delay 1 --endMP 204:233297 --enddatetime 2016-10-20T07:51:24 --enforcementcount 0 &gt;&gt;C:\Users\stu\Documents\GitHub\eaglep3-reporting\EC\2016-10-20-refined-times.txt</v>
      </c>
      <c r="AI4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ID","value":"129-20"},{"id":16,"name":"Locomotive ID","value":"4018"},{"id":130,"name":"Impact","value":""},{"id":150,"name":"Time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399</v>
      </c>
      <c r="B42" s="7">
        <v>4017</v>
      </c>
      <c r="C42" s="22" t="s">
        <v>99</v>
      </c>
      <c r="D42" s="22" t="s">
        <v>638</v>
      </c>
      <c r="E42" s="13">
        <v>42663.337569444448</v>
      </c>
      <c r="F42" s="13">
        <v>42663.341168981482</v>
      </c>
      <c r="G42" s="7">
        <v>1</v>
      </c>
      <c r="H42" s="13" t="s">
        <v>639</v>
      </c>
      <c r="I42" s="13">
        <v>42663.367858796293</v>
      </c>
      <c r="J42" s="7">
        <v>0</v>
      </c>
      <c r="K42" s="112" t="str">
        <f t="shared" si="0"/>
        <v>4017/4018</v>
      </c>
      <c r="L42" s="22" t="str">
        <f>VLOOKUP(A42,'Trips&amp;Operators'!$C$1:$E$10000,3,FALSE)</f>
        <v>BRANNON</v>
      </c>
      <c r="M42" s="6">
        <f t="shared" si="1"/>
        <v>2.6689814811106771E-2</v>
      </c>
      <c r="N42" s="7">
        <f t="shared" si="2"/>
        <v>38.433333327993751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23.297999999999998</v>
      </c>
      <c r="Z42" s="67">
        <f t="shared" si="9"/>
        <v>2.1399999999999999E-2</v>
      </c>
      <c r="AA42" s="67">
        <f t="shared" si="10"/>
        <v>23.276599999999998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0130-20</v>
      </c>
      <c r="AE42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42" s="88" t="str">
        <f t="shared" si="13"/>
        <v>"C:\Program Files (x86)\AstroGrep\AstroGrep.exe" /spath="%USERPROFILE%\AppData\Local\Temp\OnboardLogs" /stypes="app*4017*20161020*"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4017 --swversion DE.1.0.7.0 --startMP 204:232980 --initTime 2016-10-20T08:06:06 --startdatetime 2016-10-20T08:11:17 --delay 1 --endMP 204:214 --enddatetime 2016-10-20T08:49:43 --enforcementcount 0 &gt;&gt;C:\Users\stu\Documents\GitHub\eaglep3-reporting\EC\2016-10-20-refined-times.txt</v>
      </c>
      <c r="AI4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{"issue":{"subject":"","project_id":79,"tracker_id":40,"status_id":1,"priority_id":2,"assigned_to_id":23,"start_date":"2016-10-20","description":"","custom_fields":[{"id":1,"name":"Subdivision","value":"EC"},{"id":4,"name":"Milepost","value":"0.0214"},{"id":17,"name":"Train ID","value":"130-20"},{"id":16,"name":"Locomotive ID","value":"4017"},{"id":130,"name":"Impact","value":""},{"id":150,"name":"Time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475</v>
      </c>
      <c r="B43" s="7">
        <v>4038</v>
      </c>
      <c r="C43" s="22" t="s">
        <v>99</v>
      </c>
      <c r="D43" s="22" t="s">
        <v>233</v>
      </c>
      <c r="E43" s="13">
        <v>42663.310243055559</v>
      </c>
      <c r="F43" s="13">
        <v>42663.312789351854</v>
      </c>
      <c r="G43" s="7">
        <v>1</v>
      </c>
      <c r="H43" s="13" t="s">
        <v>217</v>
      </c>
      <c r="I43" s="13">
        <v>42663.338078703702</v>
      </c>
      <c r="J43" s="7">
        <v>0</v>
      </c>
      <c r="K43" s="112" t="str">
        <f t="shared" si="0"/>
        <v>4037/4038</v>
      </c>
      <c r="L43" s="22" t="str">
        <f>VLOOKUP(A43,'Trips&amp;Operators'!$C$1:$E$10000,3,FALSE)</f>
        <v>SPECTOR</v>
      </c>
      <c r="M43" s="6">
        <f t="shared" si="1"/>
        <v>2.5289351848186925E-2</v>
      </c>
      <c r="N43" s="7">
        <f t="shared" si="2"/>
        <v>36.416666661389172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06:26:45-0600',mode:absolute,to:'2016-10-20 09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4.6399999999999997E-2</v>
      </c>
      <c r="Z43" s="67">
        <f t="shared" si="9"/>
        <v>23.331399999999999</v>
      </c>
      <c r="AA43" s="67">
        <f t="shared" si="10"/>
        <v>23.285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0131-20</v>
      </c>
      <c r="AE43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43" s="88" t="str">
        <f t="shared" si="13"/>
        <v>"C:\Program Files (x86)\AstroGrep\AstroGrep.exe" /spath="%USERPROFILE%\AppData\Local\Temp\OnboardLogs" /stypes="app*4038*20161020*"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4038 --swversion DE.1.0.7.0 --startMP 204:464 --initTime 2016-10-20T07:26:45 --startdatetime 2016-10-20T07:30:25 --delay 1 --endMP 204:233314 --enddatetime 2016-10-20T08:06:50 --enforcementcount 0 &gt;&gt;C:\Users\stu\Documents\GitHub\eaglep3-reporting\EC\2016-10-20-refined-times.txt</v>
      </c>
      <c r="AI4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ID","value":"131-20"},{"id":16,"name":"Locomotive ID","value":"4038"},{"id":130,"name":"Impact","value":""},{"id":150,"name":"Time of Event (Mountain Time)","value":"08:06:50"},{"id":151,"name":"Denver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401</v>
      </c>
      <c r="B44" s="7">
        <v>4037</v>
      </c>
      <c r="C44" s="22" t="s">
        <v>99</v>
      </c>
      <c r="D44" s="22" t="s">
        <v>278</v>
      </c>
      <c r="E44" s="13">
        <v>42663.344814814816</v>
      </c>
      <c r="F44" s="13">
        <v>42663.351689814815</v>
      </c>
      <c r="G44" s="7">
        <v>1</v>
      </c>
      <c r="H44" s="13" t="s">
        <v>640</v>
      </c>
      <c r="I44" s="13">
        <v>42663.379594907405</v>
      </c>
      <c r="J44" s="7">
        <v>0</v>
      </c>
      <c r="K44" s="112" t="str">
        <f t="shared" si="0"/>
        <v>4037/4038</v>
      </c>
      <c r="L44" s="22" t="str">
        <f>VLOOKUP(A44,'Trips&amp;Operators'!$C$1:$E$10000,3,FALSE)</f>
        <v>SPECTOR</v>
      </c>
      <c r="M44" s="6">
        <f t="shared" si="1"/>
        <v>2.7905092589207925E-2</v>
      </c>
      <c r="N44" s="7">
        <f t="shared" si="2"/>
        <v>40.183333328459412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23.3</v>
      </c>
      <c r="Z44" s="67">
        <f t="shared" si="9"/>
        <v>1.3599999999999999E-2</v>
      </c>
      <c r="AA44" s="67">
        <f t="shared" si="10"/>
        <v>23.2864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0132-20</v>
      </c>
      <c r="AE44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44" s="88" t="str">
        <f t="shared" si="13"/>
        <v>"C:\Program Files (x86)\AstroGrep\AstroGrep.exe" /spath="%USERPROFILE%\AppData\Local\Temp\OnboardLogs" /stypes="app*4037*20161020*"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4037 --swversion DE.1.0.7.0 --startMP 204:233000 --initTime 2016-10-20T08:16:32 --startdatetime 2016-10-20T08:26:26 --delay 1 --endMP 204:136 --enddatetime 2016-10-20T09:06:37 --enforcementcount 0 &gt;&gt;C:\Users\stu\Documents\GitHub\eaglep3-reporting\EC\2016-10-20-refined-times.txt</v>
      </c>
      <c r="AI4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478</v>
      </c>
      <c r="B45" s="7">
        <v>4006</v>
      </c>
      <c r="C45" s="22" t="s">
        <v>99</v>
      </c>
      <c r="D45" s="22" t="s">
        <v>247</v>
      </c>
      <c r="E45" s="13">
        <v>42663.318842592591</v>
      </c>
      <c r="F45" s="13">
        <v>42663.323194444441</v>
      </c>
      <c r="G45" s="7">
        <v>1</v>
      </c>
      <c r="H45" s="13" t="s">
        <v>641</v>
      </c>
      <c r="I45" s="13">
        <v>42663.347372685188</v>
      </c>
      <c r="J45" s="7">
        <v>0</v>
      </c>
      <c r="K45" s="112" t="str">
        <f t="shared" si="0"/>
        <v>4005/4006</v>
      </c>
      <c r="L45" s="22" t="str">
        <f>VLOOKUP(A45,'Trips&amp;Operators'!$C$1:$E$10000,3,FALSE)</f>
        <v>SANTIZO</v>
      </c>
      <c r="M45" s="6">
        <f t="shared" si="1"/>
        <v>2.4178240746550728E-2</v>
      </c>
      <c r="N45" s="7">
        <f t="shared" si="2"/>
        <v>34.816666675033048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06:39:08-0600',mode:absolute,to:'2016-10-20 09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45" s="52" t="str">
        <f t="shared" si="6"/>
        <v>N</v>
      </c>
      <c r="X45" s="171">
        <f t="shared" si="7"/>
        <v>1</v>
      </c>
      <c r="Y45" s="67">
        <f t="shared" si="8"/>
        <v>4.5100000000000001E-2</v>
      </c>
      <c r="Z45" s="67">
        <f t="shared" ref="Z45:Z72" si="19">RIGHT(H45,LEN(H45)-4)/10000</f>
        <v>23.332799999999999</v>
      </c>
      <c r="AA45" s="67">
        <f t="shared" si="10"/>
        <v>23.287699999999997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0133-20</v>
      </c>
      <c r="AE45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45" s="88" t="str">
        <f t="shared" si="13"/>
        <v>"C:\Program Files (x86)\AstroGrep\AstroGrep.exe" /spath="%USERPROFILE%\AppData\Local\Temp\OnboardLogs" /stypes="app*4006*20161020*"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4006 --swversion DE.1.0.7.0 --startMP 204:451 --initTime 2016-10-20T07:39:08 --startdatetime 2016-10-20T07:45:24 --delay 1 --endMP 204:233328 --enddatetime 2016-10-20T08:20:13 --enforcementcount 0 &gt;&gt;C:\Users\stu\Documents\GitHub\eaglep3-reporting\EC\2016-10-20-refined-times.txt</v>
      </c>
      <c r="AI4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{"issue":{"subject":"","project_id":79,"tracker_id":40,"status_id":1,"priority_id":2,"assigned_to_id":23,"start_date":"2016-10-20","description":"","custom_fields":[{"id":1,"name":"Subdivision","value":"EC"},{"id":4,"name":"Milepost","value":"23.3328"},{"id":17,"name":"Train ID","value":"133-20"},{"id":16,"name":"Locomotive ID","value":"4006"},{"id":130,"name":"Impact","value":""},{"id":150,"name":"Time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484</v>
      </c>
      <c r="B46" s="7">
        <v>4005</v>
      </c>
      <c r="C46" s="22" t="s">
        <v>99</v>
      </c>
      <c r="D46" s="22" t="s">
        <v>278</v>
      </c>
      <c r="E46" s="13">
        <v>42663.34888888889</v>
      </c>
      <c r="F46" s="13">
        <v>42663.362013888887</v>
      </c>
      <c r="G46" s="7">
        <v>1</v>
      </c>
      <c r="H46" s="13" t="s">
        <v>226</v>
      </c>
      <c r="I46" s="13">
        <v>42663.38789351852</v>
      </c>
      <c r="J46" s="7">
        <v>0</v>
      </c>
      <c r="K46" s="112" t="str">
        <f t="shared" si="0"/>
        <v>4005/4006</v>
      </c>
      <c r="L46" s="22" t="str">
        <f>VLOOKUP(A46,'Trips&amp;Operators'!$C$1:$E$10000,3,FALSE)</f>
        <v>SANTIZO</v>
      </c>
      <c r="M46" s="6">
        <f t="shared" si="1"/>
        <v>2.587962963298196E-2</v>
      </c>
      <c r="N46" s="7">
        <f t="shared" si="2"/>
        <v>37.266666671494022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07:22:24-0600',mode:absolute,to:'2016-10-20 10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23.3</v>
      </c>
      <c r="Z46" s="67">
        <f t="shared" si="19"/>
        <v>1.49E-2</v>
      </c>
      <c r="AA46" s="67">
        <f t="shared" si="10"/>
        <v>23.2851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0134-20</v>
      </c>
      <c r="AE46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46" s="88" t="str">
        <f t="shared" si="13"/>
        <v>"C:\Program Files (x86)\AstroGrep\AstroGrep.exe" /spath="%USERPROFILE%\AppData\Local\Temp\OnboardLogs" /stypes="app*4005*20161020*"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4005 --swversion DE.1.0.7.0 --startMP 204:233000 --initTime 2016-10-20T08:22:24 --startdatetime 2016-10-20T08:41:18 --delay 1 --endMP 204:149 --enddatetime 2016-10-20T09:18:34 --enforcementcount 0 &gt;&gt;C:\Users\stu\Documents\GitHub\eaglep3-reporting\EC\2016-10-20-refined-times.txt</v>
      </c>
      <c r="AI4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ID","value":"134-20"},{"id":16,"name":"Locomotive ID","value":"4005"},{"id":130,"name":"Impact","value":""},{"id":150,"name":"Time of Event (Mountain Time)","value":"09:18:34"},{"id":151,"name":"Denver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480</v>
      </c>
      <c r="B47" s="7">
        <v>4011</v>
      </c>
      <c r="C47" s="22" t="s">
        <v>99</v>
      </c>
      <c r="D47" s="22" t="s">
        <v>234</v>
      </c>
      <c r="E47" s="13">
        <v>42663.329687500001</v>
      </c>
      <c r="F47" s="13">
        <v>42663.333564814813</v>
      </c>
      <c r="G47" s="7">
        <v>1</v>
      </c>
      <c r="H47" s="13" t="s">
        <v>346</v>
      </c>
      <c r="I47" s="13">
        <v>42663.360347222224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STRICKLAND</v>
      </c>
      <c r="M47" s="6">
        <f t="shared" si="1"/>
        <v>2.6782407410792075E-2</v>
      </c>
      <c r="N47" s="7">
        <f t="shared" si="2"/>
        <v>38.566666671540588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06:54:45-0600',mode:absolute,to:'2016-10-20 09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4.5499999999999999E-2</v>
      </c>
      <c r="Z47" s="67">
        <f t="shared" si="19"/>
        <v>23.331900000000001</v>
      </c>
      <c r="AA47" s="67">
        <f t="shared" si="10"/>
        <v>23.2864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0135-20</v>
      </c>
      <c r="AE47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47" s="88" t="str">
        <f t="shared" si="13"/>
        <v>"C:\Program Files (x86)\AstroGrep\AstroGrep.exe" /spath="%USERPROFILE%\AppData\Local\Temp\OnboardLogs" /stypes="app*4011*20161020*"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4011 --swversion DE.1.0.7.0 --startMP 204:455 --initTime 2016-10-20T07:54:45 --startdatetime 2016-10-20T08:00:20 --delay 1 --endMP 204:233319 --enddatetime 2016-10-20T08:38:54 --enforcementcount 0 &gt;&gt;C:\Users\stu\Documents\GitHub\eaglep3-reporting\EC\2016-10-20-refined-times.txt</v>
      </c>
      <c r="AI4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ID","value":"135-20"},{"id":16,"name":"Locomotive ID","value":"4011"},{"id":130,"name":"Impact","value":""},{"id":150,"name":"Time of Event (Mountain Time)","value":"08:38:54"},{"id":151,"name":"Denver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489</v>
      </c>
      <c r="B48" s="7">
        <v>4012</v>
      </c>
      <c r="C48" s="22" t="s">
        <v>99</v>
      </c>
      <c r="D48" s="22" t="s">
        <v>381</v>
      </c>
      <c r="E48" s="13">
        <v>42663.368368055555</v>
      </c>
      <c r="F48" s="13">
        <v>42663.372430555559</v>
      </c>
      <c r="G48" s="7">
        <v>1</v>
      </c>
      <c r="H48" s="13" t="s">
        <v>229</v>
      </c>
      <c r="I48" s="13">
        <v>42663.400995370372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STRICKLAND</v>
      </c>
      <c r="M48" s="6">
        <f t="shared" si="1"/>
        <v>2.8564814812853001E-2</v>
      </c>
      <c r="N48" s="7">
        <f t="shared" si="2"/>
        <v>41.133333330508322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07:50:27-0600',mode:absolute,to:'2016-10-20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23.301100000000002</v>
      </c>
      <c r="Z48" s="67">
        <f t="shared" si="19"/>
        <v>1.4999999999999999E-2</v>
      </c>
      <c r="AA48" s="67">
        <f t="shared" si="10"/>
        <v>23.286100000000001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0136-20</v>
      </c>
      <c r="AE48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48" s="88" t="str">
        <f t="shared" si="13"/>
        <v>"C:\Program Files (x86)\AstroGrep\AstroGrep.exe" /spath="%USERPROFILE%\AppData\Local\Temp\OnboardLogs" /stypes="app*4012*20161020*"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4012 --swversion DE.1.0.7.0 --startMP 204:233011 --initTime 2016-10-20T08:50:27 --startdatetime 2016-10-20T08:56:18 --delay 1 --endMP 204:150 --enddatetime 2016-10-20T09:37:26 --enforcementcount 0 &gt;&gt;C:\Users\stu\Documents\GitHub\eaglep3-reporting\EC\2016-10-20-refined-times.txt</v>
      </c>
      <c r="AI4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ID","value":"136-20"},{"id":16,"name":"Locomotive ID","value":"4012"},{"id":130,"name":"Impact","value":""},{"id":150,"name":"Time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482</v>
      </c>
      <c r="B49" s="7">
        <v>4042</v>
      </c>
      <c r="C49" s="22" t="s">
        <v>99</v>
      </c>
      <c r="D49" s="22" t="s">
        <v>274</v>
      </c>
      <c r="E49" s="13">
        <v>42663.34033564815</v>
      </c>
      <c r="F49" s="13">
        <v>42663.3440625</v>
      </c>
      <c r="G49" s="7">
        <v>2</v>
      </c>
      <c r="H49" s="13" t="s">
        <v>239</v>
      </c>
      <c r="I49" s="13">
        <v>42663.369618055556</v>
      </c>
      <c r="J49" s="7">
        <v>0</v>
      </c>
      <c r="K49" s="112" t="str">
        <f t="shared" si="0"/>
        <v>4041/4042</v>
      </c>
      <c r="L49" s="22" t="str">
        <f>VLOOKUP(A49,'Trips&amp;Operators'!$C$1:$E$10000,3,FALSE)</f>
        <v>ROCHA</v>
      </c>
      <c r="M49" s="6">
        <f t="shared" si="1"/>
        <v>2.5555555555911269E-2</v>
      </c>
      <c r="N49" s="7">
        <f t="shared" si="2"/>
        <v>36.800000000512227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07:10:05-0600',mode:absolute,to:'2016-10-20 09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1">
        <f t="shared" si="7"/>
        <v>1</v>
      </c>
      <c r="Y49" s="67">
        <f t="shared" si="8"/>
        <v>4.4400000000000002E-2</v>
      </c>
      <c r="Z49" s="67">
        <f t="shared" si="19"/>
        <v>23.329499999999999</v>
      </c>
      <c r="AA49" s="67">
        <f t="shared" si="10"/>
        <v>23.2851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0137-20</v>
      </c>
      <c r="AE49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49" s="88" t="str">
        <f t="shared" si="13"/>
        <v>"C:\Program Files (x86)\AstroGrep\AstroGrep.exe" /spath="%USERPROFILE%\AppData\Local\Temp\OnboardLogs" /stypes="app*4042*20161020*"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4042 --swversion DE.1.0.7.0 --startMP 204:444 --initTime 2016-10-20T08:10:05 --startdatetime 2016-10-20T08:15:27 --delay 2 --endMP 204:233295 --enddatetime 2016-10-20T08:52:15 --enforcementcount 0 &gt;&gt;C:\Users\stu\Documents\GitHub\eaglep3-reporting\EC\2016-10-20-refined-times.txt</v>
      </c>
      <c r="AI4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ID","value":"137-20"},{"id":16,"name":"Locomotive ID","value":"4042"},{"id":130,"name":"Impact","value":""},{"id":150,"name":"Time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402</v>
      </c>
      <c r="B50" s="7">
        <v>4041</v>
      </c>
      <c r="C50" s="22" t="s">
        <v>99</v>
      </c>
      <c r="D50" s="22" t="s">
        <v>310</v>
      </c>
      <c r="E50" s="13">
        <v>42663.378055555557</v>
      </c>
      <c r="F50" s="13">
        <v>42663.383148148147</v>
      </c>
      <c r="G50" s="7">
        <v>1</v>
      </c>
      <c r="H50" s="13" t="s">
        <v>182</v>
      </c>
      <c r="I50" s="13">
        <v>42663.410034722219</v>
      </c>
      <c r="J50" s="7">
        <v>0</v>
      </c>
      <c r="K50" s="112" t="str">
        <f t="shared" si="0"/>
        <v>4041/4042</v>
      </c>
      <c r="L50" s="22" t="str">
        <f>VLOOKUP(A50,'Trips&amp;Operators'!$C$1:$E$10000,3,FALSE)</f>
        <v>ROCHA</v>
      </c>
      <c r="M50" s="6">
        <f t="shared" si="1"/>
        <v>2.6886574072705116E-2</v>
      </c>
      <c r="N50" s="7">
        <f t="shared" si="2"/>
        <v>38.716666664695367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1">
        <f t="shared" si="7"/>
        <v>1</v>
      </c>
      <c r="Y50" s="67">
        <f t="shared" si="8"/>
        <v>23.296700000000001</v>
      </c>
      <c r="Z50" s="67">
        <f t="shared" si="19"/>
        <v>1.41E-2</v>
      </c>
      <c r="AA50" s="67">
        <f t="shared" si="10"/>
        <v>23.282600000000002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0138-20</v>
      </c>
      <c r="AE50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50" s="88" t="str">
        <f t="shared" si="13"/>
        <v>"C:\Program Files (x86)\AstroGrep\AstroGrep.exe" /spath="%USERPROFILE%\AppData\Local\Temp\OnboardLogs" /stypes="app*4041*20161020*"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4041 --swversion DE.1.0.7.0 --startMP 204:232967 --initTime 2016-10-20T09:04:24 --startdatetime 2016-10-20T09:11:44 --delay 1 --endMP 204:141 --enddatetime 2016-10-20T09:50:27 --enforcementcount 0 &gt;&gt;C:\Users\stu\Documents\GitHub\eaglep3-reporting\EC\2016-10-20-refined-times.txt</v>
      </c>
      <c r="AI5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ID","value":"138-20"},{"id":16,"name":"Locomotive ID","value":"4041"},{"id":130,"name":"Impact","value":""},{"id":150,"name":"Time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485</v>
      </c>
      <c r="B51" s="7">
        <v>4044</v>
      </c>
      <c r="C51" s="22" t="s">
        <v>99</v>
      </c>
      <c r="D51" s="22" t="s">
        <v>230</v>
      </c>
      <c r="E51" s="13">
        <v>42663.349710648145</v>
      </c>
      <c r="F51" s="13">
        <v>42663.35434027778</v>
      </c>
      <c r="G51" s="7">
        <v>1</v>
      </c>
      <c r="H51" s="13" t="s">
        <v>287</v>
      </c>
      <c r="I51" s="13">
        <v>42663.379745370374</v>
      </c>
      <c r="J51" s="7">
        <v>0</v>
      </c>
      <c r="K51" s="112" t="str">
        <f t="shared" si="0"/>
        <v>4043/4044</v>
      </c>
      <c r="L51" s="22" t="str">
        <f>VLOOKUP(A51,'Trips&amp;Operators'!$C$1:$E$10000,3,FALSE)</f>
        <v>STARKS</v>
      </c>
      <c r="M51" s="6">
        <f t="shared" si="1"/>
        <v>2.5405092594155576E-2</v>
      </c>
      <c r="N51" s="7">
        <f t="shared" si="2"/>
        <v>36.58333333558403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07:23:35-0600',mode:absolute,to:'2016-10-20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4.4699999999999997E-2</v>
      </c>
      <c r="Z51" s="67">
        <f t="shared" si="19"/>
        <v>23.330400000000001</v>
      </c>
      <c r="AA51" s="67">
        <f t="shared" si="10"/>
        <v>23.285700000000002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0139-20</v>
      </c>
      <c r="AE51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51" s="88" t="str">
        <f t="shared" si="13"/>
        <v>"C:\Program Files (x86)\AstroGrep\AstroGrep.exe" /spath="%USERPROFILE%\AppData\Local\Temp\OnboardLogs" /stypes="app*4044*20161020*"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4044 --swversion DE.1.0.7.0 --startMP 204:447 --initTime 2016-10-20T08:23:35 --startdatetime 2016-10-20T08:30:15 --delay 1 --endMP 204:233304 --enddatetime 2016-10-20T09:06:50 --enforcementcount 0 &gt;&gt;C:\Users\stu\Documents\GitHub\eaglep3-reporting\EC\2016-10-20-refined-times.txt</v>
      </c>
      <c r="AI5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ID","value":"139-20"},{"id":16,"name":"Locomotive ID","value":"4044"},{"id":130,"name":"Impact","value":""},{"id":150,"name":"Time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493</v>
      </c>
      <c r="B52" s="7">
        <v>4043</v>
      </c>
      <c r="C52" s="22" t="s">
        <v>99</v>
      </c>
      <c r="D52" s="22" t="s">
        <v>300</v>
      </c>
      <c r="E52" s="13">
        <v>42663.390833333331</v>
      </c>
      <c r="F52" s="13">
        <v>42663.393310185187</v>
      </c>
      <c r="G52" s="7">
        <v>0</v>
      </c>
      <c r="H52" s="13" t="s">
        <v>229</v>
      </c>
      <c r="I52" s="13">
        <v>42663.420960648145</v>
      </c>
      <c r="J52" s="7">
        <v>0</v>
      </c>
      <c r="K52" s="112" t="str">
        <f t="shared" si="0"/>
        <v>4043/4044</v>
      </c>
      <c r="L52" s="22" t="str">
        <f>VLOOKUP(A52,'Trips&amp;Operators'!$C$1:$E$10000,3,FALSE)</f>
        <v>STARKS</v>
      </c>
      <c r="M52" s="6">
        <f t="shared" si="1"/>
        <v>2.7650462958263233E-2</v>
      </c>
      <c r="N52" s="7">
        <f t="shared" si="2"/>
        <v>39.816666659899056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08:22:48-0600',mode:absolute,to:'2016-10-20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23.298300000000001</v>
      </c>
      <c r="Z52" s="67">
        <f t="shared" si="19"/>
        <v>1.4999999999999999E-2</v>
      </c>
      <c r="AA52" s="67">
        <f t="shared" si="10"/>
        <v>23.283300000000001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0140-20</v>
      </c>
      <c r="AE52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52" s="88" t="str">
        <f t="shared" si="13"/>
        <v>"C:\Program Files (x86)\AstroGrep\AstroGrep.exe" /spath="%USERPROFILE%\AppData\Local\Temp\OnboardLogs" /stypes="app*4043*20161020*"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4043 --swversion DE.1.0.7.0 --startMP 204:232983 --initTime 2016-10-20T09:22:48 --startdatetime 2016-10-20T09:26:22 --delay 0 --endMP 204:150 --enddatetime 2016-10-20T10:06:11 --enforcementcount 0 &gt;&gt;C:\Users\stu\Documents\GitHub\eaglep3-reporting\EC\2016-10-20-refined-times.txt</v>
      </c>
      <c r="AI5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ID","value":"140-20"},{"id":16,"name":"Locomotive ID","value":"4043"},{"id":130,"name":"Impact","value":""},{"id":150,"name":"Time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488</v>
      </c>
      <c r="B53" s="7">
        <v>4029</v>
      </c>
      <c r="C53" s="22" t="s">
        <v>99</v>
      </c>
      <c r="D53" s="22" t="s">
        <v>236</v>
      </c>
      <c r="E53" s="13">
        <v>42663.359444444446</v>
      </c>
      <c r="F53" s="13">
        <v>42663.364918981482</v>
      </c>
      <c r="G53" s="7">
        <v>1</v>
      </c>
      <c r="H53" s="13" t="s">
        <v>266</v>
      </c>
      <c r="I53" s="13">
        <v>42663.390069444446</v>
      </c>
      <c r="J53" s="7">
        <v>0</v>
      </c>
      <c r="K53" s="112" t="str">
        <f t="shared" si="0"/>
        <v>4029/4030</v>
      </c>
      <c r="L53" s="22" t="str">
        <f>VLOOKUP(A53,'Trips&amp;Operators'!$C$1:$E$10000,3,FALSE)</f>
        <v>MAELZER</v>
      </c>
      <c r="M53" s="6">
        <f t="shared" si="1"/>
        <v>2.5150462963210884E-2</v>
      </c>
      <c r="N53" s="7">
        <f t="shared" si="2"/>
        <v>36.216666667023674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07:37:36-0600',mode:absolute,to:'2016-10-20 10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4.5699999999999998E-2</v>
      </c>
      <c r="Z53" s="67">
        <f t="shared" si="19"/>
        <v>23.330100000000002</v>
      </c>
      <c r="AA53" s="67">
        <f t="shared" si="10"/>
        <v>23.284400000000002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0141-20</v>
      </c>
      <c r="AE53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53" s="88" t="str">
        <f t="shared" si="13"/>
        <v>"C:\Program Files (x86)\AstroGrep\AstroGrep.exe" /spath="%USERPROFILE%\AppData\Local\Temp\OnboardLogs" /stypes="app*4029*20161020*"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4029 --swversion DE.1.0.7.0 --startMP 204:457 --initTime 2016-10-20T08:37:36 --startdatetime 2016-10-20T08:45:29 --delay 1 --endMP 204:233301 --enddatetime 2016-10-20T09:21:42 --enforcementcount 0 &gt;&gt;C:\Users\stu\Documents\GitHub\eaglep3-reporting\EC\2016-10-20-refined-times.txt</v>
      </c>
      <c r="AI5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{"issue":{"subject":"","project_id":79,"tracker_id":40,"status_id":1,"priority_id":2,"assigned_to_id":23,"start_date":"2016-10-20","description":"","custom_fields":[{"id":1,"name":"Subdivision","value":"EC"},{"id":4,"name":"Milepost","value":"23.3301"},{"id":17,"name":"Train ID","value":"141-20"},{"id":16,"name":"Locomotive ID","value":"4029"},{"id":130,"name":"Impact","value":""},{"id":150,"name":"Time of Event (Mountain Time)","value":"09:21:42"},{"id":151,"name":"Denver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4030</v>
      </c>
      <c r="C54" s="22" t="s">
        <v>99</v>
      </c>
      <c r="D54" s="22" t="s">
        <v>305</v>
      </c>
      <c r="E54" s="13">
        <v>42663.39539351852</v>
      </c>
      <c r="F54" s="13">
        <v>42663.403715277775</v>
      </c>
      <c r="G54" s="7">
        <v>0</v>
      </c>
      <c r="H54" s="13" t="s">
        <v>235</v>
      </c>
      <c r="I54" s="13">
        <v>42663.43041666667</v>
      </c>
      <c r="J54" s="7">
        <v>0</v>
      </c>
      <c r="K54" s="112" t="str">
        <f t="shared" si="0"/>
        <v>4029/4030</v>
      </c>
      <c r="L54" s="22" t="str">
        <f>VLOOKUP(A54,'Trips&amp;Operators'!$C$1:$E$10000,3,FALSE)</f>
        <v>MAELZER</v>
      </c>
      <c r="M54" s="6">
        <f t="shared" si="1"/>
        <v>2.6701388895162381E-2</v>
      </c>
      <c r="N54" s="7">
        <f t="shared" si="2"/>
        <v>38.450000009033829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08:29:22-0600',mode:absolute,to:'2016-10-20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23.2986</v>
      </c>
      <c r="Z54" s="67">
        <f t="shared" si="19"/>
        <v>1.34E-2</v>
      </c>
      <c r="AA54" s="67">
        <f t="shared" si="10"/>
        <v>23.2852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0142-20</v>
      </c>
      <c r="AE54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54" s="88" t="str">
        <f t="shared" si="13"/>
        <v>"C:\Program Files (x86)\AstroGrep\AstroGrep.exe" /spath="%USERPROFILE%\AppData\Local\Temp\OnboardLogs" /stypes="app*4030*20161020*"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4030 --swversion DE.1.0.7.0 --startMP 204:232986 --initTime 2016-10-20T09:29:22 --startdatetime 2016-10-20T09:41:21 --delay 0 --endMP 204:134 --enddatetime 2016-10-20T10:19:48 --enforcementcount 0 &gt;&gt;C:\Users\stu\Documents\GitHub\eaglep3-reporting\EC\2016-10-20-refined-times.txt</v>
      </c>
      <c r="AI5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ID","value":"142-20"},{"id":16,"name":"Locomotive ID","value":"4030"},{"id":130,"name":"Impact","value":""},{"id":150,"name":"Time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490</v>
      </c>
      <c r="B55" s="7">
        <v>4018</v>
      </c>
      <c r="C55" s="22" t="s">
        <v>99</v>
      </c>
      <c r="D55" s="22" t="s">
        <v>642</v>
      </c>
      <c r="E55" s="13">
        <v>42663.36922453704</v>
      </c>
      <c r="F55" s="13">
        <v>42663.375231481485</v>
      </c>
      <c r="G55" s="7">
        <v>1</v>
      </c>
      <c r="H55" s="13" t="s">
        <v>232</v>
      </c>
      <c r="I55" s="13">
        <v>42663.401909722219</v>
      </c>
      <c r="J55" s="7">
        <v>0</v>
      </c>
      <c r="K55" s="112" t="str">
        <f t="shared" si="0"/>
        <v>4017/4018</v>
      </c>
      <c r="L55" s="22" t="str">
        <f>VLOOKUP(A55,'Trips&amp;Operators'!$C$1:$E$10000,3,FALSE)</f>
        <v>BRANNON</v>
      </c>
      <c r="M55" s="6">
        <f t="shared" si="1"/>
        <v>2.6678240734327119E-2</v>
      </c>
      <c r="N55" s="7">
        <f t="shared" si="2"/>
        <v>38.416666657431051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07:51:41-0600',mode:absolute,to:'2016-10-20 10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5.1499999999999997E-2</v>
      </c>
      <c r="Z55" s="67">
        <f t="shared" si="19"/>
        <v>23.33</v>
      </c>
      <c r="AA55" s="67">
        <f t="shared" si="10"/>
        <v>23.278499999999998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0143-20</v>
      </c>
      <c r="AE55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55" s="88" t="str">
        <f t="shared" si="13"/>
        <v>"C:\Program Files (x86)\AstroGrep\AstroGrep.exe" /spath="%USERPROFILE%\AppData\Local\Temp\OnboardLogs" /stypes="app*4018*20161020*"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4018 --swversion DE.1.0.7.0 --startMP 204:515 --initTime 2016-10-20T08:51:41 --startdatetime 2016-10-20T09:00:20 --delay 1 --endMP 204:233300 --enddatetime 2016-10-20T09:38:45 --enforcementcount 0 &gt;&gt;C:\Users\stu\Documents\GitHub\eaglep3-reporting\EC\2016-10-20-refined-times.txt</v>
      </c>
      <c r="AI5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ID","value":"143-20"},{"id":16,"name":"Locomotive ID","value":"4018"},{"id":130,"name":"Impact","value":""},{"id":150,"name":"Time of Event (Mountain Time)","value":"09:38:45"},{"id":151,"name":"Denver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497</v>
      </c>
      <c r="B56" s="7">
        <v>4017</v>
      </c>
      <c r="C56" s="22" t="s">
        <v>99</v>
      </c>
      <c r="D56" s="22" t="s">
        <v>278</v>
      </c>
      <c r="E56" s="13">
        <v>42663.410509259258</v>
      </c>
      <c r="F56" s="13">
        <v>42663.414050925923</v>
      </c>
      <c r="G56" s="7">
        <v>1</v>
      </c>
      <c r="H56" s="13" t="s">
        <v>643</v>
      </c>
      <c r="I56" s="13">
        <v>42663.442303240743</v>
      </c>
      <c r="J56" s="7">
        <v>0</v>
      </c>
      <c r="K56" s="112" t="str">
        <f t="shared" si="0"/>
        <v>4017/4018</v>
      </c>
      <c r="L56" s="22" t="str">
        <f>VLOOKUP(A56,'Trips&amp;Operators'!$C$1:$E$10000,3,FALSE)</f>
        <v>BRANNON</v>
      </c>
      <c r="M56" s="6">
        <f t="shared" si="1"/>
        <v>2.825231481983792E-2</v>
      </c>
      <c r="N56" s="7">
        <f t="shared" si="2"/>
        <v>40.683333340566605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08:51:08-0600',mode:absolute,to:'2016-10-20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23.3</v>
      </c>
      <c r="Z56" s="67">
        <f t="shared" si="19"/>
        <v>1.2999999999999999E-2</v>
      </c>
      <c r="AA56" s="67">
        <f t="shared" si="10"/>
        <v>23.286999999999999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0144-20</v>
      </c>
      <c r="AE56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56" s="88" t="str">
        <f t="shared" si="13"/>
        <v>"C:\Program Files (x86)\AstroGrep\AstroGrep.exe" /spath="%USERPROFILE%\AppData\Local\Temp\OnboardLogs" /stypes="app*4017*20161020*"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4017 --swversion DE.1.0.7.0 --startMP 204:233000 --initTime 2016-10-20T09:51:08 --startdatetime 2016-10-20T09:56:14 --delay 1 --endMP 204:130 --enddatetime 2016-10-20T10:36:55 --enforcementcount 0 &gt;&gt;C:\Users\stu\Documents\GitHub\eaglep3-reporting\EC\2016-10-20-refined-times.txt</v>
      </c>
      <c r="AI5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ID","value":"144-20"},{"id":16,"name":"Locomotive ID","value":"4017"},{"id":130,"name":"Impact","value":""},{"id":150,"name":"Time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492</v>
      </c>
      <c r="B57" s="7">
        <v>4038</v>
      </c>
      <c r="C57" s="22" t="s">
        <v>99</v>
      </c>
      <c r="D57" s="22" t="s">
        <v>233</v>
      </c>
      <c r="E57" s="13">
        <v>42663.382835648146</v>
      </c>
      <c r="F57" s="13">
        <v>42663.385729166665</v>
      </c>
      <c r="G57" s="7">
        <v>1</v>
      </c>
      <c r="H57" s="13" t="s">
        <v>627</v>
      </c>
      <c r="I57" s="13">
        <v>42663.410428240742</v>
      </c>
      <c r="J57" s="7">
        <v>0</v>
      </c>
      <c r="K57" s="112" t="str">
        <f t="shared" si="0"/>
        <v>4037/4038</v>
      </c>
      <c r="L57" s="22" t="str">
        <f>VLOOKUP(A57,'Trips&amp;Operators'!$C$1:$E$10000,3,FALSE)</f>
        <v>SPECTOR</v>
      </c>
      <c r="M57" s="6">
        <f t="shared" si="1"/>
        <v>2.4699074077943806E-2</v>
      </c>
      <c r="N57" s="7">
        <f t="shared" si="2"/>
        <v>35.56666667223908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08:11:17-0600',mode:absolute,to:'2016-10-20 10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4.6399999999999997E-2</v>
      </c>
      <c r="Z57" s="67">
        <f t="shared" si="19"/>
        <v>23.331600000000002</v>
      </c>
      <c r="AA57" s="67">
        <f t="shared" si="10"/>
        <v>23.285200000000003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0145-20</v>
      </c>
      <c r="AE57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57" s="88" t="str">
        <f t="shared" si="13"/>
        <v>"C:\Program Files (x86)\AstroGrep\AstroGrep.exe" /spath="%USERPROFILE%\AppData\Local\Temp\OnboardLogs" /stypes="app*4038*20161020*"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4038 --swversion DE.1.0.7.0 --startMP 204:464 --initTime 2016-10-20T09:11:17 --startdatetime 2016-10-20T09:15:27 --delay 1 --endMP 204:233316 --enddatetime 2016-10-20T09:51:01 --enforcementcount 0 &gt;&gt;C:\Users\stu\Documents\GitHub\eaglep3-reporting\EC\2016-10-20-refined-times.txt</v>
      </c>
      <c r="AI5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ID","value":"145-20"},{"id":16,"name":"Locomotive ID","value":"4038"},{"id":130,"name":"Impact","value":""},{"id":150,"name":"Time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500</v>
      </c>
      <c r="B58" s="7">
        <v>4037</v>
      </c>
      <c r="C58" s="22" t="s">
        <v>99</v>
      </c>
      <c r="D58" s="22" t="s">
        <v>628</v>
      </c>
      <c r="E58" s="13">
        <v>42663.418414351851</v>
      </c>
      <c r="F58" s="13">
        <v>42663.42454861111</v>
      </c>
      <c r="G58" s="7">
        <v>1</v>
      </c>
      <c r="H58" s="13" t="s">
        <v>224</v>
      </c>
      <c r="I58" s="13">
        <v>42663.452384259261</v>
      </c>
      <c r="J58" s="7">
        <v>0</v>
      </c>
      <c r="K58" s="112" t="str">
        <f t="shared" si="0"/>
        <v>4037/4038</v>
      </c>
      <c r="L58" s="22" t="str">
        <f>VLOOKUP(A58,'Trips&amp;Operators'!$C$1:$E$10000,3,FALSE)</f>
        <v>SPECTOR</v>
      </c>
      <c r="M58" s="6">
        <f t="shared" si="1"/>
        <v>2.7835648150357883E-2</v>
      </c>
      <c r="N58" s="7">
        <f t="shared" si="2"/>
        <v>40.083333336515352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09:02:31-0600',mode:absolute,to:'2016-10-20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23.299199999999999</v>
      </c>
      <c r="Z58" s="67">
        <f t="shared" si="19"/>
        <v>1.4500000000000001E-2</v>
      </c>
      <c r="AA58" s="67">
        <f t="shared" si="10"/>
        <v>23.284699999999997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0146-20</v>
      </c>
      <c r="AE58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58" s="88" t="str">
        <f t="shared" si="13"/>
        <v>"C:\Program Files (x86)\AstroGrep\AstroGrep.exe" /spath="%USERPROFILE%\AppData\Local\Temp\OnboardLogs" /stypes="app*4037*20161020*"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4037 --swversion DE.1.0.7.0 --startMP 204:232992 --initTime 2016-10-20T10:02:31 --startdatetime 2016-10-20T10:11:21 --delay 1 --endMP 204:145 --enddatetime 2016-10-20T10:51:26 --enforcementcount 0 &gt;&gt;C:\Users\stu\Documents\GitHub\eaglep3-reporting\EC\2016-10-20-refined-times.txt</v>
      </c>
      <c r="AI5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ID","value":"146-20"},{"id":16,"name":"Locomotive ID","value":"4037"},{"id":130,"name":"Impact","value":""},{"id":150,"name":"Time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404</v>
      </c>
      <c r="B59" s="7">
        <v>4006</v>
      </c>
      <c r="C59" s="22" t="s">
        <v>99</v>
      </c>
      <c r="D59" s="22" t="s">
        <v>644</v>
      </c>
      <c r="E59" s="13">
        <v>42663.400104166663</v>
      </c>
      <c r="F59" s="13">
        <v>42663.401180555556</v>
      </c>
      <c r="G59" s="7">
        <v>1</v>
      </c>
      <c r="H59" s="13" t="s">
        <v>346</v>
      </c>
      <c r="I59" s="13">
        <v>42663.422303240739</v>
      </c>
      <c r="J59" s="7">
        <v>0</v>
      </c>
      <c r="K59" s="112" t="str">
        <f t="shared" si="0"/>
        <v>4005/4006</v>
      </c>
      <c r="L59" s="22" t="str">
        <f>VLOOKUP(A59,'Trips&amp;Operators'!$C$1:$E$10000,3,FALSE)</f>
        <v>SANTIZO</v>
      </c>
      <c r="M59" s="6">
        <f t="shared" si="1"/>
        <v>2.1122685182490386E-2</v>
      </c>
      <c r="N59" s="7"/>
      <c r="O59" s="7"/>
      <c r="P59" s="7">
        <f>24*60*SUM($M59:$M59)</f>
        <v>30.416666662786156</v>
      </c>
      <c r="Q59" s="23"/>
      <c r="R59" s="23" t="s">
        <v>773</v>
      </c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9" s="52" t="str">
        <f t="shared" si="6"/>
        <v>Y</v>
      </c>
      <c r="X59" s="171">
        <f t="shared" si="7"/>
        <v>1</v>
      </c>
      <c r="Y59" s="67">
        <f t="shared" si="8"/>
        <v>1.9144000000000001</v>
      </c>
      <c r="Z59" s="67">
        <f t="shared" si="19"/>
        <v>23.331900000000001</v>
      </c>
      <c r="AA59" s="67">
        <f t="shared" si="10"/>
        <v>21.4175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0147-20</v>
      </c>
      <c r="AE59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59" s="88" t="str">
        <f t="shared" si="13"/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4006 --swversion DE.1.0.7.0 --startMP 204:19144 --initTime 2016-10-20T09:36:09 --startdatetime 2016-10-20T09:37:42 --delay 1 --endMP 204:233319 --enddatetime 2016-10-20T10:08:07 --enforcementcount 0 &gt;&gt;C:\Users\stu\Documents\GitHub\eaglep3-reporting\EC\2016-10-20-refined-times.txt</v>
      </c>
      <c r="AI59" s="122" t="str">
        <f t="shared" si="18"/>
        <v>echo {"issue":{"subject":"Another train was moving from MAIN 2 to MAIN 1, DUS 2N was at STOP","project_id":79,"tracker_id":40,"status_id":1,"priority_id":2,"assigned_to_id":23,"start_date":"2016-10-20","description":"See title","custom_fields":[{"id":1,"name":"Subdivision","value":"EC"},{"id":4,"name":"Milepost","value":"23.3319"},{"id":17,"name":"Train ID","value":"147-20"},{"id":16,"name":"Locomotive ID","value":"4006"},{"id":130,"name":"Impact","value":"Unexpected Cut-Out or Disengaged"},{"id":150,"name":"Time of Event (Mountain Time)","value":"10:08:07"},{"id":151,"name":"Denver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59" s="53" t="s">
        <v>775</v>
      </c>
      <c r="AK59" s="53" t="s">
        <v>132</v>
      </c>
      <c r="AL59" s="53" t="s">
        <v>144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404</v>
      </c>
      <c r="B60" s="7">
        <v>4006</v>
      </c>
      <c r="C60" s="22" t="s">
        <v>99</v>
      </c>
      <c r="D60" s="22" t="s">
        <v>234</v>
      </c>
      <c r="E60" s="13">
        <v>42663.390034722222</v>
      </c>
      <c r="F60" s="13">
        <v>42663.401180555556</v>
      </c>
      <c r="G60" s="7">
        <v>1</v>
      </c>
      <c r="H60" s="13" t="s">
        <v>645</v>
      </c>
      <c r="I60" s="13">
        <v>42663.422303240739</v>
      </c>
      <c r="J60" s="7">
        <v>0</v>
      </c>
      <c r="K60" s="112" t="str">
        <f t="shared" si="0"/>
        <v>4005/4006</v>
      </c>
      <c r="L60" s="22" t="str">
        <f>VLOOKUP(A60,'Trips&amp;Operators'!$C$1:$E$10000,3,FALSE)</f>
        <v>SANTIZO</v>
      </c>
      <c r="M60" s="6">
        <f t="shared" si="1"/>
        <v>2.1122685182490386E-2</v>
      </c>
      <c r="N60" s="7"/>
      <c r="O60" s="7"/>
      <c r="P60" s="7"/>
      <c r="Q60" s="23"/>
      <c r="R60" s="23"/>
      <c r="S60" s="35"/>
      <c r="T60" s="50" t="str">
        <f t="shared" si="4"/>
        <v>NorthBound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08:21:39-0600',mode:absolute,to:'2016-10-20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0" s="52" t="str">
        <f t="shared" si="6"/>
        <v>Y</v>
      </c>
      <c r="X60" s="171">
        <f t="shared" si="7"/>
        <v>0</v>
      </c>
      <c r="Y60" s="67">
        <f t="shared" si="8"/>
        <v>4.5499999999999999E-2</v>
      </c>
      <c r="Z60" s="67">
        <f t="shared" si="19"/>
        <v>0.1555</v>
      </c>
      <c r="AA60" s="67">
        <f t="shared" si="10"/>
        <v>0.11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0147-20</v>
      </c>
      <c r="AE60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60" s="88" t="str">
        <f t="shared" si="13"/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147-20 --locoid 4006 --swversion DE.1.0.7.0 --startMP 204:455 --initTime 2016-10-20T09:21:39 --startdatetime 2016-10-20T09:37:42 --delay 1 --endMP 204:1555 --enddatetime 2016-10-20T10:08:07 --enforcementcount 0 &gt;&gt;C:\Users\stu\Documents\GitHub\eaglep3-reporting\EC\2016-10-20-refined-times.txt</v>
      </c>
      <c r="AI6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{"issue":{"subject":"","project_id":79,"tracker_id":40,"status_id":1,"priority_id":2,"assigned_to_id":23,"start_date":"2016-10-20","description":"","custom_fields":[{"id":1,"name":"Subdivision","value":"EC"},{"id":4,"name":"Milepost","value":"0.1555"},{"id":17,"name":"Train ID","value":"147-20"},{"id":16,"name":"Locomotive ID","value":"4006"},{"id":130,"name":"Impact","value":""},{"id":150,"name":"Time of Event (Mountain Time)","value":"10:08:07"},{"id":151,"name":"Denver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502</v>
      </c>
      <c r="B61" s="7">
        <v>4005</v>
      </c>
      <c r="C61" s="22" t="s">
        <v>99</v>
      </c>
      <c r="D61" s="22" t="s">
        <v>265</v>
      </c>
      <c r="E61" s="13">
        <v>42663.423761574071</v>
      </c>
      <c r="F61" s="13">
        <v>42663.434965277775</v>
      </c>
      <c r="G61" s="7">
        <v>1</v>
      </c>
      <c r="H61" s="13" t="s">
        <v>176</v>
      </c>
      <c r="I61" s="13">
        <v>42663.462013888886</v>
      </c>
      <c r="J61" s="7">
        <v>0</v>
      </c>
      <c r="K61" s="112" t="str">
        <f t="shared" si="0"/>
        <v>4005/4006</v>
      </c>
      <c r="L61" s="22" t="str">
        <f>VLOOKUP(A61,'Trips&amp;Operators'!$C$1:$E$10000,3,FALSE)</f>
        <v>SANTIZO</v>
      </c>
      <c r="M61" s="6">
        <f t="shared" si="1"/>
        <v>2.7048611111240461E-2</v>
      </c>
      <c r="N61" s="7">
        <f t="shared" ref="N61:N92" si="20">24*60*SUM($M61:$M61)</f>
        <v>38.950000000186265</v>
      </c>
      <c r="O61" s="7"/>
      <c r="P61" s="7"/>
      <c r="Q61" s="23"/>
      <c r="R61" s="23"/>
      <c r="S61" s="35">
        <f t="shared" ref="S61:S92" si="21">SUM(U61:U61)/IF(AG61="EC",12,1)</f>
        <v>1</v>
      </c>
      <c r="T61" s="50" t="str">
        <f t="shared" si="4"/>
        <v>Southbound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09:10:13-0600',mode:absolute,to:'2016-10-20 12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23.299800000000001</v>
      </c>
      <c r="Z61" s="67">
        <f t="shared" si="19"/>
        <v>1.47E-2</v>
      </c>
      <c r="AA61" s="67">
        <f t="shared" si="10"/>
        <v>23.2851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0148-20</v>
      </c>
      <c r="AE61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61" s="88" t="str">
        <f t="shared" si="13"/>
        <v>"C:\Program Files (x86)\AstroGrep\AstroGrep.exe" /spath="%USERPROFILE%\AppData\Local\Temp\OnboardLogs" /stypes="app*4005*20161020*"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148-20 --locoid 4005 --swversion DE.1.0.7.0 --startMP 204:232998 --initTime 2016-10-20T10:10:13 --startdatetime 2016-10-20T10:26:21 --delay 1 --endMP 204:147 --enddatetime 2016-10-20T11:05:18 --enforcementcount 0 &gt;&gt;C:\Users\stu\Documents\GitHub\eaglep3-reporting\EC\2016-10-20-refined-times.txt</v>
      </c>
      <c r="AI6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ID","value":"148-20"},{"id":16,"name":"Locomotive ID","value":"4005"},{"id":130,"name":"Impact","value":""},{"id":150,"name":"Time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495</v>
      </c>
      <c r="B62" s="7">
        <v>4011</v>
      </c>
      <c r="C62" s="22" t="s">
        <v>99</v>
      </c>
      <c r="D62" s="22" t="s">
        <v>301</v>
      </c>
      <c r="E62" s="13">
        <v>42663.402962962966</v>
      </c>
      <c r="F62" s="13">
        <v>42663.406585648147</v>
      </c>
      <c r="G62" s="7">
        <v>1</v>
      </c>
      <c r="H62" s="13" t="s">
        <v>646</v>
      </c>
      <c r="I62" s="13">
        <v>42663.433229166665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STRICKLAND</v>
      </c>
      <c r="M62" s="6">
        <f t="shared" si="1"/>
        <v>2.6643518518540077E-2</v>
      </c>
      <c r="N62" s="7">
        <f t="shared" si="20"/>
        <v>38.366666666697711</v>
      </c>
      <c r="O62" s="7"/>
      <c r="P62" s="7"/>
      <c r="Q62" s="23"/>
      <c r="R62" s="23"/>
      <c r="S62" s="35">
        <f t="shared" si="21"/>
        <v>1</v>
      </c>
      <c r="T62" s="50" t="str">
        <f t="shared" si="4"/>
        <v>NorthBound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08:40:16-0600',mode:absolute,to:'2016-10-20 11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4.4900000000000002E-2</v>
      </c>
      <c r="Z62" s="67">
        <f t="shared" si="19"/>
        <v>23.326799999999999</v>
      </c>
      <c r="AA62" s="67">
        <f t="shared" si="10"/>
        <v>23.2819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0149-20</v>
      </c>
      <c r="AE62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62" s="88" t="str">
        <f t="shared" si="13"/>
        <v>"C:\Program Files (x86)\AstroGrep\AstroGrep.exe" /spath="%USERPROFILE%\AppData\Local\Temp\OnboardLogs" /stypes="app*4011*20161020*"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149-20 --locoid 4011 --swversion DE.1.0.7.0 --startMP 204:449 --initTime 2016-10-20T09:40:16 --startdatetime 2016-10-20T09:45:29 --delay 1 --endMP 204:233268 --enddatetime 2016-10-20T10:23:51 --enforcementcount 0 &gt;&gt;C:\Users\stu\Documents\GitHub\eaglep3-reporting\EC\2016-10-20-refined-times.txt</v>
      </c>
      <c r="AI6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{"issue":{"subject":"","project_id":79,"tracker_id":40,"status_id":1,"priority_id":2,"assigned_to_id":23,"start_date":"2016-10-20","description":"","custom_fields":[{"id":1,"name":"Subdivision","value":"EC"},{"id":4,"name":"Milepost","value":"23.3268"},{"id":17,"name":"Train ID","value":"149-20"},{"id":16,"name":"Locomotive ID","value":"4011"},{"id":130,"name":"Impact","value":""},{"id":150,"name":"Time of Event (Mountain Time)","value":"10:23:51"},{"id":151,"name":"Denver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504</v>
      </c>
      <c r="B63" s="7">
        <v>4012</v>
      </c>
      <c r="C63" s="22" t="s">
        <v>99</v>
      </c>
      <c r="D63" s="22" t="s">
        <v>347</v>
      </c>
      <c r="E63" s="13">
        <v>42663.439363425925</v>
      </c>
      <c r="F63" s="13">
        <v>42663.445833333331</v>
      </c>
      <c r="G63" s="7">
        <v>1</v>
      </c>
      <c r="H63" s="13" t="s">
        <v>303</v>
      </c>
      <c r="I63" s="13">
        <v>42663.473749999997</v>
      </c>
      <c r="J63" s="7">
        <v>0</v>
      </c>
      <c r="K63" s="112" t="str">
        <f t="shared" si="0"/>
        <v>4011/4012</v>
      </c>
      <c r="L63" s="22" t="str">
        <f>VLOOKUP(A63,'Trips&amp;Operators'!$C$1:$E$10000,3,FALSE)</f>
        <v>STRICKLAND</v>
      </c>
      <c r="M63" s="6">
        <f t="shared" si="1"/>
        <v>2.7916666665987577E-2</v>
      </c>
      <c r="N63" s="7">
        <f t="shared" si="20"/>
        <v>40.199999999022111</v>
      </c>
      <c r="O63" s="7"/>
      <c r="P63" s="7"/>
      <c r="Q63" s="23"/>
      <c r="R63" s="23"/>
      <c r="S63" s="35">
        <f t="shared" si="21"/>
        <v>1</v>
      </c>
      <c r="T63" s="50" t="str">
        <f t="shared" si="4"/>
        <v>Southbound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09:32:41-0600',mode:absolute,to:'2016-10-20 12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23.298400000000001</v>
      </c>
      <c r="Z63" s="67">
        <f t="shared" si="19"/>
        <v>1.5800000000000002E-2</v>
      </c>
      <c r="AA63" s="67">
        <f t="shared" si="10"/>
        <v>23.282600000000002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0150-20</v>
      </c>
      <c r="AE63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63" s="88" t="str">
        <f t="shared" si="13"/>
        <v>"C:\Program Files (x86)\AstroGrep\AstroGrep.exe" /spath="%USERPROFILE%\AppData\Local\Temp\OnboardLogs" /stypes="app*4012*20161020*"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150-20 --locoid 4012 --swversion DE.1.0.7.0 --startMP 204:232984 --initTime 2016-10-20T10:32:41 --startdatetime 2016-10-20T10:42:00 --delay 1 --endMP 204:158 --enddatetime 2016-10-20T11:22:12 --enforcementcount 0 &gt;&gt;C:\Users\stu\Documents\GitHub\eaglep3-reporting\EC\2016-10-20-refined-times.txt</v>
      </c>
      <c r="AI6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{"issue":{"subject":"","project_id":79,"tracker_id":40,"status_id":1,"priority_id":2,"assigned_to_id":23,"start_date":"2016-10-20","description":"","custom_fields":[{"id":1,"name":"Subdivision","value":"EC"},{"id":4,"name":"Milepost","value":"0.0158"},{"id":17,"name":"Train ID","value":"150-20"},{"id":16,"name":"Locomotive ID","value":"4012"},{"id":130,"name":"Impact","value":""},{"id":150,"name":"Time of Event (Mountain Time)","value":"11:22:12"},{"id":151,"name":"Denver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498</v>
      </c>
      <c r="B64" s="7">
        <v>4042</v>
      </c>
      <c r="C64" s="22" t="s">
        <v>99</v>
      </c>
      <c r="D64" s="22" t="s">
        <v>225</v>
      </c>
      <c r="E64" s="13">
        <v>42663.412974537037</v>
      </c>
      <c r="F64" s="13">
        <v>42663.417048611111</v>
      </c>
      <c r="G64" s="7">
        <v>1</v>
      </c>
      <c r="H64" s="13" t="s">
        <v>232</v>
      </c>
      <c r="I64" s="13">
        <v>42663.442870370367</v>
      </c>
      <c r="J64" s="7">
        <v>0</v>
      </c>
      <c r="K64" s="112" t="str">
        <f t="shared" si="0"/>
        <v>4041/4042</v>
      </c>
      <c r="L64" s="22" t="str">
        <f>VLOOKUP(A64,'Trips&amp;Operators'!$C$1:$E$10000,3,FALSE)</f>
        <v>ROCHA</v>
      </c>
      <c r="M64" s="6">
        <f t="shared" si="1"/>
        <v>2.5821759256359655E-2</v>
      </c>
      <c r="N64" s="7">
        <f t="shared" si="20"/>
        <v>37.183333329157904</v>
      </c>
      <c r="O64" s="7"/>
      <c r="P64" s="7"/>
      <c r="Q64" s="23"/>
      <c r="R64" s="23"/>
      <c r="S64" s="35">
        <f t="shared" si="21"/>
        <v>1</v>
      </c>
      <c r="T64" s="50" t="str">
        <f t="shared" si="4"/>
        <v>NorthBound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08:54:41-0600',mode:absolute,to:'2016-10-20 11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4.58E-2</v>
      </c>
      <c r="Z64" s="67">
        <f t="shared" si="19"/>
        <v>23.33</v>
      </c>
      <c r="AA64" s="67">
        <f t="shared" si="10"/>
        <v>23.284199999999998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0151-20</v>
      </c>
      <c r="AE64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64" s="88" t="str">
        <f t="shared" si="13"/>
        <v>"C:\Program Files (x86)\AstroGrep\AstroGrep.exe" /spath="%USERPROFILE%\AppData\Local\Temp\OnboardLogs" /stypes="app*4042*20161020*"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151-20 --locoid 4042 --swversion DE.1.0.7.0 --startMP 204:458 --initTime 2016-10-20T09:54:41 --startdatetime 2016-10-20T10:00:33 --delay 1 --endMP 204:233300 --enddatetime 2016-10-20T10:37:44 --enforcementcount 0 &gt;&gt;C:\Users\stu\Documents\GitHub\eaglep3-reporting\EC\2016-10-20-refined-times.txt</v>
      </c>
      <c r="AI6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ID","value":"151-20"},{"id":16,"name":"Locomotive ID","value":"4042"},{"id":130,"name":"Impact","value":""},{"id":150,"name":"Time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506</v>
      </c>
      <c r="B65" s="7">
        <v>4041</v>
      </c>
      <c r="C65" s="22" t="s">
        <v>99</v>
      </c>
      <c r="D65" s="22" t="s">
        <v>302</v>
      </c>
      <c r="E65" s="13">
        <v>42663.446134259262</v>
      </c>
      <c r="F65" s="13">
        <v>42663.456099537034</v>
      </c>
      <c r="G65" s="7">
        <v>1</v>
      </c>
      <c r="H65" s="13" t="s">
        <v>177</v>
      </c>
      <c r="I65" s="13">
        <v>42663.482893518521</v>
      </c>
      <c r="J65" s="7">
        <v>0</v>
      </c>
      <c r="K65" s="112" t="str">
        <f t="shared" si="0"/>
        <v>4041/4042</v>
      </c>
      <c r="L65" s="22" t="str">
        <f>VLOOKUP(A65,'Trips&amp;Operators'!$C$1:$E$10000,3,FALSE)</f>
        <v>ROCHA</v>
      </c>
      <c r="M65" s="6">
        <f t="shared" si="1"/>
        <v>2.6793981487571727E-2</v>
      </c>
      <c r="N65" s="7">
        <f t="shared" si="20"/>
        <v>38.583333342103288</v>
      </c>
      <c r="O65" s="7"/>
      <c r="P65" s="7"/>
      <c r="Q65" s="23"/>
      <c r="R65" s="23"/>
      <c r="S65" s="35">
        <f t="shared" si="21"/>
        <v>1</v>
      </c>
      <c r="T65" s="50" t="str">
        <f t="shared" si="4"/>
        <v>Southbound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09:42:26-0600',mode:absolute,to:'2016-10-20 12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23.2974</v>
      </c>
      <c r="Z65" s="67">
        <f t="shared" si="19"/>
        <v>1.52E-2</v>
      </c>
      <c r="AA65" s="67">
        <f t="shared" si="10"/>
        <v>23.2822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0152-20</v>
      </c>
      <c r="AE65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65" s="88" t="str">
        <f t="shared" si="13"/>
        <v>"C:\Program Files (x86)\AstroGrep\AstroGrep.exe" /spath="%USERPROFILE%\AppData\Local\Temp\OnboardLogs" /stypes="app*4041*20161020*"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152-20 --locoid 4041 --swversion DE.1.0.7.0 --startMP 204:232974 --initTime 2016-10-20T10:42:26 --startdatetime 2016-10-20T10:56:47 --delay 1 --endMP 204:152 --enddatetime 2016-10-20T11:35:22 --enforcementcount 0 &gt;&gt;C:\Users\stu\Documents\GitHub\eaglep3-reporting\EC\2016-10-20-refined-times.txt</v>
      </c>
      <c r="AI6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ID","value":"152-20"},{"id":16,"name":"Locomotive ID","value":"4041"},{"id":130,"name":"Impact","value":""},{"id":150,"name":"Time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501</v>
      </c>
      <c r="B66" s="7">
        <v>4044</v>
      </c>
      <c r="C66" s="22" t="s">
        <v>99</v>
      </c>
      <c r="D66" s="22" t="s">
        <v>234</v>
      </c>
      <c r="E66" s="13">
        <v>42663.423194444447</v>
      </c>
      <c r="F66" s="13">
        <v>42663.427291666667</v>
      </c>
      <c r="G66" s="7">
        <v>1</v>
      </c>
      <c r="H66" s="13" t="s">
        <v>183</v>
      </c>
      <c r="I66" s="13">
        <v>42663.453877314816</v>
      </c>
      <c r="J66" s="7">
        <v>0</v>
      </c>
      <c r="K66" s="112" t="str">
        <f t="shared" si="0"/>
        <v>4043/4044</v>
      </c>
      <c r="L66" s="22" t="str">
        <f>VLOOKUP(A66,'Trips&amp;Operators'!$C$1:$E$10000,3,FALSE)</f>
        <v>STARKS</v>
      </c>
      <c r="M66" s="6">
        <f t="shared" si="1"/>
        <v>2.658564814919373E-2</v>
      </c>
      <c r="N66" s="7">
        <f t="shared" si="20"/>
        <v>38.283333334838971</v>
      </c>
      <c r="O66" s="7"/>
      <c r="P66" s="7"/>
      <c r="Q66" s="23"/>
      <c r="R66" s="23"/>
      <c r="S66" s="35">
        <f t="shared" si="21"/>
        <v>1</v>
      </c>
      <c r="T66" s="50" t="str">
        <f t="shared" si="4"/>
        <v>NorthBound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09:09:24-0600',mode:absolute,to:'2016-10-20 11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4.5499999999999999E-2</v>
      </c>
      <c r="Z66" s="67">
        <f t="shared" si="19"/>
        <v>23.331199999999999</v>
      </c>
      <c r="AA66" s="67">
        <f t="shared" si="10"/>
        <v>23.285699999999999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0153-20</v>
      </c>
      <c r="AE66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66" s="88" t="str">
        <f t="shared" si="13"/>
        <v>"C:\Program Files (x86)\AstroGrep\AstroGrep.exe" /spath="%USERPROFILE%\AppData\Local\Temp\OnboardLogs" /stypes="app*4044*20161020*"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153-20 --locoid 4044 --swversion DE.1.0.7.0 --startMP 204:455 --initTime 2016-10-20T10:09:24 --startdatetime 2016-10-20T10:15:18 --delay 1 --endMP 204:233312 --enddatetime 2016-10-20T10:53:35 --enforcementcount 0 &gt;&gt;C:\Users\stu\Documents\GitHub\eaglep3-reporting\EC\2016-10-20-refined-times.txt</v>
      </c>
      <c r="AI6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ID","value":"153-20"},{"id":16,"name":"Locomotive ID","value":"4044"},{"id":130,"name":"Impact","value":""},{"id":150,"name":"Time of Event (Mountain Time)","value":"10:53:35"},{"id":151,"name":"Denver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510</v>
      </c>
      <c r="B67" s="7">
        <v>4043</v>
      </c>
      <c r="C67" s="22" t="s">
        <v>99</v>
      </c>
      <c r="D67" s="22" t="s">
        <v>369</v>
      </c>
      <c r="E67" s="13">
        <v>42663.462291666663</v>
      </c>
      <c r="F67" s="13">
        <v>42663.466643518521</v>
      </c>
      <c r="G67" s="7">
        <v>1</v>
      </c>
      <c r="H67" s="13" t="s">
        <v>226</v>
      </c>
      <c r="I67" s="13">
        <v>42663.494895833333</v>
      </c>
      <c r="J67" s="7">
        <v>0</v>
      </c>
      <c r="K67" s="112" t="str">
        <f t="shared" si="0"/>
        <v>4043/4044</v>
      </c>
      <c r="L67" s="22" t="str">
        <f>VLOOKUP(A67,'Trips&amp;Operators'!$C$1:$E$10000,3,FALSE)</f>
        <v>STARKS</v>
      </c>
      <c r="M67" s="6">
        <f t="shared" si="1"/>
        <v>2.8252314812561963E-2</v>
      </c>
      <c r="N67" s="7">
        <f t="shared" si="20"/>
        <v>40.683333330089226</v>
      </c>
      <c r="O67" s="7"/>
      <c r="P67" s="7"/>
      <c r="Q67" s="23"/>
      <c r="R67" s="23"/>
      <c r="S67" s="35">
        <f t="shared" si="21"/>
        <v>1</v>
      </c>
      <c r="T67" s="50" t="str">
        <f t="shared" si="4"/>
        <v>Southbound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10:05:42-0600',mode:absolute,to:'2016-10-20 12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23.299600000000002</v>
      </c>
      <c r="Z67" s="67">
        <f t="shared" si="19"/>
        <v>1.49E-2</v>
      </c>
      <c r="AA67" s="67">
        <f t="shared" si="10"/>
        <v>23.284700000000001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0154-20</v>
      </c>
      <c r="AE67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67" s="88" t="str">
        <f t="shared" si="13"/>
        <v>"C:\Program Files (x86)\AstroGrep\AstroGrep.exe" /spath="%USERPROFILE%\AppData\Local\Temp\OnboardLogs" /stypes="app*4043*20161020*"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154-20 --locoid 4043 --swversion DE.1.0.7.0 --startMP 204:232996 --initTime 2016-10-20T11:05:42 --startdatetime 2016-10-20T11:11:58 --delay 1 --endMP 204:149 --enddatetime 2016-10-20T11:52:39 --enforcementcount 0 &gt;&gt;C:\Users\stu\Documents\GitHub\eaglep3-reporting\EC\2016-10-20-refined-times.txt</v>
      </c>
      <c r="AI6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ID","value":"154-20"},{"id":16,"name":"Locomotive ID","value":"4043"},{"id":130,"name":"Impact","value":""},{"id":150,"name":"Time of Event (Mountain Time)","value":"11:52:39"},{"id":151,"name":"Denver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503</v>
      </c>
      <c r="B68" s="7">
        <v>4029</v>
      </c>
      <c r="C68" s="22" t="s">
        <v>99</v>
      </c>
      <c r="D68" s="22" t="s">
        <v>301</v>
      </c>
      <c r="E68" s="13">
        <v>42663.433009259257</v>
      </c>
      <c r="F68" s="13">
        <v>42663.437881944446</v>
      </c>
      <c r="G68" s="7">
        <v>2</v>
      </c>
      <c r="H68" s="13" t="s">
        <v>183</v>
      </c>
      <c r="I68" s="13">
        <v>42663.462442129632</v>
      </c>
      <c r="J68" s="7">
        <v>0</v>
      </c>
      <c r="K68" s="112" t="str">
        <f t="shared" si="0"/>
        <v>4029/4030</v>
      </c>
      <c r="L68" s="22" t="str">
        <f>VLOOKUP(A68,'Trips&amp;Operators'!$C$1:$E$10000,3,FALSE)</f>
        <v>YORK</v>
      </c>
      <c r="M68" s="6">
        <f t="shared" si="1"/>
        <v>2.4560185185691807E-2</v>
      </c>
      <c r="N68" s="7">
        <f t="shared" si="20"/>
        <v>35.366666667396203</v>
      </c>
      <c r="O68" s="7"/>
      <c r="P68" s="7"/>
      <c r="Q68" s="23"/>
      <c r="R68" s="23"/>
      <c r="S68" s="35">
        <f t="shared" si="21"/>
        <v>1</v>
      </c>
      <c r="T68" s="50" t="str">
        <f t="shared" si="4"/>
        <v>NorthBound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09:23:32-0600',mode:absolute,to:'2016-10-20 12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4.4900000000000002E-2</v>
      </c>
      <c r="Z68" s="67">
        <f t="shared" si="19"/>
        <v>23.331199999999999</v>
      </c>
      <c r="AA68" s="67">
        <f t="shared" si="10"/>
        <v>23.286300000000001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0155-20</v>
      </c>
      <c r="AE68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68" s="88" t="str">
        <f t="shared" si="13"/>
        <v>"C:\Program Files (x86)\AstroGrep\AstroGrep.exe" /spath="%USERPROFILE%\AppData\Local\Temp\OnboardLogs" /stypes="app*4029*20161020*"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155-20 --locoid 4029 --swversion DE.1.0.7.0 --startMP 204:449 --initTime 2016-10-20T10:23:32 --startdatetime 2016-10-20T10:30:33 --delay 2 --endMP 204:233312 --enddatetime 2016-10-20T11:05:55 --enforcementcount 0 &gt;&gt;C:\Users\stu\Documents\GitHub\eaglep3-reporting\EC\2016-10-20-refined-times.txt</v>
      </c>
      <c r="AI6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ID","value":"155-20"},{"id":16,"name":"Locomotive ID","value":"4029"},{"id":130,"name":"Impact","value":""},{"id":150,"name":"Time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4030</v>
      </c>
      <c r="C69" s="22" t="s">
        <v>99</v>
      </c>
      <c r="D69" s="22" t="s">
        <v>369</v>
      </c>
      <c r="E69" s="13">
        <v>42663.46398148148</v>
      </c>
      <c r="F69" s="13">
        <v>42663.476875</v>
      </c>
      <c r="G69" s="7">
        <v>1</v>
      </c>
      <c r="H69" s="13" t="s">
        <v>223</v>
      </c>
      <c r="I69" s="13">
        <v>42663.504699074074</v>
      </c>
      <c r="J69" s="7">
        <v>0</v>
      </c>
      <c r="K69" s="112" t="str">
        <f t="shared" si="0"/>
        <v>4029/4030</v>
      </c>
      <c r="L69" s="22" t="str">
        <f>VLOOKUP(A69,'Trips&amp;Operators'!$C$1:$E$10000,3,FALSE)</f>
        <v>YORK</v>
      </c>
      <c r="M69" s="6">
        <f t="shared" si="1"/>
        <v>2.7824074073578231E-2</v>
      </c>
      <c r="N69" s="7">
        <f t="shared" si="20"/>
        <v>40.066666665952653</v>
      </c>
      <c r="O69" s="7"/>
      <c r="P69" s="7"/>
      <c r="Q69" s="23"/>
      <c r="R69" s="23"/>
      <c r="S69" s="35">
        <f t="shared" si="21"/>
        <v>1</v>
      </c>
      <c r="T69" s="50" t="str">
        <f t="shared" si="4"/>
        <v>Southbound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10:08:08-0600',mode:absolute,to:'2016-10-20 13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23.299600000000002</v>
      </c>
      <c r="Z69" s="67">
        <f t="shared" si="19"/>
        <v>1.54E-2</v>
      </c>
      <c r="AA69" s="67">
        <f t="shared" si="10"/>
        <v>23.284200000000002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0156-20</v>
      </c>
      <c r="AE69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69" s="88" t="str">
        <f t="shared" si="13"/>
        <v>"C:\Program Files (x86)\AstroGrep\AstroGrep.exe" /spath="%USERPROFILE%\AppData\Local\Temp\OnboardLogs" /stypes="app*4030*20161020*"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156-20 --locoid 4030 --swversion DE.1.0.7.0 --startMP 204:232996 --initTime 2016-10-20T11:08:08 --startdatetime 2016-10-20T11:26:42 --delay 1 --endMP 204:154 --enddatetime 2016-10-20T12:06:46 --enforcementcount 0 &gt;&gt;C:\Users\stu\Documents\GitHub\eaglep3-reporting\EC\2016-10-20-refined-times.txt</v>
      </c>
      <c r="AI6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{"issue":{"subject":"","project_id":79,"tracker_id":40,"status_id":1,"priority_id":2,"assigned_to_id":23,"start_date":"2016-10-20","description":"","custom_fields":[{"id":1,"name":"Subdivision","value":"EC"},{"id":4,"name":"Milepost","value":"0.0154"},{"id":17,"name":"Train ID","value":"156-20"},{"id":16,"name":"Locomotive ID","value":"4030"},{"id":130,"name":"Impact","value":""},{"id":150,"name":"Time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409</v>
      </c>
      <c r="B70" s="7">
        <v>4018</v>
      </c>
      <c r="C70" s="22" t="s">
        <v>99</v>
      </c>
      <c r="D70" s="22" t="s">
        <v>274</v>
      </c>
      <c r="E70" s="13">
        <v>42663.443935185183</v>
      </c>
      <c r="F70" s="13">
        <v>42663.448217592595</v>
      </c>
      <c r="G70" s="7">
        <v>1</v>
      </c>
      <c r="H70" s="13" t="s">
        <v>647</v>
      </c>
      <c r="I70" s="13">
        <v>42663.47483796296</v>
      </c>
      <c r="J70" s="7">
        <v>0</v>
      </c>
      <c r="K70" s="112" t="str">
        <f t="shared" si="0"/>
        <v>4017/4018</v>
      </c>
      <c r="L70" s="22" t="str">
        <f>VLOOKUP(A70,'Trips&amp;Operators'!$C$1:$E$10000,3,FALSE)</f>
        <v>BRANNON</v>
      </c>
      <c r="M70" s="6">
        <f t="shared" si="1"/>
        <v>2.6620370364980772E-2</v>
      </c>
      <c r="N70" s="7">
        <f t="shared" si="20"/>
        <v>38.333333325572312</v>
      </c>
      <c r="O70" s="7"/>
      <c r="P70" s="7"/>
      <c r="Q70" s="23"/>
      <c r="R70" s="23"/>
      <c r="S70" s="35">
        <f t="shared" si="21"/>
        <v>1</v>
      </c>
      <c r="T70" s="50" t="str">
        <f t="shared" si="4"/>
        <v>NorthBound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4.4400000000000002E-2</v>
      </c>
      <c r="Z70" s="67">
        <f t="shared" si="19"/>
        <v>23.333600000000001</v>
      </c>
      <c r="AA70" s="67">
        <f t="shared" si="10"/>
        <v>23.289200000000001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0157-20</v>
      </c>
      <c r="AE70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70" s="88" t="str">
        <f t="shared" si="13"/>
        <v>"C:\Program Files (x86)\AstroGrep\AstroGrep.exe" /spath="%USERPROFILE%\AppData\Local\Temp\OnboardLogs" /stypes="app*4018*20161020*"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157-20 --locoid 4018 --swversion DE.1.0.7.0 --startMP 204:444 --initTime 2016-10-20T10:39:16 --startdatetime 2016-10-20T10:45:26 --delay 1 --endMP 204:233336 --enddatetime 2016-10-20T11:23:46 --enforcementcount 0 &gt;&gt;C:\Users\stu\Documents\GitHub\eaglep3-reporting\EC\2016-10-20-refined-times.txt</v>
      </c>
      <c r="AI7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{"issue":{"subject":"","project_id":79,"tracker_id":40,"status_id":1,"priority_id":2,"assigned_to_id":23,"start_date":"2016-10-20","description":"","custom_fields":[{"id":1,"name":"Subdivision","value":"EC"},{"id":4,"name":"Milepost","value":"23.3336"},{"id":17,"name":"Train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517</v>
      </c>
      <c r="B71" s="7">
        <v>4017</v>
      </c>
      <c r="C71" s="22" t="s">
        <v>99</v>
      </c>
      <c r="D71" s="22" t="s">
        <v>267</v>
      </c>
      <c r="E71" s="13">
        <v>42663.480011574073</v>
      </c>
      <c r="F71" s="13">
        <v>42663.487013888887</v>
      </c>
      <c r="G71" s="7">
        <v>1</v>
      </c>
      <c r="H71" s="13" t="s">
        <v>384</v>
      </c>
      <c r="I71" s="13">
        <v>42663.515833333331</v>
      </c>
      <c r="J71" s="7">
        <v>0</v>
      </c>
      <c r="K71" s="112" t="str">
        <f t="shared" si="0"/>
        <v>4017/4018</v>
      </c>
      <c r="L71" s="22" t="str">
        <f>VLOOKUP(A71,'Trips&amp;Operators'!$C$1:$E$10000,3,FALSE)</f>
        <v>BRANNON</v>
      </c>
      <c r="M71" s="6">
        <f t="shared" si="1"/>
        <v>2.8819444443797693E-2</v>
      </c>
      <c r="N71" s="7">
        <f t="shared" si="20"/>
        <v>41.499999999068677</v>
      </c>
      <c r="O71" s="7"/>
      <c r="P71" s="7"/>
      <c r="Q71" s="23"/>
      <c r="R71" s="23"/>
      <c r="S71" s="35">
        <f t="shared" si="21"/>
        <v>1</v>
      </c>
      <c r="T71" s="50" t="str">
        <f t="shared" si="4"/>
        <v>Southbound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10:31:13-0600',mode:absolute,to:'2016-10-20 13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23.299399999999999</v>
      </c>
      <c r="Z71" s="67">
        <f t="shared" si="19"/>
        <v>1.29E-2</v>
      </c>
      <c r="AA71" s="67">
        <f t="shared" si="10"/>
        <v>23.2865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0158-20</v>
      </c>
      <c r="AE71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71" s="88" t="str">
        <f t="shared" si="13"/>
        <v>"C:\Program Files (x86)\AstroGrep\AstroGrep.exe" /spath="%USERPROFILE%\AppData\Local\Temp\OnboardLogs" /stypes="app*4017*20161020*"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158-20 --locoid 4017 --swversion DE.1.0.7.0 --startMP 204:232994 --initTime 2016-10-20T11:31:13 --startdatetime 2016-10-20T11:41:18 --delay 1 --endMP 204:129 --enddatetime 2016-10-20T12:22:48 --enforcementcount 0 &gt;&gt;C:\Users\stu\Documents\GitHub\eaglep3-reporting\EC\2016-10-20-refined-times.txt</v>
      </c>
      <c r="AI7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ID","value":"158-20"},{"id":16,"name":"Locomotive ID","value":"4017"},{"id":130,"name":"Impact","value":""},{"id":150,"name":"Time of Event (Mountain Time)","value":"12:22:48"},{"id":151,"name":"Denver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507</v>
      </c>
      <c r="B72" s="7">
        <v>4038</v>
      </c>
      <c r="C72" s="22" t="s">
        <v>99</v>
      </c>
      <c r="D72" s="22" t="s">
        <v>289</v>
      </c>
      <c r="E72" s="13">
        <v>42663.455949074072</v>
      </c>
      <c r="F72" s="13">
        <v>42663.459143518521</v>
      </c>
      <c r="G72" s="7">
        <v>1</v>
      </c>
      <c r="H72" s="13" t="s">
        <v>625</v>
      </c>
      <c r="I72" s="13">
        <v>42663.485115740739</v>
      </c>
      <c r="J72" s="7">
        <v>0</v>
      </c>
      <c r="K72" s="112" t="str">
        <f t="shared" si="0"/>
        <v>4037/4038</v>
      </c>
      <c r="L72" s="22" t="str">
        <f>VLOOKUP(A72,'Trips&amp;Operators'!$C$1:$E$10000,3,FALSE)</f>
        <v>BROWN</v>
      </c>
      <c r="M72" s="6">
        <f t="shared" si="1"/>
        <v>2.5972222218115348E-2</v>
      </c>
      <c r="N72" s="7">
        <f t="shared" si="20"/>
        <v>37.399999994086102</v>
      </c>
      <c r="O72" s="7"/>
      <c r="P72" s="7"/>
      <c r="Q72" s="23"/>
      <c r="R72" s="23"/>
      <c r="S72" s="35">
        <f t="shared" si="21"/>
        <v>1</v>
      </c>
      <c r="T72" s="50" t="str">
        <f t="shared" si="4"/>
        <v>NorthBound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09:56:34-0600',mode:absolute,to:'2016-10-20 12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4.8399999999999999E-2</v>
      </c>
      <c r="Z72" s="67">
        <f t="shared" si="19"/>
        <v>23.332100000000001</v>
      </c>
      <c r="AA72" s="67">
        <f t="shared" si="10"/>
        <v>23.2837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0159-20</v>
      </c>
      <c r="AE72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72" s="88" t="str">
        <f t="shared" si="13"/>
        <v>"C:\Program Files (x86)\AstroGrep\AstroGrep.exe" /spath="%USERPROFILE%\AppData\Local\Temp\OnboardLogs" /stypes="app*4038*20161020*"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159-20 --locoid 4038 --swversion DE.1.0.7.0 --startMP 204:484 --initTime 2016-10-20T10:56:34 --startdatetime 2016-10-20T11:01:10 --delay 1 --endMP 204:233321 --enddatetime 2016-10-20T11:38:34 --enforcementcount 0 &gt;&gt;C:\Users\stu\Documents\GitHub\eaglep3-reporting\EC\2016-10-20-refined-times.txt</v>
      </c>
      <c r="AI7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ID","value":"159-20"},{"id":16,"name":"Locomotive ID","value":"4038"},{"id":130,"name":"Impact","value":""},{"id":150,"name":"Time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414</v>
      </c>
      <c r="B73" s="7">
        <v>4037</v>
      </c>
      <c r="C73" s="22" t="s">
        <v>99</v>
      </c>
      <c r="D73" s="22" t="s">
        <v>369</v>
      </c>
      <c r="E73" s="13">
        <v>42663.491574074076</v>
      </c>
      <c r="F73" s="13">
        <v>42663.497581018521</v>
      </c>
      <c r="G73" s="7">
        <v>2</v>
      </c>
      <c r="H73" s="13" t="s">
        <v>648</v>
      </c>
      <c r="I73" s="13">
        <v>42663.525740740741</v>
      </c>
      <c r="J73" s="7">
        <v>0</v>
      </c>
      <c r="K73" s="112" t="str">
        <f t="shared" si="0"/>
        <v>4037/4038</v>
      </c>
      <c r="L73" s="22" t="str">
        <f>VLOOKUP(A73,'Trips&amp;Operators'!$C$1:$E$10000,3,FALSE)</f>
        <v>BROWN</v>
      </c>
      <c r="M73" s="6">
        <f t="shared" si="1"/>
        <v>2.8159722220152617E-2</v>
      </c>
      <c r="N73" s="7">
        <f t="shared" si="20"/>
        <v>40.549999997019768</v>
      </c>
      <c r="O73" s="7"/>
      <c r="P73" s="7"/>
      <c r="Q73" s="23"/>
      <c r="R73" s="23"/>
      <c r="S73" s="35">
        <f t="shared" si="21"/>
        <v>1</v>
      </c>
      <c r="T73" s="50" t="str">
        <f t="shared" si="4"/>
        <v>Southbound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23.299600000000002</v>
      </c>
      <c r="Z73" s="67">
        <v>0.14000000000000001</v>
      </c>
      <c r="AA73" s="67">
        <f t="shared" si="10"/>
        <v>23.159600000000001</v>
      </c>
      <c r="AB73" s="64" t="str">
        <f>VLOOKUP(A73,Enforcements!$C$7:$K$21,8,0)</f>
        <v>Bulletin (2)</v>
      </c>
      <c r="AC73" s="60" t="str">
        <f>VLOOKUP(A73,Enforcements!$C$7:$E$21,3,0)</f>
        <v>GRADE CROSSING</v>
      </c>
      <c r="AD73" s="61" t="str">
        <f t="shared" si="11"/>
        <v>0160-20</v>
      </c>
      <c r="AE73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73" s="88" t="str">
        <f t="shared" si="13"/>
        <v>"C:\Program Files (x86)\AstroGrep\AstroGrep.exe" /spath="%USERPROFILE%\AppData\Local\Temp\OnboardLogs" /stypes="app*4037*20161020*"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160-20 --locoid 4037 --swversion DE.1.0.7.0 --startMP 204:232996 --initTime 2016-10-20T11:47:52 --startdatetime 2016-10-20T11:56:31 --delay 2 --endMP 204:13617 --enddatetime 2016-10-20T12:37:04 --enforcementcount 0 &gt;&gt;C:\Users\stu\Documents\GitHub\eaglep3-reporting\EC\2016-10-20-refined-times.txt</v>
      </c>
      <c r="AI7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{"issue":{"subject":"","project_id":79,"tracker_id":40,"status_id":1,"priority_id":2,"assigned_to_id":23,"start_date":"2016-10-20","description":"","custom_fields":[{"id":1,"name":"Subdivision","value":"EC"},{"id":4,"name":"Milepost","value":"0.14"},{"id":17,"name":"Train ID","value":"160-20"},{"id":16,"name":"Locomotive ID","value":"4037"},{"id":130,"name":"Impact","value":""},{"id":150,"name":"Time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411</v>
      </c>
      <c r="B74" s="7">
        <v>4006</v>
      </c>
      <c r="C74" s="22" t="s">
        <v>99</v>
      </c>
      <c r="D74" s="22" t="s">
        <v>274</v>
      </c>
      <c r="E74" s="13">
        <v>42663.463842592595</v>
      </c>
      <c r="F74" s="13">
        <v>42663.468946759262</v>
      </c>
      <c r="G74" s="7">
        <v>2</v>
      </c>
      <c r="H74" s="13" t="s">
        <v>649</v>
      </c>
      <c r="I74" s="13">
        <v>42663.495925925927</v>
      </c>
      <c r="J74" s="7">
        <v>0</v>
      </c>
      <c r="K74" s="112" t="str">
        <f t="shared" si="0"/>
        <v>4005/4006</v>
      </c>
      <c r="L74" s="22" t="str">
        <f>VLOOKUP(A74,'Trips&amp;Operators'!$C$1:$E$10000,3,FALSE)</f>
        <v>SHOOK</v>
      </c>
      <c r="M74" s="6">
        <f t="shared" si="1"/>
        <v>2.6979166665114462E-2</v>
      </c>
      <c r="N74" s="7">
        <f t="shared" si="20"/>
        <v>38.849999997764826</v>
      </c>
      <c r="O74" s="7"/>
      <c r="P74" s="7"/>
      <c r="Q74" s="23"/>
      <c r="R74" s="23"/>
      <c r="S74" s="35">
        <f t="shared" si="21"/>
        <v>1</v>
      </c>
      <c r="T74" s="50" t="str">
        <f t="shared" si="4"/>
        <v>NorthBound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74" s="52" t="str">
        <f t="shared" si="6"/>
        <v>N</v>
      </c>
      <c r="X74" s="171">
        <f t="shared" si="7"/>
        <v>1</v>
      </c>
      <c r="Y74" s="67">
        <f t="shared" si="8"/>
        <v>4.4400000000000002E-2</v>
      </c>
      <c r="Z74" s="67">
        <f t="shared" ref="Z74:Z105" si="22">RIGHT(H74,LEN(H74)-4)/10000</f>
        <v>23.336200000000002</v>
      </c>
      <c r="AA74" s="67">
        <f t="shared" si="10"/>
        <v>23.291800000000002</v>
      </c>
      <c r="AB74" s="64" t="str">
        <f>VLOOKUP(A74,Enforcements!$C$7:$K$21,8,0)</f>
        <v>Speed (6)</v>
      </c>
      <c r="AC74" s="60" t="str">
        <f>VLOOKUP(A74,Enforcements!$C$7:$E$21,3,0)</f>
        <v>PERMANENT SPEED RESTRICTION</v>
      </c>
      <c r="AD74" s="61" t="str">
        <f t="shared" si="11"/>
        <v>0161-20</v>
      </c>
      <c r="AE74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74" s="88" t="str">
        <f t="shared" si="13"/>
        <v>"C:\Program Files (x86)\AstroGrep\AstroGrep.exe" /spath="%USERPROFILE%\AppData\Local\Temp\OnboardLogs" /stypes="app*4006*20161020*"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161-20 --locoid 4006 --swversion DE.1.0.7.0 --startMP 204:444 --initTime 2016-10-20T11:07:56 --startdatetime 2016-10-20T11:15:17 --delay 2 --endMP 204:233362 --enddatetime 2016-10-20T11:54:08 --enforcementcount 0 &gt;&gt;C:\Users\stu\Documents\GitHub\eaglep3-reporting\EC\2016-10-20-refined-times.txt</v>
      </c>
      <c r="AI7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{"issue":{"subject":"","project_id":79,"tracker_id":40,"status_id":1,"priority_id":2,"assigned_to_id":23,"start_date":"2016-10-20","description":"","custom_fields":[{"id":1,"name":"Subdivision","value":"EC"},{"id":4,"name":"Milepost","value":"23.3362"},{"id":17,"name":"Train ID","value":"161-20"},{"id":16,"name":"Locomotive ID","value":"4006"},{"id":130,"name":"Impact","value":""},{"id":150,"name":"Time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522</v>
      </c>
      <c r="B75" s="7">
        <v>4005</v>
      </c>
      <c r="C75" s="22" t="s">
        <v>99</v>
      </c>
      <c r="D75" s="22" t="s">
        <v>650</v>
      </c>
      <c r="E75" s="13">
        <v>42663.502847222226</v>
      </c>
      <c r="F75" s="13">
        <v>42663.5078587963</v>
      </c>
      <c r="G75" s="7">
        <v>1</v>
      </c>
      <c r="H75" s="13" t="s">
        <v>228</v>
      </c>
      <c r="I75" s="13">
        <v>42663.534791666665</v>
      </c>
      <c r="J75" s="7">
        <v>0</v>
      </c>
      <c r="K75" s="112" t="str">
        <f t="shared" si="0"/>
        <v>4005/4006</v>
      </c>
      <c r="L75" s="22" t="str">
        <f>VLOOKUP(A75,'Trips&amp;Operators'!$C$1:$E$10000,3,FALSE)</f>
        <v>SHOOK</v>
      </c>
      <c r="M75" s="6">
        <f t="shared" si="1"/>
        <v>2.693287036527181E-2</v>
      </c>
      <c r="N75" s="7">
        <f t="shared" si="20"/>
        <v>38.783333325991407</v>
      </c>
      <c r="O75" s="7"/>
      <c r="P75" s="7"/>
      <c r="Q75" s="23"/>
      <c r="R75" s="23"/>
      <c r="S75" s="35">
        <f t="shared" si="21"/>
        <v>1</v>
      </c>
      <c r="T75" s="50" t="str">
        <f t="shared" si="4"/>
        <v>Southbound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11:04:06-0600',mode:absolute,to:'2016-10-20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23.306100000000001</v>
      </c>
      <c r="Z75" s="67">
        <f t="shared" si="22"/>
        <v>1.43E-2</v>
      </c>
      <c r="AA75" s="67">
        <f t="shared" si="10"/>
        <v>23.291800000000002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0162-20</v>
      </c>
      <c r="AE75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75" s="88" t="str">
        <f t="shared" si="13"/>
        <v>"C:\Program Files (x86)\AstroGrep\AstroGrep.exe" /spath="%USERPROFILE%\AppData\Local\Temp\OnboardLogs" /stypes="app*4005*20161020*"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162-20 --locoid 4005 --swversion DE.1.0.7.0 --startMP 204:233061 --initTime 2016-10-20T12:04:06 --startdatetime 2016-10-20T12:11:19 --delay 1 --endMP 204:143 --enddatetime 2016-10-20T12:50:06 --enforcementcount 0 &gt;&gt;C:\Users\stu\Documents\GitHub\eaglep3-reporting\EC\2016-10-20-refined-times.txt</v>
      </c>
      <c r="AI7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ID","value":"162-20"},{"id":16,"name":"Locomotive ID","value":"4005"},{"id":130,"name":"Impact","value":""},{"id":150,"name":"Time of Event (Mountain Time)","value":"12:50:06"},{"id":151,"name":"Denver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515</v>
      </c>
      <c r="B76" s="7">
        <v>4011</v>
      </c>
      <c r="C76" s="22" t="s">
        <v>99</v>
      </c>
      <c r="D76" s="22" t="s">
        <v>238</v>
      </c>
      <c r="E76" s="13">
        <v>42663.475694444445</v>
      </c>
      <c r="F76" s="13">
        <v>42663.479467592595</v>
      </c>
      <c r="G76" s="7">
        <v>1</v>
      </c>
      <c r="H76" s="13" t="s">
        <v>195</v>
      </c>
      <c r="I76" s="13">
        <v>42663.505740740744</v>
      </c>
      <c r="J76" s="7">
        <v>0</v>
      </c>
      <c r="K76" s="112" t="str">
        <f t="shared" si="0"/>
        <v>4011/4012</v>
      </c>
      <c r="L76" s="22" t="str">
        <f>VLOOKUP(A76,'Trips&amp;Operators'!$C$1:$E$10000,3,FALSE)</f>
        <v>CRAYTON</v>
      </c>
      <c r="M76" s="6">
        <f t="shared" si="1"/>
        <v>2.6273148148902692E-2</v>
      </c>
      <c r="N76" s="7">
        <f t="shared" si="20"/>
        <v>37.833333334419876</v>
      </c>
      <c r="O76" s="7"/>
      <c r="P76" s="7"/>
      <c r="Q76" s="23"/>
      <c r="R76" s="23"/>
      <c r="S76" s="35">
        <f t="shared" si="21"/>
        <v>1</v>
      </c>
      <c r="T76" s="50" t="str">
        <f t="shared" si="4"/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10:25:00-0600',mode:absolute,to:'2016-10-20 13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 t="shared" si="6"/>
        <v>N</v>
      </c>
      <c r="X76" s="171">
        <f t="shared" si="7"/>
        <v>1</v>
      </c>
      <c r="Y76" s="67">
        <f t="shared" si="8"/>
        <v>4.6600000000000003E-2</v>
      </c>
      <c r="Z76" s="67">
        <f t="shared" si="22"/>
        <v>23.329699999999999</v>
      </c>
      <c r="AA76" s="67">
        <f t="shared" si="10"/>
        <v>23.283099999999997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0163-20</v>
      </c>
      <c r="AE76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76" s="88" t="str">
        <f t="shared" si="13"/>
        <v>"C:\Program Files (x86)\AstroGrep\AstroGrep.exe" /spath="%USERPROFILE%\AppData\Local\Temp\OnboardLogs" /stypes="app*4011*20161020*"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163-20 --locoid 4011 --swversion DE.1.0.7.0 --startMP 204:466 --initTime 2016-10-20T11:25:00 --startdatetime 2016-10-20T11:30:26 --delay 1 --endMP 204:233297 --enddatetime 2016-10-20T12:08:16 --enforcementcount 0 &gt;&gt;C:\Users\stu\Documents\GitHub\eaglep3-reporting\EC\2016-10-20-refined-times.txt</v>
      </c>
      <c r="AI7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ID","value":"163-20"},{"id":16,"name":"Locomotive ID","value":"4011"},{"id":130,"name":"Impact","value":""},{"id":150,"name":"Time of Event (Mountain Time)","value":"12:08:16"},{"id":151,"name":"Denver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4012</v>
      </c>
      <c r="C77" s="22" t="s">
        <v>99</v>
      </c>
      <c r="D77" s="22" t="s">
        <v>285</v>
      </c>
      <c r="E77" s="13">
        <v>42663.507337962961</v>
      </c>
      <c r="F77" s="13">
        <v>42663.518217592595</v>
      </c>
      <c r="G77" s="7">
        <v>6</v>
      </c>
      <c r="H77" s="13" t="s">
        <v>226</v>
      </c>
      <c r="I77" s="13">
        <v>42663.54583333333</v>
      </c>
      <c r="J77" s="7">
        <v>0</v>
      </c>
      <c r="K77" s="112" t="str">
        <f t="shared" ref="K77:K140" si="23">IF(ISEVEN(B77),(B77-1)&amp;"/"&amp;B77,B77&amp;"/"&amp;(B77+1))</f>
        <v>4011/4012</v>
      </c>
      <c r="L77" s="22" t="str">
        <f>VLOOKUP(A77,'Trips&amp;Operators'!$C$1:$E$10000,3,FALSE)</f>
        <v>CRAYTON</v>
      </c>
      <c r="M77" s="6">
        <f t="shared" ref="M77:M140" si="24">I77-F77</f>
        <v>2.7615740735200234E-2</v>
      </c>
      <c r="N77" s="7">
        <f t="shared" si="20"/>
        <v>39.766666658688337</v>
      </c>
      <c r="O77" s="7"/>
      <c r="P77" s="7"/>
      <c r="Q77" s="23"/>
      <c r="R77" s="23"/>
      <c r="S77" s="35">
        <f t="shared" si="21"/>
        <v>1</v>
      </c>
      <c r="T77" s="50" t="str">
        <f t="shared" ref="T77:T140" si="25"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https://search-rtdc-monitor-bjffxe2xuh6vdkpspy63sjmuny.us-east-1.es.amazonaws.com/_plugin/kibana/#/discover/Steve-Slow-Train-Analysis-(2080s-and-2083s)?_g=(refreshInterval:(display:Off,section:0,value:0),time:(from:'2016-10-20 11:10:34-0600',mode:absolute,to:'2016-10-20 14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 t="shared" ref="W77:W140" si="27">IF(AA77&lt;IF(AG77="EC",23,5.65),"Y","N")</f>
        <v>N</v>
      </c>
      <c r="X77" s="171">
        <f t="shared" ref="X77:X140" si="28">VALUE(LEFT(AD77,4))-VALUE(LEFT(AD76,4))</f>
        <v>1</v>
      </c>
      <c r="Y77" s="67">
        <f t="shared" ref="Y77:Y140" si="29">RIGHT(D77,LEN(D77)-4)/10000</f>
        <v>23.298100000000002</v>
      </c>
      <c r="Z77" s="67">
        <f t="shared" si="22"/>
        <v>1.49E-2</v>
      </c>
      <c r="AA77" s="67">
        <f t="shared" ref="AA77:AA140" si="30">ABS(Z77-Y77)</f>
        <v>23.283200000000001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1">IF(LEN(A77)=6,"0"&amp;A77,A77)</f>
        <v>0164-20</v>
      </c>
      <c r="AE77" s="91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77" s="88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/stypes="app*4012*20161020*" /stext=" 19:.+((SYSTEM_STATE.+slice.+state.+changed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164-20 --locoid 4012 --swversion DE.1.0.7.0 --startMP 204:232981 --initTime 2016-10-20T12:10:34 --startdatetime 2016-10-20T12:26:14 --delay 6 --endMP 204:149 --enddatetime 2016-10-20T13:06:00 --enforcementcount 0 &gt;&gt;C:\Users\stu\Documents\GitHub\eaglep3-reporting\EC\2016-10-20-refined-times.txt</v>
      </c>
      <c r="AI7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ID","value":"164-20"},{"id":16,"name":"Locomotive ID","value":"4012"},{"id":130,"name":"Impact","value":""},{"id":150,"name":"Time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519</v>
      </c>
      <c r="B78" s="7">
        <v>4042</v>
      </c>
      <c r="C78" s="22" t="s">
        <v>99</v>
      </c>
      <c r="D78" s="22" t="s">
        <v>349</v>
      </c>
      <c r="E78" s="13">
        <v>42663.485358796293</v>
      </c>
      <c r="F78" s="13">
        <v>42663.489756944444</v>
      </c>
      <c r="G78" s="7">
        <v>1</v>
      </c>
      <c r="H78" s="13" t="s">
        <v>227</v>
      </c>
      <c r="I78" s="13">
        <v>42663.513865740744</v>
      </c>
      <c r="J78" s="7">
        <v>0</v>
      </c>
      <c r="K78" s="112" t="str">
        <f t="shared" si="23"/>
        <v>4041/4042</v>
      </c>
      <c r="L78" s="22" t="str">
        <f>VLOOKUP(A78,'Trips&amp;Operators'!$C$1:$E$10000,3,FALSE)</f>
        <v>NEWELL</v>
      </c>
      <c r="M78" s="6">
        <f t="shared" si="24"/>
        <v>2.4108796300424729E-2</v>
      </c>
      <c r="N78" s="7">
        <f t="shared" si="20"/>
        <v>34.716666672611609</v>
      </c>
      <c r="O78" s="7"/>
      <c r="P78" s="7"/>
      <c r="Q78" s="23"/>
      <c r="R78" s="23"/>
      <c r="S78" s="35">
        <f t="shared" si="21"/>
        <v>1</v>
      </c>
      <c r="T78" s="50" t="str">
        <f t="shared" si="25"/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10:38:55-0600',mode:absolute,to:'2016-10-20 13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52" t="str">
        <f t="shared" si="27"/>
        <v>N</v>
      </c>
      <c r="X78" s="171">
        <f t="shared" si="28"/>
        <v>1</v>
      </c>
      <c r="Y78" s="67">
        <f t="shared" si="29"/>
        <v>4.6199999999999998E-2</v>
      </c>
      <c r="Z78" s="67">
        <f t="shared" si="22"/>
        <v>23.3293</v>
      </c>
      <c r="AA78" s="67">
        <f t="shared" si="30"/>
        <v>23.283100000000001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1"/>
        <v>0165-20</v>
      </c>
      <c r="AE78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78" s="88" t="str">
        <f t="shared" si="33"/>
        <v>"C:\Program Files (x86)\AstroGrep\AstroGrep.exe" /spath="%USERPROFILE%\AppData\Local\Temp\OnboardLogs" /stypes="app*4042*20161020*"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2" t="str">
        <f t="shared" ref="AH78:AH141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165-20 --locoid 4042 --swversion DE.1.0.7.0 --startMP 204:462 --initTime 2016-10-20T11:38:55 --startdatetime 2016-10-20T11:45:15 --delay 1 --endMP 204:233293 --enddatetime 2016-10-20T12:19:58 --enforcementcount 0 &gt;&gt;C:\Users\stu\Documents\GitHub\eaglep3-reporting\EC\2016-10-20-refined-times.txt</v>
      </c>
      <c r="AI78" s="122" t="str">
        <f t="shared" ref="AI78:AI141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{"issue":{"subject":"","project_id":79,"tracker_id":40,"status_id":1,"priority_id":2,"assigned_to_id":23,"start_date":"2016-10-20","description":"","custom_fields":[{"id":1,"name":"Subdivision","value":"EC"},{"id":4,"name":"Milepost","value":"23.3293"},{"id":17,"name":"Train ID","value":"165-20"},{"id":16,"name":"Locomotive ID","value":"4042"},{"id":130,"name":"Impact","value":""},{"id":150,"name":"Time of Event (Mountain Time)","value":"12:19:58"},{"id":151,"name":"Denver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525</v>
      </c>
      <c r="B79" s="7">
        <v>4041</v>
      </c>
      <c r="C79" s="22" t="s">
        <v>99</v>
      </c>
      <c r="D79" s="22" t="s">
        <v>374</v>
      </c>
      <c r="E79" s="13">
        <v>42663.516180555554</v>
      </c>
      <c r="F79" s="13">
        <v>42663.528761574074</v>
      </c>
      <c r="G79" s="7">
        <v>1</v>
      </c>
      <c r="H79" s="13" t="s">
        <v>283</v>
      </c>
      <c r="I79" s="13">
        <v>42663.555509259262</v>
      </c>
      <c r="J79" s="7">
        <v>0</v>
      </c>
      <c r="K79" s="112" t="str">
        <f t="shared" si="23"/>
        <v>4041/4042</v>
      </c>
      <c r="L79" s="22" t="str">
        <f>VLOOKUP(A79,'Trips&amp;Operators'!$C$1:$E$10000,3,FALSE)</f>
        <v>NEWELL</v>
      </c>
      <c r="M79" s="6">
        <f t="shared" si="24"/>
        <v>2.6747685187729076E-2</v>
      </c>
      <c r="N79" s="7">
        <f t="shared" si="20"/>
        <v>38.516666670329869</v>
      </c>
      <c r="O79" s="7"/>
      <c r="P79" s="7"/>
      <c r="Q79" s="23"/>
      <c r="R79" s="23"/>
      <c r="S79" s="35">
        <f t="shared" si="21"/>
        <v>1</v>
      </c>
      <c r="T79" s="50" t="str">
        <f t="shared" si="25"/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11:23:18-0600',mode:absolute,to:'2016-10-20 14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9" s="52" t="str">
        <f t="shared" si="27"/>
        <v>N</v>
      </c>
      <c r="X79" s="171">
        <f t="shared" si="28"/>
        <v>1</v>
      </c>
      <c r="Y79" s="67">
        <f t="shared" si="29"/>
        <v>23.2988</v>
      </c>
      <c r="Z79" s="67">
        <f t="shared" si="22"/>
        <v>1.3899999999999999E-2</v>
      </c>
      <c r="AA79" s="67">
        <f t="shared" si="30"/>
        <v>23.2849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1"/>
        <v>0166-20</v>
      </c>
      <c r="AE79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79" s="88" t="str">
        <f t="shared" si="33"/>
        <v>"C:\Program Files (x86)\AstroGrep\AstroGrep.exe" /spath="%USERPROFILE%\AppData\Local\Temp\OnboardLogs" /stypes="app*4041*20161020*"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2" t="str">
        <f t="shared" si="35"/>
        <v>"%USERPROFILE%\Documents\GitHub\eaglep3\Utilities\RefineRTDCRunTimes.py" --tripid 166-20 --locoid 4041 --swversion DE.1.0.7.0 --startMP 204:232988 --initTime 2016-10-20T12:23:18 --startdatetime 2016-10-20T12:41:25 --delay 1 --endMP 204:139 --enddatetime 2016-10-20T13:19:56 --enforcementcount 0 &gt;&gt;C:\Users\stu\Documents\GitHub\eaglep3-reporting\EC\2016-10-20-refined-times.txt</v>
      </c>
      <c r="AI7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ID","value":"166-20"},{"id":16,"name":"Locomotive ID","value":"4041"},{"id":130,"name":"Impact","value":""},{"id":150,"name":"Time of Event (Mountain Time)","value":"13:19:56"},{"id":151,"name":"Denver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521</v>
      </c>
      <c r="B80" s="7">
        <v>4044</v>
      </c>
      <c r="C80" s="22" t="s">
        <v>99</v>
      </c>
      <c r="D80" s="22" t="s">
        <v>225</v>
      </c>
      <c r="E80" s="13">
        <v>42663.498692129629</v>
      </c>
      <c r="F80" s="13">
        <v>42663.500393518516</v>
      </c>
      <c r="G80" s="7">
        <v>1</v>
      </c>
      <c r="H80" s="13" t="s">
        <v>346</v>
      </c>
      <c r="I80" s="13">
        <v>42663.526736111111</v>
      </c>
      <c r="J80" s="7">
        <v>0</v>
      </c>
      <c r="K80" s="112" t="str">
        <f t="shared" si="23"/>
        <v>4043/4044</v>
      </c>
      <c r="L80" s="22" t="str">
        <f>VLOOKUP(A80,'Trips&amp;Operators'!$C$1:$E$10000,3,FALSE)</f>
        <v>YOUNG</v>
      </c>
      <c r="M80" s="6">
        <f t="shared" si="24"/>
        <v>2.6342592595028691E-2</v>
      </c>
      <c r="N80" s="7">
        <f t="shared" si="20"/>
        <v>37.933333336841315</v>
      </c>
      <c r="O80" s="7"/>
      <c r="P80" s="7"/>
      <c r="Q80" s="23"/>
      <c r="R80" s="23"/>
      <c r="S80" s="35">
        <f t="shared" si="21"/>
        <v>1</v>
      </c>
      <c r="T80" s="50" t="str">
        <f t="shared" si="25"/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10:58:07-0600',mode:absolute,to:'2016-10-20 13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52" t="str">
        <f t="shared" si="27"/>
        <v>N</v>
      </c>
      <c r="X80" s="171">
        <f t="shared" si="28"/>
        <v>1</v>
      </c>
      <c r="Y80" s="67">
        <f t="shared" si="29"/>
        <v>4.58E-2</v>
      </c>
      <c r="Z80" s="67">
        <f t="shared" si="22"/>
        <v>23.331900000000001</v>
      </c>
      <c r="AA80" s="67">
        <f t="shared" si="30"/>
        <v>23.286100000000001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1"/>
        <v>0167-20</v>
      </c>
      <c r="AE80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80" s="88" t="str">
        <f t="shared" si="33"/>
        <v>"C:\Program Files (x86)\AstroGrep\AstroGrep.exe" /spath="%USERPROFILE%\AppData\Local\Temp\OnboardLogs" /stypes="app*4044*20161020*" /stext=" 18:.+((SYSTEM_STATE.+slice.+state.+changed )|(ment ac)|(system.+state.+changed )|(\[timeout)|(PRM\|1\|D)|(kpr)|(kdp)|(\|lc)|(penalty))" /e /r /s</v>
      </c>
      <c r="AG80" s="1" t="str">
        <f t="shared" si="34"/>
        <v>EC</v>
      </c>
      <c r="AH80" s="92" t="str">
        <f t="shared" si="35"/>
        <v>"%USERPROFILE%\Documents\GitHub\eaglep3\Utilities\RefineRTDCRunTimes.py" --tripid 167-20 --locoid 4044 --swversion DE.1.0.7.0 --startMP 204:458 --initTime 2016-10-20T11:58:07 --startdatetime 2016-10-20T12:00:34 --delay 1 --endMP 204:233319 --enddatetime 2016-10-20T12:38:30 --enforcementcount 0 &gt;&gt;C:\Users\stu\Documents\GitHub\eaglep3-reporting\EC\2016-10-20-refined-times.txt</v>
      </c>
      <c r="AI8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ID","value":"167-20"},{"id":16,"name":"Locomotive ID","value":"4044"},{"id":130,"name":"Impact","value":""},{"id":150,"name":"Time of Event (Mountain Time)","value":"12:38:30"},{"id":151,"name":"Denver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527</v>
      </c>
      <c r="B81" s="7">
        <v>4043</v>
      </c>
      <c r="C81" s="22" t="s">
        <v>99</v>
      </c>
      <c r="D81" s="22" t="s">
        <v>651</v>
      </c>
      <c r="E81" s="13">
        <v>42663.528483796297</v>
      </c>
      <c r="F81" s="13">
        <v>42663.5390625</v>
      </c>
      <c r="G81" s="7">
        <v>1</v>
      </c>
      <c r="H81" s="13" t="s">
        <v>380</v>
      </c>
      <c r="I81" s="13">
        <v>42663.568067129629</v>
      </c>
      <c r="J81" s="7">
        <v>0</v>
      </c>
      <c r="K81" s="112" t="str">
        <f t="shared" si="23"/>
        <v>4043/4044</v>
      </c>
      <c r="L81" s="22" t="str">
        <f>VLOOKUP(A81,'Trips&amp;Operators'!$C$1:$E$10000,3,FALSE)</f>
        <v>YOUNG</v>
      </c>
      <c r="M81" s="6">
        <f t="shared" si="24"/>
        <v>2.9004629628616385E-2</v>
      </c>
      <c r="N81" s="7">
        <f t="shared" si="20"/>
        <v>41.766666665207595</v>
      </c>
      <c r="O81" s="7"/>
      <c r="P81" s="7"/>
      <c r="Q81" s="23"/>
      <c r="R81" s="23"/>
      <c r="S81" s="35">
        <f t="shared" si="21"/>
        <v>1</v>
      </c>
      <c r="T81" s="50" t="str">
        <f t="shared" si="25"/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11:41:01-0600',mode:absolute,to:'2016-10-20 14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1" s="52" t="str">
        <f t="shared" si="27"/>
        <v>N</v>
      </c>
      <c r="X81" s="171">
        <f t="shared" si="28"/>
        <v>1</v>
      </c>
      <c r="Y81" s="67">
        <f t="shared" si="29"/>
        <v>23.300799999999999</v>
      </c>
      <c r="Z81" s="67">
        <f t="shared" si="22"/>
        <v>1.6899999999999998E-2</v>
      </c>
      <c r="AA81" s="67">
        <f t="shared" si="30"/>
        <v>23.283899999999999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1"/>
        <v>0168-20</v>
      </c>
      <c r="AE81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81" s="88" t="str">
        <f t="shared" si="33"/>
        <v>"C:\Program Files (x86)\AstroGrep\AstroGrep.exe" /spath="%USERPROFILE%\AppData\Local\Temp\OnboardLogs" /stypes="app*4043*20161020*"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2" t="str">
        <f t="shared" si="35"/>
        <v>"%USERPROFILE%\Documents\GitHub\eaglep3\Utilities\RefineRTDCRunTimes.py" --tripid 168-20 --locoid 4043 --swversion DE.1.0.7.0 --startMP 204:233008 --initTime 2016-10-20T12:41:01 --startdatetime 2016-10-20T12:56:15 --delay 1 --endMP 204:169 --enddatetime 2016-10-20T13:38:01 --enforcementcount 0 &gt;&gt;C:\Users\stu\Documents\GitHub\eaglep3-reporting\EC\2016-10-20-refined-times.txt</v>
      </c>
      <c r="AI8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ID","value":"168-20"},{"id":16,"name":"Locomotive ID","value":"4043"},{"id":130,"name":"Impact","value":""},{"id":150,"name":"Time of Event (Mountain Time)","value":"13:38:01"},{"id":151,"name":"Denver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4029</v>
      </c>
      <c r="C82" s="22" t="s">
        <v>99</v>
      </c>
      <c r="D82" s="22" t="s">
        <v>231</v>
      </c>
      <c r="E82" s="13">
        <v>42663.507916666669</v>
      </c>
      <c r="F82" s="13">
        <v>42663.510682870372</v>
      </c>
      <c r="G82" s="7">
        <v>1</v>
      </c>
      <c r="H82" s="13" t="s">
        <v>652</v>
      </c>
      <c r="I82" s="13">
        <v>42663.536087962966</v>
      </c>
      <c r="J82" s="7">
        <v>0</v>
      </c>
      <c r="K82" s="112" t="str">
        <f t="shared" si="23"/>
        <v>4029/4030</v>
      </c>
      <c r="L82" s="22" t="str">
        <f>VLOOKUP(A82,'Trips&amp;Operators'!$C$1:$E$10000,3,FALSE)</f>
        <v>ADANE</v>
      </c>
      <c r="M82" s="6">
        <f t="shared" si="24"/>
        <v>2.5405092594155576E-2</v>
      </c>
      <c r="N82" s="7">
        <f t="shared" si="20"/>
        <v>36.58333333558403</v>
      </c>
      <c r="O82" s="7"/>
      <c r="P82" s="7"/>
      <c r="Q82" s="23"/>
      <c r="R82" s="23"/>
      <c r="S82" s="35">
        <f t="shared" si="21"/>
        <v>1</v>
      </c>
      <c r="T82" s="50" t="str">
        <f t="shared" si="25"/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11:11:24-0600',mode:absolute,to:'2016-10-20 13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 t="shared" si="27"/>
        <v>N</v>
      </c>
      <c r="X82" s="171">
        <f t="shared" si="28"/>
        <v>1</v>
      </c>
      <c r="Y82" s="67">
        <f t="shared" si="29"/>
        <v>4.53E-2</v>
      </c>
      <c r="Z82" s="67">
        <f t="shared" si="22"/>
        <v>23.327200000000001</v>
      </c>
      <c r="AA82" s="67">
        <f t="shared" si="30"/>
        <v>23.2819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1"/>
        <v>0169-20</v>
      </c>
      <c r="AE82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82" s="88" t="str">
        <f t="shared" si="33"/>
        <v>"C:\Program Files (x86)\AstroGrep\AstroGrep.exe" /spath="%USERPROFILE%\AppData\Local\Temp\OnboardLogs" /stypes="app*4029*20161020*"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2" t="str">
        <f t="shared" si="35"/>
        <v>"%USERPROFILE%\Documents\GitHub\eaglep3\Utilities\RefineRTDCRunTimes.py" --tripid 169-20 --locoid 4029 --swversion DE.1.0.7.0 --startMP 204:453 --initTime 2016-10-20T12:11:24 --startdatetime 2016-10-20T12:15:23 --delay 1 --endMP 204:233272 --enddatetime 2016-10-20T12:51:58 --enforcementcount 0 &gt;&gt;C:\Users\stu\Documents\GitHub\eaglep3-reporting\EC\2016-10-20-refined-times.txt</v>
      </c>
      <c r="AI8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{"issue":{"subject":"","project_id":79,"tracker_id":40,"status_id":1,"priority_id":2,"assigned_to_id":23,"start_date":"2016-10-20","description":"","custom_fields":[{"id":1,"name":"Subdivision","value":"EC"},{"id":4,"name":"Milepost","value":"23.3272"},{"id":17,"name":"Train ID","value":"169-20"},{"id":16,"name":"Locomotive ID","value":"4029"},{"id":130,"name":"Impact","value":""},{"id":150,"name":"Time of Event (Mountain Time)","value":"12:51:58"},{"id":151,"name":"Denver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4030</v>
      </c>
      <c r="C83" s="22" t="s">
        <v>99</v>
      </c>
      <c r="D83" s="22" t="s">
        <v>368</v>
      </c>
      <c r="E83" s="13">
        <v>42663.547395833331</v>
      </c>
      <c r="F83" s="13">
        <v>42663.55091435185</v>
      </c>
      <c r="G83" s="7">
        <v>2</v>
      </c>
      <c r="H83" s="13" t="s">
        <v>229</v>
      </c>
      <c r="I83" s="13">
        <v>42663.577222222222</v>
      </c>
      <c r="J83" s="7">
        <v>0</v>
      </c>
      <c r="K83" s="112" t="str">
        <f t="shared" si="23"/>
        <v>4029/4030</v>
      </c>
      <c r="L83" s="22" t="str">
        <f>VLOOKUP(A83,'Trips&amp;Operators'!$C$1:$E$10000,3,FALSE)</f>
        <v>ADANE</v>
      </c>
      <c r="M83" s="6">
        <f t="shared" si="24"/>
        <v>2.6307870371965691E-2</v>
      </c>
      <c r="N83" s="7">
        <f t="shared" si="20"/>
        <v>37.883333335630596</v>
      </c>
      <c r="O83" s="7"/>
      <c r="P83" s="7"/>
      <c r="Q83" s="23"/>
      <c r="R83" s="23"/>
      <c r="S83" s="35">
        <f t="shared" si="21"/>
        <v>1</v>
      </c>
      <c r="T83" s="50" t="str">
        <f t="shared" si="25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12:08:15-0600',mode:absolute,to:'2016-10-20 14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 t="shared" si="27"/>
        <v>N</v>
      </c>
      <c r="X83" s="171">
        <f t="shared" si="28"/>
        <v>1</v>
      </c>
      <c r="Y83" s="67">
        <f t="shared" si="29"/>
        <v>23.2973</v>
      </c>
      <c r="Z83" s="67">
        <f t="shared" si="22"/>
        <v>1.4999999999999999E-2</v>
      </c>
      <c r="AA83" s="67">
        <f t="shared" si="30"/>
        <v>23.282299999999999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1"/>
        <v>0170-20</v>
      </c>
      <c r="AE83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83" s="88" t="str">
        <f t="shared" si="33"/>
        <v>"C:\Program Files (x86)\AstroGrep\AstroGrep.exe" /spath="%USERPROFILE%\AppData\Local\Temp\OnboardLogs" /stypes="app*4030*20161020*" /stext=" 19:.+((SYSTEM_STATE.+slice.+state.+changed )|(ment ac)|(system.+state.+changed )|(\[timeout)|(PRM\|1\|D)|(kpr)|(kdp)|(\|lc)|(penalty))" /e /r /s</v>
      </c>
      <c r="AG83" s="1" t="str">
        <f t="shared" si="34"/>
        <v>EC</v>
      </c>
      <c r="AH83" s="92" t="str">
        <f t="shared" si="35"/>
        <v>"%USERPROFILE%\Documents\GitHub\eaglep3\Utilities\RefineRTDCRunTimes.py" --tripid 170-20 --locoid 4030 --swversion DE.1.0.7.0 --startMP 204:232973 --initTime 2016-10-20T13:08:15 --startdatetime 2016-10-20T13:13:19 --delay 2 --endMP 204:150 --enddatetime 2016-10-20T13:51:12 --enforcementcount 0 &gt;&gt;C:\Users\stu\Documents\GitHub\eaglep3-reporting\EC\2016-10-20-refined-times.txt</v>
      </c>
      <c r="AI8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ID","value":"170-20"},{"id":16,"name":"Locomotive ID","value":"4030"},{"id":130,"name":"Impact","value":""},{"id":150,"name":"Time of Event (Mountain Time)","value":"13:51:12"},{"id":151,"name":"Denver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4018</v>
      </c>
      <c r="C84" s="22" t="s">
        <v>99</v>
      </c>
      <c r="D84" s="22" t="s">
        <v>301</v>
      </c>
      <c r="E84" s="13">
        <v>42663.521041666667</v>
      </c>
      <c r="F84" s="13">
        <v>42663.522523148145</v>
      </c>
      <c r="G84" s="7">
        <v>1</v>
      </c>
      <c r="H84" s="13" t="s">
        <v>344</v>
      </c>
      <c r="I84" s="13">
        <v>42663.547800925924</v>
      </c>
      <c r="J84" s="7">
        <v>0</v>
      </c>
      <c r="K84" s="112" t="str">
        <f t="shared" si="23"/>
        <v>4017/4018</v>
      </c>
      <c r="L84" s="22" t="str">
        <f>VLOOKUP(A84,'Trips&amp;Operators'!$C$1:$E$10000,3,FALSE)</f>
        <v>STORY</v>
      </c>
      <c r="M84" s="6">
        <f t="shared" si="24"/>
        <v>2.527777777868323E-2</v>
      </c>
      <c r="N84" s="7">
        <f t="shared" si="20"/>
        <v>36.400000001303852</v>
      </c>
      <c r="O84" s="7"/>
      <c r="P84" s="7"/>
      <c r="Q84" s="23"/>
      <c r="R84" s="23"/>
      <c r="S84" s="35">
        <f t="shared" si="21"/>
        <v>1</v>
      </c>
      <c r="T84" s="50" t="str">
        <f t="shared" si="25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11:30:18-0600',mode:absolute,to:'2016-10-20 14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27"/>
        <v>N</v>
      </c>
      <c r="X84" s="171">
        <f t="shared" si="28"/>
        <v>1</v>
      </c>
      <c r="Y84" s="67">
        <f t="shared" si="29"/>
        <v>4.4900000000000002E-2</v>
      </c>
      <c r="Z84" s="67">
        <f t="shared" si="22"/>
        <v>23.327999999999999</v>
      </c>
      <c r="AA84" s="67">
        <f t="shared" si="30"/>
        <v>23.283100000000001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1"/>
        <v>0171-20</v>
      </c>
      <c r="AE84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84" s="88" t="str">
        <f t="shared" si="33"/>
        <v>"C:\Program Files (x86)\AstroGrep\AstroGrep.exe" /spath="%USERPROFILE%\AppData\Local\Temp\OnboardLogs" /stypes="app*4018*20161020*" /stext=" 19:.+((SYSTEM_STATE.+slice.+state.+changed )|(ment ac)|(system.+state.+changed )|(\[timeout)|(PRM\|1\|D)|(kpr)|(kdp)|(\|lc)|(penalty))" /e /r /s</v>
      </c>
      <c r="AG84" s="1" t="str">
        <f t="shared" si="34"/>
        <v>EC</v>
      </c>
      <c r="AH84" s="92" t="str">
        <f t="shared" si="35"/>
        <v>"%USERPROFILE%\Documents\GitHub\eaglep3\Utilities\RefineRTDCRunTimes.py" --tripid 171-20 --locoid 4018 --swversion DE.1.0.7.0 --startMP 204:449 --initTime 2016-10-20T12:30:18 --startdatetime 2016-10-20T12:32:26 --delay 1 --endMP 204:233280 --enddatetime 2016-10-20T13:08:50 --enforcementcount 0 &gt;&gt;C:\Users\stu\Documents\GitHub\eaglep3-reporting\EC\2016-10-20-refined-times.txt</v>
      </c>
      <c r="AI8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ID","value":"171-20"},{"id":16,"name":"Locomotive ID","value":"4018"},{"id":130,"name":"Impact","value":""},{"id":150,"name":"Time of Event (Mountain Time)","value":"13:08:50"},{"id":151,"name":"Denver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417</v>
      </c>
      <c r="B85" s="7">
        <v>4017</v>
      </c>
      <c r="C85" s="22" t="s">
        <v>99</v>
      </c>
      <c r="D85" s="22" t="s">
        <v>653</v>
      </c>
      <c r="E85" s="13">
        <v>42663.551851851851</v>
      </c>
      <c r="F85" s="13">
        <v>42663.560150462959</v>
      </c>
      <c r="G85" s="7">
        <v>1</v>
      </c>
      <c r="H85" s="13" t="s">
        <v>228</v>
      </c>
      <c r="I85" s="13">
        <v>42663.58693287037</v>
      </c>
      <c r="J85" s="7">
        <v>0</v>
      </c>
      <c r="K85" s="112" t="str">
        <f t="shared" si="23"/>
        <v>4017/4018</v>
      </c>
      <c r="L85" s="22" t="str">
        <f>VLOOKUP(A85,'Trips&amp;Operators'!$C$1:$E$10000,3,FALSE)</f>
        <v>STORY</v>
      </c>
      <c r="M85" s="6">
        <f t="shared" si="24"/>
        <v>2.6782407410792075E-2</v>
      </c>
      <c r="N85" s="7">
        <f t="shared" si="20"/>
        <v>38.566666671540588</v>
      </c>
      <c r="O85" s="7"/>
      <c r="P85" s="7"/>
      <c r="Q85" s="23"/>
      <c r="R85" s="23"/>
      <c r="S85" s="35">
        <f t="shared" si="21"/>
        <v>1</v>
      </c>
      <c r="T85" s="50" t="str">
        <f t="shared" si="25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27"/>
        <v>N</v>
      </c>
      <c r="X85" s="171">
        <f t="shared" si="28"/>
        <v>1</v>
      </c>
      <c r="Y85" s="67">
        <f t="shared" si="29"/>
        <v>23.296600000000002</v>
      </c>
      <c r="Z85" s="67">
        <f t="shared" si="22"/>
        <v>1.43E-2</v>
      </c>
      <c r="AA85" s="67">
        <f t="shared" si="30"/>
        <v>23.282300000000003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1"/>
        <v>0172-20</v>
      </c>
      <c r="AE85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85" s="88" t="str">
        <f t="shared" si="33"/>
        <v>"C:\Program Files (x86)\AstroGrep\AstroGrep.exe" /spath="%USERPROFILE%\AppData\Local\Temp\OnboardLogs" /stypes="app*4017*20161020*"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2" t="str">
        <f t="shared" si="35"/>
        <v>"%USERPROFILE%\Documents\GitHub\eaglep3\Utilities\RefineRTDCRunTimes.py" --tripid 172-20 --locoid 4017 --swversion DE.1.0.7.0 --startMP 204:232966 --initTime 2016-10-20T13:14:40 --startdatetime 2016-10-20T13:26:37 --delay 1 --endMP 204:143 --enddatetime 2016-10-20T14:05:11 --enforcementcount 0 &gt;&gt;C:\Users\stu\Documents\GitHub\eaglep3-reporting\EC\2016-10-20-refined-times.txt</v>
      </c>
      <c r="AI8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ID","value":"172-20"},{"id":16,"name":"Locomotive ID","value":"4017"},{"id":130,"name":"Impact","value":""},{"id":150,"name":"Time of Event (Mountain Time)","value":"14:05:11"},{"id":151,"name":"Denver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4038</v>
      </c>
      <c r="C86" s="22" t="s">
        <v>99</v>
      </c>
      <c r="D86" s="22" t="s">
        <v>309</v>
      </c>
      <c r="E86" s="13">
        <v>42663.52915509259</v>
      </c>
      <c r="F86" s="13">
        <v>42663.531539351854</v>
      </c>
      <c r="G86" s="7">
        <v>1</v>
      </c>
      <c r="H86" s="13" t="s">
        <v>654</v>
      </c>
      <c r="I86" s="13">
        <v>42663.55673611111</v>
      </c>
      <c r="J86" s="7">
        <v>0</v>
      </c>
      <c r="K86" s="112" t="str">
        <f t="shared" si="23"/>
        <v>4037/4038</v>
      </c>
      <c r="L86" s="22" t="str">
        <f>VLOOKUP(A86,'Trips&amp;Operators'!$C$1:$E$10000,3,FALSE)</f>
        <v>BONDS</v>
      </c>
      <c r="M86" s="6">
        <f t="shared" si="24"/>
        <v>2.5196759255777579E-2</v>
      </c>
      <c r="N86" s="7">
        <f t="shared" si="20"/>
        <v>36.283333328319713</v>
      </c>
      <c r="O86" s="7"/>
      <c r="P86" s="7"/>
      <c r="Q86" s="23"/>
      <c r="R86" s="23"/>
      <c r="S86" s="35">
        <f t="shared" si="21"/>
        <v>1</v>
      </c>
      <c r="T86" s="50" t="str">
        <f t="shared" si="25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11:41:59-0600',mode:absolute,to:'2016-10-20 14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 t="shared" si="27"/>
        <v>N</v>
      </c>
      <c r="X86" s="171">
        <f t="shared" si="28"/>
        <v>1</v>
      </c>
      <c r="Y86" s="67">
        <f t="shared" si="29"/>
        <v>4.3700000000000003E-2</v>
      </c>
      <c r="Z86" s="67">
        <f t="shared" si="22"/>
        <v>23.330300000000001</v>
      </c>
      <c r="AA86" s="67">
        <f t="shared" si="30"/>
        <v>23.2866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1"/>
        <v>0173-20</v>
      </c>
      <c r="AE86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86" s="88" t="str">
        <f t="shared" si="33"/>
        <v>"C:\Program Files (x86)\AstroGrep\AstroGrep.exe" /spath="%USERPROFILE%\AppData\Local\Temp\OnboardLogs" /stypes="app*4038*20161020*"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2" t="str">
        <f t="shared" si="35"/>
        <v>"%USERPROFILE%\Documents\GitHub\eaglep3\Utilities\RefineRTDCRunTimes.py" --tripid 173-20 --locoid 4038 --swversion DE.1.0.7.0 --startMP 204:437 --initTime 2016-10-20T12:41:59 --startdatetime 2016-10-20T12:45:25 --delay 1 --endMP 204:233303 --enddatetime 2016-10-20T13:21:42 --enforcementcount 0 &gt;&gt;C:\Users\stu\Documents\GitHub\eaglep3-reporting\EC\2016-10-20-refined-times.txt</v>
      </c>
      <c r="AI8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{"issue":{"subject":"","project_id":79,"tracker_id":40,"status_id":1,"priority_id":2,"assigned_to_id":23,"start_date":"2016-10-20","description":"","custom_fields":[{"id":1,"name":"Subdivision","value":"EC"},{"id":4,"name":"Milepost","value":"23.3303"},{"id":17,"name":"Train ID","value":"173-20"},{"id":16,"name":"Locomotive ID","value":"4038"},{"id":130,"name":"Impact","value":""},{"id":150,"name":"Time of Event (Mountain Time)","value":"13:21:42"},{"id":151,"name":"Denver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535</v>
      </c>
      <c r="B87" s="7">
        <v>4037</v>
      </c>
      <c r="C87" s="22" t="s">
        <v>99</v>
      </c>
      <c r="D87" s="22" t="s">
        <v>638</v>
      </c>
      <c r="E87" s="13">
        <v>42663.562013888892</v>
      </c>
      <c r="F87" s="13">
        <v>42663.570324074077</v>
      </c>
      <c r="G87" s="7">
        <v>1</v>
      </c>
      <c r="H87" s="13" t="s">
        <v>640</v>
      </c>
      <c r="I87" s="13">
        <v>42663.597222222219</v>
      </c>
      <c r="J87" s="7">
        <v>0</v>
      </c>
      <c r="K87" s="112" t="str">
        <f t="shared" si="23"/>
        <v>4037/4038</v>
      </c>
      <c r="L87" s="22" t="str">
        <f>VLOOKUP(A87,'Trips&amp;Operators'!$C$1:$E$10000,3,FALSE)</f>
        <v>BONDS</v>
      </c>
      <c r="M87" s="6">
        <f t="shared" si="24"/>
        <v>2.6898148142208811E-2</v>
      </c>
      <c r="N87" s="7">
        <f t="shared" si="20"/>
        <v>38.733333324780688</v>
      </c>
      <c r="O87" s="7"/>
      <c r="P87" s="7"/>
      <c r="Q87" s="23"/>
      <c r="R87" s="23"/>
      <c r="S87" s="35">
        <f t="shared" si="21"/>
        <v>1</v>
      </c>
      <c r="T87" s="50" t="str">
        <f t="shared" si="25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12:29:18-0600',mode:absolute,to:'2016-10-20 15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7" s="52" t="str">
        <f t="shared" si="27"/>
        <v>N</v>
      </c>
      <c r="X87" s="171">
        <f t="shared" si="28"/>
        <v>1</v>
      </c>
      <c r="Y87" s="67">
        <f t="shared" si="29"/>
        <v>23.297999999999998</v>
      </c>
      <c r="Z87" s="67">
        <f t="shared" si="22"/>
        <v>1.3599999999999999E-2</v>
      </c>
      <c r="AA87" s="67">
        <f t="shared" si="30"/>
        <v>23.284399999999998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1"/>
        <v>0174-20</v>
      </c>
      <c r="AE87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87" s="88" t="str">
        <f t="shared" si="33"/>
        <v>"C:\Program Files (x86)\AstroGrep\AstroGrep.exe" /spath="%USERPROFILE%\AppData\Local\Temp\OnboardLogs" /stypes="app*4037*20161020*"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2" t="str">
        <f t="shared" si="35"/>
        <v>"%USERPROFILE%\Documents\GitHub\eaglep3\Utilities\RefineRTDCRunTimes.py" --tripid 174-20 --locoid 4037 --swversion DE.1.0.7.0 --startMP 204:232980 --initTime 2016-10-20T13:29:18 --startdatetime 2016-10-20T13:41:16 --delay 1 --endMP 204:136 --enddatetime 2016-10-20T14:20:00 --enforcementcount 0 &gt;&gt;C:\Users\stu\Documents\GitHub\eaglep3-reporting\EC\2016-10-20-refined-times.txt</v>
      </c>
      <c r="AI8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ID","value":"174-20"},{"id":16,"name":"Locomotive ID","value":"4037"},{"id":130,"name":"Impact","value":""},{"id":150,"name":"Time of Event (Mountain Time)","value":"14:20:00"},{"id":151,"name":"Denver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530</v>
      </c>
      <c r="B88" s="7">
        <v>4006</v>
      </c>
      <c r="C88" s="22" t="s">
        <v>99</v>
      </c>
      <c r="D88" s="22" t="s">
        <v>240</v>
      </c>
      <c r="E88" s="13">
        <v>42663.537997685184</v>
      </c>
      <c r="F88" s="13">
        <v>42663.541898148149</v>
      </c>
      <c r="G88" s="7">
        <v>1</v>
      </c>
      <c r="H88" s="13" t="s">
        <v>655</v>
      </c>
      <c r="I88" s="13">
        <v>42663.568159722221</v>
      </c>
      <c r="J88" s="7">
        <v>0</v>
      </c>
      <c r="K88" s="112" t="str">
        <f t="shared" si="23"/>
        <v>4005/4006</v>
      </c>
      <c r="L88" s="22" t="str">
        <f>VLOOKUP(A88,'Trips&amp;Operators'!$C$1:$E$10000,3,FALSE)</f>
        <v>SHOOK</v>
      </c>
      <c r="M88" s="6">
        <f t="shared" si="24"/>
        <v>2.626157407212304E-2</v>
      </c>
      <c r="N88" s="7">
        <f t="shared" si="20"/>
        <v>37.816666663857177</v>
      </c>
      <c r="O88" s="7"/>
      <c r="P88" s="7"/>
      <c r="Q88" s="23"/>
      <c r="R88" s="23"/>
      <c r="S88" s="35">
        <f t="shared" si="21"/>
        <v>1</v>
      </c>
      <c r="T88" s="50" t="str">
        <f t="shared" si="25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11:54:43-0600',mode:absolute,to:'2016-10-20 14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8" s="52" t="str">
        <f t="shared" si="27"/>
        <v>N</v>
      </c>
      <c r="X88" s="171">
        <f t="shared" si="28"/>
        <v>1</v>
      </c>
      <c r="Y88" s="67">
        <f t="shared" si="29"/>
        <v>4.4600000000000001E-2</v>
      </c>
      <c r="Z88" s="67">
        <f t="shared" si="22"/>
        <v>23.342700000000001</v>
      </c>
      <c r="AA88" s="67">
        <f t="shared" si="30"/>
        <v>23.298100000000002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1"/>
        <v>0175-20</v>
      </c>
      <c r="AE88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88" s="88" t="str">
        <f t="shared" si="33"/>
        <v>"C:\Program Files (x86)\AstroGrep\AstroGrep.exe" /spath="%USERPROFILE%\AppData\Local\Temp\OnboardLogs" /stypes="app*4006*20161020*"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2" t="str">
        <f t="shared" si="35"/>
        <v>"%USERPROFILE%\Documents\GitHub\eaglep3\Utilities\RefineRTDCRunTimes.py" --tripid 175-20 --locoid 4006 --swversion DE.1.0.7.0 --startMP 204:446 --initTime 2016-10-20T12:54:43 --startdatetime 2016-10-20T13:00:20 --delay 1 --endMP 204:233427 --enddatetime 2016-10-20T13:38:09 --enforcementcount 0 &gt;&gt;C:\Users\stu\Documents\GitHub\eaglep3-reporting\EC\2016-10-20-refined-times.txt</v>
      </c>
      <c r="AI8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{"issue":{"subject":"","project_id":79,"tracker_id":40,"status_id":1,"priority_id":2,"assigned_to_id":23,"start_date":"2016-10-20","description":"","custom_fields":[{"id":1,"name":"Subdivision","value":"EC"},{"id":4,"name":"Milepost","value":"23.3427"},{"id":17,"name":"Train ID","value":"175-20"},{"id":16,"name":"Locomotive ID","value":"4006"},{"id":130,"name":"Impact","value":""},{"id":150,"name":"Time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538</v>
      </c>
      <c r="B89" s="7">
        <v>4005</v>
      </c>
      <c r="C89" s="22" t="s">
        <v>99</v>
      </c>
      <c r="D89" s="22" t="s">
        <v>656</v>
      </c>
      <c r="E89" s="13">
        <v>42663.574537037035</v>
      </c>
      <c r="F89" s="13">
        <v>42663.580763888887</v>
      </c>
      <c r="G89" s="7">
        <v>1</v>
      </c>
      <c r="H89" s="13" t="s">
        <v>643</v>
      </c>
      <c r="I89" s="13">
        <v>42663.607465277775</v>
      </c>
      <c r="J89" s="7">
        <v>0</v>
      </c>
      <c r="K89" s="112" t="str">
        <f t="shared" si="23"/>
        <v>4005/4006</v>
      </c>
      <c r="L89" s="22" t="str">
        <f>VLOOKUP(A89,'Trips&amp;Operators'!$C$1:$E$10000,3,FALSE)</f>
        <v>SHOOK</v>
      </c>
      <c r="M89" s="6">
        <f t="shared" si="24"/>
        <v>2.6701388887886424E-2</v>
      </c>
      <c r="N89" s="7">
        <f t="shared" si="20"/>
        <v>38.44999999855645</v>
      </c>
      <c r="O89" s="7"/>
      <c r="P89" s="7"/>
      <c r="Q89" s="23"/>
      <c r="R89" s="23"/>
      <c r="S89" s="35">
        <f t="shared" si="21"/>
        <v>1</v>
      </c>
      <c r="T89" s="50" t="str">
        <f t="shared" si="25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12:47:20-0600',mode:absolute,to:'2016-10-20 15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9" s="52" t="str">
        <f t="shared" si="27"/>
        <v>N</v>
      </c>
      <c r="X89" s="171">
        <f t="shared" si="28"/>
        <v>1</v>
      </c>
      <c r="Y89" s="67">
        <f t="shared" si="29"/>
        <v>23.304200000000002</v>
      </c>
      <c r="Z89" s="67">
        <f t="shared" si="22"/>
        <v>1.2999999999999999E-2</v>
      </c>
      <c r="AA89" s="67">
        <f t="shared" si="30"/>
        <v>23.2912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1"/>
        <v>0176-20</v>
      </c>
      <c r="AE89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89" s="88" t="str">
        <f t="shared" si="33"/>
        <v>"C:\Program Files (x86)\AstroGrep\AstroGrep.exe" /spath="%USERPROFILE%\AppData\Local\Temp\OnboardLogs" /stypes="app*4005*20161020*"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2" t="str">
        <f t="shared" si="35"/>
        <v>"%USERPROFILE%\Documents\GitHub\eaglep3\Utilities\RefineRTDCRunTimes.py" --tripid 176-20 --locoid 4005 --swversion DE.1.0.7.0 --startMP 204:233042 --initTime 2016-10-20T13:47:20 --startdatetime 2016-10-20T13:56:18 --delay 1 --endMP 204:130 --enddatetime 2016-10-20T14:34:45 --enforcementcount 0 &gt;&gt;C:\Users\stu\Documents\GitHub\eaglep3-reporting\EC\2016-10-20-refined-times.txt</v>
      </c>
      <c r="AI8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ID","value":"176-20"},{"id":16,"name":"Locomotive ID","value":"4005"},{"id":130,"name":"Impact","value":""},{"id":150,"name":"Time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4011</v>
      </c>
      <c r="C90" s="22" t="s">
        <v>99</v>
      </c>
      <c r="D90" s="22" t="s">
        <v>233</v>
      </c>
      <c r="E90" s="13">
        <v>42663.549201388887</v>
      </c>
      <c r="F90" s="13">
        <v>42663.552407407406</v>
      </c>
      <c r="G90" s="7">
        <v>1</v>
      </c>
      <c r="H90" s="13" t="s">
        <v>631</v>
      </c>
      <c r="I90" s="13">
        <v>42663.578472222223</v>
      </c>
      <c r="J90" s="7">
        <v>0</v>
      </c>
      <c r="K90" s="112" t="str">
        <f t="shared" si="23"/>
        <v>4011/4012</v>
      </c>
      <c r="L90" s="22" t="str">
        <f>VLOOKUP(A90,'Trips&amp;Operators'!$C$1:$E$10000,3,FALSE)</f>
        <v>MOSES</v>
      </c>
      <c r="M90" s="6">
        <f t="shared" si="24"/>
        <v>2.6064814817800652E-2</v>
      </c>
      <c r="N90" s="7">
        <f t="shared" si="20"/>
        <v>37.533333337632939</v>
      </c>
      <c r="O90" s="7"/>
      <c r="P90" s="7"/>
      <c r="Q90" s="23"/>
      <c r="R90" s="23"/>
      <c r="S90" s="35">
        <f t="shared" si="21"/>
        <v>1</v>
      </c>
      <c r="T90" s="50" t="str">
        <f t="shared" si="25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12:10:51-0600',mode:absolute,to:'2016-10-20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0" s="52" t="str">
        <f t="shared" si="27"/>
        <v>N</v>
      </c>
      <c r="X90" s="171">
        <f t="shared" si="28"/>
        <v>1</v>
      </c>
      <c r="Y90" s="67">
        <f t="shared" si="29"/>
        <v>4.6399999999999997E-2</v>
      </c>
      <c r="Z90" s="67">
        <f t="shared" si="22"/>
        <v>23.3309</v>
      </c>
      <c r="AA90" s="67">
        <f t="shared" si="30"/>
        <v>23.284500000000001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1"/>
        <v>0177-20</v>
      </c>
      <c r="AE90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90" s="88" t="str">
        <f t="shared" si="33"/>
        <v>"C:\Program Files (x86)\AstroGrep\AstroGrep.exe" /spath="%USERPROFILE%\AppData\Local\Temp\OnboardLogs" /stypes="app*4011*20161020*"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2" t="str">
        <f t="shared" si="35"/>
        <v>"%USERPROFILE%\Documents\GitHub\eaglep3\Utilities\RefineRTDCRunTimes.py" --tripid 177-20 --locoid 4011 --swversion DE.1.0.7.0 --startMP 204:464 --initTime 2016-10-20T13:10:51 --startdatetime 2016-10-20T13:15:28 --delay 1 --endMP 204:233309 --enddatetime 2016-10-20T13:53:00 --enforcementcount 0 &gt;&gt;C:\Users\stu\Documents\GitHub\eaglep3-reporting\EC\2016-10-20-refined-times.txt</v>
      </c>
      <c r="AI9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ID","value":"177-20"},{"id":16,"name":"Locomotive ID","value":"4011"},{"id":130,"name":"Impact","value":""},{"id":150,"name":"Time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540</v>
      </c>
      <c r="B91" s="7">
        <v>4012</v>
      </c>
      <c r="C91" s="22" t="s">
        <v>99</v>
      </c>
      <c r="D91" s="22" t="s">
        <v>307</v>
      </c>
      <c r="E91" s="13">
        <v>42663.588020833333</v>
      </c>
      <c r="F91" s="13">
        <v>42663.591238425928</v>
      </c>
      <c r="G91" s="7">
        <v>2</v>
      </c>
      <c r="H91" s="13" t="s">
        <v>222</v>
      </c>
      <c r="I91" s="13">
        <v>42663.619791666664</v>
      </c>
      <c r="J91" s="7">
        <v>0</v>
      </c>
      <c r="K91" s="112" t="str">
        <f t="shared" si="23"/>
        <v>4011/4012</v>
      </c>
      <c r="L91" s="22" t="str">
        <f>VLOOKUP(A91,'Trips&amp;Operators'!$C$1:$E$10000,3,FALSE)</f>
        <v>MOSES</v>
      </c>
      <c r="M91" s="6">
        <f t="shared" si="24"/>
        <v>2.8553240736073349E-2</v>
      </c>
      <c r="N91" s="7">
        <f t="shared" si="20"/>
        <v>41.116666659945622</v>
      </c>
      <c r="O91" s="7"/>
      <c r="P91" s="7"/>
      <c r="Q91" s="23"/>
      <c r="R91" s="23"/>
      <c r="S91" s="35">
        <f t="shared" si="21"/>
        <v>1</v>
      </c>
      <c r="T91" s="50" t="str">
        <f t="shared" si="25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13:06:45-0600',mode:absolute,to:'2016-10-20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1" s="52" t="str">
        <f t="shared" si="27"/>
        <v>N</v>
      </c>
      <c r="X91" s="171">
        <f t="shared" si="28"/>
        <v>1</v>
      </c>
      <c r="Y91" s="67">
        <f t="shared" si="29"/>
        <v>23.298999999999999</v>
      </c>
      <c r="Z91" s="67">
        <f t="shared" si="22"/>
        <v>1.61E-2</v>
      </c>
      <c r="AA91" s="67">
        <f t="shared" si="30"/>
        <v>23.282899999999998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1"/>
        <v>0178-20</v>
      </c>
      <c r="AE91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91" s="88" t="str">
        <f t="shared" si="33"/>
        <v>"C:\Program Files (x86)\AstroGrep\AstroGrep.exe" /spath="%USERPROFILE%\AppData\Local\Temp\OnboardLogs" /stypes="app*4012*20161020*" /stext=" 20:.+((SYSTEM_STATE.+slice.+state.+changed )|(ment ac)|(system.+state.+changed )|(\[timeout)|(PRM\|1\|D)|(kpr)|(kdp)|(\|lc)|(penalty))" /e /r /s</v>
      </c>
      <c r="AG91" s="1" t="str">
        <f t="shared" si="34"/>
        <v>EC</v>
      </c>
      <c r="AH91" s="92" t="str">
        <f t="shared" si="35"/>
        <v>"%USERPROFILE%\Documents\GitHub\eaglep3\Utilities\RefineRTDCRunTimes.py" --tripid 178-20 --locoid 4012 --swversion DE.1.0.7.0 --startMP 204:232990 --initTime 2016-10-20T14:06:45 --startdatetime 2016-10-20T14:11:23 --delay 2 --endMP 204:161 --enddatetime 2016-10-20T14:52:30 --enforcementcount 0 &gt;&gt;C:\Users\stu\Documents\GitHub\eaglep3-reporting\EC\2016-10-20-refined-times.txt</v>
      </c>
      <c r="AI9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{"issue":{"subject":"","project_id":79,"tracker_id":40,"status_id":1,"priority_id":2,"assigned_to_id":23,"start_date":"2016-10-20","description":"","custom_fields":[{"id":1,"name":"Subdivision","value":"EC"},{"id":4,"name":"Milepost","value":"0.0161"},{"id":17,"name":"Train ID","value":"178-20"},{"id":16,"name":"Locomotive ID","value":"4012"},{"id":130,"name":"Impact","value":""},{"id":150,"name":"Time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4042</v>
      </c>
      <c r="C92" s="22" t="s">
        <v>99</v>
      </c>
      <c r="D92" s="22" t="s">
        <v>274</v>
      </c>
      <c r="E92" s="13">
        <v>42663.556805555556</v>
      </c>
      <c r="F92" s="13">
        <v>42663.562800925924</v>
      </c>
      <c r="G92" s="7">
        <v>1</v>
      </c>
      <c r="H92" s="13" t="s">
        <v>268</v>
      </c>
      <c r="I92" s="13">
        <v>42663.587129629632</v>
      </c>
      <c r="J92" s="7">
        <v>0</v>
      </c>
      <c r="K92" s="112" t="str">
        <f t="shared" si="23"/>
        <v>4041/4042</v>
      </c>
      <c r="L92" s="22" t="str">
        <f>VLOOKUP(A92,'Trips&amp;Operators'!$C$1:$E$10000,3,FALSE)</f>
        <v>NEWELL</v>
      </c>
      <c r="M92" s="6">
        <f t="shared" si="24"/>
        <v>2.4328703708306421E-2</v>
      </c>
      <c r="N92" s="7">
        <f t="shared" si="20"/>
        <v>35.033333339961246</v>
      </c>
      <c r="O92" s="7"/>
      <c r="P92" s="7"/>
      <c r="Q92" s="23"/>
      <c r="R92" s="23"/>
      <c r="S92" s="35">
        <f t="shared" si="21"/>
        <v>1</v>
      </c>
      <c r="T92" s="50" t="str">
        <f t="shared" si="25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12:21:48-0600',mode:absolute,to:'2016-10-20 15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2" s="52" t="str">
        <f t="shared" si="27"/>
        <v>N</v>
      </c>
      <c r="X92" s="171">
        <f t="shared" si="28"/>
        <v>1</v>
      </c>
      <c r="Y92" s="67">
        <f t="shared" si="29"/>
        <v>4.4400000000000002E-2</v>
      </c>
      <c r="Z92" s="67">
        <f t="shared" si="22"/>
        <v>23.331499999999998</v>
      </c>
      <c r="AA92" s="67">
        <f t="shared" si="30"/>
        <v>23.287099999999999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1"/>
        <v>0179-20</v>
      </c>
      <c r="AE92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92" s="88" t="str">
        <f t="shared" si="33"/>
        <v>"C:\Program Files (x86)\AstroGrep\AstroGrep.exe" /spath="%USERPROFILE%\AppData\Local\Temp\OnboardLogs" /stypes="app*4042*20161020*" /stext=" 20:.+((SYSTEM_STATE.+slice.+state.+changed )|(ment ac)|(system.+state.+changed )|(\[timeout)|(PRM\|1\|D)|(kpr)|(kdp)|(\|lc)|(penalty))" /e /r /s</v>
      </c>
      <c r="AG92" s="1" t="str">
        <f t="shared" si="34"/>
        <v>EC</v>
      </c>
      <c r="AH92" s="92" t="str">
        <f t="shared" si="35"/>
        <v>"%USERPROFILE%\Documents\GitHub\eaglep3\Utilities\RefineRTDCRunTimes.py" --tripid 179-20 --locoid 4042 --swversion DE.1.0.7.0 --startMP 204:444 --initTime 2016-10-20T13:21:48 --startdatetime 2016-10-20T13:30:26 --delay 1 --endMP 204:233315 --enddatetime 2016-10-20T14:05:28 --enforcementcount 0 &gt;&gt;C:\Users\stu\Documents\GitHub\eaglep3-reporting\EC\2016-10-20-refined-times.txt</v>
      </c>
      <c r="AI9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ID","value":"179-20"},{"id":16,"name":"Locomotive ID","value":"4042"},{"id":130,"name":"Impact","value":""},{"id":150,"name":"Time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418</v>
      </c>
      <c r="B93" s="7">
        <v>4041</v>
      </c>
      <c r="C93" s="22" t="s">
        <v>99</v>
      </c>
      <c r="D93" s="22" t="s">
        <v>265</v>
      </c>
      <c r="E93" s="13">
        <v>42663.595879629633</v>
      </c>
      <c r="F93" s="13">
        <v>42663.601620370369</v>
      </c>
      <c r="G93" s="7">
        <v>0</v>
      </c>
      <c r="H93" s="13" t="s">
        <v>176</v>
      </c>
      <c r="I93" s="13">
        <v>42663.630243055559</v>
      </c>
      <c r="J93" s="7">
        <v>0</v>
      </c>
      <c r="K93" s="112" t="str">
        <f t="shared" si="23"/>
        <v>4041/4042</v>
      </c>
      <c r="L93" s="22" t="str">
        <f>VLOOKUP(A93,'Trips&amp;Operators'!$C$1:$E$10000,3,FALSE)</f>
        <v>NEWELL</v>
      </c>
      <c r="M93" s="6">
        <f t="shared" si="24"/>
        <v>2.8622685189475305E-2</v>
      </c>
      <c r="N93" s="7">
        <f t="shared" ref="N93:N113" si="37">24*60*SUM($M93:$M93)</f>
        <v>41.21666667284444</v>
      </c>
      <c r="O93" s="7"/>
      <c r="P93" s="7"/>
      <c r="Q93" s="23"/>
      <c r="R93" s="23"/>
      <c r="S93" s="35">
        <f t="shared" ref="S93:S114" si="38">SUM(U93:U93)/IF(AG93="EC",12,1)</f>
        <v>1</v>
      </c>
      <c r="T93" s="50" t="str">
        <f t="shared" si="25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3" s="52" t="str">
        <f t="shared" si="27"/>
        <v>N</v>
      </c>
      <c r="X93" s="171">
        <f t="shared" si="28"/>
        <v>1</v>
      </c>
      <c r="Y93" s="67">
        <f t="shared" si="29"/>
        <v>23.299800000000001</v>
      </c>
      <c r="Z93" s="67">
        <f t="shared" si="22"/>
        <v>1.47E-2</v>
      </c>
      <c r="AA93" s="67">
        <f t="shared" si="30"/>
        <v>23.2851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1"/>
        <v>0180-20</v>
      </c>
      <c r="AE93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93" s="88" t="str">
        <f t="shared" si="33"/>
        <v>"C:\Program Files (x86)\AstroGrep\AstroGrep.exe" /spath="%USERPROFILE%\AppData\Local\Temp\OnboardLogs" /stypes="app*4041*20161020*"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2" t="str">
        <f t="shared" si="35"/>
        <v>"%USERPROFILE%\Documents\GitHub\eaglep3\Utilities\RefineRTDCRunTimes.py" --tripid 180-20 --locoid 4041 --swversion DE.1.0.7.0 --startMP 204:232998 --initTime 2016-10-20T14:18:04 --startdatetime 2016-10-20T14:26:20 --delay 0 --endMP 204:147 --enddatetime 2016-10-20T15:07:33 --enforcementcount 0 &gt;&gt;C:\Users\stu\Documents\GitHub\eaglep3-reporting\EC\2016-10-20-refined-times.txt</v>
      </c>
      <c r="AI9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ID","value":"180-20"},{"id":16,"name":"Locomotive ID","value":"4041"},{"id":130,"name":"Impact","value":""},{"id":150,"name":"Time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537</v>
      </c>
      <c r="B94" s="7">
        <v>4044</v>
      </c>
      <c r="C94" s="22" t="s">
        <v>99</v>
      </c>
      <c r="D94" s="22" t="s">
        <v>657</v>
      </c>
      <c r="E94" s="13">
        <v>42663.56958333333</v>
      </c>
      <c r="F94" s="13">
        <v>42663.573182870372</v>
      </c>
      <c r="G94" s="7">
        <v>1</v>
      </c>
      <c r="H94" s="13" t="s">
        <v>195</v>
      </c>
      <c r="I94" s="13">
        <v>42663.599305555559</v>
      </c>
      <c r="J94" s="7">
        <v>0</v>
      </c>
      <c r="K94" s="112" t="str">
        <f t="shared" si="23"/>
        <v>4043/4044</v>
      </c>
      <c r="L94" s="22" t="str">
        <f>VLOOKUP(A94,'Trips&amp;Operators'!$C$1:$E$10000,3,FALSE)</f>
        <v>YOUNG</v>
      </c>
      <c r="M94" s="6">
        <f t="shared" si="24"/>
        <v>2.6122685187146999E-2</v>
      </c>
      <c r="N94" s="7">
        <f t="shared" si="37"/>
        <v>37.616666669491678</v>
      </c>
      <c r="O94" s="7"/>
      <c r="P94" s="7"/>
      <c r="Q94" s="23"/>
      <c r="R94" s="23"/>
      <c r="S94" s="35">
        <f t="shared" si="38"/>
        <v>1</v>
      </c>
      <c r="T94" s="50" t="str">
        <f t="shared" si="25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12:40:12-0600',mode:absolute,to:'2016-10-20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52" t="str">
        <f t="shared" si="27"/>
        <v>N</v>
      </c>
      <c r="X94" s="171">
        <f t="shared" si="28"/>
        <v>1</v>
      </c>
      <c r="Y94" s="67">
        <f t="shared" si="29"/>
        <v>4.82E-2</v>
      </c>
      <c r="Z94" s="67">
        <f t="shared" si="22"/>
        <v>23.329699999999999</v>
      </c>
      <c r="AA94" s="67">
        <f t="shared" si="30"/>
        <v>23.281499999999998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1"/>
        <v>0181-20</v>
      </c>
      <c r="AE94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94" s="88" t="str">
        <f t="shared" si="33"/>
        <v>"C:\Program Files (x86)\AstroGrep\AstroGrep.exe" /spath="%USERPROFILE%\AppData\Local\Temp\OnboardLogs" /stypes="app*4044*20161020*" /stext=" 20:.+((SYSTEM_STATE.+slice.+state.+changed )|(ment ac)|(system.+state.+changed )|(\[timeout)|(PRM\|1\|D)|(kpr)|(kdp)|(\|lc)|(penalty))" /e /r /s</v>
      </c>
      <c r="AG94" s="1" t="str">
        <f t="shared" si="34"/>
        <v>EC</v>
      </c>
      <c r="AH94" s="92" t="str">
        <f t="shared" si="35"/>
        <v>"%USERPROFILE%\Documents\GitHub\eaglep3\Utilities\RefineRTDCRunTimes.py" --tripid 181-20 --locoid 4044 --swversion DE.1.0.7.0 --startMP 204:482 --initTime 2016-10-20T13:40:12 --startdatetime 2016-10-20T13:45:23 --delay 1 --endMP 204:233297 --enddatetime 2016-10-20T14:23:00 --enforcementcount 0 &gt;&gt;C:\Users\stu\Documents\GitHub\eaglep3-reporting\EC\2016-10-20-refined-times.txt</v>
      </c>
      <c r="AI9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ID","value":"181-20"},{"id":16,"name":"Locomotive ID","value":"4044"},{"id":130,"name":"Impact","value":""},{"id":150,"name":"Time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544</v>
      </c>
      <c r="B95" s="7">
        <v>4043</v>
      </c>
      <c r="C95" s="22" t="s">
        <v>99</v>
      </c>
      <c r="D95" s="22" t="s">
        <v>237</v>
      </c>
      <c r="E95" s="13">
        <v>42663.604861111111</v>
      </c>
      <c r="F95" s="13">
        <v>42663.612002314818</v>
      </c>
      <c r="G95" s="7">
        <v>1</v>
      </c>
      <c r="H95" s="13" t="s">
        <v>658</v>
      </c>
      <c r="I95" s="13">
        <v>42663.6406712963</v>
      </c>
      <c r="J95" s="7">
        <v>0</v>
      </c>
      <c r="K95" s="112" t="str">
        <f t="shared" si="23"/>
        <v>4043/4044</v>
      </c>
      <c r="L95" s="22" t="str">
        <f>VLOOKUP(A95,'Trips&amp;Operators'!$C$1:$E$10000,3,FALSE)</f>
        <v>YOUNG</v>
      </c>
      <c r="M95" s="6">
        <f t="shared" si="24"/>
        <v>2.8668981482042E-2</v>
      </c>
      <c r="N95" s="7">
        <f t="shared" si="37"/>
        <v>41.28333333414048</v>
      </c>
      <c r="O95" s="7"/>
      <c r="P95" s="7"/>
      <c r="Q95" s="23"/>
      <c r="R95" s="23"/>
      <c r="S95" s="35">
        <f t="shared" si="38"/>
        <v>1</v>
      </c>
      <c r="T95" s="50" t="str">
        <f t="shared" si="25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13:31:00-0600',mode:absolute,to:'2016-10-20 16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5" s="52" t="str">
        <f t="shared" si="27"/>
        <v>N</v>
      </c>
      <c r="X95" s="171">
        <f t="shared" si="28"/>
        <v>1</v>
      </c>
      <c r="Y95" s="67">
        <f t="shared" si="29"/>
        <v>23.297799999999999</v>
      </c>
      <c r="Z95" s="67">
        <f t="shared" si="22"/>
        <v>1.8700000000000001E-2</v>
      </c>
      <c r="AA95" s="67">
        <f t="shared" si="30"/>
        <v>23.2791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1"/>
        <v>0182-20</v>
      </c>
      <c r="AE95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95" s="88" t="str">
        <f t="shared" si="33"/>
        <v>"C:\Program Files (x86)\AstroGrep\AstroGrep.exe" /spath="%USERPROFILE%\AppData\Local\Temp\OnboardLogs" /stypes="app*4043*20161020*"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2" t="str">
        <f t="shared" si="35"/>
        <v>"%USERPROFILE%\Documents\GitHub\eaglep3\Utilities\RefineRTDCRunTimes.py" --tripid 182-20 --locoid 4043 --swversion DE.1.0.7.0 --startMP 204:232978 --initTime 2016-10-20T14:31:00 --startdatetime 2016-10-20T14:41:17 --delay 1 --endMP 204:187 --enddatetime 2016-10-20T15:22:34 --enforcementcount 0 &gt;&gt;C:\Users\stu\Documents\GitHub\eaglep3-reporting\EC\2016-10-20-refined-times.txt</v>
      </c>
      <c r="AI9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{"issue":{"subject":"","project_id":79,"tracker_id":40,"status_id":1,"priority_id":2,"assigned_to_id":23,"start_date":"2016-10-20","description":"","custom_fields":[{"id":1,"name":"Subdivision","value":"EC"},{"id":4,"name":"Milepost","value":"0.0187"},{"id":17,"name":"Train ID","value":"182-20"},{"id":16,"name":"Locomotive ID","value":"4043"},{"id":130,"name":"Impact","value":""},{"id":150,"name":"Time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539</v>
      </c>
      <c r="B96" s="7">
        <v>4029</v>
      </c>
      <c r="C96" s="22" t="s">
        <v>99</v>
      </c>
      <c r="D96" s="22" t="s">
        <v>236</v>
      </c>
      <c r="E96" s="13">
        <v>42663.579525462963</v>
      </c>
      <c r="F96" s="13">
        <v>42663.583958333336</v>
      </c>
      <c r="G96" s="7">
        <v>1</v>
      </c>
      <c r="H96" s="13" t="s">
        <v>239</v>
      </c>
      <c r="I96" s="13">
        <v>42663.611898148149</v>
      </c>
      <c r="J96" s="7">
        <v>0</v>
      </c>
      <c r="K96" s="112" t="str">
        <f t="shared" si="23"/>
        <v>4029/4030</v>
      </c>
      <c r="L96" s="22" t="str">
        <f>VLOOKUP(A96,'Trips&amp;Operators'!$C$1:$E$10000,3,FALSE)</f>
        <v>ADANE</v>
      </c>
      <c r="M96" s="6">
        <f t="shared" si="24"/>
        <v>2.7939814812270924E-2</v>
      </c>
      <c r="N96" s="7">
        <f t="shared" si="37"/>
        <v>40.233333329670131</v>
      </c>
      <c r="O96" s="7"/>
      <c r="P96" s="7"/>
      <c r="Q96" s="23"/>
      <c r="R96" s="23"/>
      <c r="S96" s="35">
        <f t="shared" si="38"/>
        <v>1</v>
      </c>
      <c r="T96" s="50" t="str">
        <f t="shared" si="25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12:54:31-0600',mode:absolute,to:'2016-10-20 15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6" s="52" t="str">
        <f t="shared" si="27"/>
        <v>N</v>
      </c>
      <c r="X96" s="171">
        <f t="shared" si="28"/>
        <v>1</v>
      </c>
      <c r="Y96" s="67">
        <f t="shared" si="29"/>
        <v>4.5699999999999998E-2</v>
      </c>
      <c r="Z96" s="67">
        <f t="shared" si="22"/>
        <v>23.329499999999999</v>
      </c>
      <c r="AA96" s="67">
        <f t="shared" si="30"/>
        <v>23.283799999999999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1"/>
        <v>0183-20</v>
      </c>
      <c r="AE96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96" s="88" t="str">
        <f t="shared" si="33"/>
        <v>"C:\Program Files (x86)\AstroGrep\AstroGrep.exe" /spath="%USERPROFILE%\AppData\Local\Temp\OnboardLogs" /stypes="app*4029*20161020*"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2" t="str">
        <f t="shared" si="35"/>
        <v>"%USERPROFILE%\Documents\GitHub\eaglep3\Utilities\RefineRTDCRunTimes.py" --tripid 183-20 --locoid 4029 --swversion DE.1.0.7.0 --startMP 204:457 --initTime 2016-10-20T13:54:31 --startdatetime 2016-10-20T14:00:54 --delay 1 --endMP 204:233295 --enddatetime 2016-10-20T14:41:08 --enforcementcount 0 &gt;&gt;C:\Users\stu\Documents\GitHub\eaglep3-reporting\EC\2016-10-20-refined-times.txt</v>
      </c>
      <c r="AI9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ID","value":"183-20"},{"id":16,"name":"Locomotive ID","value":"4029"},{"id":130,"name":"Impact","value":""},{"id":150,"name":"Time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547</v>
      </c>
      <c r="B97" s="7">
        <v>4030</v>
      </c>
      <c r="C97" s="22" t="s">
        <v>99</v>
      </c>
      <c r="D97" s="22" t="s">
        <v>264</v>
      </c>
      <c r="E97" s="13">
        <v>42663.61990740741</v>
      </c>
      <c r="F97" s="13">
        <v>42663.622685185182</v>
      </c>
      <c r="G97" s="7">
        <v>1</v>
      </c>
      <c r="H97" s="13" t="s">
        <v>226</v>
      </c>
      <c r="I97" s="13">
        <v>42663.649050925924</v>
      </c>
      <c r="J97" s="7">
        <v>0</v>
      </c>
      <c r="K97" s="112" t="str">
        <f t="shared" si="23"/>
        <v>4029/4030</v>
      </c>
      <c r="L97" s="22" t="str">
        <f>VLOOKUP(A97,'Trips&amp;Operators'!$C$1:$E$10000,3,FALSE)</f>
        <v>ADANE</v>
      </c>
      <c r="M97" s="6">
        <f t="shared" si="24"/>
        <v>2.6365740741312038E-2</v>
      </c>
      <c r="N97" s="7">
        <f t="shared" si="37"/>
        <v>37.966666667489335</v>
      </c>
      <c r="O97" s="7"/>
      <c r="P97" s="7"/>
      <c r="Q97" s="23"/>
      <c r="R97" s="23"/>
      <c r="S97" s="35">
        <f t="shared" si="38"/>
        <v>1</v>
      </c>
      <c r="T97" s="50" t="str">
        <f t="shared" si="25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13:52:40-0600',mode:absolute,to:'2016-10-20 16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7" s="52" t="str">
        <f t="shared" si="27"/>
        <v>N</v>
      </c>
      <c r="X97" s="171">
        <f t="shared" si="28"/>
        <v>1</v>
      </c>
      <c r="Y97" s="67">
        <f t="shared" si="29"/>
        <v>23.297699999999999</v>
      </c>
      <c r="Z97" s="67">
        <f t="shared" si="22"/>
        <v>1.49E-2</v>
      </c>
      <c r="AA97" s="67">
        <f t="shared" si="30"/>
        <v>23.282799999999998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1"/>
        <v>0184-20</v>
      </c>
      <c r="AE97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97" s="88" t="str">
        <f t="shared" si="33"/>
        <v>"C:\Program Files (x86)\AstroGrep\AstroGrep.exe" /spath="%USERPROFILE%\AppData\Local\Temp\OnboardLogs" /stypes="app*4030*20161020*"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2" t="str">
        <f t="shared" si="35"/>
        <v>"%USERPROFILE%\Documents\GitHub\eaglep3\Utilities\RefineRTDCRunTimes.py" --tripid 184-20 --locoid 4030 --swversion DE.1.0.7.0 --startMP 204:232977 --initTime 2016-10-20T14:52:40 --startdatetime 2016-10-20T14:56:40 --delay 1 --endMP 204:149 --enddatetime 2016-10-20T15:34:38 --enforcementcount 0 &gt;&gt;C:\Users\stu\Documents\GitHub\eaglep3-reporting\EC\2016-10-20-refined-times.txt</v>
      </c>
      <c r="AI9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ID","value":"184-20"},{"id":16,"name":"Locomotive ID","value":"4030"},{"id":130,"name":"Impact","value":""},{"id":150,"name":"Time of Event (Mountain Time)","value":"15:34:38"},{"id":151,"name":"Denver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541</v>
      </c>
      <c r="B98" s="7">
        <v>4018</v>
      </c>
      <c r="C98" s="22" t="s">
        <v>99</v>
      </c>
      <c r="D98" s="22" t="s">
        <v>247</v>
      </c>
      <c r="E98" s="13">
        <v>42663.589085648149</v>
      </c>
      <c r="F98" s="13">
        <v>42663.594085648147</v>
      </c>
      <c r="G98" s="7">
        <v>1</v>
      </c>
      <c r="H98" s="13" t="s">
        <v>286</v>
      </c>
      <c r="I98" s="13">
        <v>42663.618171296293</v>
      </c>
      <c r="J98" s="7">
        <v>0</v>
      </c>
      <c r="K98" s="112" t="str">
        <f t="shared" si="23"/>
        <v>4017/4018</v>
      </c>
      <c r="L98" s="22" t="str">
        <f>VLOOKUP(A98,'Trips&amp;Operators'!$C$1:$E$10000,3,FALSE)</f>
        <v>STORY</v>
      </c>
      <c r="M98" s="6">
        <f t="shared" si="24"/>
        <v>2.4085648146865424E-2</v>
      </c>
      <c r="N98" s="7">
        <f t="shared" si="37"/>
        <v>34.68333333148621</v>
      </c>
      <c r="O98" s="7"/>
      <c r="P98" s="7"/>
      <c r="Q98" s="23"/>
      <c r="R98" s="23"/>
      <c r="S98" s="35">
        <f t="shared" si="38"/>
        <v>1</v>
      </c>
      <c r="T98" s="50" t="str">
        <f t="shared" si="25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13:08:17-0600',mode:absolute,to:'2016-10-20 15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 t="shared" si="27"/>
        <v>N</v>
      </c>
      <c r="X98" s="171">
        <f t="shared" si="28"/>
        <v>1</v>
      </c>
      <c r="Y98" s="67">
        <f t="shared" si="29"/>
        <v>4.5100000000000001E-2</v>
      </c>
      <c r="Z98" s="67">
        <f t="shared" si="22"/>
        <v>23.3278</v>
      </c>
      <c r="AA98" s="67">
        <f t="shared" si="30"/>
        <v>23.282699999999998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1"/>
        <v>0185-20</v>
      </c>
      <c r="AE98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98" s="88" t="str">
        <f t="shared" si="33"/>
        <v>"C:\Program Files (x86)\AstroGrep\AstroGrep.exe" /spath="%USERPROFILE%\AppData\Local\Temp\OnboardLogs" /stypes="app*4018*20161020*" /stext=" 20:.+((SYSTEM_STATE.+slice.+state.+changed )|(ment ac)|(system.+state.+changed )|(\[timeout)|(PRM\|1\|D)|(kpr)|(kdp)|(\|lc)|(penalty))" /e /r /s</v>
      </c>
      <c r="AG98" s="1" t="str">
        <f t="shared" si="34"/>
        <v>EC</v>
      </c>
      <c r="AH98" s="92" t="str">
        <f t="shared" si="35"/>
        <v>"%USERPROFILE%\Documents\GitHub\eaglep3\Utilities\RefineRTDCRunTimes.py" --tripid 185-20 --locoid 4018 --swversion DE.1.0.7.0 --startMP 204:451 --initTime 2016-10-20T14:08:17 --startdatetime 2016-10-20T14:15:29 --delay 1 --endMP 204:233278 --enddatetime 2016-10-20T14:50:10 --enforcementcount 0 &gt;&gt;C:\Users\stu\Documents\GitHub\eaglep3-reporting\EC\2016-10-20-refined-times.txt</v>
      </c>
      <c r="AI9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ID","value":"185-20"},{"id":16,"name":"Locomotive ID","value":"4018"},{"id":130,"name":"Impact","value":""},{"id":150,"name":"Time of Event (Mountain Time)","value":"14:50:10"},{"id":151,"name":"Denver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549</v>
      </c>
      <c r="B99" s="7">
        <v>4017</v>
      </c>
      <c r="C99" s="22" t="s">
        <v>99</v>
      </c>
      <c r="D99" s="22" t="s">
        <v>659</v>
      </c>
      <c r="E99" s="13">
        <v>42663.628946759258</v>
      </c>
      <c r="F99" s="13">
        <v>42663.632835648146</v>
      </c>
      <c r="G99" s="7">
        <v>1</v>
      </c>
      <c r="H99" s="13" t="s">
        <v>283</v>
      </c>
      <c r="I99" s="13">
        <v>42663.659398148149</v>
      </c>
      <c r="J99" s="7">
        <v>0</v>
      </c>
      <c r="K99" s="112" t="str">
        <f t="shared" si="23"/>
        <v>4017/4018</v>
      </c>
      <c r="L99" s="22" t="str">
        <f>VLOOKUP(A99,'Trips&amp;Operators'!$C$1:$E$10000,3,FALSE)</f>
        <v>STORY</v>
      </c>
      <c r="M99" s="6">
        <f t="shared" si="24"/>
        <v>2.6562500002910383E-2</v>
      </c>
      <c r="N99" s="7">
        <f t="shared" si="37"/>
        <v>38.250000004190952</v>
      </c>
      <c r="O99" s="7"/>
      <c r="P99" s="7"/>
      <c r="Q99" s="23"/>
      <c r="R99" s="23"/>
      <c r="S99" s="35">
        <f t="shared" si="38"/>
        <v>1</v>
      </c>
      <c r="T99" s="50" t="str">
        <f t="shared" si="25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14:05:41-0600',mode:absolute,to:'2016-10-20 16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 t="shared" si="27"/>
        <v>N</v>
      </c>
      <c r="X99" s="171">
        <f t="shared" si="28"/>
        <v>1</v>
      </c>
      <c r="Y99" s="67">
        <f t="shared" si="29"/>
        <v>23.2957</v>
      </c>
      <c r="Z99" s="67">
        <f t="shared" si="22"/>
        <v>1.3899999999999999E-2</v>
      </c>
      <c r="AA99" s="67">
        <f t="shared" si="30"/>
        <v>23.2818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1"/>
        <v>0186-20</v>
      </c>
      <c r="AE99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99" s="88" t="str">
        <f t="shared" si="33"/>
        <v>"C:\Program Files (x86)\AstroGrep\AstroGrep.exe" /spath="%USERPROFILE%\AppData\Local\Temp\OnboardLogs" /stypes="app*4017*20161020*" /stext=" 21:.+((SYSTEM_STATE.+slice.+state.+changed )|(ment ac)|(system.+state.+changed )|(\[timeout)|(PRM\|1\|D)|(kpr)|(kdp)|(\|lc)|(penalty))" /e /r /s</v>
      </c>
      <c r="AG99" s="1" t="str">
        <f t="shared" si="34"/>
        <v>EC</v>
      </c>
      <c r="AH99" s="92" t="str">
        <f t="shared" si="35"/>
        <v>"%USERPROFILE%\Documents\GitHub\eaglep3\Utilities\RefineRTDCRunTimes.py" --tripid 186-20 --locoid 4017 --swversion DE.1.0.7.0 --startMP 204:232957 --initTime 2016-10-20T15:05:41 --startdatetime 2016-10-20T15:11:17 --delay 1 --endMP 204:139 --enddatetime 2016-10-20T15:49:32 --enforcementcount 0 &gt;&gt;C:\Users\stu\Documents\GitHub\eaglep3-reporting\EC\2016-10-20-refined-times.txt</v>
      </c>
      <c r="AI9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ID","value":"186-20"},{"id":16,"name":"Locomotive ID","value":"4017"},{"id":130,"name":"Impact","value":""},{"id":150,"name":"Time of Event (Mountain Time)","value":"15:49:32"},{"id":151,"name":"Denver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543</v>
      </c>
      <c r="B100" s="7">
        <v>4038</v>
      </c>
      <c r="C100" s="22" t="s">
        <v>99</v>
      </c>
      <c r="D100" s="22" t="s">
        <v>230</v>
      </c>
      <c r="E100" s="13">
        <v>42663.598263888889</v>
      </c>
      <c r="F100" s="13">
        <v>42663.60460648148</v>
      </c>
      <c r="G100" s="7">
        <v>1</v>
      </c>
      <c r="H100" s="13" t="s">
        <v>286</v>
      </c>
      <c r="I100" s="13">
        <v>42663.629895833335</v>
      </c>
      <c r="J100" s="7">
        <v>0</v>
      </c>
      <c r="K100" s="112" t="str">
        <f t="shared" si="23"/>
        <v>4037/4038</v>
      </c>
      <c r="L100" s="22" t="str">
        <f>VLOOKUP(A100,'Trips&amp;Operators'!$C$1:$E$10000,3,FALSE)</f>
        <v>BONDS</v>
      </c>
      <c r="M100" s="6">
        <f t="shared" si="24"/>
        <v>2.5289351855462883E-2</v>
      </c>
      <c r="N100" s="7">
        <f t="shared" si="37"/>
        <v>36.416666671866551</v>
      </c>
      <c r="O100" s="7"/>
      <c r="P100" s="7"/>
      <c r="Q100" s="23"/>
      <c r="R100" s="23"/>
      <c r="S100" s="35">
        <f t="shared" si="38"/>
        <v>1</v>
      </c>
      <c r="T100" s="50" t="str">
        <f t="shared" si="25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13:21:30-0600',mode:absolute,to:'2016-10-20 16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0" s="52" t="str">
        <f t="shared" si="27"/>
        <v>N</v>
      </c>
      <c r="X100" s="171">
        <f t="shared" si="28"/>
        <v>1</v>
      </c>
      <c r="Y100" s="67">
        <f t="shared" si="29"/>
        <v>4.4699999999999997E-2</v>
      </c>
      <c r="Z100" s="67">
        <f t="shared" si="22"/>
        <v>23.3278</v>
      </c>
      <c r="AA100" s="67">
        <f t="shared" si="30"/>
        <v>23.283100000000001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1"/>
        <v>0187-20</v>
      </c>
      <c r="AE100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00" s="88" t="str">
        <f t="shared" si="33"/>
        <v>"C:\Program Files (x86)\AstroGrep\AstroGrep.exe" /spath="%USERPROFILE%\AppData\Local\Temp\OnboardLogs" /stypes="app*4038*20161020*" /stext=" 21:.+((SYSTEM_STATE.+slice.+state.+changed )|(ment ac)|(system.+state.+changed )|(\[timeout)|(PRM\|1\|D)|(kpr)|(kdp)|(\|lc)|(penalty))" /e /r /s</v>
      </c>
      <c r="AG100" s="1" t="str">
        <f t="shared" si="34"/>
        <v>EC</v>
      </c>
      <c r="AH100" s="92" t="str">
        <f t="shared" si="35"/>
        <v>"%USERPROFILE%\Documents\GitHub\eaglep3\Utilities\RefineRTDCRunTimes.py" --tripid 187-20 --locoid 4038 --swversion DE.1.0.7.0 --startMP 204:447 --initTime 2016-10-20T14:21:30 --startdatetime 2016-10-20T14:30:38 --delay 1 --endMP 204:233278 --enddatetime 2016-10-20T15:07:03 --enforcementcount 0 &gt;&gt;C:\Users\stu\Documents\GitHub\eaglep3-reporting\EC\2016-10-20-refined-times.txt</v>
      </c>
      <c r="AI10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ID","value":"187-20"},{"id":16,"name":"Locomotive ID","value":"4038"},{"id":130,"name":"Impact","value":""},{"id":150,"name":"Time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419</v>
      </c>
      <c r="B101" s="7">
        <v>4037</v>
      </c>
      <c r="C101" s="22" t="s">
        <v>99</v>
      </c>
      <c r="D101" s="22" t="s">
        <v>382</v>
      </c>
      <c r="E101" s="13">
        <v>42663.6328587963</v>
      </c>
      <c r="F101" s="13">
        <v>42663.64335648148</v>
      </c>
      <c r="G101" s="7">
        <v>2</v>
      </c>
      <c r="H101" s="13" t="s">
        <v>317</v>
      </c>
      <c r="I101" s="13">
        <v>42663.671122685184</v>
      </c>
      <c r="J101" s="7">
        <v>0</v>
      </c>
      <c r="K101" s="112" t="str">
        <f t="shared" si="23"/>
        <v>4037/4038</v>
      </c>
      <c r="L101" s="22" t="str">
        <f>VLOOKUP(A101,'Trips&amp;Operators'!$C$1:$E$10000,3,FALSE)</f>
        <v>BONDS</v>
      </c>
      <c r="M101" s="6">
        <f t="shared" si="24"/>
        <v>2.7766203704231884E-2</v>
      </c>
      <c r="N101" s="7">
        <f t="shared" si="37"/>
        <v>39.983333334093913</v>
      </c>
      <c r="O101" s="7"/>
      <c r="P101" s="7"/>
      <c r="Q101" s="23"/>
      <c r="R101" s="23"/>
      <c r="S101" s="35">
        <f t="shared" si="38"/>
        <v>1</v>
      </c>
      <c r="T101" s="50" t="str">
        <f t="shared" si="25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1" s="52" t="str">
        <f t="shared" si="27"/>
        <v>N</v>
      </c>
      <c r="X101" s="171">
        <f t="shared" si="28"/>
        <v>1</v>
      </c>
      <c r="Y101" s="67">
        <f t="shared" si="29"/>
        <v>23.296800000000001</v>
      </c>
      <c r="Z101" s="67">
        <f t="shared" si="22"/>
        <v>1.72E-2</v>
      </c>
      <c r="AA101" s="67">
        <f t="shared" si="30"/>
        <v>23.279600000000002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1"/>
        <v>0188-20</v>
      </c>
      <c r="AE101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01" s="88" t="str">
        <f t="shared" si="33"/>
        <v>"C:\Program Files (x86)\AstroGrep\AstroGrep.exe" /spath="%USERPROFILE%\AppData\Local\Temp\OnboardLogs" /stypes="app*4037*20161020*"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2" t="str">
        <f t="shared" si="35"/>
        <v>"%USERPROFILE%\Documents\GitHub\eaglep3\Utilities\RefineRTDCRunTimes.py" --tripid 188-20 --locoid 4037 --swversion DE.1.0.7.0 --startMP 204:232968 --initTime 2016-10-20T15:11:19 --startdatetime 2016-10-20T15:26:26 --delay 2 --endMP 204:172 --enddatetime 2016-10-20T16:06:25 --enforcementcount 0 &gt;&gt;C:\Users\stu\Documents\GitHub\eaglep3-reporting\EC\2016-10-20-refined-times.txt</v>
      </c>
      <c r="AI10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{"issue":{"subject":"","project_id":79,"tracker_id":40,"status_id":1,"priority_id":2,"assigned_to_id":23,"start_date":"2016-10-20","description":"","custom_fields":[{"id":1,"name":"Subdivision","value":"EC"},{"id":4,"name":"Milepost","value":"0.0172"},{"id":17,"name":"Train ID","value":"188-20"},{"id":16,"name":"Locomotive ID","value":"4037"},{"id":130,"name":"Impact","value":""},{"id":150,"name":"Time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546</v>
      </c>
      <c r="B102" s="7">
        <v>4006</v>
      </c>
      <c r="C102" s="22" t="s">
        <v>99</v>
      </c>
      <c r="D102" s="22" t="s">
        <v>238</v>
      </c>
      <c r="E102" s="13">
        <v>42663.611238425925</v>
      </c>
      <c r="F102" s="13">
        <v>42663.61478009259</v>
      </c>
      <c r="G102" s="7">
        <v>1</v>
      </c>
      <c r="H102" s="13" t="s">
        <v>350</v>
      </c>
      <c r="I102" s="13">
        <v>42663.640300925923</v>
      </c>
      <c r="J102" s="7">
        <v>0</v>
      </c>
      <c r="K102" s="112" t="str">
        <f t="shared" si="23"/>
        <v>4005/4006</v>
      </c>
      <c r="L102" s="22" t="str">
        <f>VLOOKUP(A102,'Trips&amp;Operators'!$C$1:$E$10000,3,FALSE)</f>
        <v>SHOOK</v>
      </c>
      <c r="M102" s="6">
        <f t="shared" si="24"/>
        <v>2.5520833332848269E-2</v>
      </c>
      <c r="N102" s="7">
        <f t="shared" si="37"/>
        <v>36.749999999301508</v>
      </c>
      <c r="O102" s="7"/>
      <c r="P102" s="7"/>
      <c r="Q102" s="23"/>
      <c r="R102" s="23"/>
      <c r="S102" s="35">
        <f t="shared" si="38"/>
        <v>1</v>
      </c>
      <c r="T102" s="50" t="str">
        <f t="shared" si="25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13:40:11-0600',mode:absolute,to:'2016-10-20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02" s="52" t="str">
        <f t="shared" si="27"/>
        <v>N</v>
      </c>
      <c r="X102" s="171">
        <f t="shared" si="28"/>
        <v>1</v>
      </c>
      <c r="Y102" s="67">
        <f t="shared" si="29"/>
        <v>4.6600000000000003E-2</v>
      </c>
      <c r="Z102" s="67">
        <f t="shared" si="22"/>
        <v>23.332599999999999</v>
      </c>
      <c r="AA102" s="67">
        <f t="shared" si="30"/>
        <v>23.285999999999998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1"/>
        <v>0189-20</v>
      </c>
      <c r="AE102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02" s="88" t="str">
        <f t="shared" si="33"/>
        <v>"C:\Program Files (x86)\AstroGrep\AstroGrep.exe" /spath="%USERPROFILE%\AppData\Local\Temp\OnboardLogs" /stypes="app*4006*20161020*" /stext=" 21:.+((SYSTEM_STATE.+slice.+state.+changed )|(ment ac)|(system.+state.+changed )|(\[timeout)|(PRM\|1\|D)|(kpr)|(kdp)|(\|lc)|(penalty))" /e /r /s</v>
      </c>
      <c r="AG102" s="1" t="str">
        <f t="shared" si="34"/>
        <v>EC</v>
      </c>
      <c r="AH102" s="92" t="str">
        <f t="shared" si="35"/>
        <v>"%USERPROFILE%\Documents\GitHub\eaglep3\Utilities\RefineRTDCRunTimes.py" --tripid 189-20 --locoid 4006 --swversion DE.1.0.7.0 --startMP 204:466 --initTime 2016-10-20T14:40:11 --startdatetime 2016-10-20T14:45:17 --delay 1 --endMP 204:233326 --enddatetime 2016-10-20T15:22:02 --enforcementcount 0 &gt;&gt;C:\Users\stu\Documents\GitHub\eaglep3-reporting\EC\2016-10-20-refined-times.txt</v>
      </c>
      <c r="AI10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{"issue":{"subject":"","project_id":79,"tracker_id":40,"status_id":1,"priority_id":2,"assigned_to_id":23,"start_date":"2016-10-20","description":"","custom_fields":[{"id":1,"name":"Subdivision","value":"EC"},{"id":4,"name":"Milepost","value":"23.3326"},{"id":17,"name":"Train ID","value":"189-20"},{"id":16,"name":"Locomotive ID","value":"4006"},{"id":130,"name":"Impact","value":""},{"id":150,"name":"Time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553</v>
      </c>
      <c r="B103" s="7">
        <v>4005</v>
      </c>
      <c r="C103" s="22" t="s">
        <v>99</v>
      </c>
      <c r="D103" s="22" t="s">
        <v>372</v>
      </c>
      <c r="E103" s="13">
        <v>42663.647175925929</v>
      </c>
      <c r="F103" s="13">
        <v>42663.653692129628</v>
      </c>
      <c r="G103" s="7">
        <v>1</v>
      </c>
      <c r="H103" s="13" t="s">
        <v>229</v>
      </c>
      <c r="I103" s="13">
        <v>42663.680555555555</v>
      </c>
      <c r="J103" s="7">
        <v>0</v>
      </c>
      <c r="K103" s="112" t="str">
        <f t="shared" si="23"/>
        <v>4005/4006</v>
      </c>
      <c r="L103" s="22" t="str">
        <f>VLOOKUP(A103,'Trips&amp;Operators'!$C$1:$E$10000,3,FALSE)</f>
        <v>SHOOK</v>
      </c>
      <c r="M103" s="6">
        <f t="shared" si="24"/>
        <v>2.6863425926421769E-2</v>
      </c>
      <c r="N103" s="7">
        <f t="shared" si="37"/>
        <v>38.683333334047347</v>
      </c>
      <c r="O103" s="7"/>
      <c r="P103" s="7"/>
      <c r="Q103" s="23"/>
      <c r="R103" s="23"/>
      <c r="S103" s="35">
        <f t="shared" si="38"/>
        <v>1</v>
      </c>
      <c r="T103" s="50" t="str">
        <f t="shared" si="25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14:31:56-0600',mode:absolute,to:'2016-10-20 17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03" s="52" t="str">
        <f t="shared" si="27"/>
        <v>N</v>
      </c>
      <c r="X103" s="171">
        <f t="shared" si="28"/>
        <v>1</v>
      </c>
      <c r="Y103" s="67">
        <f t="shared" si="29"/>
        <v>23.302600000000002</v>
      </c>
      <c r="Z103" s="67">
        <f t="shared" si="22"/>
        <v>1.4999999999999999E-2</v>
      </c>
      <c r="AA103" s="67">
        <f t="shared" si="30"/>
        <v>23.287600000000001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1"/>
        <v>0190-20</v>
      </c>
      <c r="AE103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03" s="88" t="str">
        <f t="shared" si="33"/>
        <v>"C:\Program Files (x86)\AstroGrep\AstroGrep.exe" /spath="%USERPROFILE%\AppData\Local\Temp\OnboardLogs" /stypes="app*4005*20161020*"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2" t="str">
        <f t="shared" si="35"/>
        <v>"%USERPROFILE%\Documents\GitHub\eaglep3\Utilities\RefineRTDCRunTimes.py" --tripid 190-20 --locoid 4005 --swversion DE.1.0.7.0 --startMP 204:233026 --initTime 2016-10-20T15:31:56 --startdatetime 2016-10-20T15:41:19 --delay 1 --endMP 204:150 --enddatetime 2016-10-20T16:20:00 --enforcementcount 0 &gt;&gt;C:\Users\stu\Documents\GitHub\eaglep3-reporting\EC\2016-10-20-refined-times.txt</v>
      </c>
      <c r="AI10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ID","value":"190-20"},{"id":16,"name":"Locomotive ID","value":"4005"},{"id":130,"name":"Impact","value":""},{"id":150,"name":"Time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548</v>
      </c>
      <c r="B104" s="7">
        <v>4011</v>
      </c>
      <c r="C104" s="22" t="s">
        <v>99</v>
      </c>
      <c r="D104" s="22" t="s">
        <v>376</v>
      </c>
      <c r="E104" s="13">
        <v>42663.623518518521</v>
      </c>
      <c r="F104" s="13">
        <v>42663.625717592593</v>
      </c>
      <c r="G104" s="7">
        <v>1</v>
      </c>
      <c r="H104" s="13" t="s">
        <v>348</v>
      </c>
      <c r="I104" s="13">
        <v>42663.652094907404</v>
      </c>
      <c r="J104" s="7">
        <v>0</v>
      </c>
      <c r="K104" s="112" t="str">
        <f t="shared" si="23"/>
        <v>4011/4012</v>
      </c>
      <c r="L104" s="22" t="str">
        <f>VLOOKUP(A104,'Trips&amp;Operators'!$C$1:$E$10000,3,FALSE)</f>
        <v>MOSES</v>
      </c>
      <c r="M104" s="6">
        <f t="shared" si="24"/>
        <v>2.6377314810815733E-2</v>
      </c>
      <c r="N104" s="7">
        <f t="shared" si="37"/>
        <v>37.983333327574655</v>
      </c>
      <c r="O104" s="7"/>
      <c r="P104" s="7"/>
      <c r="Q104" s="23"/>
      <c r="R104" s="23"/>
      <c r="S104" s="35">
        <f t="shared" si="38"/>
        <v>1</v>
      </c>
      <c r="T104" s="50" t="str">
        <f t="shared" si="25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13:57:52-0600',mode:absolute,to:'2016-10-20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4" s="52" t="str">
        <f t="shared" si="27"/>
        <v>N</v>
      </c>
      <c r="X104" s="171">
        <f t="shared" si="28"/>
        <v>1</v>
      </c>
      <c r="Y104" s="67">
        <f t="shared" si="29"/>
        <v>4.3999999999999997E-2</v>
      </c>
      <c r="Z104" s="67">
        <f t="shared" si="22"/>
        <v>23.332899999999999</v>
      </c>
      <c r="AA104" s="67">
        <f t="shared" si="30"/>
        <v>23.288899999999998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1"/>
        <v>0191-20</v>
      </c>
      <c r="AE104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04" s="88" t="str">
        <f t="shared" si="33"/>
        <v>"C:\Program Files (x86)\AstroGrep\AstroGrep.exe" /spath="%USERPROFILE%\AppData\Local\Temp\OnboardLogs" /stypes="app*4011*20161020*"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2" t="str">
        <f t="shared" si="35"/>
        <v>"%USERPROFILE%\Documents\GitHub\eaglep3\Utilities\RefineRTDCRunTimes.py" --tripid 191-20 --locoid 4011 --swversion DE.1.0.7.0 --startMP 204:440 --initTime 2016-10-20T14:57:52 --startdatetime 2016-10-20T15:01:02 --delay 1 --endMP 204:233329 --enddatetime 2016-10-20T15:39:01 --enforcementcount 0 &gt;&gt;C:\Users\stu\Documents\GitHub\eaglep3-reporting\EC\2016-10-20-refined-times.txt</v>
      </c>
      <c r="AI10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ID","value":"191-20"},{"id":16,"name":"Locomotive ID","value":"4011"},{"id":130,"name":"Impact","value":""},{"id":150,"name":"Time of Event (Mountain Time)","value":"15:39:01"},{"id":151,"name":"Denver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556</v>
      </c>
      <c r="B105" s="7">
        <v>4012</v>
      </c>
      <c r="C105" s="22" t="s">
        <v>99</v>
      </c>
      <c r="D105" s="22" t="s">
        <v>660</v>
      </c>
      <c r="E105" s="13">
        <v>42663.659155092595</v>
      </c>
      <c r="F105" s="13">
        <v>42663.664131944446</v>
      </c>
      <c r="G105" s="7">
        <v>1</v>
      </c>
      <c r="H105" s="13" t="s">
        <v>243</v>
      </c>
      <c r="I105" s="13">
        <v>42663.692430555559</v>
      </c>
      <c r="J105" s="7">
        <v>0</v>
      </c>
      <c r="K105" s="112" t="str">
        <f t="shared" si="23"/>
        <v>4011/4012</v>
      </c>
      <c r="L105" s="22" t="str">
        <f>VLOOKUP(A105,'Trips&amp;Operators'!$C$1:$E$10000,3,FALSE)</f>
        <v>MOSES</v>
      </c>
      <c r="M105" s="6">
        <f t="shared" si="24"/>
        <v>2.8298611112404615E-2</v>
      </c>
      <c r="N105" s="7">
        <f t="shared" si="37"/>
        <v>40.750000001862645</v>
      </c>
      <c r="O105" s="7"/>
      <c r="P105" s="7"/>
      <c r="Q105" s="23"/>
      <c r="R105" s="23"/>
      <c r="S105" s="35">
        <f t="shared" si="38"/>
        <v>1</v>
      </c>
      <c r="T105" s="50" t="str">
        <f t="shared" si="25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14:49:11-0600',mode:absolute,to:'2016-10-20 17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5" s="52" t="str">
        <f t="shared" si="27"/>
        <v>N</v>
      </c>
      <c r="X105" s="171">
        <f t="shared" si="28"/>
        <v>1</v>
      </c>
      <c r="Y105" s="67">
        <f t="shared" si="29"/>
        <v>23.301300000000001</v>
      </c>
      <c r="Z105" s="67">
        <f t="shared" si="22"/>
        <v>1.6E-2</v>
      </c>
      <c r="AA105" s="67">
        <f t="shared" si="30"/>
        <v>23.285300000000003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1"/>
        <v>0192-20</v>
      </c>
      <c r="AE105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05" s="88" t="str">
        <f t="shared" si="33"/>
        <v>"C:\Program Files (x86)\AstroGrep\AstroGrep.exe" /spath="%USERPROFILE%\AppData\Local\Temp\OnboardLogs" /stypes="app*4012*20161020*"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2" t="str">
        <f t="shared" si="35"/>
        <v>"%USERPROFILE%\Documents\GitHub\eaglep3\Utilities\RefineRTDCRunTimes.py" --tripid 192-20 --locoid 4012 --swversion DE.1.0.7.0 --startMP 204:233013 --initTime 2016-10-20T15:49:11 --startdatetime 2016-10-20T15:56:21 --delay 1 --endMP 204:160 --enddatetime 2016-10-20T16:37:06 --enforcementcount 0 &gt;&gt;C:\Users\stu\Documents\GitHub\eaglep3-reporting\EC\2016-10-20-refined-times.txt</v>
      </c>
      <c r="AI10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ID","value":"192-20"},{"id":16,"name":"Locomotive ID","value":"4012"},{"id":130,"name":"Impact","value":""},{"id":150,"name":"Time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550</v>
      </c>
      <c r="B106" s="7">
        <v>4042</v>
      </c>
      <c r="C106" s="22" t="s">
        <v>99</v>
      </c>
      <c r="D106" s="22" t="s">
        <v>245</v>
      </c>
      <c r="E106" s="13">
        <v>42663.631956018522</v>
      </c>
      <c r="F106" s="13">
        <v>42663.635613425926</v>
      </c>
      <c r="G106" s="7">
        <v>1</v>
      </c>
      <c r="H106" s="13" t="s">
        <v>241</v>
      </c>
      <c r="I106" s="13">
        <v>42663.659629629627</v>
      </c>
      <c r="J106" s="7">
        <v>0</v>
      </c>
      <c r="K106" s="112" t="str">
        <f t="shared" si="23"/>
        <v>4041/4042</v>
      </c>
      <c r="L106" s="22" t="str">
        <f>VLOOKUP(A106,'Trips&amp;Operators'!$C$1:$E$10000,3,FALSE)</f>
        <v>NEWELL</v>
      </c>
      <c r="M106" s="6">
        <f t="shared" si="24"/>
        <v>2.4016203700739425E-2</v>
      </c>
      <c r="N106" s="7">
        <f t="shared" si="37"/>
        <v>34.583333329064772</v>
      </c>
      <c r="O106" s="7"/>
      <c r="P106" s="7"/>
      <c r="Q106" s="23"/>
      <c r="R106" s="23"/>
      <c r="S106" s="35">
        <f t="shared" si="38"/>
        <v>1</v>
      </c>
      <c r="T106" s="50" t="str">
        <f t="shared" si="25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14:10:01-0600',mode:absolute,to:'2016-10-20 16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6" s="52" t="str">
        <f t="shared" si="27"/>
        <v>N</v>
      </c>
      <c r="X106" s="171">
        <f t="shared" si="28"/>
        <v>1</v>
      </c>
      <c r="Y106" s="67">
        <f t="shared" si="29"/>
        <v>4.5999999999999999E-2</v>
      </c>
      <c r="Z106" s="67">
        <f t="shared" ref="Z106:Z137" si="39">RIGHT(H106,LEN(H106)-4)/10000</f>
        <v>23.329899999999999</v>
      </c>
      <c r="AA106" s="67">
        <f t="shared" si="30"/>
        <v>23.283899999999999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1"/>
        <v>0193-20</v>
      </c>
      <c r="AE106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06" s="88" t="str">
        <f t="shared" si="33"/>
        <v>"C:\Program Files (x86)\AstroGrep\AstroGrep.exe" /spath="%USERPROFILE%\AppData\Local\Temp\OnboardLogs" /stypes="app*4042*20161020*" /stext=" 21:.+((SYSTEM_STATE.+slice.+state.+changed )|(ment ac)|(system.+state.+changed )|(\[timeout)|(PRM\|1\|D)|(kpr)|(kdp)|(\|lc)|(penalty))" /e /r /s</v>
      </c>
      <c r="AG106" s="1" t="str">
        <f t="shared" si="34"/>
        <v>EC</v>
      </c>
      <c r="AH106" s="92" t="str">
        <f t="shared" si="35"/>
        <v>"%USERPROFILE%\Documents\GitHub\eaglep3\Utilities\RefineRTDCRunTimes.py" --tripid 193-20 --locoid 4042 --swversion DE.1.0.7.0 --startMP 204:460 --initTime 2016-10-20T15:10:01 --startdatetime 2016-10-20T15:15:17 --delay 1 --endMP 204:233299 --enddatetime 2016-10-20T15:49:52 --enforcementcount 0 &gt;&gt;C:\Users\stu\Documents\GitHub\eaglep3-reporting\EC\2016-10-20-refined-times.txt</v>
      </c>
      <c r="AI10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{"issue":{"subject":"","project_id":79,"tracker_id":40,"status_id":1,"priority_id":2,"assigned_to_id":23,"start_date":"2016-10-20","description":"","custom_fields":[{"id":1,"name":"Subdivision","value":"EC"},{"id":4,"name":"Milepost","value":"23.3299"},{"id":17,"name":"Train ID","value":"193-20"},{"id":16,"name":"Locomotive ID","value":"4042"},{"id":130,"name":"Impact","value":""},{"id":150,"name":"Time of Event (Mountain Time)","value":"15:49:52"},{"id":151,"name":"Denver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557</v>
      </c>
      <c r="B107" s="7">
        <v>4041</v>
      </c>
      <c r="C107" s="22" t="s">
        <v>99</v>
      </c>
      <c r="D107" s="22" t="s">
        <v>237</v>
      </c>
      <c r="E107" s="13">
        <v>42663.663842592592</v>
      </c>
      <c r="F107" s="13">
        <v>42663.674583333333</v>
      </c>
      <c r="G107" s="7">
        <v>1</v>
      </c>
      <c r="H107" s="13" t="s">
        <v>176</v>
      </c>
      <c r="I107" s="13">
        <v>42663.700995370367</v>
      </c>
      <c r="J107" s="7">
        <v>0</v>
      </c>
      <c r="K107" s="112" t="str">
        <f t="shared" si="23"/>
        <v>4041/4042</v>
      </c>
      <c r="L107" s="22" t="str">
        <f>VLOOKUP(A107,'Trips&amp;Operators'!$C$1:$E$10000,3,FALSE)</f>
        <v>NEWELL</v>
      </c>
      <c r="M107" s="6">
        <f t="shared" si="24"/>
        <v>2.6412037033878732E-2</v>
      </c>
      <c r="N107" s="7">
        <f t="shared" si="37"/>
        <v>38.033333328785375</v>
      </c>
      <c r="O107" s="7"/>
      <c r="P107" s="7"/>
      <c r="Q107" s="23"/>
      <c r="R107" s="23"/>
      <c r="S107" s="35">
        <f t="shared" si="38"/>
        <v>1</v>
      </c>
      <c r="T107" s="50" t="str">
        <f t="shared" si="25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14:55:56-0600',mode:absolute,to:'2016-10-20 17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7" s="52" t="str">
        <f t="shared" si="27"/>
        <v>N</v>
      </c>
      <c r="X107" s="171">
        <f t="shared" si="28"/>
        <v>1</v>
      </c>
      <c r="Y107" s="67">
        <f t="shared" si="29"/>
        <v>23.297799999999999</v>
      </c>
      <c r="Z107" s="67">
        <f t="shared" si="39"/>
        <v>1.47E-2</v>
      </c>
      <c r="AA107" s="67">
        <f t="shared" si="30"/>
        <v>23.283099999999997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1"/>
        <v>0194-20</v>
      </c>
      <c r="AE107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07" s="88" t="str">
        <f t="shared" si="33"/>
        <v>"C:\Program Files (x86)\AstroGrep\AstroGrep.exe" /spath="%USERPROFILE%\AppData\Local\Temp\OnboardLogs" /stypes="app*4041*20161020*" /stext=" 22:.+((SYSTEM_STATE.+slice.+state.+changed )|(ment ac)|(system.+state.+changed )|(\[timeout)|(PRM\|1\|D)|(kpr)|(kdp)|(\|lc)|(penalty))" /e /r /s</v>
      </c>
      <c r="AG107" s="1" t="str">
        <f t="shared" si="34"/>
        <v>EC</v>
      </c>
      <c r="AH107" s="92" t="str">
        <f t="shared" si="35"/>
        <v>"%USERPROFILE%\Documents\GitHub\eaglep3\Utilities\RefineRTDCRunTimes.py" --tripid 194-20 --locoid 4041 --swversion DE.1.0.7.0 --startMP 204:232978 --initTime 2016-10-20T15:55:56 --startdatetime 2016-10-20T16:11:24 --delay 1 --endMP 204:147 --enddatetime 2016-10-20T16:49:26 --enforcementcount 0 &gt;&gt;C:\Users\stu\Documents\GitHub\eaglep3-reporting\EC\2016-10-20-refined-times.txt</v>
      </c>
      <c r="AI10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ID","value":"194-20"},{"id":16,"name":"Locomotive ID","value":"4041"},{"id":130,"name":"Impact","value":""},{"id":150,"name":"Time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552</v>
      </c>
      <c r="B108" s="7">
        <v>4044</v>
      </c>
      <c r="C108" s="22" t="s">
        <v>99</v>
      </c>
      <c r="D108" s="22" t="s">
        <v>351</v>
      </c>
      <c r="E108" s="13">
        <v>42663.642256944448</v>
      </c>
      <c r="F108" s="13">
        <v>42663.646006944444</v>
      </c>
      <c r="G108" s="7">
        <v>1</v>
      </c>
      <c r="H108" s="13" t="s">
        <v>625</v>
      </c>
      <c r="I108" s="13">
        <v>42663.672222222223</v>
      </c>
      <c r="J108" s="7">
        <v>0</v>
      </c>
      <c r="K108" s="112" t="str">
        <f t="shared" si="23"/>
        <v>4043/4044</v>
      </c>
      <c r="L108" s="22" t="str">
        <f>VLOOKUP(A108,'Trips&amp;Operators'!$C$1:$E$10000,3,FALSE)</f>
        <v>YOUNG</v>
      </c>
      <c r="M108" s="6">
        <f t="shared" si="24"/>
        <v>2.6215277779556345E-2</v>
      </c>
      <c r="N108" s="7">
        <f t="shared" si="37"/>
        <v>37.750000002561137</v>
      </c>
      <c r="O108" s="7"/>
      <c r="P108" s="7"/>
      <c r="Q108" s="23"/>
      <c r="R108" s="23"/>
      <c r="S108" s="35">
        <f t="shared" si="38"/>
        <v>1</v>
      </c>
      <c r="T108" s="50" t="str">
        <f t="shared" si="25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14:24:51-0600',mode:absolute,to:'2016-10-20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52" t="str">
        <f t="shared" si="27"/>
        <v>N</v>
      </c>
      <c r="X108" s="171">
        <f t="shared" si="28"/>
        <v>1</v>
      </c>
      <c r="Y108" s="67">
        <f t="shared" si="29"/>
        <v>4.8000000000000001E-2</v>
      </c>
      <c r="Z108" s="67">
        <f t="shared" si="39"/>
        <v>23.332100000000001</v>
      </c>
      <c r="AA108" s="67">
        <f t="shared" si="30"/>
        <v>23.284100000000002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1"/>
        <v>0195-20</v>
      </c>
      <c r="AE108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08" s="88" t="str">
        <f t="shared" si="33"/>
        <v>"C:\Program Files (x86)\AstroGrep\AstroGrep.exe" /spath="%USERPROFILE%\AppData\Local\Temp\OnboardLogs" /stypes="app*4044*20161020*" /stext=" 22:.+((SYSTEM_STATE.+slice.+state.+changed )|(ment ac)|(system.+state.+changed )|(\[timeout)|(PRM\|1\|D)|(kpr)|(kdp)|(\|lc)|(penalty))" /e /r /s</v>
      </c>
      <c r="AG108" s="1" t="str">
        <f t="shared" si="34"/>
        <v>EC</v>
      </c>
      <c r="AH108" s="92" t="str">
        <f t="shared" si="35"/>
        <v>"%USERPROFILE%\Documents\GitHub\eaglep3\Utilities\RefineRTDCRunTimes.py" --tripid 195-20 --locoid 4044 --swversion DE.1.0.7.0 --startMP 204:480 --initTime 2016-10-20T15:24:51 --startdatetime 2016-10-20T15:30:15 --delay 1 --endMP 204:233321 --enddatetime 2016-10-20T16:08:00 --enforcementcount 0 &gt;&gt;C:\Users\stu\Documents\GitHub\eaglep3-reporting\EC\2016-10-20-refined-times.txt</v>
      </c>
      <c r="AI10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ID","value":"195-20"},{"id":16,"name":"Locomotive ID","value":"4044"},{"id":130,"name":"Impact","value":""},{"id":150,"name":"Time of Event (Mountain Time)","value":"16:08:00"},{"id":151,"name":"Denver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560</v>
      </c>
      <c r="B109" s="7">
        <v>4043</v>
      </c>
      <c r="C109" s="22" t="s">
        <v>99</v>
      </c>
      <c r="D109" s="22" t="s">
        <v>278</v>
      </c>
      <c r="E109" s="13">
        <v>42663.674305555556</v>
      </c>
      <c r="F109" s="13">
        <v>42663.684930555559</v>
      </c>
      <c r="G109" s="7">
        <v>2</v>
      </c>
      <c r="H109" s="13" t="s">
        <v>229</v>
      </c>
      <c r="I109" s="13">
        <v>42663.713125000002</v>
      </c>
      <c r="J109" s="7">
        <v>0</v>
      </c>
      <c r="K109" s="112" t="str">
        <f t="shared" si="23"/>
        <v>4043/4044</v>
      </c>
      <c r="L109" s="22" t="str">
        <f>VLOOKUP(A109,'Trips&amp;Operators'!$C$1:$E$10000,3,FALSE)</f>
        <v>YOUNG</v>
      </c>
      <c r="M109" s="6">
        <f t="shared" si="24"/>
        <v>2.8194444443215616E-2</v>
      </c>
      <c r="N109" s="7">
        <f t="shared" si="37"/>
        <v>40.599999998230487</v>
      </c>
      <c r="O109" s="7"/>
      <c r="P109" s="7"/>
      <c r="Q109" s="23"/>
      <c r="R109" s="23"/>
      <c r="S109" s="35">
        <f t="shared" si="38"/>
        <v>1</v>
      </c>
      <c r="T109" s="50" t="str">
        <f t="shared" si="25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15:11:00-0600',mode:absolute,to:'2016-10-20 18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9" s="52" t="str">
        <f t="shared" si="27"/>
        <v>N</v>
      </c>
      <c r="X109" s="171">
        <f t="shared" si="28"/>
        <v>1</v>
      </c>
      <c r="Y109" s="67">
        <f t="shared" si="29"/>
        <v>23.3</v>
      </c>
      <c r="Z109" s="67">
        <f t="shared" si="39"/>
        <v>1.4999999999999999E-2</v>
      </c>
      <c r="AA109" s="67">
        <f t="shared" si="30"/>
        <v>23.285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1"/>
        <v>0196-20</v>
      </c>
      <c r="AE109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09" s="88" t="str">
        <f t="shared" si="33"/>
        <v>"C:\Program Files (x86)\AstroGrep\AstroGrep.exe" /spath="%USERPROFILE%\AppData\Local\Temp\OnboardLogs" /stypes="app*4043*20161020*"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2" t="str">
        <f t="shared" si="35"/>
        <v>"%USERPROFILE%\Documents\GitHub\eaglep3\Utilities\RefineRTDCRunTimes.py" --tripid 196-20 --locoid 4043 --swversion DE.1.0.7.0 --startMP 204:233000 --initTime 2016-10-20T16:11:00 --startdatetime 2016-10-20T16:26:18 --delay 2 --endMP 204:150 --enddatetime 2016-10-20T17:06:54 --enforcementcount 0 &gt;&gt;C:\Users\stu\Documents\GitHub\eaglep3-reporting\EC\2016-10-20-refined-times.txt</v>
      </c>
      <c r="AI10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ID","value":"196-20"},{"id":16,"name":"Locomotive ID","value":"4043"},{"id":130,"name":"Impact","value":""},{"id":150,"name":"Time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555</v>
      </c>
      <c r="B110" s="7">
        <v>4029</v>
      </c>
      <c r="C110" s="22" t="s">
        <v>99</v>
      </c>
      <c r="D110" s="22" t="s">
        <v>236</v>
      </c>
      <c r="E110" s="13">
        <v>42663.652928240743</v>
      </c>
      <c r="F110" s="13">
        <v>42663.656759259262</v>
      </c>
      <c r="G110" s="7">
        <v>1</v>
      </c>
      <c r="H110" s="13" t="s">
        <v>304</v>
      </c>
      <c r="I110" s="13">
        <v>42663.681620370371</v>
      </c>
      <c r="J110" s="7">
        <v>0</v>
      </c>
      <c r="K110" s="112" t="str">
        <f t="shared" si="23"/>
        <v>4029/4030</v>
      </c>
      <c r="L110" s="22" t="str">
        <f>VLOOKUP(A110,'Trips&amp;Operators'!$C$1:$E$10000,3,FALSE)</f>
        <v>ADANE</v>
      </c>
      <c r="M110" s="6">
        <f t="shared" si="24"/>
        <v>2.4861111109203193E-2</v>
      </c>
      <c r="N110" s="7">
        <f t="shared" si="37"/>
        <v>35.799999997252598</v>
      </c>
      <c r="O110" s="7"/>
      <c r="P110" s="7"/>
      <c r="Q110" s="23"/>
      <c r="R110" s="23"/>
      <c r="S110" s="35">
        <f t="shared" si="38"/>
        <v>1</v>
      </c>
      <c r="T110" s="50" t="str">
        <f t="shared" si="25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14:40:13-0600',mode:absolute,to:'2016-10-20 17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0" s="52" t="str">
        <f t="shared" si="27"/>
        <v>N</v>
      </c>
      <c r="X110" s="171">
        <f t="shared" si="28"/>
        <v>1</v>
      </c>
      <c r="Y110" s="67">
        <f t="shared" si="29"/>
        <v>4.5699999999999998E-2</v>
      </c>
      <c r="Z110" s="67">
        <f t="shared" si="39"/>
        <v>23.331099999999999</v>
      </c>
      <c r="AA110" s="67">
        <f t="shared" si="30"/>
        <v>23.285399999999999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1"/>
        <v>0197-20</v>
      </c>
      <c r="AE110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10" s="88" t="str">
        <f t="shared" si="33"/>
        <v>"C:\Program Files (x86)\AstroGrep\AstroGrep.exe" /spath="%USERPROFILE%\AppData\Local\Temp\OnboardLogs" /stypes="app*4029*20161020*"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2" t="str">
        <f t="shared" si="35"/>
        <v>"%USERPROFILE%\Documents\GitHub\eaglep3\Utilities\RefineRTDCRunTimes.py" --tripid 197-20 --locoid 4029 --swversion DE.1.0.7.0 --startMP 204:457 --initTime 2016-10-20T15:40:13 --startdatetime 2016-10-20T15:45:44 --delay 1 --endMP 204:233311 --enddatetime 2016-10-20T16:21:32 --enforcementcount 0 &gt;&gt;C:\Users\stu\Documents\GitHub\eaglep3-reporting\EC\2016-10-20-refined-times.txt</v>
      </c>
      <c r="AI11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{"issue":{"subject":"","project_id":79,"tracker_id":40,"status_id":1,"priority_id":2,"assigned_to_id":23,"start_date":"2016-10-20","description":"","custom_fields":[{"id":1,"name":"Subdivision","value":"EC"},{"id":4,"name":"Milepost","value":"23.3311"},{"id":17,"name":"Train ID","value":"197-20"},{"id":16,"name":"Locomotive ID","value":"4029"},{"id":130,"name":"Impact","value":""},{"id":150,"name":"Time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562</v>
      </c>
      <c r="B111" s="7">
        <v>4030</v>
      </c>
      <c r="C111" s="22" t="s">
        <v>99</v>
      </c>
      <c r="D111" s="22" t="s">
        <v>237</v>
      </c>
      <c r="E111" s="13">
        <v>42663.690787037034</v>
      </c>
      <c r="F111" s="13">
        <v>42663.695497685185</v>
      </c>
      <c r="G111" s="7">
        <v>1</v>
      </c>
      <c r="H111" s="13" t="s">
        <v>243</v>
      </c>
      <c r="I111" s="13">
        <v>42663.723217592589</v>
      </c>
      <c r="J111" s="7">
        <v>0</v>
      </c>
      <c r="K111" s="112" t="str">
        <f t="shared" si="23"/>
        <v>4029/4030</v>
      </c>
      <c r="L111" s="22" t="str">
        <f>VLOOKUP(A111,'Trips&amp;Operators'!$C$1:$E$10000,3,FALSE)</f>
        <v>ADANE</v>
      </c>
      <c r="M111" s="6">
        <f t="shared" si="24"/>
        <v>2.7719907404389232E-2</v>
      </c>
      <c r="N111" s="7">
        <f t="shared" si="37"/>
        <v>39.916666662320495</v>
      </c>
      <c r="O111" s="7"/>
      <c r="P111" s="7"/>
      <c r="Q111" s="23"/>
      <c r="R111" s="23"/>
      <c r="S111" s="35">
        <f t="shared" si="38"/>
        <v>1</v>
      </c>
      <c r="T111" s="50" t="str">
        <f t="shared" si="25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15:34:44-0600',mode:absolute,to:'2016-10-20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52" t="str">
        <f t="shared" si="27"/>
        <v>N</v>
      </c>
      <c r="X111" s="171">
        <f t="shared" si="28"/>
        <v>1</v>
      </c>
      <c r="Y111" s="67">
        <f t="shared" si="29"/>
        <v>23.297799999999999</v>
      </c>
      <c r="Z111" s="67">
        <f t="shared" si="39"/>
        <v>1.6E-2</v>
      </c>
      <c r="AA111" s="67">
        <f t="shared" si="30"/>
        <v>23.2818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1"/>
        <v>0198-20</v>
      </c>
      <c r="AE111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11" s="88" t="str">
        <f t="shared" si="33"/>
        <v>"C:\Program Files (x86)\AstroGrep\AstroGrep.exe" /spath="%USERPROFILE%\AppData\Local\Temp\OnboardLogs" /stypes="app*4030*20161020*"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2" t="str">
        <f t="shared" si="35"/>
        <v>"%USERPROFILE%\Documents\GitHub\eaglep3\Utilities\RefineRTDCRunTimes.py" --tripid 198-20 --locoid 4030 --swversion DE.1.0.7.0 --startMP 204:232978 --initTime 2016-10-20T16:34:44 --startdatetime 2016-10-20T16:41:31 --delay 1 --endMP 204:160 --enddatetime 2016-10-20T17:21:26 --enforcementcount 0 &gt;&gt;C:\Users\stu\Documents\GitHub\eaglep3-reporting\EC\2016-10-20-refined-times.txt</v>
      </c>
      <c r="AI11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ID","value":"198-20"},{"id":16,"name":"Locomotive ID","value":"4030"},{"id":130,"name":"Impact","value":""},{"id":150,"name":"Time of Event (Mountain Time)","value":"17:21:26"},{"id":151,"name":"Denver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422</v>
      </c>
      <c r="B112" s="7">
        <v>4018</v>
      </c>
      <c r="C112" s="22" t="s">
        <v>99</v>
      </c>
      <c r="D112" s="22" t="s">
        <v>238</v>
      </c>
      <c r="E112" s="13">
        <v>42663.661076388889</v>
      </c>
      <c r="F112" s="13">
        <v>42663.667175925926</v>
      </c>
      <c r="G112" s="7">
        <v>1</v>
      </c>
      <c r="H112" s="13" t="s">
        <v>284</v>
      </c>
      <c r="I112" s="13">
        <v>42663.692326388889</v>
      </c>
      <c r="J112" s="7">
        <v>0</v>
      </c>
      <c r="K112" s="112" t="str">
        <f t="shared" si="23"/>
        <v>4017/4018</v>
      </c>
      <c r="L112" s="22" t="str">
        <f>VLOOKUP(A112,'Trips&amp;Operators'!$C$1:$E$10000,3,FALSE)</f>
        <v>STORY</v>
      </c>
      <c r="M112" s="6">
        <f t="shared" si="24"/>
        <v>2.5150462963210884E-2</v>
      </c>
      <c r="N112" s="7">
        <f t="shared" si="37"/>
        <v>36.216666667023674</v>
      </c>
      <c r="O112" s="7"/>
      <c r="P112" s="7"/>
      <c r="Q112" s="23"/>
      <c r="R112" s="23"/>
      <c r="S112" s="35">
        <f t="shared" si="38"/>
        <v>1</v>
      </c>
      <c r="T112" s="50" t="str">
        <f t="shared" si="25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27"/>
        <v>N</v>
      </c>
      <c r="X112" s="171">
        <f t="shared" si="28"/>
        <v>1</v>
      </c>
      <c r="Y112" s="67">
        <f t="shared" si="29"/>
        <v>4.6600000000000003E-2</v>
      </c>
      <c r="Z112" s="67">
        <f t="shared" si="39"/>
        <v>23.331700000000001</v>
      </c>
      <c r="AA112" s="67">
        <f t="shared" si="30"/>
        <v>23.2851</v>
      </c>
      <c r="AB112" s="64" t="str">
        <f>VLOOKUP(A112,Enforcements!$C$7:$K$21,8,0)</f>
        <v>Speed (6)</v>
      </c>
      <c r="AC112" s="60" t="str">
        <f>VLOOKUP(A112,Enforcements!$C$7:$E$21,3,0)</f>
        <v>PERMANENT SPEED RESTRICTION</v>
      </c>
      <c r="AD112" s="61" t="str">
        <f t="shared" si="31"/>
        <v>0199-20</v>
      </c>
      <c r="AE112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12" s="88" t="str">
        <f t="shared" si="33"/>
        <v>"C:\Program Files (x86)\AstroGrep\AstroGrep.exe" /spath="%USERPROFILE%\AppData\Local\Temp\OnboardLogs" /stypes="app*4018*20161020*"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2" t="str">
        <f t="shared" si="35"/>
        <v>"%USERPROFILE%\Documents\GitHub\eaglep3\Utilities\RefineRTDCRunTimes.py" --tripid 199-20 --locoid 4018 --swversion DE.1.0.7.0 --startMP 204:466 --initTime 2016-10-20T15:51:57 --startdatetime 2016-10-20T16:00:44 --delay 1 --endMP 204:233317 --enddatetime 2016-10-20T16:36:57 --enforcementcount 0 &gt;&gt;C:\Users\stu\Documents\GitHub\eaglep3-reporting\EC\2016-10-20-refined-times.txt</v>
      </c>
      <c r="AI11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{"issue":{"subject":"","project_id":79,"tracker_id":40,"status_id":1,"priority_id":2,"assigned_to_id":23,"start_date":"2016-10-20","description":"","custom_fields":[{"id":1,"name":"Subdivision","value":"EC"},{"id":4,"name":"Milepost","value":"23.3317"},{"id":17,"name":"Train ID","value":"199-20"},{"id":16,"name":"Locomotive ID","value":"4018"},{"id":130,"name":"Impact","value":""},{"id":150,"name":"Time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565</v>
      </c>
      <c r="B113" s="7">
        <v>4017</v>
      </c>
      <c r="C113" s="22" t="s">
        <v>99</v>
      </c>
      <c r="D113" s="22" t="s">
        <v>375</v>
      </c>
      <c r="E113" s="13">
        <v>42663.701817129629</v>
      </c>
      <c r="F113" s="13">
        <v>42663.70584490741</v>
      </c>
      <c r="G113" s="7">
        <v>1</v>
      </c>
      <c r="H113" s="13" t="s">
        <v>229</v>
      </c>
      <c r="I113" s="13">
        <v>42663.732534722221</v>
      </c>
      <c r="J113" s="7">
        <v>0</v>
      </c>
      <c r="K113" s="112" t="str">
        <f t="shared" si="23"/>
        <v>4017/4018</v>
      </c>
      <c r="L113" s="22" t="str">
        <f>VLOOKUP(A113,'Trips&amp;Operators'!$C$1:$E$10000,3,FALSE)</f>
        <v>STORY</v>
      </c>
      <c r="M113" s="6">
        <f t="shared" si="24"/>
        <v>2.6689814811106771E-2</v>
      </c>
      <c r="N113" s="7">
        <f t="shared" si="37"/>
        <v>38.433333327993751</v>
      </c>
      <c r="O113" s="7"/>
      <c r="P113" s="7"/>
      <c r="Q113" s="23"/>
      <c r="R113" s="23"/>
      <c r="S113" s="35">
        <f t="shared" si="38"/>
        <v>1</v>
      </c>
      <c r="T113" s="50" t="str">
        <f t="shared" si="25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15:50:37-0600',mode:absolute,to:'2016-10-20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27"/>
        <v>N</v>
      </c>
      <c r="X113" s="171">
        <f t="shared" si="28"/>
        <v>1</v>
      </c>
      <c r="Y113" s="67">
        <f t="shared" si="29"/>
        <v>23.299299999999999</v>
      </c>
      <c r="Z113" s="67">
        <f t="shared" si="39"/>
        <v>1.4999999999999999E-2</v>
      </c>
      <c r="AA113" s="67">
        <f t="shared" si="30"/>
        <v>23.284299999999998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1"/>
        <v>0200-20</v>
      </c>
      <c r="AE113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13" s="88" t="str">
        <f t="shared" si="33"/>
        <v>"C:\Program Files (x86)\AstroGrep\AstroGrep.exe" /spath="%USERPROFILE%\AppData\Local\Temp\OnboardLogs" /stypes="app*4017*20161020*"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2" t="str">
        <f t="shared" si="35"/>
        <v>"%USERPROFILE%\Documents\GitHub\eaglep3\Utilities\RefineRTDCRunTimes.py" --tripid 200-20 --locoid 4017 --swversion DE.1.0.7.0 --startMP 204:232993 --initTime 2016-10-20T16:50:37 --startdatetime 2016-10-20T16:56:25 --delay 1 --endMP 204:150 --enddatetime 2016-10-20T17:34:51 --enforcementcount 0 &gt;&gt;C:\Users\stu\Documents\GitHub\eaglep3-reporting\EC\2016-10-20-refined-times.txt</v>
      </c>
      <c r="AI11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ID","value":"200-20"},{"id":16,"name":"Locomotive ID","value":"4017"},{"id":130,"name":"Impact","value":""},{"id":150,"name":"Time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558</v>
      </c>
      <c r="B114" s="7">
        <v>4038</v>
      </c>
      <c r="C114" s="22" t="s">
        <v>99</v>
      </c>
      <c r="D114" s="22" t="s">
        <v>661</v>
      </c>
      <c r="E114" s="13">
        <v>42663.680833333332</v>
      </c>
      <c r="F114" s="13">
        <v>42663.681817129633</v>
      </c>
      <c r="G114" s="7">
        <v>1</v>
      </c>
      <c r="H114" s="13" t="s">
        <v>662</v>
      </c>
      <c r="I114" s="13">
        <v>42663.703379629631</v>
      </c>
      <c r="J114" s="7">
        <v>0</v>
      </c>
      <c r="K114" s="112" t="str">
        <f t="shared" si="23"/>
        <v>4037/4038</v>
      </c>
      <c r="L114" s="22" t="str">
        <f>VLOOKUP(A114,'Trips&amp;Operators'!$C$1:$E$10000,3,FALSE)</f>
        <v>BONDS</v>
      </c>
      <c r="M114" s="6">
        <f t="shared" si="24"/>
        <v>2.156249999825377E-2</v>
      </c>
      <c r="N114" s="7"/>
      <c r="O114" s="7"/>
      <c r="P114" s="7">
        <f>24*60*SUM($M114:$M114)</f>
        <v>31.049999997485429</v>
      </c>
      <c r="Q114" s="23"/>
      <c r="R114" s="23" t="s">
        <v>774</v>
      </c>
      <c r="S114" s="35">
        <f t="shared" si="38"/>
        <v>1</v>
      </c>
      <c r="T114" s="50" t="str">
        <f t="shared" si="25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15:20:24-0600',mode:absolute,to:'2016-10-20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4" s="52" t="str">
        <f t="shared" si="27"/>
        <v>Y</v>
      </c>
      <c r="X114" s="171">
        <f t="shared" si="28"/>
        <v>1</v>
      </c>
      <c r="Y114" s="67">
        <f t="shared" si="29"/>
        <v>1.9139999999999999</v>
      </c>
      <c r="Z114" s="67">
        <f t="shared" si="39"/>
        <v>23.3263</v>
      </c>
      <c r="AA114" s="67">
        <f t="shared" si="30"/>
        <v>21.412299999999998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1"/>
        <v>0201-20</v>
      </c>
      <c r="AE114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4" s="88" t="str">
        <f t="shared" si="33"/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4" s="1" t="str">
        <f t="shared" si="34"/>
        <v>EC</v>
      </c>
      <c r="AH114" s="92" t="str">
        <f t="shared" si="35"/>
        <v>"%USERPROFILE%\Documents\GitHub\eaglep3\Utilities\RefineRTDCRunTimes.py" --tripid 201-20 --locoid 4038 --swversion DE.1.0.7.0 --startMP 204:19140 --initTime 2016-10-20T16:20:24 --startdatetime 2016-10-20T16:21:49 --delay 1 --endMP 204:233263 --enddatetime 2016-10-20T16:52:52 --enforcementcount 0 &gt;&gt;C:\Users\stu\Documents\GitHub\eaglep3-reporting\EC\2016-10-20-refined-times.txt</v>
      </c>
      <c r="AI114" s="122" t="str">
        <f t="shared" si="36"/>
        <v>echo {"issue":{"subject":"DUS 4N at STOP because 22N at STOP","project_id":79,"tracker_id":40,"status_id":1,"priority_id":2,"assigned_to_id":23,"start_date":"2016-10-20","description":"See title","custom_fields":[{"id":1,"name":"Subdivision","value":"EC"},{"id":4,"name":"Milepost","value":"23.3263"},{"id":17,"name":"Train ID","value":"201-20"},{"id":16,"name":"Locomotive ID","value":"4038"},{"id":130,"name":"Impact","value":"Unexpected Cut-Out or Disengaged"},{"id":150,"name":"Time of Event (Mountain Time)","value":"16:52:52"},{"id":151,"name":"Denver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14" s="53" t="s">
        <v>775</v>
      </c>
      <c r="AK114" s="53" t="s">
        <v>132</v>
      </c>
      <c r="AL114" s="53" t="s">
        <v>144</v>
      </c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558</v>
      </c>
      <c r="B115" s="7">
        <v>4038</v>
      </c>
      <c r="C115" s="22" t="s">
        <v>99</v>
      </c>
      <c r="D115" s="22" t="s">
        <v>663</v>
      </c>
      <c r="E115" s="13">
        <v>42663.672534722224</v>
      </c>
      <c r="F115" s="13">
        <v>42663.681817129633</v>
      </c>
      <c r="G115" s="7">
        <v>1</v>
      </c>
      <c r="H115" s="13" t="s">
        <v>664</v>
      </c>
      <c r="I115" s="13">
        <v>42663.703379629631</v>
      </c>
      <c r="J115" s="7">
        <v>0</v>
      </c>
      <c r="K115" s="112" t="str">
        <f t="shared" si="23"/>
        <v>4037/4038</v>
      </c>
      <c r="L115" s="22" t="str">
        <f>VLOOKUP(A115,'Trips&amp;Operators'!$C$1:$E$10000,3,FALSE)</f>
        <v>BONDS</v>
      </c>
      <c r="M115" s="6">
        <f t="shared" si="24"/>
        <v>2.156249999825377E-2</v>
      </c>
      <c r="N115" s="7"/>
      <c r="O115" s="7"/>
      <c r="P115" s="7"/>
      <c r="Q115" s="23"/>
      <c r="R115" s="23"/>
      <c r="S115" s="35"/>
      <c r="T115" s="50" t="str">
        <f t="shared" si="25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15:08:27-0600',mode:absolute,to:'2016-10-20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27"/>
        <v>Y</v>
      </c>
      <c r="X115" s="171">
        <f t="shared" si="28"/>
        <v>0</v>
      </c>
      <c r="Y115" s="67">
        <f t="shared" si="29"/>
        <v>5.04E-2</v>
      </c>
      <c r="Z115" s="67">
        <f t="shared" si="39"/>
        <v>0.1173</v>
      </c>
      <c r="AA115" s="67">
        <f t="shared" si="30"/>
        <v>6.6900000000000001E-2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1"/>
        <v>0201-20</v>
      </c>
      <c r="AE115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5" s="88" t="str">
        <f t="shared" si="33"/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5" s="1" t="str">
        <f t="shared" si="34"/>
        <v>EC</v>
      </c>
      <c r="AH115" s="92" t="str">
        <f t="shared" si="35"/>
        <v>"%USERPROFILE%\Documents\GitHub\eaglep3\Utilities\RefineRTDCRunTimes.py" --tripid 201-20 --locoid 4038 --swversion DE.1.0.7.0 --startMP 204:504 --initTime 2016-10-20T16:08:27 --startdatetime 2016-10-20T16:21:49 --delay 1 --endMP 204:1173 --enddatetime 2016-10-20T16:52:52 --enforcementcount 0 &gt;&gt;C:\Users\stu\Documents\GitHub\eaglep3-reporting\EC\2016-10-20-refined-times.txt</v>
      </c>
      <c r="AI11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{"issue":{"subject":"","project_id":79,"tracker_id":40,"status_id":1,"priority_id":2,"assigned_to_id":23,"start_date":"2016-10-20","description":"","custom_fields":[{"id":1,"name":"Subdivision","value":"EC"},{"id":4,"name":"Milepost","value":"0.1173"},{"id":17,"name":"Train ID","value":"201-20"},{"id":16,"name":"Locomotive ID","value":"4038"},{"id":130,"name":"Impact","value":""},{"id":150,"name":"Time of Event (Mountain Time)","value":"16:52:52"},{"id":151,"name":"Denver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566</v>
      </c>
      <c r="B116" s="7">
        <v>4037</v>
      </c>
      <c r="C116" s="22" t="s">
        <v>99</v>
      </c>
      <c r="D116" s="22" t="s">
        <v>665</v>
      </c>
      <c r="E116" s="13">
        <v>42663.707928240743</v>
      </c>
      <c r="F116" s="13">
        <v>42663.71634259259</v>
      </c>
      <c r="G116" s="7">
        <v>1</v>
      </c>
      <c r="H116" s="13" t="s">
        <v>306</v>
      </c>
      <c r="I116" s="13">
        <v>42663.742939814816</v>
      </c>
      <c r="J116" s="7">
        <v>0</v>
      </c>
      <c r="K116" s="112" t="str">
        <f t="shared" si="23"/>
        <v>4037/4038</v>
      </c>
      <c r="L116" s="22" t="str">
        <f>VLOOKUP(A116,'Trips&amp;Operators'!$C$1:$E$10000,3,FALSE)</f>
        <v>BONDS</v>
      </c>
      <c r="M116" s="6">
        <f t="shared" si="24"/>
        <v>2.6597222225973383E-2</v>
      </c>
      <c r="N116" s="7">
        <f t="shared" ref="N116:N157" si="40">24*60*SUM($M116:$M116)</f>
        <v>38.300000005401671</v>
      </c>
      <c r="O116" s="7"/>
      <c r="P116" s="7"/>
      <c r="Q116" s="23"/>
      <c r="R116" s="23"/>
      <c r="S116" s="35">
        <f t="shared" ref="S116:S147" si="41">SUM(U116:U116)/IF(AG116="EC",12,1)</f>
        <v>1</v>
      </c>
      <c r="T116" s="50" t="str">
        <f t="shared" si="25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15:59:25-0600',mode:absolute,to:'2016-10-20 18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27"/>
        <v>N</v>
      </c>
      <c r="X116" s="171">
        <f t="shared" si="28"/>
        <v>1</v>
      </c>
      <c r="Y116" s="67">
        <f t="shared" si="29"/>
        <v>23.293399999999998</v>
      </c>
      <c r="Z116" s="67">
        <f t="shared" si="39"/>
        <v>1.38E-2</v>
      </c>
      <c r="AA116" s="67">
        <f t="shared" si="30"/>
        <v>23.279599999999999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1"/>
        <v>0202-20</v>
      </c>
      <c r="AE116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16" s="88" t="str">
        <f t="shared" si="33"/>
        <v>"C:\Program Files (x86)\AstroGrep\AstroGrep.exe" /spath="%USERPROFILE%\AppData\Local\Temp\OnboardLogs" /stypes="app*4037*20161020*" /stext=" 23:.+((SYSTEM_STATE.+slice.+state.+changed )|(ment ac)|(system.+state.+changed )|(\[timeout)|(PRM\|1\|D)|(kpr)|(kdp)|(\|lc)|(penalty))" /e /r /s</v>
      </c>
      <c r="AG116" s="1" t="str">
        <f t="shared" si="34"/>
        <v>EC</v>
      </c>
      <c r="AH116" s="92" t="str">
        <f t="shared" si="35"/>
        <v>"%USERPROFILE%\Documents\GitHub\eaglep3\Utilities\RefineRTDCRunTimes.py" --tripid 202-20 --locoid 4037 --swversion DE.1.0.7.0 --startMP 204:232934 --initTime 2016-10-20T16:59:25 --startdatetime 2016-10-20T17:11:32 --delay 1 --endMP 204:138 --enddatetime 2016-10-20T17:49:50 --enforcementcount 0 &gt;&gt;C:\Users\stu\Documents\GitHub\eaglep3-reporting\EC\2016-10-20-refined-times.txt</v>
      </c>
      <c r="AI11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ID","value":"202-20"},{"id":16,"name":"Locomotive ID","value":"4037"},{"id":130,"name":"Impact","value":""},{"id":150,"name":"Time of Event (Mountain Time)","value":"17:49:50"},{"id":151,"name":"Denver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561</v>
      </c>
      <c r="B117" s="7">
        <v>4006</v>
      </c>
      <c r="C117" s="22" t="s">
        <v>99</v>
      </c>
      <c r="D117" s="22" t="s">
        <v>231</v>
      </c>
      <c r="E117" s="13">
        <v>42663.683819444443</v>
      </c>
      <c r="F117" s="13">
        <v>42663.687719907408</v>
      </c>
      <c r="G117" s="7">
        <v>1</v>
      </c>
      <c r="H117" s="13" t="s">
        <v>666</v>
      </c>
      <c r="I117" s="13">
        <v>42663.713495370372</v>
      </c>
      <c r="J117" s="7">
        <v>0</v>
      </c>
      <c r="K117" s="112" t="str">
        <f t="shared" si="23"/>
        <v>4005/4006</v>
      </c>
      <c r="L117" s="22" t="str">
        <f>VLOOKUP(A117,'Trips&amp;Operators'!$C$1:$E$10000,3,FALSE)</f>
        <v>SHOOK</v>
      </c>
      <c r="M117" s="6">
        <f t="shared" si="24"/>
        <v>2.5775462963792961E-2</v>
      </c>
      <c r="N117" s="7">
        <f t="shared" si="40"/>
        <v>37.116666667861864</v>
      </c>
      <c r="O117" s="7"/>
      <c r="P117" s="7"/>
      <c r="Q117" s="23"/>
      <c r="R117" s="23"/>
      <c r="S117" s="35">
        <f t="shared" si="41"/>
        <v>1</v>
      </c>
      <c r="T117" s="50" t="str">
        <f t="shared" si="25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15:24:42-0600',mode:absolute,to:'2016-10-20 18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17" s="52" t="str">
        <f t="shared" si="27"/>
        <v>N</v>
      </c>
      <c r="X117" s="171">
        <f t="shared" si="28"/>
        <v>1</v>
      </c>
      <c r="Y117" s="67">
        <f t="shared" si="29"/>
        <v>4.53E-2</v>
      </c>
      <c r="Z117" s="67">
        <f t="shared" si="39"/>
        <v>23.337199999999999</v>
      </c>
      <c r="AA117" s="67">
        <f t="shared" si="30"/>
        <v>23.291899999999998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1"/>
        <v>0203-20</v>
      </c>
      <c r="AE117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17" s="88" t="str">
        <f t="shared" si="33"/>
        <v>"C:\Program Files (x86)\AstroGrep\AstroGrep.exe" /spath="%USERPROFILE%\AppData\Local\Temp\OnboardLogs" /stypes="app*4006*20161020*" /stext=" 23:.+((SYSTEM_STATE.+slice.+state.+changed )|(ment ac)|(system.+state.+changed )|(\[timeout)|(PRM\|1\|D)|(kpr)|(kdp)|(\|lc)|(penalty))" /e /r /s</v>
      </c>
      <c r="AG117" s="1" t="str">
        <f t="shared" si="34"/>
        <v>EC</v>
      </c>
      <c r="AH117" s="92" t="str">
        <f t="shared" si="35"/>
        <v>"%USERPROFILE%\Documents\GitHub\eaglep3\Utilities\RefineRTDCRunTimes.py" --tripid 203-20 --locoid 4006 --swversion DE.1.0.7.0 --startMP 204:453 --initTime 2016-10-20T16:24:42 --startdatetime 2016-10-20T16:30:19 --delay 1 --endMP 204:233372 --enddatetime 2016-10-20T17:07:26 --enforcementcount 0 &gt;&gt;C:\Users\stu\Documents\GitHub\eaglep3-reporting\EC\2016-10-20-refined-times.txt</v>
      </c>
      <c r="AI11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{"issue":{"subject":"","project_id":79,"tracker_id":40,"status_id":1,"priority_id":2,"assigned_to_id":23,"start_date":"2016-10-20","description":"","custom_fields":[{"id":1,"name":"Subdivision","value":"EC"},{"id":4,"name":"Milepost","value":"23.3372"},{"id":17,"name":"Train ID","value":"203-20"},{"id":16,"name":"Locomotive ID","value":"4006"},{"id":130,"name":"Impact","value":""},{"id":150,"name":"Time of Event (Mountain Time)","value":"17:07:26"},{"id":151,"name":"Denver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4005</v>
      </c>
      <c r="C118" s="22" t="s">
        <v>99</v>
      </c>
      <c r="D118" s="22" t="s">
        <v>667</v>
      </c>
      <c r="E118" s="13">
        <v>42663.719722222224</v>
      </c>
      <c r="F118" s="13">
        <v>42663.727280092593</v>
      </c>
      <c r="G118" s="7">
        <v>1</v>
      </c>
      <c r="H118" s="13" t="s">
        <v>242</v>
      </c>
      <c r="I118" s="13">
        <v>42663.753831018519</v>
      </c>
      <c r="J118" s="7">
        <v>0</v>
      </c>
      <c r="K118" s="112" t="str">
        <f t="shared" si="23"/>
        <v>4005/4006</v>
      </c>
      <c r="L118" s="22" t="str">
        <f>VLOOKUP(A118,'Trips&amp;Operators'!$C$1:$E$10000,3,FALSE)</f>
        <v>SHOOK</v>
      </c>
      <c r="M118" s="6">
        <f t="shared" si="24"/>
        <v>2.6550925926130731E-2</v>
      </c>
      <c r="N118" s="7">
        <f t="shared" si="40"/>
        <v>38.233333333628252</v>
      </c>
      <c r="O118" s="7"/>
      <c r="P118" s="7"/>
      <c r="Q118" s="23"/>
      <c r="R118" s="23"/>
      <c r="S118" s="35">
        <f t="shared" si="41"/>
        <v>1</v>
      </c>
      <c r="T118" s="50" t="str">
        <f t="shared" si="25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16:16:24-0600',mode:absolute,to:'2016-10-20 19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18" s="52" t="str">
        <f t="shared" si="27"/>
        <v>N</v>
      </c>
      <c r="X118" s="171">
        <f t="shared" si="28"/>
        <v>1</v>
      </c>
      <c r="Y118" s="67">
        <f t="shared" si="29"/>
        <v>23.305099999999999</v>
      </c>
      <c r="Z118" s="67">
        <f t="shared" si="39"/>
        <v>1.67E-2</v>
      </c>
      <c r="AA118" s="67">
        <f t="shared" si="30"/>
        <v>23.288399999999999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1"/>
        <v>0204-20</v>
      </c>
      <c r="AE118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18" s="88" t="str">
        <f t="shared" si="33"/>
        <v>"C:\Program Files (x86)\AstroGrep\AstroGrep.exe" /spath="%USERPROFILE%\AppData\Local\Temp\OnboardLogs" /stypes="app*4005*20161021*" /stext=" 00:.+((SYSTEM_STATE.+slice.+state.+changed )|(ment ac)|(system.+state.+changed )|(\[timeout)|(PRM\|1\|D)|(kpr)|(kdp)|(\|lc)|(penalty))" /e /r /s</v>
      </c>
      <c r="AG118" s="1" t="str">
        <f t="shared" si="34"/>
        <v>EC</v>
      </c>
      <c r="AH118" s="92" t="str">
        <f t="shared" si="35"/>
        <v>"%USERPROFILE%\Documents\GitHub\eaglep3\Utilities\RefineRTDCRunTimes.py" --tripid 204-20 --locoid 4005 --swversion DE.1.0.7.0 --startMP 204:233051 --initTime 2016-10-20T17:16:24 --startdatetime 2016-10-20T17:27:17 --delay 1 --endMP 204:167 --enddatetime 2016-10-20T18:05:31 --enforcementcount 0 &gt;&gt;C:\Users\stu\Documents\GitHub\eaglep3-reporting\EC\2016-10-20-refined-times.txt</v>
      </c>
      <c r="AI11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{"issue":{"subject":"","project_id":79,"tracker_id":40,"status_id":1,"priority_id":2,"assigned_to_id":23,"start_date":"2016-10-20","description":"","custom_fields":[{"id":1,"name":"Subdivision","value":"EC"},{"id":4,"name":"Milepost","value":"0.0167"},{"id":17,"name":"Train ID","value":"204-20"},{"id":16,"name":"Locomotive ID","value":"4005"},{"id":130,"name":"Impact","value":""},{"id":150,"name":"Time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564</v>
      </c>
      <c r="B119" s="7">
        <v>4011</v>
      </c>
      <c r="C119" s="22" t="s">
        <v>99</v>
      </c>
      <c r="D119" s="22" t="s">
        <v>270</v>
      </c>
      <c r="E119" s="13">
        <v>42663.695127314815</v>
      </c>
      <c r="F119" s="13">
        <v>42663.698113425926</v>
      </c>
      <c r="G119" s="7">
        <v>1</v>
      </c>
      <c r="H119" s="13" t="s">
        <v>668</v>
      </c>
      <c r="I119" s="13">
        <v>42663.723333333335</v>
      </c>
      <c r="J119" s="7">
        <v>0</v>
      </c>
      <c r="K119" s="112" t="str">
        <f t="shared" si="23"/>
        <v>4011/4012</v>
      </c>
      <c r="L119" s="22" t="str">
        <f>VLOOKUP(A119,'Trips&amp;Operators'!$C$1:$E$10000,3,FALSE)</f>
        <v>MOSES</v>
      </c>
      <c r="M119" s="6">
        <f t="shared" si="24"/>
        <v>2.5219907409336884E-2</v>
      </c>
      <c r="N119" s="7">
        <f t="shared" si="40"/>
        <v>36.316666669445112</v>
      </c>
      <c r="O119" s="7"/>
      <c r="P119" s="7"/>
      <c r="Q119" s="23"/>
      <c r="R119" s="23"/>
      <c r="S119" s="35">
        <f t="shared" si="41"/>
        <v>1</v>
      </c>
      <c r="T119" s="50" t="str">
        <f t="shared" si="25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15:40:59-0600',mode:absolute,to:'2016-10-20 18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52" t="str">
        <f t="shared" si="27"/>
        <v>N</v>
      </c>
      <c r="X119" s="171">
        <f t="shared" si="28"/>
        <v>1</v>
      </c>
      <c r="Y119" s="67">
        <f t="shared" si="29"/>
        <v>4.7100000000000003E-2</v>
      </c>
      <c r="Z119" s="67">
        <f t="shared" si="39"/>
        <v>23.332000000000001</v>
      </c>
      <c r="AA119" s="67">
        <f t="shared" si="30"/>
        <v>23.2849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1"/>
        <v>0205-20</v>
      </c>
      <c r="AE119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19" s="88" t="str">
        <f t="shared" si="33"/>
        <v>"C:\Program Files (x86)\AstroGrep\AstroGrep.exe" /spath="%USERPROFILE%\AppData\Local\Temp\OnboardLogs" /stypes="app*4011*20161020*" /stext=" 23:.+((SYSTEM_STATE.+slice.+state.+changed )|(ment ac)|(system.+state.+changed )|(\[timeout)|(PRM\|1\|D)|(kpr)|(kdp)|(\|lc)|(penalty))" /e /r /s</v>
      </c>
      <c r="AG119" s="1" t="str">
        <f t="shared" si="34"/>
        <v>EC</v>
      </c>
      <c r="AH119" s="92" t="str">
        <f t="shared" si="35"/>
        <v>"%USERPROFILE%\Documents\GitHub\eaglep3\Utilities\RefineRTDCRunTimes.py" --tripid 205-20 --locoid 4011 --swversion DE.1.0.7.0 --startMP 204:471 --initTime 2016-10-20T16:40:59 --startdatetime 2016-10-20T16:45:17 --delay 1 --endMP 204:233320 --enddatetime 2016-10-20T17:21:36 --enforcementcount 0 &gt;&gt;C:\Users\stu\Documents\GitHub\eaglep3-reporting\EC\2016-10-20-refined-times.txt</v>
      </c>
      <c r="AI11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ID","value":"205-20"},{"id":16,"name":"Locomotive ID","value":"4011"},{"id":130,"name":"Impact","value":""},{"id":150,"name":"Time of Event (Mountain Time)","value":"17:21:36"},{"id":151,"name":"Denver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572</v>
      </c>
      <c r="B120" s="7">
        <v>4012</v>
      </c>
      <c r="C120" s="22" t="s">
        <v>99</v>
      </c>
      <c r="D120" s="22" t="s">
        <v>374</v>
      </c>
      <c r="E120" s="13">
        <v>42663.733368055553</v>
      </c>
      <c r="F120" s="13">
        <v>42663.737361111111</v>
      </c>
      <c r="G120" s="7">
        <v>2</v>
      </c>
      <c r="H120" s="13" t="s">
        <v>228</v>
      </c>
      <c r="I120" s="13">
        <v>42663.765601851854</v>
      </c>
      <c r="J120" s="7">
        <v>0</v>
      </c>
      <c r="K120" s="112" t="str">
        <f t="shared" si="23"/>
        <v>4011/4012</v>
      </c>
      <c r="L120" s="22" t="str">
        <f>VLOOKUP(A120,'Trips&amp;Operators'!$C$1:$E$10000,3,FALSE)</f>
        <v>MOSES</v>
      </c>
      <c r="M120" s="6">
        <f t="shared" si="24"/>
        <v>2.8240740743058268E-2</v>
      </c>
      <c r="N120" s="7">
        <f t="shared" si="40"/>
        <v>40.666666670003906</v>
      </c>
      <c r="O120" s="7"/>
      <c r="P120" s="7"/>
      <c r="Q120" s="23"/>
      <c r="R120" s="23"/>
      <c r="S120" s="35">
        <f t="shared" si="41"/>
        <v>1</v>
      </c>
      <c r="T120" s="50" t="str">
        <f t="shared" si="25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16:36:03-0600',mode:absolute,to:'2016-10-20 19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52" t="str">
        <f t="shared" si="27"/>
        <v>N</v>
      </c>
      <c r="X120" s="171">
        <f t="shared" si="28"/>
        <v>1</v>
      </c>
      <c r="Y120" s="67">
        <f t="shared" si="29"/>
        <v>23.2988</v>
      </c>
      <c r="Z120" s="67">
        <f t="shared" si="39"/>
        <v>1.43E-2</v>
      </c>
      <c r="AA120" s="67">
        <f t="shared" si="30"/>
        <v>23.284500000000001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1"/>
        <v>0206-20</v>
      </c>
      <c r="AE120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20" s="88" t="str">
        <f t="shared" si="33"/>
        <v>"C:\Program Files (x86)\AstroGrep\AstroGrep.exe" /spath="%USERPROFILE%\AppData\Local\Temp\OnboardLogs" /stypes="app*4012*20161021*" /stext=" 00:.+((SYSTEM_STATE.+slice.+state.+changed )|(ment ac)|(system.+state.+changed )|(\[timeout)|(PRM\|1\|D)|(kpr)|(kdp)|(\|lc)|(penalty))" /e /r /s</v>
      </c>
      <c r="AG120" s="1" t="str">
        <f t="shared" si="34"/>
        <v>EC</v>
      </c>
      <c r="AH120" s="92" t="str">
        <f t="shared" si="35"/>
        <v>"%USERPROFILE%\Documents\GitHub\eaglep3\Utilities\RefineRTDCRunTimes.py" --tripid 206-20 --locoid 4012 --swversion DE.1.0.7.0 --startMP 204:232988 --initTime 2016-10-20T17:36:03 --startdatetime 2016-10-20T17:41:48 --delay 2 --endMP 204:143 --enddatetime 2016-10-20T18:22:28 --enforcementcount 0 &gt;&gt;C:\Users\stu\Documents\GitHub\eaglep3-reporting\EC\2016-10-20-refined-times.txt</v>
      </c>
      <c r="AI12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ID","value":"206-20"},{"id":16,"name":"Locomotive ID","value":"4012"},{"id":130,"name":"Impact","value":""},{"id":150,"name":"Time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425</v>
      </c>
      <c r="B121" s="7">
        <v>4042</v>
      </c>
      <c r="C121" s="22" t="s">
        <v>99</v>
      </c>
      <c r="D121" s="22" t="s">
        <v>376</v>
      </c>
      <c r="E121" s="13">
        <v>42663.702581018515</v>
      </c>
      <c r="F121" s="13">
        <v>42663.708703703705</v>
      </c>
      <c r="G121" s="7">
        <v>1</v>
      </c>
      <c r="H121" s="13" t="s">
        <v>279</v>
      </c>
      <c r="I121" s="13">
        <v>42663.7343287037</v>
      </c>
      <c r="J121" s="7">
        <v>0</v>
      </c>
      <c r="K121" s="112" t="str">
        <f t="shared" si="23"/>
        <v>4041/4042</v>
      </c>
      <c r="L121" s="22" t="str">
        <f>VLOOKUP(A121,'Trips&amp;Operators'!$C$1:$E$10000,3,FALSE)</f>
        <v>NEWELL</v>
      </c>
      <c r="M121" s="6">
        <f t="shared" si="24"/>
        <v>2.5624999994761311E-2</v>
      </c>
      <c r="N121" s="7">
        <f t="shared" si="40"/>
        <v>36.899999992456287</v>
      </c>
      <c r="O121" s="7"/>
      <c r="P121" s="7"/>
      <c r="Q121" s="23"/>
      <c r="R121" s="23"/>
      <c r="S121" s="35">
        <f t="shared" si="41"/>
        <v>1</v>
      </c>
      <c r="T121" s="50" t="str">
        <f t="shared" si="25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1" s="52" t="str">
        <f t="shared" si="27"/>
        <v>N</v>
      </c>
      <c r="X121" s="171">
        <f t="shared" si="28"/>
        <v>1</v>
      </c>
      <c r="Y121" s="67">
        <f t="shared" si="29"/>
        <v>4.3999999999999997E-2</v>
      </c>
      <c r="Z121" s="67">
        <f t="shared" si="39"/>
        <v>23.3308</v>
      </c>
      <c r="AA121" s="67">
        <f t="shared" si="30"/>
        <v>23.286799999999999</v>
      </c>
      <c r="AB121" s="64" t="str">
        <f>VLOOKUP(A121,Enforcements!$C$7:$K$21,8,0)</f>
        <v>Speed (6)</v>
      </c>
      <c r="AC121" s="60" t="str">
        <f>VLOOKUP(A121,Enforcements!$C$7:$E$21,3,0)</f>
        <v>PERMANENT SPEED RESTRICTION</v>
      </c>
      <c r="AD121" s="61" t="str">
        <f t="shared" si="31"/>
        <v>0207-20</v>
      </c>
      <c r="AE121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21" s="88" t="str">
        <f t="shared" si="33"/>
        <v>"C:\Program Files (x86)\AstroGrep\AstroGrep.exe" /spath="%USERPROFILE%\AppData\Local\Temp\OnboardLogs" /stypes="app*4042*20161020*" /stext=" 23:.+((SYSTEM_STATE.+slice.+state.+changed )|(ment ac)|(system.+state.+changed )|(\[timeout)|(PRM\|1\|D)|(kpr)|(kdp)|(\|lc)|(penalty))" /e /r /s</v>
      </c>
      <c r="AG121" s="1" t="str">
        <f t="shared" si="34"/>
        <v>EC</v>
      </c>
      <c r="AH121" s="92" t="str">
        <f t="shared" si="35"/>
        <v>"%USERPROFILE%\Documents\GitHub\eaglep3\Utilities\RefineRTDCRunTimes.py" --tripid 207-20 --locoid 4042 --swversion DE.1.0.7.0 --startMP 204:440 --initTime 2016-10-20T16:51:43 --startdatetime 2016-10-20T17:00:32 --delay 1 --endMP 204:233308 --enddatetime 2016-10-20T17:37:26 --enforcementcount 0 &gt;&gt;C:\Users\stu\Documents\GitHub\eaglep3-reporting\EC\2016-10-20-refined-times.txt</v>
      </c>
      <c r="AI12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ID","value":"207-20"},{"id":16,"name":"Locomotive ID","value":"4042"},{"id":130,"name":"Impact","value":""},{"id":150,"name":"Time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4041</v>
      </c>
      <c r="C122" s="22" t="s">
        <v>99</v>
      </c>
      <c r="D122" s="22" t="s">
        <v>369</v>
      </c>
      <c r="E122" s="13">
        <v>42663.735555555555</v>
      </c>
      <c r="F122" s="13">
        <v>42663.747384259259</v>
      </c>
      <c r="G122" s="7">
        <v>1</v>
      </c>
      <c r="H122" s="13" t="s">
        <v>277</v>
      </c>
      <c r="I122" s="13">
        <v>42663.774305555555</v>
      </c>
      <c r="J122" s="7">
        <v>0</v>
      </c>
      <c r="K122" s="112" t="str">
        <f t="shared" si="23"/>
        <v>4041/4042</v>
      </c>
      <c r="L122" s="22" t="str">
        <f>VLOOKUP(A122,'Trips&amp;Operators'!$C$1:$E$10000,3,FALSE)</f>
        <v>NEWELL</v>
      </c>
      <c r="M122" s="6">
        <f t="shared" si="24"/>
        <v>2.6921296295768116E-2</v>
      </c>
      <c r="N122" s="7">
        <f t="shared" si="40"/>
        <v>38.766666665906087</v>
      </c>
      <c r="O122" s="7"/>
      <c r="P122" s="7"/>
      <c r="Q122" s="23"/>
      <c r="R122" s="23"/>
      <c r="S122" s="35">
        <f t="shared" si="41"/>
        <v>1</v>
      </c>
      <c r="T122" s="50" t="str">
        <f t="shared" si="25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16:39:12-0600',mode:absolute,to:'2016-10-20 19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2" s="52" t="str">
        <f t="shared" si="27"/>
        <v>N</v>
      </c>
      <c r="X122" s="171">
        <f t="shared" si="28"/>
        <v>1</v>
      </c>
      <c r="Y122" s="67">
        <f t="shared" si="29"/>
        <v>23.299600000000002</v>
      </c>
      <c r="Z122" s="67">
        <f t="shared" si="39"/>
        <v>1.5599999999999999E-2</v>
      </c>
      <c r="AA122" s="67">
        <f t="shared" si="30"/>
        <v>23.284000000000002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1"/>
        <v>0208-20</v>
      </c>
      <c r="AE122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22" s="88" t="str">
        <f t="shared" si="33"/>
        <v>"C:\Program Files (x86)\AstroGrep\AstroGrep.exe" /spath="%USERPROFILE%\AppData\Local\Temp\OnboardLogs" /stypes="app*4041*20161021*" /stext=" 00:.+((SYSTEM_STATE.+slice.+state.+changed )|(ment ac)|(system.+state.+changed )|(\[timeout)|(PRM\|1\|D)|(kpr)|(kdp)|(\|lc)|(penalty))" /e /r /s</v>
      </c>
      <c r="AG122" s="1" t="str">
        <f t="shared" si="34"/>
        <v>EC</v>
      </c>
      <c r="AH122" s="92" t="str">
        <f t="shared" si="35"/>
        <v>"%USERPROFILE%\Documents\GitHub\eaglep3\Utilities\RefineRTDCRunTimes.py" --tripid 208-20 --locoid 4041 --swversion DE.1.0.7.0 --startMP 204:232996 --initTime 2016-10-20T17:39:12 --startdatetime 2016-10-20T17:56:14 --delay 1 --endMP 204:156 --enddatetime 2016-10-20T18:35:00 --enforcementcount 0 &gt;&gt;C:\Users\stu\Documents\GitHub\eaglep3-reporting\EC\2016-10-20-refined-times.txt</v>
      </c>
      <c r="AI12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{"issue":{"subject":"","project_id":79,"tracker_id":40,"status_id":1,"priority_id":2,"assigned_to_id":23,"start_date":"2016-10-20","description":"","custom_fields":[{"id":1,"name":"Subdivision","value":"EC"},{"id":4,"name":"Milepost","value":"0.0156"},{"id":17,"name":"Train ID","value":"208-20"},{"id":16,"name":"Locomotive ID","value":"4041"},{"id":130,"name":"Impact","value":""},{"id":150,"name":"Time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568</v>
      </c>
      <c r="B123" s="7">
        <v>4044</v>
      </c>
      <c r="C123" s="22" t="s">
        <v>99</v>
      </c>
      <c r="D123" s="22" t="s">
        <v>231</v>
      </c>
      <c r="E123" s="13">
        <v>42663.717361111114</v>
      </c>
      <c r="F123" s="13">
        <v>42663.719085648147</v>
      </c>
      <c r="G123" s="7">
        <v>1</v>
      </c>
      <c r="H123" s="13" t="s">
        <v>636</v>
      </c>
      <c r="I123" s="13">
        <v>42663.745023148149</v>
      </c>
      <c r="J123" s="7">
        <v>0</v>
      </c>
      <c r="K123" s="112" t="str">
        <f t="shared" si="23"/>
        <v>4043/4044</v>
      </c>
      <c r="L123" s="22" t="str">
        <f>VLOOKUP(A123,'Trips&amp;Operators'!$C$1:$E$10000,3,FALSE)</f>
        <v>LEVERE</v>
      </c>
      <c r="M123" s="6">
        <f t="shared" si="24"/>
        <v>2.5937500002328306E-2</v>
      </c>
      <c r="N123" s="7">
        <f t="shared" si="40"/>
        <v>37.350000003352761</v>
      </c>
      <c r="O123" s="7"/>
      <c r="P123" s="7"/>
      <c r="Q123" s="23"/>
      <c r="R123" s="23"/>
      <c r="S123" s="35">
        <f t="shared" si="41"/>
        <v>1</v>
      </c>
      <c r="T123" s="50" t="str">
        <f t="shared" si="25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16:13:00-0600',mode:absolute,to:'2016-10-20 18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7"/>
        <v>N</v>
      </c>
      <c r="X123" s="171">
        <f t="shared" si="28"/>
        <v>1</v>
      </c>
      <c r="Y123" s="67">
        <f t="shared" si="29"/>
        <v>4.53E-2</v>
      </c>
      <c r="Z123" s="67">
        <f t="shared" si="39"/>
        <v>23.328399999999998</v>
      </c>
      <c r="AA123" s="67">
        <f t="shared" si="30"/>
        <v>23.283099999999997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1"/>
        <v>0209-20</v>
      </c>
      <c r="AE123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23" s="88" t="str">
        <f t="shared" si="33"/>
        <v>"C:\Program Files (x86)\AstroGrep\AstroGrep.exe" /spath="%USERPROFILE%\AppData\Local\Temp\OnboardLogs" /stypes="app*4044*20161020*" /stext=" 23:.+((SYSTEM_STATE.+slice.+state.+changed )|(ment ac)|(system.+state.+changed )|(\[timeout)|(PRM\|1\|D)|(kpr)|(kdp)|(\|lc)|(penalty))" /e /r /s</v>
      </c>
      <c r="AG123" s="1" t="str">
        <f t="shared" si="34"/>
        <v>EC</v>
      </c>
      <c r="AH123" s="92" t="str">
        <f t="shared" si="35"/>
        <v>"%USERPROFILE%\Documents\GitHub\eaglep3\Utilities\RefineRTDCRunTimes.py" --tripid 209-20 --locoid 4044 --swversion DE.1.0.7.0 --startMP 204:453 --initTime 2016-10-20T17:13:00 --startdatetime 2016-10-20T17:15:29 --delay 1 --endMP 204:233284 --enddatetime 2016-10-20T17:52:50 --enforcementcount 0 &gt;&gt;C:\Users\stu\Documents\GitHub\eaglep3-reporting\EC\2016-10-20-refined-times.txt</v>
      </c>
      <c r="AI12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ID","value":"209-20"},{"id":16,"name":"Locomotive ID","value":"4044"},{"id":130,"name":"Impact","value":""},{"id":150,"name":"Time of Event (Mountain Time)","value":"17:52:50"},{"id":151,"name":"Denver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4043</v>
      </c>
      <c r="C124" s="22" t="s">
        <v>99</v>
      </c>
      <c r="D124" s="22" t="s">
        <v>669</v>
      </c>
      <c r="E124" s="13">
        <v>42663.751469907409</v>
      </c>
      <c r="F124" s="13">
        <v>42663.757870370369</v>
      </c>
      <c r="G124" s="7">
        <v>1</v>
      </c>
      <c r="H124" s="13" t="s">
        <v>380</v>
      </c>
      <c r="I124" s="13">
        <v>42663.786759259259</v>
      </c>
      <c r="J124" s="7">
        <v>0</v>
      </c>
      <c r="K124" s="112" t="str">
        <f t="shared" si="23"/>
        <v>4043/4044</v>
      </c>
      <c r="L124" s="22" t="str">
        <f>VLOOKUP(A124,'Trips&amp;Operators'!$C$1:$E$10000,3,FALSE)</f>
        <v>LEVERE</v>
      </c>
      <c r="M124" s="6">
        <f t="shared" si="24"/>
        <v>2.8888888889923692E-2</v>
      </c>
      <c r="N124" s="7">
        <f t="shared" si="40"/>
        <v>41.600000001490116</v>
      </c>
      <c r="O124" s="7"/>
      <c r="P124" s="7"/>
      <c r="Q124" s="23"/>
      <c r="R124" s="23"/>
      <c r="S124" s="35">
        <f t="shared" si="41"/>
        <v>1</v>
      </c>
      <c r="T124" s="50" t="str">
        <f t="shared" si="25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17:02:07-0600',mode:absolute,to:'2016-10-20 19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7"/>
        <v>N</v>
      </c>
      <c r="X124" s="171">
        <f t="shared" si="28"/>
        <v>1</v>
      </c>
      <c r="Y124" s="67">
        <f t="shared" si="29"/>
        <v>23.295300000000001</v>
      </c>
      <c r="Z124" s="67">
        <f t="shared" si="39"/>
        <v>1.6899999999999998E-2</v>
      </c>
      <c r="AA124" s="67">
        <f t="shared" si="30"/>
        <v>23.278400000000001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1"/>
        <v>0210-20</v>
      </c>
      <c r="AE124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24" s="88" t="str">
        <f t="shared" si="33"/>
        <v>"C:\Program Files (x86)\AstroGrep\AstroGrep.exe" /spath="%USERPROFILE%\AppData\Local\Temp\OnboardLogs" /stypes="app*4043*20161021*" /stext=" 00:.+((SYSTEM_STATE.+slice.+state.+changed )|(ment ac)|(system.+state.+changed )|(\[timeout)|(PRM\|1\|D)|(kpr)|(kdp)|(\|lc)|(penalty))" /e /r /s</v>
      </c>
      <c r="AG124" s="1" t="str">
        <f t="shared" si="34"/>
        <v>EC</v>
      </c>
      <c r="AH124" s="92" t="str">
        <f t="shared" si="35"/>
        <v>"%USERPROFILE%\Documents\GitHub\eaglep3\Utilities\RefineRTDCRunTimes.py" --tripid 210-20 --locoid 4043 --swversion DE.1.0.7.0 --startMP 204:232953 --initTime 2016-10-20T18:02:07 --startdatetime 2016-10-20T18:11:20 --delay 1 --endMP 204:169 --enddatetime 2016-10-20T18:52:56 --enforcementcount 0 &gt;&gt;C:\Users\stu\Documents\GitHub\eaglep3-reporting\EC\2016-10-20-refined-times.txt</v>
      </c>
      <c r="AI12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ID","value":"210-20"},{"id":16,"name":"Locomotive ID","value":"4043"},{"id":130,"name":"Impact","value":""},{"id":150,"name":"Time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571</v>
      </c>
      <c r="B125" s="7">
        <v>4029</v>
      </c>
      <c r="C125" s="22" t="s">
        <v>99</v>
      </c>
      <c r="D125" s="22" t="s">
        <v>236</v>
      </c>
      <c r="E125" s="13">
        <v>42663.726597222223</v>
      </c>
      <c r="F125" s="13">
        <v>42663.729386574072</v>
      </c>
      <c r="G125" s="7">
        <v>1</v>
      </c>
      <c r="H125" s="13" t="s">
        <v>379</v>
      </c>
      <c r="I125" s="13">
        <v>42663.756018518521</v>
      </c>
      <c r="J125" s="7">
        <v>0</v>
      </c>
      <c r="K125" s="112" t="str">
        <f t="shared" si="23"/>
        <v>4029/4030</v>
      </c>
      <c r="L125" s="22" t="str">
        <f>VLOOKUP(A125,'Trips&amp;Operators'!$C$1:$E$10000,3,FALSE)</f>
        <v>YOUNG</v>
      </c>
      <c r="M125" s="6">
        <f t="shared" si="24"/>
        <v>2.6631944449036382E-2</v>
      </c>
      <c r="N125" s="7">
        <f t="shared" si="40"/>
        <v>38.35000000661239</v>
      </c>
      <c r="O125" s="7"/>
      <c r="P125" s="7"/>
      <c r="Q125" s="23"/>
      <c r="R125" s="23"/>
      <c r="S125" s="35">
        <f t="shared" si="41"/>
        <v>1</v>
      </c>
      <c r="T125" s="50" t="str">
        <f t="shared" si="25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16:26:18-0600',mode:absolute,to:'2016-10-20 19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27"/>
        <v>N</v>
      </c>
      <c r="X125" s="171">
        <f t="shared" si="28"/>
        <v>1</v>
      </c>
      <c r="Y125" s="67">
        <f t="shared" si="29"/>
        <v>4.5699999999999998E-2</v>
      </c>
      <c r="Z125" s="67">
        <f t="shared" si="39"/>
        <v>23.330200000000001</v>
      </c>
      <c r="AA125" s="67">
        <f t="shared" si="30"/>
        <v>23.284500000000001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1"/>
        <v>0211-20</v>
      </c>
      <c r="AE125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25" s="88" t="str">
        <f t="shared" si="33"/>
        <v>"C:\Program Files (x86)\AstroGrep\AstroGrep.exe" /spath="%USERPROFILE%\AppData\Local\Temp\OnboardLogs" /stypes="app*4029*20161021*" /stext=" 00:.+((SYSTEM_STATE.+slice.+state.+changed )|(ment ac)|(system.+state.+changed )|(\[timeout)|(PRM\|1\|D)|(kpr)|(kdp)|(\|lc)|(penalty))" /e /r /s</v>
      </c>
      <c r="AG125" s="1" t="str">
        <f t="shared" si="34"/>
        <v>EC</v>
      </c>
      <c r="AH125" s="92" t="str">
        <f t="shared" si="35"/>
        <v>"%USERPROFILE%\Documents\GitHub\eaglep3\Utilities\RefineRTDCRunTimes.py" --tripid 211-20 --locoid 4029 --swversion DE.1.0.7.0 --startMP 204:457 --initTime 2016-10-20T17:26:18 --startdatetime 2016-10-20T17:30:19 --delay 1 --endMP 204:233302 --enddatetime 2016-10-20T18:08:40 --enforcementcount 0 &gt;&gt;C:\Users\stu\Documents\GitHub\eaglep3-reporting\EC\2016-10-20-refined-times.txt</v>
      </c>
      <c r="AI12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{"issue":{"subject":"","project_id":79,"tracker_id":40,"status_id":1,"priority_id":2,"assigned_to_id":23,"start_date":"2016-10-20","description":"","custom_fields":[{"id":1,"name":"Subdivision","value":"EC"},{"id":4,"name":"Milepost","value":"23.3302"},{"id":17,"name":"Train ID","value":"211-20"},{"id":16,"name":"Locomotive ID","value":"4029"},{"id":130,"name":"Impact","value":""},{"id":150,"name":"Time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579</v>
      </c>
      <c r="B126" s="7">
        <v>4030</v>
      </c>
      <c r="C126" s="22" t="s">
        <v>99</v>
      </c>
      <c r="D126" s="22" t="s">
        <v>244</v>
      </c>
      <c r="E126" s="13">
        <v>42663.757835648146</v>
      </c>
      <c r="F126" s="13">
        <v>42663.768229166664</v>
      </c>
      <c r="G126" s="7">
        <v>2</v>
      </c>
      <c r="H126" s="13" t="s">
        <v>283</v>
      </c>
      <c r="I126" s="13">
        <v>42663.797430555554</v>
      </c>
      <c r="J126" s="7">
        <v>0</v>
      </c>
      <c r="K126" s="112" t="str">
        <f t="shared" si="23"/>
        <v>4029/4030</v>
      </c>
      <c r="L126" s="22" t="str">
        <f>VLOOKUP(A126,'Trips&amp;Operators'!$C$1:$E$10000,3,FALSE)</f>
        <v>YOUNG</v>
      </c>
      <c r="M126" s="6">
        <f t="shared" si="24"/>
        <v>2.920138889021473E-2</v>
      </c>
      <c r="N126" s="7">
        <f t="shared" si="40"/>
        <v>42.050000001909211</v>
      </c>
      <c r="O126" s="7"/>
      <c r="P126" s="7"/>
      <c r="Q126" s="23"/>
      <c r="R126" s="23"/>
      <c r="S126" s="35">
        <f t="shared" si="41"/>
        <v>1</v>
      </c>
      <c r="T126" s="50" t="str">
        <f t="shared" si="25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17:11:17-0600',mode:absolute,to:'2016-10-20 20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27"/>
        <v>N</v>
      </c>
      <c r="X126" s="171">
        <f t="shared" si="28"/>
        <v>1</v>
      </c>
      <c r="Y126" s="67">
        <f t="shared" si="29"/>
        <v>23.297899999999998</v>
      </c>
      <c r="Z126" s="67">
        <f t="shared" si="39"/>
        <v>1.3899999999999999E-2</v>
      </c>
      <c r="AA126" s="67">
        <f t="shared" si="30"/>
        <v>23.283999999999999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1"/>
        <v>0212-20</v>
      </c>
      <c r="AE126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26" s="88" t="str">
        <f t="shared" si="33"/>
        <v>"C:\Program Files (x86)\AstroGrep\AstroGrep.exe" /spath="%USERPROFILE%\AppData\Local\Temp\OnboardLogs" /stypes="app*4030*20161021*" /stext=" 01:.+((SYSTEM_STATE.+slice.+state.+changed )|(ment ac)|(system.+state.+changed )|(\[timeout)|(PRM\|1\|D)|(kpr)|(kdp)|(\|lc)|(penalty))" /e /r /s</v>
      </c>
      <c r="AG126" s="1" t="str">
        <f t="shared" si="34"/>
        <v>EC</v>
      </c>
      <c r="AH126" s="92" t="str">
        <f t="shared" si="35"/>
        <v>"%USERPROFILE%\Documents\GitHub\eaglep3\Utilities\RefineRTDCRunTimes.py" --tripid 212-20 --locoid 4030 --swversion DE.1.0.7.0 --startMP 204:232979 --initTime 2016-10-20T18:11:17 --startdatetime 2016-10-20T18:26:15 --delay 2 --endMP 204:139 --enddatetime 2016-10-20T19:08:18 --enforcementcount 0 &gt;&gt;C:\Users\stu\Documents\GitHub\eaglep3-reporting\EC\2016-10-20-refined-times.txt</v>
      </c>
      <c r="AI12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ID","value":"212-20"},{"id":16,"name":"Locomotive ID","value":"4030"},{"id":130,"name":"Impact","value":""},{"id":150,"name":"Time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574</v>
      </c>
      <c r="B127" s="7">
        <v>4018</v>
      </c>
      <c r="C127" s="22" t="s">
        <v>99</v>
      </c>
      <c r="D127" s="22" t="s">
        <v>633</v>
      </c>
      <c r="E127" s="13">
        <v>42663.735219907408</v>
      </c>
      <c r="F127" s="13">
        <v>42663.740590277775</v>
      </c>
      <c r="G127" s="7">
        <v>1</v>
      </c>
      <c r="H127" s="13" t="s">
        <v>217</v>
      </c>
      <c r="I127" s="13">
        <v>42663.766064814816</v>
      </c>
      <c r="J127" s="7">
        <v>0</v>
      </c>
      <c r="K127" s="112" t="str">
        <f t="shared" si="23"/>
        <v>4017/4018</v>
      </c>
      <c r="L127" s="22" t="str">
        <f>VLOOKUP(A127,'Trips&amp;Operators'!$C$1:$E$10000,3,FALSE)</f>
        <v>DELGADO</v>
      </c>
      <c r="M127" s="6">
        <f t="shared" si="24"/>
        <v>2.5474537040281575E-2</v>
      </c>
      <c r="N127" s="7">
        <f t="shared" si="40"/>
        <v>36.683333338005468</v>
      </c>
      <c r="O127" s="7"/>
      <c r="P127" s="7"/>
      <c r="Q127" s="23"/>
      <c r="R127" s="23"/>
      <c r="S127" s="35">
        <f t="shared" si="41"/>
        <v>1</v>
      </c>
      <c r="T127" s="50" t="str">
        <f t="shared" si="25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16:38:43-0600',mode:absolute,to:'2016-10-20 19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27"/>
        <v>N</v>
      </c>
      <c r="X127" s="171">
        <f t="shared" si="28"/>
        <v>1</v>
      </c>
      <c r="Y127" s="67">
        <f t="shared" si="29"/>
        <v>4.6699999999999998E-2</v>
      </c>
      <c r="Z127" s="67">
        <f t="shared" si="39"/>
        <v>23.331399999999999</v>
      </c>
      <c r="AA127" s="67">
        <f t="shared" si="30"/>
        <v>23.284699999999997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1"/>
        <v>0213-20</v>
      </c>
      <c r="AE127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27" s="88" t="str">
        <f t="shared" si="33"/>
        <v>"C:\Program Files (x86)\AstroGrep\AstroGrep.exe" /spath="%USERPROFILE%\AppData\Local\Temp\OnboardLogs" /stypes="app*4018*20161021*" /stext=" 00:.+((SYSTEM_STATE.+slice.+state.+changed )|(ment ac)|(system.+state.+changed )|(\[timeout)|(PRM\|1\|D)|(kpr)|(kdp)|(\|lc)|(penalty))" /e /r /s</v>
      </c>
      <c r="AG127" s="1" t="str">
        <f t="shared" si="34"/>
        <v>EC</v>
      </c>
      <c r="AH127" s="92" t="str">
        <f t="shared" si="35"/>
        <v>"%USERPROFILE%\Documents\GitHub\eaglep3\Utilities\RefineRTDCRunTimes.py" --tripid 213-20 --locoid 4018 --swversion DE.1.0.7.0 --startMP 204:467 --initTime 2016-10-20T17:38:43 --startdatetime 2016-10-20T17:46:27 --delay 1 --endMP 204:233314 --enddatetime 2016-10-20T18:23:08 --enforcementcount 0 &gt;&gt;C:\Users\stu\Documents\GitHub\eaglep3-reporting\EC\2016-10-20-refined-times.txt</v>
      </c>
      <c r="AI12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ID","value":"213-20"},{"id":16,"name":"Locomotive ID","value":"4018"},{"id":130,"name":"Impact","value":""},{"id":150,"name":"Time of Event (Mountain Time)","value":"18:23:08"},{"id":151,"name":"Denver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4017</v>
      </c>
      <c r="C128" s="22" t="s">
        <v>99</v>
      </c>
      <c r="D128" s="22" t="s">
        <v>638</v>
      </c>
      <c r="E128" s="13">
        <v>42663.772638888891</v>
      </c>
      <c r="F128" s="13">
        <v>42663.778749999998</v>
      </c>
      <c r="G128" s="7">
        <v>1</v>
      </c>
      <c r="H128" s="13" t="s">
        <v>229</v>
      </c>
      <c r="I128" s="13">
        <v>42663.806493055556</v>
      </c>
      <c r="J128" s="7">
        <v>0</v>
      </c>
      <c r="K128" s="112" t="str">
        <f t="shared" si="23"/>
        <v>4017/4018</v>
      </c>
      <c r="L128" s="22" t="str">
        <f>VLOOKUP(A128,'Trips&amp;Operators'!$C$1:$E$10000,3,FALSE)</f>
        <v>DELGADO</v>
      </c>
      <c r="M128" s="6">
        <f t="shared" si="24"/>
        <v>2.7743055557948537E-2</v>
      </c>
      <c r="N128" s="7">
        <f t="shared" si="40"/>
        <v>39.950000003445894</v>
      </c>
      <c r="O128" s="7"/>
      <c r="P128" s="7"/>
      <c r="Q128" s="23"/>
      <c r="R128" s="23"/>
      <c r="S128" s="35">
        <f t="shared" si="41"/>
        <v>1</v>
      </c>
      <c r="T128" s="50" t="str">
        <f t="shared" si="25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17:32:36-0600',mode:absolute,to:'2016-10-20 20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27"/>
        <v>N</v>
      </c>
      <c r="X128" s="171">
        <f t="shared" si="28"/>
        <v>1</v>
      </c>
      <c r="Y128" s="67">
        <f t="shared" si="29"/>
        <v>23.297999999999998</v>
      </c>
      <c r="Z128" s="67">
        <f t="shared" si="39"/>
        <v>1.4999999999999999E-2</v>
      </c>
      <c r="AA128" s="67">
        <f t="shared" si="30"/>
        <v>23.282999999999998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1"/>
        <v>0214-20</v>
      </c>
      <c r="AE128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28" s="88" t="str">
        <f t="shared" si="33"/>
        <v>"C:\Program Files (x86)\AstroGrep\AstroGrep.exe" /spath="%USERPROFILE%\AppData\Local\Temp\OnboardLogs" /stypes="app*4017*20161021*" /stext=" 01:.+((SYSTEM_STATE.+slice.+state.+changed )|(ment ac)|(system.+state.+changed )|(\[timeout)|(PRM\|1\|D)|(kpr)|(kdp)|(\|lc)|(penalty))" /e /r /s</v>
      </c>
      <c r="AG128" s="1" t="str">
        <f t="shared" si="34"/>
        <v>EC</v>
      </c>
      <c r="AH128" s="92" t="str">
        <f t="shared" si="35"/>
        <v>"%USERPROFILE%\Documents\GitHub\eaglep3\Utilities\RefineRTDCRunTimes.py" --tripid 214-20 --locoid 4017 --swversion DE.1.0.7.0 --startMP 204:232980 --initTime 2016-10-20T18:32:36 --startdatetime 2016-10-20T18:41:24 --delay 1 --endMP 204:150 --enddatetime 2016-10-20T19:21:21 --enforcementcount 0 &gt;&gt;C:\Users\stu\Documents\GitHub\eaglep3-reporting\EC\2016-10-20-refined-times.txt</v>
      </c>
      <c r="AI12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ID","value":"214-20"},{"id":16,"name":"Locomotive ID","value":"4017"},{"id":130,"name":"Impact","value":""},{"id":150,"name":"Time of Event (Mountain Time)","value":"19:21:21"},{"id":151,"name":"Denver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575</v>
      </c>
      <c r="B129" s="7">
        <v>4038</v>
      </c>
      <c r="C129" s="22" t="s">
        <v>99</v>
      </c>
      <c r="D129" s="22" t="s">
        <v>230</v>
      </c>
      <c r="E129" s="13">
        <v>42663.745509259257</v>
      </c>
      <c r="F129" s="13">
        <v>42663.750243055554</v>
      </c>
      <c r="G129" s="7">
        <v>2</v>
      </c>
      <c r="H129" s="13" t="s">
        <v>279</v>
      </c>
      <c r="I129" s="13">
        <v>42663.775243055556</v>
      </c>
      <c r="J129" s="7">
        <v>0</v>
      </c>
      <c r="K129" s="112" t="str">
        <f t="shared" si="23"/>
        <v>4037/4038</v>
      </c>
      <c r="L129" s="22" t="str">
        <f>VLOOKUP(A129,'Trips&amp;Operators'!$C$1:$E$10000,3,FALSE)</f>
        <v>STORY</v>
      </c>
      <c r="M129" s="6">
        <f t="shared" si="24"/>
        <v>2.5000000001455192E-2</v>
      </c>
      <c r="N129" s="7">
        <f t="shared" si="40"/>
        <v>36.000000002095476</v>
      </c>
      <c r="O129" s="7"/>
      <c r="P129" s="7"/>
      <c r="Q129" s="23"/>
      <c r="R129" s="23"/>
      <c r="S129" s="35">
        <f t="shared" si="41"/>
        <v>1</v>
      </c>
      <c r="T129" s="50" t="str">
        <f t="shared" si="25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16:53:32-0600',mode:absolute,to:'2016-10-20 19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27"/>
        <v>N</v>
      </c>
      <c r="X129" s="171">
        <f t="shared" si="28"/>
        <v>1</v>
      </c>
      <c r="Y129" s="67">
        <f t="shared" si="29"/>
        <v>4.4699999999999997E-2</v>
      </c>
      <c r="Z129" s="67">
        <f t="shared" si="39"/>
        <v>23.3308</v>
      </c>
      <c r="AA129" s="67">
        <f t="shared" si="30"/>
        <v>23.286100000000001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1"/>
        <v>0215-20</v>
      </c>
      <c r="AE129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29" s="88" t="str">
        <f t="shared" si="33"/>
        <v>"C:\Program Files (x86)\AstroGrep\AstroGrep.exe" /spath="%USERPROFILE%\AppData\Local\Temp\OnboardLogs" /stypes="app*4038*20161021*" /stext=" 00:.+((SYSTEM_STATE.+slice.+state.+changed )|(ment ac)|(system.+state.+changed )|(\[timeout)|(PRM\|1\|D)|(kpr)|(kdp)|(\|lc)|(penalty))" /e /r /s</v>
      </c>
      <c r="AG129" s="1" t="str">
        <f t="shared" si="34"/>
        <v>EC</v>
      </c>
      <c r="AH129" s="92" t="str">
        <f t="shared" si="35"/>
        <v>"%USERPROFILE%\Documents\GitHub\eaglep3\Utilities\RefineRTDCRunTimes.py" --tripid 215-20 --locoid 4038 --swversion DE.1.0.7.0 --startMP 204:447 --initTime 2016-10-20T17:53:32 --startdatetime 2016-10-20T18:00:21 --delay 2 --endMP 204:233308 --enddatetime 2016-10-20T18:36:21 --enforcementcount 0 &gt;&gt;C:\Users\stu\Documents\GitHub\eaglep3-reporting\EC\2016-10-20-refined-times.txt</v>
      </c>
      <c r="AI12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ID","value":"215-20"},{"id":16,"name":"Locomotive ID","value":"4038"},{"id":130,"name":"Impact","value":""},{"id":150,"name":"Time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586</v>
      </c>
      <c r="B130" s="7">
        <v>4037</v>
      </c>
      <c r="C130" s="22" t="s">
        <v>99</v>
      </c>
      <c r="D130" s="22" t="s">
        <v>275</v>
      </c>
      <c r="E130" s="13">
        <v>42663.786423611113</v>
      </c>
      <c r="F130" s="13">
        <v>42663.7890162037</v>
      </c>
      <c r="G130" s="7">
        <v>1</v>
      </c>
      <c r="H130" s="13" t="s">
        <v>224</v>
      </c>
      <c r="I130" s="13">
        <v>42663.816053240742</v>
      </c>
      <c r="J130" s="7">
        <v>0</v>
      </c>
      <c r="K130" s="112" t="str">
        <f t="shared" si="23"/>
        <v>4037/4038</v>
      </c>
      <c r="L130" s="22" t="str">
        <f>VLOOKUP(A130,'Trips&amp;Operators'!$C$1:$E$10000,3,FALSE)</f>
        <v>STORY</v>
      </c>
      <c r="M130" s="6">
        <f t="shared" si="24"/>
        <v>2.7037037041736767E-2</v>
      </c>
      <c r="N130" s="7">
        <f t="shared" si="40"/>
        <v>38.933333340100944</v>
      </c>
      <c r="O130" s="7"/>
      <c r="P130" s="7"/>
      <c r="Q130" s="23"/>
      <c r="R130" s="23"/>
      <c r="S130" s="35">
        <f t="shared" si="41"/>
        <v>1</v>
      </c>
      <c r="T130" s="50" t="str">
        <f t="shared" si="25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17:52:27-0600',mode:absolute,to:'2016-10-20 20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27"/>
        <v>N</v>
      </c>
      <c r="X130" s="171">
        <f t="shared" si="28"/>
        <v>1</v>
      </c>
      <c r="Y130" s="67">
        <f t="shared" si="29"/>
        <v>23.2987</v>
      </c>
      <c r="Z130" s="67">
        <f t="shared" si="39"/>
        <v>1.4500000000000001E-2</v>
      </c>
      <c r="AA130" s="67">
        <f t="shared" si="30"/>
        <v>23.284199999999998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1"/>
        <v>0216-20</v>
      </c>
      <c r="AE130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30" s="88" t="str">
        <f t="shared" si="33"/>
        <v>"C:\Program Files (x86)\AstroGrep\AstroGrep.exe" /spath="%USERPROFILE%\AppData\Local\Temp\OnboardLogs" /stypes="app*4037*20161021*" /stext=" 01:.+((SYSTEM_STATE.+slice.+state.+changed )|(ment ac)|(system.+state.+changed )|(\[timeout)|(PRM\|1\|D)|(kpr)|(kdp)|(\|lc)|(penalty))" /e /r /s</v>
      </c>
      <c r="AG130" s="1" t="str">
        <f t="shared" si="34"/>
        <v>EC</v>
      </c>
      <c r="AH130" s="92" t="str">
        <f t="shared" si="35"/>
        <v>"%USERPROFILE%\Documents\GitHub\eaglep3\Utilities\RefineRTDCRunTimes.py" --tripid 216-20 --locoid 4037 --swversion DE.1.0.7.0 --startMP 204:232987 --initTime 2016-10-20T18:52:27 --startdatetime 2016-10-20T18:56:11 --delay 1 --endMP 204:145 --enddatetime 2016-10-20T19:35:07 --enforcementcount 0 &gt;&gt;C:\Users\stu\Documents\GitHub\eaglep3-reporting\EC\2016-10-20-refined-times.txt</v>
      </c>
      <c r="AI13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ID","value":"216-20"},{"id":16,"name":"Locomotive ID","value":"4037"},{"id":130,"name":"Impact","value":""},{"id":150,"name":"Time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429</v>
      </c>
      <c r="B131" s="7">
        <v>4006</v>
      </c>
      <c r="C131" s="22" t="s">
        <v>99</v>
      </c>
      <c r="D131" s="22" t="s">
        <v>670</v>
      </c>
      <c r="E131" s="13">
        <v>42663.755636574075</v>
      </c>
      <c r="F131" s="13">
        <v>42663.760740740741</v>
      </c>
      <c r="G131" s="7">
        <v>4</v>
      </c>
      <c r="H131" s="13" t="s">
        <v>668</v>
      </c>
      <c r="I131" s="13">
        <v>42663.786793981482</v>
      </c>
      <c r="J131" s="7">
        <v>0</v>
      </c>
      <c r="K131" s="112" t="str">
        <f t="shared" si="23"/>
        <v>4005/4006</v>
      </c>
      <c r="L131" s="22" t="str">
        <f>VLOOKUP(A131,'Trips&amp;Operators'!$C$1:$E$10000,3,FALSE)</f>
        <v>LEVIN</v>
      </c>
      <c r="M131" s="6">
        <f t="shared" si="24"/>
        <v>2.6053240741021E-2</v>
      </c>
      <c r="N131" s="7">
        <f t="shared" si="40"/>
        <v>37.51666666707024</v>
      </c>
      <c r="O131" s="7"/>
      <c r="P131" s="7"/>
      <c r="Q131" s="23"/>
      <c r="R131" s="23"/>
      <c r="S131" s="35">
        <f t="shared" si="41"/>
        <v>1</v>
      </c>
      <c r="T131" s="50" t="str">
        <f t="shared" si="25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1" s="52" t="str">
        <f t="shared" si="27"/>
        <v>N</v>
      </c>
      <c r="X131" s="171">
        <f t="shared" si="28"/>
        <v>1</v>
      </c>
      <c r="Y131" s="67">
        <f t="shared" si="29"/>
        <v>4.2000000000000003E-2</v>
      </c>
      <c r="Z131" s="67">
        <f t="shared" si="39"/>
        <v>23.332000000000001</v>
      </c>
      <c r="AA131" s="67">
        <f t="shared" si="30"/>
        <v>23.29</v>
      </c>
      <c r="AB131" s="64" t="str">
        <f>VLOOKUP(A131,Enforcements!$C$7:$K$21,8,0)</f>
        <v>Speed (6)</v>
      </c>
      <c r="AC131" s="60" t="str">
        <f>VLOOKUP(A131,Enforcements!$C$7:$E$21,3,0)</f>
        <v>PERMANENT SPEED RESTRICTION</v>
      </c>
      <c r="AD131" s="61" t="str">
        <f t="shared" si="31"/>
        <v>0217-20</v>
      </c>
      <c r="AE131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1" s="88" t="str">
        <f t="shared" si="33"/>
        <v>"C:\Program Files (x86)\AstroGrep\AstroGrep.exe" /spath="%USERPROFILE%\AppData\Local\Temp\OnboardLogs" /stypes="app*4006*20161021*" /stext=" 00:.+((SYSTEM_STATE.+slice.+state.+changed )|(ment ac)|(system.+state.+changed )|(\[timeout)|(PRM\|1\|D)|(kpr)|(kdp)|(\|lc)|(penalty))" /e /r /s</v>
      </c>
      <c r="AG131" s="1" t="str">
        <f t="shared" si="34"/>
        <v>EC</v>
      </c>
      <c r="AH131" s="92" t="str">
        <f t="shared" si="35"/>
        <v>"%USERPROFILE%\Documents\GitHub\eaglep3\Utilities\RefineRTDCRunTimes.py" --tripid 217-20 --locoid 4006 --swversion DE.1.0.7.0 --startMP 204:420 --initTime 2016-10-20T18:08:07 --startdatetime 2016-10-20T18:15:28 --delay 4 --endMP 204:233320 --enddatetime 2016-10-20T18:52:59 --enforcementcount 0 &gt;&gt;C:\Users\stu\Documents\GitHub\eaglep3-reporting\EC\2016-10-20-refined-times.txt</v>
      </c>
      <c r="AI13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ID","value":"217-20"},{"id":16,"name":"Locomotive ID","value":"4006"},{"id":130,"name":"Impact","value":""},{"id":150,"name":"Time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588</v>
      </c>
      <c r="B132" s="7">
        <v>4005</v>
      </c>
      <c r="C132" s="22" t="s">
        <v>99</v>
      </c>
      <c r="D132" s="22" t="s">
        <v>347</v>
      </c>
      <c r="E132" s="13">
        <v>42663.793761574074</v>
      </c>
      <c r="F132" s="13">
        <v>42663.799513888887</v>
      </c>
      <c r="G132" s="7">
        <v>3</v>
      </c>
      <c r="H132" s="13" t="s">
        <v>235</v>
      </c>
      <c r="I132" s="13">
        <v>42663.826273148145</v>
      </c>
      <c r="J132" s="7">
        <v>0</v>
      </c>
      <c r="K132" s="112" t="str">
        <f t="shared" si="23"/>
        <v>4005/4006</v>
      </c>
      <c r="L132" s="22" t="str">
        <f>VLOOKUP(A132,'Trips&amp;Operators'!$C$1:$E$10000,3,FALSE)</f>
        <v>SHOOK</v>
      </c>
      <c r="M132" s="6">
        <f t="shared" si="24"/>
        <v>2.675925925723277E-2</v>
      </c>
      <c r="N132" s="7">
        <f t="shared" si="40"/>
        <v>38.533333330415189</v>
      </c>
      <c r="O132" s="7"/>
      <c r="P132" s="7"/>
      <c r="Q132" s="23"/>
      <c r="R132" s="23"/>
      <c r="S132" s="35">
        <f t="shared" si="41"/>
        <v>1</v>
      </c>
      <c r="T132" s="50" t="str">
        <f t="shared" si="25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18:03:01-0600',mode:absolute,to:'2016-10-20 20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32" s="52" t="str">
        <f t="shared" si="27"/>
        <v>N</v>
      </c>
      <c r="X132" s="171">
        <f t="shared" si="28"/>
        <v>1</v>
      </c>
      <c r="Y132" s="67">
        <f t="shared" si="29"/>
        <v>23.298400000000001</v>
      </c>
      <c r="Z132" s="67">
        <f t="shared" si="39"/>
        <v>1.34E-2</v>
      </c>
      <c r="AA132" s="67">
        <f t="shared" si="30"/>
        <v>23.285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1"/>
        <v>0218-20</v>
      </c>
      <c r="AE132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32" s="88" t="str">
        <f t="shared" si="33"/>
        <v>"C:\Program Files (x86)\AstroGrep\AstroGrep.exe" /spath="%USERPROFILE%\AppData\Local\Temp\OnboardLogs" /stypes="app*4005*20161021*" /stext=" 01:.+((SYSTEM_STATE.+slice.+state.+changed )|(ment ac)|(system.+state.+changed )|(\[timeout)|(PRM\|1\|D)|(kpr)|(kdp)|(\|lc)|(penalty))" /e /r /s</v>
      </c>
      <c r="AG132" s="1" t="str">
        <f t="shared" si="34"/>
        <v>EC</v>
      </c>
      <c r="AH132" s="92" t="str">
        <f t="shared" si="35"/>
        <v>"%USERPROFILE%\Documents\GitHub\eaglep3\Utilities\RefineRTDCRunTimes.py" --tripid 218-20 --locoid 4005 --swversion DE.1.0.7.0 --startMP 204:232984 --initTime 2016-10-20T19:03:01 --startdatetime 2016-10-20T19:11:18 --delay 3 --endMP 204:134 --enddatetime 2016-10-20T19:49:50 --enforcementcount 0 &gt;&gt;C:\Users\stu\Documents\GitHub\eaglep3-reporting\EC\2016-10-20-refined-times.txt</v>
      </c>
      <c r="AI13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ID","value":"218-20"},{"id":16,"name":"Locomotive ID","value":"4005"},{"id":130,"name":"Impact","value":""},{"id":150,"name":"Time of Event (Mountain Time)","value":"19:49:50"},{"id":151,"name":"Denver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581</v>
      </c>
      <c r="B133" s="7">
        <v>4011</v>
      </c>
      <c r="C133" s="22" t="s">
        <v>99</v>
      </c>
      <c r="D133" s="22" t="s">
        <v>635</v>
      </c>
      <c r="E133" s="13">
        <v>42663.768657407411</v>
      </c>
      <c r="F133" s="13">
        <v>42663.771041666667</v>
      </c>
      <c r="G133" s="7">
        <v>1</v>
      </c>
      <c r="H133" s="13" t="s">
        <v>344</v>
      </c>
      <c r="I133" s="13">
        <v>42663.797442129631</v>
      </c>
      <c r="J133" s="7">
        <v>0</v>
      </c>
      <c r="K133" s="112" t="str">
        <f t="shared" si="23"/>
        <v>4011/4012</v>
      </c>
      <c r="L133" s="22" t="str">
        <f>VLOOKUP(A133,'Trips&amp;Operators'!$C$1:$E$10000,3,FALSE)</f>
        <v>STURGEON</v>
      </c>
      <c r="M133" s="6">
        <f t="shared" si="24"/>
        <v>2.6400462964375038E-2</v>
      </c>
      <c r="N133" s="7">
        <f t="shared" si="40"/>
        <v>38.016666668700054</v>
      </c>
      <c r="O133" s="7"/>
      <c r="P133" s="7"/>
      <c r="Q133" s="23"/>
      <c r="R133" s="23"/>
      <c r="S133" s="35">
        <f t="shared" si="41"/>
        <v>1</v>
      </c>
      <c r="T133" s="50" t="str">
        <f t="shared" si="25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17:26:52-0600',mode:absolute,to:'2016-10-20 20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3" s="52" t="str">
        <f t="shared" si="27"/>
        <v>N</v>
      </c>
      <c r="X133" s="171">
        <f t="shared" si="28"/>
        <v>1</v>
      </c>
      <c r="Y133" s="67">
        <f t="shared" si="29"/>
        <v>4.8800000000000003E-2</v>
      </c>
      <c r="Z133" s="67">
        <f t="shared" si="39"/>
        <v>23.327999999999999</v>
      </c>
      <c r="AA133" s="67">
        <f t="shared" si="30"/>
        <v>23.279199999999999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1"/>
        <v>0219-20</v>
      </c>
      <c r="AE133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33" s="88" t="str">
        <f t="shared" si="33"/>
        <v>"C:\Program Files (x86)\AstroGrep\AstroGrep.exe" /spath="%USERPROFILE%\AppData\Local\Temp\OnboardLogs" /stypes="app*4011*20161021*" /stext=" 01:.+((SYSTEM_STATE.+slice.+state.+changed )|(ment ac)|(system.+state.+changed )|(\[timeout)|(PRM\|1\|D)|(kpr)|(kdp)|(\|lc)|(penalty))" /e /r /s</v>
      </c>
      <c r="AG133" s="1" t="str">
        <f t="shared" si="34"/>
        <v>EC</v>
      </c>
      <c r="AH133" s="92" t="str">
        <f t="shared" si="35"/>
        <v>"%USERPROFILE%\Documents\GitHub\eaglep3\Utilities\RefineRTDCRunTimes.py" --tripid 219-20 --locoid 4011 --swversion DE.1.0.7.0 --startMP 204:488 --initTime 2016-10-20T18:26:52 --startdatetime 2016-10-20T18:30:18 --delay 1 --endMP 204:233280 --enddatetime 2016-10-20T19:08:19 --enforcementcount 0 &gt;&gt;C:\Users\stu\Documents\GitHub\eaglep3-reporting\EC\2016-10-20-refined-times.txt</v>
      </c>
      <c r="AI13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ID","value":"219-20"},{"id":16,"name":"Locomotive ID","value":"4011"},{"id":130,"name":"Impact","value":""},{"id":150,"name":"Time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590</v>
      </c>
      <c r="B134" s="7">
        <v>4012</v>
      </c>
      <c r="C134" s="22" t="s">
        <v>99</v>
      </c>
      <c r="D134" s="22" t="s">
        <v>671</v>
      </c>
      <c r="E134" s="13">
        <v>42663.799571759257</v>
      </c>
      <c r="F134" s="13">
        <v>42663.810023148151</v>
      </c>
      <c r="G134" s="7">
        <v>1</v>
      </c>
      <c r="H134" s="13" t="s">
        <v>634</v>
      </c>
      <c r="I134" s="13">
        <v>42663.837916666664</v>
      </c>
      <c r="J134" s="7">
        <v>0</v>
      </c>
      <c r="K134" s="112" t="str">
        <f t="shared" si="23"/>
        <v>4011/4012</v>
      </c>
      <c r="L134" s="22" t="str">
        <f>VLOOKUP(A134,'Trips&amp;Operators'!$C$1:$E$10000,3,FALSE)</f>
        <v>STURGEON</v>
      </c>
      <c r="M134" s="6">
        <f t="shared" si="24"/>
        <v>2.7893518512428273E-2</v>
      </c>
      <c r="N134" s="7">
        <f t="shared" si="40"/>
        <v>40.166666657896712</v>
      </c>
      <c r="O134" s="7"/>
      <c r="P134" s="7"/>
      <c r="Q134" s="23"/>
      <c r="R134" s="23"/>
      <c r="S134" s="35">
        <f t="shared" si="41"/>
        <v>1</v>
      </c>
      <c r="T134" s="50" t="str">
        <f t="shared" si="25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18:11:23-0600',mode:absolute,to:'2016-10-20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4" s="52" t="str">
        <f t="shared" si="27"/>
        <v>N</v>
      </c>
      <c r="X134" s="171">
        <f t="shared" si="28"/>
        <v>1</v>
      </c>
      <c r="Y134" s="67">
        <f t="shared" si="29"/>
        <v>23.294899999999998</v>
      </c>
      <c r="Z134" s="67">
        <f t="shared" si="39"/>
        <v>1.6299999999999999E-2</v>
      </c>
      <c r="AA134" s="67">
        <f t="shared" si="30"/>
        <v>23.278599999999997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1"/>
        <v>0220-20</v>
      </c>
      <c r="AE134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34" s="88" t="str">
        <f t="shared" si="33"/>
        <v>"C:\Program Files (x86)\AstroGrep\AstroGrep.exe" /spath="%USERPROFILE%\AppData\Local\Temp\OnboardLogs" /stypes="app*4012*20161021*" /stext=" 02:.+((SYSTEM_STATE.+slice.+state.+changed )|(ment ac)|(system.+state.+changed )|(\[timeout)|(PRM\|1\|D)|(kpr)|(kdp)|(\|lc)|(penalty))" /e /r /s</v>
      </c>
      <c r="AG134" s="1" t="str">
        <f t="shared" si="34"/>
        <v>EC</v>
      </c>
      <c r="AH134" s="92" t="str">
        <f t="shared" si="35"/>
        <v>"%USERPROFILE%\Documents\GitHub\eaglep3\Utilities\RefineRTDCRunTimes.py" --tripid 220-20 --locoid 4012 --swversion DE.1.0.7.0 --startMP 204:232949 --initTime 2016-10-20T19:11:23 --startdatetime 2016-10-20T19:26:26 --delay 1 --endMP 204:163 --enddatetime 2016-10-20T20:06:36 --enforcementcount 0 &gt;&gt;C:\Users\stu\Documents\GitHub\eaglep3-reporting\EC\2016-10-20-refined-times.txt</v>
      </c>
      <c r="AI13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ID","value":"220-20"},{"id":16,"name":"Locomotive ID","value":"4012"},{"id":130,"name":"Impact","value":""},{"id":150,"name":"Time of Event (Mountain Time)","value":"20:06:36"},{"id":151,"name":"Denver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587</v>
      </c>
      <c r="B135" s="7">
        <v>4044</v>
      </c>
      <c r="C135" s="22" t="s">
        <v>99</v>
      </c>
      <c r="D135" s="22" t="s">
        <v>633</v>
      </c>
      <c r="E135" s="13">
        <v>42663.788194444445</v>
      </c>
      <c r="F135" s="13">
        <v>42663.79184027778</v>
      </c>
      <c r="G135" s="7">
        <v>1</v>
      </c>
      <c r="H135" s="13" t="s">
        <v>377</v>
      </c>
      <c r="I135" s="13">
        <v>42663.817847222221</v>
      </c>
      <c r="J135" s="7">
        <v>0</v>
      </c>
      <c r="K135" s="112" t="str">
        <f t="shared" si="23"/>
        <v>4043/4044</v>
      </c>
      <c r="L135" s="22" t="str">
        <f>VLOOKUP(A135,'Trips&amp;Operators'!$C$1:$E$10000,3,FALSE)</f>
        <v>LEVERE</v>
      </c>
      <c r="M135" s="6">
        <f t="shared" si="24"/>
        <v>2.6006944441178348E-2</v>
      </c>
      <c r="N135" s="7">
        <f t="shared" si="40"/>
        <v>37.449999995296821</v>
      </c>
      <c r="O135" s="7"/>
      <c r="P135" s="7"/>
      <c r="Q135" s="23"/>
      <c r="R135" s="23"/>
      <c r="S135" s="35">
        <f t="shared" si="41"/>
        <v>1</v>
      </c>
      <c r="T135" s="50" t="str">
        <f t="shared" si="25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17:55:00-0600',mode:absolute,to:'2016-10-20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27"/>
        <v>N</v>
      </c>
      <c r="X135" s="171">
        <f t="shared" si="28"/>
        <v>1</v>
      </c>
      <c r="Y135" s="67">
        <f t="shared" si="29"/>
        <v>4.6699999999999998E-2</v>
      </c>
      <c r="Z135" s="67">
        <f t="shared" si="39"/>
        <v>23.331</v>
      </c>
      <c r="AA135" s="67">
        <f t="shared" si="30"/>
        <v>23.284299999999998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1"/>
        <v>0221-20</v>
      </c>
      <c r="AE135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5" s="88" t="str">
        <f t="shared" si="33"/>
        <v>"C:\Program Files (x86)\AstroGrep\AstroGrep.exe" /spath="%USERPROFILE%\AppData\Local\Temp\OnboardLogs" /stypes="app*4044*20161021*" /stext=" 01:.+((SYSTEM_STATE.+slice.+state.+changed )|(ment ac)|(system.+state.+changed )|(\[timeout)|(PRM\|1\|D)|(kpr)|(kdp)|(\|lc)|(penalty))" /e /r /s</v>
      </c>
      <c r="AG135" s="1" t="str">
        <f t="shared" si="34"/>
        <v>EC</v>
      </c>
      <c r="AH135" s="92" t="str">
        <f t="shared" si="35"/>
        <v>"%USERPROFILE%\Documents\GitHub\eaglep3\Utilities\RefineRTDCRunTimes.py" --tripid 221-20 --locoid 4044 --swversion DE.1.0.7.0 --startMP 204:467 --initTime 2016-10-20T18:55:00 --startdatetime 2016-10-20T19:00:15 --delay 1 --endMP 204:233310 --enddatetime 2016-10-20T19:37:42 --enforcementcount 0 &gt;&gt;C:\Users\stu\Documents\GitHub\eaglep3-reporting\EC\2016-10-20-refined-times.txt</v>
      </c>
      <c r="AI13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ID","value":"221-20"},{"id":16,"name":"Locomotive ID","value":"4044"},{"id":130,"name":"Impact","value":""},{"id":150,"name":"Time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595</v>
      </c>
      <c r="B136" s="7">
        <v>4043</v>
      </c>
      <c r="C136" s="22" t="s">
        <v>99</v>
      </c>
      <c r="D136" s="22" t="s">
        <v>267</v>
      </c>
      <c r="E136" s="13">
        <v>42663.824363425927</v>
      </c>
      <c r="F136" s="13">
        <v>42663.83079861111</v>
      </c>
      <c r="G136" s="7">
        <v>1</v>
      </c>
      <c r="H136" s="13" t="s">
        <v>229</v>
      </c>
      <c r="I136" s="13">
        <v>42663.857916666668</v>
      </c>
      <c r="J136" s="7">
        <v>0</v>
      </c>
      <c r="K136" s="112" t="str">
        <f t="shared" si="23"/>
        <v>4043/4044</v>
      </c>
      <c r="L136" s="22" t="str">
        <f>VLOOKUP(A136,'Trips&amp;Operators'!$C$1:$E$10000,3,FALSE)</f>
        <v>LEVERE</v>
      </c>
      <c r="M136" s="6">
        <f t="shared" si="24"/>
        <v>2.7118055557366461E-2</v>
      </c>
      <c r="N136" s="7">
        <f t="shared" si="40"/>
        <v>39.050000002607703</v>
      </c>
      <c r="O136" s="7"/>
      <c r="P136" s="7"/>
      <c r="Q136" s="23"/>
      <c r="R136" s="23"/>
      <c r="S136" s="35">
        <f t="shared" si="41"/>
        <v>1</v>
      </c>
      <c r="T136" s="50" t="str">
        <f t="shared" si="25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18:47:05-0600',mode:absolute,to:'2016-10-20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27"/>
        <v>N</v>
      </c>
      <c r="X136" s="171">
        <f t="shared" si="28"/>
        <v>1</v>
      </c>
      <c r="Y136" s="67">
        <f t="shared" si="29"/>
        <v>23.299399999999999</v>
      </c>
      <c r="Z136" s="67">
        <f t="shared" si="39"/>
        <v>1.4999999999999999E-2</v>
      </c>
      <c r="AA136" s="67">
        <f t="shared" si="30"/>
        <v>23.284399999999998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1"/>
        <v>0222-20</v>
      </c>
      <c r="AE136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36" s="88" t="str">
        <f t="shared" si="33"/>
        <v>"C:\Program Files (x86)\AstroGrep\AstroGrep.exe" /spath="%USERPROFILE%\AppData\Local\Temp\OnboardLogs" /stypes="app*4043*20161021*" /stext=" 02:.+((SYSTEM_STATE.+slice.+state.+changed )|(ment ac)|(system.+state.+changed )|(\[timeout)|(PRM\|1\|D)|(kpr)|(kdp)|(\|lc)|(penalty))" /e /r /s</v>
      </c>
      <c r="AG136" s="1" t="str">
        <f t="shared" si="34"/>
        <v>EC</v>
      </c>
      <c r="AH136" s="92" t="str">
        <f t="shared" si="35"/>
        <v>"%USERPROFILE%\Documents\GitHub\eaglep3\Utilities\RefineRTDCRunTimes.py" --tripid 222-20 --locoid 4043 --swversion DE.1.0.7.0 --startMP 204:232994 --initTime 2016-10-20T19:47:05 --startdatetime 2016-10-20T19:56:21 --delay 1 --endMP 204:150 --enddatetime 2016-10-20T20:35:24 --enforcementcount 0 &gt;&gt;C:\Users\stu\Documents\GitHub\eaglep3-reporting\EC\2016-10-20-refined-times.txt</v>
      </c>
      <c r="AI13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ID","value":"222-20"},{"id":16,"name":"Locomotive ID","value":"4043"},{"id":130,"name":"Impact","value":""},{"id":150,"name":"Time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592</v>
      </c>
      <c r="B137" s="7">
        <v>4029</v>
      </c>
      <c r="C137" s="22" t="s">
        <v>99</v>
      </c>
      <c r="D137" s="22" t="s">
        <v>230</v>
      </c>
      <c r="E137" s="13">
        <v>42663.810474537036</v>
      </c>
      <c r="F137" s="13">
        <v>42663.812743055554</v>
      </c>
      <c r="G137" s="7">
        <v>1</v>
      </c>
      <c r="H137" s="13" t="s">
        <v>217</v>
      </c>
      <c r="I137" s="13">
        <v>42663.838680555556</v>
      </c>
      <c r="J137" s="7">
        <v>0</v>
      </c>
      <c r="K137" s="112" t="str">
        <f t="shared" si="23"/>
        <v>4029/4030</v>
      </c>
      <c r="L137" s="22" t="str">
        <f>VLOOKUP(A137,'Trips&amp;Operators'!$C$1:$E$10000,3,FALSE)</f>
        <v>DELGADO</v>
      </c>
      <c r="M137" s="6">
        <f t="shared" si="24"/>
        <v>2.5937500002328306E-2</v>
      </c>
      <c r="N137" s="7">
        <f t="shared" si="40"/>
        <v>37.350000003352761</v>
      </c>
      <c r="O137" s="7"/>
      <c r="P137" s="7"/>
      <c r="Q137" s="23"/>
      <c r="R137" s="23"/>
      <c r="S137" s="35">
        <f t="shared" si="41"/>
        <v>1</v>
      </c>
      <c r="T137" s="50" t="str">
        <f t="shared" si="25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18:27:05-0600',mode:absolute,to:'2016-10-20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27"/>
        <v>N</v>
      </c>
      <c r="X137" s="171">
        <f t="shared" si="28"/>
        <v>1</v>
      </c>
      <c r="Y137" s="67">
        <f t="shared" si="29"/>
        <v>4.4699999999999997E-2</v>
      </c>
      <c r="Z137" s="67">
        <f t="shared" si="39"/>
        <v>23.331399999999999</v>
      </c>
      <c r="AA137" s="67">
        <f t="shared" si="30"/>
        <v>23.2867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1"/>
        <v>0223-20</v>
      </c>
      <c r="AE137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37" s="88" t="str">
        <f t="shared" si="33"/>
        <v>"C:\Program Files (x86)\AstroGrep\AstroGrep.exe" /spath="%USERPROFILE%\AppData\Local\Temp\OnboardLogs" /stypes="app*4029*20161021*" /stext=" 02:.+((SYSTEM_STATE.+slice.+state.+changed )|(ment ac)|(system.+state.+changed )|(\[timeout)|(PRM\|1\|D)|(kpr)|(kdp)|(\|lc)|(penalty))" /e /r /s</v>
      </c>
      <c r="AG137" s="1" t="str">
        <f t="shared" si="34"/>
        <v>EC</v>
      </c>
      <c r="AH137" s="92" t="str">
        <f t="shared" si="35"/>
        <v>"%USERPROFILE%\Documents\GitHub\eaglep3\Utilities\RefineRTDCRunTimes.py" --tripid 223-20 --locoid 4029 --swversion DE.1.0.7.0 --startMP 204:447 --initTime 2016-10-20T19:27:05 --startdatetime 2016-10-20T19:30:21 --delay 1 --endMP 204:233314 --enddatetime 2016-10-20T20:07:42 --enforcementcount 0 &gt;&gt;C:\Users\stu\Documents\GitHub\eaglep3-reporting\EC\2016-10-20-refined-times.txt</v>
      </c>
      <c r="AI13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ID","value":"223-20"},{"id":16,"name":"Locomotive ID","value":"4029"},{"id":130,"name":"Impact","value":""},{"id":150,"name":"Time of Event (Mountain Time)","value":"20:07:42"},{"id":151,"name":"Denver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599</v>
      </c>
      <c r="B138" s="7">
        <v>4030</v>
      </c>
      <c r="C138" s="22" t="s">
        <v>99</v>
      </c>
      <c r="D138" s="22" t="s">
        <v>269</v>
      </c>
      <c r="E138" s="13">
        <v>42663.847731481481</v>
      </c>
      <c r="F138" s="13">
        <v>42663.851585648146</v>
      </c>
      <c r="G138" s="7">
        <v>1</v>
      </c>
      <c r="H138" s="13" t="s">
        <v>380</v>
      </c>
      <c r="I138" s="13">
        <v>42663.879224537035</v>
      </c>
      <c r="J138" s="7">
        <v>0</v>
      </c>
      <c r="K138" s="112" t="str">
        <f t="shared" si="23"/>
        <v>4029/4030</v>
      </c>
      <c r="L138" s="22" t="str">
        <f>VLOOKUP(A138,'Trips&amp;Operators'!$C$1:$E$10000,3,FALSE)</f>
        <v>DELGADO</v>
      </c>
      <c r="M138" s="6">
        <f t="shared" si="24"/>
        <v>2.7638888888759539E-2</v>
      </c>
      <c r="N138" s="7">
        <f t="shared" si="40"/>
        <v>39.799999999813735</v>
      </c>
      <c r="O138" s="7"/>
      <c r="P138" s="7"/>
      <c r="Q138" s="23"/>
      <c r="R138" s="23"/>
      <c r="S138" s="35">
        <f t="shared" si="41"/>
        <v>1</v>
      </c>
      <c r="T138" s="50" t="str">
        <f t="shared" si="25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19:20:44-0600',mode:absolute,to:'2016-10-20 22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27"/>
        <v>N</v>
      </c>
      <c r="X138" s="171">
        <f t="shared" si="28"/>
        <v>1</v>
      </c>
      <c r="Y138" s="67">
        <f t="shared" si="29"/>
        <v>23.299099999999999</v>
      </c>
      <c r="Z138" s="67">
        <f t="shared" ref="Z138:Z159" si="42">RIGHT(H138,LEN(H138)-4)/10000</f>
        <v>1.6899999999999998E-2</v>
      </c>
      <c r="AA138" s="67">
        <f t="shared" si="30"/>
        <v>23.2822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1"/>
        <v>0224-20</v>
      </c>
      <c r="AE138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38" s="88" t="str">
        <f t="shared" si="33"/>
        <v>"C:\Program Files (x86)\AstroGrep\AstroGrep.exe" /spath="%USERPROFILE%\AppData\Local\Temp\OnboardLogs" /stypes="app*4030*20161021*" /stext=" 03:.+((SYSTEM_STATE.+slice.+state.+changed )|(ment ac)|(system.+state.+changed )|(\[timeout)|(PRM\|1\|D)|(kpr)|(kdp)|(\|lc)|(penalty))" /e /r /s</v>
      </c>
      <c r="AG138" s="1" t="str">
        <f t="shared" si="34"/>
        <v>EC</v>
      </c>
      <c r="AH138" s="92" t="str">
        <f t="shared" si="35"/>
        <v>"%USERPROFILE%\Documents\GitHub\eaglep3\Utilities\RefineRTDCRunTimes.py" --tripid 224-20 --locoid 4030 --swversion DE.1.0.7.0 --startMP 204:232991 --initTime 2016-10-20T20:20:44 --startdatetime 2016-10-20T20:26:17 --delay 1 --endMP 204:169 --enddatetime 2016-10-20T21:06:05 --enforcementcount 0 &gt;&gt;C:\Users\stu\Documents\GitHub\eaglep3-reporting\EC\2016-10-20-refined-times.txt</v>
      </c>
      <c r="AI13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ID","value":"224-20"},{"id":16,"name":"Locomotive ID","value":"4030"},{"id":130,"name":"Impact","value":""},{"id":150,"name":"Time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596</v>
      </c>
      <c r="B139" s="7">
        <v>4006</v>
      </c>
      <c r="C139" s="22" t="s">
        <v>99</v>
      </c>
      <c r="D139" s="22" t="s">
        <v>274</v>
      </c>
      <c r="E139" s="13">
        <v>42663.828379629631</v>
      </c>
      <c r="F139" s="13">
        <v>42663.91684027778</v>
      </c>
      <c r="G139" s="7">
        <v>1</v>
      </c>
      <c r="H139" s="13" t="s">
        <v>672</v>
      </c>
      <c r="I139" s="13">
        <v>42663.941284722219</v>
      </c>
      <c r="J139" s="7">
        <v>0</v>
      </c>
      <c r="K139" s="112" t="str">
        <f t="shared" si="23"/>
        <v>4005/4006</v>
      </c>
      <c r="L139" s="22" t="str">
        <f>VLOOKUP(A139,'Trips&amp;Operators'!$C$1:$E$10000,3,FALSE)</f>
        <v>LEVIN</v>
      </c>
      <c r="M139" s="6">
        <f t="shared" si="24"/>
        <v>2.4444444439723156E-2</v>
      </c>
      <c r="N139" s="7">
        <f t="shared" si="40"/>
        <v>35.199999993201345</v>
      </c>
      <c r="O139" s="7"/>
      <c r="P139" s="7"/>
      <c r="Q139" s="23"/>
      <c r="R139" s="23"/>
      <c r="S139" s="35">
        <f t="shared" si="41"/>
        <v>1</v>
      </c>
      <c r="T139" s="50" t="str">
        <f t="shared" si="25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18:52:52-0600',mode:absolute,to:'2016-10-20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9" s="52" t="str">
        <f t="shared" si="27"/>
        <v>N</v>
      </c>
      <c r="X139" s="171">
        <f t="shared" si="28"/>
        <v>1</v>
      </c>
      <c r="Y139" s="67">
        <f t="shared" si="29"/>
        <v>4.4400000000000002E-2</v>
      </c>
      <c r="Z139" s="67">
        <f t="shared" si="42"/>
        <v>23.332699999999999</v>
      </c>
      <c r="AA139" s="67">
        <f t="shared" si="30"/>
        <v>23.2883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1"/>
        <v>0225-20</v>
      </c>
      <c r="AE139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9" s="88" t="str">
        <f t="shared" si="33"/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39" s="1" t="str">
        <f t="shared" si="34"/>
        <v>EC</v>
      </c>
      <c r="AH139" s="92" t="str">
        <f t="shared" si="35"/>
        <v>"%USERPROFILE%\Documents\GitHub\eaglep3\Utilities\RefineRTDCRunTimes.py" --tripid 225-20 --locoid 4006 --swversion DE.1.0.7.0 --startMP 204:444 --initTime 2016-10-20T19:52:52 --startdatetime 2016-10-20T22:00:15 --delay 1 --endMP 204:233327 --enddatetime 2016-10-20T22:35:27 --enforcementcount 0 &gt;&gt;C:\Users\stu\Documents\GitHub\eaglep3-reporting\EC\2016-10-20-refined-times.txt</v>
      </c>
      <c r="AI13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{"issue":{"subject":"","project_id":79,"tracker_id":40,"status_id":1,"priority_id":2,"assigned_to_id":23,"start_date":"2016-10-20","description":"","custom_fields":[{"id":1,"name":"Subdivision","value":"EC"},{"id":4,"name":"Milepost","value":"23.3327"},{"id":17,"name":"Train ID","value":"225-20"},{"id":16,"name":"Locomotive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432</v>
      </c>
      <c r="B140" s="7">
        <v>4005</v>
      </c>
      <c r="C140" s="22" t="s">
        <v>99</v>
      </c>
      <c r="D140" s="22" t="s">
        <v>381</v>
      </c>
      <c r="E140" s="13">
        <v>42663.8672337963</v>
      </c>
      <c r="F140" s="13">
        <v>42663.872824074075</v>
      </c>
      <c r="G140" s="7">
        <v>7</v>
      </c>
      <c r="H140" s="13" t="s">
        <v>378</v>
      </c>
      <c r="I140" s="13">
        <v>42663.901365740741</v>
      </c>
      <c r="J140" s="7">
        <v>0</v>
      </c>
      <c r="K140" s="112" t="str">
        <f t="shared" si="23"/>
        <v>4005/4006</v>
      </c>
      <c r="L140" s="22" t="str">
        <f>VLOOKUP(A140,'Trips&amp;Operators'!$C$1:$E$10000,3,FALSE)</f>
        <v>LEVIN</v>
      </c>
      <c r="M140" s="6">
        <f t="shared" si="24"/>
        <v>2.8541666666569654E-2</v>
      </c>
      <c r="N140" s="7">
        <f t="shared" si="40"/>
        <v>41.099999999860302</v>
      </c>
      <c r="O140" s="7"/>
      <c r="P140" s="7"/>
      <c r="Q140" s="23"/>
      <c r="R140" s="23"/>
      <c r="S140" s="35">
        <f t="shared" si="41"/>
        <v>1</v>
      </c>
      <c r="T140" s="50" t="str">
        <f t="shared" si="25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0" s="52" t="str">
        <f t="shared" si="27"/>
        <v>N</v>
      </c>
      <c r="X140" s="171">
        <f t="shared" si="28"/>
        <v>1</v>
      </c>
      <c r="Y140" s="67">
        <f t="shared" si="29"/>
        <v>23.301100000000002</v>
      </c>
      <c r="Z140" s="67">
        <f t="shared" si="42"/>
        <v>1.7999999999999999E-2</v>
      </c>
      <c r="AA140" s="67">
        <f t="shared" si="30"/>
        <v>23.283100000000001</v>
      </c>
      <c r="AB140" s="64" t="str">
        <f>VLOOKUP(A140,Enforcements!$C$7:$K$21,8,0)</f>
        <v>Speed (6)</v>
      </c>
      <c r="AC140" s="60" t="str">
        <f>VLOOKUP(A140,Enforcements!$C$7:$E$21,3,0)</f>
        <v>PERMANENT SPEED RESTRICTION</v>
      </c>
      <c r="AD140" s="61" t="str">
        <f t="shared" si="31"/>
        <v>0226-20</v>
      </c>
      <c r="AE140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0" s="88" t="str">
        <f t="shared" si="33"/>
        <v>"C:\Program Files (x86)\AstroGrep\AstroGrep.exe" /spath="%USERPROFILE%\AppData\Local\Temp\OnboardLogs" /stypes="app*4005*20161021*" /stext=" 03:.+((SYSTEM_STATE.+slice.+state.+changed )|(ment ac)|(system.+state.+changed )|(\[timeout)|(PRM\|1\|D)|(kpr)|(kdp)|(\|lc)|(penalty))" /e /r /s</v>
      </c>
      <c r="AG140" s="1" t="str">
        <f t="shared" si="34"/>
        <v>EC</v>
      </c>
      <c r="AH140" s="92" t="str">
        <f t="shared" si="35"/>
        <v>"%USERPROFILE%\Documents\GitHub\eaglep3\Utilities\RefineRTDCRunTimes.py" --tripid 226-20 --locoid 4005 --swversion DE.1.0.7.0 --startMP 204:233011 --initTime 2016-10-20T20:48:49 --startdatetime 2016-10-20T20:56:52 --delay 7 --endMP 204:180 --enddatetime 2016-10-20T21:37:58 --enforcementcount 0 &gt;&gt;C:\Users\stu\Documents\GitHub\eaglep3-reporting\EC\2016-10-20-refined-times.txt</v>
      </c>
      <c r="AI14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{"issue":{"subject":"","project_id":79,"tracker_id":40,"status_id":1,"priority_id":2,"assigned_to_id":23,"start_date":"2016-10-20","description":"","custom_fields":[{"id":1,"name":"Subdivision","value":"EC"},{"id":4,"name":"Milepost","value":"0.018"},{"id":17,"name":"Train ID","value":"226-20"},{"id":16,"name":"Locomotive ID","value":"4005"},{"id":130,"name":"Impact","value":""},{"id":150,"name":"Time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598</v>
      </c>
      <c r="B141" s="7">
        <v>4011</v>
      </c>
      <c r="C141" s="22" t="s">
        <v>99</v>
      </c>
      <c r="D141" s="22" t="s">
        <v>225</v>
      </c>
      <c r="E141" s="13">
        <v>42663.844502314816</v>
      </c>
      <c r="F141" s="13">
        <v>42663.854386574072</v>
      </c>
      <c r="G141" s="7">
        <v>2</v>
      </c>
      <c r="H141" s="13" t="s">
        <v>279</v>
      </c>
      <c r="I141" s="13">
        <v>42663.881331018521</v>
      </c>
      <c r="J141" s="7">
        <v>0</v>
      </c>
      <c r="K141" s="112" t="str">
        <f t="shared" ref="K141:K204" si="43">IF(ISEVEN(B141),(B141-1)&amp;"/"&amp;B141,B141&amp;"/"&amp;(B141+1))</f>
        <v>4011/4012</v>
      </c>
      <c r="L141" s="22" t="str">
        <f>VLOOKUP(A141,'Trips&amp;Operators'!$C$1:$E$10000,3,FALSE)</f>
        <v>STURGEON</v>
      </c>
      <c r="M141" s="6">
        <f t="shared" ref="M141:M204" si="44">I141-F141</f>
        <v>2.694444444932742E-2</v>
      </c>
      <c r="N141" s="7">
        <f t="shared" si="40"/>
        <v>38.800000007031485</v>
      </c>
      <c r="O141" s="7"/>
      <c r="P141" s="7"/>
      <c r="Q141" s="23"/>
      <c r="R141" s="23"/>
      <c r="S141" s="35">
        <f t="shared" si="41"/>
        <v>1</v>
      </c>
      <c r="T141" s="50" t="str">
        <f t="shared" ref="T141:T204" si="45"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https://search-rtdc-monitor-bjffxe2xuh6vdkpspy63sjmuny.us-east-1.es.amazonaws.com/_plugin/kibana/#/discover/Steve-Slow-Train-Analysis-(2080s-and-2083s)?_g=(refreshInterval:(display:Off,section:0,value:0),time:(from:'2016-10-20 19:16:05-0600',mode:absolute,to:'2016-10-20 22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1" s="52" t="str">
        <f t="shared" ref="W141:W204" si="47">IF(AA141&lt;IF(AG141="EC",23,5.65),"Y","N")</f>
        <v>N</v>
      </c>
      <c r="X141" s="171">
        <f t="shared" ref="X141:X204" si="48">VALUE(LEFT(AD141,4))-VALUE(LEFT(AD140,4))</f>
        <v>1</v>
      </c>
      <c r="Y141" s="67">
        <f t="shared" ref="Y141:Y204" si="49">RIGHT(D141,LEN(D141)-4)/10000</f>
        <v>4.58E-2</v>
      </c>
      <c r="Z141" s="67">
        <f t="shared" si="42"/>
        <v>23.3308</v>
      </c>
      <c r="AA141" s="67">
        <f t="shared" ref="AA141:AA204" si="50">ABS(Z141-Y141)</f>
        <v>23.285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1">IF(LEN(A141)=6,"0"&amp;A141,A141)</f>
        <v>0227-20</v>
      </c>
      <c r="AE141" s="91" t="str">
        <f t="shared" ref="AE141:AE204" si="5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1" s="88" t="str">
        <f t="shared" ref="AF141:AF204" si="5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/stypes="app*4011*20161021*" /stext=" 03:.+((SYSTEM_STATE.+slice.+state.+changed )|(ment ac)|(system.+state.+changed )|(\[timeout)|(PRM\|1\|D)|(kpr)|(kdp)|(\|lc)|(penalty))"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92" t="str">
        <f t="shared" si="35"/>
        <v>"%USERPROFILE%\Documents\GitHub\eaglep3\Utilities\RefineRTDCRunTimes.py" --tripid 227-20 --locoid 4011 --swversion DE.1.0.7.0 --startMP 204:458 --initTime 2016-10-20T20:16:05 --startdatetime 2016-10-20T20:30:19 --delay 2 --endMP 204:233308 --enddatetime 2016-10-20T21:09:07 --enforcementcount 0 &gt;&gt;C:\Users\stu\Documents\GitHub\eaglep3-reporting\EC\2016-10-20-refined-times.txt</v>
      </c>
      <c r="AI14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ID","value":"227-20"},{"id":16,"name":"Locomotive ID","value":"4011"},{"id":130,"name":"Impact","value":""},{"id":150,"name":"Time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602</v>
      </c>
      <c r="B142" s="7">
        <v>4012</v>
      </c>
      <c r="C142" s="22" t="s">
        <v>99</v>
      </c>
      <c r="D142" s="22" t="s">
        <v>269</v>
      </c>
      <c r="E142" s="13">
        <v>42663.885833333334</v>
      </c>
      <c r="F142" s="13">
        <v>42663.893287037034</v>
      </c>
      <c r="G142" s="7">
        <v>2</v>
      </c>
      <c r="H142" s="13" t="s">
        <v>283</v>
      </c>
      <c r="I142" s="13">
        <v>42663.922430555554</v>
      </c>
      <c r="J142" s="7">
        <v>0</v>
      </c>
      <c r="K142" s="112" t="str">
        <f t="shared" si="43"/>
        <v>4011/4012</v>
      </c>
      <c r="L142" s="22" t="str">
        <f>VLOOKUP(A142,'Trips&amp;Operators'!$C$1:$E$10000,3,FALSE)</f>
        <v>STURGEON</v>
      </c>
      <c r="M142" s="6">
        <f t="shared" si="44"/>
        <v>2.9143518520868383E-2</v>
      </c>
      <c r="N142" s="7">
        <f t="shared" si="40"/>
        <v>41.966666670050472</v>
      </c>
      <c r="O142" s="7"/>
      <c r="P142" s="7"/>
      <c r="Q142" s="23"/>
      <c r="R142" s="23"/>
      <c r="S142" s="35">
        <f t="shared" si="41"/>
        <v>1</v>
      </c>
      <c r="T142" s="50" t="str">
        <f t="shared" si="45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20:15:36-0600',mode:absolute,to:'2016-10-20 23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2" s="52" t="str">
        <f t="shared" si="47"/>
        <v>N</v>
      </c>
      <c r="X142" s="171">
        <f t="shared" si="48"/>
        <v>1</v>
      </c>
      <c r="Y142" s="67">
        <f t="shared" si="49"/>
        <v>23.299099999999999</v>
      </c>
      <c r="Z142" s="67">
        <f t="shared" si="42"/>
        <v>1.3899999999999999E-2</v>
      </c>
      <c r="AA142" s="67">
        <f t="shared" si="50"/>
        <v>23.2852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1"/>
        <v>0228-20</v>
      </c>
      <c r="AE142" s="91" t="str">
        <f t="shared" si="5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42" s="88" t="str">
        <f t="shared" si="53"/>
        <v>"C:\Program Files (x86)\AstroGrep\AstroGrep.exe" /spath="%USERPROFILE%\AppData\Local\Temp\OnboardLogs" /stypes="app*4012*20161021*" /stext=" 04:.+((SYSTEM_STATE.+slice.+state.+changed )|(ment ac)|(system.+state.+changed )|(\[timeout)|(PRM\|1\|D)|(kpr)|(kdp)|(\|lc)|(penalty))" /e /r /s</v>
      </c>
      <c r="AG142" s="1" t="str">
        <f t="shared" si="54"/>
        <v>EC</v>
      </c>
      <c r="AH142" s="92" t="str">
        <f t="shared" ref="AH142:AH205" si="5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228-20 --locoid 4012 --swversion DE.1.0.7.0 --startMP 204:232991 --initTime 2016-10-20T21:15:36 --startdatetime 2016-10-20T21:26:20 --delay 2 --endMP 204:139 --enddatetime 2016-10-20T22:08:18 --enforcementcount 0 &gt;&gt;C:\Users\stu\Documents\GitHub\eaglep3-reporting\EC\2016-10-20-refined-times.txt</v>
      </c>
      <c r="AI142" s="122" t="str">
        <f t="shared" ref="AI142:AI205" si="5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ID","value":"228-20"},{"id":16,"name":"Locomotive ID","value":"4012"},{"id":130,"name":"Impact","value":""},{"id":150,"name":"Time of Event (Mountain Time)","value":"22:08:18"},{"id":151,"name":"Denver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601</v>
      </c>
      <c r="B143" s="7">
        <v>4044</v>
      </c>
      <c r="C143" s="22" t="s">
        <v>99</v>
      </c>
      <c r="D143" s="22" t="s">
        <v>225</v>
      </c>
      <c r="E143" s="13">
        <v>42663.866493055553</v>
      </c>
      <c r="F143" s="13">
        <v>42663.875196759262</v>
      </c>
      <c r="G143" s="7">
        <v>1</v>
      </c>
      <c r="H143" s="13" t="s">
        <v>383</v>
      </c>
      <c r="I143" s="13">
        <v>42663.901655092595</v>
      </c>
      <c r="J143" s="7">
        <v>0</v>
      </c>
      <c r="K143" s="112" t="str">
        <f t="shared" si="43"/>
        <v>4043/4044</v>
      </c>
      <c r="L143" s="22" t="str">
        <f>VLOOKUP(A143,'Trips&amp;Operators'!$C$1:$E$10000,3,FALSE)</f>
        <v>LEVERE</v>
      </c>
      <c r="M143" s="6">
        <f t="shared" si="44"/>
        <v>2.6458333333721384E-2</v>
      </c>
      <c r="N143" s="7">
        <f t="shared" si="40"/>
        <v>38.100000000558794</v>
      </c>
      <c r="O143" s="7"/>
      <c r="P143" s="7"/>
      <c r="Q143" s="23"/>
      <c r="R143" s="23"/>
      <c r="S143" s="35">
        <f t="shared" si="41"/>
        <v>1</v>
      </c>
      <c r="T143" s="50" t="str">
        <f t="shared" si="45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19:47:45-0600',mode:absolute,to:'2016-10-20 22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47"/>
        <v>N</v>
      </c>
      <c r="X143" s="171">
        <f t="shared" si="48"/>
        <v>1</v>
      </c>
      <c r="Y143" s="67">
        <f t="shared" si="49"/>
        <v>4.58E-2</v>
      </c>
      <c r="Z143" s="67">
        <f t="shared" si="42"/>
        <v>23.327000000000002</v>
      </c>
      <c r="AA143" s="67">
        <f t="shared" si="50"/>
        <v>23.281200000000002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1"/>
        <v>0229-20</v>
      </c>
      <c r="AE143" s="91" t="str">
        <f t="shared" si="5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43" s="88" t="str">
        <f t="shared" si="53"/>
        <v>"C:\Program Files (x86)\AstroGrep\AstroGrep.exe" /spath="%USERPROFILE%\AppData\Local\Temp\OnboardLogs" /stypes="app*4044*20161021*" /stext=" 03:.+((SYSTEM_STATE.+slice.+state.+changed )|(ment ac)|(system.+state.+changed )|(\[timeout)|(PRM\|1\|D)|(kpr)|(kdp)|(\|lc)|(penalty))" /e /r /s</v>
      </c>
      <c r="AG143" s="1" t="str">
        <f t="shared" si="54"/>
        <v>EC</v>
      </c>
      <c r="AH143" s="92" t="str">
        <f t="shared" si="55"/>
        <v>"%USERPROFILE%\Documents\GitHub\eaglep3\Utilities\RefineRTDCRunTimes.py" --tripid 229-20 --locoid 4044 --swversion DE.1.0.7.0 --startMP 204:458 --initTime 2016-10-20T20:47:45 --startdatetime 2016-10-20T21:00:17 --delay 1 --endMP 204:233270 --enddatetime 2016-10-20T21:38:23 --enforcementcount 0 &gt;&gt;C:\Users\stu\Documents\GitHub\eaglep3-reporting\EC\2016-10-20-refined-times.txt</v>
      </c>
      <c r="AI143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{"issue":{"subject":"","project_id":79,"tracker_id":40,"status_id":1,"priority_id":2,"assigned_to_id":23,"start_date":"2016-10-20","description":"","custom_fields":[{"id":1,"name":"Subdivision","value":"EC"},{"id":4,"name":"Milepost","value":"23.327"},{"id":17,"name":"Train ID","value":"229-20"},{"id":16,"name":"Locomotive ID","value":"4044"},{"id":130,"name":"Impact","value":""},{"id":150,"name":"Time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607</v>
      </c>
      <c r="B144" s="7">
        <v>4043</v>
      </c>
      <c r="C144" s="22" t="s">
        <v>99</v>
      </c>
      <c r="D144" s="22" t="s">
        <v>264</v>
      </c>
      <c r="E144" s="13">
        <v>42663.909884259258</v>
      </c>
      <c r="F144" s="13">
        <v>42663.914074074077</v>
      </c>
      <c r="G144" s="7">
        <v>1</v>
      </c>
      <c r="H144" s="13" t="s">
        <v>306</v>
      </c>
      <c r="I144" s="13">
        <v>42663.941041666665</v>
      </c>
      <c r="J144" s="7">
        <v>0</v>
      </c>
      <c r="K144" s="112" t="str">
        <f t="shared" si="43"/>
        <v>4043/4044</v>
      </c>
      <c r="L144" s="22" t="str">
        <f>VLOOKUP(A144,'Trips&amp;Operators'!$C$1:$E$10000,3,FALSE)</f>
        <v>LEVERE</v>
      </c>
      <c r="M144" s="6">
        <f t="shared" si="44"/>
        <v>2.696759258833481E-2</v>
      </c>
      <c r="N144" s="7">
        <f t="shared" si="40"/>
        <v>38.833333327202126</v>
      </c>
      <c r="O144" s="7"/>
      <c r="P144" s="7"/>
      <c r="Q144" s="23"/>
      <c r="R144" s="23"/>
      <c r="S144" s="35">
        <f t="shared" si="41"/>
        <v>1</v>
      </c>
      <c r="T144" s="50" t="str">
        <f t="shared" si="45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20:50:14-0600',mode:absolute,to:'2016-10-20 23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47"/>
        <v>N</v>
      </c>
      <c r="X144" s="171">
        <f t="shared" si="48"/>
        <v>1</v>
      </c>
      <c r="Y144" s="67">
        <f t="shared" si="49"/>
        <v>23.297699999999999</v>
      </c>
      <c r="Z144" s="67">
        <f t="shared" si="42"/>
        <v>1.38E-2</v>
      </c>
      <c r="AA144" s="67">
        <f t="shared" si="50"/>
        <v>23.283899999999999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1"/>
        <v>0230-20</v>
      </c>
      <c r="AE144" s="91" t="str">
        <f t="shared" si="5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44" s="88" t="str">
        <f t="shared" si="53"/>
        <v>"C:\Program Files (x86)\AstroGrep\AstroGrep.exe" /spath="%USERPROFILE%\AppData\Local\Temp\OnboardLogs" /stypes="app*4043*20161021*" /stext=" 04:.+((SYSTEM_STATE.+slice.+state.+changed )|(ment ac)|(system.+state.+changed )|(\[timeout)|(PRM\|1\|D)|(kpr)|(kdp)|(\|lc)|(penalty))" /e /r /s</v>
      </c>
      <c r="AG144" s="1" t="str">
        <f t="shared" si="54"/>
        <v>EC</v>
      </c>
      <c r="AH144" s="92" t="str">
        <f t="shared" si="55"/>
        <v>"%USERPROFILE%\Documents\GitHub\eaglep3\Utilities\RefineRTDCRunTimes.py" --tripid 230-20 --locoid 4043 --swversion DE.1.0.7.0 --startMP 204:232977 --initTime 2016-10-20T21:50:14 --startdatetime 2016-10-20T21:56:16 --delay 1 --endMP 204:138 --enddatetime 2016-10-20T22:35:06 --enforcementcount 0 &gt;&gt;C:\Users\stu\Documents\GitHub\eaglep3-reporting\EC\2016-10-20-refined-times.txt</v>
      </c>
      <c r="AI144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ID","value":"230-20"},{"id":16,"name":"Locomotive ID","value":"4043"},{"id":130,"name":"Impact","value":""},{"id":150,"name":"Time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604</v>
      </c>
      <c r="B145" s="7">
        <v>4029</v>
      </c>
      <c r="C145" s="22" t="s">
        <v>99</v>
      </c>
      <c r="D145" s="22" t="s">
        <v>238</v>
      </c>
      <c r="E145" s="13">
        <v>42663.887488425928</v>
      </c>
      <c r="F145" s="13">
        <v>42663.896053240744</v>
      </c>
      <c r="G145" s="7">
        <v>1</v>
      </c>
      <c r="H145" s="13" t="s">
        <v>279</v>
      </c>
      <c r="I145" s="13">
        <v>42663.921863425923</v>
      </c>
      <c r="J145" s="7">
        <v>0</v>
      </c>
      <c r="K145" s="112" t="str">
        <f t="shared" si="43"/>
        <v>4029/4030</v>
      </c>
      <c r="L145" s="22" t="str">
        <f>VLOOKUP(A145,'Trips&amp;Operators'!$C$1:$E$10000,3,FALSE)</f>
        <v>DELGADO</v>
      </c>
      <c r="M145" s="6">
        <f t="shared" si="44"/>
        <v>2.5810185179580003E-2</v>
      </c>
      <c r="N145" s="7">
        <f t="shared" si="40"/>
        <v>37.166666658595204</v>
      </c>
      <c r="O145" s="7"/>
      <c r="P145" s="7"/>
      <c r="Q145" s="23"/>
      <c r="R145" s="23"/>
      <c r="S145" s="35">
        <f t="shared" si="41"/>
        <v>1</v>
      </c>
      <c r="T145" s="50" t="str">
        <f t="shared" si="45"/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20:17:59-0600',mode:absolute,to:'2016-10-20 23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47"/>
        <v>N</v>
      </c>
      <c r="X145" s="171">
        <f t="shared" si="48"/>
        <v>1</v>
      </c>
      <c r="Y145" s="67">
        <f t="shared" si="49"/>
        <v>4.6600000000000003E-2</v>
      </c>
      <c r="Z145" s="67">
        <f t="shared" si="42"/>
        <v>23.3308</v>
      </c>
      <c r="AA145" s="67">
        <f t="shared" si="50"/>
        <v>23.284199999999998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1"/>
        <v>0231-20</v>
      </c>
      <c r="AE145" s="91" t="str">
        <f t="shared" si="5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45" s="88" t="str">
        <f t="shared" si="53"/>
        <v>"C:\Program Files (x86)\AstroGrep\AstroGrep.exe" /spath="%USERPROFILE%\AppData\Local\Temp\OnboardLogs" /stypes="app*4029*20161021*" /stext=" 04:.+((SYSTEM_STATE.+slice.+state.+changed )|(ment ac)|(system.+state.+changed )|(\[timeout)|(PRM\|1\|D)|(kpr)|(kdp)|(\|lc)|(penalty))" /e /r /s</v>
      </c>
      <c r="AG145" s="1" t="str">
        <f t="shared" si="54"/>
        <v>EC</v>
      </c>
      <c r="AH145" s="92" t="str">
        <f t="shared" si="55"/>
        <v>"%USERPROFILE%\Documents\GitHub\eaglep3\Utilities\RefineRTDCRunTimes.py" --tripid 231-20 --locoid 4029 --swversion DE.1.0.7.0 --startMP 204:466 --initTime 2016-10-20T21:17:59 --startdatetime 2016-10-20T21:30:19 --delay 1 --endMP 204:233308 --enddatetime 2016-10-20T22:07:29 --enforcementcount 0 &gt;&gt;C:\Users\stu\Documents\GitHub\eaglep3-reporting\EC\2016-10-20-refined-times.txt</v>
      </c>
      <c r="AI145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ID","value":"231-20"},{"id":16,"name":"Locomotive ID","value":"4029"},{"id":130,"name":"Impact","value":""},{"id":150,"name":"Time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4030</v>
      </c>
      <c r="C146" s="22" t="s">
        <v>99</v>
      </c>
      <c r="D146" s="22" t="s">
        <v>269</v>
      </c>
      <c r="E146" s="13">
        <v>42663.929375</v>
      </c>
      <c r="F146" s="13">
        <v>42663.934976851851</v>
      </c>
      <c r="G146" s="7">
        <v>1</v>
      </c>
      <c r="H146" s="13" t="s">
        <v>673</v>
      </c>
      <c r="I146" s="13">
        <v>42663.962060185186</v>
      </c>
      <c r="J146" s="7">
        <v>0</v>
      </c>
      <c r="K146" s="112" t="str">
        <f t="shared" si="43"/>
        <v>4029/4030</v>
      </c>
      <c r="L146" s="22" t="str">
        <f>VLOOKUP(A146,'Trips&amp;Operators'!$C$1:$E$10000,3,FALSE)</f>
        <v>DELGADO</v>
      </c>
      <c r="M146" s="6">
        <f t="shared" si="44"/>
        <v>2.7083333334303461E-2</v>
      </c>
      <c r="N146" s="7">
        <f t="shared" si="40"/>
        <v>39.000000001396984</v>
      </c>
      <c r="O146" s="7"/>
      <c r="P146" s="7"/>
      <c r="Q146" s="23"/>
      <c r="R146" s="23"/>
      <c r="S146" s="35">
        <f t="shared" si="41"/>
        <v>1</v>
      </c>
      <c r="T146" s="50" t="str">
        <f t="shared" si="45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21:18:18-0600',mode:absolute,to:'2016-10-21 00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47"/>
        <v>N</v>
      </c>
      <c r="X146" s="171">
        <f t="shared" si="48"/>
        <v>1</v>
      </c>
      <c r="Y146" s="67">
        <f t="shared" si="49"/>
        <v>23.299099999999999</v>
      </c>
      <c r="Z146" s="67">
        <f t="shared" si="42"/>
        <v>1.78E-2</v>
      </c>
      <c r="AA146" s="67">
        <f t="shared" si="50"/>
        <v>23.281299999999998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1"/>
        <v>0232-20</v>
      </c>
      <c r="AE146" s="91" t="str">
        <f t="shared" si="5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6" s="88" t="str">
        <f t="shared" si="53"/>
        <v>"C:\Program Files (x86)\AstroGrep\AstroGrep.exe" /spath="%USERPROFILE%\AppData\Local\Temp\OnboardLogs" /stypes="app*4030*20161021*" /stext=" 05:.+((SYSTEM_STATE.+slice.+state.+changed )|(ment ac)|(system.+state.+changed )|(\[timeout)|(PRM\|1\|D)|(kpr)|(kdp)|(\|lc)|(penalty))" /e /r /s</v>
      </c>
      <c r="AG146" s="1" t="str">
        <f t="shared" si="54"/>
        <v>EC</v>
      </c>
      <c r="AH146" s="92" t="str">
        <f t="shared" si="55"/>
        <v>"%USERPROFILE%\Documents\GitHub\eaglep3\Utilities\RefineRTDCRunTimes.py" --tripid 232-20 --locoid 4030 --swversion DE.1.0.7.0 --startMP 204:232991 --initTime 2016-10-20T22:18:18 --startdatetime 2016-10-20T22:26:22 --delay 1 --endMP 204:178 --enddatetime 2016-10-20T23:05:22 --enforcementcount 0 &gt;&gt;C:\Users\stu\Documents\GitHub\eaglep3-reporting\EC\2016-10-20-refined-times.txt</v>
      </c>
      <c r="AI146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{"issue":{"subject":"","project_id":79,"tracker_id":40,"status_id":1,"priority_id":2,"assigned_to_id":23,"start_date":"2016-10-20","description":"","custom_fields":[{"id":1,"name":"Subdivision","value":"EC"},{"id":4,"name":"Milepost","value":"0.0178"},{"id":17,"name":"Train ID","value":"232-20"},{"id":16,"name":"Locomotive ID","value":"4030"},{"id":130,"name":"Impact","value":""},{"id":150,"name":"Time of Event (Mountain Time)","value":"23:05:22"},{"id":151,"name":"Denver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606</v>
      </c>
      <c r="B147" s="7">
        <v>4006</v>
      </c>
      <c r="C147" s="22" t="s">
        <v>99</v>
      </c>
      <c r="D147" s="22" t="s">
        <v>351</v>
      </c>
      <c r="E147" s="13">
        <v>42663.907766203702</v>
      </c>
      <c r="F147" s="13">
        <v>42663.91684027778</v>
      </c>
      <c r="G147" s="7">
        <v>1</v>
      </c>
      <c r="H147" s="13" t="s">
        <v>279</v>
      </c>
      <c r="I147" s="13">
        <v>42663.941284722219</v>
      </c>
      <c r="J147" s="7">
        <v>0</v>
      </c>
      <c r="K147" s="112" t="str">
        <f t="shared" si="43"/>
        <v>4005/4006</v>
      </c>
      <c r="L147" s="22" t="str">
        <f>VLOOKUP(A147,'Trips&amp;Operators'!$C$1:$E$10000,3,FALSE)</f>
        <v>LEVIN</v>
      </c>
      <c r="M147" s="6">
        <f t="shared" si="44"/>
        <v>2.4444444439723156E-2</v>
      </c>
      <c r="N147" s="7">
        <f t="shared" si="40"/>
        <v>35.199999993201345</v>
      </c>
      <c r="O147" s="7"/>
      <c r="P147" s="7"/>
      <c r="Q147" s="23"/>
      <c r="R147" s="23"/>
      <c r="S147" s="35">
        <f t="shared" si="41"/>
        <v>1</v>
      </c>
      <c r="T147" s="50" t="str">
        <f t="shared" si="45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20:47:11-0600',mode:absolute,to:'2016-10-20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7" s="52" t="str">
        <f t="shared" si="47"/>
        <v>N</v>
      </c>
      <c r="X147" s="171">
        <f t="shared" si="48"/>
        <v>1</v>
      </c>
      <c r="Y147" s="67">
        <f t="shared" si="49"/>
        <v>4.8000000000000001E-2</v>
      </c>
      <c r="Z147" s="67">
        <f t="shared" si="42"/>
        <v>23.3308</v>
      </c>
      <c r="AA147" s="67">
        <f t="shared" si="50"/>
        <v>23.282800000000002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1"/>
        <v>0233-20</v>
      </c>
      <c r="AE147" s="91" t="str">
        <f t="shared" si="5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47" s="88" t="str">
        <f t="shared" si="53"/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47" s="1" t="str">
        <f t="shared" si="54"/>
        <v>EC</v>
      </c>
      <c r="AH147" s="92" t="str">
        <f t="shared" si="55"/>
        <v>"%USERPROFILE%\Documents\GitHub\eaglep3\Utilities\RefineRTDCRunTimes.py" --tripid 233-20 --locoid 4006 --swversion DE.1.0.7.0 --startMP 204:480 --initTime 2016-10-20T21:47:11 --startdatetime 2016-10-20T22:00:15 --delay 1 --endMP 204:233308 --enddatetime 2016-10-20T22:35:27 --enforcementcount 0 &gt;&gt;C:\Users\stu\Documents\GitHub\eaglep3-reporting\EC\2016-10-20-refined-times.txt</v>
      </c>
      <c r="AI147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ID","value":"233-20"},{"id":16,"name":"Locomotive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612</v>
      </c>
      <c r="B148" s="7">
        <v>4005</v>
      </c>
      <c r="C148" s="22" t="s">
        <v>99</v>
      </c>
      <c r="D148" s="22" t="s">
        <v>674</v>
      </c>
      <c r="E148" s="13">
        <v>42663.94390046296</v>
      </c>
      <c r="F148" s="13">
        <v>42663.955729166664</v>
      </c>
      <c r="G148" s="7">
        <v>2</v>
      </c>
      <c r="H148" s="13" t="s">
        <v>176</v>
      </c>
      <c r="I148" s="13">
        <v>42663.982708333337</v>
      </c>
      <c r="J148" s="7">
        <v>0</v>
      </c>
      <c r="K148" s="112" t="str">
        <f t="shared" si="43"/>
        <v>4005/4006</v>
      </c>
      <c r="L148" s="22" t="str">
        <f>VLOOKUP(A148,'Trips&amp;Operators'!$C$1:$E$10000,3,FALSE)</f>
        <v>LEVIN</v>
      </c>
      <c r="M148" s="6">
        <f t="shared" si="44"/>
        <v>2.697916667239042E-2</v>
      </c>
      <c r="N148" s="7">
        <f t="shared" si="40"/>
        <v>38.850000008242205</v>
      </c>
      <c r="O148" s="7"/>
      <c r="P148" s="7"/>
      <c r="Q148" s="23"/>
      <c r="R148" s="23"/>
      <c r="S148" s="35">
        <f t="shared" ref="S148:S179" si="57">SUM(U148:U148)/IF(AG148="EC",12,1)</f>
        <v>1</v>
      </c>
      <c r="T148" s="50" t="str">
        <f t="shared" si="45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21:39:13-0600',mode:absolute,to:'2016-10-21 00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8" s="52" t="str">
        <f t="shared" si="47"/>
        <v>N</v>
      </c>
      <c r="X148" s="171">
        <f t="shared" si="48"/>
        <v>1</v>
      </c>
      <c r="Y148" s="67">
        <f t="shared" si="49"/>
        <v>23.3002</v>
      </c>
      <c r="Z148" s="67">
        <f t="shared" si="42"/>
        <v>1.47E-2</v>
      </c>
      <c r="AA148" s="67">
        <f t="shared" si="50"/>
        <v>23.285499999999999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1"/>
        <v>0234-20</v>
      </c>
      <c r="AE148" s="91" t="str">
        <f t="shared" si="5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8" s="88" t="str">
        <f t="shared" si="53"/>
        <v>"C:\Program Files (x86)\AstroGrep\AstroGrep.exe" /spath="%USERPROFILE%\AppData\Local\Temp\OnboardLogs" /stypes="app*4005*20161021*" /stext=" 05:.+((SYSTEM_STATE.+slice.+state.+changed )|(ment ac)|(system.+state.+changed )|(\[timeout)|(PRM\|1\|D)|(kpr)|(kdp)|(\|lc)|(penalty))" /e /r /s</v>
      </c>
      <c r="AG148" s="1" t="str">
        <f t="shared" si="54"/>
        <v>EC</v>
      </c>
      <c r="AH148" s="92" t="str">
        <f t="shared" si="55"/>
        <v>"%USERPROFILE%\Documents\GitHub\eaglep3\Utilities\RefineRTDCRunTimes.py" --tripid 234-20 --locoid 4005 --swversion DE.1.0.7.0 --startMP 204:233002 --initTime 2016-10-20T22:39:13 --startdatetime 2016-10-20T22:56:15 --delay 2 --endMP 204:147 --enddatetime 2016-10-20T23:35:06 --enforcementcount 0 &gt;&gt;C:\Users\stu\Documents\GitHub\eaglep3-reporting\EC\2016-10-20-refined-times.txt</v>
      </c>
      <c r="AI148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ID","value":"234-20"},{"id":16,"name":"Locomotive ID","value":"4005"},{"id":130,"name":"Impact","value":""},{"id":150,"name":"Time of Event (Mountain Time)","value":"23:35:06"},{"id":151,"name":"Denver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609</v>
      </c>
      <c r="B149" s="7">
        <v>4011</v>
      </c>
      <c r="C149" s="22" t="s">
        <v>99</v>
      </c>
      <c r="D149" s="22" t="s">
        <v>270</v>
      </c>
      <c r="E149" s="13">
        <v>42663.928402777776</v>
      </c>
      <c r="F149" s="13">
        <v>42663.937905092593</v>
      </c>
      <c r="G149" s="7">
        <v>1</v>
      </c>
      <c r="H149" s="13" t="s">
        <v>370</v>
      </c>
      <c r="I149" s="13">
        <v>42663.963460648149</v>
      </c>
      <c r="J149" s="7">
        <v>0</v>
      </c>
      <c r="K149" s="112" t="str">
        <f t="shared" si="43"/>
        <v>4011/4012</v>
      </c>
      <c r="L149" s="22" t="str">
        <f>VLOOKUP(A149,'Trips&amp;Operators'!$C$1:$E$10000,3,FALSE)</f>
        <v>STURGEON</v>
      </c>
      <c r="M149" s="6">
        <f t="shared" si="44"/>
        <v>2.5555555555911269E-2</v>
      </c>
      <c r="N149" s="7">
        <f t="shared" si="40"/>
        <v>36.800000000512227</v>
      </c>
      <c r="O149" s="7"/>
      <c r="P149" s="7"/>
      <c r="Q149" s="23"/>
      <c r="R149" s="23"/>
      <c r="S149" s="35">
        <f t="shared" si="57"/>
        <v>1</v>
      </c>
      <c r="T149" s="50" t="str">
        <f t="shared" si="45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21:16:54-0600',mode:absolute,to:'2016-10-21 00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 t="shared" si="47"/>
        <v>N</v>
      </c>
      <c r="X149" s="171">
        <f t="shared" si="48"/>
        <v>1</v>
      </c>
      <c r="Y149" s="67">
        <f t="shared" si="49"/>
        <v>4.7100000000000003E-2</v>
      </c>
      <c r="Z149" s="67">
        <f t="shared" si="42"/>
        <v>23.328499999999998</v>
      </c>
      <c r="AA149" s="67">
        <f t="shared" si="50"/>
        <v>23.281399999999998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1"/>
        <v>0235-20</v>
      </c>
      <c r="AE149" s="91" t="str">
        <f t="shared" si="5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9" s="88" t="str">
        <f t="shared" si="53"/>
        <v>"C:\Program Files (x86)\AstroGrep\AstroGrep.exe" /spath="%USERPROFILE%\AppData\Local\Temp\OnboardLogs" /stypes="app*4011*20161021*" /stext=" 05:.+((SYSTEM_STATE.+slice.+state.+changed )|(ment ac)|(system.+state.+changed )|(\[timeout)|(PRM\|1\|D)|(kpr)|(kdp)|(\|lc)|(penalty))" /e /r /s</v>
      </c>
      <c r="AG149" s="1" t="str">
        <f t="shared" si="54"/>
        <v>EC</v>
      </c>
      <c r="AH149" s="92" t="str">
        <f t="shared" si="55"/>
        <v>"%USERPROFILE%\Documents\GitHub\eaglep3\Utilities\RefineRTDCRunTimes.py" --tripid 235-20 --locoid 4011 --swversion DE.1.0.7.0 --startMP 204:471 --initTime 2016-10-20T22:16:54 --startdatetime 2016-10-20T22:30:35 --delay 1 --endMP 204:233285 --enddatetime 2016-10-20T23:07:23 --enforcementcount 0 &gt;&gt;C:\Users\stu\Documents\GitHub\eaglep3-reporting\EC\2016-10-20-refined-times.txt</v>
      </c>
      <c r="AI149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{"issue":{"subject":"","project_id":79,"tracker_id":40,"status_id":1,"priority_id":2,"assigned_to_id":23,"start_date":"2016-10-20","description":"","custom_fields":[{"id":1,"name":"Subdivision","value":"EC"},{"id":4,"name":"Milepost","value":"23.3285"},{"id":17,"name":"Train ID","value":"235-20"},{"id":16,"name":"Locomotive ID","value":"4011"},{"id":130,"name":"Impact","value":""},{"id":150,"name":"Time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614</v>
      </c>
      <c r="B150" s="7">
        <v>4012</v>
      </c>
      <c r="C150" s="22" t="s">
        <v>99</v>
      </c>
      <c r="D150" s="22" t="s">
        <v>302</v>
      </c>
      <c r="E150" s="13">
        <v>42663.965787037036</v>
      </c>
      <c r="F150" s="13">
        <v>42663.977013888885</v>
      </c>
      <c r="G150" s="7">
        <v>1</v>
      </c>
      <c r="H150" s="13" t="s">
        <v>222</v>
      </c>
      <c r="I150" s="13">
        <v>42664.014918981484</v>
      </c>
      <c r="J150" s="7">
        <v>0</v>
      </c>
      <c r="K150" s="112" t="str">
        <f t="shared" si="43"/>
        <v>4011/4012</v>
      </c>
      <c r="L150" s="22" t="str">
        <f>VLOOKUP(A150,'Trips&amp;Operators'!$C$1:$E$10000,3,FALSE)</f>
        <v>STURGEON</v>
      </c>
      <c r="M150" s="6">
        <f t="shared" si="44"/>
        <v>3.7905092598521151E-2</v>
      </c>
      <c r="N150" s="7">
        <f t="shared" si="40"/>
        <v>54.583333341870457</v>
      </c>
      <c r="O150" s="7"/>
      <c r="P150" s="7"/>
      <c r="Q150" s="23"/>
      <c r="R150" s="23" t="s">
        <v>777</v>
      </c>
      <c r="S150" s="35">
        <f t="shared" si="57"/>
        <v>1</v>
      </c>
      <c r="T150" s="50" t="str">
        <f t="shared" si="45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22:10:44-0600',mode:absolute,to:'2016-10-21 01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 t="shared" si="47"/>
        <v>N</v>
      </c>
      <c r="X150" s="171">
        <f t="shared" si="48"/>
        <v>1</v>
      </c>
      <c r="Y150" s="67">
        <f t="shared" si="49"/>
        <v>23.2974</v>
      </c>
      <c r="Z150" s="67">
        <f t="shared" si="42"/>
        <v>1.61E-2</v>
      </c>
      <c r="AA150" s="67">
        <f t="shared" si="50"/>
        <v>23.281299999999998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1"/>
        <v>0236-20</v>
      </c>
      <c r="AE150" s="91" t="str">
        <f t="shared" si="5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50" s="88" t="str">
        <f t="shared" si="53"/>
        <v>"C:\Program Files (x86)\AstroGrep\AstroGrep.exe" /spath="%USERPROFILE%\AppData\Local\Temp\OnboardLogs" /stypes="app*4012*20161021*" /stext=" 06:.+((SYSTEM_STATE.+slice.+state.+changed )|(ment ac)|(system.+state.+changed )|(\[timeout)|(PRM\|1\|D)|(kpr)|(kdp)|(\|lc)|(penalty))" /e /r /s</v>
      </c>
      <c r="AG150" s="1" t="str">
        <f t="shared" si="54"/>
        <v>EC</v>
      </c>
      <c r="AH150" s="92" t="str">
        <f t="shared" si="55"/>
        <v>"%USERPROFILE%\Documents\GitHub\eaglep3\Utilities\RefineRTDCRunTimes.py" --tripid 236-20 --locoid 4012 --swversion DE.1.0.7.0 --startMP 204:232974 --initTime 2016-10-20T23:10:44 --startdatetime 2016-10-20T23:26:54 --delay 1 --endMP 204:161 --enddatetime 2016-10-21T00:21:29 --enforcementcount 0 &gt;&gt;C:\Users\stu\Documents\GitHub\eaglep3-reporting\EC\2016-10-20-refined-times.txt</v>
      </c>
      <c r="AI150" s="122" t="str">
        <f t="shared" si="56"/>
        <v>echo {"issue":{"subject":"Delayed at Sable - Form O","project_id":79,"tracker_id":40,"status_id":1,"priority_id":2,"assigned_to_id":23,"start_date":"2016-10-21","description":"","custom_fields":[{"id":1,"name":"Subdivision","value":"EC"},{"id":4,"name":"Milepost","value":"0.0161"},{"id":17,"name":"Train ID","value":"236-20"},{"id":16,"name":"Locomotive ID","value":"4012"},{"id":130,"name":"Impact","value":""},{"id":150,"name":"Time of Event (Mountain Time)","value":"00:21:29"},{"id":151,"name":"Denver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4044</v>
      </c>
      <c r="C151" s="22" t="s">
        <v>99</v>
      </c>
      <c r="D151" s="22" t="s">
        <v>230</v>
      </c>
      <c r="E151" s="13">
        <v>42663.953680555554</v>
      </c>
      <c r="F151" s="13">
        <v>42663.958518518521</v>
      </c>
      <c r="G151" s="7">
        <v>1</v>
      </c>
      <c r="H151" s="13" t="s">
        <v>675</v>
      </c>
      <c r="I151" s="13">
        <v>42663.983969907407</v>
      </c>
      <c r="J151" s="7">
        <v>0</v>
      </c>
      <c r="K151" s="112" t="str">
        <f t="shared" si="43"/>
        <v>4043/4044</v>
      </c>
      <c r="L151" s="22" t="str">
        <f>VLOOKUP(A151,'Trips&amp;Operators'!$C$1:$E$10000,3,FALSE)</f>
        <v>LEVERE</v>
      </c>
      <c r="M151" s="6">
        <f t="shared" si="44"/>
        <v>2.545138888672227E-2</v>
      </c>
      <c r="N151" s="7">
        <f t="shared" si="40"/>
        <v>36.649999996880069</v>
      </c>
      <c r="O151" s="7"/>
      <c r="P151" s="7"/>
      <c r="Q151" s="23"/>
      <c r="R151" s="23"/>
      <c r="S151" s="35">
        <f t="shared" si="57"/>
        <v>1</v>
      </c>
      <c r="T151" s="50" t="str">
        <f t="shared" si="45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21:53:18-0600',mode:absolute,to:'2016-10-21 00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47"/>
        <v>N</v>
      </c>
      <c r="X151" s="171">
        <f t="shared" si="48"/>
        <v>1</v>
      </c>
      <c r="Y151" s="67">
        <f t="shared" si="49"/>
        <v>4.4699999999999997E-2</v>
      </c>
      <c r="Z151" s="67">
        <f t="shared" si="42"/>
        <v>23.328299999999999</v>
      </c>
      <c r="AA151" s="67">
        <f t="shared" si="50"/>
        <v>23.2836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1"/>
        <v>0237-20</v>
      </c>
      <c r="AE151" s="91" t="str">
        <f t="shared" si="5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51" s="88" t="str">
        <f t="shared" si="53"/>
        <v>"C:\Program Files (x86)\AstroGrep\AstroGrep.exe" /spath="%USERPROFILE%\AppData\Local\Temp\OnboardLogs" /stypes="app*4044*20161021*" /stext=" 05:.+((SYSTEM_STATE.+slice.+state.+changed )|(ment ac)|(system.+state.+changed )|(\[timeout)|(PRM\|1\|D)|(kpr)|(kdp)|(\|lc)|(penalty))" /e /r /s</v>
      </c>
      <c r="AG151" s="1" t="str">
        <f t="shared" si="54"/>
        <v>EC</v>
      </c>
      <c r="AH151" s="92" t="str">
        <f t="shared" si="55"/>
        <v>"%USERPROFILE%\Documents\GitHub\eaglep3\Utilities\RefineRTDCRunTimes.py" --tripid 237-20 --locoid 4044 --swversion DE.1.0.7.0 --startMP 204:447 --initTime 2016-10-20T22:53:18 --startdatetime 2016-10-20T23:00:16 --delay 1 --endMP 204:233283 --enddatetime 2016-10-20T23:36:55 --enforcementcount 0 &gt;&gt;C:\Users\stu\Documents\GitHub\eaglep3-reporting\EC\2016-10-20-refined-times.txt</v>
      </c>
      <c r="AI151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{"issue":{"subject":"","project_id":79,"tracker_id":40,"status_id":1,"priority_id":2,"assigned_to_id":23,"start_date":"2016-10-20","description":"","custom_fields":[{"id":1,"name":"Subdivision","value":"EC"},{"id":4,"name":"Milepost","value":"23.3283"},{"id":17,"name":"Train ID","value":"237-20"},{"id":16,"name":"Locomotive ID","value":"4044"},{"id":130,"name":"Impact","value":""},{"id":150,"name":"Time of Event (Mountain Time)","value":"23:36:55"},{"id":151,"name":"Denver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615</v>
      </c>
      <c r="B152" s="7">
        <v>4043</v>
      </c>
      <c r="C152" s="22" t="s">
        <v>99</v>
      </c>
      <c r="D152" s="22" t="s">
        <v>244</v>
      </c>
      <c r="E152" s="13">
        <v>42663.990428240744</v>
      </c>
      <c r="F152" s="13">
        <v>42663.997465277775</v>
      </c>
      <c r="G152" s="7">
        <v>1</v>
      </c>
      <c r="H152" s="13" t="s">
        <v>226</v>
      </c>
      <c r="I152" s="13">
        <v>42664.046400462961</v>
      </c>
      <c r="J152" s="7">
        <v>0</v>
      </c>
      <c r="K152" s="112" t="str">
        <f t="shared" si="43"/>
        <v>4043/4044</v>
      </c>
      <c r="L152" s="22" t="str">
        <f>VLOOKUP(A152,'Trips&amp;Operators'!$C$1:$E$10000,3,FALSE)</f>
        <v>LEVERE</v>
      </c>
      <c r="M152" s="6">
        <f t="shared" si="44"/>
        <v>4.8935185186564922E-2</v>
      </c>
      <c r="N152" s="7">
        <f t="shared" si="40"/>
        <v>70.466666668653488</v>
      </c>
      <c r="O152" s="7"/>
      <c r="P152" s="7"/>
      <c r="Q152" s="23"/>
      <c r="R152" s="23" t="s">
        <v>776</v>
      </c>
      <c r="S152" s="35">
        <f t="shared" si="57"/>
        <v>1</v>
      </c>
      <c r="T152" s="50" t="str">
        <f t="shared" si="45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22:46:13-0600',mode:absolute,to:'2016-10-21 02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47"/>
        <v>N</v>
      </c>
      <c r="X152" s="171">
        <f t="shared" si="48"/>
        <v>1</v>
      </c>
      <c r="Y152" s="67">
        <f t="shared" si="49"/>
        <v>23.297899999999998</v>
      </c>
      <c r="Z152" s="67">
        <f t="shared" si="42"/>
        <v>1.49E-2</v>
      </c>
      <c r="AA152" s="67">
        <f t="shared" si="50"/>
        <v>23.282999999999998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1"/>
        <v>0238-20</v>
      </c>
      <c r="AE152" s="91" t="str">
        <f t="shared" si="5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52" s="88" t="str">
        <f t="shared" si="53"/>
        <v>"C:\Program Files (x86)\AstroGrep\AstroGrep.exe" /spath="%USERPROFILE%\AppData\Local\Temp\OnboardLogs" /stypes="app*4043*20161021*" /stext=" 07:.+((SYSTEM_STATE.+slice.+state.+changed )|(ment ac)|(system.+state.+changed )|(\[timeout)|(PRM\|1\|D)|(kpr)|(kdp)|(\|lc)|(penalty))" /e /r /s</v>
      </c>
      <c r="AG152" s="1" t="str">
        <f t="shared" si="54"/>
        <v>EC</v>
      </c>
      <c r="AH152" s="92" t="str">
        <f t="shared" si="55"/>
        <v>"%USERPROFILE%\Documents\GitHub\eaglep3\Utilities\RefineRTDCRunTimes.py" --tripid 238-20 --locoid 4043 --swversion DE.1.0.7.0 --startMP 204:232979 --initTime 2016-10-20T23:46:13 --startdatetime 2016-10-20T23:56:21 --delay 1 --endMP 204:149 --enddatetime 2016-10-21T01:06:49 --enforcementcount 0 &gt;&gt;C:\Users\stu\Documents\GitHub\eaglep3-reporting\EC\2016-10-20-refined-times.txt</v>
      </c>
      <c r="AI152" s="122" t="str">
        <f t="shared" si="56"/>
        <v>echo {"issue":{"subject":"Delayed at 40th 4S - Form O","project_id":79,"tracker_id":40,"status_id":1,"priority_id":2,"assigned_to_id":23,"start_date":"2016-10-21","description":"","custom_fields":[{"id":1,"name":"Subdivision","value":"EC"},{"id":4,"name":"Milepost","value":"0.0149"},{"id":17,"name":"Train ID","value":"238-20"},{"id":16,"name":"Locomotive ID","value":"4043"},{"id":130,"name":"Impact","value":""},{"id":150,"name":"Time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433</v>
      </c>
      <c r="B153" s="7">
        <v>4029</v>
      </c>
      <c r="C153" s="22" t="s">
        <v>99</v>
      </c>
      <c r="D153" s="22" t="s">
        <v>245</v>
      </c>
      <c r="E153" s="13">
        <v>42663.974965277775</v>
      </c>
      <c r="F153" s="13">
        <v>42663.980856481481</v>
      </c>
      <c r="G153" s="7">
        <v>1</v>
      </c>
      <c r="H153" s="13" t="s">
        <v>377</v>
      </c>
      <c r="I153" s="13">
        <v>42664.008333333331</v>
      </c>
      <c r="J153" s="7">
        <v>0</v>
      </c>
      <c r="K153" s="112" t="str">
        <f t="shared" si="43"/>
        <v>4029/4030</v>
      </c>
      <c r="L153" s="22" t="str">
        <f>VLOOKUP(A153,'Trips&amp;Operators'!$C$1:$E$10000,3,FALSE)</f>
        <v>DELGADO</v>
      </c>
      <c r="M153" s="6">
        <f t="shared" si="44"/>
        <v>2.7476851850224193E-2</v>
      </c>
      <c r="N153" s="7">
        <f t="shared" si="40"/>
        <v>39.566666664322838</v>
      </c>
      <c r="O153" s="7"/>
      <c r="P153" s="7"/>
      <c r="Q153" s="23"/>
      <c r="R153" s="23"/>
      <c r="S153" s="35">
        <f t="shared" si="57"/>
        <v>1</v>
      </c>
      <c r="T153" s="50" t="str">
        <f t="shared" si="45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3" s="52" t="str">
        <f t="shared" si="47"/>
        <v>N</v>
      </c>
      <c r="X153" s="171">
        <f t="shared" si="48"/>
        <v>1</v>
      </c>
      <c r="Y153" s="67">
        <f t="shared" si="49"/>
        <v>4.5999999999999999E-2</v>
      </c>
      <c r="Z153" s="67">
        <f t="shared" si="42"/>
        <v>23.331</v>
      </c>
      <c r="AA153" s="67">
        <f t="shared" si="50"/>
        <v>23.285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1"/>
        <v>0239-20</v>
      </c>
      <c r="AE153" s="91" t="str">
        <f t="shared" si="5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53" s="88" t="str">
        <f t="shared" si="53"/>
        <v>"C:\Program Files (x86)\AstroGrep\AstroGrep.exe" /spath="%USERPROFILE%\AppData\Local\Temp\OnboardLogs" /stypes="app*4029*20161021*" /stext=" 06:.+((SYSTEM_STATE.+slice.+state.+changed )|(ment ac)|(system.+state.+changed )|(\[timeout)|(PRM\|1\|D)|(kpr)|(kdp)|(\|lc)|(penalty))" /e /r /s</v>
      </c>
      <c r="AG153" s="1" t="str">
        <f t="shared" si="54"/>
        <v>EC</v>
      </c>
      <c r="AH153" s="92" t="str">
        <f t="shared" si="55"/>
        <v>"%USERPROFILE%\Documents\GitHub\eaglep3\Utilities\RefineRTDCRunTimes.py" --tripid 239-20 --locoid 4029 --swversion DE.1.0.7.0 --startMP 204:460 --initTime 2016-10-20T23:23:57 --startdatetime 2016-10-20T23:32:26 --delay 1 --endMP 204:233310 --enddatetime 2016-10-21T00:12:00 --enforcementcount 0 &gt;&gt;C:\Users\stu\Documents\GitHub\eaglep3-reporting\EC\2016-10-20-refined-times.txt</v>
      </c>
      <c r="AI153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ID","value":"239-20"},{"id":16,"name":"Locomotive ID","value":"4029"},{"id":130,"name":"Impact","value":""},{"id":150,"name":"Time of Event (Mountain Time)","value":"00:12:00"},{"id":151,"name":"Denver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616</v>
      </c>
      <c r="B154" s="7">
        <v>4030</v>
      </c>
      <c r="C154" s="22" t="s">
        <v>99</v>
      </c>
      <c r="D154" s="22" t="s">
        <v>275</v>
      </c>
      <c r="E154" s="13">
        <v>42664.014745370368</v>
      </c>
      <c r="F154" s="13">
        <v>42664.018240740741</v>
      </c>
      <c r="G154" s="7">
        <v>1</v>
      </c>
      <c r="H154" s="13" t="s">
        <v>378</v>
      </c>
      <c r="I154" s="13">
        <v>42664.049745370372</v>
      </c>
      <c r="J154" s="7">
        <v>0</v>
      </c>
      <c r="K154" s="112" t="str">
        <f t="shared" si="43"/>
        <v>4029/4030</v>
      </c>
      <c r="L154" s="22" t="str">
        <f>VLOOKUP(A154,'Trips&amp;Operators'!$C$1:$E$10000,3,FALSE)</f>
        <v>DELGADO</v>
      </c>
      <c r="M154" s="6">
        <f t="shared" si="44"/>
        <v>3.1504629630944692E-2</v>
      </c>
      <c r="N154" s="7">
        <f t="shared" si="40"/>
        <v>45.366666668560356</v>
      </c>
      <c r="O154" s="7"/>
      <c r="P154" s="7"/>
      <c r="Q154" s="23"/>
      <c r="R154" s="23"/>
      <c r="S154" s="35">
        <f t="shared" si="57"/>
        <v>1</v>
      </c>
      <c r="T154" s="50" t="str">
        <f t="shared" si="45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23:21:14-0600',mode:absolute,to:'2016-10-21 02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 t="shared" si="47"/>
        <v>N</v>
      </c>
      <c r="X154" s="171">
        <f t="shared" si="48"/>
        <v>1</v>
      </c>
      <c r="Y154" s="67">
        <f t="shared" si="49"/>
        <v>23.2987</v>
      </c>
      <c r="Z154" s="67">
        <f t="shared" si="42"/>
        <v>1.7999999999999999E-2</v>
      </c>
      <c r="AA154" s="67">
        <f t="shared" si="50"/>
        <v>23.2807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1"/>
        <v>0240-20</v>
      </c>
      <c r="AE154" s="91" t="str">
        <f t="shared" si="52"/>
        <v>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 &amp; 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</v>
      </c>
      <c r="AF154" s="88" t="str">
        <f t="shared" si="53"/>
        <v>"C:\Program Files (x86)\AstroGrep\AstroGrep.exe" /spath="%USERPROFILE%\AppData\Local\Temp\OnboardLogs" /stypes="app*4030*20161021*" /stext=" 07:.+((SYSTEM_STATE.+slice.+state.+changed )|(ment ac)|(system.+state.+changed )|(\[timeout)|(PRM\|1\|D)|(kpr)|(kdp)|(\|lc)|(penalty))" /e /r /s</v>
      </c>
      <c r="AG154" s="1" t="str">
        <f t="shared" si="54"/>
        <v>EC</v>
      </c>
      <c r="AH154" s="92" t="str">
        <f t="shared" si="55"/>
        <v>"%USERPROFILE%\Documents\GitHub\eaglep3\Utilities\RefineRTDCRunTimes.py" --tripid 240-20 --locoid 4030 --swversion DE.1.0.7.0 --startMP 204:232987 --initTime 2016-10-21T00:21:14 --startdatetime 2016-10-21T00:26:16 --delay 1 --endMP 204:180 --enddatetime 2016-10-21T01:11:38 --enforcementcount 0 &gt;&gt;C:\Users\stu\Documents\GitHub\eaglep3-reporting\EC\2016-10-20-refined-times.txt</v>
      </c>
      <c r="AI154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{"issue":{"subject":"","project_id":79,"tracker_id":40,"status_id":1,"priority_id":2,"assigned_to_id":23,"start_date":"2016-10-21","description":"","custom_fields":[{"id":1,"name":"Subdivision","value":"EC"},{"id":4,"name":"Milepost","value":"0.018"},{"id":17,"name":"Train ID","value":"240-20"},{"id":16,"name":"Locomotive ID","value":"4030"},{"id":130,"name":"Impact","value":""},{"id":150,"name":"Time of Event (Mountain Time)","value":"01:11:38"},{"id":151,"name":"Denver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435</v>
      </c>
      <c r="B155" s="7">
        <v>4006</v>
      </c>
      <c r="C155" s="22" t="s">
        <v>99</v>
      </c>
      <c r="D155" s="22" t="s">
        <v>234</v>
      </c>
      <c r="E155" s="13">
        <v>42663.985081018516</v>
      </c>
      <c r="F155" s="13">
        <v>42664.012060185189</v>
      </c>
      <c r="G155" s="7">
        <v>1</v>
      </c>
      <c r="H155" s="13" t="s">
        <v>377</v>
      </c>
      <c r="I155" s="13">
        <v>42664.041608796295</v>
      </c>
      <c r="J155" s="7">
        <v>0</v>
      </c>
      <c r="K155" s="112" t="str">
        <f t="shared" si="43"/>
        <v>4005/4006</v>
      </c>
      <c r="L155" s="22" t="str">
        <f>VLOOKUP(A155,'Trips&amp;Operators'!$C$1:$E$10000,3,FALSE)</f>
        <v>LEVIN</v>
      </c>
      <c r="M155" s="6">
        <f t="shared" si="44"/>
        <v>2.954861110629281E-2</v>
      </c>
      <c r="N155" s="7">
        <f t="shared" si="40"/>
        <v>42.549999993061647</v>
      </c>
      <c r="O155" s="7"/>
      <c r="P155" s="7"/>
      <c r="Q155" s="23"/>
      <c r="R155" s="23"/>
      <c r="S155" s="35">
        <f t="shared" si="57"/>
        <v>1</v>
      </c>
      <c r="T155" s="50" t="str">
        <f t="shared" si="45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5" s="52" t="str">
        <f t="shared" si="47"/>
        <v>N</v>
      </c>
      <c r="X155" s="171">
        <f t="shared" si="48"/>
        <v>1</v>
      </c>
      <c r="Y155" s="67">
        <f t="shared" si="49"/>
        <v>4.5499999999999999E-2</v>
      </c>
      <c r="Z155" s="67">
        <f t="shared" si="42"/>
        <v>23.331</v>
      </c>
      <c r="AA155" s="67">
        <f t="shared" si="50"/>
        <v>23.285499999999999</v>
      </c>
      <c r="AB155" s="64" t="str">
        <f>VLOOKUP(A155,Enforcements!$C$7:$K$21,8,0)</f>
        <v>Speed (6)</v>
      </c>
      <c r="AC155" s="60" t="str">
        <f>VLOOKUP(A155,Enforcements!$C$7:$E$21,3,0)</f>
        <v>PERMANENT SPEED RESTRICTION</v>
      </c>
      <c r="AD155" s="61" t="str">
        <f t="shared" si="51"/>
        <v>0241-20</v>
      </c>
      <c r="AE155" s="91" t="str">
        <f t="shared" si="52"/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AF155" s="88" t="str">
        <f t="shared" si="53"/>
        <v>"C:\Program Files (x86)\AstroGrep\AstroGrep.exe" /spath="%USERPROFILE%\AppData\Local\Temp\OnboardLogs" /stypes="app*4006*20161021*" /stext=" 06:.+((SYSTEM_STATE.+slice.+state.+changed )|(ment ac)|(system.+state.+changed )|(\[timeout)|(PRM\|1\|D)|(kpr)|(kdp)|(\|lc)|(penalty))" /e /r /s</v>
      </c>
      <c r="AG155" s="1" t="str">
        <f t="shared" si="54"/>
        <v>EC</v>
      </c>
      <c r="AH155" s="92" t="str">
        <f t="shared" si="55"/>
        <v>"%USERPROFILE%\Documents\GitHub\eaglep3\Utilities\RefineRTDCRunTimes.py" --tripid 241-20 --locoid 4006 --swversion DE.1.0.7.0 --startMP 204:455 --initTime 2016-10-20T23:38:31 --startdatetime 2016-10-21T00:17:22 --delay 1 --endMP 204:233310 --enddatetime 2016-10-21T00:59:55 --enforcementcount 0 &gt;&gt;C:\Users\stu\Documents\GitHub\eaglep3-reporting\EC\2016-10-20-refined-times.txt</v>
      </c>
      <c r="AI155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ID","value":"241-20"},{"id":16,"name":"Locomotive ID","value":"4006"},{"id":130,"name":"Impact","value":""},{"id":150,"name":"Time of Event (Mountain Time)","value":"00:59:55"},{"id":151,"name":"Denver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437</v>
      </c>
      <c r="B156" s="7">
        <v>4005</v>
      </c>
      <c r="C156" s="22" t="s">
        <v>99</v>
      </c>
      <c r="D156" s="22" t="s">
        <v>300</v>
      </c>
      <c r="E156" s="13">
        <v>42664.044178240743</v>
      </c>
      <c r="F156" s="13">
        <v>42664.05159722222</v>
      </c>
      <c r="G156" s="7">
        <v>1</v>
      </c>
      <c r="H156" s="13" t="s">
        <v>223</v>
      </c>
      <c r="I156" s="13">
        <v>42664.083564814813</v>
      </c>
      <c r="J156" s="7">
        <v>0</v>
      </c>
      <c r="K156" s="112" t="str">
        <f t="shared" si="43"/>
        <v>4005/4006</v>
      </c>
      <c r="L156" s="22" t="str">
        <f>VLOOKUP(A156,'Trips&amp;Operators'!$C$1:$E$10000,3,FALSE)</f>
        <v>LEVIN</v>
      </c>
      <c r="M156" s="6">
        <f t="shared" si="44"/>
        <v>3.1967592592991423E-2</v>
      </c>
      <c r="N156" s="7">
        <f t="shared" si="40"/>
        <v>46.033333333907649</v>
      </c>
      <c r="O156" s="7"/>
      <c r="P156" s="7"/>
      <c r="Q156" s="23"/>
      <c r="R156" s="23"/>
      <c r="S156" s="35">
        <f t="shared" si="57"/>
        <v>1</v>
      </c>
      <c r="T156" s="50" t="str">
        <f t="shared" si="45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6" s="52" t="str">
        <f t="shared" si="47"/>
        <v>N</v>
      </c>
      <c r="X156" s="171">
        <f t="shared" si="48"/>
        <v>1</v>
      </c>
      <c r="Y156" s="67">
        <f t="shared" si="49"/>
        <v>23.298300000000001</v>
      </c>
      <c r="Z156" s="67">
        <f t="shared" si="42"/>
        <v>1.54E-2</v>
      </c>
      <c r="AA156" s="67">
        <f t="shared" si="50"/>
        <v>23.282900000000001</v>
      </c>
      <c r="AB156" s="64" t="str">
        <f>VLOOKUP(A156,Enforcements!$C$7:$K$21,8,0)</f>
        <v>Bulletin (2)</v>
      </c>
      <c r="AC156" s="60" t="str">
        <f>VLOOKUP(A156,Enforcements!$C$7:$E$21,3,0)</f>
        <v>GRADE CROSSING</v>
      </c>
      <c r="AD156" s="61" t="str">
        <f t="shared" si="51"/>
        <v>0242-20</v>
      </c>
      <c r="AE156" s="91" t="str">
        <f t="shared" si="52"/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AF156" s="88" t="str">
        <f t="shared" si="53"/>
        <v>"C:\Program Files (x86)\AstroGrep\AstroGrep.exe" /spath="%USERPROFILE%\AppData\Local\Temp\OnboardLogs" /stypes="app*4005*20161021*" /stext=" 08:.+((SYSTEM_STATE.+slice.+state.+changed )|(ment ac)|(system.+state.+changed )|(\[timeout)|(PRM\|1\|D)|(kpr)|(kdp)|(\|lc)|(penalty))" /e /r /s</v>
      </c>
      <c r="AG156" s="1" t="str">
        <f t="shared" si="54"/>
        <v>EC</v>
      </c>
      <c r="AH156" s="92" t="str">
        <f t="shared" si="55"/>
        <v>"%USERPROFILE%\Documents\GitHub\eaglep3\Utilities\RefineRTDCRunTimes.py" --tripid 242-20 --locoid 4005 --swversion DE.1.0.7.0 --startMP 204:232983 --initTime 2016-10-21T01:03:37 --startdatetime 2016-10-21T01:14:18 --delay 1 --endMP 204:154 --enddatetime 2016-10-21T02:00:20 --enforcementcount 0 &gt;&gt;C:\Users\stu\Documents\GitHub\eaglep3-reporting\EC\2016-10-20-refined-times.txt</v>
      </c>
      <c r="AI156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ID","value":"242-20"},{"id":16,"name":"Locomotive ID","value":"4005"},{"id":130,"name":"Impact","value":""},{"id":150,"name":"Time of Event (Mountain Time)","value":"02:00:20"},{"id":151,"name":"Denver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617</v>
      </c>
      <c r="B157" s="7">
        <v>4011</v>
      </c>
      <c r="C157" s="22" t="s">
        <v>99</v>
      </c>
      <c r="D157" s="22" t="s">
        <v>230</v>
      </c>
      <c r="E157" s="13">
        <v>42664.023946759262</v>
      </c>
      <c r="F157" s="13">
        <v>42664.044282407405</v>
      </c>
      <c r="G157" s="7">
        <v>1</v>
      </c>
      <c r="H157" s="13" t="s">
        <v>286</v>
      </c>
      <c r="I157" s="13">
        <v>42664.074224537035</v>
      </c>
      <c r="J157" s="7">
        <v>0</v>
      </c>
      <c r="K157" s="112" t="str">
        <f t="shared" si="43"/>
        <v>4011/4012</v>
      </c>
      <c r="L157" s="22" t="str">
        <f>VLOOKUP(A157,'Trips&amp;Operators'!$C$1:$E$10000,3,FALSE)</f>
        <v>STURGEON</v>
      </c>
      <c r="M157" s="6">
        <f t="shared" si="44"/>
        <v>2.99421296294895E-2</v>
      </c>
      <c r="N157" s="7">
        <f t="shared" si="40"/>
        <v>43.11666666646488</v>
      </c>
      <c r="O157" s="7"/>
      <c r="P157" s="7"/>
      <c r="Q157" s="23"/>
      <c r="R157" s="23"/>
      <c r="S157" s="35">
        <f t="shared" si="57"/>
        <v>1</v>
      </c>
      <c r="T157" s="50" t="str">
        <f t="shared" si="45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23:34:29-0600',mode:absolute,to:'2016-10-21 02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 t="shared" si="47"/>
        <v>N</v>
      </c>
      <c r="X157" s="171">
        <f t="shared" si="48"/>
        <v>1</v>
      </c>
      <c r="Y157" s="67">
        <f t="shared" si="49"/>
        <v>4.4699999999999997E-2</v>
      </c>
      <c r="Z157" s="67">
        <f t="shared" si="42"/>
        <v>23.3278</v>
      </c>
      <c r="AA157" s="67">
        <f t="shared" si="50"/>
        <v>23.283100000000001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1"/>
        <v>0243-20</v>
      </c>
      <c r="AE157" s="91" t="str">
        <f t="shared" si="52"/>
        <v>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 &amp; 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</v>
      </c>
      <c r="AF157" s="88" t="str">
        <f t="shared" si="53"/>
        <v>"C:\Program Files (x86)\AstroGrep\AstroGrep.exe" /spath="%USERPROFILE%\AppData\Local\Temp\OnboardLogs" /stypes="app*4011*20161021*" /stext=" 07:.+((SYSTEM_STATE.+slice.+state.+changed )|(ment ac)|(system.+state.+changed )|(\[timeout)|(PRM\|1\|D)|(kpr)|(kdp)|(\|lc)|(penalty))" /e /r /s</v>
      </c>
      <c r="AG157" s="1" t="str">
        <f t="shared" si="54"/>
        <v>EC</v>
      </c>
      <c r="AH157" s="92" t="str">
        <f t="shared" si="55"/>
        <v>"%USERPROFILE%\Documents\GitHub\eaglep3\Utilities\RefineRTDCRunTimes.py" --tripid 243-20 --locoid 4011 --swversion DE.1.0.7.0 --startMP 204:447 --initTime 2016-10-21T00:34:29 --startdatetime 2016-10-21T01:03:46 --delay 1 --endMP 204:233278 --enddatetime 2016-10-21T01:46:53 --enforcementcount 0 &gt;&gt;C:\Users\stu\Documents\GitHub\eaglep3-reporting\EC\2016-10-20-refined-times.txt</v>
      </c>
      <c r="AI157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ID","value":"243-20"},{"id":16,"name":"Locomotive ID","value":"4011"},{"id":130,"name":"Impact","value":""},{"id":150,"name":"Time of Event (Mountain Time)","value":"01:46:53"},{"id":151,"name":"Denver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619</v>
      </c>
      <c r="B158" s="7">
        <v>4012</v>
      </c>
      <c r="C158" s="22" t="s">
        <v>99</v>
      </c>
      <c r="D158" s="22" t="s">
        <v>676</v>
      </c>
      <c r="E158" s="13">
        <v>42664.076215277775</v>
      </c>
      <c r="F158" s="13">
        <v>42664.078680555554</v>
      </c>
      <c r="G158" s="7">
        <v>2</v>
      </c>
      <c r="H158" s="13" t="s">
        <v>677</v>
      </c>
      <c r="I158" s="13">
        <v>42664.085775462961</v>
      </c>
      <c r="J158" s="7">
        <v>0</v>
      </c>
      <c r="K158" s="112" t="str">
        <f t="shared" si="43"/>
        <v>4011/4012</v>
      </c>
      <c r="L158" s="22" t="str">
        <f>VLOOKUP(A158,'Trips&amp;Operators'!$C$1:$E$10000,3,FALSE)</f>
        <v>STURGEON</v>
      </c>
      <c r="M158" s="6">
        <f t="shared" si="44"/>
        <v>7.0949074070085771E-3</v>
      </c>
      <c r="N158" s="7"/>
      <c r="O158" s="7"/>
      <c r="P158" s="7">
        <f>24*60*SUM($M158:$M158)</f>
        <v>10.216666666092351</v>
      </c>
      <c r="Q158" s="23"/>
      <c r="R158" s="23" t="s">
        <v>781</v>
      </c>
      <c r="S158" s="35">
        <f t="shared" si="57"/>
        <v>0</v>
      </c>
      <c r="T158" s="50" t="str">
        <f t="shared" si="45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https://search-rtdc-monitor-bjffxe2xuh6vdkpspy63sjmuny.us-east-1.es.amazonaws.com/_plugin/kibana/#/discover/Steve-Slow-Train-Analysis-(2080s-and-2083s)?_g=(refreshInterval:(display:Off,section:0,value:0),time:(from:'2016-10-21 00:49:45-0600',mode:absolute,to:'2016-10-21 03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 t="shared" si="47"/>
        <v>Y</v>
      </c>
      <c r="X158" s="171">
        <f t="shared" si="48"/>
        <v>1</v>
      </c>
      <c r="Y158" s="67">
        <f t="shared" si="49"/>
        <v>23.295000000000002</v>
      </c>
      <c r="Z158" s="67">
        <f t="shared" si="42"/>
        <v>15.4009</v>
      </c>
      <c r="AA158" s="67">
        <f t="shared" si="50"/>
        <v>7.8941000000000017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1"/>
        <v>0244-20</v>
      </c>
      <c r="AE158" s="91" t="str">
        <f t="shared" si="52"/>
        <v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v>
      </c>
      <c r="AF158" s="88" t="str">
        <f t="shared" si="53"/>
        <v>"C:\Program Files (x86)\AstroGrep\AstroGrep.exe" /spath="%USERPROFILE%\AppData\Local\Temp\OnboardLogs" /stypes="app*4012*20161021*" /stext=" 08:.+((SYSTEM_STATE.+slice.+state.+changed )|(ment ac)|(system.+state.+changed )|(\[timeout)|(PRM\|1\|D)|(kpr)|(kdp)|(\|lc)|(penalty))" /e /r /s</v>
      </c>
      <c r="AG158" s="1" t="str">
        <f t="shared" si="54"/>
        <v>EC</v>
      </c>
      <c r="AH158" s="92" t="str">
        <f t="shared" si="55"/>
        <v>"%USERPROFILE%\Documents\GitHub\eaglep3\Utilities\RefineRTDCRunTimes.py" --tripid 244-20 --locoid 4012 --swversion DE.1.0.7.0 --startMP 204:232950 --initTime 2016-10-21T01:49:45 --startdatetime 2016-10-21T01:53:18 --delay 2 --endMP 204:154009 --enddatetime 2016-10-21T02:03:31 --enforcementcount 0 &gt;&gt;C:\Users\stu\Documents\GitHub\eaglep3-reporting\EC\2016-10-20-refined-times.txt</v>
      </c>
      <c r="AI158" s="122" t="str">
        <f t="shared" si="56"/>
        <v>echo {"issue":{"subject":"Canceled - end of operating day","project_id":79,"tracker_id":40,"status_id":1,"priority_id":2,"assigned_to_id":23,"start_date":"2016-10-21","description":"","custom_fields":[{"id":1,"name":"Subdivision","value":"EC"},{"id":4,"name":"Milepost","value":"15.4009"},{"id":17,"name":"Train ID","value":"244-20"},{"id":16,"name":"Locomotive ID","value":"4012"},{"id":130,"name":"Impact","value":""},{"id":150,"name":"Time of Event (Mountain Time)","value":"02:03:31"},{"id":151,"name":"Denver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450</v>
      </c>
      <c r="B159" s="7">
        <v>4054</v>
      </c>
      <c r="C159" s="22" t="s">
        <v>99</v>
      </c>
      <c r="D159" s="22" t="s">
        <v>704</v>
      </c>
      <c r="E159" s="13">
        <v>42663.211180555554</v>
      </c>
      <c r="F159" s="13">
        <v>42663.215011574073</v>
      </c>
      <c r="G159" s="7">
        <v>1</v>
      </c>
      <c r="H159" s="13" t="s">
        <v>705</v>
      </c>
      <c r="I159" s="13">
        <v>42663.225844907407</v>
      </c>
      <c r="J159" s="7">
        <v>0</v>
      </c>
      <c r="K159" s="112" t="str">
        <f t="shared" si="43"/>
        <v>4053/4054</v>
      </c>
      <c r="L159" s="22" t="str">
        <f>VLOOKUP(A159,'Trips&amp;Operators'!$C$1:$E$10000,3,FALSE)</f>
        <v>YORK</v>
      </c>
      <c r="M159" s="6">
        <f t="shared" si="44"/>
        <v>1.0833333333721384E-2</v>
      </c>
      <c r="N159" s="7">
        <f t="shared" ref="N159:N190" si="58">24*60*SUM($M159:$M159)</f>
        <v>15.600000000558794</v>
      </c>
      <c r="O159" s="7"/>
      <c r="P159" s="7"/>
      <c r="Q159" s="23"/>
      <c r="R159" s="23"/>
      <c r="S159" s="35">
        <f t="shared" si="57"/>
        <v>1</v>
      </c>
      <c r="T159" s="50" t="str">
        <f t="shared" si="45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04:04:06-0600',mode:absolute,to:'2016-10-20 06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9" s="52" t="str">
        <f t="shared" si="47"/>
        <v>N</v>
      </c>
      <c r="X159" s="171">
        <f t="shared" si="48"/>
        <v>556</v>
      </c>
      <c r="Y159" s="67">
        <f t="shared" si="49"/>
        <v>5.8611000000000004</v>
      </c>
      <c r="Z159" s="67">
        <f t="shared" si="42"/>
        <v>7.3999999999999996E-2</v>
      </c>
      <c r="AA159" s="67">
        <f t="shared" si="50"/>
        <v>5.7871000000000006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1"/>
        <v>0800-20</v>
      </c>
      <c r="AE159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59" s="88" t="str">
        <f t="shared" si="53"/>
        <v>"C:\Program Files (x86)\AstroGrep\AstroGrep.exe" /spath="%USERPROFILE%\AppData\Local\Temp\OnboardLogs" /stypes="app*4054*20161020*" /stext=" 11:.+((SYSTEM_STATE.+slice.+state.+changed )|(ment ac)|(system.+state.+changed )|(\[timeout)|(PRM\|1\|D)|(kpr)|(kdp)|(\|lc)|(penalty))" /e /r /s</v>
      </c>
      <c r="AG159" s="1" t="str">
        <f t="shared" si="54"/>
        <v>NW</v>
      </c>
      <c r="AH159" s="92" t="str">
        <f t="shared" si="55"/>
        <v>"%USERPROFILE%\Documents\GitHub\eaglep3\Utilities\RefineRTDCRunTimes.py" --tripid 800-20 --locoid 4054 --swversion DE.1.0.7.0 --startMP 300:58611 --initTime 2016-10-20T05:04:06 --startdatetime 2016-10-20T05:09:37 --delay 1 --endMP 204:740 --enddatetime 2016-10-20T05:25:13 --enforcementcount 0 &gt;&gt;C:\Users\stu\Documents\GitHub\eaglep3-reporting\EC\2016-10-20-refined-times.txt</v>
      </c>
      <c r="AI15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ID","value":"800-20"},{"id":16,"name":"Locomotive ID","value":"4054"},{"id":130,"name":"Impact","value":""},{"id":150,"name":"Time of Event (Mountain Time)","value":"05:25:13"},{"id":151,"name":"Denver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392</v>
      </c>
      <c r="B160" s="7">
        <v>4016</v>
      </c>
      <c r="C160" s="22" t="s">
        <v>99</v>
      </c>
      <c r="D160" s="22" t="s">
        <v>240</v>
      </c>
      <c r="E160" s="13">
        <v>42663.243530092594</v>
      </c>
      <c r="F160" s="13">
        <v>42663.245219907411</v>
      </c>
      <c r="G160" s="7">
        <v>1</v>
      </c>
      <c r="H160" s="13" t="s">
        <v>706</v>
      </c>
      <c r="I160" s="13">
        <v>42663.255208333336</v>
      </c>
      <c r="J160" s="7">
        <v>0</v>
      </c>
      <c r="K160" s="112" t="str">
        <f t="shared" si="43"/>
        <v>4015/4016</v>
      </c>
      <c r="L160" s="22" t="str">
        <f>VLOOKUP(A160,'Trips&amp;Operators'!$C$1:$E$10000,3,FALSE)</f>
        <v>YORK</v>
      </c>
      <c r="M160" s="6">
        <f t="shared" si="44"/>
        <v>9.9884259252576157E-3</v>
      </c>
      <c r="N160" s="7">
        <f t="shared" si="58"/>
        <v>14.383333332370967</v>
      </c>
      <c r="O160" s="7"/>
      <c r="P160" s="7"/>
      <c r="Q160" s="23"/>
      <c r="R160" s="23"/>
      <c r="S160" s="35">
        <f t="shared" si="57"/>
        <v>1</v>
      </c>
      <c r="T160" s="50" t="str">
        <f t="shared" si="45"/>
        <v>NorthBound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47"/>
        <v>N</v>
      </c>
      <c r="X160" s="171">
        <f t="shared" si="48"/>
        <v>1</v>
      </c>
      <c r="Y160" s="67">
        <f t="shared" si="49"/>
        <v>4.4600000000000001E-2</v>
      </c>
      <c r="Z160" s="67">
        <v>5.89</v>
      </c>
      <c r="AA160" s="67">
        <f t="shared" si="50"/>
        <v>5.8453999999999997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1"/>
        <v>0801-20</v>
      </c>
      <c r="AE160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0" s="88" t="str">
        <f t="shared" si="53"/>
        <v>"C:\Program Files (x86)\AstroGrep\AstroGrep.exe" /spath="%USERPROFILE%\AppData\Local\Temp\OnboardLogs" /stypes="app*4016*20161020*" /stext=" 12:.+((SYSTEM_STATE.+slice.+state.+changed )|(ment ac)|(system.+state.+changed )|(\[timeout)|(PRM\|1\|D)|(kpr)|(kdp)|(\|lc)|(penalty))" /e /r /s</v>
      </c>
      <c r="AG160" s="1" t="str">
        <f t="shared" si="54"/>
        <v>NW</v>
      </c>
      <c r="AH160" s="92" t="str">
        <f t="shared" si="55"/>
        <v>"%USERPROFILE%\Documents\GitHub\eaglep3\Utilities\RefineRTDCRunTimes.py" --tripid 801-20 --locoid 4016 --swversion DE.1.0.7.0 --startMP 204:446 --initTime 2016-10-20T05:50:41 --startdatetime 2016-10-20T05:53:07 --delay 1 --endMP 300:42099 --enddatetime 2016-10-20T06:07:30 --enforcementcount 0 &gt;&gt;C:\Users\stu\Documents\GitHub\eaglep3-reporting\EC\2016-10-20-refined-times.txt</v>
      </c>
      <c r="AI16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{"issue":{"subject":"","project_id":79,"tracker_id":40,"status_id":1,"priority_id":2,"assigned_to_id":23,"start_date":"2016-10-20","description":"","custom_fields":[{"id":1,"name":"Subdivision","value":"NW"},{"id":4,"name":"Milepost","value":"5.89"},{"id":17,"name":"Train ID","value":"801-20"},{"id":16,"name":"Locomotive ID","value":"4016"},{"id":130,"name":"Impact","value":""},{"id":150,"name":"Time of Event (Mountain Time)","value":"06:07:30"},{"id":151,"name":"Denver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463</v>
      </c>
      <c r="B161" s="7">
        <v>4015</v>
      </c>
      <c r="C161" s="22" t="s">
        <v>99</v>
      </c>
      <c r="D161" s="22" t="s">
        <v>704</v>
      </c>
      <c r="E161" s="13">
        <v>42663.257291666669</v>
      </c>
      <c r="F161" s="13">
        <v>42663.259409722225</v>
      </c>
      <c r="G161" s="7">
        <v>1</v>
      </c>
      <c r="H161" s="13" t="s">
        <v>707</v>
      </c>
      <c r="I161" s="13">
        <v>42663.268842592595</v>
      </c>
      <c r="J161" s="7">
        <v>0</v>
      </c>
      <c r="K161" s="112" t="str">
        <f t="shared" si="43"/>
        <v>4015/4016</v>
      </c>
      <c r="L161" s="22" t="str">
        <f>VLOOKUP(A161,'Trips&amp;Operators'!$C$1:$E$10000,3,FALSE)</f>
        <v>YORK</v>
      </c>
      <c r="M161" s="6">
        <f t="shared" si="44"/>
        <v>9.4328703708015382E-3</v>
      </c>
      <c r="N161" s="7">
        <f t="shared" si="58"/>
        <v>13.583333333954215</v>
      </c>
      <c r="O161" s="7"/>
      <c r="P161" s="7"/>
      <c r="Q161" s="23"/>
      <c r="R161" s="23"/>
      <c r="S161" s="35">
        <f t="shared" si="57"/>
        <v>1</v>
      </c>
      <c r="T161" s="50" t="str">
        <f t="shared" si="45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05:10:30-0600',mode:absolute,to:'2016-10-20 07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47"/>
        <v>N</v>
      </c>
      <c r="X161" s="171">
        <f t="shared" si="48"/>
        <v>1</v>
      </c>
      <c r="Y161" s="67">
        <f t="shared" si="49"/>
        <v>5.8611000000000004</v>
      </c>
      <c r="Z161" s="67">
        <f t="shared" ref="Z161:Z192" si="59">RIGHT(H161,LEN(H161)-4)/10000</f>
        <v>1.37E-2</v>
      </c>
      <c r="AA161" s="67">
        <f t="shared" si="50"/>
        <v>5.8474000000000004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1"/>
        <v>0802-20</v>
      </c>
      <c r="AE161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1" s="88" t="str">
        <f t="shared" si="53"/>
        <v>"C:\Program Files (x86)\AstroGrep\AstroGrep.exe" /spath="%USERPROFILE%\AppData\Local\Temp\OnboardLogs" /stypes="app*4015*20161020*" /stext=" 12:.+((SYSTEM_STATE.+slice.+state.+changed )|(ment ac)|(system.+state.+changed )|(\[timeout)|(PRM\|1\|D)|(kpr)|(kdp)|(\|lc)|(penalty))" /e /r /s</v>
      </c>
      <c r="AG161" s="1" t="str">
        <f t="shared" si="54"/>
        <v>NW</v>
      </c>
      <c r="AH161" s="92" t="str">
        <f t="shared" si="55"/>
        <v>"%USERPROFILE%\Documents\GitHub\eaglep3\Utilities\RefineRTDCRunTimes.py" --tripid 802-20 --locoid 4015 --swversion DE.1.0.7.0 --startMP 300:58611 --initTime 2016-10-20T06:10:30 --startdatetime 2016-10-20T06:13:33 --delay 1 --endMP 204:137 --enddatetime 2016-10-20T06:27:08 --enforcementcount 0 &gt;&gt;C:\Users\stu\Documents\GitHub\eaglep3-reporting\EC\2016-10-20-refined-times.txt</v>
      </c>
      <c r="AI16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{"issue":{"subject":"","project_id":79,"tracker_id":40,"status_id":1,"priority_id":2,"assigned_to_id":23,"start_date":"2016-10-20","description":"","custom_fields":[{"id":1,"name":"Subdivision","value":"NW"},{"id":4,"name":"Milepost","value":"0.0137"},{"id":17,"name":"Train ID","value":"802-20"},{"id":16,"name":"Locomotive ID","value":"4015"},{"id":130,"name":"Impact","value":""},{"id":150,"name":"Time of Event (Mountain Time)","value":"06:27:08"},{"id":151,"name":"Denver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462</v>
      </c>
      <c r="B162" s="7">
        <v>4040</v>
      </c>
      <c r="C162" s="22" t="s">
        <v>99</v>
      </c>
      <c r="D162" s="22" t="s">
        <v>708</v>
      </c>
      <c r="E162" s="13">
        <v>42663.257280092592</v>
      </c>
      <c r="F162" s="13">
        <v>42663.264780092592</v>
      </c>
      <c r="G162" s="7">
        <v>1</v>
      </c>
      <c r="H162" s="13" t="s">
        <v>387</v>
      </c>
      <c r="I162" s="13">
        <v>42663.274537037039</v>
      </c>
      <c r="J162" s="7">
        <v>0</v>
      </c>
      <c r="K162" s="112" t="str">
        <f t="shared" si="43"/>
        <v>4039/4040</v>
      </c>
      <c r="L162" s="22" t="str">
        <f>VLOOKUP(A162,'Trips&amp;Operators'!$C$1:$E$10000,3,FALSE)</f>
        <v>ISHMAEL</v>
      </c>
      <c r="M162" s="6">
        <f t="shared" si="44"/>
        <v>9.7569444478722289E-3</v>
      </c>
      <c r="N162" s="7">
        <f t="shared" si="58"/>
        <v>14.05000000493601</v>
      </c>
      <c r="O162" s="7"/>
      <c r="P162" s="7"/>
      <c r="Q162" s="23"/>
      <c r="R162" s="23"/>
      <c r="S162" s="35">
        <f t="shared" si="57"/>
        <v>1</v>
      </c>
      <c r="T162" s="50" t="str">
        <f t="shared" si="45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05:10:29-0600',mode:absolute,to:'2016-10-20 07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47"/>
        <v>N</v>
      </c>
      <c r="X162" s="171">
        <f t="shared" si="48"/>
        <v>1</v>
      </c>
      <c r="Y162" s="67">
        <f t="shared" si="49"/>
        <v>4.4999999999999998E-2</v>
      </c>
      <c r="Z162" s="67">
        <f t="shared" si="59"/>
        <v>5.8072999999999997</v>
      </c>
      <c r="AA162" s="67">
        <f t="shared" si="50"/>
        <v>5.7622999999999998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1"/>
        <v>0803-20</v>
      </c>
      <c r="AE16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2" s="88" t="str">
        <f t="shared" si="53"/>
        <v>"C:\Program Files (x86)\AstroGrep\AstroGrep.exe" /spath="%USERPROFILE%\AppData\Local\Temp\OnboardLogs" /stypes="app*4040*20161020*" /stext=" 12:.+((SYSTEM_STATE.+slice.+state.+changed )|(ment ac)|(system.+state.+changed )|(\[timeout)|(PRM\|1\|D)|(kpr)|(kdp)|(\|lc)|(penalty))" /e /r /s</v>
      </c>
      <c r="AG162" s="1" t="str">
        <f t="shared" si="54"/>
        <v>NW</v>
      </c>
      <c r="AH162" s="92" t="str">
        <f t="shared" si="55"/>
        <v>"%USERPROFILE%\Documents\GitHub\eaglep3\Utilities\RefineRTDCRunTimes.py" --tripid 803-20 --locoid 4040 --swversion DE.1.0.7.0 --startMP 204:450 --initTime 2016-10-20T06:10:29 --startdatetime 2016-10-20T06:21:17 --delay 1 --endMP 300:58073 --enddatetime 2016-10-20T06:35:20 --enforcementcount 0 &gt;&gt;C:\Users\stu\Documents\GitHub\eaglep3-reporting\EC\2016-10-20-refined-times.txt</v>
      </c>
      <c r="AI16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{"issue":{"subject":"","project_id":79,"tracker_id":40,"status_id":1,"priority_id":2,"assigned_to_id":23,"start_date":"2016-10-20","description":"","custom_fields":[{"id":1,"name":"Subdivision","value":"NW"},{"id":4,"name":"Milepost","value":"5.8073"},{"id":17,"name":"Train ID","value":"803-20"},{"id":16,"name":"Locomotive ID","value":"4040"},{"id":130,"name":"Impact","value":""},{"id":150,"name":"Time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467</v>
      </c>
      <c r="B163" s="7">
        <v>4039</v>
      </c>
      <c r="C163" s="22" t="s">
        <v>99</v>
      </c>
      <c r="D163" s="22" t="s">
        <v>353</v>
      </c>
      <c r="E163" s="13">
        <v>42663.275671296295</v>
      </c>
      <c r="F163" s="13">
        <v>42663.276886574073</v>
      </c>
      <c r="G163" s="7">
        <v>1</v>
      </c>
      <c r="H163" s="13" t="s">
        <v>709</v>
      </c>
      <c r="I163" s="13">
        <v>42663.289814814816</v>
      </c>
      <c r="J163" s="7">
        <v>0</v>
      </c>
      <c r="K163" s="112" t="str">
        <f t="shared" si="43"/>
        <v>4039/4040</v>
      </c>
      <c r="L163" s="22" t="str">
        <f>VLOOKUP(A163,'Trips&amp;Operators'!$C$1:$E$10000,3,FALSE)</f>
        <v>ISHMAEL</v>
      </c>
      <c r="M163" s="6">
        <f t="shared" si="44"/>
        <v>1.2928240743349306E-2</v>
      </c>
      <c r="N163" s="7">
        <f t="shared" si="58"/>
        <v>18.616666670423001</v>
      </c>
      <c r="O163" s="7"/>
      <c r="P163" s="7"/>
      <c r="Q163" s="23"/>
      <c r="R163" s="23"/>
      <c r="S163" s="35">
        <f t="shared" si="57"/>
        <v>1</v>
      </c>
      <c r="T163" s="50" t="str">
        <f t="shared" si="45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05:36:58-0600',mode:absolute,to:'2016-10-20 07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47"/>
        <v>N</v>
      </c>
      <c r="X163" s="171">
        <f t="shared" si="48"/>
        <v>1</v>
      </c>
      <c r="Y163" s="67">
        <f t="shared" si="49"/>
        <v>5.8604000000000003</v>
      </c>
      <c r="Z163" s="67">
        <f t="shared" si="59"/>
        <v>1.6400000000000001E-2</v>
      </c>
      <c r="AA163" s="67">
        <f t="shared" si="50"/>
        <v>5.8440000000000003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1"/>
        <v>0804-20</v>
      </c>
      <c r="AE16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3" s="88" t="str">
        <f t="shared" si="53"/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163" s="1" t="str">
        <f t="shared" si="54"/>
        <v>NW</v>
      </c>
      <c r="AH163" s="92" t="str">
        <f t="shared" si="55"/>
        <v>"%USERPROFILE%\Documents\GitHub\eaglep3\Utilities\RefineRTDCRunTimes.py" --tripid 804-20 --locoid 4039 --swversion DE.1.0.7.0 --startMP 300:58604 --initTime 2016-10-20T06:36:58 --startdatetime 2016-10-20T06:38:43 --delay 1 --endMP 204:164 --enddatetime 2016-10-20T06:57:20 --enforcementcount 0 &gt;&gt;C:\Users\stu\Documents\GitHub\eaglep3-reporting\EC\2016-10-20-refined-times.txt</v>
      </c>
      <c r="AI16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{"issue":{"subject":"","project_id":79,"tracker_id":40,"status_id":1,"priority_id":2,"assigned_to_id":23,"start_date":"2016-10-20","description":"","custom_fields":[{"id":1,"name":"Subdivision","value":"NW"},{"id":4,"name":"Milepost","value":"0.0164"},{"id":17,"name":"Train ID","value":"804-20"},{"id":16,"name":"Locomotive ID","value":"4039"},{"id":130,"name":"Impact","value":""},{"id":150,"name":"Time of Event (Mountain Time)","value":"06:57:20"},{"id":151,"name":"Denver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465</v>
      </c>
      <c r="B164" s="7">
        <v>4016</v>
      </c>
      <c r="C164" s="22" t="s">
        <v>99</v>
      </c>
      <c r="D164" s="22" t="s">
        <v>710</v>
      </c>
      <c r="E164" s="13">
        <v>42663.271284722221</v>
      </c>
      <c r="F164" s="13">
        <v>42663.299618055556</v>
      </c>
      <c r="G164" s="7">
        <v>1</v>
      </c>
      <c r="H164" s="13" t="s">
        <v>711</v>
      </c>
      <c r="I164" s="13">
        <v>42663.309745370374</v>
      </c>
      <c r="J164" s="7">
        <v>0</v>
      </c>
      <c r="K164" s="112" t="str">
        <f t="shared" si="43"/>
        <v>4015/4016</v>
      </c>
      <c r="L164" s="22" t="str">
        <f>VLOOKUP(A164,'Trips&amp;Operators'!$C$1:$E$10000,3,FALSE)</f>
        <v>YORK</v>
      </c>
      <c r="M164" s="6">
        <f t="shared" si="44"/>
        <v>1.0127314817509614E-2</v>
      </c>
      <c r="N164" s="7">
        <f t="shared" si="58"/>
        <v>14.583333337213844</v>
      </c>
      <c r="O164" s="7"/>
      <c r="P164" s="7"/>
      <c r="Q164" s="23"/>
      <c r="R164" s="23"/>
      <c r="S164" s="35">
        <f t="shared" si="57"/>
        <v>1</v>
      </c>
      <c r="T164" s="50" t="str">
        <f t="shared" si="45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05:30:39-0600',mode:absolute,to:'2016-10-20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47"/>
        <v>N</v>
      </c>
      <c r="X164" s="171">
        <f t="shared" si="48"/>
        <v>1</v>
      </c>
      <c r="Y164" s="67">
        <f t="shared" si="49"/>
        <v>4.3299999999999998E-2</v>
      </c>
      <c r="Z164" s="67">
        <f t="shared" si="59"/>
        <v>5.8917999999999999</v>
      </c>
      <c r="AA164" s="67">
        <f t="shared" si="50"/>
        <v>5.8484999999999996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1"/>
        <v>0805-20</v>
      </c>
      <c r="AE164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4" s="88" t="str">
        <f t="shared" si="53"/>
        <v>"C:\Program Files (x86)\AstroGrep\AstroGrep.exe" /spath="%USERPROFILE%\AppData\Local\Temp\OnboardLogs" /stypes="app*4016*20161020*" /stext=" 13:.+((SYSTEM_STATE.+slice.+state.+changed )|(ment ac)|(system.+state.+changed )|(\[timeout)|(PRM\|1\|D)|(kpr)|(kdp)|(\|lc)|(penalty))" /e /r /s</v>
      </c>
      <c r="AG164" s="1" t="str">
        <f t="shared" si="54"/>
        <v>NW</v>
      </c>
      <c r="AH164" s="92" t="str">
        <f t="shared" si="55"/>
        <v>"%USERPROFILE%\Documents\GitHub\eaglep3\Utilities\RefineRTDCRunTimes.py" --tripid 805-20 --locoid 4016 --swversion DE.1.0.7.0 --startMP 204:433 --initTime 2016-10-20T06:30:39 --startdatetime 2016-10-20T07:11:27 --delay 1 --endMP 300:58918 --enddatetime 2016-10-20T07:26:02 --enforcementcount 0 &gt;&gt;C:\Users\stu\Documents\GitHub\eaglep3-reporting\EC\2016-10-20-refined-times.txt</v>
      </c>
      <c r="AI16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ID","value":"805-20"},{"id":16,"name":"Locomotive ID","value":"4016"},{"id":130,"name":"Impact","value":""},{"id":150,"name":"Time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472</v>
      </c>
      <c r="B165" s="7">
        <v>4015</v>
      </c>
      <c r="C165" s="22" t="s">
        <v>99</v>
      </c>
      <c r="D165" s="22" t="s">
        <v>704</v>
      </c>
      <c r="E165" s="13">
        <v>42663.298217592594</v>
      </c>
      <c r="F165" s="13">
        <v>42663.299618055556</v>
      </c>
      <c r="G165" s="7">
        <v>1</v>
      </c>
      <c r="H165" s="13" t="s">
        <v>712</v>
      </c>
      <c r="I165" s="13">
        <v>42663.309745370374</v>
      </c>
      <c r="J165" s="7">
        <v>0</v>
      </c>
      <c r="K165" s="112" t="str">
        <f t="shared" si="43"/>
        <v>4015/4016</v>
      </c>
      <c r="L165" s="22" t="str">
        <f>VLOOKUP(A165,'Trips&amp;Operators'!$C$1:$E$10000,3,FALSE)</f>
        <v>YORK</v>
      </c>
      <c r="M165" s="6">
        <f t="shared" si="44"/>
        <v>1.0127314817509614E-2</v>
      </c>
      <c r="N165" s="7">
        <f t="shared" si="58"/>
        <v>14.583333337213844</v>
      </c>
      <c r="O165" s="7"/>
      <c r="P165" s="7"/>
      <c r="Q165" s="23"/>
      <c r="R165" s="23"/>
      <c r="S165" s="35">
        <f t="shared" si="57"/>
        <v>1</v>
      </c>
      <c r="T165" s="50" t="str">
        <f t="shared" si="45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06:09:26-0600',mode:absolute,to:'2016-10-20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47"/>
        <v>N</v>
      </c>
      <c r="X165" s="171">
        <f t="shared" si="48"/>
        <v>1</v>
      </c>
      <c r="Y165" s="67">
        <f t="shared" si="49"/>
        <v>5.8611000000000004</v>
      </c>
      <c r="Z165" s="67">
        <f t="shared" si="59"/>
        <v>1.3100000000000001E-2</v>
      </c>
      <c r="AA165" s="67">
        <f t="shared" si="50"/>
        <v>5.8480000000000008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1"/>
        <v>0806-20</v>
      </c>
      <c r="AE165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5" s="88" t="str">
        <f t="shared" si="53"/>
        <v>"C:\Program Files (x86)\AstroGrep\AstroGrep.exe" /spath="%USERPROFILE%\AppData\Local\Temp\OnboardLogs" /stypes="app*4015*20161020*" /stext=" 13:.+((SYSTEM_STATE.+slice.+state.+changed )|(ment ac)|(system.+state.+changed )|(\[timeout)|(PRM\|1\|D)|(kpr)|(kdp)|(\|lc)|(penalty))" /e /r /s</v>
      </c>
      <c r="AG165" s="1" t="str">
        <f t="shared" si="54"/>
        <v>NW</v>
      </c>
      <c r="AH165" s="92" t="str">
        <f t="shared" si="55"/>
        <v>"%USERPROFILE%\Documents\GitHub\eaglep3\Utilities\RefineRTDCRunTimes.py" --tripid 806-20 --locoid 4015 --swversion DE.1.0.7.0 --startMP 300:58611 --initTime 2016-10-20T07:09:26 --startdatetime 2016-10-20T07:11:27 --delay 1 --endMP 204:131 --enddatetime 2016-10-20T07:26:02 --enforcementcount 0 &gt;&gt;C:\Users\stu\Documents\GitHub\eaglep3-reporting\EC\2016-10-20-refined-times.txt</v>
      </c>
      <c r="AI16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{"issue":{"subject":"","project_id":79,"tracker_id":40,"status_id":1,"priority_id":2,"assigned_to_id":23,"start_date":"2016-10-20","description":"","custom_fields":[{"id":1,"name":"Subdivision","value":"NW"},{"id":4,"name":"Milepost","value":"0.0131"},{"id":17,"name":"Train ID","value":"806-20"},{"id":16,"name":"Locomotive ID","value":"4015"},{"id":130,"name":"Impact","value":""},{"id":150,"name":"Time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473</v>
      </c>
      <c r="B166" s="7">
        <v>4040</v>
      </c>
      <c r="C166" s="22" t="s">
        <v>99</v>
      </c>
      <c r="D166" s="22" t="s">
        <v>247</v>
      </c>
      <c r="E166" s="13">
        <v>42663.298310185186</v>
      </c>
      <c r="F166" s="13">
        <v>42663.306469907409</v>
      </c>
      <c r="G166" s="7">
        <v>1</v>
      </c>
      <c r="H166" s="13" t="s">
        <v>713</v>
      </c>
      <c r="I166" s="13">
        <v>42663.316099537034</v>
      </c>
      <c r="J166" s="7">
        <v>0</v>
      </c>
      <c r="K166" s="112" t="str">
        <f t="shared" si="43"/>
        <v>4039/4040</v>
      </c>
      <c r="L166" s="22" t="str">
        <f>VLOOKUP(A166,'Trips&amp;Operators'!$C$1:$E$10000,3,FALSE)</f>
        <v>ISHMAEL</v>
      </c>
      <c r="M166" s="6">
        <f t="shared" si="44"/>
        <v>9.6296296251239255E-3</v>
      </c>
      <c r="N166" s="7">
        <f t="shared" si="58"/>
        <v>13.866666660178453</v>
      </c>
      <c r="O166" s="7"/>
      <c r="P166" s="7"/>
      <c r="Q166" s="23"/>
      <c r="R166" s="23"/>
      <c r="S166" s="35">
        <f t="shared" si="57"/>
        <v>1</v>
      </c>
      <c r="T166" s="50" t="str">
        <f t="shared" si="45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06:09:34-0600',mode:absolute,to:'2016-10-20 08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47"/>
        <v>N</v>
      </c>
      <c r="X166" s="171">
        <f t="shared" si="48"/>
        <v>1</v>
      </c>
      <c r="Y166" s="67">
        <f t="shared" si="49"/>
        <v>4.5100000000000001E-2</v>
      </c>
      <c r="Z166" s="67">
        <f t="shared" si="59"/>
        <v>5.8945999999999996</v>
      </c>
      <c r="AA166" s="67">
        <f t="shared" si="50"/>
        <v>5.8494999999999999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1"/>
        <v>0807-20</v>
      </c>
      <c r="AE16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6" s="88" t="str">
        <f t="shared" si="53"/>
        <v>"C:\Program Files (x86)\AstroGrep\AstroGrep.exe" /spath="%USERPROFILE%\AppData\Local\Temp\OnboardLogs" /stypes="app*4040*20161020*" /stext=" 13:.+((SYSTEM_STATE.+slice.+state.+changed )|(ment ac)|(system.+state.+changed )|(\[timeout)|(PRM\|1\|D)|(kpr)|(kdp)|(\|lc)|(penalty))" /e /r /s</v>
      </c>
      <c r="AG166" s="1" t="str">
        <f t="shared" si="54"/>
        <v>NW</v>
      </c>
      <c r="AH166" s="92" t="str">
        <f t="shared" si="55"/>
        <v>"%USERPROFILE%\Documents\GitHub\eaglep3\Utilities\RefineRTDCRunTimes.py" --tripid 807-20 --locoid 4040 --swversion DE.1.0.7.0 --startMP 204:451 --initTime 2016-10-20T07:09:34 --startdatetime 2016-10-20T07:21:19 --delay 1 --endMP 300:58946 --enddatetime 2016-10-20T07:35:11 --enforcementcount 0 &gt;&gt;C:\Users\stu\Documents\GitHub\eaglep3-reporting\EC\2016-10-20-refined-times.txt</v>
      </c>
      <c r="AI16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ID","value":"807-20"},{"id":16,"name":"Locomotive ID","value":"4040"},{"id":130,"name":"Impact","value":""},{"id":150,"name":"Time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477</v>
      </c>
      <c r="B167" s="7">
        <v>4039</v>
      </c>
      <c r="C167" s="22" t="s">
        <v>99</v>
      </c>
      <c r="D167" s="22" t="s">
        <v>314</v>
      </c>
      <c r="E167" s="13">
        <v>42663.316944444443</v>
      </c>
      <c r="F167" s="13">
        <v>42663.318043981482</v>
      </c>
      <c r="G167" s="7">
        <v>1</v>
      </c>
      <c r="H167" s="13" t="s">
        <v>714</v>
      </c>
      <c r="I167" s="13">
        <v>42663.330914351849</v>
      </c>
      <c r="J167" s="7">
        <v>0</v>
      </c>
      <c r="K167" s="112" t="str">
        <f t="shared" si="43"/>
        <v>4039/4040</v>
      </c>
      <c r="L167" s="22" t="str">
        <f>VLOOKUP(A167,'Trips&amp;Operators'!$C$1:$E$10000,3,FALSE)</f>
        <v>ISHMAEL</v>
      </c>
      <c r="M167" s="6">
        <f t="shared" si="44"/>
        <v>1.2870370366727002E-2</v>
      </c>
      <c r="N167" s="7">
        <f t="shared" si="58"/>
        <v>18.533333328086883</v>
      </c>
      <c r="O167" s="7"/>
      <c r="P167" s="7"/>
      <c r="Q167" s="23"/>
      <c r="R167" s="23"/>
      <c r="S167" s="35">
        <f t="shared" si="57"/>
        <v>1</v>
      </c>
      <c r="T167" s="50" t="str">
        <f t="shared" si="45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06:36:24-0600',mode:absolute,to:'2016-10-20 08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47"/>
        <v>N</v>
      </c>
      <c r="X167" s="171">
        <f t="shared" si="48"/>
        <v>1</v>
      </c>
      <c r="Y167" s="67">
        <f t="shared" si="49"/>
        <v>5.8613</v>
      </c>
      <c r="Z167" s="67">
        <f t="shared" si="59"/>
        <v>1.5299999999999999E-2</v>
      </c>
      <c r="AA167" s="67">
        <f t="shared" si="50"/>
        <v>5.8460000000000001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1"/>
        <v>0808-20</v>
      </c>
      <c r="AE16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7" s="88" t="str">
        <f t="shared" si="53"/>
        <v>"C:\Program Files (x86)\AstroGrep\AstroGrep.exe" /spath="%USERPROFILE%\AppData\Local\Temp\OnboardLogs" /stypes="app*4039*20161020*" /stext=" 13:.+((SYSTEM_STATE.+slice.+state.+changed )|(ment ac)|(system.+state.+changed )|(\[timeout)|(PRM\|1\|D)|(kpr)|(kdp)|(\|lc)|(penalty))" /e /r /s</v>
      </c>
      <c r="AG167" s="1" t="str">
        <f t="shared" si="54"/>
        <v>NW</v>
      </c>
      <c r="AH167" s="92" t="str">
        <f t="shared" si="55"/>
        <v>"%USERPROFILE%\Documents\GitHub\eaglep3\Utilities\RefineRTDCRunTimes.py" --tripid 808-20 --locoid 4039 --swversion DE.1.0.7.0 --startMP 300:58613 --initTime 2016-10-20T07:36:24 --startdatetime 2016-10-20T07:37:59 --delay 1 --endMP 204:153 --enddatetime 2016-10-20T07:56:31 --enforcementcount 0 &gt;&gt;C:\Users\stu\Documents\GitHub\eaglep3-reporting\EC\2016-10-20-refined-times.txt</v>
      </c>
      <c r="AI16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{"issue":{"subject":"","project_id":79,"tracker_id":40,"status_id":1,"priority_id":2,"assigned_to_id":23,"start_date":"2016-10-20","description":"","custom_fields":[{"id":1,"name":"Subdivision","value":"NW"},{"id":4,"name":"Milepost","value":"0.0153"},{"id":17,"name":"Train ID","value":"808-20"},{"id":16,"name":"Locomotive ID","value":"4039"},{"id":130,"name":"Impact","value":""},{"id":150,"name":"Time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398</v>
      </c>
      <c r="B168" s="7">
        <v>4016</v>
      </c>
      <c r="C168" s="22" t="s">
        <v>99</v>
      </c>
      <c r="D168" s="22" t="s">
        <v>710</v>
      </c>
      <c r="E168" s="13">
        <v>42663.311805555553</v>
      </c>
      <c r="F168" s="13">
        <v>42663.327361111114</v>
      </c>
      <c r="G168" s="7">
        <v>1</v>
      </c>
      <c r="H168" s="13" t="s">
        <v>711</v>
      </c>
      <c r="I168" s="13">
        <v>42663.337500000001</v>
      </c>
      <c r="J168" s="7">
        <v>0</v>
      </c>
      <c r="K168" s="112" t="str">
        <f t="shared" si="43"/>
        <v>4015/4016</v>
      </c>
      <c r="L168" s="22" t="str">
        <f>VLOOKUP(A168,'Trips&amp;Operators'!$C$1:$E$10000,3,FALSE)</f>
        <v>YORK</v>
      </c>
      <c r="M168" s="6">
        <f t="shared" si="44"/>
        <v>1.0138888887013309E-2</v>
      </c>
      <c r="N168" s="7">
        <f t="shared" si="58"/>
        <v>14.599999997299165</v>
      </c>
      <c r="O168" s="7"/>
      <c r="P168" s="7"/>
      <c r="Q168" s="23"/>
      <c r="R168" s="23"/>
      <c r="S168" s="35">
        <f t="shared" si="57"/>
        <v>1</v>
      </c>
      <c r="T168" s="50" t="str">
        <f t="shared" si="45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47"/>
        <v>N</v>
      </c>
      <c r="X168" s="171">
        <f t="shared" si="48"/>
        <v>1</v>
      </c>
      <c r="Y168" s="67">
        <f t="shared" si="49"/>
        <v>4.3299999999999998E-2</v>
      </c>
      <c r="Z168" s="67">
        <f t="shared" si="59"/>
        <v>5.8917999999999999</v>
      </c>
      <c r="AA168" s="67">
        <f t="shared" si="50"/>
        <v>5.8484999999999996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1"/>
        <v>0809-20</v>
      </c>
      <c r="AE168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8" s="88" t="str">
        <f t="shared" si="53"/>
        <v>"C:\Program Files (x86)\AstroGrep\AstroGrep.exe" /spath="%USERPROFILE%\AppData\Local\Temp\OnboardLogs" /stypes="app*4016*20161020*" /stext=" 14:.+((SYSTEM_STATE.+slice.+state.+changed )|(ment ac)|(system.+state.+changed )|(\[timeout)|(PRM\|1\|D)|(kpr)|(kdp)|(\|lc)|(penalty))" /e /r /s</v>
      </c>
      <c r="AG168" s="1" t="str">
        <f t="shared" si="54"/>
        <v>NW</v>
      </c>
      <c r="AH168" s="92" t="str">
        <f t="shared" si="55"/>
        <v>"%USERPROFILE%\Documents\GitHub\eaglep3\Utilities\RefineRTDCRunTimes.py" --tripid 809-20 --locoid 4016 --swversion DE.1.0.7.0 --startMP 204:433 --initTime 2016-10-20T07:29:00 --startdatetime 2016-10-20T07:51:24 --delay 1 --endMP 300:58918 --enddatetime 2016-10-20T08:06:00 --enforcementcount 0 &gt;&gt;C:\Users\stu\Documents\GitHub\eaglep3-reporting\EC\2016-10-20-refined-times.txt</v>
      </c>
      <c r="AI16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ID","value":"809-20"},{"id":16,"name":"Locomotive ID","value":"4016"},{"id":130,"name":"Impact","value":""},{"id":150,"name":"Time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481</v>
      </c>
      <c r="B169" s="7">
        <v>4015</v>
      </c>
      <c r="C169" s="22" t="s">
        <v>99</v>
      </c>
      <c r="D169" s="22" t="s">
        <v>715</v>
      </c>
      <c r="E169" s="13">
        <v>42663.338900462964</v>
      </c>
      <c r="F169" s="13">
        <v>42663.340983796297</v>
      </c>
      <c r="G169" s="7">
        <v>1</v>
      </c>
      <c r="H169" s="13" t="s">
        <v>716</v>
      </c>
      <c r="I169" s="13">
        <v>42663.351064814815</v>
      </c>
      <c r="J169" s="7">
        <v>0</v>
      </c>
      <c r="K169" s="112" t="str">
        <f t="shared" si="43"/>
        <v>4015/4016</v>
      </c>
      <c r="L169" s="22" t="str">
        <f>VLOOKUP(A169,'Trips&amp;Operators'!$C$1:$E$10000,3,FALSE)</f>
        <v>YORK</v>
      </c>
      <c r="M169" s="6">
        <f t="shared" si="44"/>
        <v>1.0081018517666962E-2</v>
      </c>
      <c r="N169" s="7">
        <f t="shared" si="58"/>
        <v>14.516666665440425</v>
      </c>
      <c r="O169" s="7"/>
      <c r="P169" s="7"/>
      <c r="Q169" s="23"/>
      <c r="R169" s="23"/>
      <c r="S169" s="35">
        <f t="shared" si="57"/>
        <v>1</v>
      </c>
      <c r="T169" s="50" t="str">
        <f t="shared" si="45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07:08:01-0600',mode:absolute,to:'2016-10-20 09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47"/>
        <v>N</v>
      </c>
      <c r="X169" s="171">
        <f t="shared" si="48"/>
        <v>1</v>
      </c>
      <c r="Y169" s="67">
        <f t="shared" si="49"/>
        <v>5.8609</v>
      </c>
      <c r="Z169" s="67">
        <f t="shared" si="59"/>
        <v>0.1169</v>
      </c>
      <c r="AA169" s="67">
        <f t="shared" si="50"/>
        <v>5.7439999999999998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1"/>
        <v>0810-20</v>
      </c>
      <c r="AE169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9" s="88" t="str">
        <f t="shared" si="53"/>
        <v>"C:\Program Files (x86)\AstroGrep\AstroGrep.exe" /spath="%USERPROFILE%\AppData\Local\Temp\OnboardLogs" /stypes="app*4015*20161020*" /stext=" 14:.+((SYSTEM_STATE.+slice.+state.+changed )|(ment ac)|(system.+state.+changed )|(\[timeout)|(PRM\|1\|D)|(kpr)|(kdp)|(\|lc)|(penalty))" /e /r /s</v>
      </c>
      <c r="AG169" s="1" t="str">
        <f t="shared" si="54"/>
        <v>NW</v>
      </c>
      <c r="AH169" s="92" t="str">
        <f t="shared" si="55"/>
        <v>"%USERPROFILE%\Documents\GitHub\eaglep3\Utilities\RefineRTDCRunTimes.py" --tripid 810-20 --locoid 4015 --swversion DE.1.0.7.0 --startMP 300:58609 --initTime 2016-10-20T08:08:01 --startdatetime 2016-10-20T08:11:01 --delay 1 --endMP 204:1169 --enddatetime 2016-10-20T08:25:32 --enforcementcount 0 &gt;&gt;C:\Users\stu\Documents\GitHub\eaglep3-reporting\EC\2016-10-20-refined-times.txt</v>
      </c>
      <c r="AI16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{"issue":{"subject":"","project_id":79,"tracker_id":40,"status_id":1,"priority_id":2,"assigned_to_id":23,"start_date":"2016-10-20","description":"","custom_fields":[{"id":1,"name":"Subdivision","value":"NW"},{"id":4,"name":"Milepost","value":"0.1169"},{"id":17,"name":"Train ID","value":"810-20"},{"id":16,"name":"Locomotive ID","value":"4015"},{"id":130,"name":"Impact","value":""},{"id":150,"name":"Time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483</v>
      </c>
      <c r="B170" s="7">
        <v>4040</v>
      </c>
      <c r="C170" s="22" t="s">
        <v>99</v>
      </c>
      <c r="D170" s="22" t="s">
        <v>238</v>
      </c>
      <c r="E170" s="13">
        <v>42663.340902777774</v>
      </c>
      <c r="F170" s="13">
        <v>42663.348090277781</v>
      </c>
      <c r="G170" s="7">
        <v>1</v>
      </c>
      <c r="H170" s="13" t="s">
        <v>713</v>
      </c>
      <c r="I170" s="13">
        <v>42663.357777777775</v>
      </c>
      <c r="J170" s="7">
        <v>0</v>
      </c>
      <c r="K170" s="112" t="str">
        <f t="shared" si="43"/>
        <v>4039/4040</v>
      </c>
      <c r="L170" s="22" t="str">
        <f>VLOOKUP(A170,'Trips&amp;Operators'!$C$1:$E$10000,3,FALSE)</f>
        <v>ISHMAEL</v>
      </c>
      <c r="M170" s="6">
        <f t="shared" si="44"/>
        <v>9.6874999944702722E-3</v>
      </c>
      <c r="N170" s="7">
        <f t="shared" si="58"/>
        <v>13.949999992037192</v>
      </c>
      <c r="O170" s="7"/>
      <c r="P170" s="7"/>
      <c r="Q170" s="23"/>
      <c r="R170" s="23"/>
      <c r="S170" s="35">
        <f t="shared" si="57"/>
        <v>1</v>
      </c>
      <c r="T170" s="50" t="str">
        <f t="shared" si="45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07:10:54-0600',mode:absolute,to:'2016-10-20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 t="shared" si="47"/>
        <v>N</v>
      </c>
      <c r="X170" s="171">
        <f t="shared" si="48"/>
        <v>1</v>
      </c>
      <c r="Y170" s="67">
        <f t="shared" si="49"/>
        <v>4.6600000000000003E-2</v>
      </c>
      <c r="Z170" s="67">
        <f t="shared" si="59"/>
        <v>5.8945999999999996</v>
      </c>
      <c r="AA170" s="67">
        <f t="shared" si="50"/>
        <v>5.8479999999999999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1"/>
        <v>0811-20</v>
      </c>
      <c r="AE17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0" s="88" t="str">
        <f t="shared" si="53"/>
        <v>"C:\Program Files (x86)\AstroGrep\AstroGrep.exe" /spath="%USERPROFILE%\AppData\Local\Temp\OnboardLogs" /stypes="app*4040*20161020*" /stext=" 14:.+((SYSTEM_STATE.+slice.+state.+changed )|(ment ac)|(system.+state.+changed )|(\[timeout)|(PRM\|1\|D)|(kpr)|(kdp)|(\|lc)|(penalty))" /e /r /s</v>
      </c>
      <c r="AG170" s="1" t="str">
        <f t="shared" si="54"/>
        <v>NW</v>
      </c>
      <c r="AH170" s="92" t="str">
        <f t="shared" si="55"/>
        <v>"%USERPROFILE%\Documents\GitHub\eaglep3\Utilities\RefineRTDCRunTimes.py" --tripid 811-20 --locoid 4040 --swversion DE.1.0.7.0 --startMP 204:466 --initTime 2016-10-20T08:10:54 --startdatetime 2016-10-20T08:21:15 --delay 1 --endMP 300:58946 --enddatetime 2016-10-20T08:35:12 --enforcementcount 0 &gt;&gt;C:\Users\stu\Documents\GitHub\eaglep3-reporting\EC\2016-10-20-refined-times.txt</v>
      </c>
      <c r="AI17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ID","value":"811-20"},{"id":16,"name":"Locomotive ID","value":"4040"},{"id":130,"name":"Impact","value":""},{"id":150,"name":"Time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487</v>
      </c>
      <c r="B171" s="7">
        <v>4039</v>
      </c>
      <c r="C171" s="22" t="s">
        <v>99</v>
      </c>
      <c r="D171" s="22" t="s">
        <v>717</v>
      </c>
      <c r="E171" s="13">
        <v>42663.358599537038</v>
      </c>
      <c r="F171" s="13">
        <v>42663.359803240739</v>
      </c>
      <c r="G171" s="7">
        <v>1</v>
      </c>
      <c r="H171" s="13" t="s">
        <v>718</v>
      </c>
      <c r="I171" s="13">
        <v>42663.371886574074</v>
      </c>
      <c r="J171" s="7">
        <v>0</v>
      </c>
      <c r="K171" s="112" t="str">
        <f t="shared" si="43"/>
        <v>4039/4040</v>
      </c>
      <c r="L171" s="22" t="str">
        <f>VLOOKUP(A171,'Trips&amp;Operators'!$C$1:$E$10000,3,FALSE)</f>
        <v>ISHMAEL</v>
      </c>
      <c r="M171" s="6">
        <f t="shared" si="44"/>
        <v>1.2083333334885538E-2</v>
      </c>
      <c r="N171" s="7">
        <f t="shared" si="58"/>
        <v>17.400000002235174</v>
      </c>
      <c r="O171" s="7"/>
      <c r="P171" s="7"/>
      <c r="Q171" s="23"/>
      <c r="R171" s="23"/>
      <c r="S171" s="35">
        <f t="shared" si="57"/>
        <v>1</v>
      </c>
      <c r="T171" s="50" t="str">
        <f t="shared" si="45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07:36:23-0600',mode:absolute,to:'2016-10-20 09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 t="shared" si="47"/>
        <v>N</v>
      </c>
      <c r="X171" s="171">
        <f t="shared" si="48"/>
        <v>1</v>
      </c>
      <c r="Y171" s="67">
        <f t="shared" si="49"/>
        <v>5.8624000000000001</v>
      </c>
      <c r="Z171" s="67">
        <f t="shared" si="59"/>
        <v>6.8500000000000005E-2</v>
      </c>
      <c r="AA171" s="67">
        <f t="shared" si="50"/>
        <v>5.7938999999999998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1"/>
        <v>0812-20</v>
      </c>
      <c r="AE17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1" s="88" t="str">
        <f t="shared" si="53"/>
        <v>"C:\Program Files (x86)\AstroGrep\AstroGrep.exe" /spath="%USERPROFILE%\AppData\Local\Temp\OnboardLogs" /stypes="app*4039*20161020*" /stext=" 14:.+((SYSTEM_STATE.+slice.+state.+changed )|(ment ac)|(system.+state.+changed )|(\[timeout)|(PRM\|1\|D)|(kpr)|(kdp)|(\|lc)|(penalty))" /e /r /s</v>
      </c>
      <c r="AG171" s="1" t="str">
        <f t="shared" si="54"/>
        <v>NW</v>
      </c>
      <c r="AH171" s="92" t="str">
        <f t="shared" si="55"/>
        <v>"%USERPROFILE%\Documents\GitHub\eaglep3\Utilities\RefineRTDCRunTimes.py" --tripid 812-20 --locoid 4039 --swversion DE.1.0.7.0 --startMP 300:58624 --initTime 2016-10-20T08:36:23 --startdatetime 2016-10-20T08:38:07 --delay 1 --endMP 204:685 --enddatetime 2016-10-20T08:55:31 --enforcementcount 0 &gt;&gt;C:\Users\stu\Documents\GitHub\eaglep3-reporting\EC\2016-10-20-refined-times.txt</v>
      </c>
      <c r="AI17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ID","value":"812-20"},{"id":16,"name":"Locomotive ID","value":"4039"},{"id":130,"name":"Impact","value":""},{"id":150,"name":"Time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491</v>
      </c>
      <c r="B172" s="7">
        <v>4040</v>
      </c>
      <c r="C172" s="22" t="s">
        <v>99</v>
      </c>
      <c r="D172" s="22" t="s">
        <v>315</v>
      </c>
      <c r="E172" s="13">
        <v>42663.373576388891</v>
      </c>
      <c r="F172" s="13">
        <v>42663.389768518522</v>
      </c>
      <c r="G172" s="7">
        <v>1</v>
      </c>
      <c r="H172" s="13" t="s">
        <v>719</v>
      </c>
      <c r="I172" s="13">
        <v>42663.399097222224</v>
      </c>
      <c r="J172" s="7">
        <v>0</v>
      </c>
      <c r="K172" s="112" t="str">
        <f t="shared" si="43"/>
        <v>4039/4040</v>
      </c>
      <c r="L172" s="22" t="str">
        <f>VLOOKUP(A172,'Trips&amp;Operators'!$C$1:$E$10000,3,FALSE)</f>
        <v>ISHMAEL</v>
      </c>
      <c r="M172" s="6">
        <f t="shared" si="44"/>
        <v>9.3287037016125396E-3</v>
      </c>
      <c r="N172" s="7">
        <f t="shared" si="58"/>
        <v>13.433333330322057</v>
      </c>
      <c r="O172" s="7"/>
      <c r="P172" s="7"/>
      <c r="Q172" s="23"/>
      <c r="R172" s="23"/>
      <c r="S172" s="35">
        <f t="shared" si="57"/>
        <v>1</v>
      </c>
      <c r="T172" s="50" t="str">
        <f t="shared" si="45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07:57:57-0600',mode:absolute,to:'2016-10-20 10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47"/>
        <v>N</v>
      </c>
      <c r="X172" s="171">
        <f t="shared" si="48"/>
        <v>1</v>
      </c>
      <c r="Y172" s="67">
        <f t="shared" si="49"/>
        <v>9.7900000000000001E-2</v>
      </c>
      <c r="Z172" s="67">
        <f t="shared" si="59"/>
        <v>5.8936999999999999</v>
      </c>
      <c r="AA172" s="67">
        <f t="shared" si="50"/>
        <v>5.7957999999999998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1"/>
        <v>0813-20</v>
      </c>
      <c r="AE17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2" s="88" t="str">
        <f t="shared" si="53"/>
        <v>"C:\Program Files (x86)\AstroGrep\AstroGrep.exe" /spath="%USERPROFILE%\AppData\Local\Temp\OnboardLogs" /stypes="app*4040*20161020*" /stext=" 15:.+((SYSTEM_STATE.+slice.+state.+changed )|(ment ac)|(system.+state.+changed )|(\[timeout)|(PRM\|1\|D)|(kpr)|(kdp)|(\|lc)|(penalty))" /e /r /s</v>
      </c>
      <c r="AG172" s="1" t="str">
        <f t="shared" si="54"/>
        <v>NW</v>
      </c>
      <c r="AH172" s="92" t="str">
        <f t="shared" si="55"/>
        <v>"%USERPROFILE%\Documents\GitHub\eaglep3\Utilities\RefineRTDCRunTimes.py" --tripid 813-20 --locoid 4040 --swversion DE.1.0.7.0 --startMP 204:979 --initTime 2016-10-20T08:57:57 --startdatetime 2016-10-20T09:21:16 --delay 1 --endMP 300:58937 --enddatetime 2016-10-20T09:34:42 --enforcementcount 0 &gt;&gt;C:\Users\stu\Documents\GitHub\eaglep3-reporting\EC\2016-10-20-refined-times.txt</v>
      </c>
      <c r="AI17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ID","value":"813-20"},{"id":16,"name":"Locomotive ID","value":"4040"},{"id":130,"name":"Impact","value":""},{"id":150,"name":"Time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405</v>
      </c>
      <c r="B173" s="7">
        <v>4039</v>
      </c>
      <c r="C173" s="22" t="s">
        <v>99</v>
      </c>
      <c r="D173" s="22" t="s">
        <v>720</v>
      </c>
      <c r="E173" s="13">
        <v>42663.399895833332</v>
      </c>
      <c r="F173" s="13">
        <v>42663.401921296296</v>
      </c>
      <c r="G173" s="7">
        <v>2</v>
      </c>
      <c r="H173" s="13" t="s">
        <v>721</v>
      </c>
      <c r="I173" s="13">
        <v>42663.416539351849</v>
      </c>
      <c r="J173" s="7">
        <v>0</v>
      </c>
      <c r="K173" s="112" t="str">
        <f t="shared" si="43"/>
        <v>4039/4040</v>
      </c>
      <c r="L173" s="22" t="str">
        <f>VLOOKUP(A173,'Trips&amp;Operators'!$C$1:$E$10000,3,FALSE)</f>
        <v>ISHMAEL</v>
      </c>
      <c r="M173" s="6">
        <f t="shared" si="44"/>
        <v>1.4618055553000886E-2</v>
      </c>
      <c r="N173" s="7">
        <f t="shared" si="58"/>
        <v>21.049999996321276</v>
      </c>
      <c r="O173" s="7"/>
      <c r="P173" s="7"/>
      <c r="Q173" s="23"/>
      <c r="R173" s="23"/>
      <c r="S173" s="35">
        <f t="shared" si="57"/>
        <v>1</v>
      </c>
      <c r="T173" s="50" t="str">
        <f t="shared" si="45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47"/>
        <v>N</v>
      </c>
      <c r="X173" s="171">
        <f t="shared" si="48"/>
        <v>1</v>
      </c>
      <c r="Y173" s="67">
        <f t="shared" si="49"/>
        <v>5.8619000000000003</v>
      </c>
      <c r="Z173" s="67">
        <f t="shared" si="59"/>
        <v>7.0499999999999993E-2</v>
      </c>
      <c r="AA173" s="67">
        <f t="shared" si="50"/>
        <v>5.7914000000000003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1"/>
        <v>0814-20</v>
      </c>
      <c r="AE17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3" s="88" t="str">
        <f t="shared" si="53"/>
        <v>"C:\Program Files (x86)\AstroGrep\AstroGrep.exe" /spath="%USERPROFILE%\AppData\Local\Temp\OnboardLogs" /stypes="app*4039*20161020*" /stext=" 15:.+((SYSTEM_STATE.+slice.+state.+changed )|(ment ac)|(system.+state.+changed )|(\[timeout)|(PRM\|1\|D)|(kpr)|(kdp)|(\|lc)|(penalty))" /e /r /s</v>
      </c>
      <c r="AG173" s="1" t="str">
        <f t="shared" si="54"/>
        <v>NW</v>
      </c>
      <c r="AH173" s="92" t="str">
        <f t="shared" si="55"/>
        <v>"%USERPROFILE%\Documents\GitHub\eaglep3\Utilities\RefineRTDCRunTimes.py" --tripid 814-20 --locoid 4039 --swversion DE.1.0.7.0 --startMP 300:58619 --initTime 2016-10-20T09:35:51 --startdatetime 2016-10-20T09:38:46 --delay 2 --endMP 204:705 --enddatetime 2016-10-20T09:59:49 --enforcementcount 0 &gt;&gt;C:\Users\stu\Documents\GitHub\eaglep3-reporting\EC\2016-10-20-refined-times.txt</v>
      </c>
      <c r="AI17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{"issue":{"subject":"","project_id":79,"tracker_id":40,"status_id":1,"priority_id":2,"assigned_to_id":23,"start_date":"2016-10-20","description":"","custom_fields":[{"id":1,"name":"Subdivision","value":"NW"},{"id":4,"name":"Milepost","value":"0.0705"},{"id":17,"name":"Train ID","value":"814-20"},{"id":16,"name":"Locomotive ID","value":"4039"},{"id":130,"name":"Impact","value":""},{"id":150,"name":"Time of Event (Mountain Time)","value":"09:59:49"},{"id":151,"name":"Denver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499</v>
      </c>
      <c r="B174" s="7">
        <v>4040</v>
      </c>
      <c r="C174" s="22" t="s">
        <v>99</v>
      </c>
      <c r="D174" s="22" t="s">
        <v>389</v>
      </c>
      <c r="E174" s="13">
        <v>42663.417928240742</v>
      </c>
      <c r="F174" s="13">
        <v>42663.431458333333</v>
      </c>
      <c r="G174" s="7">
        <v>2</v>
      </c>
      <c r="H174" s="13" t="s">
        <v>722</v>
      </c>
      <c r="I174" s="13">
        <v>42663.440960648149</v>
      </c>
      <c r="J174" s="7">
        <v>0</v>
      </c>
      <c r="K174" s="112" t="str">
        <f t="shared" si="43"/>
        <v>4039/4040</v>
      </c>
      <c r="L174" s="22" t="str">
        <f>VLOOKUP(A174,'Trips&amp;Operators'!$C$1:$E$10000,3,FALSE)</f>
        <v>ISHMAEL</v>
      </c>
      <c r="M174" s="6">
        <f t="shared" si="44"/>
        <v>9.5023148169275373E-3</v>
      </c>
      <c r="N174" s="7">
        <f t="shared" si="58"/>
        <v>13.683333336375654</v>
      </c>
      <c r="O174" s="7"/>
      <c r="P174" s="7"/>
      <c r="Q174" s="23"/>
      <c r="R174" s="23"/>
      <c r="S174" s="35">
        <f t="shared" si="57"/>
        <v>1</v>
      </c>
      <c r="T174" s="50" t="str">
        <f t="shared" si="45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09:01:49-0600',mode:absolute,to:'2016-10-20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47"/>
        <v>N</v>
      </c>
      <c r="X174" s="171">
        <f t="shared" si="48"/>
        <v>1</v>
      </c>
      <c r="Y174" s="67">
        <f t="shared" si="49"/>
        <v>9.7600000000000006E-2</v>
      </c>
      <c r="Z174" s="67">
        <f t="shared" si="59"/>
        <v>5.8929</v>
      </c>
      <c r="AA174" s="67">
        <f t="shared" si="50"/>
        <v>5.7953000000000001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1"/>
        <v>0815-20</v>
      </c>
      <c r="AE17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4" s="88" t="str">
        <f t="shared" si="53"/>
        <v>"C:\Program Files (x86)\AstroGrep\AstroGrep.exe" /spath="%USERPROFILE%\AppData\Local\Temp\OnboardLogs" /stypes="app*4040*20161020*" /stext=" 16:.+((SYSTEM_STATE.+slice.+state.+changed )|(ment ac)|(system.+state.+changed )|(\[timeout)|(PRM\|1\|D)|(kpr)|(kdp)|(\|lc)|(penalty))" /e /r /s</v>
      </c>
      <c r="AG174" s="1" t="str">
        <f t="shared" si="54"/>
        <v>NW</v>
      </c>
      <c r="AH174" s="92" t="str">
        <f t="shared" si="55"/>
        <v>"%USERPROFILE%\Documents\GitHub\eaglep3\Utilities\RefineRTDCRunTimes.py" --tripid 815-20 --locoid 4040 --swversion DE.1.0.7.0 --startMP 204:976 --initTime 2016-10-20T10:01:49 --startdatetime 2016-10-20T10:21:18 --delay 2 --endMP 300:58929 --enddatetime 2016-10-20T10:34:59 --enforcementcount 0 &gt;&gt;C:\Users\stu\Documents\GitHub\eaglep3-reporting\EC\2016-10-20-refined-times.txt</v>
      </c>
      <c r="AI17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{"issue":{"subject":"","project_id":79,"tracker_id":40,"status_id":1,"priority_id":2,"assigned_to_id":23,"start_date":"2016-10-20","description":"","custom_fields":[{"id":1,"name":"Subdivision","value":"NW"},{"id":4,"name":"Milepost","value":"5.8929"},{"id":17,"name":"Train ID","value":"815-20"},{"id":16,"name":"Locomotive ID","value":"4040"},{"id":130,"name":"Impact","value":""},{"id":150,"name":"Time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505</v>
      </c>
      <c r="B175" s="7">
        <v>4039</v>
      </c>
      <c r="C175" s="22" t="s">
        <v>99</v>
      </c>
      <c r="D175" s="22" t="s">
        <v>704</v>
      </c>
      <c r="E175" s="13">
        <v>42663.441874999997</v>
      </c>
      <c r="F175" s="13">
        <v>42663.443437499998</v>
      </c>
      <c r="G175" s="7">
        <v>1</v>
      </c>
      <c r="H175" s="13" t="s">
        <v>718</v>
      </c>
      <c r="I175" s="13">
        <v>42663.455092592594</v>
      </c>
      <c r="J175" s="7">
        <v>0</v>
      </c>
      <c r="K175" s="112" t="str">
        <f t="shared" si="43"/>
        <v>4039/4040</v>
      </c>
      <c r="L175" s="22" t="str">
        <f>VLOOKUP(A175,'Trips&amp;Operators'!$C$1:$E$10000,3,FALSE)</f>
        <v>ISHMAEL</v>
      </c>
      <c r="M175" s="6">
        <f t="shared" si="44"/>
        <v>1.1655092595901806E-2</v>
      </c>
      <c r="N175" s="7">
        <f t="shared" si="58"/>
        <v>16.783333338098601</v>
      </c>
      <c r="O175" s="7"/>
      <c r="P175" s="7"/>
      <c r="Q175" s="23"/>
      <c r="R175" s="23"/>
      <c r="S175" s="35">
        <f t="shared" si="57"/>
        <v>1</v>
      </c>
      <c r="T175" s="50" t="str">
        <f t="shared" si="45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09:36:18-0600',mode:absolute,to:'2016-10-20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47"/>
        <v>N</v>
      </c>
      <c r="X175" s="171">
        <f t="shared" si="48"/>
        <v>1</v>
      </c>
      <c r="Y175" s="67">
        <f t="shared" si="49"/>
        <v>5.8611000000000004</v>
      </c>
      <c r="Z175" s="67">
        <f t="shared" si="59"/>
        <v>6.8500000000000005E-2</v>
      </c>
      <c r="AA175" s="67">
        <f t="shared" si="50"/>
        <v>5.7926000000000002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1"/>
        <v>0816-20</v>
      </c>
      <c r="AE175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5" s="88" t="str">
        <f t="shared" si="53"/>
        <v>"C:\Program Files (x86)\AstroGrep\AstroGrep.exe" /spath="%USERPROFILE%\AppData\Local\Temp\OnboardLogs" /stypes="app*4039*20161020*" /stext=" 16:.+((SYSTEM_STATE.+slice.+state.+changed )|(ment ac)|(system.+state.+changed )|(\[timeout)|(PRM\|1\|D)|(kpr)|(kdp)|(\|lc)|(penalty))" /e /r /s</v>
      </c>
      <c r="AG175" s="1" t="str">
        <f t="shared" si="54"/>
        <v>NW</v>
      </c>
      <c r="AH175" s="92" t="str">
        <f t="shared" si="55"/>
        <v>"%USERPROFILE%\Documents\GitHub\eaglep3\Utilities\RefineRTDCRunTimes.py" --tripid 816-20 --locoid 4039 --swversion DE.1.0.7.0 --startMP 300:58611 --initTime 2016-10-20T10:36:18 --startdatetime 2016-10-20T10:38:33 --delay 1 --endMP 204:685 --enddatetime 2016-10-20T10:55:20 --enforcementcount 0 &gt;&gt;C:\Users\stu\Documents\GitHub\eaglep3-reporting\EC\2016-10-20-refined-times.txt</v>
      </c>
      <c r="AI17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ID","value":"816-20"},{"id":16,"name":"Locomotive ID","value":"4039"},{"id":130,"name":"Impact","value":""},{"id":150,"name":"Time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509</v>
      </c>
      <c r="B176" s="7">
        <v>4040</v>
      </c>
      <c r="C176" s="22" t="s">
        <v>99</v>
      </c>
      <c r="D176" s="22" t="s">
        <v>723</v>
      </c>
      <c r="E176" s="13">
        <v>42663.457372685189</v>
      </c>
      <c r="F176" s="13">
        <v>42663.473113425927</v>
      </c>
      <c r="G176" s="7">
        <v>1</v>
      </c>
      <c r="H176" s="13" t="s">
        <v>724</v>
      </c>
      <c r="I176" s="13">
        <v>42663.483402777776</v>
      </c>
      <c r="J176" s="7">
        <v>0</v>
      </c>
      <c r="K176" s="112" t="str">
        <f t="shared" si="43"/>
        <v>4039/4040</v>
      </c>
      <c r="L176" s="22" t="str">
        <f>VLOOKUP(A176,'Trips&amp;Operators'!$C$1:$E$10000,3,FALSE)</f>
        <v>ISHMAEL</v>
      </c>
      <c r="M176" s="6">
        <f t="shared" si="44"/>
        <v>1.0289351848769002E-2</v>
      </c>
      <c r="N176" s="7">
        <f t="shared" si="58"/>
        <v>14.816666662227362</v>
      </c>
      <c r="O176" s="7"/>
      <c r="P176" s="7"/>
      <c r="Q176" s="23"/>
      <c r="R176" s="23"/>
      <c r="S176" s="35">
        <f t="shared" si="57"/>
        <v>1</v>
      </c>
      <c r="T176" s="50" t="str">
        <f t="shared" si="45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09:58:37-0600',mode:absolute,to:'2016-10-20 12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47"/>
        <v>N</v>
      </c>
      <c r="X176" s="171">
        <f t="shared" si="48"/>
        <v>1</v>
      </c>
      <c r="Y176" s="67">
        <f t="shared" si="49"/>
        <v>9.7100000000000006E-2</v>
      </c>
      <c r="Z176" s="67">
        <f t="shared" si="59"/>
        <v>5.8924000000000003</v>
      </c>
      <c r="AA176" s="67">
        <f t="shared" si="50"/>
        <v>5.7953000000000001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1"/>
        <v>0817-20</v>
      </c>
      <c r="AE17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6" s="88" t="str">
        <f t="shared" si="53"/>
        <v>"C:\Program Files (x86)\AstroGrep\AstroGrep.exe" /spath="%USERPROFILE%\AppData\Local\Temp\OnboardLogs" /stypes="app*4040*20161020*" /stext=" 17:.+((SYSTEM_STATE.+slice.+state.+changed )|(ment ac)|(system.+state.+changed )|(\[timeout)|(PRM\|1\|D)|(kpr)|(kdp)|(\|lc)|(penalty))" /e /r /s</v>
      </c>
      <c r="AG176" s="1" t="str">
        <f t="shared" si="54"/>
        <v>NW</v>
      </c>
      <c r="AH176" s="92" t="str">
        <f t="shared" si="55"/>
        <v>"%USERPROFILE%\Documents\GitHub\eaglep3\Utilities\RefineRTDCRunTimes.py" --tripid 817-20 --locoid 4040 --swversion DE.1.0.7.0 --startMP 204:971 --initTime 2016-10-20T10:58:37 --startdatetime 2016-10-20T11:21:17 --delay 1 --endMP 300:58924 --enddatetime 2016-10-20T11:36:06 --enforcementcount 0 &gt;&gt;C:\Users\stu\Documents\GitHub\eaglep3-reporting\EC\2016-10-20-refined-times.txt</v>
      </c>
      <c r="AI17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{"issue":{"subject":"","project_id":79,"tracker_id":40,"status_id":1,"priority_id":2,"assigned_to_id":23,"start_date":"2016-10-20","description":"","custom_fields":[{"id":1,"name":"Subdivision","value":"NW"},{"id":4,"name":"Milepost","value":"5.8924"},{"id":17,"name":"Train ID","value":"817-20"},{"id":16,"name":"Locomotive ID","value":"4040"},{"id":130,"name":"Impact","value":""},{"id":150,"name":"Time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518</v>
      </c>
      <c r="B177" s="7">
        <v>4039</v>
      </c>
      <c r="C177" s="22" t="s">
        <v>99</v>
      </c>
      <c r="D177" s="22" t="s">
        <v>704</v>
      </c>
      <c r="E177" s="13">
        <v>42663.484247685185</v>
      </c>
      <c r="F177" s="13">
        <v>42663.485775462963</v>
      </c>
      <c r="G177" s="7">
        <v>1</v>
      </c>
      <c r="H177" s="13" t="s">
        <v>388</v>
      </c>
      <c r="I177" s="13">
        <v>42663.497210648151</v>
      </c>
      <c r="J177" s="7">
        <v>0</v>
      </c>
      <c r="K177" s="112" t="str">
        <f t="shared" si="43"/>
        <v>4039/4040</v>
      </c>
      <c r="L177" s="22" t="str">
        <f>VLOOKUP(A177,'Trips&amp;Operators'!$C$1:$E$10000,3,FALSE)</f>
        <v>ISHMAEL</v>
      </c>
      <c r="M177" s="6">
        <f t="shared" si="44"/>
        <v>1.1435185188020114E-2</v>
      </c>
      <c r="N177" s="7">
        <f t="shared" si="58"/>
        <v>16.466666670748964</v>
      </c>
      <c r="O177" s="7"/>
      <c r="P177" s="7"/>
      <c r="Q177" s="23"/>
      <c r="R177" s="23"/>
      <c r="S177" s="35">
        <f t="shared" si="57"/>
        <v>1</v>
      </c>
      <c r="T177" s="50" t="str">
        <f t="shared" si="45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10:37:19-0600',mode:absolute,to:'2016-10-20 12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47"/>
        <v>N</v>
      </c>
      <c r="X177" s="171">
        <f t="shared" si="48"/>
        <v>1</v>
      </c>
      <c r="Y177" s="67">
        <f t="shared" si="49"/>
        <v>5.8611000000000004</v>
      </c>
      <c r="Z177" s="67">
        <f t="shared" si="59"/>
        <v>6.6400000000000001E-2</v>
      </c>
      <c r="AA177" s="67">
        <f t="shared" si="50"/>
        <v>5.7947000000000006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1"/>
        <v>0818-20</v>
      </c>
      <c r="AE17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7" s="88" t="str">
        <f t="shared" si="53"/>
        <v>"C:\Program Files (x86)\AstroGrep\AstroGrep.exe" /spath="%USERPROFILE%\AppData\Local\Temp\OnboardLogs" /stypes="app*4039*20161020*" /stext=" 17:.+((SYSTEM_STATE.+slice.+state.+changed )|(ment ac)|(system.+state.+changed )|(\[timeout)|(PRM\|1\|D)|(kpr)|(kdp)|(\|lc)|(penalty))" /e /r /s</v>
      </c>
      <c r="AG177" s="1" t="str">
        <f t="shared" si="54"/>
        <v>NW</v>
      </c>
      <c r="AH177" s="92" t="str">
        <f t="shared" si="55"/>
        <v>"%USERPROFILE%\Documents\GitHub\eaglep3\Utilities\RefineRTDCRunTimes.py" --tripid 818-20 --locoid 4039 --swversion DE.1.0.7.0 --startMP 300:58611 --initTime 2016-10-20T11:37:19 --startdatetime 2016-10-20T11:39:31 --delay 1 --endMP 204:664 --enddatetime 2016-10-20T11:55:59 --enforcementcount 0 &gt;&gt;C:\Users\stu\Documents\GitHub\eaglep3-reporting\EC\2016-10-20-refined-times.txt</v>
      </c>
      <c r="AI17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ID","value":"818-20"},{"id":16,"name":"Locomotive ID","value":"4039"},{"id":130,"name":"Impact","value":""},{"id":150,"name":"Time of Event (Mountain Time)","value":"11:55:59"},{"id":151,"name":"Denver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415</v>
      </c>
      <c r="B178" s="7">
        <v>4040</v>
      </c>
      <c r="C178" s="22" t="s">
        <v>99</v>
      </c>
      <c r="D178" s="22" t="s">
        <v>312</v>
      </c>
      <c r="E178" s="13">
        <v>42663.498784722222</v>
      </c>
      <c r="F178" s="13">
        <v>42663.514768518522</v>
      </c>
      <c r="G178" s="7">
        <v>1</v>
      </c>
      <c r="H178" s="13" t="s">
        <v>725</v>
      </c>
      <c r="I178" s="13">
        <v>42663.523449074077</v>
      </c>
      <c r="J178" s="7">
        <v>0</v>
      </c>
      <c r="K178" s="112" t="str">
        <f t="shared" si="43"/>
        <v>4039/4040</v>
      </c>
      <c r="L178" s="22" t="str">
        <f>VLOOKUP(A178,'Trips&amp;Operators'!$C$1:$E$10000,3,FALSE)</f>
        <v>ISHMAEL</v>
      </c>
      <c r="M178" s="6">
        <f t="shared" si="44"/>
        <v>8.6805555547471158E-3</v>
      </c>
      <c r="N178" s="7">
        <f t="shared" si="58"/>
        <v>12.499999998835847</v>
      </c>
      <c r="O178" s="7"/>
      <c r="P178" s="7"/>
      <c r="Q178" s="23"/>
      <c r="R178" s="23"/>
      <c r="S178" s="35">
        <f t="shared" si="57"/>
        <v>1</v>
      </c>
      <c r="T178" s="50" t="str">
        <f t="shared" si="45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47"/>
        <v>N</v>
      </c>
      <c r="X178" s="171">
        <f t="shared" si="48"/>
        <v>1</v>
      </c>
      <c r="Y178" s="67">
        <f t="shared" si="49"/>
        <v>9.74E-2</v>
      </c>
      <c r="Z178" s="67">
        <f t="shared" si="59"/>
        <v>5.8910999999999998</v>
      </c>
      <c r="AA178" s="67">
        <f t="shared" si="50"/>
        <v>5.7936999999999994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1"/>
        <v>0819-20</v>
      </c>
      <c r="AE178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8" s="88" t="str">
        <f t="shared" si="53"/>
        <v>"C:\Program Files (x86)\AstroGrep\AstroGrep.exe" /spath="%USERPROFILE%\AppData\Local\Temp\OnboardLogs" /stypes="app*4040*20161020*" /stext=" 18:.+((SYSTEM_STATE.+slice.+state.+changed )|(ment ac)|(system.+state.+changed )|(\[timeout)|(PRM\|1\|D)|(kpr)|(kdp)|(\|lc)|(penalty))" /e /r /s</v>
      </c>
      <c r="AG178" s="1" t="str">
        <f t="shared" si="54"/>
        <v>NW</v>
      </c>
      <c r="AH178" s="92" t="str">
        <f t="shared" si="55"/>
        <v>"%USERPROFILE%\Documents\GitHub\eaglep3\Utilities\RefineRTDCRunTimes.py" --tripid 819-20 --locoid 4040 --swversion DE.1.0.7.0 --startMP 204:974 --initTime 2016-10-20T11:58:15 --startdatetime 2016-10-20T12:21:16 --delay 1 --endMP 300:58911 --enddatetime 2016-10-20T12:33:46 --enforcementcount 0 &gt;&gt;C:\Users\stu\Documents\GitHub\eaglep3-reporting\EC\2016-10-20-refined-times.txt</v>
      </c>
      <c r="AI17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{"issue":{"subject":"","project_id":79,"tracker_id":40,"status_id":1,"priority_id":2,"assigned_to_id":23,"start_date":"2016-10-20","description":"","custom_fields":[{"id":1,"name":"Subdivision","value":"NW"},{"id":4,"name":"Milepost","value":"5.8911"},{"id":17,"name":"Train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416</v>
      </c>
      <c r="B179" s="7">
        <v>4039</v>
      </c>
      <c r="C179" s="22" t="s">
        <v>99</v>
      </c>
      <c r="D179" s="22" t="s">
        <v>726</v>
      </c>
      <c r="E179" s="13">
        <v>42663.524837962963</v>
      </c>
      <c r="F179" s="13">
        <v>42663.52621527778</v>
      </c>
      <c r="G179" s="7">
        <v>1</v>
      </c>
      <c r="H179" s="13" t="s">
        <v>727</v>
      </c>
      <c r="I179" s="13">
        <v>42663.5387962963</v>
      </c>
      <c r="J179" s="7">
        <v>0</v>
      </c>
      <c r="K179" s="112" t="str">
        <f t="shared" si="43"/>
        <v>4039/4040</v>
      </c>
      <c r="L179" s="22" t="str">
        <f>VLOOKUP(A179,'Trips&amp;Operators'!$C$1:$E$10000,3,FALSE)</f>
        <v>ISHMAEL</v>
      </c>
      <c r="M179" s="6">
        <f t="shared" si="44"/>
        <v>1.2581018519995268E-2</v>
      </c>
      <c r="N179" s="7">
        <f t="shared" si="58"/>
        <v>18.116666668793187</v>
      </c>
      <c r="O179" s="7"/>
      <c r="P179" s="7"/>
      <c r="Q179" s="23"/>
      <c r="R179" s="23"/>
      <c r="S179" s="35">
        <f t="shared" si="57"/>
        <v>1</v>
      </c>
      <c r="T179" s="50" t="str">
        <f t="shared" si="45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47"/>
        <v>N</v>
      </c>
      <c r="X179" s="171">
        <f t="shared" si="48"/>
        <v>1</v>
      </c>
      <c r="Y179" s="67">
        <f t="shared" si="49"/>
        <v>5.8593999999999999</v>
      </c>
      <c r="Z179" s="67">
        <f t="shared" si="59"/>
        <v>6.8199999999999997E-2</v>
      </c>
      <c r="AA179" s="67">
        <f t="shared" si="50"/>
        <v>5.7911999999999999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1"/>
        <v>0820-20</v>
      </c>
      <c r="AE17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9" s="88" t="str">
        <f t="shared" si="53"/>
        <v>"C:\Program Files (x86)\AstroGrep\AstroGrep.exe" /spath="%USERPROFILE%\AppData\Local\Temp\OnboardLogs" /stypes="app*4039*20161020*" /stext=" 18:.+((SYSTEM_STATE.+slice.+state.+changed )|(ment ac)|(system.+state.+changed )|(\[timeout)|(PRM\|1\|D)|(kpr)|(kdp)|(\|lc)|(penalty))" /e /r /s</v>
      </c>
      <c r="AG179" s="1" t="str">
        <f t="shared" si="54"/>
        <v>NW</v>
      </c>
      <c r="AH179" s="92" t="str">
        <f t="shared" si="55"/>
        <v>"%USERPROFILE%\Documents\GitHub\eaglep3\Utilities\RefineRTDCRunTimes.py" --tripid 820-20 --locoid 4039 --swversion DE.1.0.7.0 --startMP 300:58594 --initTime 2016-10-20T12:35:46 --startdatetime 2016-10-20T12:37:45 --delay 1 --endMP 204:682 --enddatetime 2016-10-20T12:55:52 --enforcementcount 0 &gt;&gt;C:\Users\stu\Documents\GitHub\eaglep3-reporting\EC\2016-10-20-refined-times.txt</v>
      </c>
      <c r="AI17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{"issue":{"subject":"","project_id":79,"tracker_id":40,"status_id":1,"priority_id":2,"assigned_to_id":23,"start_date":"2016-10-20","description":"","custom_fields":[{"id":1,"name":"Subdivision","value":"NW"},{"id":4,"name":"Milepost","value":"0.0682"},{"id":17,"name":"Train ID","value":"820-20"},{"id":16,"name":"Locomotive ID","value":"4039"},{"id":130,"name":"Impact","value":""},{"id":150,"name":"Time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532</v>
      </c>
      <c r="B180" s="7">
        <v>4040</v>
      </c>
      <c r="C180" s="22" t="s">
        <v>99</v>
      </c>
      <c r="D180" s="22" t="s">
        <v>313</v>
      </c>
      <c r="E180" s="13">
        <v>42663.542997685188</v>
      </c>
      <c r="F180" s="13">
        <v>42663.557673611111</v>
      </c>
      <c r="G180" s="7">
        <v>9</v>
      </c>
      <c r="H180" s="13" t="s">
        <v>356</v>
      </c>
      <c r="I180" s="13">
        <v>42663.567569444444</v>
      </c>
      <c r="J180" s="7">
        <v>0</v>
      </c>
      <c r="K180" s="112" t="str">
        <f t="shared" si="43"/>
        <v>4039/4040</v>
      </c>
      <c r="L180" s="22" t="str">
        <f>VLOOKUP(A180,'Trips&amp;Operators'!$C$1:$E$10000,3,FALSE)</f>
        <v>HELVIE</v>
      </c>
      <c r="M180" s="6">
        <f t="shared" si="44"/>
        <v>9.8958333328482695E-3</v>
      </c>
      <c r="N180" s="7">
        <f t="shared" si="58"/>
        <v>14.249999999301508</v>
      </c>
      <c r="O180" s="7"/>
      <c r="P180" s="7"/>
      <c r="Q180" s="23"/>
      <c r="R180" s="23"/>
      <c r="S180" s="35">
        <f t="shared" ref="S180:S211" si="60">SUM(U180:U180)/IF(AG180="EC",12,1)</f>
        <v>1</v>
      </c>
      <c r="T180" s="50" t="str">
        <f t="shared" si="45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12:01:55-0600',mode:absolute,to:'2016-10-20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47"/>
        <v>N</v>
      </c>
      <c r="X180" s="171">
        <f t="shared" si="48"/>
        <v>1</v>
      </c>
      <c r="Y180" s="67">
        <f t="shared" si="49"/>
        <v>9.69E-2</v>
      </c>
      <c r="Z180" s="67">
        <f t="shared" si="59"/>
        <v>5.8933</v>
      </c>
      <c r="AA180" s="67">
        <f t="shared" si="50"/>
        <v>5.7964000000000002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1"/>
        <v>0821-20</v>
      </c>
      <c r="AE18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0" s="88" t="str">
        <f t="shared" si="53"/>
        <v>"C:\Program Files (x86)\AstroGrep\AstroGrep.exe" /spath="%USERPROFILE%\AppData\Local\Temp\OnboardLogs" /stypes="app*4040*20161020*" /stext=" 19:.+((SYSTEM_STATE.+slice.+state.+changed )|(ment ac)|(system.+state.+changed )|(\[timeout)|(PRM\|1\|D)|(kpr)|(kdp)|(\|lc)|(penalty))" /e /r /s</v>
      </c>
      <c r="AG180" s="1" t="str">
        <f t="shared" si="54"/>
        <v>NW</v>
      </c>
      <c r="AH180" s="92" t="str">
        <f t="shared" si="55"/>
        <v>"%USERPROFILE%\Documents\GitHub\eaglep3\Utilities\RefineRTDCRunTimes.py" --tripid 821-20 --locoid 4040 --swversion DE.1.0.7.0 --startMP 204:969 --initTime 2016-10-20T13:01:55 --startdatetime 2016-10-20T13:23:03 --delay 9 --endMP 300:58933 --enddatetime 2016-10-20T13:37:18 --enforcementcount 0 &gt;&gt;C:\Users\stu\Documents\GitHub\eaglep3-reporting\EC\2016-10-20-refined-times.txt</v>
      </c>
      <c r="AI18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ID","value":"821-20"},{"id":16,"name":"Locomotive ID","value":"4040"},{"id":130,"name":"Impact","value":""},{"id":150,"name":"Time of Event (Mountain Time)","value":"13:37:18"},{"id":151,"name":"Denver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536</v>
      </c>
      <c r="B181" s="7">
        <v>4039</v>
      </c>
      <c r="C181" s="22" t="s">
        <v>99</v>
      </c>
      <c r="D181" s="22" t="s">
        <v>386</v>
      </c>
      <c r="E181" s="13">
        <v>42663.568715277775</v>
      </c>
      <c r="F181" s="13">
        <v>42663.570381944446</v>
      </c>
      <c r="G181" s="7">
        <v>1</v>
      </c>
      <c r="H181" s="13" t="s">
        <v>728</v>
      </c>
      <c r="I181" s="13">
        <v>42663.580104166664</v>
      </c>
      <c r="J181" s="7">
        <v>0</v>
      </c>
      <c r="K181" s="112" t="str">
        <f t="shared" si="43"/>
        <v>4039/4040</v>
      </c>
      <c r="L181" s="22" t="str">
        <f>VLOOKUP(A181,'Trips&amp;Operators'!$C$1:$E$10000,3,FALSE)</f>
        <v>HELVIE</v>
      </c>
      <c r="M181" s="6">
        <f t="shared" si="44"/>
        <v>9.7222222175332718E-3</v>
      </c>
      <c r="N181" s="7">
        <f t="shared" si="58"/>
        <v>13.999999993247911</v>
      </c>
      <c r="O181" s="7"/>
      <c r="P181" s="7"/>
      <c r="Q181" s="23"/>
      <c r="R181" s="23"/>
      <c r="S181" s="35">
        <f t="shared" si="60"/>
        <v>1</v>
      </c>
      <c r="T181" s="50" t="str">
        <f t="shared" si="45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12:38:57-0600',mode:absolute,to:'2016-10-20 14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47"/>
        <v>N</v>
      </c>
      <c r="X181" s="171">
        <f t="shared" si="48"/>
        <v>1</v>
      </c>
      <c r="Y181" s="67">
        <f t="shared" si="49"/>
        <v>5.8616999999999999</v>
      </c>
      <c r="Z181" s="67">
        <f t="shared" si="59"/>
        <v>7.5200000000000003E-2</v>
      </c>
      <c r="AA181" s="67">
        <f t="shared" si="50"/>
        <v>5.7865000000000002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1"/>
        <v>0822-20</v>
      </c>
      <c r="AE18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1" s="88" t="str">
        <f t="shared" si="53"/>
        <v>"C:\Program Files (x86)\AstroGrep\AstroGrep.exe" /spath="%USERPROFILE%\AppData\Local\Temp\OnboardLogs" /stypes="app*4039*20161020*" /stext=" 19:.+((SYSTEM_STATE.+slice.+state.+changed )|(ment ac)|(system.+state.+changed )|(\[timeout)|(PRM\|1\|D)|(kpr)|(kdp)|(\|lc)|(penalty))" /e /r /s</v>
      </c>
      <c r="AG181" s="1" t="str">
        <f t="shared" si="54"/>
        <v>NW</v>
      </c>
      <c r="AH181" s="92" t="str">
        <f t="shared" si="55"/>
        <v>"%USERPROFILE%\Documents\GitHub\eaglep3\Utilities\RefineRTDCRunTimes.py" --tripid 822-20 --locoid 4039 --swversion DE.1.0.7.0 --startMP 300:58617 --initTime 2016-10-20T13:38:57 --startdatetime 2016-10-20T13:41:21 --delay 1 --endMP 204:752 --enddatetime 2016-10-20T13:55:21 --enforcementcount 0 &gt;&gt;C:\Users\stu\Documents\GitHub\eaglep3-reporting\EC\2016-10-20-refined-times.txt</v>
      </c>
      <c r="AI18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{"issue":{"subject":"","project_id":79,"tracker_id":40,"status_id":1,"priority_id":2,"assigned_to_id":23,"start_date":"2016-10-20","description":"","custom_fields":[{"id":1,"name":"Subdivision","value":"NW"},{"id":4,"name":"Milepost","value":"0.0752"},{"id":17,"name":"Train ID","value":"822-20"},{"id":16,"name":"Locomotive ID","value":"4039"},{"id":130,"name":"Impact","value":""},{"id":150,"name":"Time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542</v>
      </c>
      <c r="B182" s="7">
        <v>4040</v>
      </c>
      <c r="C182" s="22" t="s">
        <v>99</v>
      </c>
      <c r="D182" s="22" t="s">
        <v>729</v>
      </c>
      <c r="E182" s="13">
        <v>42663.59547453704</v>
      </c>
      <c r="F182" s="13">
        <v>42663.598229166666</v>
      </c>
      <c r="G182" s="7">
        <v>1</v>
      </c>
      <c r="H182" s="13" t="s">
        <v>730</v>
      </c>
      <c r="I182" s="13">
        <v>42663.607604166667</v>
      </c>
      <c r="J182" s="7">
        <v>0</v>
      </c>
      <c r="K182" s="112" t="str">
        <f t="shared" si="43"/>
        <v>4039/4040</v>
      </c>
      <c r="L182" s="22" t="str">
        <f>VLOOKUP(A182,'Trips&amp;Operators'!$C$1:$E$10000,3,FALSE)</f>
        <v>HELVIE</v>
      </c>
      <c r="M182" s="6">
        <f t="shared" si="44"/>
        <v>9.3750000014551915E-3</v>
      </c>
      <c r="N182" s="7">
        <f t="shared" si="58"/>
        <v>13.500000002095476</v>
      </c>
      <c r="O182" s="7"/>
      <c r="P182" s="7"/>
      <c r="Q182" s="23"/>
      <c r="R182" s="23"/>
      <c r="S182" s="35">
        <f t="shared" si="60"/>
        <v>1</v>
      </c>
      <c r="T182" s="50" t="str">
        <f t="shared" si="45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13:17:29-0600',mode:absolute,to:'2016-10-20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47"/>
        <v>N</v>
      </c>
      <c r="X182" s="171">
        <f t="shared" si="48"/>
        <v>1</v>
      </c>
      <c r="Y182" s="67">
        <f t="shared" si="49"/>
        <v>0.10349999999999999</v>
      </c>
      <c r="Z182" s="67">
        <f t="shared" si="59"/>
        <v>5.8939000000000004</v>
      </c>
      <c r="AA182" s="67">
        <f t="shared" si="50"/>
        <v>5.7904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1"/>
        <v>0823-20</v>
      </c>
      <c r="AE18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2" s="88" t="str">
        <f t="shared" si="53"/>
        <v>"C:\Program Files (x86)\AstroGrep\AstroGrep.exe" /spath="%USERPROFILE%\AppData\Local\Temp\OnboardLogs" /stypes="app*4040*20161020*" /stext=" 20:.+((SYSTEM_STATE.+slice.+state.+changed )|(ment ac)|(system.+state.+changed )|(\[timeout)|(PRM\|1\|D)|(kpr)|(kdp)|(\|lc)|(penalty))" /e /r /s</v>
      </c>
      <c r="AG182" s="1" t="str">
        <f t="shared" si="54"/>
        <v>NW</v>
      </c>
      <c r="AH182" s="92" t="str">
        <f t="shared" si="55"/>
        <v>"%USERPROFILE%\Documents\GitHub\eaglep3\Utilities\RefineRTDCRunTimes.py" --tripid 823-20 --locoid 4040 --swversion DE.1.0.7.0 --startMP 204:1035 --initTime 2016-10-20T14:17:29 --startdatetime 2016-10-20T14:21:27 --delay 1 --endMP 300:58939 --enddatetime 2016-10-20T14:34:57 --enforcementcount 0 &gt;&gt;C:\Users\stu\Documents\GitHub\eaglep3-reporting\EC\2016-10-20-refined-times.txt</v>
      </c>
      <c r="AI18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{"issue":{"subject":"","project_id":79,"tracker_id":40,"status_id":1,"priority_id":2,"assigned_to_id":23,"start_date":"2016-10-20","description":"","custom_fields":[{"id":1,"name":"Subdivision","value":"NW"},{"id":4,"name":"Milepost","value":"5.8939"},{"id":17,"name":"Train ID","value":"823-20"},{"id":16,"name":"Locomotive ID","value":"4040"},{"id":130,"name":"Impact","value":""},{"id":150,"name":"Time of Event (Mountain Time)","value":"14:34:57"},{"id":151,"name":"Denver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545</v>
      </c>
      <c r="B183" s="7">
        <v>4039</v>
      </c>
      <c r="C183" s="22" t="s">
        <v>99</v>
      </c>
      <c r="D183" s="22" t="s">
        <v>731</v>
      </c>
      <c r="E183" s="13">
        <v>42663.609016203707</v>
      </c>
      <c r="F183" s="13">
        <v>42663.610324074078</v>
      </c>
      <c r="G183" s="7">
        <v>1</v>
      </c>
      <c r="H183" s="13" t="s">
        <v>705</v>
      </c>
      <c r="I183" s="13">
        <v>42663.621388888889</v>
      </c>
      <c r="J183" s="7">
        <v>0</v>
      </c>
      <c r="K183" s="112" t="str">
        <f t="shared" si="43"/>
        <v>4039/4040</v>
      </c>
      <c r="L183" s="22" t="str">
        <f>VLOOKUP(A183,'Trips&amp;Operators'!$C$1:$E$10000,3,FALSE)</f>
        <v>HELVIE</v>
      </c>
      <c r="M183" s="6">
        <f t="shared" si="44"/>
        <v>1.1064814811106771E-2</v>
      </c>
      <c r="N183" s="7">
        <f t="shared" si="58"/>
        <v>15.933333327993751</v>
      </c>
      <c r="O183" s="7"/>
      <c r="P183" s="7"/>
      <c r="Q183" s="23"/>
      <c r="R183" s="23"/>
      <c r="S183" s="35">
        <f t="shared" si="60"/>
        <v>1</v>
      </c>
      <c r="T183" s="50" t="str">
        <f t="shared" si="45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13:36:59-0600',mode:absolute,to:'2016-10-20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47"/>
        <v>N</v>
      </c>
      <c r="X183" s="171">
        <f t="shared" si="48"/>
        <v>1</v>
      </c>
      <c r="Y183" s="67">
        <f t="shared" si="49"/>
        <v>5.8625999999999996</v>
      </c>
      <c r="Z183" s="67">
        <f t="shared" si="59"/>
        <v>7.3999999999999996E-2</v>
      </c>
      <c r="AA183" s="67">
        <f t="shared" si="50"/>
        <v>5.7885999999999997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1"/>
        <v>0824-20</v>
      </c>
      <c r="AE18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3" s="88" t="str">
        <f t="shared" si="53"/>
        <v>"C:\Program Files (x86)\AstroGrep\AstroGrep.exe" /spath="%USERPROFILE%\AppData\Local\Temp\OnboardLogs" /stypes="app*4039*20161020*" /stext=" 20:.+((SYSTEM_STATE.+slice.+state.+changed )|(ment ac)|(system.+state.+changed )|(\[timeout)|(PRM\|1\|D)|(kpr)|(kdp)|(\|lc)|(penalty))" /e /r /s</v>
      </c>
      <c r="AG183" s="1" t="str">
        <f t="shared" si="54"/>
        <v>NW</v>
      </c>
      <c r="AH183" s="92" t="str">
        <f t="shared" si="55"/>
        <v>"%USERPROFILE%\Documents\GitHub\eaglep3\Utilities\RefineRTDCRunTimes.py" --tripid 824-20 --locoid 4039 --swversion DE.1.0.7.0 --startMP 300:58626 --initTime 2016-10-20T14:36:59 --startdatetime 2016-10-20T14:38:52 --delay 1 --endMP 204:740 --enddatetime 2016-10-20T14:54:48 --enforcementcount 0 &gt;&gt;C:\Users\stu\Documents\GitHub\eaglep3-reporting\EC\2016-10-20-refined-times.txt</v>
      </c>
      <c r="AI18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ID","value":"824-20"},{"id":16,"name":"Locomotive ID","value":"4039"},{"id":130,"name":"Impact","value":""},{"id":150,"name":"Time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4040</v>
      </c>
      <c r="C184" s="22" t="s">
        <v>99</v>
      </c>
      <c r="D184" s="22" t="s">
        <v>732</v>
      </c>
      <c r="E184" s="13">
        <v>42663.637083333335</v>
      </c>
      <c r="F184" s="13">
        <v>42663.639953703707</v>
      </c>
      <c r="G184" s="7">
        <v>1</v>
      </c>
      <c r="H184" s="13" t="s">
        <v>733</v>
      </c>
      <c r="I184" s="13">
        <v>42663.649629629632</v>
      </c>
      <c r="J184" s="7">
        <v>0</v>
      </c>
      <c r="K184" s="112" t="str">
        <f t="shared" si="43"/>
        <v>4039/4040</v>
      </c>
      <c r="L184" s="22" t="str">
        <f>VLOOKUP(A184,'Trips&amp;Operators'!$C$1:$E$10000,3,FALSE)</f>
        <v>HELVIE</v>
      </c>
      <c r="M184" s="6">
        <f t="shared" si="44"/>
        <v>9.6759259249665774E-3</v>
      </c>
      <c r="N184" s="7">
        <f t="shared" si="58"/>
        <v>13.933333331951872</v>
      </c>
      <c r="O184" s="7"/>
      <c r="P184" s="7"/>
      <c r="Q184" s="23"/>
      <c r="R184" s="23"/>
      <c r="S184" s="35">
        <f t="shared" si="60"/>
        <v>1</v>
      </c>
      <c r="T184" s="50" t="str">
        <f t="shared" si="45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14:17:24-0600',mode:absolute,to:'2016-10-20 16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47"/>
        <v>N</v>
      </c>
      <c r="X184" s="171">
        <f t="shared" si="48"/>
        <v>1</v>
      </c>
      <c r="Y184" s="67">
        <f t="shared" si="49"/>
        <v>0.10340000000000001</v>
      </c>
      <c r="Z184" s="67">
        <f t="shared" si="59"/>
        <v>5.8930999999999996</v>
      </c>
      <c r="AA184" s="67">
        <f t="shared" si="50"/>
        <v>5.7896999999999998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1"/>
        <v>0825-20</v>
      </c>
      <c r="AE18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4" s="88" t="str">
        <f t="shared" si="53"/>
        <v>"C:\Program Files (x86)\AstroGrep\AstroGrep.exe" /spath="%USERPROFILE%\AppData\Local\Temp\OnboardLogs" /stypes="app*4040*20161020*" /stext=" 21:.+((SYSTEM_STATE.+slice.+state.+changed )|(ment ac)|(system.+state.+changed )|(\[timeout)|(PRM\|1\|D)|(kpr)|(kdp)|(\|lc)|(penalty))" /e /r /s</v>
      </c>
      <c r="AG184" s="1" t="str">
        <f t="shared" si="54"/>
        <v>NW</v>
      </c>
      <c r="AH184" s="92" t="str">
        <f t="shared" si="55"/>
        <v>"%USERPROFILE%\Documents\GitHub\eaglep3\Utilities\RefineRTDCRunTimes.py" --tripid 825-20 --locoid 4040 --swversion DE.1.0.7.0 --startMP 204:1034 --initTime 2016-10-20T15:17:24 --startdatetime 2016-10-20T15:21:32 --delay 1 --endMP 300:58931 --enddatetime 2016-10-20T15:35:28 --enforcementcount 0 &gt;&gt;C:\Users\stu\Documents\GitHub\eaglep3-reporting\EC\2016-10-20-refined-times.txt</v>
      </c>
      <c r="AI18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{"issue":{"subject":"","project_id":79,"tracker_id":40,"status_id":1,"priority_id":2,"assigned_to_id":23,"start_date":"2016-10-20","description":"","custom_fields":[{"id":1,"name":"Subdivision","value":"NW"},{"id":4,"name":"Milepost","value":"5.8931"},{"id":17,"name":"Train ID","value":"825-20"},{"id":16,"name":"Locomotive ID","value":"4040"},{"id":130,"name":"Impact","value":""},{"id":150,"name":"Time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554</v>
      </c>
      <c r="B185" s="7">
        <v>4039</v>
      </c>
      <c r="C185" s="22" t="s">
        <v>99</v>
      </c>
      <c r="D185" s="22" t="s">
        <v>734</v>
      </c>
      <c r="E185" s="13">
        <v>42663.651250000003</v>
      </c>
      <c r="F185" s="13">
        <v>42663.653009259258</v>
      </c>
      <c r="G185" s="7">
        <v>2</v>
      </c>
      <c r="H185" s="13" t="s">
        <v>735</v>
      </c>
      <c r="I185" s="13">
        <v>42663.664085648146</v>
      </c>
      <c r="J185" s="7">
        <v>0</v>
      </c>
      <c r="K185" s="112" t="str">
        <f t="shared" si="43"/>
        <v>4039/4040</v>
      </c>
      <c r="L185" s="22" t="str">
        <f>VLOOKUP(A185,'Trips&amp;Operators'!$C$1:$E$10000,3,FALSE)</f>
        <v>HELVIE</v>
      </c>
      <c r="M185" s="6">
        <f t="shared" si="44"/>
        <v>1.1076388887886424E-2</v>
      </c>
      <c r="N185" s="7">
        <f t="shared" si="58"/>
        <v>15.94999999855645</v>
      </c>
      <c r="O185" s="7"/>
      <c r="P185" s="7"/>
      <c r="Q185" s="23"/>
      <c r="R185" s="23"/>
      <c r="S185" s="35">
        <f t="shared" si="60"/>
        <v>1</v>
      </c>
      <c r="T185" s="50" t="str">
        <f t="shared" si="45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14:37:48-0600',mode:absolute,to:'2016-10-20 16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47"/>
        <v>N</v>
      </c>
      <c r="X185" s="171">
        <f t="shared" si="48"/>
        <v>1</v>
      </c>
      <c r="Y185" s="67">
        <f t="shared" si="49"/>
        <v>5.8608000000000002</v>
      </c>
      <c r="Z185" s="67">
        <f t="shared" si="59"/>
        <v>1.46E-2</v>
      </c>
      <c r="AA185" s="67">
        <f t="shared" si="50"/>
        <v>5.8462000000000005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1"/>
        <v>0826-20</v>
      </c>
      <c r="AE185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5" s="88" t="str">
        <f t="shared" si="53"/>
        <v>"C:\Program Files (x86)\AstroGrep\AstroGrep.exe" /spath="%USERPROFILE%\AppData\Local\Temp\OnboardLogs" /stypes="app*4039*20161020*" /stext=" 21:.+((SYSTEM_STATE.+slice.+state.+changed )|(ment ac)|(system.+state.+changed )|(\[timeout)|(PRM\|1\|D)|(kpr)|(kdp)|(\|lc)|(penalty))" /e /r /s</v>
      </c>
      <c r="AG185" s="1" t="str">
        <f t="shared" si="54"/>
        <v>NW</v>
      </c>
      <c r="AH185" s="92" t="str">
        <f t="shared" si="55"/>
        <v>"%USERPROFILE%\Documents\GitHub\eaglep3\Utilities\RefineRTDCRunTimes.py" --tripid 826-20 --locoid 4039 --swversion DE.1.0.7.0 --startMP 300:58608 --initTime 2016-10-20T15:37:48 --startdatetime 2016-10-20T15:40:20 --delay 2 --endMP 204:146 --enddatetime 2016-10-20T15:56:17 --enforcementcount 0 &gt;&gt;C:\Users\stu\Documents\GitHub\eaglep3-reporting\EC\2016-10-20-refined-times.txt</v>
      </c>
      <c r="AI18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{"issue":{"subject":"","project_id":79,"tracker_id":40,"status_id":1,"priority_id":2,"assigned_to_id":23,"start_date":"2016-10-20","description":"","custom_fields":[{"id":1,"name":"Subdivision","value":"NW"},{"id":4,"name":"Milepost","value":"0.0146"},{"id":17,"name":"Train ID","value":"826-20"},{"id":16,"name":"Locomotive ID","value":"4039"},{"id":130,"name":"Impact","value":""},{"id":150,"name":"Time of Event (Mountain Time)","value":"15:56:17"},{"id":151,"name":"Denver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420</v>
      </c>
      <c r="B186" s="7">
        <v>4053</v>
      </c>
      <c r="C186" s="22" t="s">
        <v>99</v>
      </c>
      <c r="D186" s="22" t="s">
        <v>736</v>
      </c>
      <c r="E186" s="13">
        <v>42663.662569444445</v>
      </c>
      <c r="F186" s="13">
        <v>42663.663495370369</v>
      </c>
      <c r="G186" s="7">
        <v>0</v>
      </c>
      <c r="H186" s="13" t="s">
        <v>316</v>
      </c>
      <c r="I186" s="13">
        <v>42663.672083333331</v>
      </c>
      <c r="J186" s="7">
        <v>0</v>
      </c>
      <c r="K186" s="112" t="str">
        <f t="shared" si="43"/>
        <v>4053/4054</v>
      </c>
      <c r="L186" s="22" t="str">
        <f>VLOOKUP(A186,'Trips&amp;Operators'!$C$1:$E$10000,3,FALSE)</f>
        <v>YANAI</v>
      </c>
      <c r="M186" s="6">
        <f t="shared" si="44"/>
        <v>8.5879629623377696E-3</v>
      </c>
      <c r="N186" s="7">
        <f t="shared" si="58"/>
        <v>12.366666665766388</v>
      </c>
      <c r="O186" s="7"/>
      <c r="P186" s="7"/>
      <c r="Q186" s="23"/>
      <c r="R186" s="23"/>
      <c r="S186" s="35">
        <f t="shared" si="60"/>
        <v>1</v>
      </c>
      <c r="T186" s="50" t="str">
        <f t="shared" si="45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6" s="52" t="str">
        <f t="shared" si="47"/>
        <v>N</v>
      </c>
      <c r="X186" s="171">
        <f t="shared" si="48"/>
        <v>1</v>
      </c>
      <c r="Y186" s="67">
        <f t="shared" si="49"/>
        <v>9.11E-2</v>
      </c>
      <c r="Z186" s="67">
        <f t="shared" si="59"/>
        <v>5.8928000000000003</v>
      </c>
      <c r="AA186" s="67">
        <f t="shared" si="50"/>
        <v>5.8017000000000003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1"/>
        <v>0827-20</v>
      </c>
      <c r="AE186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86" s="88" t="str">
        <f t="shared" si="53"/>
        <v>"C:\Program Files (x86)\AstroGrep\AstroGrep.exe" /spath="%USERPROFILE%\AppData\Local\Temp\OnboardLogs" /stypes="app*4053*20161020*" /stext=" 22:.+((SYSTEM_STATE.+slice.+state.+changed )|(ment ac)|(system.+state.+changed )|(\[timeout)|(PRM\|1\|D)|(kpr)|(kdp)|(\|lc)|(penalty))" /e /r /s</v>
      </c>
      <c r="AG186" s="1" t="str">
        <f t="shared" si="54"/>
        <v>NW</v>
      </c>
      <c r="AH186" s="92" t="str">
        <f t="shared" si="55"/>
        <v>"%USERPROFILE%\Documents\GitHub\eaglep3\Utilities\RefineRTDCRunTimes.py" --tripid 827-20 --locoid 4053 --swversion DE.1.0.7.0 --startMP 204:911 --initTime 2016-10-20T15:54:06 --startdatetime 2016-10-20T15:55:26 --delay 0 --endMP 300:58928 --enddatetime 2016-10-20T16:07:48 --enforcementcount 0 &gt;&gt;C:\Users\stu\Documents\GitHub\eaglep3-reporting\EC\2016-10-20-refined-times.txt</v>
      </c>
      <c r="AI18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559</v>
      </c>
      <c r="B187" s="7">
        <v>4054</v>
      </c>
      <c r="C187" s="22" t="s">
        <v>99</v>
      </c>
      <c r="D187" s="22" t="s">
        <v>737</v>
      </c>
      <c r="E187" s="13">
        <v>42663.673009259262</v>
      </c>
      <c r="F187" s="13">
        <v>42663.674340277779</v>
      </c>
      <c r="G187" s="7">
        <v>1</v>
      </c>
      <c r="H187" s="13" t="s">
        <v>388</v>
      </c>
      <c r="I187" s="13">
        <v>42663.684594907405</v>
      </c>
      <c r="J187" s="7">
        <v>0</v>
      </c>
      <c r="K187" s="112" t="str">
        <f t="shared" si="43"/>
        <v>4053/4054</v>
      </c>
      <c r="L187" s="22" t="str">
        <f>VLOOKUP(A187,'Trips&amp;Operators'!$C$1:$E$10000,3,FALSE)</f>
        <v>YANAI</v>
      </c>
      <c r="M187" s="6">
        <f t="shared" si="44"/>
        <v>1.0254629625706002E-2</v>
      </c>
      <c r="N187" s="7">
        <f t="shared" si="58"/>
        <v>14.766666661016643</v>
      </c>
      <c r="O187" s="7"/>
      <c r="P187" s="7"/>
      <c r="Q187" s="23"/>
      <c r="R187" s="23"/>
      <c r="S187" s="35">
        <f t="shared" si="60"/>
        <v>1</v>
      </c>
      <c r="T187" s="50" t="str">
        <f t="shared" si="45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15:09:08-0600',mode:absolute,to:'2016-10-20 17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7" s="52" t="str">
        <f t="shared" si="47"/>
        <v>N</v>
      </c>
      <c r="X187" s="171">
        <f t="shared" si="48"/>
        <v>1</v>
      </c>
      <c r="Y187" s="67">
        <f t="shared" si="49"/>
        <v>5.8605999999999998</v>
      </c>
      <c r="Z187" s="67">
        <f t="shared" si="59"/>
        <v>6.6400000000000001E-2</v>
      </c>
      <c r="AA187" s="67">
        <f t="shared" si="50"/>
        <v>5.7942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1"/>
        <v>0828-20</v>
      </c>
      <c r="AE187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87" s="88" t="str">
        <f t="shared" si="53"/>
        <v>"C:\Program Files (x86)\AstroGrep\AstroGrep.exe" /spath="%USERPROFILE%\AppData\Local\Temp\OnboardLogs" /stypes="app*4054*20161020*" /stext=" 22:.+((SYSTEM_STATE.+slice.+state.+changed )|(ment ac)|(system.+state.+changed )|(\[timeout)|(PRM\|1\|D)|(kpr)|(kdp)|(\|lc)|(penalty))" /e /r /s</v>
      </c>
      <c r="AG187" s="1" t="str">
        <f t="shared" si="54"/>
        <v>NW</v>
      </c>
      <c r="AH187" s="92" t="str">
        <f t="shared" si="55"/>
        <v>"%USERPROFILE%\Documents\GitHub\eaglep3\Utilities\RefineRTDCRunTimes.py" --tripid 828-20 --locoid 4054 --swversion DE.1.0.7.0 --startMP 300:58606 --initTime 2016-10-20T16:09:08 --startdatetime 2016-10-20T16:11:03 --delay 1 --endMP 204:664 --enddatetime 2016-10-20T16:25:49 --enforcementcount 0 &gt;&gt;C:\Users\stu\Documents\GitHub\eaglep3-reporting\EC\2016-10-20-refined-times.txt</v>
      </c>
      <c r="AI18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ID","value":"828-20"},{"id":16,"name":"Locomotive ID","value":"4054"},{"id":130,"name":"Impact","value":""},{"id":150,"name":"Time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421</v>
      </c>
      <c r="B188" s="7">
        <v>4040</v>
      </c>
      <c r="C188" s="22" t="s">
        <v>99</v>
      </c>
      <c r="D188" s="22" t="s">
        <v>738</v>
      </c>
      <c r="E188" s="13">
        <v>42663.676446759258</v>
      </c>
      <c r="F188" s="13">
        <v>42663.681655092594</v>
      </c>
      <c r="G188" s="7">
        <v>1</v>
      </c>
      <c r="H188" s="13" t="s">
        <v>356</v>
      </c>
      <c r="I188" s="13">
        <v>42663.692037037035</v>
      </c>
      <c r="J188" s="7">
        <v>0</v>
      </c>
      <c r="K188" s="112" t="str">
        <f t="shared" si="43"/>
        <v>4039/4040</v>
      </c>
      <c r="L188" s="22" t="str">
        <f>VLOOKUP(A188,'Trips&amp;Operators'!$C$1:$E$10000,3,FALSE)</f>
        <v>HELVIE</v>
      </c>
      <c r="M188" s="6">
        <f t="shared" si="44"/>
        <v>1.0381944441178348E-2</v>
      </c>
      <c r="N188" s="7">
        <f t="shared" si="58"/>
        <v>14.949999995296821</v>
      </c>
      <c r="O188" s="7"/>
      <c r="P188" s="7"/>
      <c r="Q188" s="23"/>
      <c r="R188" s="23"/>
      <c r="S188" s="35">
        <f t="shared" si="60"/>
        <v>1</v>
      </c>
      <c r="T188" s="50" t="str">
        <f t="shared" si="45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47"/>
        <v>N</v>
      </c>
      <c r="X188" s="171">
        <f t="shared" si="48"/>
        <v>1</v>
      </c>
      <c r="Y188" s="67">
        <f t="shared" si="49"/>
        <v>4.41E-2</v>
      </c>
      <c r="Z188" s="67">
        <f t="shared" si="59"/>
        <v>5.8933</v>
      </c>
      <c r="AA188" s="67">
        <f t="shared" si="50"/>
        <v>5.8491999999999997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1"/>
        <v>0829-20</v>
      </c>
      <c r="AE188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8" s="88" t="str">
        <f t="shared" si="53"/>
        <v>"C:\Program Files (x86)\AstroGrep\AstroGrep.exe" /spath="%USERPROFILE%\AppData\Local\Temp\OnboardLogs" /stypes="app*4040*20161020*" /stext=" 22:.+((SYSTEM_STATE.+slice.+state.+changed )|(ment ac)|(system.+state.+changed )|(\[timeout)|(PRM\|1\|D)|(kpr)|(kdp)|(\|lc)|(penalty))" /e /r /s</v>
      </c>
      <c r="AG188" s="1" t="str">
        <f t="shared" si="54"/>
        <v>NW</v>
      </c>
      <c r="AH188" s="92" t="str">
        <f t="shared" si="55"/>
        <v>"%USERPROFILE%\Documents\GitHub\eaglep3\Utilities\RefineRTDCRunTimes.py" --tripid 829-20 --locoid 4040 --swversion DE.1.0.7.0 --startMP 204:441 --initTime 2016-10-20T16:14:05 --startdatetime 2016-10-20T16:21:35 --delay 1 --endMP 300:58933 --enddatetime 2016-10-20T16:36:32 --enforcementcount 0 &gt;&gt;C:\Users\stu\Documents\GitHub\eaglep3-reporting\EC\2016-10-20-refined-times.txt</v>
      </c>
      <c r="AI18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ID","value":"829-20"},{"id":16,"name":"Locomotive ID","value":"4040"},{"id":130,"name":"Impact","value":""},{"id":150,"name":"Time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563</v>
      </c>
      <c r="B189" s="7">
        <v>4039</v>
      </c>
      <c r="C189" s="22" t="s">
        <v>99</v>
      </c>
      <c r="D189" s="22" t="s">
        <v>314</v>
      </c>
      <c r="E189" s="13">
        <v>42663.693472222221</v>
      </c>
      <c r="F189" s="13">
        <v>42663.695127314815</v>
      </c>
      <c r="G189" s="7">
        <v>1</v>
      </c>
      <c r="H189" s="13" t="s">
        <v>739</v>
      </c>
      <c r="I189" s="13">
        <v>42663.706331018519</v>
      </c>
      <c r="J189" s="7">
        <v>0</v>
      </c>
      <c r="K189" s="112" t="str">
        <f t="shared" si="43"/>
        <v>4039/4040</v>
      </c>
      <c r="L189" s="22" t="str">
        <f>VLOOKUP(A189,'Trips&amp;Operators'!$C$1:$E$10000,3,FALSE)</f>
        <v>HELVIE</v>
      </c>
      <c r="M189" s="6">
        <f t="shared" si="44"/>
        <v>1.1203703703358769E-2</v>
      </c>
      <c r="N189" s="7">
        <f t="shared" si="58"/>
        <v>16.133333332836628</v>
      </c>
      <c r="O189" s="7"/>
      <c r="P189" s="7"/>
      <c r="Q189" s="23"/>
      <c r="R189" s="23"/>
      <c r="S189" s="35">
        <f t="shared" si="60"/>
        <v>1</v>
      </c>
      <c r="T189" s="50" t="str">
        <f t="shared" si="45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15:38:36-0600',mode:absolute,to:'2016-10-20 17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47"/>
        <v>N</v>
      </c>
      <c r="X189" s="171">
        <f t="shared" si="48"/>
        <v>1</v>
      </c>
      <c r="Y189" s="67">
        <f t="shared" si="49"/>
        <v>5.8613</v>
      </c>
      <c r="Z189" s="67">
        <f t="shared" si="59"/>
        <v>7.6399999999999996E-2</v>
      </c>
      <c r="AA189" s="67">
        <f t="shared" si="50"/>
        <v>5.7849000000000004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1"/>
        <v>0830-20</v>
      </c>
      <c r="AE18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9" s="88" t="str">
        <f t="shared" si="53"/>
        <v>"C:\Program Files (x86)\AstroGrep\AstroGrep.exe" /spath="%USERPROFILE%\AppData\Local\Temp\OnboardLogs" /stypes="app*4039*20161020*" /stext=" 22:.+((SYSTEM_STATE.+slice.+state.+changed )|(ment ac)|(system.+state.+changed )|(\[timeout)|(PRM\|1\|D)|(kpr)|(kdp)|(\|lc)|(penalty))" /e /r /s</v>
      </c>
      <c r="AG189" s="1" t="str">
        <f t="shared" si="54"/>
        <v>NW</v>
      </c>
      <c r="AH189" s="92" t="str">
        <f t="shared" si="55"/>
        <v>"%USERPROFILE%\Documents\GitHub\eaglep3\Utilities\RefineRTDCRunTimes.py" --tripid 830-20 --locoid 4039 --swversion DE.1.0.7.0 --startMP 300:58613 --initTime 2016-10-20T16:38:36 --startdatetime 2016-10-20T16:40:59 --delay 1 --endMP 204:764 --enddatetime 2016-10-20T16:57:07 --enforcementcount 0 &gt;&gt;C:\Users\stu\Documents\GitHub\eaglep3-reporting\EC\2016-10-20-refined-times.txt</v>
      </c>
      <c r="AI18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{"issue":{"subject":"","project_id":79,"tracker_id":40,"status_id":1,"priority_id":2,"assigned_to_id":23,"start_date":"2016-10-20","description":"","custom_fields":[{"id":1,"name":"Subdivision","value":"NW"},{"id":4,"name":"Milepost","value":"0.0764"},{"id":17,"name":"Train ID","value":"830-20"},{"id":16,"name":"Locomotive ID","value":"4039"},{"id":130,"name":"Impact","value":""},{"id":150,"name":"Time of Event (Mountain Time)","value":"16:57:07"},{"id":151,"name":"Denver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423</v>
      </c>
      <c r="B190" s="7">
        <v>4053</v>
      </c>
      <c r="C190" s="22" t="s">
        <v>99</v>
      </c>
      <c r="D190" s="22" t="s">
        <v>740</v>
      </c>
      <c r="E190" s="13">
        <v>42663.696828703702</v>
      </c>
      <c r="F190" s="13">
        <v>42663.702407407407</v>
      </c>
      <c r="G190" s="7">
        <v>1</v>
      </c>
      <c r="H190" s="13" t="s">
        <v>741</v>
      </c>
      <c r="I190" s="13">
        <v>42663.712025462963</v>
      </c>
      <c r="J190" s="7">
        <v>0</v>
      </c>
      <c r="K190" s="112" t="str">
        <f t="shared" si="43"/>
        <v>4053/4054</v>
      </c>
      <c r="L190" s="22" t="str">
        <f>VLOOKUP(A190,'Trips&amp;Operators'!$C$1:$E$10000,3,FALSE)</f>
        <v>YANAI</v>
      </c>
      <c r="M190" s="6">
        <f t="shared" si="44"/>
        <v>9.6180555556202307E-3</v>
      </c>
      <c r="N190" s="7">
        <f t="shared" si="58"/>
        <v>13.850000000093132</v>
      </c>
      <c r="O190" s="7"/>
      <c r="P190" s="7"/>
      <c r="Q190" s="23"/>
      <c r="R190" s="23"/>
      <c r="S190" s="35">
        <f t="shared" si="60"/>
        <v>1</v>
      </c>
      <c r="T190" s="50" t="str">
        <f t="shared" si="45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0" s="52" t="str">
        <f t="shared" si="47"/>
        <v>N</v>
      </c>
      <c r="X190" s="171">
        <f t="shared" si="48"/>
        <v>1</v>
      </c>
      <c r="Y190" s="67">
        <f t="shared" si="49"/>
        <v>9.4299999999999995E-2</v>
      </c>
      <c r="Z190" s="67">
        <f t="shared" si="59"/>
        <v>5.8935000000000004</v>
      </c>
      <c r="AA190" s="67">
        <f t="shared" si="50"/>
        <v>5.7992000000000008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1"/>
        <v>0831-20</v>
      </c>
      <c r="AE190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0" s="88" t="str">
        <f t="shared" si="53"/>
        <v>"C:\Program Files (x86)\AstroGrep\AstroGrep.exe" /spath="%USERPROFILE%\AppData\Local\Temp\OnboardLogs" /stypes="app*4053*20161020*" /stext=" 23:.+((SYSTEM_STATE.+slice.+state.+changed )|(ment ac)|(system.+state.+changed )|(\[timeout)|(PRM\|1\|D)|(kpr)|(kdp)|(\|lc)|(penalty))" /e /r /s</v>
      </c>
      <c r="AG190" s="1" t="str">
        <f t="shared" si="54"/>
        <v>NW</v>
      </c>
      <c r="AH190" s="92" t="str">
        <f t="shared" si="55"/>
        <v>"%USERPROFILE%\Documents\GitHub\eaglep3\Utilities\RefineRTDCRunTimes.py" --tripid 831-20 --locoid 4053 --swversion DE.1.0.7.0 --startMP 204:943 --initTime 2016-10-20T16:43:26 --startdatetime 2016-10-20T16:51:28 --delay 1 --endMP 300:58935 --enddatetime 2016-10-20T17:05:19 --enforcementcount 0 &gt;&gt;C:\Users\stu\Documents\GitHub\eaglep3-reporting\EC\2016-10-20-refined-times.txt</v>
      </c>
      <c r="AI19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567</v>
      </c>
      <c r="B191" s="7">
        <v>4054</v>
      </c>
      <c r="C191" s="22" t="s">
        <v>99</v>
      </c>
      <c r="D191" s="22" t="s">
        <v>742</v>
      </c>
      <c r="E191" s="13">
        <v>42663.713773148149</v>
      </c>
      <c r="F191" s="13">
        <v>42663.715694444443</v>
      </c>
      <c r="G191" s="7">
        <v>1</v>
      </c>
      <c r="H191" s="13" t="s">
        <v>743</v>
      </c>
      <c r="I191" s="13">
        <v>42663.726527777777</v>
      </c>
      <c r="J191" s="7">
        <v>0</v>
      </c>
      <c r="K191" s="112" t="str">
        <f t="shared" si="43"/>
        <v>4053/4054</v>
      </c>
      <c r="L191" s="22" t="str">
        <f>VLOOKUP(A191,'Trips&amp;Operators'!$C$1:$E$10000,3,FALSE)</f>
        <v>YANAI</v>
      </c>
      <c r="M191" s="6">
        <f t="shared" si="44"/>
        <v>1.0833333333721384E-2</v>
      </c>
      <c r="N191" s="7">
        <f t="shared" ref="N191:N227" si="61">24*60*SUM($M191:$M191)</f>
        <v>15.600000000558794</v>
      </c>
      <c r="O191" s="7"/>
      <c r="P191" s="7"/>
      <c r="Q191" s="23"/>
      <c r="R191" s="23"/>
      <c r="S191" s="35">
        <f t="shared" si="60"/>
        <v>1</v>
      </c>
      <c r="T191" s="50" t="str">
        <f t="shared" si="45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16:07:50-0600',mode:absolute,to:'2016-10-20 18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1" s="52" t="str">
        <f t="shared" si="47"/>
        <v>N</v>
      </c>
      <c r="X191" s="171">
        <f t="shared" si="48"/>
        <v>1</v>
      </c>
      <c r="Y191" s="67">
        <f t="shared" si="49"/>
        <v>5.8628</v>
      </c>
      <c r="Z191" s="67">
        <f t="shared" si="59"/>
        <v>6.7000000000000004E-2</v>
      </c>
      <c r="AA191" s="67">
        <f t="shared" si="50"/>
        <v>5.7957999999999998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1"/>
        <v>0832-20</v>
      </c>
      <c r="AE191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1" s="88" t="str">
        <f t="shared" si="53"/>
        <v>"C:\Program Files (x86)\AstroGrep\AstroGrep.exe" /spath="%USERPROFILE%\AppData\Local\Temp\OnboardLogs" /stypes="app*4054*20161020*" /stext=" 23:.+((SYSTEM_STATE.+slice.+state.+changed )|(ment ac)|(system.+state.+changed )|(\[timeout)|(PRM\|1\|D)|(kpr)|(kdp)|(\|lc)|(penalty))" /e /r /s</v>
      </c>
      <c r="AG191" s="1" t="str">
        <f t="shared" si="54"/>
        <v>NW</v>
      </c>
      <c r="AH191" s="92" t="str">
        <f t="shared" si="55"/>
        <v>"%USERPROFILE%\Documents\GitHub\eaglep3\Utilities\RefineRTDCRunTimes.py" --tripid 832-20 --locoid 4054 --swversion DE.1.0.7.0 --startMP 300:58628 --initTime 2016-10-20T17:07:50 --startdatetime 2016-10-20T17:10:36 --delay 1 --endMP 204:670 --enddatetime 2016-10-20T17:26:12 --enforcementcount 0 &gt;&gt;C:\Users\stu\Documents\GitHub\eaglep3-reporting\EC\2016-10-20-refined-times.txt</v>
      </c>
      <c r="AI19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{"issue":{"subject":"","project_id":79,"tracker_id":40,"status_id":1,"priority_id":2,"assigned_to_id":23,"start_date":"2016-10-20","description":"","custom_fields":[{"id":1,"name":"Subdivision","value":"NW"},{"id":4,"name":"Milepost","value":"0.067"},{"id":17,"name":"Train ID","value":"832-20"},{"id":16,"name":"Locomotive ID","value":"4054"},{"id":130,"name":"Impact","value":""},{"id":150,"name":"Time of Event (Mountain Time)","value":"17:26:12"},{"id":151,"name":"Denver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569</v>
      </c>
      <c r="B192" s="7">
        <v>4040</v>
      </c>
      <c r="C192" s="22" t="s">
        <v>99</v>
      </c>
      <c r="D192" s="22" t="s">
        <v>744</v>
      </c>
      <c r="E192" s="13">
        <v>42663.719421296293</v>
      </c>
      <c r="F192" s="13">
        <v>42663.723252314812</v>
      </c>
      <c r="G192" s="7">
        <v>1</v>
      </c>
      <c r="H192" s="13" t="s">
        <v>316</v>
      </c>
      <c r="I192" s="13">
        <v>42663.733425925922</v>
      </c>
      <c r="J192" s="7">
        <v>0</v>
      </c>
      <c r="K192" s="112" t="str">
        <f t="shared" si="43"/>
        <v>4039/4040</v>
      </c>
      <c r="L192" s="22" t="str">
        <f>VLOOKUP(A192,'Trips&amp;Operators'!$C$1:$E$10000,3,FALSE)</f>
        <v>HELVIE</v>
      </c>
      <c r="M192" s="6">
        <f t="shared" si="44"/>
        <v>1.0173611110076308E-2</v>
      </c>
      <c r="N192" s="7">
        <f t="shared" si="61"/>
        <v>14.649999998509884</v>
      </c>
      <c r="O192" s="7"/>
      <c r="P192" s="7"/>
      <c r="Q192" s="23"/>
      <c r="R192" s="23"/>
      <c r="S192" s="35">
        <f t="shared" si="60"/>
        <v>1</v>
      </c>
      <c r="T192" s="50" t="str">
        <f t="shared" si="45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16:15:58-0600',mode:absolute,to:'2016-10-20 18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47"/>
        <v>N</v>
      </c>
      <c r="X192" s="171">
        <f t="shared" si="48"/>
        <v>1</v>
      </c>
      <c r="Y192" s="67">
        <f t="shared" si="49"/>
        <v>0.1065</v>
      </c>
      <c r="Z192" s="67">
        <f t="shared" si="59"/>
        <v>5.8928000000000003</v>
      </c>
      <c r="AA192" s="67">
        <f t="shared" si="50"/>
        <v>5.7863000000000007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1"/>
        <v>0833-20</v>
      </c>
      <c r="AE19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2" s="88" t="str">
        <f t="shared" si="53"/>
        <v>"C:\Program Files (x86)\AstroGrep\AstroGrep.exe" /spath="%USERPROFILE%\AppData\Local\Temp\OnboardLogs" /stypes="app*4040*20161020*" /stext=" 23:.+((SYSTEM_STATE.+slice.+state.+changed )|(ment ac)|(system.+state.+changed )|(\[timeout)|(PRM\|1\|D)|(kpr)|(kdp)|(\|lc)|(penalty))" /e /r /s</v>
      </c>
      <c r="AG192" s="1" t="str">
        <f t="shared" si="54"/>
        <v>NW</v>
      </c>
      <c r="AH192" s="92" t="str">
        <f t="shared" si="55"/>
        <v>"%USERPROFILE%\Documents\GitHub\eaglep3\Utilities\RefineRTDCRunTimes.py" --tripid 833-20 --locoid 4040 --swversion DE.1.0.7.0 --startMP 204:1065 --initTime 2016-10-20T17:15:58 --startdatetime 2016-10-20T17:21:29 --delay 1 --endMP 300:58928 --enddatetime 2016-10-20T17:36:08 --enforcementcount 0 &gt;&gt;C:\Users\stu\Documents\GitHub\eaglep3-reporting\EC\2016-10-20-refined-times.txt</v>
      </c>
      <c r="AI19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ID","value":"833-20"},{"id":16,"name":"Locomotive ID","value":"4040"},{"id":130,"name":"Impact","value":""},{"id":150,"name":"Time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427</v>
      </c>
      <c r="B193" s="7">
        <v>4039</v>
      </c>
      <c r="C193" s="22" t="s">
        <v>99</v>
      </c>
      <c r="D193" s="22" t="s">
        <v>704</v>
      </c>
      <c r="E193" s="13">
        <v>42663.734768518516</v>
      </c>
      <c r="F193" s="13">
        <v>42663.736145833333</v>
      </c>
      <c r="G193" s="7">
        <v>1</v>
      </c>
      <c r="H193" s="13" t="s">
        <v>745</v>
      </c>
      <c r="I193" s="13">
        <v>42663.746689814812</v>
      </c>
      <c r="J193" s="7">
        <v>0</v>
      </c>
      <c r="K193" s="112" t="str">
        <f t="shared" si="43"/>
        <v>4039/4040</v>
      </c>
      <c r="L193" s="22" t="str">
        <f>VLOOKUP(A193,'Trips&amp;Operators'!$C$1:$E$10000,3,FALSE)</f>
        <v>HELVIE</v>
      </c>
      <c r="M193" s="6">
        <f t="shared" si="44"/>
        <v>1.0543981479713693E-2</v>
      </c>
      <c r="N193" s="7">
        <f t="shared" si="61"/>
        <v>15.183333330787718</v>
      </c>
      <c r="O193" s="7"/>
      <c r="P193" s="7"/>
      <c r="Q193" s="23"/>
      <c r="R193" s="23"/>
      <c r="S193" s="35">
        <f t="shared" si="60"/>
        <v>1</v>
      </c>
      <c r="T193" s="50" t="str">
        <f t="shared" si="45"/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47"/>
        <v>N</v>
      </c>
      <c r="X193" s="171">
        <f t="shared" si="48"/>
        <v>1</v>
      </c>
      <c r="Y193" s="67">
        <f t="shared" si="49"/>
        <v>5.8611000000000004</v>
      </c>
      <c r="Z193" s="67">
        <f t="shared" ref="Z193:Z227" si="62">RIGHT(H193,LEN(H193)-4)/10000</f>
        <v>8.0399999999999999E-2</v>
      </c>
      <c r="AA193" s="67">
        <f t="shared" si="50"/>
        <v>5.7807000000000004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1"/>
        <v>0834-20</v>
      </c>
      <c r="AE19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3" s="88" t="str">
        <f t="shared" si="53"/>
        <v>"C:\Program Files (x86)\AstroGrep\AstroGrep.exe" /spath="%USERPROFILE%\AppData\Local\Temp\OnboardLogs" /stypes="app*4039*20161020*" /stext=" 23:.+((SYSTEM_STATE.+slice.+state.+changed )|(ment ac)|(system.+state.+changed )|(\[timeout)|(PRM\|1\|D)|(kpr)|(kdp)|(\|lc)|(penalty))" /e /r /s</v>
      </c>
      <c r="AG193" s="1" t="str">
        <f t="shared" si="54"/>
        <v>NW</v>
      </c>
      <c r="AH193" s="92" t="str">
        <f t="shared" si="55"/>
        <v>"%USERPROFILE%\Documents\GitHub\eaglep3\Utilities\RefineRTDCRunTimes.py" --tripid 834-20 --locoid 4039 --swversion DE.1.0.7.0 --startMP 300:58611 --initTime 2016-10-20T17:38:04 --startdatetime 2016-10-20T17:40:03 --delay 1 --endMP 204:804 --enddatetime 2016-10-20T17:55:14 --enforcementcount 0 &gt;&gt;C:\Users\stu\Documents\GitHub\eaglep3-reporting\EC\2016-10-20-refined-times.txt</v>
      </c>
      <c r="AI19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{"issue":{"subject":"","project_id":79,"tracker_id":40,"status_id":1,"priority_id":2,"assigned_to_id":23,"start_date":"2016-10-20","description":"","custom_fields":[{"id":1,"name":"Subdivision","value":"NW"},{"id":4,"name":"Milepost","value":"0.0804"},{"id":17,"name":"Train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428</v>
      </c>
      <c r="B194" s="7">
        <v>4053</v>
      </c>
      <c r="C194" s="22" t="s">
        <v>99</v>
      </c>
      <c r="D194" s="22" t="s">
        <v>746</v>
      </c>
      <c r="E194" s="13">
        <v>42663.737847222219</v>
      </c>
      <c r="F194" s="13">
        <v>42663.744027777779</v>
      </c>
      <c r="G194" s="7">
        <v>1</v>
      </c>
      <c r="H194" s="13" t="s">
        <v>356</v>
      </c>
      <c r="I194" s="13">
        <v>42663.754178240742</v>
      </c>
      <c r="J194" s="7">
        <v>0</v>
      </c>
      <c r="K194" s="112" t="str">
        <f t="shared" si="43"/>
        <v>4053/4054</v>
      </c>
      <c r="L194" s="22" t="str">
        <f>VLOOKUP(A194,'Trips&amp;Operators'!$C$1:$E$10000,3,FALSE)</f>
        <v>YANAI</v>
      </c>
      <c r="M194" s="6">
        <f t="shared" si="44"/>
        <v>1.0150462963792961E-2</v>
      </c>
      <c r="N194" s="7">
        <f t="shared" si="61"/>
        <v>14.616666667861864</v>
      </c>
      <c r="O194" s="7"/>
      <c r="P194" s="7"/>
      <c r="Q194" s="23"/>
      <c r="R194" s="23"/>
      <c r="S194" s="35">
        <f t="shared" si="60"/>
        <v>1</v>
      </c>
      <c r="T194" s="50" t="str">
        <f t="shared" si="45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4" s="52" t="str">
        <f t="shared" si="47"/>
        <v>N</v>
      </c>
      <c r="X194" s="171">
        <f t="shared" si="48"/>
        <v>1</v>
      </c>
      <c r="Y194" s="67">
        <f t="shared" si="49"/>
        <v>9.64E-2</v>
      </c>
      <c r="Z194" s="67">
        <f t="shared" si="62"/>
        <v>5.8933</v>
      </c>
      <c r="AA194" s="67">
        <f t="shared" si="50"/>
        <v>5.7968999999999999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1"/>
        <v>0835-20</v>
      </c>
      <c r="AE194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4" s="88" t="str">
        <f t="shared" si="53"/>
        <v>"C:\Program Files (x86)\AstroGrep\AstroGrep.exe" /spath="%USERPROFILE%\AppData\Local\Temp\OnboardLogs" /stypes="app*4053*20161021*" /stext=" 00:.+((SYSTEM_STATE.+slice.+state.+changed )|(ment ac)|(system.+state.+changed )|(\[timeout)|(PRM\|1\|D)|(kpr)|(kdp)|(\|lc)|(penalty))" /e /r /s</v>
      </c>
      <c r="AG194" s="1" t="str">
        <f t="shared" si="54"/>
        <v>NW</v>
      </c>
      <c r="AH194" s="92" t="str">
        <f t="shared" si="55"/>
        <v>"%USERPROFILE%\Documents\GitHub\eaglep3\Utilities\RefineRTDCRunTimes.py" --tripid 835-20 --locoid 4053 --swversion DE.1.0.7.0 --startMP 204:964 --initTime 2016-10-20T17:42:30 --startdatetime 2016-10-20T17:51:24 --delay 1 --endMP 300:58933 --enddatetime 2016-10-20T18:06:01 --enforcementcount 0 &gt;&gt;C:\Users\stu\Documents\GitHub\eaglep3-reporting\EC\2016-10-20-refined-times.txt</v>
      </c>
      <c r="AI19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ID","value":"835-20"},{"id":16,"name":"Locomotive ID","value":"4053"},{"id":130,"name":"Impact","value":""},{"id":150,"name":"Time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578</v>
      </c>
      <c r="B195" s="7">
        <v>4054</v>
      </c>
      <c r="C195" s="22" t="s">
        <v>99</v>
      </c>
      <c r="D195" s="22" t="s">
        <v>731</v>
      </c>
      <c r="E195" s="13">
        <v>42663.755474537036</v>
      </c>
      <c r="F195" s="13">
        <v>42663.75708333333</v>
      </c>
      <c r="G195" s="7">
        <v>1</v>
      </c>
      <c r="H195" s="13" t="s">
        <v>355</v>
      </c>
      <c r="I195" s="13">
        <v>42663.769467592596</v>
      </c>
      <c r="J195" s="7">
        <v>0</v>
      </c>
      <c r="K195" s="112" t="str">
        <f t="shared" si="43"/>
        <v>4053/4054</v>
      </c>
      <c r="L195" s="22" t="str">
        <f>VLOOKUP(A195,'Trips&amp;Operators'!$C$1:$E$10000,3,FALSE)</f>
        <v>YANAI</v>
      </c>
      <c r="M195" s="6">
        <f t="shared" si="44"/>
        <v>1.2384259265672881E-2</v>
      </c>
      <c r="N195" s="7">
        <f t="shared" si="61"/>
        <v>17.833333342568949</v>
      </c>
      <c r="O195" s="7"/>
      <c r="P195" s="7"/>
      <c r="Q195" s="23"/>
      <c r="R195" s="23"/>
      <c r="S195" s="35">
        <f t="shared" si="60"/>
        <v>1</v>
      </c>
      <c r="T195" s="50" t="str">
        <f t="shared" si="45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17:07:53-0600',mode:absolute,to:'2016-10-20 19:28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5" s="52" t="str">
        <f t="shared" si="47"/>
        <v>N</v>
      </c>
      <c r="X195" s="171">
        <f t="shared" si="48"/>
        <v>1</v>
      </c>
      <c r="Y195" s="67">
        <f t="shared" si="49"/>
        <v>5.8625999999999996</v>
      </c>
      <c r="Z195" s="67">
        <f t="shared" si="62"/>
        <v>7.0599999999999996E-2</v>
      </c>
      <c r="AA195" s="67">
        <f t="shared" si="50"/>
        <v>5.7919999999999998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1"/>
        <v>0836-20</v>
      </c>
      <c r="AE195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5" s="88" t="str">
        <f t="shared" si="53"/>
        <v>"C:\Program Files (x86)\AstroGrep\AstroGrep.exe" /spath="%USERPROFILE%\AppData\Local\Temp\OnboardLogs" /stypes="app*4054*20161021*" /stext=" 00:.+((SYSTEM_STATE.+slice.+state.+changed )|(ment ac)|(system.+state.+changed )|(\[timeout)|(PRM\|1\|D)|(kpr)|(kdp)|(\|lc)|(penalty))" /e /r /s</v>
      </c>
      <c r="AG195" s="1" t="str">
        <f t="shared" si="54"/>
        <v>NW</v>
      </c>
      <c r="AH195" s="92" t="str">
        <f t="shared" si="55"/>
        <v>"%USERPROFILE%\Documents\GitHub\eaglep3\Utilities\RefineRTDCRunTimes.py" --tripid 836-20 --locoid 4054 --swversion DE.1.0.7.0 --startMP 300:58626 --initTime 2016-10-20T18:07:53 --startdatetime 2016-10-20T18:10:12 --delay 1 --endMP 204:706 --enddatetime 2016-10-20T18:28:02 --enforcementcount 0 &gt;&gt;C:\Users\stu\Documents\GitHub\eaglep3-reporting\EC\2016-10-20-refined-times.txt</v>
      </c>
      <c r="AI19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{"issue":{"subject":"","project_id":79,"tracker_id":40,"status_id":1,"priority_id":2,"assigned_to_id":23,"start_date":"2016-10-20","description":"","custom_fields":[{"id":1,"name":"Subdivision","value":"NW"},{"id":4,"name":"Milepost","value":"0.0706"},{"id":17,"name":"Train ID","value":"836-20"},{"id":16,"name":"Locomotive ID","value":"4054"},{"id":130,"name":"Impact","value":""},{"id":150,"name":"Time of Event (Mountain Time)","value":"18:28:02"},{"id":151,"name":"Denver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580</v>
      </c>
      <c r="B196" s="7">
        <v>4040</v>
      </c>
      <c r="C196" s="22" t="s">
        <v>99</v>
      </c>
      <c r="D196" s="22" t="s">
        <v>747</v>
      </c>
      <c r="E196" s="13">
        <v>42663.762384259258</v>
      </c>
      <c r="F196" s="13">
        <v>42663.765023148146</v>
      </c>
      <c r="G196" s="7">
        <v>1</v>
      </c>
      <c r="H196" s="13" t="s">
        <v>719</v>
      </c>
      <c r="I196" s="13">
        <v>42663.775231481479</v>
      </c>
      <c r="J196" s="7">
        <v>0</v>
      </c>
      <c r="K196" s="112" t="str">
        <f t="shared" si="43"/>
        <v>4039/4040</v>
      </c>
      <c r="L196" s="22" t="str">
        <f>VLOOKUP(A196,'Trips&amp;Operators'!$C$1:$E$10000,3,FALSE)</f>
        <v>HELVIE</v>
      </c>
      <c r="M196" s="6">
        <f t="shared" si="44"/>
        <v>1.0208333333139308E-2</v>
      </c>
      <c r="N196" s="7">
        <f t="shared" si="61"/>
        <v>14.699999999720603</v>
      </c>
      <c r="O196" s="7"/>
      <c r="P196" s="7"/>
      <c r="Q196" s="23"/>
      <c r="R196" s="23"/>
      <c r="S196" s="35">
        <f t="shared" si="60"/>
        <v>1</v>
      </c>
      <c r="T196" s="50" t="str">
        <f t="shared" si="45"/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17:17:50-0600',mode:absolute,to:'2016-10-20 19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47"/>
        <v>N</v>
      </c>
      <c r="X196" s="171">
        <f t="shared" si="48"/>
        <v>1</v>
      </c>
      <c r="Y196" s="67">
        <f t="shared" si="49"/>
        <v>0.1095</v>
      </c>
      <c r="Z196" s="67">
        <f t="shared" si="62"/>
        <v>5.8936999999999999</v>
      </c>
      <c r="AA196" s="67">
        <f t="shared" si="50"/>
        <v>5.7842000000000002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1"/>
        <v>0837-20</v>
      </c>
      <c r="AE19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6" s="88" t="str">
        <f t="shared" si="53"/>
        <v>"C:\Program Files (x86)\AstroGrep\AstroGrep.exe" /spath="%USERPROFILE%\AppData\Local\Temp\OnboardLogs" /stypes="app*4040*20161021*" /stext=" 00:.+((SYSTEM_STATE.+slice.+state.+changed )|(ment ac)|(system.+state.+changed )|(\[timeout)|(PRM\|1\|D)|(kpr)|(kdp)|(\|lc)|(penalty))" /e /r /s</v>
      </c>
      <c r="AG196" s="1" t="str">
        <f t="shared" si="54"/>
        <v>NW</v>
      </c>
      <c r="AH196" s="92" t="str">
        <f t="shared" si="55"/>
        <v>"%USERPROFILE%\Documents\GitHub\eaglep3\Utilities\RefineRTDCRunTimes.py" --tripid 837-20 --locoid 4040 --swversion DE.1.0.7.0 --startMP 204:1095 --initTime 2016-10-20T18:17:50 --startdatetime 2016-10-20T18:21:38 --delay 1 --endMP 300:58937 --enddatetime 2016-10-20T18:36:20 --enforcementcount 0 &gt;&gt;C:\Users\stu\Documents\GitHub\eaglep3-reporting\EC\2016-10-20-refined-times.txt</v>
      </c>
      <c r="AI19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ID","value":"837-20"},{"id":16,"name":"Locomotive ID","value":"4040"},{"id":130,"name":"Impact","value":""},{"id":150,"name":"Time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584</v>
      </c>
      <c r="B197" s="7">
        <v>4039</v>
      </c>
      <c r="C197" s="22" t="s">
        <v>99</v>
      </c>
      <c r="D197" s="22" t="s">
        <v>288</v>
      </c>
      <c r="E197" s="13">
        <v>42663.776655092595</v>
      </c>
      <c r="F197" s="13">
        <v>42663.778287037036</v>
      </c>
      <c r="G197" s="7">
        <v>1</v>
      </c>
      <c r="H197" s="13" t="s">
        <v>748</v>
      </c>
      <c r="I197" s="13">
        <v>42663.79283564815</v>
      </c>
      <c r="J197" s="7">
        <v>0</v>
      </c>
      <c r="K197" s="112" t="str">
        <f t="shared" si="43"/>
        <v>4039/4040</v>
      </c>
      <c r="L197" s="22" t="str">
        <f>VLOOKUP(A197,'Trips&amp;Operators'!$C$1:$E$10000,3,FALSE)</f>
        <v>HELVIE</v>
      </c>
      <c r="M197" s="6">
        <f t="shared" si="44"/>
        <v>1.4548611114150845E-2</v>
      </c>
      <c r="N197" s="7">
        <f t="shared" si="61"/>
        <v>20.950000004377216</v>
      </c>
      <c r="O197" s="7"/>
      <c r="P197" s="7"/>
      <c r="Q197" s="23"/>
      <c r="R197" s="23"/>
      <c r="S197" s="35">
        <f t="shared" si="60"/>
        <v>1</v>
      </c>
      <c r="T197" s="50" t="str">
        <f t="shared" si="45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17:38:23-0600',mode:absolute,to:'2016-10-20 20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7" s="52" t="str">
        <f t="shared" si="47"/>
        <v>N</v>
      </c>
      <c r="X197" s="171">
        <f t="shared" si="48"/>
        <v>1</v>
      </c>
      <c r="Y197" s="67">
        <f t="shared" si="49"/>
        <v>5.8615000000000004</v>
      </c>
      <c r="Z197" s="67">
        <f t="shared" si="62"/>
        <v>7.4700000000000003E-2</v>
      </c>
      <c r="AA197" s="67">
        <f t="shared" si="50"/>
        <v>5.7868000000000004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1"/>
        <v>0838-20</v>
      </c>
      <c r="AE19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7" s="88" t="str">
        <f t="shared" si="53"/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7" s="1" t="str">
        <f t="shared" si="54"/>
        <v>NW</v>
      </c>
      <c r="AH197" s="92" t="str">
        <f t="shared" si="55"/>
        <v>"%USERPROFILE%\Documents\GitHub\eaglep3\Utilities\RefineRTDCRunTimes.py" --tripid 838-20 --locoid 4039 --swversion DE.1.0.7.0 --startMP 300:58615 --initTime 2016-10-20T18:38:23 --startdatetime 2016-10-20T18:40:44 --delay 1 --endMP 204:747 --enddatetime 2016-10-20T19:01:41 --enforcementcount 0 &gt;&gt;C:\Users\stu\Documents\GitHub\eaglep3-reporting\EC\2016-10-20-refined-times.txt</v>
      </c>
      <c r="AI19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{"issue":{"subject":"","project_id":79,"tracker_id":40,"status_id":1,"priority_id":2,"assigned_to_id":23,"start_date":"2016-10-20","description":"","custom_fields":[{"id":1,"name":"Subdivision","value":"NW"},{"id":4,"name":"Milepost","value":"0.0747"},{"id":17,"name":"Train ID","value":"838-20"},{"id":16,"name":"Locomotive ID","value":"4039"},{"id":130,"name":"Impact","value":""},{"id":150,"name":"Time of Event (Mountain Time)","value":"19:01:41"},{"id":151,"name":"Denver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585</v>
      </c>
      <c r="B198" s="7">
        <v>4053</v>
      </c>
      <c r="C198" s="22" t="s">
        <v>99</v>
      </c>
      <c r="D198" s="22" t="s">
        <v>354</v>
      </c>
      <c r="E198" s="13">
        <v>42663.778124999997</v>
      </c>
      <c r="F198" s="13">
        <v>42663.785775462966</v>
      </c>
      <c r="G198" s="7">
        <v>3</v>
      </c>
      <c r="H198" s="13" t="s">
        <v>749</v>
      </c>
      <c r="I198" s="13">
        <v>42663.795613425929</v>
      </c>
      <c r="J198" s="7">
        <v>0</v>
      </c>
      <c r="K198" s="112" t="str">
        <f t="shared" si="43"/>
        <v>4053/4054</v>
      </c>
      <c r="L198" s="22" t="str">
        <f>VLOOKUP(A198,'Trips&amp;Operators'!$C$1:$E$10000,3,FALSE)</f>
        <v>YANAI</v>
      </c>
      <c r="M198" s="6">
        <f t="shared" si="44"/>
        <v>9.8379629635019228E-3</v>
      </c>
      <c r="N198" s="7">
        <f t="shared" si="61"/>
        <v>14.166666667442769</v>
      </c>
      <c r="O198" s="7"/>
      <c r="P198" s="7"/>
      <c r="Q198" s="23"/>
      <c r="R198" s="23"/>
      <c r="S198" s="35">
        <f t="shared" si="60"/>
        <v>1</v>
      </c>
      <c r="T198" s="50" t="str">
        <f t="shared" si="45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17:40:30-0600',mode:absolute,to:'2016-10-20 20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8" s="52" t="str">
        <f t="shared" si="47"/>
        <v>N</v>
      </c>
      <c r="X198" s="171">
        <f t="shared" si="48"/>
        <v>1</v>
      </c>
      <c r="Y198" s="67">
        <f t="shared" si="49"/>
        <v>9.9500000000000005E-2</v>
      </c>
      <c r="Z198" s="67">
        <f t="shared" si="62"/>
        <v>5.8925999999999998</v>
      </c>
      <c r="AA198" s="67">
        <f t="shared" si="50"/>
        <v>5.7930999999999999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1"/>
        <v>0839-20</v>
      </c>
      <c r="AE198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8" s="88" t="str">
        <f t="shared" si="53"/>
        <v>"C:\Program Files (x86)\AstroGrep\AstroGrep.exe" /spath="%USERPROFILE%\AppData\Local\Temp\OnboardLogs" /stypes="app*4053*20161021*" /stext=" 01:.+((SYSTEM_STATE.+slice.+state.+changed )|(ment ac)|(system.+state.+changed )|(\[timeout)|(PRM\|1\|D)|(kpr)|(kdp)|(\|lc)|(penalty))" /e /r /s</v>
      </c>
      <c r="AG198" s="1" t="str">
        <f t="shared" si="54"/>
        <v>NW</v>
      </c>
      <c r="AH198" s="92" t="str">
        <f t="shared" si="55"/>
        <v>"%USERPROFILE%\Documents\GitHub\eaglep3\Utilities\RefineRTDCRunTimes.py" --tripid 839-20 --locoid 4053 --swversion DE.1.0.7.0 --startMP 204:995 --initTime 2016-10-20T18:40:30 --startdatetime 2016-10-20T18:51:31 --delay 3 --endMP 300:58926 --enddatetime 2016-10-20T19:05:41 --enforcementcount 0 &gt;&gt;C:\Users\stu\Documents\GitHub\eaglep3-reporting\EC\2016-10-20-refined-times.txt</v>
      </c>
      <c r="AI19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ID","value":"839-20"},{"id":16,"name":"Locomotive ID","value":"4053"},{"id":130,"name":"Impact","value":""},{"id":150,"name":"Time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430</v>
      </c>
      <c r="B199" s="7">
        <v>4039</v>
      </c>
      <c r="C199" s="22" t="s">
        <v>99</v>
      </c>
      <c r="D199" s="22" t="s">
        <v>288</v>
      </c>
      <c r="E199" s="13">
        <v>42663.818518518521</v>
      </c>
      <c r="F199" s="13">
        <v>42663.820243055554</v>
      </c>
      <c r="G199" s="7">
        <v>1</v>
      </c>
      <c r="H199" s="13" t="s">
        <v>750</v>
      </c>
      <c r="I199" s="13">
        <v>42663.832789351851</v>
      </c>
      <c r="J199" s="7">
        <v>0</v>
      </c>
      <c r="K199" s="112" t="str">
        <f t="shared" si="43"/>
        <v>4039/4040</v>
      </c>
      <c r="L199" s="22" t="str">
        <f>VLOOKUP(A199,'Trips&amp;Operators'!$C$1:$E$10000,3,FALSE)</f>
        <v>HELVIE</v>
      </c>
      <c r="M199" s="6">
        <f t="shared" si="44"/>
        <v>1.2546296296932269E-2</v>
      </c>
      <c r="N199" s="7">
        <f t="shared" si="61"/>
        <v>18.066666667582467</v>
      </c>
      <c r="O199" s="7"/>
      <c r="P199" s="7"/>
      <c r="Q199" s="23"/>
      <c r="R199" s="23"/>
      <c r="S199" s="35">
        <f t="shared" si="60"/>
        <v>1</v>
      </c>
      <c r="T199" s="50" t="str">
        <f t="shared" si="45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9" s="52" t="str">
        <f t="shared" si="47"/>
        <v>N</v>
      </c>
      <c r="X199" s="171">
        <f t="shared" si="48"/>
        <v>1</v>
      </c>
      <c r="Y199" s="67">
        <f t="shared" si="49"/>
        <v>5.8615000000000004</v>
      </c>
      <c r="Z199" s="67">
        <f t="shared" si="62"/>
        <v>7.5399999999999995E-2</v>
      </c>
      <c r="AA199" s="67">
        <f t="shared" si="50"/>
        <v>5.7861000000000002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1"/>
        <v>0840-20</v>
      </c>
      <c r="AE19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9" s="88" t="str">
        <f t="shared" si="53"/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9" s="1" t="str">
        <f t="shared" si="54"/>
        <v>NW</v>
      </c>
      <c r="AH199" s="92" t="str">
        <f t="shared" si="55"/>
        <v>"%USERPROFILE%\Documents\GitHub\eaglep3\Utilities\RefineRTDCRunTimes.py" --tripid 840-20 --locoid 4039 --swversion DE.1.0.7.0 --startMP 300:58615 --initTime 2016-10-20T19:38:40 --startdatetime 2016-10-20T19:41:09 --delay 1 --endMP 204:754 --enddatetime 2016-10-20T19:59:13 --enforcementcount 0 &gt;&gt;C:\Users\stu\Documents\GitHub\eaglep3-reporting\EC\2016-10-20-refined-times.txt</v>
      </c>
      <c r="AI19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{"issue":{"subject":"","project_id":79,"tracker_id":40,"status_id":1,"priority_id":2,"assigned_to_id":23,"start_date":"2016-10-20","description":"","custom_fields":[{"id":1,"name":"Subdivision","value":"NW"},{"id":4,"name":"Milepost","value":"0.0754"},{"id":17,"name":"Train ID","value":"840-20"},{"id":16,"name":"Locomotive ID","value":"4039"},{"id":130,"name":"Impact","value":""},{"id":150,"name":"Time of Event (Mountain Time)","value":"19:59:13"},{"id":151,"name":"Denver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591</v>
      </c>
      <c r="B200" s="7">
        <v>4040</v>
      </c>
      <c r="C200" s="22" t="s">
        <v>99</v>
      </c>
      <c r="D200" s="22" t="s">
        <v>371</v>
      </c>
      <c r="E200" s="13">
        <v>42663.799884259257</v>
      </c>
      <c r="F200" s="13">
        <v>42663.806666666664</v>
      </c>
      <c r="G200" s="7">
        <v>1</v>
      </c>
      <c r="H200" s="13" t="s">
        <v>749</v>
      </c>
      <c r="I200" s="13">
        <v>42663.817071759258</v>
      </c>
      <c r="J200" s="7">
        <v>0</v>
      </c>
      <c r="K200" s="112" t="str">
        <f t="shared" si="43"/>
        <v>4039/4040</v>
      </c>
      <c r="L200" s="22" t="str">
        <f>VLOOKUP(A200,'Trips&amp;Operators'!$C$1:$E$10000,3,FALSE)</f>
        <v>HELVIE</v>
      </c>
      <c r="M200" s="6">
        <f t="shared" si="44"/>
        <v>1.0405092594737653E-2</v>
      </c>
      <c r="N200" s="7">
        <f t="shared" si="61"/>
        <v>14.98333333642222</v>
      </c>
      <c r="O200" s="7"/>
      <c r="P200" s="7"/>
      <c r="Q200" s="23"/>
      <c r="R200" s="23"/>
      <c r="S200" s="35">
        <f t="shared" si="60"/>
        <v>1</v>
      </c>
      <c r="T200" s="50" t="str">
        <f t="shared" si="45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18:11:50-0600',mode:absolute,to:'2016-10-20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0" s="52" t="str">
        <f t="shared" si="47"/>
        <v>N</v>
      </c>
      <c r="X200" s="171">
        <f t="shared" si="48"/>
        <v>1</v>
      </c>
      <c r="Y200" s="67">
        <f t="shared" si="49"/>
        <v>0.1051</v>
      </c>
      <c r="Z200" s="67">
        <f t="shared" si="62"/>
        <v>5.8925999999999998</v>
      </c>
      <c r="AA200" s="67">
        <f t="shared" si="50"/>
        <v>5.7874999999999996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1"/>
        <v>0841-20</v>
      </c>
      <c r="AE20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0" s="88" t="str">
        <f t="shared" si="53"/>
        <v>"C:\Program Files (x86)\AstroGrep\AstroGrep.exe" /spath="%USERPROFILE%\AppData\Local\Temp\OnboardLogs" /stypes="app*4040*20161021*" /stext=" 01:.+((SYSTEM_STATE.+slice.+state.+changed )|(ment ac)|(system.+state.+changed )|(\[timeout)|(PRM\|1\|D)|(kpr)|(kdp)|(\|lc)|(penalty))" /e /r /s</v>
      </c>
      <c r="AG200" s="1" t="str">
        <f t="shared" si="54"/>
        <v>NW</v>
      </c>
      <c r="AH200" s="92" t="str">
        <f t="shared" si="55"/>
        <v>"%USERPROFILE%\Documents\GitHub\eaglep3\Utilities\RefineRTDCRunTimes.py" --tripid 841-20 --locoid 4040 --swversion DE.1.0.7.0 --startMP 204:1051 --initTime 2016-10-20T19:11:50 --startdatetime 2016-10-20T19:21:36 --delay 1 --endMP 300:58926 --enddatetime 2016-10-20T19:36:35 --enforcementcount 0 &gt;&gt;C:\Users\stu\Documents\GitHub\eaglep3-reporting\EC\2016-10-20-refined-times.txt</v>
      </c>
      <c r="AI20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ID","value":"841-20"},{"id":16,"name":"Locomotive ID","value":"4040"},{"id":130,"name":"Impact","value":""},{"id":150,"name":"Time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600</v>
      </c>
      <c r="B201" s="7">
        <v>4039</v>
      </c>
      <c r="C201" s="22" t="s">
        <v>99</v>
      </c>
      <c r="D201" s="22" t="s">
        <v>751</v>
      </c>
      <c r="E201" s="13">
        <v>42663.859884259262</v>
      </c>
      <c r="F201" s="13">
        <v>42663.861111111109</v>
      </c>
      <c r="G201" s="7">
        <v>1</v>
      </c>
      <c r="H201" s="13" t="s">
        <v>752</v>
      </c>
      <c r="I201" s="13">
        <v>42663.871539351851</v>
      </c>
      <c r="J201" s="7">
        <v>0</v>
      </c>
      <c r="K201" s="112" t="str">
        <f t="shared" si="43"/>
        <v>4039/4040</v>
      </c>
      <c r="L201" s="22" t="str">
        <f>VLOOKUP(A201,'Trips&amp;Operators'!$C$1:$E$10000,3,FALSE)</f>
        <v>HELVIE</v>
      </c>
      <c r="M201" s="6">
        <f t="shared" si="44"/>
        <v>1.0428240741021E-2</v>
      </c>
      <c r="N201" s="7">
        <f t="shared" si="61"/>
        <v>15.01666666707024</v>
      </c>
      <c r="O201" s="7"/>
      <c r="P201" s="7"/>
      <c r="Q201" s="23"/>
      <c r="R201" s="23"/>
      <c r="S201" s="35">
        <f t="shared" si="60"/>
        <v>1</v>
      </c>
      <c r="T201" s="50" t="str">
        <f t="shared" si="45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19:38:14-0600',mode:absolute,to:'2016-10-20 21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 t="shared" si="47"/>
        <v>N</v>
      </c>
      <c r="X201" s="171">
        <f t="shared" si="48"/>
        <v>1</v>
      </c>
      <c r="Y201" s="67">
        <f t="shared" si="49"/>
        <v>5.8623000000000003</v>
      </c>
      <c r="Z201" s="67">
        <f t="shared" si="62"/>
        <v>7.7799999999999994E-2</v>
      </c>
      <c r="AA201" s="67">
        <f t="shared" si="50"/>
        <v>5.7845000000000004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1"/>
        <v>0842-20</v>
      </c>
      <c r="AE20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1" s="88" t="str">
        <f t="shared" si="53"/>
        <v>"C:\Program Files (x86)\AstroGrep\AstroGrep.exe" /spath="%USERPROFILE%\AppData\Local\Temp\OnboardLogs" /stypes="app*4039*20161021*" /stext=" 02:.+((SYSTEM_STATE.+slice.+state.+changed )|(ment ac)|(system.+state.+changed )|(\[timeout)|(PRM\|1\|D)|(kpr)|(kdp)|(\|lc)|(penalty))" /e /r /s</v>
      </c>
      <c r="AG201" s="1" t="str">
        <f t="shared" si="54"/>
        <v>NW</v>
      </c>
      <c r="AH201" s="92" t="str">
        <f t="shared" si="55"/>
        <v>"%USERPROFILE%\Documents\GitHub\eaglep3\Utilities\RefineRTDCRunTimes.py" --tripid 842-20 --locoid 4039 --swversion DE.1.0.7.0 --startMP 300:58623 --initTime 2016-10-20T20:38:14 --startdatetime 2016-10-20T20:40:00 --delay 1 --endMP 204:778 --enddatetime 2016-10-20T20:55:01 --enforcementcount 0 &gt;&gt;C:\Users\stu\Documents\GitHub\eaglep3-reporting\EC\2016-10-20-refined-times.txt</v>
      </c>
      <c r="AI20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{"issue":{"subject":"","project_id":79,"tracker_id":40,"status_id":1,"priority_id":2,"assigned_to_id":23,"start_date":"2016-10-20","description":"","custom_fields":[{"id":1,"name":"Subdivision","value":"NW"},{"id":4,"name":"Milepost","value":"0.0778"},{"id":17,"name":"Train ID","value":"842-20"},{"id":16,"name":"Locomotive ID","value":"4039"},{"id":130,"name":"Impact","value":""},{"id":150,"name":"Time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597</v>
      </c>
      <c r="B202" s="7">
        <v>4040</v>
      </c>
      <c r="C202" s="22" t="s">
        <v>99</v>
      </c>
      <c r="D202" s="22" t="s">
        <v>753</v>
      </c>
      <c r="E202" s="13">
        <v>42663.836863425924</v>
      </c>
      <c r="F202" s="13">
        <v>42663.848171296297</v>
      </c>
      <c r="G202" s="7">
        <v>1</v>
      </c>
      <c r="H202" s="13" t="s">
        <v>316</v>
      </c>
      <c r="I202" s="13">
        <v>42663.859074074076</v>
      </c>
      <c r="J202" s="7">
        <v>0</v>
      </c>
      <c r="K202" s="112" t="str">
        <f t="shared" si="43"/>
        <v>4039/4040</v>
      </c>
      <c r="L202" s="22" t="str">
        <f>VLOOKUP(A202,'Trips&amp;Operators'!$C$1:$E$10000,3,FALSE)</f>
        <v>HELVIE</v>
      </c>
      <c r="M202" s="6">
        <f t="shared" si="44"/>
        <v>1.0902777779847383E-2</v>
      </c>
      <c r="N202" s="7">
        <f t="shared" si="61"/>
        <v>15.700000002980232</v>
      </c>
      <c r="O202" s="7"/>
      <c r="P202" s="7"/>
      <c r="Q202" s="23"/>
      <c r="R202" s="23"/>
      <c r="S202" s="35">
        <f t="shared" si="60"/>
        <v>1</v>
      </c>
      <c r="T202" s="50" t="str">
        <f t="shared" si="45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19:05:05-0600',mode:absolute,to:'2016-10-20 21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47"/>
        <v>N</v>
      </c>
      <c r="X202" s="171">
        <f t="shared" si="48"/>
        <v>1</v>
      </c>
      <c r="Y202" s="67">
        <f t="shared" si="49"/>
        <v>0.10390000000000001</v>
      </c>
      <c r="Z202" s="67">
        <f t="shared" si="62"/>
        <v>5.8928000000000003</v>
      </c>
      <c r="AA202" s="67">
        <f t="shared" si="50"/>
        <v>5.7888999999999999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1"/>
        <v>0843-20</v>
      </c>
      <c r="AE20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2" s="88" t="str">
        <f t="shared" si="53"/>
        <v>"C:\Program Files (x86)\AstroGrep\AstroGrep.exe" /spath="%USERPROFILE%\AppData\Local\Temp\OnboardLogs" /stypes="app*4040*20161021*" /stext=" 02:.+((SYSTEM_STATE.+slice.+state.+changed )|(ment ac)|(system.+state.+changed )|(\[timeout)|(PRM\|1\|D)|(kpr)|(kdp)|(\|lc)|(penalty))" /e /r /s</v>
      </c>
      <c r="AG202" s="1" t="str">
        <f t="shared" si="54"/>
        <v>NW</v>
      </c>
      <c r="AH202" s="92" t="str">
        <f t="shared" si="55"/>
        <v>"%USERPROFILE%\Documents\GitHub\eaglep3\Utilities\RefineRTDCRunTimes.py" --tripid 843-20 --locoid 4040 --swversion DE.1.0.7.0 --startMP 204:1039 --initTime 2016-10-20T20:05:05 --startdatetime 2016-10-20T20:21:22 --delay 1 --endMP 300:58928 --enddatetime 2016-10-20T20:37:04 --enforcementcount 0 &gt;&gt;C:\Users\stu\Documents\GitHub\eaglep3-reporting\EC\2016-10-20-refined-times.txt</v>
      </c>
      <c r="AI20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ID","value":"843-20"},{"id":16,"name":"Locomotive ID","value":"4040"},{"id":130,"name":"Impact","value":""},{"id":150,"name":"Time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605</v>
      </c>
      <c r="B203" s="7">
        <v>4039</v>
      </c>
      <c r="C203" s="22" t="s">
        <v>99</v>
      </c>
      <c r="D203" s="22" t="s">
        <v>751</v>
      </c>
      <c r="E203" s="13">
        <v>42663.900347222225</v>
      </c>
      <c r="F203" s="13">
        <v>42663.901701388888</v>
      </c>
      <c r="G203" s="7">
        <v>1</v>
      </c>
      <c r="H203" s="13" t="s">
        <v>754</v>
      </c>
      <c r="I203" s="13">
        <v>42663.912847222222</v>
      </c>
      <c r="J203" s="7">
        <v>0</v>
      </c>
      <c r="K203" s="112" t="str">
        <f t="shared" si="43"/>
        <v>4039/4040</v>
      </c>
      <c r="L203" s="22" t="str">
        <f>VLOOKUP(A203,'Trips&amp;Operators'!$C$1:$E$10000,3,FALSE)</f>
        <v>YANAI</v>
      </c>
      <c r="M203" s="6">
        <f t="shared" si="44"/>
        <v>1.1145833334012423E-2</v>
      </c>
      <c r="N203" s="7">
        <f t="shared" si="61"/>
        <v>16.050000000977889</v>
      </c>
      <c r="O203" s="7"/>
      <c r="P203" s="7"/>
      <c r="Q203" s="23"/>
      <c r="R203" s="23"/>
      <c r="S203" s="35">
        <f t="shared" si="60"/>
        <v>1</v>
      </c>
      <c r="T203" s="50" t="str">
        <f t="shared" si="45"/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20:36:30-0600',mode:absolute,to:'2016-10-20 22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47"/>
        <v>N</v>
      </c>
      <c r="X203" s="171">
        <f t="shared" si="48"/>
        <v>1</v>
      </c>
      <c r="Y203" s="67">
        <f t="shared" si="49"/>
        <v>5.8623000000000003</v>
      </c>
      <c r="Z203" s="67">
        <f t="shared" si="62"/>
        <v>6.6299999999999998E-2</v>
      </c>
      <c r="AA203" s="67">
        <f t="shared" si="50"/>
        <v>5.7960000000000003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1"/>
        <v>0844-20</v>
      </c>
      <c r="AE20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3" s="88" t="str">
        <f t="shared" si="53"/>
        <v>"C:\Program Files (x86)\AstroGrep\AstroGrep.exe" /spath="%USERPROFILE%\AppData\Local\Temp\OnboardLogs" /stypes="app*4039*20161021*" /stext=" 03:.+((SYSTEM_STATE.+slice.+state.+changed )|(ment ac)|(system.+state.+changed )|(\[timeout)|(PRM\|1\|D)|(kpr)|(kdp)|(\|lc)|(penalty))" /e /r /s</v>
      </c>
      <c r="AG203" s="1" t="str">
        <f t="shared" si="54"/>
        <v>NW</v>
      </c>
      <c r="AH203" s="92" t="str">
        <f t="shared" si="55"/>
        <v>"%USERPROFILE%\Documents\GitHub\eaglep3\Utilities\RefineRTDCRunTimes.py" --tripid 844-20 --locoid 4039 --swversion DE.1.0.7.0 --startMP 300:58623 --initTime 2016-10-20T21:36:30 --startdatetime 2016-10-20T21:38:27 --delay 1 --endMP 204:663 --enddatetime 2016-10-20T21:54:30 --enforcementcount 0 &gt;&gt;C:\Users\stu\Documents\GitHub\eaglep3-reporting\EC\2016-10-20-refined-times.txt</v>
      </c>
      <c r="AI20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{"issue":{"subject":"","project_id":79,"tracker_id":40,"status_id":1,"priority_id":2,"assigned_to_id":23,"start_date":"2016-10-20","description":"","custom_fields":[{"id":1,"name":"Subdivision","value":"NW"},{"id":4,"name":"Milepost","value":"0.0663"},{"id":17,"name":"Train ID","value":"844-20"},{"id":16,"name":"Locomotive ID","value":"4039"},{"id":130,"name":"Impact","value":""},{"id":150,"name":"Time of Event (Mountain Time)","value":"21:54:30"},{"id":151,"name":"Denver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603</v>
      </c>
      <c r="B204" s="7">
        <v>4040</v>
      </c>
      <c r="C204" s="22" t="s">
        <v>99</v>
      </c>
      <c r="D204" s="22" t="s">
        <v>755</v>
      </c>
      <c r="E204" s="13">
        <v>42663.88554398148</v>
      </c>
      <c r="F204" s="13">
        <v>42663.889780092592</v>
      </c>
      <c r="G204" s="7">
        <v>2</v>
      </c>
      <c r="H204" s="13" t="s">
        <v>741</v>
      </c>
      <c r="I204" s="13">
        <v>42663.898634259262</v>
      </c>
      <c r="J204" s="7">
        <v>0</v>
      </c>
      <c r="K204" s="112" t="str">
        <f t="shared" si="43"/>
        <v>4039/4040</v>
      </c>
      <c r="L204" s="22" t="str">
        <f>VLOOKUP(A204,'Trips&amp;Operators'!$C$1:$E$10000,3,FALSE)</f>
        <v>YANAI</v>
      </c>
      <c r="M204" s="6">
        <f t="shared" si="44"/>
        <v>8.8541666700621136E-3</v>
      </c>
      <c r="N204" s="7">
        <f t="shared" si="61"/>
        <v>12.750000004889444</v>
      </c>
      <c r="O204" s="7"/>
      <c r="P204" s="7"/>
      <c r="Q204" s="23"/>
      <c r="R204" s="23"/>
      <c r="S204" s="35">
        <f t="shared" si="60"/>
        <v>1</v>
      </c>
      <c r="T204" s="50" t="str">
        <f t="shared" si="45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20:15:11-0600',mode:absolute,to:'2016-10-20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47"/>
        <v>N</v>
      </c>
      <c r="X204" s="171">
        <f t="shared" si="48"/>
        <v>1</v>
      </c>
      <c r="Y204" s="67">
        <f t="shared" si="49"/>
        <v>0.1055</v>
      </c>
      <c r="Z204" s="67">
        <f t="shared" si="62"/>
        <v>5.8935000000000004</v>
      </c>
      <c r="AA204" s="67">
        <f t="shared" si="50"/>
        <v>5.7880000000000003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1"/>
        <v>0845-20</v>
      </c>
      <c r="AE20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4" s="88" t="str">
        <f t="shared" si="53"/>
        <v>"C:\Program Files (x86)\AstroGrep\AstroGrep.exe" /spath="%USERPROFILE%\AppData\Local\Temp\OnboardLogs" /stypes="app*4040*20161021*" /stext=" 03:.+((SYSTEM_STATE.+slice.+state.+changed )|(ment ac)|(system.+state.+changed )|(\[timeout)|(PRM\|1\|D)|(kpr)|(kdp)|(\|lc)|(penalty))" /e /r /s</v>
      </c>
      <c r="AG204" s="1" t="str">
        <f t="shared" si="54"/>
        <v>NW</v>
      </c>
      <c r="AH204" s="92" t="str">
        <f t="shared" si="55"/>
        <v>"%USERPROFILE%\Documents\GitHub\eaglep3\Utilities\RefineRTDCRunTimes.py" --tripid 845-20 --locoid 4040 --swversion DE.1.0.7.0 --startMP 204:1055 --initTime 2016-10-20T21:15:11 --startdatetime 2016-10-20T21:21:17 --delay 2 --endMP 300:58935 --enddatetime 2016-10-20T21:34:02 --enforcementcount 0 &gt;&gt;C:\Users\stu\Documents\GitHub\eaglep3-reporting\EC\2016-10-20-refined-times.txt</v>
      </c>
      <c r="AI20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ID","value":"845-20"},{"id":16,"name":"Locomotive ID","value":"4040"},{"id":130,"name":"Impact","value":""},{"id":150,"name":"Time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608</v>
      </c>
      <c r="B205" s="7">
        <v>4040</v>
      </c>
      <c r="C205" s="22" t="s">
        <v>99</v>
      </c>
      <c r="D205" s="22" t="s">
        <v>756</v>
      </c>
      <c r="E205" s="13">
        <v>42663.927199074074</v>
      </c>
      <c r="F205" s="13">
        <v>42663.931712962964</v>
      </c>
      <c r="G205" s="7">
        <v>1</v>
      </c>
      <c r="H205" s="13" t="s">
        <v>719</v>
      </c>
      <c r="I205" s="13">
        <v>42663.941076388888</v>
      </c>
      <c r="J205" s="7">
        <v>0</v>
      </c>
      <c r="K205" s="112" t="str">
        <f t="shared" ref="K205:K227" si="63">IF(ISEVEN(B205),(B205-1)&amp;"/"&amp;B205,B205&amp;"/"&amp;(B205+1))</f>
        <v>4039/4040</v>
      </c>
      <c r="L205" s="22" t="str">
        <f>VLOOKUP(A205,'Trips&amp;Operators'!$C$1:$E$10000,3,FALSE)</f>
        <v>YANAI</v>
      </c>
      <c r="M205" s="6">
        <f t="shared" ref="M205:M227" si="64">I205-F205</f>
        <v>9.3634259246755391E-3</v>
      </c>
      <c r="N205" s="7">
        <f t="shared" si="61"/>
        <v>13.483333331532776</v>
      </c>
      <c r="O205" s="7"/>
      <c r="P205" s="7"/>
      <c r="Q205" s="23"/>
      <c r="R205" s="23"/>
      <c r="S205" s="35">
        <f t="shared" si="60"/>
        <v>1</v>
      </c>
      <c r="T205" s="50" t="str">
        <f t="shared" ref="T205:T227" si="65">IF(ISEVEN(LEFT(AD205,4)),"Southbound","NorthBound")</f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7" si="66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https://search-rtdc-monitor-bjffxe2xuh6vdkpspy63sjmuny.us-east-1.es.amazonaws.com/_plugin/kibana/#/discover/Steve-Slow-Train-Analysis-(2080s-and-2083s)?_g=(refreshInterval:(display:Off,section:0,value:0),time:(from:'2016-10-20 21:15:10-0600',mode:absolute,to:'2016-10-20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5" s="52" t="str">
        <f t="shared" ref="W205:W227" si="67">IF(AA205&lt;IF(AG205="EC",23,5.65),"Y","N")</f>
        <v>N</v>
      </c>
      <c r="X205" s="171">
        <f t="shared" ref="X205:X227" si="68">VALUE(LEFT(AD205,4))-VALUE(LEFT(AD204,4))</f>
        <v>2</v>
      </c>
      <c r="Y205" s="67">
        <f t="shared" ref="Y205:Y227" si="69">RIGHT(D205,LEN(D205)-4)/10000</f>
        <v>9.5100000000000004E-2</v>
      </c>
      <c r="Z205" s="67">
        <f t="shared" si="62"/>
        <v>5.8936999999999999</v>
      </c>
      <c r="AA205" s="67">
        <f t="shared" ref="AA205:AA227" si="70">ABS(Z205-Y205)</f>
        <v>5.7985999999999995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27" si="71">IF(LEN(A205)=6,"0"&amp;A205,A205)</f>
        <v>0847-20</v>
      </c>
      <c r="AE205" s="91" t="str">
        <f t="shared" ref="AE205:AE227" si="7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5" s="88" t="str">
        <f t="shared" ref="AF205:AF227" si="73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/stypes="app*4040*20161021*" /stext=" 04:.+((SYSTEM_STATE.+slice.+state.+changed )|(ment ac)|(system.+state.+changed )|(\[timeout)|(PRM\|1\|D)|(kpr)|(kdp)|(\|lc)|(penalty))" /e /r /s</v>
      </c>
      <c r="AG205" s="1" t="str">
        <f t="shared" ref="AG205:AG227" si="74">IFERROR(IF(VALUE(LEFT(AD205,2))&lt;=2,"EC",IF(OR(VALUE(LEFT(AD205,2))=8,VALUE(LEFT(AD205,2))=18),"NW","Other")),"Other")</f>
        <v>NW</v>
      </c>
      <c r="AH205" s="92" t="str">
        <f t="shared" si="55"/>
        <v>"%USERPROFILE%\Documents\GitHub\eaglep3\Utilities\RefineRTDCRunTimes.py" --tripid 847-20 --locoid 4040 --swversion DE.1.0.7.0 --startMP 204:951 --initTime 2016-10-20T22:15:10 --startdatetime 2016-10-20T22:21:40 --delay 1 --endMP 300:58937 --enddatetime 2016-10-20T22:35:09 --enforcementcount 0 &gt;&gt;C:\Users\stu\Documents\GitHub\eaglep3-reporting\EC\2016-10-20-refined-times.txt</v>
      </c>
      <c r="AI20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ID","value":"847-20"},{"id":16,"name":"Locomotive ID","value":"4040"},{"id":130,"name":"Impact","value":""},{"id":150,"name":"Time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438</v>
      </c>
      <c r="B206" s="7">
        <v>4030</v>
      </c>
      <c r="C206" s="22" t="s">
        <v>99</v>
      </c>
      <c r="D206" s="22" t="s">
        <v>678</v>
      </c>
      <c r="E206" s="13">
        <v>42663.127175925925</v>
      </c>
      <c r="F206" s="13">
        <v>42663.128796296296</v>
      </c>
      <c r="G206" s="7">
        <v>1</v>
      </c>
      <c r="H206" s="13" t="s">
        <v>223</v>
      </c>
      <c r="I206" s="13">
        <v>42663.134745370371</v>
      </c>
      <c r="J206" s="7">
        <v>0</v>
      </c>
      <c r="K206" s="112" t="str">
        <f t="shared" si="63"/>
        <v>4029/4030</v>
      </c>
      <c r="L206" s="22" t="str">
        <f>VLOOKUP(A206,'Trips&amp;Operators'!$C$1:$E$10000,3,FALSE)</f>
        <v>MAELZER</v>
      </c>
      <c r="M206" s="6">
        <f t="shared" si="64"/>
        <v>5.9490740750334226E-3</v>
      </c>
      <c r="N206" s="7">
        <f t="shared" si="61"/>
        <v>8.5666666680481285</v>
      </c>
      <c r="O206" s="7"/>
      <c r="P206" s="7"/>
      <c r="Q206" s="23"/>
      <c r="R206" s="23"/>
      <c r="S206" s="35">
        <f t="shared" si="60"/>
        <v>1</v>
      </c>
      <c r="T206" s="50" t="str">
        <f t="shared" si="65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02:03:08-0600',mode:absolute,to:'2016-10-20 04:14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52" t="str">
        <f t="shared" si="67"/>
        <v>Y</v>
      </c>
      <c r="X206" s="171">
        <f t="shared" si="68"/>
        <v>-545</v>
      </c>
      <c r="Y206" s="67">
        <f t="shared" si="69"/>
        <v>2.3231999999999999</v>
      </c>
      <c r="Z206" s="67">
        <f t="shared" si="62"/>
        <v>1.54E-2</v>
      </c>
      <c r="AA206" s="67">
        <f t="shared" si="70"/>
        <v>2.3077999999999999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71"/>
        <v>0302-20</v>
      </c>
      <c r="AE206" s="91" t="str">
        <f t="shared" si="7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06" s="88" t="str">
        <f t="shared" si="73"/>
        <v>"C:\Program Files (x86)\AstroGrep\AstroGrep.exe" /spath="%USERPROFILE%\AppData\Local\Temp\OnboardLogs" /stypes="app*4030*20161020*" /stext=" 09:.+((SYSTEM_STATE.+slice.+state.+changed )|(ment ac)|(system.+state.+changed )|(\[timeout)|(PRM\|1\|D)|(kpr)|(kdp)|(\|lc)|(penalty))" /e /r /s</v>
      </c>
      <c r="AG206" s="1" t="str">
        <f t="shared" si="74"/>
        <v>Other</v>
      </c>
      <c r="AH206" s="92" t="str">
        <f t="shared" ref="AH206:AH227" si="7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302-20 --locoid 4030 --swversion DE.1.0.7.0 --startMP 300:23232 --initTime 2016-10-20T03:03:08 --startdatetime 2016-10-20T03:05:28 --delay 1 --endMP 204:154 --enddatetime 2016-10-20T03:14:02 --enforcementcount 0 &gt;&gt;C:\Users\stu\Documents\GitHub\eaglep3-reporting\EC\2016-10-20-refined-times.txt</v>
      </c>
      <c r="AI206" s="122" t="str">
        <f t="shared" ref="AI206:AI227" si="7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{"issue":{"subject":"","project_id":79,"tracker_id":40,"status_id":1,"priority_id":2,"assigned_to_id":23,"start_date":"2016-10-20","description":"","custom_fields":[{"id":1,"name":"Subdivision","value":"Other"},{"id":4,"name":"Milepost","value":"0.0154"},{"id":17,"name":"Train ID","value":"302-20"},{"id":16,"name":"Locomotive ID","value":"4030"},{"id":130,"name":"Impact","value":""},{"id":150,"name":"Time of Event (Mountain Time)","value":"03:14:02"},{"id":151,"name":"Denver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583</v>
      </c>
      <c r="B207" s="7">
        <v>4042</v>
      </c>
      <c r="C207" s="22" t="s">
        <v>99</v>
      </c>
      <c r="D207" s="22" t="s">
        <v>246</v>
      </c>
      <c r="E207" s="13">
        <v>42663.776307870372</v>
      </c>
      <c r="F207" s="13">
        <v>25568.708333333332</v>
      </c>
      <c r="G207" s="7">
        <v>1</v>
      </c>
      <c r="H207" s="13" t="s">
        <v>385</v>
      </c>
      <c r="I207" s="13">
        <v>25568.708333333332</v>
      </c>
      <c r="J207" s="7">
        <v>0</v>
      </c>
      <c r="K207" s="112" t="str">
        <f t="shared" si="63"/>
        <v>4041/4042</v>
      </c>
      <c r="L207" s="22" t="str">
        <f>VLOOKUP(A207,'Trips&amp;Operators'!$C$1:$E$10000,3,FALSE)</f>
        <v>NEWELL</v>
      </c>
      <c r="M207" s="6">
        <f t="shared" si="64"/>
        <v>0</v>
      </c>
      <c r="N207" s="7">
        <f t="shared" si="61"/>
        <v>0</v>
      </c>
      <c r="O207" s="7"/>
      <c r="P207" s="7"/>
      <c r="Q207" s="23"/>
      <c r="R207" s="23"/>
      <c r="S207" s="35">
        <f t="shared" si="60"/>
        <v>1</v>
      </c>
      <c r="T207" s="50" t="str">
        <f t="shared" si="65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17:37:53-0600',mode:absolute,to:'1969-12-31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67"/>
        <v>Y</v>
      </c>
      <c r="X207" s="171">
        <f t="shared" si="68"/>
        <v>1</v>
      </c>
      <c r="Y207" s="67">
        <f t="shared" si="69"/>
        <v>4.6899999999999997E-2</v>
      </c>
      <c r="Z207" s="67">
        <f t="shared" si="62"/>
        <v>2.3308</v>
      </c>
      <c r="AA207" s="67">
        <f t="shared" si="70"/>
        <v>2.2839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71"/>
        <v>0303-20</v>
      </c>
      <c r="AE207" s="91" t="str">
        <f t="shared" si="72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7" s="88" t="str">
        <f t="shared" si="73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7" s="1" t="str">
        <f t="shared" si="74"/>
        <v>Other</v>
      </c>
      <c r="AH207" s="92" t="str">
        <f t="shared" si="75"/>
        <v>"%USERPROFILE%\Documents\GitHub\eaglep3\Utilities\RefineRTDCRunTimes.py" --tripid 303-20 --locoid 4042 --swversion DE.1.0.7.0 --startMP 204:469 --initTime 2016-10-20T18:37:53 --startdatetime 1969-12-31T17:00:00 --delay 1 --endMP 300:23308 --enddatetime 1969-12-31T17:00:00 --enforcementcount 0 &gt;&gt;C:\Users\stu\Documents\GitHub\eaglep3-reporting\EC\2016-10-20-refined-times.txt</v>
      </c>
      <c r="AI207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593</v>
      </c>
      <c r="B208" s="7">
        <v>4018</v>
      </c>
      <c r="C208" s="22" t="s">
        <v>99</v>
      </c>
      <c r="D208" s="22" t="s">
        <v>245</v>
      </c>
      <c r="E208" s="13">
        <v>42663.810798611114</v>
      </c>
      <c r="F208" s="13">
        <v>42663.811898148146</v>
      </c>
      <c r="G208" s="7">
        <v>1</v>
      </c>
      <c r="H208" s="13" t="s">
        <v>352</v>
      </c>
      <c r="I208" s="13">
        <v>42663.817893518521</v>
      </c>
      <c r="J208" s="7">
        <v>0</v>
      </c>
      <c r="K208" s="112" t="str">
        <f t="shared" si="63"/>
        <v>4017/4018</v>
      </c>
      <c r="L208" s="22" t="str">
        <f>VLOOKUP(A208,'Trips&amp;Operators'!$C$1:$E$10000,3,FALSE)</f>
        <v>YOUNG</v>
      </c>
      <c r="M208" s="6">
        <f t="shared" si="64"/>
        <v>5.9953703748760745E-3</v>
      </c>
      <c r="N208" s="7">
        <f t="shared" si="61"/>
        <v>8.6333333398215473</v>
      </c>
      <c r="O208" s="7"/>
      <c r="P208" s="7"/>
      <c r="Q208" s="23"/>
      <c r="R208" s="23"/>
      <c r="S208" s="35">
        <f t="shared" si="60"/>
        <v>1</v>
      </c>
      <c r="T208" s="50" t="str">
        <f t="shared" si="65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18:27:33-0600',mode:absolute,to:'2016-10-20 20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8" s="52" t="str">
        <f t="shared" si="67"/>
        <v>Y</v>
      </c>
      <c r="X208" s="171">
        <f t="shared" si="68"/>
        <v>2</v>
      </c>
      <c r="Y208" s="67">
        <f t="shared" si="69"/>
        <v>4.5999999999999999E-2</v>
      </c>
      <c r="Z208" s="67">
        <f t="shared" si="62"/>
        <v>2.3300999999999998</v>
      </c>
      <c r="AA208" s="67">
        <f t="shared" si="70"/>
        <v>2.2841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71"/>
        <v>0305-20</v>
      </c>
      <c r="AE208" s="91" t="str">
        <f t="shared" si="7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08" s="88" t="str">
        <f t="shared" si="73"/>
        <v>"C:\Program Files (x86)\AstroGrep\AstroGrep.exe" /spath="%USERPROFILE%\AppData\Local\Temp\OnboardLogs" /stypes="app*4018*20161021*" /stext=" 01:.+((SYSTEM_STATE.+slice.+state.+changed )|(ment ac)|(system.+state.+changed )|(\[timeout)|(PRM\|1\|D)|(kpr)|(kdp)|(\|lc)|(penalty))" /e /r /s</v>
      </c>
      <c r="AG208" s="1" t="str">
        <f t="shared" si="74"/>
        <v>Other</v>
      </c>
      <c r="AH208" s="92" t="str">
        <f t="shared" si="75"/>
        <v>"%USERPROFILE%\Documents\GitHub\eaglep3\Utilities\RefineRTDCRunTimes.py" --tripid 305-20 --locoid 4018 --swversion DE.1.0.7.0 --startMP 204:460 --initTime 2016-10-20T19:27:33 --startdatetime 2016-10-20T19:29:08 --delay 1 --endMP 300:23301 --enddatetime 2016-10-20T19:37:46 --enforcementcount 0 &gt;&gt;C:\Users\stu\Documents\GitHub\eaglep3-reporting\EC\2016-10-20-refined-times.txt</v>
      </c>
      <c r="AI208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{"issue":{"subject":"","project_id":79,"tracker_id":40,"status_id":1,"priority_id":2,"assigned_to_id":23,"start_date":"2016-10-20","description":"","custom_fields":[{"id":1,"name":"Subdivision","value":"Other"},{"id":4,"name":"Milepost","value":"2.3301"},{"id":17,"name":"Train ID","value":"305-20"},{"id":16,"name":"Locomotive ID","value":"4018"},{"id":130,"name":"Impact","value":""},{"id":150,"name":"Time of Event (Mountain Time)","value":"19:37:46"},{"id":151,"name":"Denver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442</v>
      </c>
      <c r="B209" s="7">
        <v>4028</v>
      </c>
      <c r="C209" s="22" t="s">
        <v>99</v>
      </c>
      <c r="D209" s="22" t="s">
        <v>679</v>
      </c>
      <c r="E209" s="13">
        <v>42663.16300925926</v>
      </c>
      <c r="F209" s="13">
        <v>42663.164756944447</v>
      </c>
      <c r="G209" s="7">
        <v>1</v>
      </c>
      <c r="H209" s="13" t="s">
        <v>224</v>
      </c>
      <c r="I209" s="13">
        <v>42663.175393518519</v>
      </c>
      <c r="J209" s="7">
        <v>0</v>
      </c>
      <c r="K209" s="112" t="str">
        <f t="shared" si="63"/>
        <v>4027/4028</v>
      </c>
      <c r="L209" s="22" t="str">
        <f>VLOOKUP(A209,'Trips&amp;Operators'!$C$1:$E$10000,3,FALSE)</f>
        <v>SANTIZO</v>
      </c>
      <c r="M209" s="6">
        <f t="shared" si="64"/>
        <v>1.063657407212304E-2</v>
      </c>
      <c r="N209" s="7">
        <f t="shared" si="61"/>
        <v>15.316666663857177</v>
      </c>
      <c r="O209" s="7"/>
      <c r="P209" s="7"/>
      <c r="Q209" s="23"/>
      <c r="R209" s="23"/>
      <c r="S209" s="35">
        <f t="shared" si="60"/>
        <v>1</v>
      </c>
      <c r="T209" s="50" t="str">
        <f t="shared" si="65"/>
        <v>Southbound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02:54:44-0600',mode:absolute,to:'2016-10-20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9" s="52" t="str">
        <f t="shared" si="67"/>
        <v>Y</v>
      </c>
      <c r="X209" s="171">
        <f t="shared" si="68"/>
        <v>1</v>
      </c>
      <c r="Y209" s="67">
        <f t="shared" si="69"/>
        <v>2.0992000000000002</v>
      </c>
      <c r="Z209" s="67">
        <f t="shared" si="62"/>
        <v>1.4500000000000001E-2</v>
      </c>
      <c r="AA209" s="67">
        <f t="shared" si="70"/>
        <v>2.0847000000000002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71"/>
        <v>0306-20</v>
      </c>
      <c r="AE209" s="91" t="str">
        <f t="shared" si="72"/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209" s="88" t="str">
        <f t="shared" si="73"/>
        <v>"C:\Program Files (x86)\AstroGrep\AstroGrep.exe" /spath="%USERPROFILE%\AppData\Local\Temp\OnboardLogs" /stypes="app*4028*20161020*" /stext=" 10:.+((SYSTEM_STATE.+slice.+state.+changed )|(ment ac)|(system.+state.+changed )|(\[timeout)|(PRM\|1\|D)|(kpr)|(kdp)|(\|lc)|(penalty))" /e /r /s</v>
      </c>
      <c r="AG209" s="1" t="str">
        <f t="shared" si="74"/>
        <v>Other</v>
      </c>
      <c r="AH209" s="92" t="str">
        <f t="shared" si="75"/>
        <v>"%USERPROFILE%\Documents\GitHub\eaglep3\Utilities\RefineRTDCRunTimes.py" --tripid 306-20 --locoid 4028 --swversion DE.1.0.7.0 --startMP 300:20992 --initTime 2016-10-20T03:54:44 --startdatetime 2016-10-20T03:57:15 --delay 1 --endMP 204:145 --enddatetime 2016-10-20T04:12:34 --enforcementcount 0 &gt;&gt;C:\Users\stu\Documents\GitHub\eaglep3-reporting\EC\2016-10-20-refined-times.txt</v>
      </c>
      <c r="AI209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{"issue":{"subject":"","project_id":79,"tracker_id":40,"status_id":1,"priority_id":2,"assigned_to_id":23,"start_date":"2016-10-20","description":"","custom_fields":[{"id":1,"name":"Subdivision","value":"Other"},{"id":4,"name":"Milepost","value":"0.0145"},{"id":17,"name":"Train ID","value":"306-20"},{"id":16,"name":"Locomotive ID","value":"4028"},{"id":130,"name":"Impact","value":""},{"id":150,"name":"Time of Event (Mountain Time)","value":"04:12:34"},{"id":151,"name":"Denver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594</v>
      </c>
      <c r="B210" s="7">
        <v>4038</v>
      </c>
      <c r="C210" s="22" t="s">
        <v>99</v>
      </c>
      <c r="D210" s="22" t="s">
        <v>234</v>
      </c>
      <c r="E210" s="13">
        <v>42663.81826388889</v>
      </c>
      <c r="F210" s="13">
        <v>25568.708333333332</v>
      </c>
      <c r="G210" s="7">
        <v>1</v>
      </c>
      <c r="H210" s="13" t="s">
        <v>311</v>
      </c>
      <c r="I210" s="13">
        <v>25568.708333333332</v>
      </c>
      <c r="J210" s="7">
        <v>0</v>
      </c>
      <c r="K210" s="112" t="str">
        <f t="shared" si="63"/>
        <v>4037/4038</v>
      </c>
      <c r="L210" s="22" t="str">
        <f>VLOOKUP(A210,'Trips&amp;Operators'!$C$1:$E$10000,3,FALSE)</f>
        <v>STORY</v>
      </c>
      <c r="M210" s="6">
        <f t="shared" si="64"/>
        <v>0</v>
      </c>
      <c r="N210" s="7">
        <f t="shared" si="61"/>
        <v>0</v>
      </c>
      <c r="O210" s="7"/>
      <c r="P210" s="7"/>
      <c r="Q210" s="23"/>
      <c r="R210" s="23"/>
      <c r="S210" s="35">
        <f t="shared" si="60"/>
        <v>1</v>
      </c>
      <c r="T210" s="50" t="str">
        <f t="shared" si="65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18:38:18-0600',mode:absolute,to:'1969-12-31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 t="shared" si="67"/>
        <v>Y</v>
      </c>
      <c r="X210" s="171">
        <f t="shared" si="68"/>
        <v>1</v>
      </c>
      <c r="Y210" s="67">
        <f t="shared" si="69"/>
        <v>4.5499999999999999E-2</v>
      </c>
      <c r="Z210" s="67">
        <f t="shared" si="62"/>
        <v>2.3304</v>
      </c>
      <c r="AA210" s="67">
        <f t="shared" si="70"/>
        <v>2.2848999999999999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71"/>
        <v>0307-20</v>
      </c>
      <c r="AE210" s="91" t="str">
        <f t="shared" si="72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0" s="88" t="str">
        <f t="shared" si="73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0" s="1" t="str">
        <f t="shared" si="74"/>
        <v>Other</v>
      </c>
      <c r="AH210" s="92" t="str">
        <f t="shared" si="75"/>
        <v>"%USERPROFILE%\Documents\GitHub\eaglep3\Utilities\RefineRTDCRunTimes.py" --tripid 307-20 --locoid 4038 --swversion DE.1.0.7.0 --startMP 204:455 --initTime 2016-10-20T19:38:18 --startdatetime 1969-12-31T17:00:00 --delay 1 --endMP 300:23304 --enddatetime 1969-12-31T17:00:00 --enforcementcount 0 &gt;&gt;C:\Users\stu\Documents\GitHub\eaglep3-reporting\EC\2016-10-20-refined-times.txt</v>
      </c>
      <c r="AI210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618</v>
      </c>
      <c r="B211" s="7">
        <v>4044</v>
      </c>
      <c r="C211" s="22" t="s">
        <v>99</v>
      </c>
      <c r="D211" s="22" t="s">
        <v>234</v>
      </c>
      <c r="E211" s="13">
        <v>42664.050937499997</v>
      </c>
      <c r="F211" s="13">
        <v>42664.052418981482</v>
      </c>
      <c r="G211" s="7">
        <v>1</v>
      </c>
      <c r="H211" s="13" t="s">
        <v>680</v>
      </c>
      <c r="I211" s="13">
        <v>42664.058159722219</v>
      </c>
      <c r="J211" s="7">
        <v>0</v>
      </c>
      <c r="K211" s="112" t="str">
        <f t="shared" si="63"/>
        <v>4043/4044</v>
      </c>
      <c r="L211" s="22" t="str">
        <f>VLOOKUP(A211,'Trips&amp;Operators'!$C$1:$E$10000,3,FALSE)</f>
        <v>LEVERE</v>
      </c>
      <c r="M211" s="6">
        <f t="shared" si="64"/>
        <v>5.7407407366554253E-3</v>
      </c>
      <c r="N211" s="7">
        <f t="shared" si="61"/>
        <v>8.2666666607838124</v>
      </c>
      <c r="O211" s="7"/>
      <c r="P211" s="7"/>
      <c r="Q211" s="23"/>
      <c r="R211" s="23"/>
      <c r="S211" s="35">
        <f t="shared" si="60"/>
        <v>1</v>
      </c>
      <c r="T211" s="50" t="str">
        <f t="shared" si="65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https://search-rtdc-monitor-bjffxe2xuh6vdkpspy63sjmuny.us-east-1.es.amazonaws.com/_plugin/kibana/#/discover/Steve-Slow-Train-Analysis-(2080s-and-2083s)?_g=(refreshInterval:(display:Off,section:0,value:0),time:(from:'2016-10-21 00:13:21-0600',mode:absolute,to:'2016-10-21 02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67"/>
        <v>Y</v>
      </c>
      <c r="X211" s="171">
        <f t="shared" si="68"/>
        <v>2</v>
      </c>
      <c r="Y211" s="67">
        <f t="shared" si="69"/>
        <v>4.5499999999999999E-2</v>
      </c>
      <c r="Z211" s="67">
        <f t="shared" si="62"/>
        <v>2.2835000000000001</v>
      </c>
      <c r="AA211" s="67">
        <f t="shared" si="70"/>
        <v>2.238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71"/>
        <v>0309-20</v>
      </c>
      <c r="AE211" s="91" t="str">
        <f t="shared" si="72"/>
        <v>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 &amp; 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</v>
      </c>
      <c r="AF211" s="88" t="str">
        <f t="shared" si="73"/>
        <v>"C:\Program Files (x86)\AstroGrep\AstroGrep.exe" /spath="%USERPROFILE%\AppData\Local\Temp\OnboardLogs" /stypes="app*4044*20161021*" /stext=" 07:.+((SYSTEM_STATE.+slice.+state.+changed )|(ment ac)|(system.+state.+changed )|(\[timeout)|(PRM\|1\|D)|(kpr)|(kdp)|(\|lc)|(penalty))" /e /r /s</v>
      </c>
      <c r="AG211" s="1" t="str">
        <f t="shared" si="74"/>
        <v>Other</v>
      </c>
      <c r="AH211" s="92" t="str">
        <f t="shared" si="75"/>
        <v>"%USERPROFILE%\Documents\GitHub\eaglep3\Utilities\RefineRTDCRunTimes.py" --tripid 309-20 --locoid 4044 --swversion DE.1.0.7.0 --startMP 204:455 --initTime 2016-10-21T01:13:21 --startdatetime 2016-10-21T01:15:29 --delay 1 --endMP 300:22835 --enddatetime 2016-10-21T01:23:45 --enforcementcount 0 &gt;&gt;C:\Users\stu\Documents\GitHub\eaglep3-reporting\EC\2016-10-20-refined-times.txt</v>
      </c>
      <c r="AI211" s="122" t="str">
        <f t="shared" si="76"/>
        <v>echo {"issue":{"subject":"","project_id":79,"tracker_id":40,"status_id":1,"priority_id":2,"assigned_to_id":23,"start_date":"2016-10-21","description":"","custom_fields":[{"id":1,"name":"Subdivision","value":"Other"},{"id":4,"name":"Milepost","value":"2.2835"},{"id":17,"name":"Train ID","value":"309-20"},{"id":16,"name":"Locomotive ID","value":"4044"},{"id":130,"name":"Impact","value":""},{"id":150,"name":"Time of Event (Mountain Time)","value":"01:23:45"},{"id":151,"name":"Denver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436</v>
      </c>
      <c r="B212" s="7">
        <v>4029</v>
      </c>
      <c r="C212" s="22" t="s">
        <v>99</v>
      </c>
      <c r="D212" s="22" t="s">
        <v>681</v>
      </c>
      <c r="E212" s="13">
        <v>42664.052488425928</v>
      </c>
      <c r="F212" s="13">
        <v>25568.708333333332</v>
      </c>
      <c r="G212" s="7">
        <v>1</v>
      </c>
      <c r="H212" s="13" t="s">
        <v>385</v>
      </c>
      <c r="I212" s="13">
        <v>25568.708333333332</v>
      </c>
      <c r="J212" s="7">
        <v>0</v>
      </c>
      <c r="K212" s="112" t="str">
        <f t="shared" si="63"/>
        <v>4029/4030</v>
      </c>
      <c r="L212" s="22" t="str">
        <f>VLOOKUP(A212,'Trips&amp;Operators'!$C$1:$E$10000,3,FALSE)</f>
        <v>DELGADO</v>
      </c>
      <c r="M212" s="6">
        <f t="shared" si="64"/>
        <v>0</v>
      </c>
      <c r="N212" s="7">
        <f t="shared" si="61"/>
        <v>0</v>
      </c>
      <c r="O212" s="7"/>
      <c r="P212" s="7"/>
      <c r="Q212" s="23"/>
      <c r="R212" s="23"/>
      <c r="S212" s="35">
        <f t="shared" ref="S212:S227" si="77">SUM(U212:U212)/IF(AG212="EC",12,1)</f>
        <v>1</v>
      </c>
      <c r="T212" s="50" t="str">
        <f t="shared" si="65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 t="shared" si="67"/>
        <v>Y</v>
      </c>
      <c r="X212" s="171">
        <f t="shared" si="68"/>
        <v>2</v>
      </c>
      <c r="Y212" s="67">
        <f t="shared" si="69"/>
        <v>4.1799999999999997E-2</v>
      </c>
      <c r="Z212" s="67">
        <f t="shared" si="62"/>
        <v>2.3308</v>
      </c>
      <c r="AA212" s="67">
        <f t="shared" si="70"/>
        <v>2.2890000000000001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71"/>
        <v>0311-20</v>
      </c>
      <c r="AE212" s="91" t="str">
        <f t="shared" si="72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8" t="str">
        <f t="shared" si="73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2" s="1" t="str">
        <f t="shared" si="74"/>
        <v>Other</v>
      </c>
      <c r="AH212" s="92" t="str">
        <f t="shared" si="75"/>
        <v>"%USERPROFILE%\Documents\GitHub\eaglep3\Utilities\RefineRTDCRunTimes.py" --tripid 311-20 --locoid 4029 --swversion DE.1.0.7.0 --startMP 204:418 --initTime 2016-10-21T01:15:35 --startdatetime 1969-12-31T17:00:00 --delay 1 --endMP 300:23308 --enddatetime 1969-12-31T17:00:00 --enforcementcount 0 &gt;&gt;C:\Users\stu\Documents\GitHub\eaglep3-reporting\EC\2016-10-20-refined-times.txt</v>
      </c>
      <c r="AI212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458</v>
      </c>
      <c r="B213" s="7">
        <v>4039</v>
      </c>
      <c r="C213" s="22" t="s">
        <v>99</v>
      </c>
      <c r="D213" s="22" t="s">
        <v>757</v>
      </c>
      <c r="E213" s="13">
        <v>42663.245717592596</v>
      </c>
      <c r="F213" s="13">
        <v>42663.247002314813</v>
      </c>
      <c r="G213" s="7">
        <v>1</v>
      </c>
      <c r="H213" s="13" t="s">
        <v>758</v>
      </c>
      <c r="I213" s="13">
        <v>42663.253321759257</v>
      </c>
      <c r="J213" s="7">
        <v>0</v>
      </c>
      <c r="K213" s="112" t="str">
        <f t="shared" si="63"/>
        <v>4039/4040</v>
      </c>
      <c r="L213" s="22" t="str">
        <f>VLOOKUP(A213,'Trips&amp;Operators'!$C$1:$E$10000,3,FALSE)</f>
        <v>ISHMAEL</v>
      </c>
      <c r="M213" s="6">
        <f t="shared" si="64"/>
        <v>6.3194444446708076E-3</v>
      </c>
      <c r="N213" s="7">
        <f t="shared" si="61"/>
        <v>9.1000000003259629</v>
      </c>
      <c r="O213" s="7"/>
      <c r="P213" s="7"/>
      <c r="Q213" s="23"/>
      <c r="R213" s="23"/>
      <c r="S213" s="35">
        <f t="shared" si="77"/>
        <v>1</v>
      </c>
      <c r="T213" s="50" t="str">
        <f t="shared" si="65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04:53:50-0600',mode:absolute,to:'2016-10-20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3" s="52" t="str">
        <f t="shared" si="67"/>
        <v>Y</v>
      </c>
      <c r="X213" s="171">
        <f t="shared" si="68"/>
        <v>591</v>
      </c>
      <c r="Y213" s="67">
        <f t="shared" si="69"/>
        <v>2.2054999999999998</v>
      </c>
      <c r="Z213" s="67">
        <f t="shared" si="62"/>
        <v>1.5699999999999999E-2</v>
      </c>
      <c r="AA213" s="67">
        <f t="shared" si="70"/>
        <v>2.1898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71"/>
        <v>0902-20</v>
      </c>
      <c r="AE213" s="91" t="str">
        <f t="shared" si="7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3" s="88" t="str">
        <f t="shared" si="73"/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213" s="1" t="str">
        <f t="shared" si="74"/>
        <v>Other</v>
      </c>
      <c r="AH213" s="92" t="str">
        <f t="shared" si="75"/>
        <v>"%USERPROFILE%\Documents\GitHub\eaglep3\Utilities\RefineRTDCRunTimes.py" --tripid 902-20 --locoid 4039 --swversion DE.1.0.7.0 --startMP 300:22055 --initTime 2016-10-20T05:53:50 --startdatetime 2016-10-20T05:55:41 --delay 1 --endMP 204:157 --enddatetime 2016-10-20T06:04:47 --enforcementcount 0 &gt;&gt;C:\Users\stu\Documents\GitHub\eaglep3-reporting\EC\2016-10-20-refined-times.txt</v>
      </c>
      <c r="AI213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{"issue":{"subject":"","project_id":79,"tracker_id":40,"status_id":1,"priority_id":2,"assigned_to_id":23,"start_date":"2016-10-20","description":"","custom_fields":[{"id":1,"name":"Subdivision","value":"Other"},{"id":4,"name":"Milepost","value":"0.0157"},{"id":17,"name":"Train ID","value":"902-20"},{"id":16,"name":"Locomotive ID","value":"4039"},{"id":130,"name":"Impact","value":""},{"id":150,"name":"Time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486</v>
      </c>
      <c r="B214" s="7">
        <v>4053</v>
      </c>
      <c r="C214" s="22" t="s">
        <v>99</v>
      </c>
      <c r="D214" s="22" t="s">
        <v>759</v>
      </c>
      <c r="E214" s="13">
        <v>42663.356157407405</v>
      </c>
      <c r="F214" s="13">
        <v>42663.357534722221</v>
      </c>
      <c r="G214" s="7">
        <v>1</v>
      </c>
      <c r="H214" s="13" t="s">
        <v>760</v>
      </c>
      <c r="I214" s="13">
        <v>42663.362164351849</v>
      </c>
      <c r="J214" s="7">
        <v>0</v>
      </c>
      <c r="K214" s="112" t="str">
        <f t="shared" si="63"/>
        <v>4053/4054</v>
      </c>
      <c r="L214" s="22" t="str">
        <f>VLOOKUP(A214,'Trips&amp;Operators'!$C$1:$E$10000,3,FALSE)</f>
        <v>YORK</v>
      </c>
      <c r="M214" s="6">
        <f t="shared" si="64"/>
        <v>4.6296296277432702E-3</v>
      </c>
      <c r="N214" s="7">
        <f t="shared" si="61"/>
        <v>6.6666666639503092</v>
      </c>
      <c r="O214" s="7"/>
      <c r="P214" s="7"/>
      <c r="Q214" s="23"/>
      <c r="R214" s="23"/>
      <c r="S214" s="35">
        <f t="shared" si="77"/>
        <v>1</v>
      </c>
      <c r="T214" s="50" t="str">
        <f t="shared" si="65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07:32:52-0600',mode:absolute,to:'2016-10-20 09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4" s="52" t="str">
        <f t="shared" si="67"/>
        <v>Y</v>
      </c>
      <c r="X214" s="171">
        <f t="shared" si="68"/>
        <v>1</v>
      </c>
      <c r="Y214" s="67">
        <f t="shared" si="69"/>
        <v>0.1032</v>
      </c>
      <c r="Z214" s="67">
        <f t="shared" si="62"/>
        <v>2.4232999999999998</v>
      </c>
      <c r="AA214" s="67">
        <f t="shared" si="70"/>
        <v>2.3200999999999996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71"/>
        <v>0903-20</v>
      </c>
      <c r="AE214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4" s="88" t="str">
        <f t="shared" si="73"/>
        <v>"C:\Program Files (x86)\AstroGrep\AstroGrep.exe" /spath="%USERPROFILE%\AppData\Local\Temp\OnboardLogs" /stypes="app*4053*20161020*" /stext=" 14:.+((SYSTEM_STATE.+slice.+state.+changed )|(ment ac)|(system.+state.+changed )|(\[timeout)|(PRM\|1\|D)|(kpr)|(kdp)|(\|lc)|(penalty))" /e /r /s</v>
      </c>
      <c r="AG214" s="1" t="str">
        <f t="shared" si="74"/>
        <v>Other</v>
      </c>
      <c r="AH214" s="92" t="str">
        <f t="shared" si="75"/>
        <v>"%USERPROFILE%\Documents\GitHub\eaglep3\Utilities\RefineRTDCRunTimes.py" --tripid 903-20 --locoid 4053 --swversion DE.1.0.7.0 --startMP 204:1032 --initTime 2016-10-20T08:32:52 --startdatetime 2016-10-20T08:34:51 --delay 1 --endMP 300:24233 --enddatetime 2016-10-20T08:41:31 --enforcementcount 0 &gt;&gt;C:\Users\stu\Documents\GitHub\eaglep3-reporting\EC\2016-10-20-refined-times.txt</v>
      </c>
      <c r="AI214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{"issue":{"subject":"","project_id":79,"tracker_id":40,"status_id":1,"priority_id":2,"assigned_to_id":23,"start_date":"2016-10-20","description":"","custom_fields":[{"id":1,"name":"Subdivision","value":"Other"},{"id":4,"name":"Milepost","value":"2.4233"},{"id":17,"name":"Train ID","value":"903-20"},{"id":16,"name":"Locomotive ID","value":"4053"},{"id":130,"name":"Impact","value":""},{"id":150,"name":"Time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589</v>
      </c>
      <c r="B215" s="7">
        <v>4054</v>
      </c>
      <c r="C215" s="22" t="s">
        <v>99</v>
      </c>
      <c r="D215" s="22" t="s">
        <v>288</v>
      </c>
      <c r="E215" s="13">
        <v>42663.796747685185</v>
      </c>
      <c r="F215" s="13">
        <v>25568.708333333332</v>
      </c>
      <c r="G215" s="7">
        <v>0</v>
      </c>
      <c r="H215" s="13" t="s">
        <v>761</v>
      </c>
      <c r="I215" s="13">
        <v>25568.708333333332</v>
      </c>
      <c r="J215" s="7">
        <v>0</v>
      </c>
      <c r="K215" s="112" t="str">
        <f t="shared" si="63"/>
        <v>4053/4054</v>
      </c>
      <c r="L215" s="22" t="str">
        <f>VLOOKUP(A215,'Trips&amp;Operators'!$C$1:$E$10000,3,FALSE)</f>
        <v>YANAI</v>
      </c>
      <c r="M215" s="6">
        <f t="shared" si="64"/>
        <v>0</v>
      </c>
      <c r="N215" s="7">
        <f t="shared" si="61"/>
        <v>0</v>
      </c>
      <c r="O215" s="7"/>
      <c r="P215" s="7"/>
      <c r="Q215" s="23"/>
      <c r="R215" s="23"/>
      <c r="S215" s="35">
        <f t="shared" si="77"/>
        <v>0</v>
      </c>
      <c r="T215" s="50" t="str">
        <f t="shared" si="65"/>
        <v>Southbound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18:07:19-0600',mode:absolute,to:'1969-12-31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5" s="52" t="str">
        <f t="shared" si="67"/>
        <v>Y</v>
      </c>
      <c r="X215" s="171">
        <f t="shared" si="68"/>
        <v>3</v>
      </c>
      <c r="Y215" s="67">
        <f t="shared" si="69"/>
        <v>5.8615000000000004</v>
      </c>
      <c r="Z215" s="67">
        <f t="shared" si="62"/>
        <v>2.871</v>
      </c>
      <c r="AA215" s="67">
        <f t="shared" si="70"/>
        <v>2.9905000000000004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71"/>
        <v>0906-20</v>
      </c>
      <c r="AE215" s="91" t="str">
        <f t="shared" si="72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15" s="88" t="str">
        <f t="shared" si="73"/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15" s="1" t="str">
        <f t="shared" si="74"/>
        <v>Other</v>
      </c>
      <c r="AH215" s="92" t="str">
        <f t="shared" si="75"/>
        <v>"%USERPROFILE%\Documents\GitHub\eaglep3\Utilities\RefineRTDCRunTimes.py" --tripid 906-20 --locoid 4054 --swversion DE.1.0.7.0 --startMP 300:58615 --initTime 2016-10-20T19:07:19 --startdatetime 1969-12-31T17:00:00 --delay 0 --endMP 300:28710 --enddatetime 1969-12-31T17:00:00 --enforcementcount 0 &gt;&gt;C:\Users\stu\Documents\GitHub\eaglep3-reporting\EC\2016-10-20-refined-times.txt</v>
      </c>
      <c r="AI215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{"issue":{"subject":"","project_id":79,"tracker_id":40,"status_id":1,"priority_id":2,"assigned_to_id":23,"start_date":"1969-12-31","description":"","custom_fields":[{"id":1,"name":"Subdivision","value":"Other"},{"id":4,"name":"Milepost","value":"2.871"},{"id":17,"name":"Train ID","value":"906-20"},{"id":16,"name":"Locomotive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611</v>
      </c>
      <c r="B216" s="7">
        <v>4039</v>
      </c>
      <c r="C216" s="22" t="s">
        <v>99</v>
      </c>
      <c r="D216" s="22" t="s">
        <v>386</v>
      </c>
      <c r="E216" s="13">
        <v>42663.942372685182</v>
      </c>
      <c r="F216" s="13">
        <v>42663.944097222222</v>
      </c>
      <c r="G216" s="7">
        <v>1</v>
      </c>
      <c r="H216" s="13" t="s">
        <v>762</v>
      </c>
      <c r="I216" s="13">
        <v>42663.948414351849</v>
      </c>
      <c r="J216" s="7">
        <v>0</v>
      </c>
      <c r="K216" s="112" t="str">
        <f t="shared" si="63"/>
        <v>4039/4040</v>
      </c>
      <c r="L216" s="22" t="str">
        <f>VLOOKUP(A216,'Trips&amp;Operators'!$C$1:$E$10000,3,FALSE)</f>
        <v>YANAI</v>
      </c>
      <c r="M216" s="6">
        <f t="shared" si="64"/>
        <v>4.3171296274522319E-3</v>
      </c>
      <c r="N216" s="7">
        <f t="shared" si="61"/>
        <v>6.216666663531214</v>
      </c>
      <c r="O216" s="7"/>
      <c r="P216" s="7"/>
      <c r="Q216" s="23"/>
      <c r="R216" s="23"/>
      <c r="S216" s="35">
        <f t="shared" si="77"/>
        <v>0</v>
      </c>
      <c r="T216" s="50" t="str">
        <f t="shared" si="65"/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21:37:01-0600',mode:absolute,to:'2016-10-20 23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6" s="52" t="str">
        <f t="shared" si="67"/>
        <v>Y</v>
      </c>
      <c r="X216" s="171">
        <f t="shared" si="68"/>
        <v>2</v>
      </c>
      <c r="Y216" s="67">
        <f t="shared" si="69"/>
        <v>5.8616999999999999</v>
      </c>
      <c r="Z216" s="67">
        <f t="shared" si="62"/>
        <v>2.1503999999999999</v>
      </c>
      <c r="AA216" s="67">
        <f t="shared" si="70"/>
        <v>3.7113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71"/>
        <v>0908-20</v>
      </c>
      <c r="AE216" s="91" t="str">
        <f t="shared" si="7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6" s="88" t="str">
        <f t="shared" si="73"/>
        <v>"C:\Program Files (x86)\AstroGrep\AstroGrep.exe" /spath="%USERPROFILE%\AppData\Local\Temp\OnboardLogs" /stypes="app*4039*20161021*" /stext=" 04:.+((SYSTEM_STATE.+slice.+state.+changed )|(ment ac)|(system.+state.+changed )|(\[timeout)|(PRM\|1\|D)|(kpr)|(kdp)|(\|lc)|(penalty))" /e /r /s</v>
      </c>
      <c r="AG216" s="1" t="str">
        <f t="shared" si="74"/>
        <v>Other</v>
      </c>
      <c r="AH216" s="92" t="str">
        <f t="shared" si="75"/>
        <v>"%USERPROFILE%\Documents\GitHub\eaglep3\Utilities\RefineRTDCRunTimes.py" --tripid 908-20 --locoid 4039 --swversion DE.1.0.7.0 --startMP 300:58617 --initTime 2016-10-20T22:37:01 --startdatetime 2016-10-20T22:39:30 --delay 1 --endMP 300:21504 --enddatetime 2016-10-20T22:45:43 --enforcementcount 0 &gt;&gt;C:\Users\stu\Documents\GitHub\eaglep3-reporting\EC\2016-10-20-refined-times.txt</v>
      </c>
      <c r="AI216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{"issue":{"subject":"","project_id":79,"tracker_id":40,"status_id":1,"priority_id":2,"assigned_to_id":23,"start_date":"2016-10-20","description":"","custom_fields":[{"id":1,"name":"Subdivision","value":"Other"},{"id":4,"name":"Milepost","value":"2.1504"},{"id":17,"name":"Train ID","value":"908-20"},{"id":16,"name":"Locomotive ID","value":"4039"},{"id":130,"name":"Impact","value":""},{"id":150,"name":"Time of Event (Mountain Time)","value":"22:45:43"},{"id":151,"name":"Denver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7" t="s">
        <v>406</v>
      </c>
      <c r="B217" s="7">
        <v>4053</v>
      </c>
      <c r="C217" s="22" t="s">
        <v>99</v>
      </c>
      <c r="D217" s="22" t="s">
        <v>682</v>
      </c>
      <c r="E217" s="13">
        <v>42663.422754629632</v>
      </c>
      <c r="F217" s="13">
        <v>42663.47042824074</v>
      </c>
      <c r="G217" s="7">
        <v>2</v>
      </c>
      <c r="H217" s="13" t="s">
        <v>683</v>
      </c>
      <c r="I217" s="13">
        <v>42663.484606481485</v>
      </c>
      <c r="J217" s="7">
        <v>0</v>
      </c>
      <c r="K217" s="112" t="str">
        <f t="shared" si="63"/>
        <v>4053/4054</v>
      </c>
      <c r="L217" s="22" t="str">
        <f>VLOOKUP(A217,'Trips&amp;Operators'!$C$1:$E$10000,3,FALSE)</f>
        <v>PELLITIER</v>
      </c>
      <c r="M217" s="6">
        <f t="shared" si="64"/>
        <v>1.417824074451346E-2</v>
      </c>
      <c r="N217" s="7">
        <f t="shared" si="61"/>
        <v>20.416666672099382</v>
      </c>
      <c r="O217" s="7"/>
      <c r="P217" s="7"/>
      <c r="Q217" s="23"/>
      <c r="R217" s="23"/>
      <c r="S217" s="35">
        <f t="shared" si="77"/>
        <v>0</v>
      </c>
      <c r="T217" s="50" t="e">
        <f t="shared" si="65"/>
        <v>#VALUE!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7" s="52" t="str">
        <f t="shared" si="67"/>
        <v>Y</v>
      </c>
      <c r="X217" s="171" t="e">
        <f t="shared" si="68"/>
        <v>#VALUE!</v>
      </c>
      <c r="Y217" s="67">
        <f t="shared" si="69"/>
        <v>1.4283999999999999</v>
      </c>
      <c r="Z217" s="67">
        <f t="shared" si="62"/>
        <v>4.2648000000000001</v>
      </c>
      <c r="AA217" s="67">
        <f t="shared" si="70"/>
        <v>2.8364000000000003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71"/>
        <v>50-20</v>
      </c>
      <c r="AE217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7" s="88" t="str">
        <f t="shared" si="73"/>
        <v>"C:\Program Files (x86)\AstroGrep\AstroGrep.exe" /spath="%USERPROFILE%\AppData\Local\Temp\OnboardLogs" /stypes="app*4053*20161020*" /stext=" 17:.+((SYSTEM_STATE.+slice.+state.+changed )|(ment ac)|(system.+state.+changed )|(\[timeout)|(PRM\|1\|D)|(kpr)|(kdp)|(\|lc)|(penalty))" /e /r /s</v>
      </c>
      <c r="AG217" s="1" t="str">
        <f t="shared" si="74"/>
        <v>Other</v>
      </c>
      <c r="AH217" s="92" t="str">
        <f t="shared" si="75"/>
        <v>"%USERPROFILE%\Documents\GitHub\eaglep3\Utilities\RefineRTDCRunTimes.py" --tripid 50-20 --locoid 4053 --swversion DE.1.0.7.0 --startMP 300:14284 --initTime 2016-10-20T10:08:46 --startdatetime 2016-10-20T11:17:25 --delay 2 --endMP 300:42648 --enddatetime 2016-10-20T11:37:50 --enforcementcount 0 &gt;&gt;C:\Users\stu\Documents\GitHub\eaglep3-reporting\EC\2016-10-20-refined-times.txt</v>
      </c>
      <c r="AI217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{"issue":{"subject":"","project_id":79,"tracker_id":40,"status_id":1,"priority_id":2,"assigned_to_id":23,"start_date":"2016-10-20","description":"","custom_fields":[{"id":1,"name":"Subdivision","value":"Other"},{"id":4,"name":"Milepost","value":"4.2648"},{"id":17,"name":"Train ID","value":"50-20"},{"id":16,"name":"Locomotive ID","value":"4053"},{"id":130,"name":"Impact","value":""},{"id":150,"name":"Time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s="21" customFormat="1" x14ac:dyDescent="0.25">
      <c r="A218" s="37" t="s">
        <v>406</v>
      </c>
      <c r="B218" s="7">
        <v>4053</v>
      </c>
      <c r="C218" s="22" t="s">
        <v>99</v>
      </c>
      <c r="D218" s="22" t="s">
        <v>684</v>
      </c>
      <c r="E218" s="13">
        <v>42663.488738425927</v>
      </c>
      <c r="F218" s="13">
        <v>42663.523692129631</v>
      </c>
      <c r="G218" s="7">
        <v>1</v>
      </c>
      <c r="H218" s="13" t="s">
        <v>685</v>
      </c>
      <c r="I218" s="13">
        <v>42663.525567129633</v>
      </c>
      <c r="J218" s="7">
        <v>0</v>
      </c>
      <c r="K218" s="112" t="str">
        <f t="shared" si="63"/>
        <v>4053/4054</v>
      </c>
      <c r="L218" s="22" t="str">
        <f>VLOOKUP(A218,'Trips&amp;Operators'!$C$1:$E$10000,3,FALSE)</f>
        <v>PELLITIER</v>
      </c>
      <c r="M218" s="6">
        <f t="shared" si="64"/>
        <v>1.8750000017462298E-3</v>
      </c>
      <c r="N218" s="7">
        <f t="shared" si="61"/>
        <v>2.700000002514571</v>
      </c>
      <c r="O218" s="7"/>
      <c r="P218" s="7"/>
      <c r="Q218" s="23"/>
      <c r="R218" s="23"/>
      <c r="S218" s="35">
        <f t="shared" si="77"/>
        <v>0</v>
      </c>
      <c r="T218" s="50" t="e">
        <f t="shared" si="65"/>
        <v>#VALUE!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10:43:47-0600',mode:absolute,to:'2016-10-20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8" s="52" t="str">
        <f t="shared" si="67"/>
        <v>Y</v>
      </c>
      <c r="X218" s="171" t="e">
        <f t="shared" si="68"/>
        <v>#VALUE!</v>
      </c>
      <c r="Y218" s="67">
        <f t="shared" si="69"/>
        <v>1.4418</v>
      </c>
      <c r="Z218" s="67">
        <f t="shared" si="62"/>
        <v>4.2468000000000004</v>
      </c>
      <c r="AA218" s="67">
        <f t="shared" si="70"/>
        <v>2.8050000000000006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71"/>
        <v>50-20</v>
      </c>
      <c r="AE218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8" s="88" t="str">
        <f t="shared" si="73"/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8" s="1" t="str">
        <f t="shared" si="74"/>
        <v>Other</v>
      </c>
      <c r="AH218" s="92" t="str">
        <f t="shared" si="75"/>
        <v>"%USERPROFILE%\Documents\GitHub\eaglep3\Utilities\RefineRTDCRunTimes.py" --tripid 50-20 --locoid 4053 --swversion DE.1.0.7.0 --startMP 300:14418 --initTime 2016-10-20T11:43:47 --startdatetime 2016-10-20T12:34:07 --delay 1 --endMP 300:42468 --enddatetime 2016-10-20T12:36:49 --enforcementcount 0 &gt;&gt;C:\Users\stu\Documents\GitHub\eaglep3-reporting\EC\2016-10-20-refined-times.txt</v>
      </c>
      <c r="AI218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{"issue":{"subject":"","project_id":79,"tracker_id":40,"status_id":1,"priority_id":2,"assigned_to_id":23,"start_date":"2016-10-20","description":"","custom_fields":[{"id":1,"name":"Subdivision","value":"Other"},{"id":4,"name":"Milepost","value":"4.2468"},{"id":17,"name":"Train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406</v>
      </c>
      <c r="B219" s="7">
        <v>4053</v>
      </c>
      <c r="C219" s="22" t="s">
        <v>99</v>
      </c>
      <c r="D219" s="22" t="s">
        <v>686</v>
      </c>
      <c r="E219" s="13">
        <v>42663.522094907406</v>
      </c>
      <c r="F219" s="13">
        <v>42663.523692129631</v>
      </c>
      <c r="G219" s="7">
        <v>1</v>
      </c>
      <c r="H219" s="13" t="s">
        <v>687</v>
      </c>
      <c r="I219" s="13">
        <v>42663.525567129633</v>
      </c>
      <c r="J219" s="7">
        <v>0</v>
      </c>
      <c r="K219" s="112" t="str">
        <f t="shared" si="63"/>
        <v>4053/4054</v>
      </c>
      <c r="L219" s="22" t="str">
        <f>VLOOKUP(A219,'Trips&amp;Operators'!$C$1:$E$10000,3,FALSE)</f>
        <v>PELLITIER</v>
      </c>
      <c r="M219" s="6">
        <f t="shared" si="64"/>
        <v>1.8750000017462298E-3</v>
      </c>
      <c r="N219" s="7">
        <f t="shared" si="61"/>
        <v>2.700000002514571</v>
      </c>
      <c r="O219" s="7"/>
      <c r="P219" s="7"/>
      <c r="Q219" s="23"/>
      <c r="R219" s="23"/>
      <c r="S219" s="35">
        <f t="shared" si="77"/>
        <v>0</v>
      </c>
      <c r="T219" s="50" t="e">
        <f t="shared" si="65"/>
        <v>#VALUE!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11:31:49-0600',mode:absolute,to:'2016-10-20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2" t="str">
        <f t="shared" si="67"/>
        <v>Y</v>
      </c>
      <c r="X219" s="171" t="e">
        <f t="shared" si="68"/>
        <v>#VALUE!</v>
      </c>
      <c r="Y219" s="67">
        <f t="shared" si="69"/>
        <v>1.9983</v>
      </c>
      <c r="Z219" s="67">
        <f t="shared" si="62"/>
        <v>2.4266999999999999</v>
      </c>
      <c r="AA219" s="67">
        <f t="shared" si="70"/>
        <v>0.42839999999999989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71"/>
        <v>50-20</v>
      </c>
      <c r="AE219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9" s="88" t="str">
        <f t="shared" si="73"/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9" s="1" t="str">
        <f t="shared" si="74"/>
        <v>Other</v>
      </c>
      <c r="AH219" s="92" t="str">
        <f t="shared" si="75"/>
        <v>"%USERPROFILE%\Documents\GitHub\eaglep3\Utilities\RefineRTDCRunTimes.py" --tripid 50-20 --locoid 4053 --swversion DE.1.0.7.0 --startMP 300:19983 --initTime 2016-10-20T12:31:49 --startdatetime 2016-10-20T12:34:07 --delay 1 --endMP 300:24267 --enddatetime 2016-10-20T12:36:49 --enforcementcount 0 &gt;&gt;C:\Users\stu\Documents\GitHub\eaglep3-reporting\EC\2016-10-20-refined-times.txt</v>
      </c>
      <c r="AI219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{"issue":{"subject":"","project_id":79,"tracker_id":40,"status_id":1,"priority_id":2,"assigned_to_id":23,"start_date":"2016-10-20","description":"","custom_fields":[{"id":1,"name":"Subdivision","value":"Other"},{"id":4,"name":"Milepost","value":"2.4267"},{"id":17,"name":"Train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406</v>
      </c>
      <c r="B220" s="7">
        <v>4054</v>
      </c>
      <c r="C220" s="22" t="s">
        <v>99</v>
      </c>
      <c r="D220" s="22" t="s">
        <v>688</v>
      </c>
      <c r="E220" s="13">
        <v>42663.412210648145</v>
      </c>
      <c r="F220" s="13">
        <v>42663.425208333334</v>
      </c>
      <c r="G220" s="7">
        <v>2</v>
      </c>
      <c r="H220" s="13" t="s">
        <v>689</v>
      </c>
      <c r="I220" s="13">
        <v>42663.466817129629</v>
      </c>
      <c r="J220" s="7">
        <v>0</v>
      </c>
      <c r="K220" s="112" t="str">
        <f t="shared" si="63"/>
        <v>4053/4054</v>
      </c>
      <c r="L220" s="22" t="str">
        <f>VLOOKUP(A220,'Trips&amp;Operators'!$C$1:$E$10000,3,FALSE)</f>
        <v>PELLITIER</v>
      </c>
      <c r="M220" s="6">
        <f t="shared" si="64"/>
        <v>4.1608796294895001E-2</v>
      </c>
      <c r="N220" s="7">
        <f t="shared" si="61"/>
        <v>59.916666664648801</v>
      </c>
      <c r="O220" s="7"/>
      <c r="P220" s="7"/>
      <c r="Q220" s="23"/>
      <c r="R220" s="23"/>
      <c r="S220" s="35">
        <f t="shared" si="77"/>
        <v>0</v>
      </c>
      <c r="T220" s="50" t="e">
        <f t="shared" si="65"/>
        <v>#VALUE!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08:53:35-0600',mode:absolute,to:'2016-10-20 12:12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 t="shared" si="67"/>
        <v>Y</v>
      </c>
      <c r="X220" s="171" t="e">
        <f t="shared" si="68"/>
        <v>#VALUE!</v>
      </c>
      <c r="Y220" s="67">
        <f t="shared" si="69"/>
        <v>2.4161000000000001</v>
      </c>
      <c r="Z220" s="67">
        <f t="shared" si="62"/>
        <v>1.3956</v>
      </c>
      <c r="AA220" s="67">
        <f t="shared" si="70"/>
        <v>1.0205000000000002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71"/>
        <v>50-20</v>
      </c>
      <c r="AE220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0" s="88" t="str">
        <f t="shared" si="73"/>
        <v>"C:\Program Files (x86)\AstroGrep\AstroGrep.exe" /spath="%USERPROFILE%\AppData\Local\Temp\OnboardLogs" /stypes="app*4054*20161020*" /stext=" 17:.+((SYSTEM_STATE.+slice.+state.+changed )|(ment ac)|(system.+state.+changed )|(\[timeout)|(PRM\|1\|D)|(kpr)|(kdp)|(\|lc)|(penalty))" /e /r /s</v>
      </c>
      <c r="AG220" s="1" t="str">
        <f t="shared" si="74"/>
        <v>Other</v>
      </c>
      <c r="AH220" s="92" t="str">
        <f t="shared" si="75"/>
        <v>"%USERPROFILE%\Documents\GitHub\eaglep3\Utilities\RefineRTDCRunTimes.py" --tripid 50-20 --locoid 4054 --swversion DE.1.0.7.0 --startMP 300:24161 --initTime 2016-10-20T09:53:35 --startdatetime 2016-10-20T10:12:18 --delay 2 --endMP 300:13956 --enddatetime 2016-10-20T11:12:13 --enforcementcount 0 &gt;&gt;C:\Users\stu\Documents\GitHub\eaglep3-reporting\EC\2016-10-20-refined-times.txt</v>
      </c>
      <c r="AI220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{"issue":{"subject":"","project_id":79,"tracker_id":40,"status_id":1,"priority_id":2,"assigned_to_id":23,"start_date":"2016-10-20","description":"","custom_fields":[{"id":1,"name":"Subdivision","value":"Other"},{"id":4,"name":"Milepost","value":"1.3956"},{"id":17,"name":"Train ID","value":"50-20"},{"id":16,"name":"Locomotive ID","value":"4054"},{"id":130,"name":"Impact","value":""},{"id":150,"name":"Time of Event (Mountain Time)","value":"11:12:13"},{"id":151,"name":"Denver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s="21" customFormat="1" x14ac:dyDescent="0.25">
      <c r="A221" s="37" t="s">
        <v>406</v>
      </c>
      <c r="B221" s="7">
        <v>4054</v>
      </c>
      <c r="C221" s="22" t="s">
        <v>99</v>
      </c>
      <c r="D221" s="22" t="s">
        <v>690</v>
      </c>
      <c r="E221" s="13">
        <v>42663.506550925929</v>
      </c>
      <c r="F221" s="13">
        <v>42663.523692129631</v>
      </c>
      <c r="G221" s="7">
        <v>2</v>
      </c>
      <c r="H221" s="13" t="s">
        <v>691</v>
      </c>
      <c r="I221" s="13">
        <v>42663.525567129633</v>
      </c>
      <c r="J221" s="7">
        <v>0</v>
      </c>
      <c r="K221" s="112" t="str">
        <f t="shared" si="63"/>
        <v>4053/4054</v>
      </c>
      <c r="L221" s="22" t="str">
        <f>VLOOKUP(A221,'Trips&amp;Operators'!$C$1:$E$10000,3,FALSE)</f>
        <v>PELLITIER</v>
      </c>
      <c r="M221" s="6">
        <f t="shared" si="64"/>
        <v>1.8750000017462298E-3</v>
      </c>
      <c r="N221" s="7">
        <f t="shared" si="61"/>
        <v>2.700000002514571</v>
      </c>
      <c r="O221" s="7"/>
      <c r="P221" s="7"/>
      <c r="Q221" s="23"/>
      <c r="R221" s="23"/>
      <c r="S221" s="35">
        <f t="shared" si="77"/>
        <v>0</v>
      </c>
      <c r="T221" s="50" t="e">
        <f t="shared" si="65"/>
        <v>#VALUE!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11:09:26-0600',mode:absolute,to:'2016-10-20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 t="shared" si="67"/>
        <v>Y</v>
      </c>
      <c r="X221" s="171" t="e">
        <f t="shared" si="68"/>
        <v>#VALUE!</v>
      </c>
      <c r="Y221" s="67">
        <f t="shared" si="69"/>
        <v>4.2153</v>
      </c>
      <c r="Z221" s="67">
        <f t="shared" si="62"/>
        <v>1.9678</v>
      </c>
      <c r="AA221" s="67">
        <f t="shared" si="70"/>
        <v>2.2475000000000001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71"/>
        <v>50-20</v>
      </c>
      <c r="AE221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1" s="88" t="str">
        <f t="shared" si="73"/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1" s="1" t="str">
        <f t="shared" si="74"/>
        <v>Other</v>
      </c>
      <c r="AH221" s="92" t="str">
        <f t="shared" si="75"/>
        <v>"%USERPROFILE%\Documents\GitHub\eaglep3\Utilities\RefineRTDCRunTimes.py" --tripid 50-20 --locoid 4054 --swversion DE.1.0.7.0 --startMP 300:42153 --initTime 2016-10-20T12:09:26 --startdatetime 2016-10-20T12:34:07 --delay 2 --endMP 300:19678 --enddatetime 2016-10-20T12:36:49 --enforcementcount 0 &gt;&gt;C:\Users\stu\Documents\GitHub\eaglep3-reporting\EC\2016-10-20-refined-times.txt</v>
      </c>
      <c r="AI221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{"issue":{"subject":"","project_id":79,"tracker_id":40,"status_id":1,"priority_id":2,"assigned_to_id":23,"start_date":"2016-10-20","description":"","custom_fields":[{"id":1,"name":"Subdivision","value":"Other"},{"id":4,"name":"Milepost","value":"1.9678"},{"id":17,"name":"Train ID","value":"50-20"},{"id":16,"name":"Locomotive ID","value":"4054"},{"id":130,"name":"Impact","value":""},{"id":150,"name":"Time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406</v>
      </c>
      <c r="B222" s="7">
        <v>4054</v>
      </c>
      <c r="C222" s="22" t="s">
        <v>99</v>
      </c>
      <c r="D222" s="22" t="s">
        <v>692</v>
      </c>
      <c r="E222" s="13">
        <v>42663.46837962963</v>
      </c>
      <c r="F222" s="13">
        <v>42663.499456018515</v>
      </c>
      <c r="G222" s="7">
        <v>2</v>
      </c>
      <c r="H222" s="13" t="s">
        <v>693</v>
      </c>
      <c r="I222" s="13">
        <v>42663.505011574074</v>
      </c>
      <c r="J222" s="7">
        <v>0</v>
      </c>
      <c r="K222" s="112" t="str">
        <f t="shared" si="63"/>
        <v>4053/4054</v>
      </c>
      <c r="L222" s="22" t="str">
        <f>VLOOKUP(A222,'Trips&amp;Operators'!$C$1:$E$10000,3,FALSE)</f>
        <v>PELLITIER</v>
      </c>
      <c r="M222" s="6">
        <f t="shared" si="64"/>
        <v>5.5555555591126904E-3</v>
      </c>
      <c r="N222" s="7">
        <f t="shared" si="61"/>
        <v>8.0000000051222742</v>
      </c>
      <c r="O222" s="7"/>
      <c r="P222" s="7"/>
      <c r="Q222" s="23"/>
      <c r="R222" s="23"/>
      <c r="S222" s="35">
        <f t="shared" si="77"/>
        <v>0</v>
      </c>
      <c r="T222" s="50" t="e">
        <f t="shared" si="65"/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10:14:28-0600',mode:absolute,to:'2016-10-20 13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2" t="str">
        <f t="shared" si="67"/>
        <v>Y</v>
      </c>
      <c r="X222" s="171" t="e">
        <f t="shared" si="68"/>
        <v>#VALUE!</v>
      </c>
      <c r="Y222" s="67">
        <f t="shared" si="69"/>
        <v>4.2392000000000003</v>
      </c>
      <c r="Z222" s="67">
        <f t="shared" si="62"/>
        <v>1.4120999999999999</v>
      </c>
      <c r="AA222" s="67">
        <f t="shared" si="70"/>
        <v>2.8271000000000006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71"/>
        <v>50-20</v>
      </c>
      <c r="AE222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2" s="88" t="str">
        <f t="shared" si="73"/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2" s="1" t="str">
        <f t="shared" si="74"/>
        <v>Other</v>
      </c>
      <c r="AH222" s="92" t="str">
        <f t="shared" si="75"/>
        <v>"%USERPROFILE%\Documents\GitHub\eaglep3\Utilities\RefineRTDCRunTimes.py" --tripid 50-20 --locoid 4054 --swversion DE.1.0.7.0 --startMP 300:42392 --initTime 2016-10-20T11:14:28 --startdatetime 2016-10-20T11:59:13 --delay 2 --endMP 300:14121 --enddatetime 2016-10-20T12:07:13 --enforcementcount 0 &gt;&gt;C:\Users\stu\Documents\GitHub\eaglep3-reporting\EC\2016-10-20-refined-times.txt</v>
      </c>
      <c r="AI222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{"issue":{"subject":"","project_id":79,"tracker_id":40,"status_id":1,"priority_id":2,"assigned_to_id":23,"start_date":"2016-10-20","description":"","custom_fields":[{"id":1,"name":"Subdivision","value":"Other"},{"id":4,"name":"Milepost","value":"1.4121"},{"id":17,"name":"Train ID","value":"50-20"},{"id":16,"name":"Locomotive ID","value":"4054"},{"id":130,"name":"Impact","value":""},{"id":150,"name":"Time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410</v>
      </c>
      <c r="B223" s="7">
        <v>4001</v>
      </c>
      <c r="C223" s="22" t="s">
        <v>99</v>
      </c>
      <c r="D223" s="22" t="s">
        <v>694</v>
      </c>
      <c r="E223" s="13">
        <v>42663.470150462963</v>
      </c>
      <c r="F223" s="13">
        <v>42663.471701388888</v>
      </c>
      <c r="G223" s="7">
        <v>1</v>
      </c>
      <c r="H223" s="13" t="s">
        <v>695</v>
      </c>
      <c r="I223" s="13">
        <v>42663.477870370371</v>
      </c>
      <c r="J223" s="7">
        <v>0</v>
      </c>
      <c r="K223" s="112" t="str">
        <f t="shared" si="63"/>
        <v>4001/4002</v>
      </c>
      <c r="L223" s="22" t="str">
        <f>VLOOKUP(A223,'Trips&amp;Operators'!$C$1:$E$10000,3,FALSE)</f>
        <v>MOSES</v>
      </c>
      <c r="M223" s="6">
        <f t="shared" si="64"/>
        <v>6.1689814829151146E-3</v>
      </c>
      <c r="N223" s="7">
        <f t="shared" si="61"/>
        <v>8.883333335397765</v>
      </c>
      <c r="O223" s="7"/>
      <c r="P223" s="7"/>
      <c r="Q223" s="23"/>
      <c r="R223" s="23"/>
      <c r="S223" s="35">
        <f t="shared" si="77"/>
        <v>0</v>
      </c>
      <c r="T223" s="50" t="e">
        <f t="shared" si="65"/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3" s="52" t="str">
        <f t="shared" si="67"/>
        <v>Y</v>
      </c>
      <c r="X223" s="171" t="e">
        <f t="shared" si="68"/>
        <v>#VALUE!</v>
      </c>
      <c r="Y223" s="67">
        <f t="shared" si="69"/>
        <v>2.2216999999999998</v>
      </c>
      <c r="Z223" s="67">
        <f t="shared" si="62"/>
        <v>8.7599999999999997E-2</v>
      </c>
      <c r="AA223" s="67">
        <f t="shared" si="70"/>
        <v>2.1340999999999997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71"/>
        <v>54-20</v>
      </c>
      <c r="AE223" s="91" t="str">
        <f t="shared" si="72"/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AF223" s="88" t="str">
        <f t="shared" si="73"/>
        <v>"C:\Program Files (x86)\AstroGrep\AstroGrep.exe" /spath="%USERPROFILE%\AppData\Local\Temp\OnboardLogs" /stypes="app*4001*20161020*" /stext=" 17:.+((SYSTEM_STATE.+slice.+state.+changed )|(ment ac)|(system.+state.+changed )|(\[timeout)|(PRM\|1\|D)|(kpr)|(kdp)|(\|lc)|(penalty))" /e /r /s</v>
      </c>
      <c r="AG223" s="1" t="str">
        <f t="shared" si="74"/>
        <v>Other</v>
      </c>
      <c r="AH223" s="92" t="str">
        <f t="shared" si="75"/>
        <v>"%USERPROFILE%\Documents\GitHub\eaglep3\Utilities\RefineRTDCRunTimes.py" --tripid 54-20 --locoid 4001 --swversion DE.1.0.7.0 --startMP 300:22217 --initTime 2016-10-20T11:17:01 --startdatetime 2016-10-20T11:19:15 --delay 1 --endMP 204:876 --enddatetime 2016-10-20T11:28:08 --enforcementcount 0 &gt;&gt;C:\Users\stu\Documents\GitHub\eaglep3-reporting\EC\2016-10-20-refined-times.txt</v>
      </c>
      <c r="AI223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{"issue":{"subject":"","project_id":79,"tracker_id":40,"status_id":1,"priority_id":2,"assigned_to_id":23,"start_date":"2016-10-20","description":"","custom_fields":[{"id":1,"name":"Subdivision","value":"Other"},{"id":4,"name":"Milepost","value":"0.0876"},{"id":17,"name":"Train ID","value":"54-20"},{"id":16,"name":"Locomotive ID","value":"4001"},{"id":130,"name":"Impact","value":""},{"id":150,"name":"Time of Event (Mountain Time)","value":"11:28:08"},{"id":151,"name":"Denver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412</v>
      </c>
      <c r="B224" s="7">
        <v>4002</v>
      </c>
      <c r="C224" s="22" t="s">
        <v>99</v>
      </c>
      <c r="D224" s="22" t="s">
        <v>696</v>
      </c>
      <c r="E224" s="13">
        <v>42663.484976851854</v>
      </c>
      <c r="F224" s="13">
        <v>25568.708333333332</v>
      </c>
      <c r="G224" s="7">
        <v>3</v>
      </c>
      <c r="H224" s="13" t="s">
        <v>697</v>
      </c>
      <c r="I224" s="13">
        <v>25568.708333333332</v>
      </c>
      <c r="J224" s="7">
        <v>0</v>
      </c>
      <c r="K224" s="112" t="str">
        <f t="shared" si="63"/>
        <v>4001/4002</v>
      </c>
      <c r="L224" s="22" t="str">
        <f>VLOOKUP(A224,'Trips&amp;Operators'!$C$1:$E$10000,3,FALSE)</f>
        <v>STRICKLAND</v>
      </c>
      <c r="M224" s="6">
        <f t="shared" si="64"/>
        <v>0</v>
      </c>
      <c r="N224" s="7">
        <f t="shared" si="61"/>
        <v>0</v>
      </c>
      <c r="O224" s="7"/>
      <c r="P224" s="7"/>
      <c r="Q224" s="23"/>
      <c r="R224" s="23"/>
      <c r="S224" s="35">
        <f t="shared" si="77"/>
        <v>0</v>
      </c>
      <c r="T224" s="50" t="e">
        <f t="shared" si="65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2" t="str">
        <f t="shared" si="67"/>
        <v>Y</v>
      </c>
      <c r="X224" s="171" t="e">
        <f t="shared" si="68"/>
        <v>#VALUE!</v>
      </c>
      <c r="Y224" s="67">
        <f t="shared" si="69"/>
        <v>0.11940000000000001</v>
      </c>
      <c r="Z224" s="67">
        <f t="shared" si="62"/>
        <v>2.4205000000000001</v>
      </c>
      <c r="AA224" s="67">
        <f t="shared" si="70"/>
        <v>2.3010999999999999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71"/>
        <v>55-20</v>
      </c>
      <c r="AE224" s="91" t="str">
        <f t="shared" si="72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4" s="88" t="str">
        <f t="shared" si="73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24" s="1" t="str">
        <f t="shared" si="74"/>
        <v>Other</v>
      </c>
      <c r="AH224" s="92" t="str">
        <f t="shared" si="75"/>
        <v>"%USERPROFILE%\Documents\GitHub\eaglep3\Utilities\RefineRTDCRunTimes.py" --tripid 55-20 --locoid 4002 --swversion DE.1.0.7.0 --startMP 204:1194 --initTime 2016-10-20T11:38:22 --startdatetime 1969-12-31T17:00:00 --delay 3 --endMP 300:24205 --enddatetime 1969-12-31T17:00:00 --enforcementcount 0 &gt;&gt;C:\Users\stu\Documents\GitHub\eaglep3-reporting\EC\2016-10-20-refined-times.txt</v>
      </c>
      <c r="AI224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{"issue":{"subject":"","project_id":79,"tracker_id":40,"status_id":1,"priority_id":2,"assigned_to_id":23,"start_date":"1969-12-31","description":"","custom_fields":[{"id":1,"name":"Subdivision","value":"Other"},{"id":4,"name":"Milepost","value":"2.4205"},{"id":17,"name":"Train ID","value":"55-20"},{"id":16,"name":"Locomotive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426</v>
      </c>
      <c r="B225" s="7">
        <v>4032</v>
      </c>
      <c r="C225" s="22" t="s">
        <v>99</v>
      </c>
      <c r="D225" s="22" t="s">
        <v>698</v>
      </c>
      <c r="E225" s="13">
        <v>42663.740069444444</v>
      </c>
      <c r="F225" s="13">
        <v>42663.743796296294</v>
      </c>
      <c r="G225" s="7">
        <v>1</v>
      </c>
      <c r="H225" s="13" t="s">
        <v>699</v>
      </c>
      <c r="I225" s="13">
        <v>42663.755266203705</v>
      </c>
      <c r="J225" s="7">
        <v>0</v>
      </c>
      <c r="K225" s="112" t="str">
        <f t="shared" si="63"/>
        <v>4031/4032</v>
      </c>
      <c r="L225" s="22" t="str">
        <f>VLOOKUP(A225,'Trips&amp;Operators'!$C$1:$E$10000,3,FALSE)</f>
        <v>MATTHEWS</v>
      </c>
      <c r="M225" s="6">
        <f t="shared" si="64"/>
        <v>1.1469907411083113E-2</v>
      </c>
      <c r="N225" s="7">
        <f t="shared" si="61"/>
        <v>16.516666671959683</v>
      </c>
      <c r="O225" s="7"/>
      <c r="P225" s="7"/>
      <c r="Q225" s="23"/>
      <c r="R225" s="23"/>
      <c r="S225" s="35">
        <f t="shared" si="77"/>
        <v>0</v>
      </c>
      <c r="T225" s="50" t="e">
        <f t="shared" si="65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5" s="52" t="str">
        <f t="shared" si="67"/>
        <v>Y</v>
      </c>
      <c r="X225" s="171" t="e">
        <f t="shared" si="68"/>
        <v>#VALUE!</v>
      </c>
      <c r="Y225" s="67">
        <f t="shared" si="69"/>
        <v>2.3248000000000002</v>
      </c>
      <c r="Z225" s="67">
        <f t="shared" si="62"/>
        <v>0.19819999999999999</v>
      </c>
      <c r="AA225" s="67">
        <f t="shared" si="70"/>
        <v>2.1266000000000003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71"/>
        <v>58-20</v>
      </c>
      <c r="AE225" s="91" t="str">
        <f t="shared" si="72"/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AF225" s="88" t="str">
        <f t="shared" si="73"/>
        <v>"C:\Program Files (x86)\AstroGrep\AstroGrep.exe" /spath="%USERPROFILE%\AppData\Local\Temp\OnboardLogs" /stypes="app*4032*20161021*" /stext=" 00:.+((SYSTEM_STATE.+slice.+state.+changed )|(ment ac)|(system.+state.+changed )|(\[timeout)|(PRM\|1\|D)|(kpr)|(kdp)|(\|lc)|(penalty))" /e /r /s</v>
      </c>
      <c r="AG225" s="1" t="str">
        <f t="shared" si="74"/>
        <v>Other</v>
      </c>
      <c r="AH225" s="92" t="str">
        <f t="shared" si="75"/>
        <v>"%USERPROFILE%\Documents\GitHub\eaglep3\Utilities\RefineRTDCRunTimes.py" --tripid 58-20 --locoid 4032 --swversion DE.1.0.7.0 --startMP 300:23248 --initTime 2016-10-20T17:45:42 --startdatetime 2016-10-20T17:51:04 --delay 1 --endMP 204:1982 --enddatetime 2016-10-20T18:07:35 --enforcementcount 0 &gt;&gt;C:\Users\stu\Documents\GitHub\eaglep3-reporting\EC\2016-10-20-refined-times.txt</v>
      </c>
      <c r="AI225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{"issue":{"subject":"","project_id":79,"tracker_id":40,"status_id":1,"priority_id":2,"assigned_to_id":23,"start_date":"2016-10-20","description":"","custom_fields":[{"id":1,"name":"Subdivision","value":"Other"},{"id":4,"name":"Milepost","value":"0.1982"},{"id":17,"name":"Train ID","value":"58-20"},{"id":16,"name":"Locomotive ID","value":"4032"},{"id":130,"name":"Impact","value":""},{"id":150,"name":"Time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424</v>
      </c>
      <c r="B226" s="7">
        <v>4016</v>
      </c>
      <c r="C226" s="22" t="s">
        <v>99</v>
      </c>
      <c r="D226" s="22" t="s">
        <v>700</v>
      </c>
      <c r="E226" s="13">
        <v>42663.719282407408</v>
      </c>
      <c r="F226" s="13">
        <v>42663.726597222223</v>
      </c>
      <c r="G226" s="7">
        <v>1</v>
      </c>
      <c r="H226" s="13" t="s">
        <v>701</v>
      </c>
      <c r="I226" s="13">
        <v>42663.726736111108</v>
      </c>
      <c r="J226" s="7">
        <v>0</v>
      </c>
      <c r="K226" s="112" t="str">
        <f t="shared" si="63"/>
        <v>4015/4016</v>
      </c>
      <c r="L226" s="22" t="str">
        <f>VLOOKUP(A226,'Trips&amp;Operators'!$C$1:$E$10000,3,FALSE)</f>
        <v>CRAYTON</v>
      </c>
      <c r="M226" s="6">
        <f t="shared" si="64"/>
        <v>1.3888888497604057E-4</v>
      </c>
      <c r="N226" s="7">
        <f t="shared" si="61"/>
        <v>0.19999999436549842</v>
      </c>
      <c r="O226" s="7"/>
      <c r="P226" s="7"/>
      <c r="Q226" s="23"/>
      <c r="R226" s="23"/>
      <c r="S226" s="35">
        <f t="shared" si="77"/>
        <v>0</v>
      </c>
      <c r="T226" s="50" t="e">
        <f t="shared" si="65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67"/>
        <v>Y</v>
      </c>
      <c r="X226" s="171" t="e">
        <f t="shared" si="68"/>
        <v>#VALUE!</v>
      </c>
      <c r="Y226" s="67">
        <f t="shared" si="69"/>
        <v>0.14860000000000001</v>
      </c>
      <c r="Z226" s="67">
        <f t="shared" si="62"/>
        <v>0.17949999999999999</v>
      </c>
      <c r="AA226" s="67">
        <f t="shared" si="70"/>
        <v>3.0899999999999983E-2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71"/>
        <v>59-20</v>
      </c>
      <c r="AE226" s="91" t="str">
        <f t="shared" si="7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226" s="88" t="str">
        <f t="shared" si="73"/>
        <v>"C:\Program Files (x86)\AstroGrep\AstroGrep.exe" /spath="%USERPROFILE%\AppData\Local\Temp\OnboardLogs" /stypes="app*4016*20161020*" /stext=" 23:.+((SYSTEM_STATE.+slice.+state.+changed )|(ment ac)|(system.+state.+changed )|(\[timeout)|(PRM\|1\|D)|(kpr)|(kdp)|(\|lc)|(penalty))" /e /r /s</v>
      </c>
      <c r="AG226" s="1" t="str">
        <f t="shared" si="74"/>
        <v>Other</v>
      </c>
      <c r="AH226" s="92" t="str">
        <f t="shared" si="75"/>
        <v>"%USERPROFILE%\Documents\GitHub\eaglep3\Utilities\RefineRTDCRunTimes.py" --tripid 59-20 --locoid 4016 --swversion DE.1.0.7.0 --startMP 204:1486 --initTime 2016-10-20T17:15:46 --startdatetime 2016-10-20T17:26:18 --delay 1 --endMP 204:1795 --enddatetime 2016-10-20T17:26:30 --enforcementcount 0 &gt;&gt;C:\Users\stu\Documents\GitHub\eaglep3-reporting\EC\2016-10-20-refined-times.txt</v>
      </c>
      <c r="AI226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{"issue":{"subject":"","project_id":79,"tracker_id":40,"status_id":1,"priority_id":2,"assigned_to_id":23,"start_date":"2016-10-20","description":"","custom_fields":[{"id":1,"name":"Subdivision","value":"Other"},{"id":4,"name":"Milepost","value":"0.1795"},{"id":17,"name":"Train ID","value":"59-20"},{"id":16,"name":"Locomotive ID","value":"4016"},{"id":130,"name":"Impact","value":""},{"id":150,"name":"Time of Event (Mountain Time)","value":"17:26:30"},{"id":151,"name":"Denver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576</v>
      </c>
      <c r="B227" s="7">
        <v>4008</v>
      </c>
      <c r="C227" s="22" t="s">
        <v>99</v>
      </c>
      <c r="D227" s="22" t="s">
        <v>702</v>
      </c>
      <c r="E227" s="13">
        <v>42663.748900462961</v>
      </c>
      <c r="F227" s="13">
        <v>42663.751122685186</v>
      </c>
      <c r="G227" s="7">
        <v>2</v>
      </c>
      <c r="H227" s="13" t="s">
        <v>703</v>
      </c>
      <c r="I227" s="13">
        <v>42663.760682870372</v>
      </c>
      <c r="J227" s="7">
        <v>0</v>
      </c>
      <c r="K227" s="112" t="str">
        <f t="shared" si="63"/>
        <v>4007/4008</v>
      </c>
      <c r="L227" s="22" t="str">
        <f>VLOOKUP(A227,'Trips&amp;Operators'!$C$1:$E$10000,3,FALSE)</f>
        <v>STURGEON</v>
      </c>
      <c r="M227" s="6">
        <f t="shared" si="64"/>
        <v>9.560185186273884E-3</v>
      </c>
      <c r="N227" s="7">
        <f t="shared" si="61"/>
        <v>13.766666668234393</v>
      </c>
      <c r="O227" s="7"/>
      <c r="P227" s="7"/>
      <c r="Q227" s="23"/>
      <c r="R227" s="23"/>
      <c r="S227" s="35">
        <f t="shared" si="77"/>
        <v>0</v>
      </c>
      <c r="T227" s="50" t="e">
        <f t="shared" si="65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16:58:25-0600',mode:absolute,to:'2016-10-20 19:15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7" s="52" t="str">
        <f t="shared" si="67"/>
        <v>Y</v>
      </c>
      <c r="X227" s="171" t="e">
        <f t="shared" si="68"/>
        <v>#VALUE!</v>
      </c>
      <c r="Y227" s="67">
        <f t="shared" si="69"/>
        <v>2.3380999999999998</v>
      </c>
      <c r="Z227" s="67">
        <f t="shared" si="62"/>
        <v>9.1700000000000004E-2</v>
      </c>
      <c r="AA227" s="67">
        <f t="shared" si="70"/>
        <v>2.2464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71"/>
        <v>62-20</v>
      </c>
      <c r="AE227" s="91" t="str">
        <f t="shared" si="72"/>
        <v>aws s3 cp s3://rtdc.mdm.uploadarchive.raw/RTDC4008/ "%USERPROFILE%\AppData\Local\Temp\OnboardLogs"\RTDC4008\2016-10-20 --exclude "*" --recursive --include "*20161020*" &amp; "%USERPROFILE%\Documents\GitHub\mrs-test-scripts\Headless Mode &amp; Sideloading\WalkAndUnGZ.bat" "%USERPROFILE%\AppData\Local\Temp\OnboardLogs"\RTDC4008\2016-10-20 &amp; aws s3 cp s3://rtdc.mdm.uploadarchive.raw/RTDC4008/ "%USERPROFILE%\AppData\Local\Temp\OnboardLogs"\RTDC4008\2016-10-21 --exclude "*" --recursive --include "*20161021*" &amp; "%USERPROFILE%\Documents\GitHub\mrs-test-scripts\Headless Mode &amp; Sideloading\WalkAndUnGZ.bat" "%USERPROFILE%\AppData\Local\Temp\OnboardLogs"\RTDC4008\2016-10-21</v>
      </c>
      <c r="AF227" s="88" t="str">
        <f t="shared" si="73"/>
        <v>"C:\Program Files (x86)\AstroGrep\AstroGrep.exe" /spath="%USERPROFILE%\AppData\Local\Temp\OnboardLogs" /stypes="app*4008*20161021*" /stext=" 00:.+((SYSTEM_STATE.+slice.+state.+changed )|(ment ac)|(system.+state.+changed )|(\[timeout)|(PRM\|1\|D)|(kpr)|(kdp)|(\|lc)|(penalty))" /e /r /s</v>
      </c>
      <c r="AG227" s="1" t="str">
        <f t="shared" si="74"/>
        <v>Other</v>
      </c>
      <c r="AH227" s="92" t="str">
        <f t="shared" si="75"/>
        <v>"%USERPROFILE%\Documents\GitHub\eaglep3\Utilities\RefineRTDCRunTimes.py" --tripid 62-20 --locoid 4008 --swversion DE.1.0.7.0 --startMP 300:23381 --initTime 2016-10-20T17:58:25 --startdatetime 2016-10-20T18:01:37 --delay 2 --endMP 204:917 --enddatetime 2016-10-20T18:15:23 --enforcementcount 0 &gt;&gt;C:\Users\stu\Documents\GitHub\eaglep3-reporting\EC\2016-10-20-refined-times.txt</v>
      </c>
      <c r="AI227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{"issue":{"subject":"","project_id":79,"tracker_id":40,"status_id":1,"priority_id":2,"assigned_to_id":23,"start_date":"2016-10-20","description":"","custom_fields":[{"id":1,"name":"Subdivision","value":"Other"},{"id":4,"name":"Milepost","value":"0.0917"},{"id":17,"name":"Train ID","value":"62-20"},{"id":16,"name":"Locomotive ID","value":"4008"},{"id":130,"name":"Impact","value":""},{"id":150,"name":"Time of Event (Mountain Time)","value":"18:15:23"},{"id":151,"name":"Denver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</sheetData>
  <autoFilter ref="A12:AG280">
    <sortState ref="A13:AG280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27">
    <cfRule type="cellIs" dxfId="10" priority="344" operator="equal">
      <formula>"Y"</formula>
    </cfRule>
  </conditionalFormatting>
  <conditionalFormatting sqref="X281:X1048576 X13:X227">
    <cfRule type="cellIs" dxfId="9" priority="327" operator="greaterThan">
      <formula>1</formula>
    </cfRule>
  </conditionalFormatting>
  <conditionalFormatting sqref="X281:X1048576 X12:X227">
    <cfRule type="cellIs" dxfId="8" priority="324" operator="equal">
      <formula>0</formula>
    </cfRule>
  </conditionalFormatting>
  <conditionalFormatting sqref="A13:S227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Values'!$C$2:$C$14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AD67"/>
  <sheetViews>
    <sheetView topLeftCell="A2" workbookViewId="0">
      <selection activeCell="N2" sqref="N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2">
        <f>COUNTIF($O$7:$O$369,"=Y")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3">
        <f>COUNTA($O$7:$O$369)-O2</f>
        <v>55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- 2016-10-20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4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42663.519652777781</v>
      </c>
      <c r="B7" s="31" t="s">
        <v>400</v>
      </c>
      <c r="C7" s="31" t="s">
        <v>414</v>
      </c>
      <c r="D7" s="31" t="s">
        <v>49</v>
      </c>
      <c r="E7" s="31" t="s">
        <v>155</v>
      </c>
      <c r="F7" s="47">
        <v>120</v>
      </c>
      <c r="G7" s="47">
        <v>176</v>
      </c>
      <c r="H7" s="47">
        <v>27429</v>
      </c>
      <c r="I7" s="47">
        <v>27315</v>
      </c>
      <c r="J7" s="31" t="s">
        <v>154</v>
      </c>
      <c r="K7" s="47">
        <v>27350</v>
      </c>
      <c r="L7" s="157" t="s">
        <v>51</v>
      </c>
      <c r="M7" s="158">
        <f t="shared" ref="M7:M38" si="0">CONVERT((I7-K7)/10000,"mi","ft")*IF(L7="Increasing Mileposts (1)",-1,1)</f>
        <v>-18.48</v>
      </c>
      <c r="N7" s="159" t="str">
        <f>VLOOKUP(C7,'Trips&amp;Operators'!$C$1:$E$99999,3,FALSE)</f>
        <v>BROWN</v>
      </c>
      <c r="O7" s="185" t="s">
        <v>248</v>
      </c>
      <c r="P7" s="160" t="s">
        <v>290</v>
      </c>
      <c r="Q7" s="31"/>
      <c r="R7" s="100" t="str">
        <f>VLOOKUP(C7,'Train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7" s="103" t="str">
        <f>VLOOKUP(C7,'Train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/stypes="*4037*201610201*" /stext=" 18:.+((SYSTEM_STATE.+slice.+state.+changed )|(ment ac)|(system.+state.+changed )|(\[timeout)|(PRM\|1\|D)|(kpr)|(kdp)|(\|lc)|(penalty))" /e /r /s</v>
      </c>
      <c r="U7" s="9" t="str">
        <f t="shared" ref="U7:U38" si="2">MID(B7,13,4)</f>
        <v>4037</v>
      </c>
      <c r="V7" s="36">
        <f t="shared" ref="V7:V38" si="3">A7+6/24</f>
        <v>42663.769652777781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arrival","project_id":79,"tracker_id":40,"status_id":1,"priority_id":2,"assigned_to_id":23,"start_date":"2016-10-20","description":"","custom_fields":[{"id":1,"name":"Subdivision","value":"EC"},{"id":4,"name":"Milepost","value":"2.735"},{"id":17,"name":"Train ID","value":"160-20"},{"id":16,"name":"Locomotive ID","value":"4037"},{"id":130,"name":"Impact","value":""},{"id":150,"name":"Time of Event (Mountain Time)","value":"12:28:18"},{"id":151,"name":"Denver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"%USERPROFILE%\AppData\Local\Temp\OnboardLogs"\RTDC4037\*4037*201610201* | grep -SE "((Enforcement Ac)|(PRM))" -</v>
      </c>
    </row>
    <row r="8" spans="1:29" s="1" customFormat="1" x14ac:dyDescent="0.25">
      <c r="A8" s="36">
        <v>42663.281319444446</v>
      </c>
      <c r="B8" s="31" t="s">
        <v>261</v>
      </c>
      <c r="C8" s="31" t="s">
        <v>394</v>
      </c>
      <c r="D8" s="31" t="s">
        <v>395</v>
      </c>
      <c r="E8" s="31" t="s">
        <v>155</v>
      </c>
      <c r="F8" s="47">
        <v>0</v>
      </c>
      <c r="G8" s="47">
        <v>288</v>
      </c>
      <c r="H8" s="47">
        <v>63308</v>
      </c>
      <c r="I8" s="47">
        <v>63975</v>
      </c>
      <c r="J8" s="31" t="s">
        <v>154</v>
      </c>
      <c r="K8" s="47">
        <v>63069</v>
      </c>
      <c r="L8" s="157" t="s">
        <v>50</v>
      </c>
      <c r="M8" s="158">
        <f t="shared" si="0"/>
        <v>-478.36799999999999</v>
      </c>
      <c r="N8" s="159" t="str">
        <f>VLOOKUP(C8,'Trips&amp;Operators'!$C$1:$E$99999,3,FALSE)</f>
        <v>ROCHA</v>
      </c>
      <c r="O8" s="185" t="s">
        <v>248</v>
      </c>
      <c r="P8" s="160" t="s">
        <v>290</v>
      </c>
      <c r="Q8" s="31"/>
      <c r="R8" s="100" t="str">
        <f>VLOOKUP(C8,'Train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8" s="103" t="str">
        <f>VLOOKUP(C8,'Train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8" s="105" t="str">
        <f t="shared" si="1"/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8" s="9" t="str">
        <f t="shared" si="2"/>
        <v>4042</v>
      </c>
      <c r="V8" s="36">
        <f t="shared" si="3"/>
        <v>42663.531319444446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arrival","project_id":79,"tracker_id":40,"status_id":1,"priority_id":2,"assigned_to_id":23,"start_date":"2016-10-20","description":"","custom_fields":[{"id":1,"name":"Subdivision","value":"EC"},{"id":4,"name":"Milepost","value":"6.3069"},{"id":17,"name":"Train ID","value":"123-20"},{"id":16,"name":"Locomotive ID","value":"4042"},{"id":130,"name":"Impact","value":""},{"id":150,"name":"Time of Event (Mountain Time)","value":"06:45:06"},{"id":151,"name":"Denver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"%USERPROFILE%\AppData\Local\Temp\OnboardLogs"\RTDC4042\*4042*201610201* | grep -SE "((Enforcement Ac)|(PRM))" -</v>
      </c>
    </row>
    <row r="9" spans="1:29" s="1" customFormat="1" x14ac:dyDescent="0.25">
      <c r="A9" s="36">
        <v>42664.070717592593</v>
      </c>
      <c r="B9" s="31" t="s">
        <v>431</v>
      </c>
      <c r="C9" s="31" t="s">
        <v>437</v>
      </c>
      <c r="D9" s="31" t="s">
        <v>49</v>
      </c>
      <c r="E9" s="31" t="s">
        <v>155</v>
      </c>
      <c r="F9" s="47">
        <v>0</v>
      </c>
      <c r="G9" s="47">
        <v>321</v>
      </c>
      <c r="H9" s="47">
        <v>78781</v>
      </c>
      <c r="I9" s="47">
        <v>78363</v>
      </c>
      <c r="J9" s="31" t="s">
        <v>154</v>
      </c>
      <c r="K9" s="47">
        <v>78469</v>
      </c>
      <c r="L9" s="157" t="s">
        <v>51</v>
      </c>
      <c r="M9" s="158">
        <f t="shared" si="0"/>
        <v>-55.968000000000004</v>
      </c>
      <c r="N9" s="159" t="str">
        <f>VLOOKUP(C9,'Trips&amp;Operators'!$C$1:$E$99999,3,FALSE)</f>
        <v>LEVIN</v>
      </c>
      <c r="O9" s="185" t="s">
        <v>248</v>
      </c>
      <c r="P9" s="160" t="s">
        <v>290</v>
      </c>
      <c r="Q9" s="31"/>
      <c r="R9" s="100" t="str">
        <f>VLOOKUP(C9,'Train Runs'!$A$13:$AE$10024,31,0)</f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S9" s="103" t="str">
        <f>VLOOKUP(C9,'Train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9" s="105" t="str">
        <f t="shared" si="1"/>
        <v>"C:\Program Files (x86)\AstroGrep\AstroGrep.exe" /spath="%USERPROFILE%\AppData\Local\Temp\OnboardLogs" /stypes="*4005*201610210*" /stext=" 07:.+((SYSTEM_STATE.+slice.+state.+changed )|(ment ac)|(system.+state.+changed )|(\[timeout)|(PRM\|1\|D)|(kpr)|(kdp)|(\|lc)|(penalty))" /e /r /s</v>
      </c>
      <c r="U9" s="9" t="str">
        <f t="shared" si="2"/>
        <v>4005</v>
      </c>
      <c r="V9" s="36">
        <f t="shared" si="3"/>
        <v>42664.320717592593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arrival","project_id":79,"tracker_id":40,"status_id":1,"priority_id":2,"assigned_to_id":23,"start_date":"2016-10-21","description":"","custom_fields":[{"id":1,"name":"Subdivision","value":"EC"},{"id":4,"name":"Milepost","value":"7.8469"},{"id":17,"name":"Train ID","value":"242-20"},{"id":16,"name":"Locomotive ID","value":"4005"},{"id":130,"name":"Impact","value":""},{"id":150,"name":"Time of Event (Mountain Time)","value":"01:41:50"},{"id":151,"name":"Denver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"%USERPROFILE%\AppData\Local\Temp\OnboardLogs"\RTDC4005\*4005*201610210* | grep -SE "((Enforcement Ac)|(PRM))" -</v>
      </c>
    </row>
    <row r="10" spans="1:29" s="1" customFormat="1" x14ac:dyDescent="0.25">
      <c r="A10" s="36">
        <v>42663.583819444444</v>
      </c>
      <c r="B10" s="31" t="s">
        <v>251</v>
      </c>
      <c r="C10" s="31" t="s">
        <v>417</v>
      </c>
      <c r="D10" s="31" t="s">
        <v>49</v>
      </c>
      <c r="E10" s="31" t="s">
        <v>249</v>
      </c>
      <c r="F10" s="47">
        <v>450</v>
      </c>
      <c r="G10" s="47">
        <v>504</v>
      </c>
      <c r="H10" s="47">
        <v>17145</v>
      </c>
      <c r="I10" s="47">
        <v>13555</v>
      </c>
      <c r="J10" s="31" t="s">
        <v>250</v>
      </c>
      <c r="K10" s="47">
        <v>15167</v>
      </c>
      <c r="L10" s="157" t="s">
        <v>51</v>
      </c>
      <c r="M10" s="158">
        <f t="shared" si="0"/>
        <v>-851.13599999999997</v>
      </c>
      <c r="N10" s="159" t="str">
        <f>VLOOKUP(C10,'Trips&amp;Operators'!$C$1:$E$99999,3,FALSE)</f>
        <v>STORY</v>
      </c>
      <c r="O10" s="185" t="s">
        <v>248</v>
      </c>
      <c r="P10" s="160"/>
      <c r="Q10" s="31"/>
      <c r="R10" s="100" t="str">
        <f>VLOOKUP(C10,'Train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10" s="103" t="str">
        <f>VLOOKUP(C10,'Train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5" t="str">
        <f t="shared" si="1"/>
        <v>"C:\Program Files (x86)\AstroGrep\AstroGrep.exe" /spath="%USERPROFILE%\AppData\Local\Temp\OnboardLogs" /stypes="*4017*201610202*" /stext=" 20:.+((SYSTEM_STATE.+slice.+state.+changed )|(ment ac)|(system.+state.+changed )|(\[timeout)|(PRM\|1\|D)|(kpr)|(kdp)|(\|lc)|(penalty))" /e /r /s</v>
      </c>
      <c r="U10" s="9" t="str">
        <f t="shared" si="2"/>
        <v>4017</v>
      </c>
      <c r="V10" s="36">
        <f t="shared" si="3"/>
        <v>42663.833819444444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{"issue":{"subject":"","project_id":79,"tracker_id":40,"status_id":1,"priority_id":2,"assigned_to_id":23,"start_date":"2016-10-20","description":"","custom_fields":[{"id":1,"name":"Subdivision","value":"EC"},{"id":4,"name":"Milepost","value":"1.5167"},{"id":17,"name":"Train ID","value":"172-20"},{"id":16,"name":"Locomotive ID","value":"4017"},{"id":130,"name":"Impact","value":""},{"id":150,"name":"Time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"%USERPROFILE%\AppData\Local\Temp\OnboardLogs"\RTDC4017\*4017*201610202* | grep -SE "((Enforcement Ac)|(PRM))" -</v>
      </c>
    </row>
    <row r="11" spans="1:29" s="1" customFormat="1" x14ac:dyDescent="0.25">
      <c r="A11" s="36">
        <v>42663.271990740737</v>
      </c>
      <c r="B11" s="31" t="s">
        <v>211</v>
      </c>
      <c r="C11" s="31" t="s">
        <v>393</v>
      </c>
      <c r="D11" s="31" t="s">
        <v>49</v>
      </c>
      <c r="E11" s="31" t="s">
        <v>249</v>
      </c>
      <c r="F11" s="47">
        <v>300</v>
      </c>
      <c r="G11" s="47">
        <v>394</v>
      </c>
      <c r="H11" s="47">
        <v>23098</v>
      </c>
      <c r="I11" s="47">
        <v>21820</v>
      </c>
      <c r="J11" s="31" t="s">
        <v>250</v>
      </c>
      <c r="K11" s="47">
        <v>21848</v>
      </c>
      <c r="L11" s="157" t="s">
        <v>51</v>
      </c>
      <c r="M11" s="158">
        <f t="shared" si="0"/>
        <v>-14.784000000000001</v>
      </c>
      <c r="N11" s="159" t="str">
        <f>VLOOKUP(C11,'Trips&amp;Operators'!$C$1:$E$99999,3,FALSE)</f>
        <v>STARKS</v>
      </c>
      <c r="O11" s="185" t="s">
        <v>248</v>
      </c>
      <c r="P11" s="160"/>
      <c r="Q11" s="31"/>
      <c r="R11" s="100" t="str">
        <f>VLOOKUP(C11,'Train Runs'!$A$13:$AE$10024,31,0)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S11" s="103" t="str">
        <f>VLOOKUP(C11,'Train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1" s="105" t="str">
        <f t="shared" si="1"/>
        <v>"C:\Program Files (x86)\AstroGrep\AstroGrep.exe" /spath="%USERPROFILE%\AppData\Local\Temp\OnboardLogs" /stypes="*4043*201610201*" /stext=" 12:.+((SYSTEM_STATE.+slice.+state.+changed )|(ment ac)|(system.+state.+changed )|(\[timeout)|(PRM\|1\|D)|(kpr)|(kdp)|(\|lc)|(penalty))" /e /r /s</v>
      </c>
      <c r="U11" s="9" t="str">
        <f t="shared" si="2"/>
        <v>4043</v>
      </c>
      <c r="V11" s="36">
        <f t="shared" si="3"/>
        <v>42663.521990740737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{"issue":{"subject":"","project_id":79,"tracker_id":40,"status_id":1,"priority_id":2,"assigned_to_id":23,"start_date":"2016-10-20","description":"","custom_fields":[{"id":1,"name":"Subdivision","value":"EC"},{"id":4,"name":"Milepost","value":"2.1848"},{"id":17,"name":"Train ID","value":"112-20"},{"id":16,"name":"Locomotive ID","value":"4043"},{"id":130,"name":"Impact","value":""},{"id":150,"name":"Time of Event (Mountain Time)","value":"06:31:40"},{"id":151,"name":"Denver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"%USERPROFILE%\AppData\Local\Temp\OnboardLogs"\RTDC4043\*4043*201610201* | grep -SE "((Enforcement Ac)|(PRM))" -</v>
      </c>
    </row>
    <row r="12" spans="1:29" s="1" customFormat="1" x14ac:dyDescent="0.25">
      <c r="A12" s="36">
        <v>42663.285937499997</v>
      </c>
      <c r="B12" s="31" t="s">
        <v>196</v>
      </c>
      <c r="C12" s="31" t="s">
        <v>396</v>
      </c>
      <c r="D12" s="31" t="s">
        <v>49</v>
      </c>
      <c r="E12" s="31" t="s">
        <v>249</v>
      </c>
      <c r="F12" s="47">
        <v>200</v>
      </c>
      <c r="G12" s="47">
        <v>299</v>
      </c>
      <c r="H12" s="47">
        <v>26587</v>
      </c>
      <c r="I12" s="47">
        <v>27135</v>
      </c>
      <c r="J12" s="31" t="s">
        <v>250</v>
      </c>
      <c r="K12" s="47">
        <v>27333</v>
      </c>
      <c r="L12" s="157" t="s">
        <v>50</v>
      </c>
      <c r="M12" s="158">
        <f t="shared" si="0"/>
        <v>104.544</v>
      </c>
      <c r="N12" s="159" t="str">
        <f>VLOOKUP(C12,'Trips&amp;Operators'!$C$1:$E$99999,3,FALSE)</f>
        <v>STARKS</v>
      </c>
      <c r="O12" s="185" t="s">
        <v>248</v>
      </c>
      <c r="P12" s="160"/>
      <c r="Q12" s="31"/>
      <c r="R12" s="100" t="str">
        <f>VLOOKUP(C12,'Train Runs'!$A$13:$AE$10024,31,0)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S12" s="103" t="str">
        <f>VLOOKUP(C12,'Train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/stypes="*4044*201610201*" /stext=" 12:.+((SYSTEM_STATE.+slice.+state.+changed )|(ment ac)|(system.+state.+changed )|(\[timeout)|(PRM\|1\|D)|(kpr)|(kdp)|(\|lc)|(penalty))" /e /r /s</v>
      </c>
      <c r="U12" s="9" t="str">
        <f t="shared" si="2"/>
        <v>4044</v>
      </c>
      <c r="V12" s="36">
        <f t="shared" si="3"/>
        <v>42663.535937499997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{"issue":{"subject":"","project_id":79,"tracker_id":40,"status_id":1,"priority_id":2,"assigned_to_id":23,"start_date":"2016-10-20","description":"","custom_fields":[{"id":1,"name":"Subdivision","value":"EC"},{"id":4,"name":"Milepost","value":"2.7333"},{"id":17,"name":"Train ID","value":"125-20"},{"id":16,"name":"Locomotive ID","value":"4044"},{"id":130,"name":"Impact","value":""},{"id":150,"name":"Time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"%USERPROFILE%\AppData\Local\Temp\OnboardLogs"\RTDC4044\*4044*201610201* | grep -SE "((Enforcement Ac)|(PRM))" -</v>
      </c>
    </row>
    <row r="13" spans="1:29" s="1" customFormat="1" x14ac:dyDescent="0.25">
      <c r="A13" s="36">
        <v>42664.029606481483</v>
      </c>
      <c r="B13" s="31" t="s">
        <v>403</v>
      </c>
      <c r="C13" s="31" t="s">
        <v>435</v>
      </c>
      <c r="D13" s="31" t="s">
        <v>49</v>
      </c>
      <c r="E13" s="31" t="s">
        <v>249</v>
      </c>
      <c r="F13" s="47">
        <v>400</v>
      </c>
      <c r="G13" s="47">
        <v>453</v>
      </c>
      <c r="H13" s="47">
        <v>115887</v>
      </c>
      <c r="I13" s="47">
        <v>117098</v>
      </c>
      <c r="J13" s="31" t="s">
        <v>250</v>
      </c>
      <c r="K13" s="47">
        <v>116838</v>
      </c>
      <c r="L13" s="157" t="s">
        <v>50</v>
      </c>
      <c r="M13" s="158">
        <f t="shared" si="0"/>
        <v>-137.28</v>
      </c>
      <c r="N13" s="159" t="str">
        <f>VLOOKUP(C13,'Trips&amp;Operators'!$C$1:$E$99999,3,FALSE)</f>
        <v>LEVIN</v>
      </c>
      <c r="O13" s="185" t="s">
        <v>248</v>
      </c>
      <c r="P13" s="160"/>
      <c r="Q13" s="31"/>
      <c r="R13" s="100" t="str">
        <f>VLOOKUP(C13,'Train Runs'!$A$13:$AE$10024,31,0)</f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S13" s="103" t="str">
        <f>VLOOKUP(C13,'Train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/stypes="*4006*201610210*" /stext=" 06:.+((SYSTEM_STATE.+slice.+state.+changed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42664.279606481483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{"issue":{"subject":"","project_id":79,"tracker_id":40,"status_id":1,"priority_id":2,"assigned_to_id":23,"start_date":"2016-10-21","description":"","custom_fields":[{"id":1,"name":"Subdivision","value":"EC"},{"id":4,"name":"Milepost","value":"11.6838"},{"id":17,"name":"Train ID","value":"241-20"},{"id":16,"name":"Locomotive ID","value":"4006"},{"id":130,"name":"Impact","value":""},{"id":150,"name":"Time of Event (Mountain Time)","value":"00:42:38"},{"id":151,"name":"Denver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"%USERPROFILE%\AppData\Local\Temp\OnboardLogs"\RTDC4006\*4006*201610210* | grep -SE "((Enforcement Ac)|(PRM))" -</v>
      </c>
    </row>
    <row r="14" spans="1:29" s="1" customFormat="1" x14ac:dyDescent="0.25">
      <c r="A14" s="36">
        <v>42663.488807870373</v>
      </c>
      <c r="B14" s="31" t="s">
        <v>403</v>
      </c>
      <c r="C14" s="31" t="s">
        <v>411</v>
      </c>
      <c r="D14" s="31" t="s">
        <v>98</v>
      </c>
      <c r="E14" s="31" t="s">
        <v>249</v>
      </c>
      <c r="F14" s="47">
        <v>700</v>
      </c>
      <c r="G14" s="47">
        <v>753</v>
      </c>
      <c r="H14" s="47">
        <v>166688</v>
      </c>
      <c r="I14" s="47">
        <v>169988</v>
      </c>
      <c r="J14" s="31" t="s">
        <v>250</v>
      </c>
      <c r="K14" s="47">
        <v>161962</v>
      </c>
      <c r="L14" s="157" t="s">
        <v>50</v>
      </c>
      <c r="M14" s="158">
        <f t="shared" si="0"/>
        <v>-4237.7280000000001</v>
      </c>
      <c r="N14" s="159" t="str">
        <f>VLOOKUP(C14,'Trips&amp;Operators'!$C$1:$E$99999,3,FALSE)</f>
        <v>SHOOK</v>
      </c>
      <c r="O14" s="185" t="s">
        <v>248</v>
      </c>
      <c r="P14" s="160"/>
      <c r="Q14" s="31"/>
      <c r="R14" s="100" t="str">
        <f>VLOOKUP(C14,'Train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4" s="103" t="str">
        <f>VLOOKUP(C14,'Train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42663.738807870373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ID","value":"161-20"},{"id":16,"name":"Locomotive ID","value":"4006"},{"id":130,"name":"Impact","value":""},{"id":150,"name":"Time of Event (Mountain Time)","value":"11:43:53"},{"id":151,"name":"Denver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"%USERPROFILE%\AppData\Local\Temp\OnboardLogs"\RTDC4006\*4006*201610201* | grep -SE "((Enforcement Ac)|(PRM))" -</v>
      </c>
    </row>
    <row r="15" spans="1:29" s="1" customFormat="1" x14ac:dyDescent="0.25">
      <c r="A15" s="36">
        <v>42663.780173611114</v>
      </c>
      <c r="B15" s="31" t="s">
        <v>403</v>
      </c>
      <c r="C15" s="31" t="s">
        <v>429</v>
      </c>
      <c r="D15" s="31" t="s">
        <v>98</v>
      </c>
      <c r="E15" s="31" t="s">
        <v>249</v>
      </c>
      <c r="F15" s="47">
        <v>700</v>
      </c>
      <c r="G15" s="47">
        <v>756</v>
      </c>
      <c r="H15" s="47">
        <v>164964</v>
      </c>
      <c r="I15" s="47">
        <v>168185</v>
      </c>
      <c r="J15" s="31" t="s">
        <v>250</v>
      </c>
      <c r="K15" s="47">
        <v>161962</v>
      </c>
      <c r="L15" s="157" t="s">
        <v>50</v>
      </c>
      <c r="M15" s="158">
        <f t="shared" si="0"/>
        <v>-3285.7440000000001</v>
      </c>
      <c r="N15" s="159" t="str">
        <f>VLOOKUP(C15,'Trips&amp;Operators'!$C$1:$E$99999,3,FALSE)</f>
        <v>LEVIN</v>
      </c>
      <c r="O15" s="185" t="s">
        <v>248</v>
      </c>
      <c r="P15" s="160"/>
      <c r="Q15" s="31"/>
      <c r="R15" s="100" t="str">
        <f>VLOOKUP(C15,'Train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5" s="103" t="str">
        <f>VLOOKUP(C15,'Train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5" s="105" t="str">
        <f t="shared" si="1"/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5" s="9" t="str">
        <f t="shared" si="2"/>
        <v>4006</v>
      </c>
      <c r="V15" s="36">
        <f t="shared" si="3"/>
        <v>42664.030173611114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"%USERPROFILE%\AppData\Local\Temp\OnboardLogs"\RTDC4006\*4006*201610210* | grep -SE "((Enforcement Ac)|(PRM))" -</v>
      </c>
    </row>
    <row r="16" spans="1:29" s="1" customFormat="1" x14ac:dyDescent="0.25">
      <c r="A16" s="36">
        <v>42663.7815625</v>
      </c>
      <c r="B16" s="31" t="s">
        <v>403</v>
      </c>
      <c r="C16" s="31" t="s">
        <v>429</v>
      </c>
      <c r="D16" s="31" t="s">
        <v>98</v>
      </c>
      <c r="E16" s="31" t="s">
        <v>249</v>
      </c>
      <c r="F16" s="47">
        <v>700</v>
      </c>
      <c r="G16" s="47">
        <v>755</v>
      </c>
      <c r="H16" s="47">
        <v>177142</v>
      </c>
      <c r="I16" s="47">
        <v>180184</v>
      </c>
      <c r="J16" s="31" t="s">
        <v>250</v>
      </c>
      <c r="K16" s="47">
        <v>161962</v>
      </c>
      <c r="L16" s="157" t="s">
        <v>50</v>
      </c>
      <c r="M16" s="158">
        <f t="shared" si="0"/>
        <v>-9621.2160000000003</v>
      </c>
      <c r="N16" s="159" t="str">
        <f>VLOOKUP(C16,'Trips&amp;Operators'!$C$1:$E$99999,3,FALSE)</f>
        <v>LEVIN</v>
      </c>
      <c r="O16" s="185" t="s">
        <v>248</v>
      </c>
      <c r="P16" s="160"/>
      <c r="Q16" s="31"/>
      <c r="R16" s="100" t="str">
        <f>VLOOKUP(C16,'Train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6" s="103" t="str">
        <f>VLOOKUP(C16,'Train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6" s="105" t="str">
        <f t="shared" si="1"/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6" s="9" t="str">
        <f t="shared" si="2"/>
        <v>4006</v>
      </c>
      <c r="V16" s="36">
        <f t="shared" si="3"/>
        <v>42664.0315625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"%USERPROFILE%\AppData\Local\Temp\OnboardLogs"\RTDC4006\*4006*201610210* | grep -SE "((Enforcement Ac)|(PRM))" -</v>
      </c>
    </row>
    <row r="17" spans="1:30" s="1" customFormat="1" x14ac:dyDescent="0.25">
      <c r="A17" s="36">
        <v>42663.878738425927</v>
      </c>
      <c r="B17" s="31" t="s">
        <v>431</v>
      </c>
      <c r="C17" s="31" t="s">
        <v>432</v>
      </c>
      <c r="D17" s="31" t="s">
        <v>98</v>
      </c>
      <c r="E17" s="31" t="s">
        <v>249</v>
      </c>
      <c r="F17" s="47">
        <v>600</v>
      </c>
      <c r="G17" s="47">
        <v>653</v>
      </c>
      <c r="H17" s="47">
        <v>184261</v>
      </c>
      <c r="I17" s="47">
        <v>181044</v>
      </c>
      <c r="J17" s="31" t="s">
        <v>250</v>
      </c>
      <c r="K17" s="47">
        <v>190834</v>
      </c>
      <c r="L17" s="157" t="s">
        <v>51</v>
      </c>
      <c r="M17" s="158">
        <f t="shared" si="0"/>
        <v>-5169.12</v>
      </c>
      <c r="N17" s="159" t="str">
        <f>VLOOKUP(C17,'Trips&amp;Operators'!$C$1:$E$99999,3,FALSE)</f>
        <v>LEVIN</v>
      </c>
      <c r="O17" s="185" t="s">
        <v>248</v>
      </c>
      <c r="P17" s="160"/>
      <c r="Q17" s="31"/>
      <c r="R17" s="100" t="str">
        <f>VLOOKUP(C17,'Train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17" s="103" t="str">
        <f>VLOOKUP(C17,'Train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7" s="105" t="str">
        <f t="shared" si="1"/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17" s="9" t="str">
        <f t="shared" si="2"/>
        <v>4005</v>
      </c>
      <c r="V17" s="36">
        <f t="shared" si="3"/>
        <v>42664.128738425927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{"issue":{"subject":"","project_id":79,"tracker_id":40,"status_id":1,"priority_id":2,"assigned_to_id":23,"start_date":"2016-10-20","description":"","custom_fields":[{"id":1,"name":"Subdivision","value":"EC"},{"id":4,"name":"Milepost","value":"19.0834"},{"id":17,"name":"Train ID","value":"226-20"},{"id":16,"name":"Locomotive ID","value":"4005"},{"id":130,"name":"Impact","value":""},{"id":150,"name":"Time of Event (Mountain Time)","value":"21:05:23"},{"id":151,"name":"Denver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"%USERPROFILE%\AppData\Local\Temp\OnboardLogs"\RTDC4005\*4005*201610210* | grep -SE "((Enforcement Ac)|(PRM))" -</v>
      </c>
    </row>
    <row r="18" spans="1:30" s="1" customFormat="1" x14ac:dyDescent="0.25">
      <c r="A18" s="36">
        <v>42663.491377314815</v>
      </c>
      <c r="B18" s="31" t="s">
        <v>403</v>
      </c>
      <c r="C18" s="31" t="s">
        <v>411</v>
      </c>
      <c r="D18" s="31" t="s">
        <v>98</v>
      </c>
      <c r="E18" s="31" t="s">
        <v>249</v>
      </c>
      <c r="F18" s="47">
        <v>750</v>
      </c>
      <c r="G18" s="47">
        <v>800</v>
      </c>
      <c r="H18" s="47">
        <v>197308</v>
      </c>
      <c r="I18" s="47">
        <v>200643</v>
      </c>
      <c r="J18" s="31" t="s">
        <v>250</v>
      </c>
      <c r="K18" s="47">
        <v>195049</v>
      </c>
      <c r="L18" s="157" t="s">
        <v>50</v>
      </c>
      <c r="M18" s="158">
        <f t="shared" si="0"/>
        <v>-2953.6320000000001</v>
      </c>
      <c r="N18" s="159" t="str">
        <f>VLOOKUP(C18,'Trips&amp;Operators'!$C$1:$E$99999,3,FALSE)</f>
        <v>SHOOK</v>
      </c>
      <c r="O18" s="185" t="s">
        <v>248</v>
      </c>
      <c r="P18" s="160"/>
      <c r="Q18" s="31"/>
      <c r="R18" s="100" t="str">
        <f>VLOOKUP(C18,'Train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8" s="103" t="str">
        <f>VLOOKUP(C18,'Train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8" s="105" t="str">
        <f t="shared" si="1"/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8" s="9" t="str">
        <f t="shared" si="2"/>
        <v>4006</v>
      </c>
      <c r="V18" s="36">
        <f t="shared" si="3"/>
        <v>42663.741377314815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{"issue":{"subject":"","project_id":79,"tracker_id":40,"status_id":1,"priority_id":2,"assigned_to_id":23,"start_date":"2016-10-20","description":"","custom_fields":[{"id":1,"name":"Subdivision","value":"EC"},{"id":4,"name":"Milepost","value":"19.5049"},{"id":17,"name":"Train ID","value":"161-20"},{"id":16,"name":"Locomotive ID","value":"4006"},{"id":130,"name":"Impact","value":""},{"id":150,"name":"Time of Event (Mountain Time)","value":"11:47:35"},{"id":151,"name":"Denver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"%USERPROFILE%\AppData\Local\Temp\OnboardLogs"\RTDC4006\*4006*201610201* | grep -SE "((Enforcement Ac)|(PRM))" -</v>
      </c>
    </row>
    <row r="19" spans="1:30" s="1" customFormat="1" x14ac:dyDescent="0.25">
      <c r="A19" s="36">
        <v>42663.296620370369</v>
      </c>
      <c r="B19" s="31" t="s">
        <v>261</v>
      </c>
      <c r="C19" s="31" t="s">
        <v>394</v>
      </c>
      <c r="D19" s="31" t="s">
        <v>49</v>
      </c>
      <c r="E19" s="31" t="s">
        <v>249</v>
      </c>
      <c r="F19" s="47">
        <v>350</v>
      </c>
      <c r="G19" s="47">
        <v>513</v>
      </c>
      <c r="H19" s="47">
        <v>223011</v>
      </c>
      <c r="I19" s="47">
        <v>224553</v>
      </c>
      <c r="J19" s="31" t="s">
        <v>250</v>
      </c>
      <c r="K19" s="47">
        <v>224578</v>
      </c>
      <c r="L19" s="157" t="s">
        <v>50</v>
      </c>
      <c r="M19" s="158">
        <f t="shared" si="0"/>
        <v>13.2</v>
      </c>
      <c r="N19" s="159" t="str">
        <f>VLOOKUP(C19,'Trips&amp;Operators'!$C$1:$E$99999,3,FALSE)</f>
        <v>ROCHA</v>
      </c>
      <c r="O19" s="185" t="s">
        <v>248</v>
      </c>
      <c r="P19" s="160"/>
      <c r="Q19" s="31"/>
      <c r="R19" s="100" t="str">
        <f>VLOOKUP(C19,'Train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19" s="103" t="str">
        <f>VLOOKUP(C19,'Train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9" s="105" t="str">
        <f t="shared" si="1"/>
        <v>"C:\Program Files (x86)\AstroGrep\AstroGrep.exe" /spath="%USERPROFILE%\AppData\Local\Temp\OnboardLogs" /stypes="*4042*201610201*" /stext=" 13:.+((SYSTEM_STATE.+slice.+state.+changed )|(ment ac)|(system.+state.+changed )|(\[timeout)|(PRM\|1\|D)|(kpr)|(kdp)|(\|lc)|(penalty))" /e /r /s</v>
      </c>
      <c r="U19" s="9" t="str">
        <f t="shared" si="2"/>
        <v>4042</v>
      </c>
      <c r="V19" s="36">
        <f t="shared" si="3"/>
        <v>42663.546620370369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{"issue":{"subject":"","project_id":79,"tracker_id":40,"status_id":1,"priority_id":2,"assigned_to_id":23,"start_date":"2016-10-20","description":"","custom_fields":[{"id":1,"name":"Subdivision","value":"EC"},{"id":4,"name":"Milepost","value":"22.4578"},{"id":17,"name":"Train ID","value":"123-20"},{"id":16,"name":"Locomotive ID","value":"4042"},{"id":130,"name":"Impact","value":""},{"id":150,"name":"Time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"%USERPROFILE%\AppData\Local\Temp\OnboardLogs"\RTDC4042\*4042*201610201* | grep -SE "((Enforcement Ac)|(PRM))" -</v>
      </c>
    </row>
    <row r="20" spans="1:30" x14ac:dyDescent="0.25">
      <c r="A20" s="36">
        <v>42663.690879629627</v>
      </c>
      <c r="B20" s="31" t="s">
        <v>188</v>
      </c>
      <c r="C20" s="31" t="s">
        <v>422</v>
      </c>
      <c r="D20" s="31" t="s">
        <v>49</v>
      </c>
      <c r="E20" s="31" t="s">
        <v>249</v>
      </c>
      <c r="F20" s="47">
        <v>150</v>
      </c>
      <c r="G20" s="47">
        <v>218</v>
      </c>
      <c r="H20" s="47">
        <v>229709</v>
      </c>
      <c r="I20" s="47">
        <v>230304</v>
      </c>
      <c r="J20" s="31" t="s">
        <v>250</v>
      </c>
      <c r="K20" s="47">
        <v>230436</v>
      </c>
      <c r="L20" s="157" t="s">
        <v>50</v>
      </c>
      <c r="M20" s="158">
        <f t="shared" si="0"/>
        <v>69.695999999999998</v>
      </c>
      <c r="N20" s="159" t="str">
        <f>VLOOKUP(C20,'Trips&amp;Operators'!$C$1:$E$99999,3,FALSE)</f>
        <v>STORY</v>
      </c>
      <c r="O20" s="185" t="s">
        <v>248</v>
      </c>
      <c r="P20" s="160"/>
      <c r="Q20" s="31"/>
      <c r="R20" s="100" t="str">
        <f>VLOOKUP(C20,'Train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20" s="103" t="str">
        <f>VLOOKUP(C20,'Train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0" s="105" t="str">
        <f t="shared" si="1"/>
        <v>"C:\Program Files (x86)\AstroGrep\AstroGrep.exe" /spath="%USERPROFILE%\AppData\Local\Temp\OnboardLogs" /stypes="*4018*201610202*" /stext=" 22:.+((SYSTEM_STATE.+slice.+state.+changed )|(ment ac)|(system.+state.+changed )|(\[timeout)|(PRM\|1\|D)|(kpr)|(kdp)|(\|lc)|(penalty))" /e /r /s</v>
      </c>
      <c r="U20" s="9" t="str">
        <f t="shared" si="2"/>
        <v>4018</v>
      </c>
      <c r="V20" s="36">
        <f t="shared" si="3"/>
        <v>42663.940879629627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ID","value":"199-20"},{"id":16,"name":"Locomotive ID","value":"4018"},{"id":130,"name":"Impact","value":""},{"id":150,"name":"Time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"%USERPROFILE%\AppData\Local\Temp\OnboardLogs"\RTDC4018\*4018*201610202* | grep -SE "((Enforcement Ac)|(PRM))" -</v>
      </c>
      <c r="AD20" s="1"/>
    </row>
    <row r="21" spans="1:30" s="1" customFormat="1" x14ac:dyDescent="0.25">
      <c r="A21" s="36">
        <v>42663.732094907406</v>
      </c>
      <c r="B21" s="31" t="s">
        <v>261</v>
      </c>
      <c r="C21" s="31" t="s">
        <v>425</v>
      </c>
      <c r="D21" s="31" t="s">
        <v>49</v>
      </c>
      <c r="E21" s="31" t="s">
        <v>249</v>
      </c>
      <c r="F21" s="47">
        <v>150</v>
      </c>
      <c r="G21" s="47">
        <v>334</v>
      </c>
      <c r="H21" s="47">
        <v>229130</v>
      </c>
      <c r="I21" s="47">
        <v>229745</v>
      </c>
      <c r="J21" s="31" t="s">
        <v>250</v>
      </c>
      <c r="K21" s="47">
        <v>230436</v>
      </c>
      <c r="L21" s="157" t="s">
        <v>50</v>
      </c>
      <c r="M21" s="158">
        <f t="shared" si="0"/>
        <v>364.84800000000001</v>
      </c>
      <c r="N21" s="159" t="str">
        <f>VLOOKUP(C21,'Trips&amp;Operators'!$C$1:$E$99999,3,FALSE)</f>
        <v>NEWELL</v>
      </c>
      <c r="O21" s="185" t="s">
        <v>248</v>
      </c>
      <c r="P21" s="160"/>
      <c r="Q21" s="31"/>
      <c r="R21" s="100" t="str">
        <f>VLOOKUP(C21,'Train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1" s="103" t="str">
        <f>VLOOKUP(C21,'Train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1" s="105" t="str">
        <f t="shared" si="1"/>
        <v>"C:\Program Files (x86)\AstroGrep\AstroGrep.exe" /spath="%USERPROFILE%\AppData\Local\Temp\OnboardLogs" /stypes="*4042*201610202*" /stext=" 23:.+((SYSTEM_STATE.+slice.+state.+changed )|(ment ac)|(system.+state.+changed )|(\[timeout)|(PRM\|1\|D)|(kpr)|(kdp)|(\|lc)|(penalty))" /e /r /s</v>
      </c>
      <c r="U21" s="9" t="str">
        <f t="shared" si="2"/>
        <v>4042</v>
      </c>
      <c r="V21" s="36">
        <f t="shared" si="3"/>
        <v>42663.982094907406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ID","value":"207-20"},{"id":16,"name":"Locomotive ID","value":"4042"},{"id":130,"name":"Impact","value":""},{"id":150,"name":"Time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"%USERPROFILE%\AppData\Local\Temp\OnboardLogs"\RTDC4042\*4042*201610202* | grep -SE "((Enforcement Ac)|(PRM))" -</v>
      </c>
    </row>
    <row r="22" spans="1:30" x14ac:dyDescent="0.25">
      <c r="A22" s="36">
        <v>42663.396157407406</v>
      </c>
      <c r="B22" s="31" t="s">
        <v>403</v>
      </c>
      <c r="C22" s="31" t="s">
        <v>404</v>
      </c>
      <c r="D22" s="31" t="s">
        <v>49</v>
      </c>
      <c r="E22" s="31" t="s">
        <v>252</v>
      </c>
      <c r="F22" s="47">
        <v>0</v>
      </c>
      <c r="G22" s="47">
        <v>131</v>
      </c>
      <c r="H22" s="47">
        <v>896</v>
      </c>
      <c r="I22" s="47">
        <v>1023</v>
      </c>
      <c r="J22" s="31" t="s">
        <v>253</v>
      </c>
      <c r="K22" s="47">
        <v>1692</v>
      </c>
      <c r="L22" s="157" t="s">
        <v>50</v>
      </c>
      <c r="M22" s="158">
        <f t="shared" si="0"/>
        <v>353.23200000000003</v>
      </c>
      <c r="N22" s="159" t="str">
        <f>VLOOKUP(C22,'Trips&amp;Operators'!$C$1:$E$99999,3,FALSE)</f>
        <v>SANTIZO</v>
      </c>
      <c r="O22" s="185" t="s">
        <v>248</v>
      </c>
      <c r="P22" s="160" t="s">
        <v>773</v>
      </c>
      <c r="Q22" s="31"/>
      <c r="R22" s="100" t="str">
        <f>VLOOKUP(C22,'Train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2" s="103" t="str">
        <f>VLOOKUP(C22,'Train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2" s="105" t="str">
        <f t="shared" si="1"/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2" s="9" t="str">
        <f t="shared" si="2"/>
        <v>4006</v>
      </c>
      <c r="V22" s="36">
        <f t="shared" si="3"/>
        <v>42663.646157407406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"%USERPROFILE%\AppData\Local\Temp\OnboardLogs"\RTDC4006\*4006*201610201* | grep -SE "((Enforcement Ac)|(PRM))" -</v>
      </c>
      <c r="AD22" s="1"/>
    </row>
    <row r="23" spans="1:30" x14ac:dyDescent="0.25">
      <c r="A23" s="36">
        <v>42663.397037037037</v>
      </c>
      <c r="B23" s="31" t="s">
        <v>403</v>
      </c>
      <c r="C23" s="31" t="s">
        <v>404</v>
      </c>
      <c r="D23" s="31" t="s">
        <v>49</v>
      </c>
      <c r="E23" s="31" t="s">
        <v>252</v>
      </c>
      <c r="F23" s="47">
        <v>0</v>
      </c>
      <c r="G23" s="47">
        <v>51</v>
      </c>
      <c r="H23" s="47">
        <v>1512</v>
      </c>
      <c r="I23" s="47">
        <v>1581</v>
      </c>
      <c r="J23" s="31" t="s">
        <v>253</v>
      </c>
      <c r="K23" s="47">
        <v>1692</v>
      </c>
      <c r="L23" s="157" t="s">
        <v>50</v>
      </c>
      <c r="M23" s="158">
        <f t="shared" si="0"/>
        <v>58.607999999999997</v>
      </c>
      <c r="N23" s="159" t="str">
        <f>VLOOKUP(C23,'Trips&amp;Operators'!$C$1:$E$99999,3,FALSE)</f>
        <v>SANTIZO</v>
      </c>
      <c r="O23" s="185" t="s">
        <v>248</v>
      </c>
      <c r="P23" s="160" t="s">
        <v>773</v>
      </c>
      <c r="Q23" s="31"/>
      <c r="R23" s="100" t="str">
        <f>VLOOKUP(C23,'Train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3" s="103" t="str">
        <f>VLOOKUP(C23,'Train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3" s="105" t="str">
        <f t="shared" si="1"/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3" s="9" t="str">
        <f t="shared" si="2"/>
        <v>4006</v>
      </c>
      <c r="V23" s="36">
        <f t="shared" si="3"/>
        <v>42663.647037037037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"%USERPROFILE%\AppData\Local\Temp\OnboardLogs"\RTDC4006\*4006*201610201* | grep -SE "((Enforcement Ac)|(PRM))" -</v>
      </c>
      <c r="AD23" s="1"/>
    </row>
    <row r="24" spans="1:30" x14ac:dyDescent="0.25">
      <c r="A24" s="36">
        <v>42663.283993055556</v>
      </c>
      <c r="B24" s="31" t="s">
        <v>261</v>
      </c>
      <c r="C24" s="31" t="s">
        <v>394</v>
      </c>
      <c r="D24" s="31" t="s">
        <v>49</v>
      </c>
      <c r="E24" s="31" t="s">
        <v>252</v>
      </c>
      <c r="F24" s="47">
        <v>0</v>
      </c>
      <c r="G24" s="47">
        <v>775</v>
      </c>
      <c r="H24" s="47">
        <v>80578</v>
      </c>
      <c r="I24" s="47">
        <v>84618</v>
      </c>
      <c r="J24" s="31" t="s">
        <v>253</v>
      </c>
      <c r="K24" s="47">
        <v>81738</v>
      </c>
      <c r="L24" s="157" t="s">
        <v>50</v>
      </c>
      <c r="M24" s="158">
        <f t="shared" si="0"/>
        <v>-1520.64</v>
      </c>
      <c r="N24" s="159" t="str">
        <f>VLOOKUP(C24,'Trips&amp;Operators'!$C$1:$E$99999,3,FALSE)</f>
        <v>ROCHA</v>
      </c>
      <c r="O24" s="185" t="s">
        <v>358</v>
      </c>
      <c r="P24" s="160" t="s">
        <v>391</v>
      </c>
      <c r="Q24" s="31"/>
      <c r="R24" s="100" t="str">
        <f>VLOOKUP(C24,'Train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4" s="103" t="str">
        <f>VLOOKUP(C24,'Train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 t="shared" si="1"/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24" s="9" t="str">
        <f t="shared" si="2"/>
        <v>4042</v>
      </c>
      <c r="V24" s="36">
        <f t="shared" si="3"/>
        <v>42663.533993055556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{"issue":{"subject":"Wi-MAX outage","project_id":79,"tracker_id":40,"status_id":1,"priority_id":2,"assigned_to_id":23,"start_date":"2016-10-20","description":"http://stevetu21.github.io/eaglep3/load_kml.html?kml=http://rtdc.gmaps-snips.s3.amazonaws.com/816c19f7-d56c-404e-99b6-09b90689a8db.kml","custom_fields":[{"id":1,"name":"Subdivision","value":"EC"},{"id":4,"name":"Milepost","value":"8.1738"},{"id":17,"name":"Train ID","value":"123-20"},{"id":16,"name":"Locomotive ID","value":"4042"},{"id":130,"name":"Impact","value":"Enforcement"},{"id":150,"name":"Time of Event (Mountain Time)","value":"06:48:57"},{"id":151,"name":"Denver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1" t="s">
        <v>778</v>
      </c>
      <c r="AA24" s="53" t="s">
        <v>126</v>
      </c>
      <c r="AB24" s="53" t="s">
        <v>139</v>
      </c>
      <c r="AC24" s="141" t="str">
        <f t="shared" si="7"/>
        <v>grep -hSE -A100 "Enforcement Action" "%USERPROFILE%\AppData\Local\Temp\OnboardLogs"\RTDC4042\*4042*201610201* | grep -SE "((Enforcement Ac)|(PRM))" -</v>
      </c>
      <c r="AD24" s="1"/>
    </row>
    <row r="25" spans="1:30" ht="15" customHeight="1" x14ac:dyDescent="0.25">
      <c r="A25" s="36">
        <v>42663.392025462963</v>
      </c>
      <c r="B25" s="31" t="s">
        <v>263</v>
      </c>
      <c r="C25" s="31" t="s">
        <v>402</v>
      </c>
      <c r="D25" s="31" t="s">
        <v>49</v>
      </c>
      <c r="E25" s="31" t="s">
        <v>252</v>
      </c>
      <c r="F25" s="47">
        <v>0</v>
      </c>
      <c r="G25" s="47">
        <v>407</v>
      </c>
      <c r="H25" s="47">
        <v>130233</v>
      </c>
      <c r="I25" s="47">
        <v>128850</v>
      </c>
      <c r="J25" s="31" t="s">
        <v>253</v>
      </c>
      <c r="K25" s="47">
        <v>127587</v>
      </c>
      <c r="L25" s="157" t="s">
        <v>51</v>
      </c>
      <c r="M25" s="158">
        <f t="shared" si="0"/>
        <v>666.86400000000003</v>
      </c>
      <c r="N25" s="159" t="str">
        <f>VLOOKUP(C25,'Trips&amp;Operators'!$C$1:$E$99999,3,FALSE)</f>
        <v>ROCHA</v>
      </c>
      <c r="O25" s="185" t="s">
        <v>248</v>
      </c>
      <c r="P25" s="160" t="s">
        <v>390</v>
      </c>
      <c r="Q25" s="31"/>
      <c r="R25" s="100" t="str">
        <f>VLOOKUP(C25,'Train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5" s="103" t="str">
        <f>VLOOKUP(C25,'Train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/stypes="*4041*201610201*" /stext=" 15:.+((SYSTEM_STATE.+slice.+state.+changed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42663.642025462963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{"issue":{"subject":"40th 4S STOP, cleared afterward","project_id":79,"tracker_id":40,"status_id":1,"priority_id":2,"assigned_to_id":23,"start_date":"2016-10-20","description":"","custom_fields":[{"id":1,"name":"Subdivision","value":"EC"},{"id":4,"name":"Milepost","value":"12.7587"},{"id":17,"name":"Train ID","value":"138-20"},{"id":16,"name":"Locomotive ID","value":"4041"},{"id":130,"name":"Impact","value":""},{"id":150,"name":"Time of Event (Mountain Time)","value":"09:24:31"},{"id":151,"name":"Denver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"%USERPROFILE%\AppData\Local\Temp\OnboardLogs"\RTDC4041\*4041*201610201* | grep -SE "((Enforcement Ac)|(PRM))" -</v>
      </c>
      <c r="AD25" s="1"/>
    </row>
    <row r="26" spans="1:30" x14ac:dyDescent="0.25">
      <c r="A26" s="36">
        <v>42663.604988425926</v>
      </c>
      <c r="B26" s="31" t="s">
        <v>263</v>
      </c>
      <c r="C26" s="31" t="s">
        <v>418</v>
      </c>
      <c r="D26" s="31" t="s">
        <v>49</v>
      </c>
      <c r="E26" s="31" t="s">
        <v>252</v>
      </c>
      <c r="F26" s="47">
        <v>0</v>
      </c>
      <c r="G26" s="47">
        <v>347</v>
      </c>
      <c r="H26" s="47">
        <v>193286</v>
      </c>
      <c r="I26" s="47">
        <v>192462</v>
      </c>
      <c r="J26" s="31" t="s">
        <v>253</v>
      </c>
      <c r="K26" s="47">
        <v>191723</v>
      </c>
      <c r="L26" s="157" t="s">
        <v>51</v>
      </c>
      <c r="M26" s="158">
        <f t="shared" si="0"/>
        <v>390.19200000000001</v>
      </c>
      <c r="N26" s="159" t="str">
        <f>VLOOKUP(C26,'Trips&amp;Operators'!$C$1:$E$99999,3,FALSE)</f>
        <v>NEWELL</v>
      </c>
      <c r="O26" s="185" t="s">
        <v>248</v>
      </c>
      <c r="P26" s="160" t="s">
        <v>291</v>
      </c>
      <c r="Q26" s="31"/>
      <c r="R26" s="100" t="str">
        <f>VLOOKUP(C26,'Train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6" s="103" t="str">
        <f>VLOOKUP(C26,'Train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/stypes="*4041*201610202*" /stext=" 20:.+((SYSTEM_STATE.+slice.+state.+changed )|(ment ac)|(system.+state.+changed )|(\[timeout)|(PRM\|1\|D)|(kpr)|(kdp)|(\|lc)|(penalty))" /e /r /s</v>
      </c>
      <c r="U26" s="9" t="str">
        <f t="shared" si="2"/>
        <v>4041</v>
      </c>
      <c r="V26" s="36">
        <f t="shared" si="3"/>
        <v>42663.854988425926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{"issue":{"subject":"Pena 4S STOP, cleared afterward","project_id":79,"tracker_id":40,"status_id":1,"priority_id":2,"assigned_to_id":23,"start_date":"2016-10-20","description":"","custom_fields":[{"id":1,"name":"Subdivision","value":"EC"},{"id":4,"name":"Milepost","value":"19.1723"},{"id":17,"name":"Train ID","value":"180-20"},{"id":16,"name":"Locomotive ID","value":"4041"},{"id":130,"name":"Impact","value":""},{"id":150,"name":"Time of Event (Mountain Time)","value":"14:31:11"},{"id":151,"name":"Denver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"%USERPROFILE%\AppData\Local\Temp\OnboardLogs"\RTDC4041\*4041*201610202* | grep -SE "((Enforcement Ac)|(PRM))" -</v>
      </c>
      <c r="AD26" s="1"/>
    </row>
    <row r="27" spans="1:30" x14ac:dyDescent="0.25">
      <c r="A27" s="36">
        <v>42663.991967592592</v>
      </c>
      <c r="B27" s="31" t="s">
        <v>280</v>
      </c>
      <c r="C27" s="31" t="s">
        <v>433</v>
      </c>
      <c r="D27" s="31" t="s">
        <v>98</v>
      </c>
      <c r="E27" s="31" t="s">
        <v>434</v>
      </c>
      <c r="F27" s="47">
        <v>400</v>
      </c>
      <c r="G27" s="47">
        <v>452</v>
      </c>
      <c r="H27" s="47">
        <v>66602</v>
      </c>
      <c r="I27" s="47">
        <v>68212</v>
      </c>
      <c r="J27" s="31" t="s">
        <v>154</v>
      </c>
      <c r="K27" s="47">
        <v>55700</v>
      </c>
      <c r="L27" s="157" t="s">
        <v>50</v>
      </c>
      <c r="M27" s="158">
        <f t="shared" si="0"/>
        <v>-6606.3360000000002</v>
      </c>
      <c r="N27" s="159" t="str">
        <f>VLOOKUP(C27,'Trips&amp;Operators'!$C$1:$E$99999,3,FALSE)</f>
        <v>DELGADO</v>
      </c>
      <c r="O27" s="185" t="s">
        <v>248</v>
      </c>
      <c r="P27" s="160"/>
      <c r="Q27" s="31"/>
      <c r="R27" s="100" t="str">
        <f>VLOOKUP(C27,'Train Runs'!$A$13:$AE$10024,31,0)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S27" s="103" t="str">
        <f>VLOOKUP(C27,'Train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7" s="105" t="str">
        <f t="shared" si="1"/>
        <v>"C:\Program Files (x86)\AstroGrep\AstroGrep.exe" /spath="%USERPROFILE%\AppData\Local\Temp\OnboardLogs" /stypes="*4029*201610210*" /stext=" 05:.+((SYSTEM_STATE.+slice.+state.+changed )|(ment ac)|(system.+state.+changed )|(\[timeout)|(PRM\|1\|D)|(kpr)|(kdp)|(\|lc)|(penalty))" /e /r /s</v>
      </c>
      <c r="U27" s="9" t="str">
        <f t="shared" si="2"/>
        <v>4029</v>
      </c>
      <c r="V27" s="36">
        <f t="shared" si="3"/>
        <v>42664.241967592592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{"issue":{"subject":"","project_id":79,"tracker_id":40,"status_id":1,"priority_id":2,"assigned_to_id":23,"start_date":"2016-10-20","description":"","custom_fields":[{"id":1,"name":"Subdivision","value":"EC"},{"id":4,"name":"Milepost","value":"5.57"},{"id":17,"name":"Train ID","value":"239-20"},{"id":16,"name":"Locomotive ID","value":"4029"},{"id":130,"name":"Impact","value":""},{"id":150,"name":"Time of Event (Mountain Time)","value":"23:48:26"},{"id":151,"name":"Denver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"%USERPROFILE%\AppData\Local\Temp\OnboardLogs"\RTDC4029\*4029*201610210* | grep -SE "((Enforcement Ac)|(PRM))" -</v>
      </c>
      <c r="AD27" s="1"/>
    </row>
    <row r="28" spans="1:30" x14ac:dyDescent="0.25">
      <c r="A28" s="36">
        <v>42663.36787037037</v>
      </c>
      <c r="B28" s="31" t="s">
        <v>251</v>
      </c>
      <c r="C28" s="31" t="s">
        <v>399</v>
      </c>
      <c r="D28" s="31" t="s">
        <v>49</v>
      </c>
      <c r="E28" s="31" t="s">
        <v>254</v>
      </c>
      <c r="F28" s="47">
        <v>0</v>
      </c>
      <c r="G28" s="47">
        <v>75</v>
      </c>
      <c r="H28" s="47">
        <v>267</v>
      </c>
      <c r="I28" s="47">
        <v>185</v>
      </c>
      <c r="J28" s="31" t="s">
        <v>255</v>
      </c>
      <c r="K28" s="47">
        <v>1</v>
      </c>
      <c r="L28" s="157" t="s">
        <v>51</v>
      </c>
      <c r="M28" s="158">
        <f t="shared" si="0"/>
        <v>97.152000000000001</v>
      </c>
      <c r="N28" s="159" t="str">
        <f>VLOOKUP(C28,'Trips&amp;Operators'!$C$1:$E$99999,3,FALSE)</f>
        <v>BRANNON</v>
      </c>
      <c r="O28" s="185" t="s">
        <v>248</v>
      </c>
      <c r="P28" s="160"/>
      <c r="Q28" s="31"/>
      <c r="R28" s="100" t="str">
        <f>VLOOKUP(C28,'Train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28" s="103" t="str">
        <f>VLOOKUP(C28,'Train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5" t="str">
        <f t="shared" si="1"/>
        <v>"C:\Program Files (x86)\AstroGrep\AstroGrep.exe" /spath="%USERPROFILE%\AppData\Local\Temp\OnboardLogs" /stypes="*4017*201610201*" /stext=" 14:.+((SYSTEM_STATE.+slice.+state.+changed )|(ment ac)|(system.+state.+changed )|(\[timeout)|(PRM\|1\|D)|(kpr)|(kdp)|(\|lc)|(penalty))" /e /r /s</v>
      </c>
      <c r="U28" s="9" t="str">
        <f t="shared" si="2"/>
        <v>4017</v>
      </c>
      <c r="V28" s="36">
        <f t="shared" si="3"/>
        <v>42663.61787037037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ID","value":"130-20"},{"id":16,"name":"Locomotive ID","value":"4017"},{"id":130,"name":"Impact","value":""},{"id":150,"name":"Time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"%USERPROFILE%\AppData\Local\Temp\OnboardLogs"\RTDC4017\*4017*201610201* | grep -SE "((Enforcement Ac)|(PRM))" -</v>
      </c>
      <c r="AD28" s="1"/>
    </row>
    <row r="29" spans="1:30" x14ac:dyDescent="0.25">
      <c r="A29" s="36">
        <v>42663.379594907405</v>
      </c>
      <c r="B29" s="31" t="s">
        <v>400</v>
      </c>
      <c r="C29" s="31" t="s">
        <v>401</v>
      </c>
      <c r="D29" s="31" t="s">
        <v>49</v>
      </c>
      <c r="E29" s="31" t="s">
        <v>254</v>
      </c>
      <c r="F29" s="47">
        <v>0</v>
      </c>
      <c r="G29" s="47">
        <v>47</v>
      </c>
      <c r="H29" s="47">
        <v>152</v>
      </c>
      <c r="I29" s="47">
        <v>114</v>
      </c>
      <c r="J29" s="31" t="s">
        <v>255</v>
      </c>
      <c r="K29" s="47">
        <v>1</v>
      </c>
      <c r="L29" s="157" t="s">
        <v>51</v>
      </c>
      <c r="M29" s="158">
        <f t="shared" si="0"/>
        <v>59.664000000000001</v>
      </c>
      <c r="N29" s="159" t="str">
        <f>VLOOKUP(C29,'Trips&amp;Operators'!$C$1:$E$99999,3,FALSE)</f>
        <v>SPECTOR</v>
      </c>
      <c r="O29" s="185" t="s">
        <v>248</v>
      </c>
      <c r="P29" s="160"/>
      <c r="Q29" s="31"/>
      <c r="R29" s="100" t="str">
        <f>VLOOKUP(C29,'Train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29" s="103" t="str">
        <f>VLOOKUP(C29,'Train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 t="shared" si="1"/>
        <v>"C:\Program Files (x86)\AstroGrep\AstroGrep.exe" /spath="%USERPROFILE%\AppData\Local\Temp\OnboardLogs" /stypes="*4037*201610201*" /stext=" 15:.+((SYSTEM_STATE.+slice.+state.+changed )|(ment ac)|(system.+state.+changed )|(\[timeout)|(PRM\|1\|D)|(kpr)|(kdp)|(\|lc)|(penalty))" /e /r /s</v>
      </c>
      <c r="U29" s="9" t="str">
        <f t="shared" si="2"/>
        <v>4037</v>
      </c>
      <c r="V29" s="36">
        <f t="shared" si="3"/>
        <v>42663.629594907405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"%USERPROFILE%\AppData\Local\Temp\OnboardLogs"\RTDC4037\*4037*201610201* | grep -SE "((Enforcement Ac)|(PRM))" -</v>
      </c>
      <c r="AD29" s="1"/>
    </row>
    <row r="30" spans="1:30" x14ac:dyDescent="0.25">
      <c r="A30" s="36">
        <v>42663.671134259261</v>
      </c>
      <c r="B30" s="31" t="s">
        <v>400</v>
      </c>
      <c r="C30" s="31" t="s">
        <v>419</v>
      </c>
      <c r="D30" s="31" t="s">
        <v>49</v>
      </c>
      <c r="E30" s="31" t="s">
        <v>254</v>
      </c>
      <c r="F30" s="47">
        <v>0</v>
      </c>
      <c r="G30" s="47">
        <v>60</v>
      </c>
      <c r="H30" s="47">
        <v>209</v>
      </c>
      <c r="I30" s="47">
        <v>147</v>
      </c>
      <c r="J30" s="31" t="s">
        <v>255</v>
      </c>
      <c r="K30" s="47">
        <v>1</v>
      </c>
      <c r="L30" s="157" t="s">
        <v>51</v>
      </c>
      <c r="M30" s="158">
        <f t="shared" si="0"/>
        <v>77.087999999999994</v>
      </c>
      <c r="N30" s="159" t="str">
        <f>VLOOKUP(C30,'Trips&amp;Operators'!$C$1:$E$99999,3,FALSE)</f>
        <v>BONDS</v>
      </c>
      <c r="O30" s="185" t="s">
        <v>248</v>
      </c>
      <c r="P30" s="160"/>
      <c r="Q30" s="31"/>
      <c r="R30" s="100" t="str">
        <f>VLOOKUP(C30,'Train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30" s="103" t="str">
        <f>VLOOKUP(C30,'Train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0" s="105" t="str">
        <f t="shared" si="1"/>
        <v>"C:\Program Files (x86)\AstroGrep\AstroGrep.exe" /spath="%USERPROFILE%\AppData\Local\Temp\OnboardLogs" /stypes="*4037*201610202*" /stext=" 22:.+((SYSTEM_STATE.+slice.+state.+changed )|(ment ac)|(system.+state.+changed )|(\[timeout)|(PRM\|1\|D)|(kpr)|(kdp)|(\|lc)|(penalty))" /e /r /s</v>
      </c>
      <c r="U30" s="9" t="str">
        <f t="shared" si="2"/>
        <v>4037</v>
      </c>
      <c r="V30" s="36">
        <f t="shared" si="3"/>
        <v>42663.921134259261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ID","value":"188-20"},{"id":16,"name":"Locomotive ID","value":"4037"},{"id":130,"name":"Impact","value":""},{"id":150,"name":"Time of Event (Mountain Time)","value":"16:06:26"},{"id":151,"name":"Denver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"%USERPROFILE%\AppData\Local\Temp\OnboardLogs"\RTDC4037\*4037*201610202* | grep -SE "((Enforcement Ac)|(PRM))" -</v>
      </c>
      <c r="AD30" s="1"/>
    </row>
    <row r="31" spans="1:30" ht="15" customHeight="1" x14ac:dyDescent="0.25">
      <c r="A31" s="36">
        <v>42663.901377314818</v>
      </c>
      <c r="B31" s="31" t="s">
        <v>431</v>
      </c>
      <c r="C31" s="31" t="s">
        <v>432</v>
      </c>
      <c r="D31" s="31" t="s">
        <v>49</v>
      </c>
      <c r="E31" s="31" t="s">
        <v>254</v>
      </c>
      <c r="F31" s="47">
        <v>0</v>
      </c>
      <c r="G31" s="47">
        <v>62</v>
      </c>
      <c r="H31" s="47">
        <v>221</v>
      </c>
      <c r="I31" s="47">
        <v>160</v>
      </c>
      <c r="J31" s="31" t="s">
        <v>255</v>
      </c>
      <c r="K31" s="47">
        <v>1</v>
      </c>
      <c r="L31" s="157" t="s">
        <v>51</v>
      </c>
      <c r="M31" s="158">
        <f t="shared" si="0"/>
        <v>83.951999999999998</v>
      </c>
      <c r="N31" s="159" t="str">
        <f>VLOOKUP(C31,'Trips&amp;Operators'!$C$1:$E$99999,3,FALSE)</f>
        <v>LEVIN</v>
      </c>
      <c r="O31" s="185" t="s">
        <v>248</v>
      </c>
      <c r="P31" s="160"/>
      <c r="Q31" s="31"/>
      <c r="R31" s="100" t="str">
        <f>VLOOKUP(C31,'Train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31" s="103" t="str">
        <f>VLOOKUP(C31,'Train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31" s="105" t="str">
        <f t="shared" si="1"/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31" s="9" t="str">
        <f t="shared" si="2"/>
        <v>4005</v>
      </c>
      <c r="V31" s="36">
        <f t="shared" si="3"/>
        <v>42664.151377314818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ID","value":"226-20"},{"id":16,"name":"Locomotive ID","value":"4005"},{"id":130,"name":"Impact","value":""},{"id":150,"name":"Time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"%USERPROFILE%\AppData\Local\Temp\OnboardLogs"\RTDC4005\*4005*201610210* | grep -SE "((Enforcement Ac)|(PRM))" -</v>
      </c>
      <c r="AD31" s="1"/>
    </row>
    <row r="32" spans="1:30" x14ac:dyDescent="0.25">
      <c r="A32" s="36">
        <v>42663.287442129629</v>
      </c>
      <c r="B32" s="31" t="s">
        <v>273</v>
      </c>
      <c r="C32" s="31" t="s">
        <v>397</v>
      </c>
      <c r="D32" s="31" t="s">
        <v>49</v>
      </c>
      <c r="E32" s="31" t="s">
        <v>254</v>
      </c>
      <c r="F32" s="47">
        <v>0</v>
      </c>
      <c r="G32" s="47">
        <v>114</v>
      </c>
      <c r="H32" s="47">
        <v>232980</v>
      </c>
      <c r="I32" s="47">
        <v>233149</v>
      </c>
      <c r="J32" s="31" t="s">
        <v>255</v>
      </c>
      <c r="K32" s="47">
        <v>233491</v>
      </c>
      <c r="L32" s="157" t="s">
        <v>50</v>
      </c>
      <c r="M32" s="158">
        <f t="shared" si="0"/>
        <v>180.57599999999999</v>
      </c>
      <c r="N32" s="159" t="str">
        <f>VLOOKUP(C32,'Trips&amp;Operators'!$C$1:$E$99999,3,FALSE)</f>
        <v>STRICKLAND</v>
      </c>
      <c r="O32" s="185" t="s">
        <v>248</v>
      </c>
      <c r="P32" s="160"/>
      <c r="Q32" s="31"/>
      <c r="R32" s="100" t="str">
        <f>VLOOKUP(C32,'Train Runs'!$A$13:$AE$10024,31,0)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S32" s="103" t="str">
        <f>VLOOKUP(C32,'Train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2" s="105" t="str">
        <f t="shared" si="1"/>
        <v>"C:\Program Files (x86)\AstroGrep\AstroGrep.exe" /spath="%USERPROFILE%\AppData\Local\Temp\OnboardLogs" /stypes="*4011*201610201*" /stext=" 12:.+((SYSTEM_STATE.+slice.+state.+changed )|(ment ac)|(system.+state.+changed )|(\[timeout)|(PRM\|1\|D)|(kpr)|(kdp)|(\|lc)|(penalty))" /e /r /s</v>
      </c>
      <c r="U32" s="9" t="str">
        <f t="shared" si="2"/>
        <v>4011</v>
      </c>
      <c r="V32" s="36">
        <f t="shared" si="3"/>
        <v>42663.537442129629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ID","value":"121-20"},{"id":16,"name":"Locomotive ID","value":"4011"},{"id":130,"name":"Impact","value":""},{"id":150,"name":"Time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"%USERPROFILE%\AppData\Local\Temp\OnboardLogs"\RTDC4011\*4011*201610201* | grep -SE "((Enforcement Ac)|(PRM))" -</v>
      </c>
      <c r="AD32" s="1"/>
    </row>
    <row r="33" spans="1:30" ht="15" customHeight="1" x14ac:dyDescent="0.25">
      <c r="A33" s="36">
        <v>42663.47483796296</v>
      </c>
      <c r="B33" s="31" t="s">
        <v>188</v>
      </c>
      <c r="C33" s="31" t="s">
        <v>409</v>
      </c>
      <c r="D33" s="31" t="s">
        <v>49</v>
      </c>
      <c r="E33" s="31" t="s">
        <v>254</v>
      </c>
      <c r="F33" s="47">
        <v>0</v>
      </c>
      <c r="G33" s="47">
        <v>62</v>
      </c>
      <c r="H33" s="47">
        <v>233291</v>
      </c>
      <c r="I33" s="47">
        <v>233364</v>
      </c>
      <c r="J33" s="31" t="s">
        <v>255</v>
      </c>
      <c r="K33" s="47">
        <v>233491</v>
      </c>
      <c r="L33" s="157" t="s">
        <v>50</v>
      </c>
      <c r="M33" s="158">
        <f t="shared" si="0"/>
        <v>67.055999999999997</v>
      </c>
      <c r="N33" s="159" t="str">
        <f>VLOOKUP(C33,'Trips&amp;Operators'!$C$1:$E$99999,3,FALSE)</f>
        <v>BRANNON</v>
      </c>
      <c r="O33" s="185" t="s">
        <v>248</v>
      </c>
      <c r="P33" s="160"/>
      <c r="Q33" s="31"/>
      <c r="R33" s="100" t="str">
        <f>VLOOKUP(C33,'Train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33" s="103" t="str">
        <f>VLOOKUP(C33,'Train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3" s="105" t="str">
        <f t="shared" si="1"/>
        <v>"C:\Program Files (x86)\AstroGrep\AstroGrep.exe" /spath="%USERPROFILE%\AppData\Local\Temp\OnboardLogs" /stypes="*4018*201610201*" /stext=" 17:.+((SYSTEM_STATE.+slice.+state.+changed )|(ment ac)|(system.+state.+changed )|(\[timeout)|(PRM\|1\|D)|(kpr)|(kdp)|(\|lc)|(penalty))" /e /r /s</v>
      </c>
      <c r="U33" s="9" t="str">
        <f t="shared" si="2"/>
        <v>4018</v>
      </c>
      <c r="V33" s="36">
        <f t="shared" si="3"/>
        <v>42663.72483796296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"%USERPROFILE%\AppData\Local\Temp\OnboardLogs"\RTDC4018\*4018*201610201* | grep -SE "((Enforcement Ac)|(PRM))" -</v>
      </c>
      <c r="AD33" s="1"/>
    </row>
    <row r="34" spans="1:30" x14ac:dyDescent="0.25">
      <c r="A34" s="36">
        <v>42663.411261574074</v>
      </c>
      <c r="B34" s="31" t="s">
        <v>214</v>
      </c>
      <c r="C34" s="31" t="s">
        <v>405</v>
      </c>
      <c r="D34" s="31" t="s">
        <v>98</v>
      </c>
      <c r="E34" s="31" t="s">
        <v>155</v>
      </c>
      <c r="F34" s="47">
        <v>0</v>
      </c>
      <c r="G34" s="47">
        <v>235</v>
      </c>
      <c r="H34" s="47">
        <v>15749</v>
      </c>
      <c r="I34" s="47">
        <v>15480</v>
      </c>
      <c r="J34" s="31" t="s">
        <v>154</v>
      </c>
      <c r="K34" s="47">
        <v>15777</v>
      </c>
      <c r="L34" s="157" t="s">
        <v>51</v>
      </c>
      <c r="M34" s="158">
        <f t="shared" si="0"/>
        <v>-156.816</v>
      </c>
      <c r="N34" s="159" t="str">
        <f>VLOOKUP(C34,'Trips&amp;Operators'!$C$1:$E$99999,3,FALSE)</f>
        <v>ISHMAEL</v>
      </c>
      <c r="O34" s="185" t="s">
        <v>358</v>
      </c>
      <c r="P34" s="160" t="s">
        <v>779</v>
      </c>
      <c r="Q34" s="31"/>
      <c r="R34" s="100" t="str">
        <f>VLOOKUP(C34,'Train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4" s="103" t="str">
        <f>VLOOKUP(C34,'Train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/stypes="*4039*201610201*" /stext=" 15:.+((SYSTEM_STATE.+slice.+state.+changed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42663.661261574074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ID","value":"814-20"},{"id":16,"name":"Locomotive ID","value":"4039"},{"id":130,"name":"Impact","value":""},{"id":150,"name":"Time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"%USERPROFILE%\AppData\Local\Temp\OnboardLogs"\RTDC4039\*4039*201610201* | grep -SE "((Enforcement Ac)|(PRM))" -</v>
      </c>
      <c r="AD34" s="1"/>
    </row>
    <row r="35" spans="1:30" x14ac:dyDescent="0.25">
      <c r="A35" s="36">
        <v>42663.827210648145</v>
      </c>
      <c r="B35" s="31" t="s">
        <v>214</v>
      </c>
      <c r="C35" s="31" t="s">
        <v>430</v>
      </c>
      <c r="D35" s="31" t="s">
        <v>49</v>
      </c>
      <c r="E35" s="31" t="s">
        <v>155</v>
      </c>
      <c r="F35" s="47">
        <v>0</v>
      </c>
      <c r="G35" s="47">
        <v>340</v>
      </c>
      <c r="H35" s="47">
        <v>16481</v>
      </c>
      <c r="I35" s="47">
        <v>15801</v>
      </c>
      <c r="J35" s="31" t="s">
        <v>154</v>
      </c>
      <c r="K35" s="47">
        <v>15777</v>
      </c>
      <c r="L35" s="157" t="s">
        <v>51</v>
      </c>
      <c r="M35" s="158">
        <f t="shared" si="0"/>
        <v>12.672000000000001</v>
      </c>
      <c r="N35" s="159" t="str">
        <f>VLOOKUP(C35,'Trips&amp;Operators'!$C$1:$E$99999,3,FALSE)</f>
        <v>HELVIE</v>
      </c>
      <c r="O35" s="185" t="s">
        <v>358</v>
      </c>
      <c r="P35" s="160" t="s">
        <v>779</v>
      </c>
      <c r="Q35" s="31"/>
      <c r="R35" s="100" t="str">
        <f>VLOOKUP(C35,'Train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5" s="103" t="str">
        <f>VLOOKUP(C35,'Train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5" s="105" t="str">
        <f t="shared" si="1"/>
        <v>"C:\Program Files (x86)\AstroGrep\AstroGrep.exe" /spath="%USERPROFILE%\AppData\Local\Temp\OnboardLogs" /stypes="*4039*201610210*" /stext=" 01:.+((SYSTEM_STATE.+slice.+state.+changed )|(ment ac)|(system.+state.+changed )|(\[timeout)|(PRM\|1\|D)|(kpr)|(kdp)|(\|lc)|(penalty))" /e /r /s</v>
      </c>
      <c r="U35" s="9" t="str">
        <f t="shared" si="2"/>
        <v>4039</v>
      </c>
      <c r="V35" s="36">
        <f t="shared" si="3"/>
        <v>42664.077210648145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ID","value":"840-20"},{"id":16,"name":"Locomotive ID","value":"4039"},{"id":130,"name":"Impact","value":""},{"id":150,"name":"Time of Event (Mountain Time)","value":"19:51:11"},{"id":151,"name":"Denver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"%USERPROFILE%\AppData\Local\Temp\OnboardLogs"\RTDC4039\*4039*201610210* | grep -SE "((Enforcement Ac)|(PRM))" -</v>
      </c>
      <c r="AD35" s="1"/>
    </row>
    <row r="36" spans="1:30" x14ac:dyDescent="0.25">
      <c r="A36" s="36">
        <v>42663.332928240743</v>
      </c>
      <c r="B36" s="31" t="s">
        <v>318</v>
      </c>
      <c r="C36" s="31" t="s">
        <v>398</v>
      </c>
      <c r="D36" s="31" t="s">
        <v>49</v>
      </c>
      <c r="E36" s="31" t="s">
        <v>249</v>
      </c>
      <c r="F36" s="47">
        <v>500</v>
      </c>
      <c r="G36" s="47">
        <v>597</v>
      </c>
      <c r="H36" s="47">
        <v>34473</v>
      </c>
      <c r="I36" s="47">
        <v>37219</v>
      </c>
      <c r="J36" s="31" t="s">
        <v>250</v>
      </c>
      <c r="K36" s="47">
        <v>37577</v>
      </c>
      <c r="L36" s="157" t="s">
        <v>50</v>
      </c>
      <c r="M36" s="158">
        <f t="shared" si="0"/>
        <v>189.024</v>
      </c>
      <c r="N36" s="159" t="str">
        <f>VLOOKUP(C36,'Trips&amp;Operators'!$C$1:$E$99999,3,FALSE)</f>
        <v>YORK</v>
      </c>
      <c r="O36" s="185" t="s">
        <v>248</v>
      </c>
      <c r="P36" s="160"/>
      <c r="Q36" s="31"/>
      <c r="R36" s="100" t="str">
        <f>VLOOKUP(C36,'Train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6" s="103" t="str">
        <f>VLOOKUP(C36,'Train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6" s="105" t="str">
        <f t="shared" si="1"/>
        <v>"C:\Program Files (x86)\AstroGrep\AstroGrep.exe" /spath="%USERPROFILE%\AppData\Local\Temp\OnboardLogs" /stypes="*4016*201610201*" /stext=" 13:.+((SYSTEM_STATE.+slice.+state.+changed )|(ment ac)|(system.+state.+changed )|(\[timeout)|(PRM\|1\|D)|(kpr)|(kdp)|(\|lc)|(penalty))" /e /r /s</v>
      </c>
      <c r="U36" s="9" t="str">
        <f t="shared" si="2"/>
        <v>4016</v>
      </c>
      <c r="V36" s="36">
        <f t="shared" si="3"/>
        <v>42663.582928240743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{"issue":{"subject":"","project_id":79,"tracker_id":40,"status_id":1,"priority_id":2,"assigned_to_id":23,"start_date":"2016-10-20","description":"","custom_fields":[{"id":1,"name":"Subdivision","value":"NW"},{"id":4,"name":"Milepost","value":"3.7577"},{"id":17,"name":"Train ID","value":"809-20"},{"id":16,"name":"Locomotive ID","value":"4016"},{"id":130,"name":"Impact","value":""},{"id":150,"name":"Time of Event (Mountain Time)","value":"07:59:25"},{"id":151,"name":"Denver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"%USERPROFILE%\AppData\Local\Temp\OnboardLogs"\RTDC4016\*4016*201610201* | grep -SE "((Enforcement Ac)|(PRM))" -</v>
      </c>
      <c r="AD36" s="1"/>
    </row>
    <row r="37" spans="1:30" ht="15" customHeight="1" x14ac:dyDescent="0.25">
      <c r="A37" s="36">
        <v>42663.53230324074</v>
      </c>
      <c r="B37" s="31" t="s">
        <v>214</v>
      </c>
      <c r="C37" s="31" t="s">
        <v>416</v>
      </c>
      <c r="D37" s="31" t="s">
        <v>98</v>
      </c>
      <c r="E37" s="31" t="s">
        <v>249</v>
      </c>
      <c r="F37" s="47">
        <v>400</v>
      </c>
      <c r="G37" s="47">
        <v>452</v>
      </c>
      <c r="H37" s="47">
        <v>39153</v>
      </c>
      <c r="I37" s="47">
        <v>37840</v>
      </c>
      <c r="J37" s="31" t="s">
        <v>250</v>
      </c>
      <c r="K37" s="47">
        <v>40977</v>
      </c>
      <c r="L37" s="157" t="s">
        <v>51</v>
      </c>
      <c r="M37" s="158">
        <f t="shared" si="0"/>
        <v>-1656.336</v>
      </c>
      <c r="N37" s="159" t="str">
        <f>VLOOKUP(C37,'Trips&amp;Operators'!$C$1:$E$99999,3,FALSE)</f>
        <v>ISHMAEL</v>
      </c>
      <c r="O37" s="185" t="s">
        <v>248</v>
      </c>
      <c r="P37" s="160"/>
      <c r="Q37" s="31"/>
      <c r="R37" s="100" t="str">
        <f>VLOOKUP(C37,'Train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7" s="103" t="str">
        <f>VLOOKUP(C37,'Train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7" s="105" t="str">
        <f t="shared" si="1"/>
        <v>"C:\Program Files (x86)\AstroGrep\AstroGrep.exe" /spath="%USERPROFILE%\AppData\Local\Temp\OnboardLogs" /stypes="*4039*201610201*" /stext=" 18:.+((SYSTEM_STATE.+slice.+state.+changed )|(ment ac)|(system.+state.+changed )|(\[timeout)|(PRM\|1\|D)|(kpr)|(kdp)|(\|lc)|(penalty))" /e /r /s</v>
      </c>
      <c r="U37" s="9" t="str">
        <f t="shared" si="2"/>
        <v>4039</v>
      </c>
      <c r="V37" s="36">
        <f t="shared" si="3"/>
        <v>42663.78230324074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{"issue":{"subject":"","project_id":79,"tracker_id":40,"status_id":1,"priority_id":2,"assigned_to_id":23,"start_date":"2016-10-20","description":"","custom_fields":[{"id":1,"name":"Subdivision","value":"NW"},{"id":4,"name":"Milepost","value":"4.0977"},{"id":17,"name":"Train ID","value":"820-20"},{"id":16,"name":"Locomotive ID","value":"4039"},{"id":130,"name":"Impact","value":""},{"id":150,"name":"Time of Event (Mountain Time)","value":"12:46:31"},{"id":151,"name":"Denver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"%USERPROFILE%\AppData\Local\Temp\OnboardLogs"\RTDC4039\*4039*201610201* | grep -SE "((Enforcement Ac)|(PRM))" -</v>
      </c>
      <c r="AD37" s="1"/>
    </row>
    <row r="38" spans="1:30" x14ac:dyDescent="0.25">
      <c r="A38" s="36">
        <v>42663.334618055553</v>
      </c>
      <c r="B38" s="31" t="s">
        <v>318</v>
      </c>
      <c r="C38" s="31" t="s">
        <v>398</v>
      </c>
      <c r="D38" s="31" t="s">
        <v>49</v>
      </c>
      <c r="E38" s="31" t="s">
        <v>249</v>
      </c>
      <c r="F38" s="47">
        <v>400</v>
      </c>
      <c r="G38" s="47">
        <v>474</v>
      </c>
      <c r="H38" s="47">
        <v>46140</v>
      </c>
      <c r="I38" s="47">
        <v>47549</v>
      </c>
      <c r="J38" s="31" t="s">
        <v>250</v>
      </c>
      <c r="K38" s="47">
        <v>47808</v>
      </c>
      <c r="L38" s="157" t="s">
        <v>50</v>
      </c>
      <c r="M38" s="158">
        <f t="shared" si="0"/>
        <v>136.75200000000001</v>
      </c>
      <c r="N38" s="159" t="str">
        <f>VLOOKUP(C38,'Trips&amp;Operators'!$C$1:$E$99999,3,FALSE)</f>
        <v>YORK</v>
      </c>
      <c r="O38" s="185" t="s">
        <v>248</v>
      </c>
      <c r="P38" s="160"/>
      <c r="Q38" s="31"/>
      <c r="R38" s="100" t="str">
        <f>VLOOKUP(C38,'Train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8" s="103" t="str">
        <f>VLOOKUP(C38,'Train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/stypes="*4016*201610201*" /stext=" 14:.+((SYSTEM_STATE.+slice.+state.+changed )|(ment ac)|(system.+state.+changed )|(\[timeout)|(PRM\|1\|D)|(kpr)|(kdp)|(\|lc)|(penalty))" /e /r /s</v>
      </c>
      <c r="U38" s="9" t="str">
        <f t="shared" si="2"/>
        <v>4016</v>
      </c>
      <c r="V38" s="36">
        <f t="shared" si="3"/>
        <v>42663.584618055553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{"issue":{"subject":"","project_id":79,"tracker_id":40,"status_id":1,"priority_id":2,"assigned_to_id":23,"start_date":"2016-10-20","description":"","custom_fields":[{"id":1,"name":"Subdivision","value":"NW"},{"id":4,"name":"Milepost","value":"4.7808"},{"id":17,"name":"Train ID","value":"809-20"},{"id":16,"name":"Locomotive ID","value":"4016"},{"id":130,"name":"Impact","value":""},{"id":150,"name":"Time of Event (Mountain Time)","value":"08:01:51"},{"id":151,"name":"Denver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"%USERPROFILE%\AppData\Local\Temp\OnboardLogs"\RTDC4016\*4016*201610201* | grep -SE "((Enforcement Ac)|(PRM))" -</v>
      </c>
      <c r="AD38" s="1"/>
    </row>
    <row r="39" spans="1:30" x14ac:dyDescent="0.25">
      <c r="A39" s="36">
        <v>42663.689953703702</v>
      </c>
      <c r="B39" s="31" t="s">
        <v>256</v>
      </c>
      <c r="C39" s="31" t="s">
        <v>421</v>
      </c>
      <c r="D39" s="31" t="s">
        <v>49</v>
      </c>
      <c r="E39" s="31" t="s">
        <v>249</v>
      </c>
      <c r="F39" s="47">
        <v>150</v>
      </c>
      <c r="G39" s="47">
        <v>332</v>
      </c>
      <c r="H39" s="47">
        <v>56116</v>
      </c>
      <c r="I39" s="47">
        <v>56728</v>
      </c>
      <c r="J39" s="31" t="s">
        <v>250</v>
      </c>
      <c r="K39" s="47">
        <v>57008</v>
      </c>
      <c r="L39" s="157" t="s">
        <v>50</v>
      </c>
      <c r="M39" s="158">
        <f t="shared" ref="M39:M64" si="8">CONVERT((I39-K39)/10000,"mi","ft")*IF(L39="Increasing Mileposts (1)",-1,1)</f>
        <v>147.84</v>
      </c>
      <c r="N39" s="159" t="str">
        <f>VLOOKUP(C39,'Trips&amp;Operators'!$C$1:$E$99999,3,FALSE)</f>
        <v>HELVIE</v>
      </c>
      <c r="O39" s="185" t="s">
        <v>248</v>
      </c>
      <c r="P39" s="160"/>
      <c r="Q39" s="31"/>
      <c r="R39" s="100" t="str">
        <f>VLOOKUP(C39,'Train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39" s="103" t="str">
        <f>VLOOKUP(C39,'Train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9" s="105" t="str">
        <f t="shared" ref="T39:T64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39" s="9" t="str">
        <f t="shared" ref="U39:U64" si="10">MID(B39,13,4)</f>
        <v>4040</v>
      </c>
      <c r="V39" s="36">
        <f t="shared" ref="V39:V64" si="11">A39+6/24</f>
        <v>42663.939953703702</v>
      </c>
      <c r="W39" s="50" t="str">
        <f t="shared" ref="W39:W64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64" si="13">IF(AND(E39="TRACK WARRANT AUTHORITY",G39&lt;10),"OMIT","KEEP")</f>
        <v>KEEP</v>
      </c>
      <c r="Y39" s="122" t="str">
        <f t="shared" ref="Y39:Y64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{"issue":{"subject":"","project_id":79,"tracker_id":40,"status_id":1,"priority_id":2,"assigned_to_id":23,"start_date":"2016-10-20","description":"","custom_fields":[{"id":1,"name":"Subdivision","value":"NW"},{"id":4,"name":"Milepost","value":"5.7008"},{"id":17,"name":"Train ID","value":"829-20"},{"id":16,"name":"Locomotive ID","value":"4040"},{"id":130,"name":"Impact","value":""},{"id":150,"name":"Time of Event (Mountain Time)","value":"16:33:32"},{"id":151,"name":"Denver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ref="AC39:AC64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"%USERPROFILE%\AppData\Local\Temp\OnboardLogs"\RTDC4040\*4040*201610202* | grep -SE "((Enforcement Ac)|(PRM))" -</v>
      </c>
      <c r="AD39" s="1"/>
    </row>
    <row r="40" spans="1:30" x14ac:dyDescent="0.25">
      <c r="A40" s="36">
        <v>42663.749259259261</v>
      </c>
      <c r="B40" s="31" t="s">
        <v>295</v>
      </c>
      <c r="C40" s="31" t="s">
        <v>428</v>
      </c>
      <c r="D40" s="31" t="s">
        <v>49</v>
      </c>
      <c r="E40" s="31" t="s">
        <v>252</v>
      </c>
      <c r="F40" s="47">
        <v>0</v>
      </c>
      <c r="G40" s="47">
        <v>281</v>
      </c>
      <c r="H40" s="47">
        <v>33238</v>
      </c>
      <c r="I40" s="47">
        <v>33796</v>
      </c>
      <c r="J40" s="31" t="s">
        <v>253</v>
      </c>
      <c r="K40" s="47">
        <v>34583</v>
      </c>
      <c r="L40" s="157" t="s">
        <v>50</v>
      </c>
      <c r="M40" s="158">
        <f t="shared" si="8"/>
        <v>415.536</v>
      </c>
      <c r="N40" s="159" t="str">
        <f>VLOOKUP(C40,'Trips&amp;Operators'!$C$1:$E$99999,3,FALSE)</f>
        <v>YANAI</v>
      </c>
      <c r="O40" s="185" t="s">
        <v>248</v>
      </c>
      <c r="P40" s="160" t="s">
        <v>780</v>
      </c>
      <c r="Q40" s="31"/>
      <c r="R40" s="100" t="str">
        <f>VLOOKUP(C40,'Train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0" s="103" t="str">
        <f>VLOOKUP(C40,'Train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0" s="105" t="str">
        <f t="shared" si="9"/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0" s="9" t="str">
        <f t="shared" si="10"/>
        <v>4053</v>
      </c>
      <c r="V40" s="36">
        <f t="shared" si="11"/>
        <v>42663.999259259261</v>
      </c>
      <c r="W40" s="50" t="str">
        <f t="shared" si="12"/>
        <v>NW</v>
      </c>
      <c r="X40" s="50" t="str">
        <f t="shared" si="13"/>
        <v>KEEP</v>
      </c>
      <c r="Y40" s="122" t="str">
        <f t="shared" si="14"/>
        <v>echo {"issue":{"subject":"RESTRICTED aspect","project_id":79,"tracker_id":40,"status_id":1,"priority_id":2,"assigned_to_id":23,"start_date":"2016-10-20","description":"","custom_fields":[{"id":1,"name":"Subdivision","value":"NW"},{"id":4,"name":"Milepost","value":"3.4583"},{"id":17,"name":"Train ID","value":"835-20"},{"id":16,"name":"Locomotive ID","value":"4053"},{"id":130,"name":"Impact","value":""},{"id":150,"name":"Time of Event (Mountain Time)","value":"17:58:56"},{"id":151,"name":"Denver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15"/>
        <v>grep -hSE -A100 "Enforcement Action" "%USERPROFILE%\AppData\Local\Temp\OnboardLogs"\RTDC4053\*4053*201610202* | grep -SE "((Enforcement Ac)|(PRM))" -</v>
      </c>
      <c r="AD40" s="1"/>
    </row>
    <row r="41" spans="1:30" x14ac:dyDescent="0.25">
      <c r="A41" s="36">
        <v>42663.746689814812</v>
      </c>
      <c r="B41" s="31" t="s">
        <v>214</v>
      </c>
      <c r="C41" s="31" t="s">
        <v>427</v>
      </c>
      <c r="D41" s="31" t="s">
        <v>49</v>
      </c>
      <c r="E41" s="31" t="s">
        <v>254</v>
      </c>
      <c r="F41" s="47">
        <v>0</v>
      </c>
      <c r="G41" s="47">
        <v>140</v>
      </c>
      <c r="H41" s="47">
        <v>1209</v>
      </c>
      <c r="I41" s="47">
        <v>1039</v>
      </c>
      <c r="J41" s="31" t="s">
        <v>255</v>
      </c>
      <c r="K41" s="47">
        <v>575</v>
      </c>
      <c r="L41" s="157" t="s">
        <v>51</v>
      </c>
      <c r="M41" s="158">
        <f t="shared" si="8"/>
        <v>244.99199999999999</v>
      </c>
      <c r="N41" s="159" t="str">
        <f>VLOOKUP(C41,'Trips&amp;Operators'!$C$1:$E$99999,3,FALSE)</f>
        <v>HELVIE</v>
      </c>
      <c r="O41" s="185" t="s">
        <v>248</v>
      </c>
      <c r="P41" s="160"/>
      <c r="Q41" s="31"/>
      <c r="R41" s="100" t="str">
        <f>VLOOKUP(C41,'Train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1" s="103" t="str">
        <f>VLOOKUP(C41,'Train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1" s="105" t="str">
        <f t="shared" si="9"/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1" s="9" t="str">
        <f t="shared" si="10"/>
        <v>4039</v>
      </c>
      <c r="V41" s="36">
        <f t="shared" si="11"/>
        <v>42663.996689814812</v>
      </c>
      <c r="W41" s="50" t="str">
        <f t="shared" si="12"/>
        <v>NW</v>
      </c>
      <c r="X41" s="50" t="str">
        <f t="shared" si="13"/>
        <v>KEEP</v>
      </c>
      <c r="Y41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15"/>
        <v>grep -hSE -A100 "Enforcement Action" "%USERPROFILE%\AppData\Local\Temp\OnboardLogs"\RTDC4039\*4039*201610202* | grep -SE "((Enforcement Ac)|(PRM))" -</v>
      </c>
      <c r="AD41" s="1"/>
    </row>
    <row r="42" spans="1:30" x14ac:dyDescent="0.25">
      <c r="A42" s="36">
        <v>42663.747210648151</v>
      </c>
      <c r="B42" s="31" t="s">
        <v>214</v>
      </c>
      <c r="C42" s="31" t="s">
        <v>427</v>
      </c>
      <c r="D42" s="31" t="s">
        <v>49</v>
      </c>
      <c r="E42" s="31" t="s">
        <v>254</v>
      </c>
      <c r="F42" s="47">
        <v>0</v>
      </c>
      <c r="G42" s="47">
        <v>61</v>
      </c>
      <c r="H42" s="47">
        <v>825</v>
      </c>
      <c r="I42" s="47">
        <v>776</v>
      </c>
      <c r="J42" s="31" t="s">
        <v>255</v>
      </c>
      <c r="K42" s="47">
        <v>575</v>
      </c>
      <c r="L42" s="157" t="s">
        <v>51</v>
      </c>
      <c r="M42" s="158">
        <f t="shared" si="8"/>
        <v>106.128</v>
      </c>
      <c r="N42" s="159" t="str">
        <f>VLOOKUP(C42,'Trips&amp;Operators'!$C$1:$E$99999,3,FALSE)</f>
        <v>HELVIE</v>
      </c>
      <c r="O42" s="185" t="s">
        <v>248</v>
      </c>
      <c r="P42" s="160"/>
      <c r="Q42" s="31"/>
      <c r="R42" s="100" t="str">
        <f>VLOOKUP(C42,'Train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2" s="103" t="str">
        <f>VLOOKUP(C42,'Train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2" s="105" t="str">
        <f t="shared" si="9"/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2" s="9" t="str">
        <f t="shared" si="10"/>
        <v>4039</v>
      </c>
      <c r="V42" s="36">
        <f t="shared" si="11"/>
        <v>42663.997210648151</v>
      </c>
      <c r="W42" s="50" t="str">
        <f t="shared" si="12"/>
        <v>NW</v>
      </c>
      <c r="X42" s="50" t="str">
        <f t="shared" si="13"/>
        <v>KEEP</v>
      </c>
      <c r="Y42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15"/>
        <v>grep -hSE -A100 "Enforcement Action" "%USERPROFILE%\AppData\Local\Temp\OnboardLogs"\RTDC4039\*4039*201610202* | grep -SE "((Enforcement Ac)|(PRM))" -</v>
      </c>
      <c r="AD42" s="1"/>
    </row>
    <row r="43" spans="1:30" x14ac:dyDescent="0.25">
      <c r="A43" s="36">
        <v>42663.255196759259</v>
      </c>
      <c r="B43" s="31" t="s">
        <v>318</v>
      </c>
      <c r="C43" s="31" t="s">
        <v>392</v>
      </c>
      <c r="D43" s="31" t="s">
        <v>49</v>
      </c>
      <c r="E43" s="31" t="s">
        <v>254</v>
      </c>
      <c r="F43" s="47">
        <v>0</v>
      </c>
      <c r="G43" s="47">
        <v>47</v>
      </c>
      <c r="H43" s="47">
        <v>58858</v>
      </c>
      <c r="I43" s="47">
        <v>58907</v>
      </c>
      <c r="J43" s="31" t="s">
        <v>255</v>
      </c>
      <c r="K43" s="47">
        <v>59048</v>
      </c>
      <c r="L43" s="157" t="s">
        <v>50</v>
      </c>
      <c r="M43" s="158">
        <f t="shared" si="8"/>
        <v>74.447999999999993</v>
      </c>
      <c r="N43" s="159" t="str">
        <f>VLOOKUP(C43,'Trips&amp;Operators'!$C$1:$E$99999,3,FALSE)</f>
        <v>YORK</v>
      </c>
      <c r="O43" s="185" t="s">
        <v>248</v>
      </c>
      <c r="P43" s="160"/>
      <c r="Q43" s="31"/>
      <c r="R43" s="100" t="str">
        <f>VLOOKUP(C43,'Train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43" s="103" t="str">
        <f>VLOOKUP(C43,'Train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3" s="105" t="str">
        <f t="shared" si="9"/>
        <v>"C:\Program Files (x86)\AstroGrep\AstroGrep.exe" /spath="%USERPROFILE%\AppData\Local\Temp\OnboardLogs" /stypes="*4016*201610201*" /stext=" 12:.+((SYSTEM_STATE.+slice.+state.+changed )|(ment ac)|(system.+state.+changed )|(\[timeout)|(PRM\|1\|D)|(kpr)|(kdp)|(\|lc)|(penalty))" /e /r /s</v>
      </c>
      <c r="U43" s="9" t="str">
        <f t="shared" si="10"/>
        <v>4016</v>
      </c>
      <c r="V43" s="36">
        <f t="shared" si="11"/>
        <v>42663.505196759259</v>
      </c>
      <c r="W43" s="50" t="str">
        <f t="shared" si="12"/>
        <v>NW</v>
      </c>
      <c r="X43" s="50" t="str">
        <f t="shared" si="13"/>
        <v>KEEP</v>
      </c>
      <c r="Y43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ID","value":"801-20"},{"id":16,"name":"Locomotive ID","value":"4016"},{"id":130,"name":"Impact","value":""},{"id":150,"name":"Time of Event (Mountain Time)","value":"06:07:29"},{"id":151,"name":"Denver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15"/>
        <v>grep -hSE -A100 "Enforcement Action" "%USERPROFILE%\AppData\Local\Temp\OnboardLogs"\RTDC4016\*4016*201610201* | grep -SE "((Enforcement Ac)|(PRM))" -</v>
      </c>
      <c r="AD43" s="1"/>
    </row>
    <row r="44" spans="1:30" x14ac:dyDescent="0.25">
      <c r="A44" s="36">
        <v>42663.523449074077</v>
      </c>
      <c r="B44" s="31" t="s">
        <v>256</v>
      </c>
      <c r="C44" s="31" t="s">
        <v>415</v>
      </c>
      <c r="D44" s="31" t="s">
        <v>49</v>
      </c>
      <c r="E44" s="31" t="s">
        <v>254</v>
      </c>
      <c r="F44" s="47">
        <v>0</v>
      </c>
      <c r="G44" s="47">
        <v>93</v>
      </c>
      <c r="H44" s="47">
        <v>58745</v>
      </c>
      <c r="I44" s="47">
        <v>58837</v>
      </c>
      <c r="J44" s="31" t="s">
        <v>255</v>
      </c>
      <c r="K44" s="47">
        <v>59048</v>
      </c>
      <c r="L44" s="157" t="s">
        <v>50</v>
      </c>
      <c r="M44" s="158">
        <f t="shared" si="8"/>
        <v>111.408</v>
      </c>
      <c r="N44" s="159" t="str">
        <f>VLOOKUP(C44,'Trips&amp;Operators'!$C$1:$E$99999,3,FALSE)</f>
        <v>ISHMAEL</v>
      </c>
      <c r="O44" s="185" t="s">
        <v>248</v>
      </c>
      <c r="P44" s="160"/>
      <c r="Q44" s="31"/>
      <c r="R44" s="100" t="str">
        <f>VLOOKUP(C44,'Train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4" s="103" t="str">
        <f>VLOOKUP(C44,'Train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4" s="105" t="str">
        <f t="shared" si="9"/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4" s="9" t="str">
        <f t="shared" si="10"/>
        <v>4040</v>
      </c>
      <c r="V44" s="36">
        <f t="shared" si="11"/>
        <v>42663.773449074077</v>
      </c>
      <c r="W44" s="50" t="str">
        <f t="shared" si="12"/>
        <v>NW</v>
      </c>
      <c r="X44" s="50" t="str">
        <f t="shared" si="13"/>
        <v>KEEP</v>
      </c>
      <c r="Y44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15"/>
        <v>grep -hSE -A100 "Enforcement Action" "%USERPROFILE%\AppData\Local\Temp\OnboardLogs"\RTDC4040\*4040*201610201* | grep -SE "((Enforcement Ac)|(PRM))" -</v>
      </c>
      <c r="AD44" s="1"/>
    </row>
    <row r="45" spans="1:30" x14ac:dyDescent="0.25">
      <c r="A45" s="36">
        <v>42663.523912037039</v>
      </c>
      <c r="B45" s="31" t="s">
        <v>256</v>
      </c>
      <c r="C45" s="31" t="s">
        <v>415</v>
      </c>
      <c r="D45" s="31" t="s">
        <v>49</v>
      </c>
      <c r="E45" s="31" t="s">
        <v>254</v>
      </c>
      <c r="F45" s="47">
        <v>0</v>
      </c>
      <c r="G45" s="47">
        <v>36</v>
      </c>
      <c r="H45" s="47">
        <v>58912</v>
      </c>
      <c r="I45" s="47">
        <v>58944</v>
      </c>
      <c r="J45" s="31" t="s">
        <v>255</v>
      </c>
      <c r="K45" s="47">
        <v>59048</v>
      </c>
      <c r="L45" s="157" t="s">
        <v>50</v>
      </c>
      <c r="M45" s="158">
        <f t="shared" si="8"/>
        <v>54.911999999999999</v>
      </c>
      <c r="N45" s="159" t="str">
        <f>VLOOKUP(C45,'Trips&amp;Operators'!$C$1:$E$99999,3,FALSE)</f>
        <v>ISHMAEL</v>
      </c>
      <c r="O45" s="185" t="s">
        <v>248</v>
      </c>
      <c r="P45" s="160"/>
      <c r="Q45" s="31"/>
      <c r="R45" s="100" t="str">
        <f>VLOOKUP(C45,'Train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5" s="103" t="str">
        <f>VLOOKUP(C45,'Train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5" s="105" t="str">
        <f t="shared" si="9"/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5" s="9" t="str">
        <f t="shared" si="10"/>
        <v>4040</v>
      </c>
      <c r="V45" s="36">
        <f t="shared" si="11"/>
        <v>42663.773912037039</v>
      </c>
      <c r="W45" s="50" t="str">
        <f t="shared" si="12"/>
        <v>NW</v>
      </c>
      <c r="X45" s="50" t="str">
        <f t="shared" si="13"/>
        <v>KEEP</v>
      </c>
      <c r="Y45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15"/>
        <v>grep -hSE -A100 "Enforcement Action" "%USERPROFILE%\AppData\Local\Temp\OnboardLogs"\RTDC4040\*4040*201610201* | grep -SE "((Enforcement Ac)|(PRM))" -</v>
      </c>
      <c r="AD45" s="1"/>
    </row>
    <row r="46" spans="1:30" x14ac:dyDescent="0.25">
      <c r="A46" s="36">
        <v>42663.672083333331</v>
      </c>
      <c r="B46" s="31" t="s">
        <v>295</v>
      </c>
      <c r="C46" s="31" t="s">
        <v>420</v>
      </c>
      <c r="D46" s="31" t="s">
        <v>49</v>
      </c>
      <c r="E46" s="31" t="s">
        <v>254</v>
      </c>
      <c r="F46" s="47">
        <v>0</v>
      </c>
      <c r="G46" s="47">
        <v>53</v>
      </c>
      <c r="H46" s="47">
        <v>58918</v>
      </c>
      <c r="I46" s="47">
        <v>58960</v>
      </c>
      <c r="J46" s="31" t="s">
        <v>255</v>
      </c>
      <c r="K46" s="47">
        <v>59048</v>
      </c>
      <c r="L46" s="157" t="s">
        <v>50</v>
      </c>
      <c r="M46" s="158">
        <f t="shared" si="8"/>
        <v>46.463999999999999</v>
      </c>
      <c r="N46" s="159" t="str">
        <f>VLOOKUP(C46,'Trips&amp;Operators'!$C$1:$E$99999,3,FALSE)</f>
        <v>YANAI</v>
      </c>
      <c r="O46" s="185" t="s">
        <v>248</v>
      </c>
      <c r="P46" s="160"/>
      <c r="Q46" s="31"/>
      <c r="R46" s="100" t="str">
        <f>VLOOKUP(C46,'Train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6" s="103" t="str">
        <f>VLOOKUP(C46,'Train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6" s="105" t="str">
        <f t="shared" si="9"/>
        <v>"C:\Program Files (x86)\AstroGrep\AstroGrep.exe" /spath="%USERPROFILE%\AppData\Local\Temp\OnboardLogs" /stypes="*4053*201610202*" /stext=" 22:.+((SYSTEM_STATE.+slice.+state.+changed )|(ment ac)|(system.+state.+changed )|(\[timeout)|(PRM\|1\|D)|(kpr)|(kdp)|(\|lc)|(penalty))" /e /r /s</v>
      </c>
      <c r="U46" s="9" t="str">
        <f t="shared" si="10"/>
        <v>4053</v>
      </c>
      <c r="V46" s="36">
        <f t="shared" si="11"/>
        <v>42663.922083333331</v>
      </c>
      <c r="W46" s="50" t="str">
        <f t="shared" si="12"/>
        <v>NW</v>
      </c>
      <c r="X46" s="50" t="str">
        <f t="shared" si="13"/>
        <v>KEEP</v>
      </c>
      <c r="Y46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15"/>
        <v>grep -hSE -A100 "Enforcement Action" "%USERPROFILE%\AppData\Local\Temp\OnboardLogs"\RTDC4053\*4053*201610202* | grep -SE "((Enforcement Ac)|(PRM))" -</v>
      </c>
      <c r="AD46" s="1"/>
    </row>
    <row r="47" spans="1:30" x14ac:dyDescent="0.25">
      <c r="A47" s="36">
        <v>42663.692199074074</v>
      </c>
      <c r="B47" s="31" t="s">
        <v>256</v>
      </c>
      <c r="C47" s="31" t="s">
        <v>421</v>
      </c>
      <c r="D47" s="31" t="s">
        <v>49</v>
      </c>
      <c r="E47" s="31" t="s">
        <v>254</v>
      </c>
      <c r="F47" s="47">
        <v>0</v>
      </c>
      <c r="G47" s="47">
        <v>15</v>
      </c>
      <c r="H47" s="47">
        <v>58960</v>
      </c>
      <c r="I47" s="47">
        <v>58965</v>
      </c>
      <c r="J47" s="31" t="s">
        <v>255</v>
      </c>
      <c r="K47" s="47">
        <v>59048</v>
      </c>
      <c r="L47" s="157" t="s">
        <v>50</v>
      </c>
      <c r="M47" s="158">
        <f t="shared" si="8"/>
        <v>43.823999999999998</v>
      </c>
      <c r="N47" s="159" t="str">
        <f>VLOOKUP(C47,'Trips&amp;Operators'!$C$1:$E$99999,3,FALSE)</f>
        <v>HELVIE</v>
      </c>
      <c r="O47" s="185" t="s">
        <v>248</v>
      </c>
      <c r="P47" s="160"/>
      <c r="Q47" s="31"/>
      <c r="R47" s="100" t="str">
        <f>VLOOKUP(C47,'Train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7" s="103" t="str">
        <f>VLOOKUP(C47,'Train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7" s="105" t="str">
        <f t="shared" si="9"/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47" s="9" t="str">
        <f t="shared" si="10"/>
        <v>4040</v>
      </c>
      <c r="V47" s="36">
        <f t="shared" si="11"/>
        <v>42663.942199074074</v>
      </c>
      <c r="W47" s="50" t="str">
        <f t="shared" si="12"/>
        <v>NW</v>
      </c>
      <c r="X47" s="50" t="str">
        <f t="shared" si="13"/>
        <v>KEEP</v>
      </c>
      <c r="Y47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ID","value":"829-20"},{"id":16,"name":"Locomotive ID","value":"4040"},{"id":130,"name":"Impact","value":""},{"id":150,"name":"Time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15"/>
        <v>grep -hSE -A100 "Enforcement Action" "%USERPROFILE%\AppData\Local\Temp\OnboardLogs"\RTDC4040\*4040*201610202* | grep -SE "((Enforcement Ac)|(PRM))" -</v>
      </c>
      <c r="AD47" s="1"/>
    </row>
    <row r="48" spans="1:30" x14ac:dyDescent="0.25">
      <c r="A48" s="36">
        <v>42663.712025462963</v>
      </c>
      <c r="B48" s="31" t="s">
        <v>295</v>
      </c>
      <c r="C48" s="31" t="s">
        <v>423</v>
      </c>
      <c r="D48" s="31" t="s">
        <v>49</v>
      </c>
      <c r="E48" s="31" t="s">
        <v>254</v>
      </c>
      <c r="F48" s="47">
        <v>0</v>
      </c>
      <c r="G48" s="47">
        <v>30</v>
      </c>
      <c r="H48" s="47">
        <v>58952</v>
      </c>
      <c r="I48" s="47">
        <v>58965</v>
      </c>
      <c r="J48" s="31" t="s">
        <v>255</v>
      </c>
      <c r="K48" s="47">
        <v>59048</v>
      </c>
      <c r="L48" s="157" t="s">
        <v>50</v>
      </c>
      <c r="M48" s="158">
        <f t="shared" si="8"/>
        <v>43.823999999999998</v>
      </c>
      <c r="N48" s="159" t="str">
        <f>VLOOKUP(C48,'Trips&amp;Operators'!$C$1:$E$99999,3,FALSE)</f>
        <v>YANAI</v>
      </c>
      <c r="O48" s="185" t="s">
        <v>248</v>
      </c>
      <c r="P48" s="160"/>
      <c r="Q48" s="31"/>
      <c r="R48" s="100" t="str">
        <f>VLOOKUP(C48,'Train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8" s="103" t="str">
        <f>VLOOKUP(C48,'Train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8" s="105" t="str">
        <f t="shared" si="9"/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8" s="9" t="str">
        <f t="shared" si="10"/>
        <v>4053</v>
      </c>
      <c r="V48" s="36">
        <f t="shared" si="11"/>
        <v>42663.962025462963</v>
      </c>
      <c r="W48" s="50" t="str">
        <f t="shared" si="12"/>
        <v>NW</v>
      </c>
      <c r="X48" s="50" t="str">
        <f t="shared" si="13"/>
        <v>KEEP</v>
      </c>
      <c r="Y48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15"/>
        <v>grep -hSE -A100 "Enforcement Action" "%USERPROFILE%\AppData\Local\Temp\OnboardLogs"\RTDC4053\*4053*201610202* | grep -SE "((Enforcement Ac)|(PRM))" -</v>
      </c>
      <c r="AD48" s="1"/>
    </row>
    <row r="49" spans="1:30" x14ac:dyDescent="0.25">
      <c r="A49" s="36">
        <v>42663.74527777778</v>
      </c>
      <c r="B49" s="31" t="s">
        <v>216</v>
      </c>
      <c r="C49" s="31" t="s">
        <v>426</v>
      </c>
      <c r="D49" s="31" t="s">
        <v>49</v>
      </c>
      <c r="E49" s="31" t="s">
        <v>155</v>
      </c>
      <c r="F49" s="47">
        <v>0</v>
      </c>
      <c r="G49" s="47">
        <v>120</v>
      </c>
      <c r="H49" s="47">
        <v>15790</v>
      </c>
      <c r="I49" s="47">
        <v>15745</v>
      </c>
      <c r="J49" s="31" t="s">
        <v>154</v>
      </c>
      <c r="K49" s="47">
        <v>15777</v>
      </c>
      <c r="L49" s="157" t="s">
        <v>51</v>
      </c>
      <c r="M49" s="158">
        <f t="shared" si="8"/>
        <v>-16.896000000000001</v>
      </c>
      <c r="N49" s="159" t="str">
        <f>VLOOKUP(C49,'Trips&amp;Operators'!$C$1:$E$99999,3,FALSE)</f>
        <v>MATTHEWS</v>
      </c>
      <c r="O49" s="185" t="s">
        <v>248</v>
      </c>
      <c r="P49" s="160"/>
      <c r="Q49" s="31"/>
      <c r="R49" s="100" t="str">
        <f>VLOOKUP(C49,'Train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49" s="103" t="str">
        <f>VLOOKUP(C49,'Train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9" s="105" t="str">
        <f t="shared" si="9"/>
        <v>"C:\Program Files (x86)\AstroGrep\AstroGrep.exe" /spath="%USERPROFILE%\AppData\Local\Temp\OnboardLogs" /stypes="*4032*201610202*" /stext=" 23:.+((SYSTEM_STATE.+slice.+state.+changed )|(ment ac)|(system.+state.+changed )|(\[timeout)|(PRM\|1\|D)|(kpr)|(kdp)|(\|lc)|(penalty))" /e /r /s</v>
      </c>
      <c r="U49" s="9" t="str">
        <f t="shared" si="10"/>
        <v>4032</v>
      </c>
      <c r="V49" s="36">
        <f t="shared" si="11"/>
        <v>42663.99527777778</v>
      </c>
      <c r="W49" s="50" t="str">
        <f t="shared" si="12"/>
        <v>Other</v>
      </c>
      <c r="X49" s="50" t="str">
        <f t="shared" si="13"/>
        <v>KEEP</v>
      </c>
      <c r="Y49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{"issue":{"subject":"","project_id":79,"tracker_id":40,"status_id":1,"priority_id":2,"assigned_to_id":23,"start_date":"2016-10-20","description":"","custom_fields":[{"id":1,"name":"Subdivision","value":"Other"},{"id":4,"name":"Milepost","value":"1.5777"},{"id":17,"name":"Train ID","value":"58-20"},{"id":16,"name":"Locomotive ID","value":"4032"},{"id":130,"name":"Impact","value":""},{"id":150,"name":"Time of Event (Mountain Time)","value":"17:53:12"},{"id":151,"name":"Denver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15"/>
        <v>grep -hSE -A100 "Enforcement Action" "%USERPROFILE%\AppData\Local\Temp\OnboardLogs"\RTDC4032\*4032*201610202* | grep -SE "((Enforcement Ac)|(PRM))" -</v>
      </c>
      <c r="AD49" s="1"/>
    </row>
    <row r="50" spans="1:30" x14ac:dyDescent="0.25">
      <c r="A50" s="36">
        <v>42663.498437499999</v>
      </c>
      <c r="B50" s="31" t="s">
        <v>292</v>
      </c>
      <c r="C50" s="31" t="s">
        <v>412</v>
      </c>
      <c r="D50" s="31" t="s">
        <v>98</v>
      </c>
      <c r="E50" s="31" t="s">
        <v>249</v>
      </c>
      <c r="F50" s="47">
        <v>150</v>
      </c>
      <c r="G50" s="47">
        <v>200</v>
      </c>
      <c r="H50" s="47">
        <v>3752</v>
      </c>
      <c r="I50" s="47">
        <v>4067</v>
      </c>
      <c r="J50" s="31" t="s">
        <v>250</v>
      </c>
      <c r="K50" s="47">
        <v>825</v>
      </c>
      <c r="L50" s="157" t="s">
        <v>50</v>
      </c>
      <c r="M50" s="158">
        <f t="shared" si="8"/>
        <v>-1711.7760000000001</v>
      </c>
      <c r="N50" s="159" t="str">
        <f>VLOOKUP(C50,'Trips&amp;Operators'!$C$1:$E$99999,3,FALSE)</f>
        <v>STRICKLAND</v>
      </c>
      <c r="O50" s="185" t="s">
        <v>248</v>
      </c>
      <c r="P50" s="160"/>
      <c r="Q50" s="31"/>
      <c r="R50" s="100" t="str">
        <f>VLOOKUP(C50,'Train Runs'!$A$13:$AE$10024,31,0)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S50" s="103" t="str">
        <f>VLOOKUP(C50,'Train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50" s="105" t="str">
        <f t="shared" si="9"/>
        <v>"C:\Program Files (x86)\AstroGrep\AstroGrep.exe" /spath="%USERPROFILE%\AppData\Local\Temp\OnboardLogs" /stypes="*4002*201610201*" /stext=" 17:.+((SYSTEM_STATE.+slice.+state.+changed )|(ment ac)|(system.+state.+changed )|(\[timeout)|(PRM\|1\|D)|(kpr)|(kdp)|(\|lc)|(penalty))" /e /r /s</v>
      </c>
      <c r="U50" s="9" t="str">
        <f t="shared" si="10"/>
        <v>4002</v>
      </c>
      <c r="V50" s="36">
        <f t="shared" si="11"/>
        <v>42663.748437499999</v>
      </c>
      <c r="W50" s="50" t="str">
        <f t="shared" si="12"/>
        <v>Other</v>
      </c>
      <c r="X50" s="50" t="str">
        <f t="shared" si="13"/>
        <v>KEEP</v>
      </c>
      <c r="Y50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{"issue":{"subject":"","project_id":79,"tracker_id":40,"status_id":1,"priority_id":2,"assigned_to_id":23,"start_date":"2016-10-20","description":"","custom_fields":[{"id":1,"name":"Subdivision","value":"Other"},{"id":4,"name":"Milepost","value":"0.0825"},{"id":17,"name":"Train ID","value":"55-20"},{"id":16,"name":"Locomotive ID","value":"4002"},{"id":130,"name":"Impact","value":""},{"id":150,"name":"Time of Event (Mountain Time)","value":"11:57:45"},{"id":151,"name":"Denver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15"/>
        <v>grep -hSE -A100 "Enforcement Action" "%USERPROFILE%\AppData\Local\Temp\OnboardLogs"\RTDC4002\*4002*201610201* | grep -SE "((Enforcement Ac)|(PRM))" -</v>
      </c>
      <c r="AD50" s="1"/>
    </row>
    <row r="51" spans="1:30" hidden="1" x14ac:dyDescent="0.25">
      <c r="A51" s="36">
        <v>42663.499768518515</v>
      </c>
      <c r="B51" s="31" t="s">
        <v>295</v>
      </c>
      <c r="C51" s="31" t="s">
        <v>406</v>
      </c>
      <c r="D51" s="31" t="s">
        <v>98</v>
      </c>
      <c r="E51" s="31" t="s">
        <v>249</v>
      </c>
      <c r="F51" s="47">
        <v>150</v>
      </c>
      <c r="G51" s="47">
        <v>204</v>
      </c>
      <c r="H51" s="47">
        <v>15267</v>
      </c>
      <c r="I51" s="47">
        <v>15721</v>
      </c>
      <c r="J51" s="31" t="s">
        <v>250</v>
      </c>
      <c r="K51" s="47">
        <v>13777</v>
      </c>
      <c r="L51" s="157" t="s">
        <v>50</v>
      </c>
      <c r="M51" s="158">
        <f t="shared" si="8"/>
        <v>-1026.432</v>
      </c>
      <c r="N51" s="159" t="str">
        <f>VLOOKUP(C51,'Trips&amp;Operators'!$C$1:$E$99999,3,FALSE)</f>
        <v>PELLITIER</v>
      </c>
      <c r="O51" s="185" t="s">
        <v>248</v>
      </c>
      <c r="P51" s="160"/>
      <c r="Q51" s="31"/>
      <c r="R51" s="100" t="str">
        <f>VLOOKUP(C51,'Train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1" s="103" t="str">
        <f>VLOOKUP(C51,'Train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1" s="105" t="str">
        <f t="shared" si="9"/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1" s="9" t="str">
        <f t="shared" si="10"/>
        <v>4053</v>
      </c>
      <c r="V51" s="36">
        <f t="shared" si="11"/>
        <v>42663.749768518515</v>
      </c>
      <c r="W51" s="50" t="str">
        <f t="shared" si="12"/>
        <v>Other</v>
      </c>
      <c r="X51" s="50" t="str">
        <f t="shared" si="13"/>
        <v>KEEP</v>
      </c>
      <c r="Y51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{"issue":{"subject":"","project_id":79,"tracker_id":40,"status_id":1,"priority_id":2,"assigned_to_id":23,"start_date":"2016-10-20","description":"","custom_fields":[{"id":1,"name":"Subdivision","value":"Other"},{"id":4,"name":"Milepost","value":"1.3777"},{"id":17,"name":"Train ID","value":"50-20"},{"id":16,"name":"Locomotive ID","value":"4053"},{"id":130,"name":"Impact","value":""},{"id":150,"name":"Time of Event (Mountain Time)","value":"11:59:40"},{"id":151,"name":"Denver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 t="shared" si="15"/>
        <v>grep -hSE -A100 "Enforcement Action" "%USERPROFILE%\AppData\Local\Temp\OnboardLogs"\RTDC4053\*4053*201610201* | grep -SE "((Enforcement Ac)|(PRM))" -</v>
      </c>
      <c r="AD51" s="1"/>
    </row>
    <row r="52" spans="1:30" hidden="1" x14ac:dyDescent="0.25">
      <c r="A52" s="36">
        <v>42663.501111111109</v>
      </c>
      <c r="B52" s="31" t="s">
        <v>295</v>
      </c>
      <c r="C52" s="31" t="s">
        <v>406</v>
      </c>
      <c r="D52" s="31" t="s">
        <v>49</v>
      </c>
      <c r="E52" s="31" t="s">
        <v>249</v>
      </c>
      <c r="F52" s="47">
        <v>300</v>
      </c>
      <c r="G52" s="47">
        <v>354</v>
      </c>
      <c r="H52" s="47">
        <v>20886</v>
      </c>
      <c r="I52" s="47">
        <v>21772</v>
      </c>
      <c r="J52" s="31" t="s">
        <v>250</v>
      </c>
      <c r="K52" s="47">
        <v>21299</v>
      </c>
      <c r="L52" s="157" t="s">
        <v>50</v>
      </c>
      <c r="M52" s="158">
        <f t="shared" si="8"/>
        <v>-249.744</v>
      </c>
      <c r="N52" s="159" t="str">
        <f>VLOOKUP(C52,'Trips&amp;Operators'!$C$1:$E$99999,3,FALSE)</f>
        <v>PELLITIER</v>
      </c>
      <c r="O52" s="185" t="s">
        <v>248</v>
      </c>
      <c r="P52" s="160"/>
      <c r="Q52" s="31"/>
      <c r="R52" s="100" t="str">
        <f>VLOOKUP(C52,'Train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2" s="103" t="str">
        <f>VLOOKUP(C52,'Train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2" s="105" t="str">
        <f t="shared" si="9"/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52" s="9" t="str">
        <f t="shared" si="10"/>
        <v>4053</v>
      </c>
      <c r="V52" s="36">
        <f t="shared" si="11"/>
        <v>42663.751111111109</v>
      </c>
      <c r="W52" s="50" t="str">
        <f t="shared" si="12"/>
        <v>Other</v>
      </c>
      <c r="X52" s="50" t="str">
        <f t="shared" si="13"/>
        <v>KEEP</v>
      </c>
      <c r="Y52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{"issue":{"subject":"","project_id":79,"tracker_id":40,"status_id":1,"priority_id":2,"assigned_to_id":23,"start_date":"2016-10-20","description":"","custom_fields":[{"id":1,"name":"Subdivision","value":"Other"},{"id":4,"name":"Milepost","value":"2.1299"},{"id":17,"name":"Train ID","value":"50-20"},{"id":16,"name":"Locomotive ID","value":"4053"},{"id":130,"name":"Impact","value":""},{"id":150,"name":"Time of Event (Mountain Time)","value":"12:01:36"},{"id":151,"name":"Denver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 t="shared" si="15"/>
        <v>grep -hSE -A100 "Enforcement Action" "%USERPROFILE%\AppData\Local\Temp\OnboardLogs"\RTDC4053\*4053*201610201* | grep -SE "((Enforcement Ac)|(PRM))" -</v>
      </c>
      <c r="AD52" s="1"/>
    </row>
    <row r="53" spans="1:30" x14ac:dyDescent="0.25">
      <c r="A53" s="36">
        <v>42663.726724537039</v>
      </c>
      <c r="B53" s="31" t="s">
        <v>318</v>
      </c>
      <c r="C53" s="31" t="s">
        <v>424</v>
      </c>
      <c r="D53" s="31" t="s">
        <v>98</v>
      </c>
      <c r="E53" s="31" t="s">
        <v>252</v>
      </c>
      <c r="F53" s="47">
        <v>0</v>
      </c>
      <c r="G53" s="47">
        <v>54</v>
      </c>
      <c r="H53" s="47">
        <v>1784</v>
      </c>
      <c r="I53" s="47">
        <v>1838</v>
      </c>
      <c r="J53" s="31" t="s">
        <v>253</v>
      </c>
      <c r="K53" s="47">
        <v>1692</v>
      </c>
      <c r="L53" s="157" t="s">
        <v>50</v>
      </c>
      <c r="M53" s="158">
        <f t="shared" si="8"/>
        <v>-77.087999999999994</v>
      </c>
      <c r="N53" s="159" t="str">
        <f>VLOOKUP(C53,'Trips&amp;Operators'!$C$1:$E$99999,3,FALSE)</f>
        <v>CRAYTON</v>
      </c>
      <c r="O53" s="185" t="s">
        <v>248</v>
      </c>
      <c r="P53" s="160"/>
      <c r="Q53" s="31"/>
      <c r="R53" s="100" t="str">
        <f>VLOOKUP(C53,'Train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53" s="103" t="str">
        <f>VLOOKUP(C53,'Train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53" s="105" t="str">
        <f t="shared" si="9"/>
        <v>"C:\Program Files (x86)\AstroGrep\AstroGrep.exe" /spath="%USERPROFILE%\AppData\Local\Temp\OnboardLogs" /stypes="*4016*201610202*" /stext=" 23:.+((SYSTEM_STATE.+slice.+state.+changed )|(ment ac)|(system.+state.+changed )|(\[timeout)|(PRM\|1\|D)|(kpr)|(kdp)|(\|lc)|(penalty))" /e /r /s</v>
      </c>
      <c r="U53" s="9" t="str">
        <f t="shared" si="10"/>
        <v>4016</v>
      </c>
      <c r="V53" s="36">
        <f t="shared" si="11"/>
        <v>42663.976724537039</v>
      </c>
      <c r="W53" s="50" t="str">
        <f t="shared" si="12"/>
        <v>Other</v>
      </c>
      <c r="X53" s="50" t="str">
        <f t="shared" si="13"/>
        <v>KEEP</v>
      </c>
      <c r="Y53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{"issue":{"subject":"","project_id":79,"tracker_id":40,"status_id":1,"priority_id":2,"assigned_to_id":23,"start_date":"2016-10-20","description":"","custom_fields":[{"id":1,"name":"Subdivision","value":"Other"},{"id":4,"name":"Milepost","value":"0.1692"},{"id":17,"name":"Train ID","value":"59-20"},{"id":16,"name":"Locomotive ID","value":"4016"},{"id":130,"name":"Impact","value":""},{"id":150,"name":"Time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41" t="str">
        <f t="shared" si="15"/>
        <v>grep -hSE -A100 "Enforcement Action" "%USERPROFILE%\AppData\Local\Temp\OnboardLogs"\RTDC4016\*4016*201610202* | grep -SE "((Enforcement Ac)|(PRM))" -</v>
      </c>
      <c r="AD53" s="1"/>
    </row>
    <row r="54" spans="1:30" x14ac:dyDescent="0.25">
      <c r="A54" s="36">
        <v>42664.058333333334</v>
      </c>
      <c r="B54" s="31" t="s">
        <v>280</v>
      </c>
      <c r="C54" s="31" t="s">
        <v>436</v>
      </c>
      <c r="D54" s="31" t="s">
        <v>49</v>
      </c>
      <c r="E54" s="31" t="s">
        <v>252</v>
      </c>
      <c r="F54" s="47">
        <v>0</v>
      </c>
      <c r="G54" s="47">
        <v>117</v>
      </c>
      <c r="H54" s="47">
        <v>10498</v>
      </c>
      <c r="I54" s="47">
        <v>10629</v>
      </c>
      <c r="J54" s="31" t="s">
        <v>253</v>
      </c>
      <c r="K54" s="47">
        <v>10988</v>
      </c>
      <c r="L54" s="157" t="s">
        <v>50</v>
      </c>
      <c r="M54" s="158">
        <f t="shared" si="8"/>
        <v>189.55199999999999</v>
      </c>
      <c r="N54" s="159" t="str">
        <f>VLOOKUP(C54,'Trips&amp;Operators'!$C$1:$E$99999,3,FALSE)</f>
        <v>DELGADO</v>
      </c>
      <c r="O54" s="185" t="s">
        <v>248</v>
      </c>
      <c r="P54" s="160"/>
      <c r="Q54" s="31"/>
      <c r="R54" s="100" t="str">
        <f>VLOOKUP(C54,'Train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4" s="103" t="str">
        <f>VLOOKUP(C54,'Train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4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4" s="9" t="str">
        <f t="shared" si="10"/>
        <v>4029</v>
      </c>
      <c r="V54" s="36">
        <f t="shared" si="11"/>
        <v>42664.308333333334</v>
      </c>
      <c r="W54" s="50" t="str">
        <f t="shared" si="12"/>
        <v>Other</v>
      </c>
      <c r="X54" s="50" t="str">
        <f t="shared" si="13"/>
        <v>KEEP</v>
      </c>
      <c r="Y54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{"issue":{"subject":"","project_id":79,"tracker_id":40,"status_id":1,"priority_id":2,"assigned_to_id":23,"start_date":"2016-10-21","description":"","custom_fields":[{"id":1,"name":"Subdivision","value":"Other"},{"id":4,"name":"Milepost","value":"1.0988"},{"id":17,"name":"Train ID","value":"311-20"},{"id":16,"name":"Locomotive ID","value":"4029"},{"id":130,"name":"Impact","value":""},{"id":150,"name":"Time of Event (Mountain Time)","value":"01:24:00"},{"id":151,"name":"Denver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41" t="str">
        <f t="shared" si="15"/>
        <v>grep -hSE -A100 "Enforcement Action" "%USERPROFILE%\AppData\Local\Temp\OnboardLogs"\RTDC4029\*4029*201610210* | grep -SE "((Enforcement Ac)|(PRM))" -</v>
      </c>
      <c r="AD54" s="1"/>
    </row>
    <row r="55" spans="1:30" x14ac:dyDescent="0.25">
      <c r="A55" s="36">
        <v>42664.059618055559</v>
      </c>
      <c r="B55" s="31" t="s">
        <v>280</v>
      </c>
      <c r="C55" s="31" t="s">
        <v>436</v>
      </c>
      <c r="D55" s="31" t="s">
        <v>49</v>
      </c>
      <c r="E55" s="31" t="s">
        <v>252</v>
      </c>
      <c r="F55" s="47">
        <v>0</v>
      </c>
      <c r="G55" s="47">
        <v>207</v>
      </c>
      <c r="H55" s="47">
        <v>12669</v>
      </c>
      <c r="I55" s="47">
        <v>12906</v>
      </c>
      <c r="J55" s="31" t="s">
        <v>253</v>
      </c>
      <c r="K55" s="47">
        <v>13677</v>
      </c>
      <c r="L55" s="157" t="s">
        <v>50</v>
      </c>
      <c r="M55" s="158">
        <f t="shared" si="8"/>
        <v>407.08800000000002</v>
      </c>
      <c r="N55" s="159" t="str">
        <f>VLOOKUP(C55,'Trips&amp;Operators'!$C$1:$E$99999,3,FALSE)</f>
        <v>DELGADO</v>
      </c>
      <c r="O55" s="185" t="s">
        <v>248</v>
      </c>
      <c r="P55" s="160"/>
      <c r="Q55" s="31"/>
      <c r="R55" s="100" t="str">
        <f>VLOOKUP(C55,'Train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5" s="103" t="str">
        <f>VLOOKUP(C55,'Train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5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5" s="9" t="str">
        <f t="shared" si="10"/>
        <v>4029</v>
      </c>
      <c r="V55" s="36">
        <f t="shared" si="11"/>
        <v>42664.309618055559</v>
      </c>
      <c r="W55" s="50" t="str">
        <f t="shared" si="12"/>
        <v>Other</v>
      </c>
      <c r="X55" s="50" t="str">
        <f t="shared" si="13"/>
        <v>KEEP</v>
      </c>
      <c r="Y55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{"issue":{"subject":"","project_id":79,"tracker_id":40,"status_id":1,"priority_id":2,"assigned_to_id":23,"start_date":"2016-10-21","description":"","custom_fields":[{"id":1,"name":"Subdivision","value":"Other"},{"id":4,"name":"Milepost","value":"1.3677"},{"id":17,"name":"Train ID","value":"311-20"},{"id":16,"name":"Locomotive ID","value":"4029"},{"id":130,"name":"Impact","value":""},{"id":150,"name":"Time of Event (Mountain Time)","value":"01:25:51"},{"id":151,"name":"Denver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41" t="str">
        <f t="shared" si="15"/>
        <v>grep -hSE -A100 "Enforcement Action" "%USERPROFILE%\AppData\Local\Temp\OnboardLogs"\RTDC4029\*4029*201610210* | grep -SE "((Enforcement Ac)|(PRM))" -</v>
      </c>
      <c r="AD55" s="1"/>
    </row>
    <row r="56" spans="1:30" x14ac:dyDescent="0.25">
      <c r="A56" s="36">
        <v>42664.060960648145</v>
      </c>
      <c r="B56" s="31" t="s">
        <v>280</v>
      </c>
      <c r="C56" s="31" t="s">
        <v>436</v>
      </c>
      <c r="D56" s="31" t="s">
        <v>49</v>
      </c>
      <c r="E56" s="31" t="s">
        <v>252</v>
      </c>
      <c r="F56" s="47">
        <v>0</v>
      </c>
      <c r="G56" s="47">
        <v>307</v>
      </c>
      <c r="H56" s="47">
        <v>18399</v>
      </c>
      <c r="I56" s="47">
        <v>18953</v>
      </c>
      <c r="J56" s="31" t="s">
        <v>253</v>
      </c>
      <c r="K56" s="47">
        <v>18990</v>
      </c>
      <c r="L56" s="157" t="s">
        <v>50</v>
      </c>
      <c r="M56" s="158">
        <f t="shared" si="8"/>
        <v>19.536000000000001</v>
      </c>
      <c r="N56" s="159" t="str">
        <f>VLOOKUP(C56,'Trips&amp;Operators'!$C$1:$E$99999,3,FALSE)</f>
        <v>DELGADO</v>
      </c>
      <c r="O56" s="185" t="s">
        <v>248</v>
      </c>
      <c r="P56" s="160"/>
      <c r="Q56" s="31"/>
      <c r="R56" s="100" t="str">
        <f>VLOOKUP(C56,'Train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6" s="103" t="str">
        <f>VLOOKUP(C56,'Train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6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6" s="9" t="str">
        <f t="shared" si="10"/>
        <v>4029</v>
      </c>
      <c r="V56" s="36">
        <f t="shared" si="11"/>
        <v>42664.310960648145</v>
      </c>
      <c r="W56" s="50" t="str">
        <f t="shared" si="12"/>
        <v>Other</v>
      </c>
      <c r="X56" s="50" t="str">
        <f t="shared" si="13"/>
        <v>KEEP</v>
      </c>
      <c r="Y56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{"issue":{"subject":"","project_id":79,"tracker_id":40,"status_id":1,"priority_id":2,"assigned_to_id":23,"start_date":"2016-10-21","description":"","custom_fields":[{"id":1,"name":"Subdivision","value":"Other"},{"id":4,"name":"Milepost","value":"1.899"},{"id":17,"name":"Train ID","value":"311-20"},{"id":16,"name":"Locomotive ID","value":"4029"},{"id":130,"name":"Impact","value":""},{"id":150,"name":"Time of Event (Mountain Time)","value":"01:27:47"},{"id":151,"name":"Denver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41" t="str">
        <f t="shared" si="15"/>
        <v>grep -hSE -A100 "Enforcement Action" "%USERPROFILE%\AppData\Local\Temp\OnboardLogs"\RTDC4029\*4029*201610210* | grep -SE "((Enforcement Ac)|(PRM))" -</v>
      </c>
      <c r="AD56" s="1"/>
    </row>
    <row r="57" spans="1:30" hidden="1" x14ac:dyDescent="0.25">
      <c r="A57" s="36">
        <v>42663.416909722226</v>
      </c>
      <c r="B57" s="31" t="s">
        <v>293</v>
      </c>
      <c r="C57" s="31" t="s">
        <v>406</v>
      </c>
      <c r="D57" s="31" t="s">
        <v>98</v>
      </c>
      <c r="E57" s="31" t="s">
        <v>252</v>
      </c>
      <c r="F57" s="47">
        <v>0</v>
      </c>
      <c r="G57" s="47">
        <v>6</v>
      </c>
      <c r="H57" s="47">
        <v>19000</v>
      </c>
      <c r="I57" s="47">
        <v>18998</v>
      </c>
      <c r="J57" s="31" t="s">
        <v>253</v>
      </c>
      <c r="K57" s="47">
        <v>19000</v>
      </c>
      <c r="L57" s="157" t="s">
        <v>51</v>
      </c>
      <c r="M57" s="158">
        <f t="shared" si="8"/>
        <v>-1.056</v>
      </c>
      <c r="N57" s="159" t="str">
        <f>VLOOKUP(C57,'Trips&amp;Operators'!$C$1:$E$99999,3,FALSE)</f>
        <v>PELLITIER</v>
      </c>
      <c r="O57" s="185" t="s">
        <v>248</v>
      </c>
      <c r="P57" s="160"/>
      <c r="Q57" s="31"/>
      <c r="R57" s="100" t="str">
        <f>VLOOKUP(C57,'Train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7" s="103" t="str">
        <f>VLOOKUP(C57,'Train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7" s="105" t="str">
        <f t="shared" si="9"/>
        <v>"C:\Program Files (x86)\AstroGrep\AstroGrep.exe" /spath="%USERPROFILE%\AppData\Local\Temp\OnboardLogs" /stypes="*4054*201610201*" /stext=" 16:.+((SYSTEM_STATE.+slice.+state.+changed )|(ment ac)|(system.+state.+changed )|(\[timeout)|(PRM\|1\|D)|(kpr)|(kdp)|(\|lc)|(penalty))" /e /r /s</v>
      </c>
      <c r="U57" s="9" t="str">
        <f t="shared" si="10"/>
        <v>4054</v>
      </c>
      <c r="V57" s="36">
        <f t="shared" si="11"/>
        <v>42663.666909722226</v>
      </c>
      <c r="W57" s="50" t="str">
        <f t="shared" si="12"/>
        <v>Other</v>
      </c>
      <c r="X57" s="50" t="str">
        <f t="shared" si="13"/>
        <v>KEEP</v>
      </c>
      <c r="Y57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Time)","value":"10:00:21"},{"id":151,"name":"Denver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41" t="str">
        <f t="shared" si="15"/>
        <v>grep -hSE -A100 "Enforcement Action" "%USERPROFILE%\AppData\Local\Temp\OnboardLogs"\RTDC4054\*4054*201610201* | grep -SE "((Enforcement Ac)|(PRM))" -</v>
      </c>
      <c r="AD57" s="1"/>
    </row>
    <row r="58" spans="1:30" hidden="1" x14ac:dyDescent="0.25">
      <c r="A58" s="36">
        <v>42663.518391203703</v>
      </c>
      <c r="B58" s="31" t="s">
        <v>293</v>
      </c>
      <c r="C58" s="31" t="s">
        <v>406</v>
      </c>
      <c r="D58" s="31" t="s">
        <v>49</v>
      </c>
      <c r="E58" s="31" t="s">
        <v>252</v>
      </c>
      <c r="F58" s="47">
        <v>0</v>
      </c>
      <c r="G58" s="47">
        <v>262</v>
      </c>
      <c r="H58" s="47">
        <v>20068</v>
      </c>
      <c r="I58" s="47">
        <v>19640</v>
      </c>
      <c r="J58" s="31" t="s">
        <v>253</v>
      </c>
      <c r="K58" s="47">
        <v>19000</v>
      </c>
      <c r="L58" s="157" t="s">
        <v>51</v>
      </c>
      <c r="M58" s="158">
        <f t="shared" si="8"/>
        <v>337.92</v>
      </c>
      <c r="N58" s="159" t="str">
        <f>VLOOKUP(C58,'Trips&amp;Operators'!$C$1:$E$99999,3,FALSE)</f>
        <v>PELLITIER</v>
      </c>
      <c r="O58" s="185" t="s">
        <v>248</v>
      </c>
      <c r="P58" s="160"/>
      <c r="Q58" s="31"/>
      <c r="R58" s="100" t="str">
        <f>VLOOKUP(C58,'Train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8" s="103" t="str">
        <f>VLOOKUP(C58,'Train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8" s="105" t="str">
        <f t="shared" si="9"/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58" s="9" t="str">
        <f t="shared" si="10"/>
        <v>4054</v>
      </c>
      <c r="V58" s="36">
        <f t="shared" si="11"/>
        <v>42663.768391203703</v>
      </c>
      <c r="W58" s="50" t="str">
        <f t="shared" si="12"/>
        <v>Other</v>
      </c>
      <c r="X58" s="50" t="str">
        <f t="shared" si="13"/>
        <v>KEEP</v>
      </c>
      <c r="Y58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Time)","value":"12:26:29"},{"id":151,"name":"Denver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41" t="str">
        <f t="shared" si="15"/>
        <v>grep -hSE -A100 "Enforcement Action" "%USERPROFILE%\AppData\Local\Temp\OnboardLogs"\RTDC4054\*4054*201610201* | grep -SE "((Enforcement Ac)|(PRM))" -</v>
      </c>
      <c r="AD58" s="1"/>
    </row>
    <row r="59" spans="1:30" hidden="1" x14ac:dyDescent="0.25">
      <c r="A59" s="36">
        <v>42663.463750000003</v>
      </c>
      <c r="B59" s="31" t="s">
        <v>295</v>
      </c>
      <c r="C59" s="31" t="s">
        <v>406</v>
      </c>
      <c r="D59" s="31" t="s">
        <v>49</v>
      </c>
      <c r="E59" s="31" t="s">
        <v>252</v>
      </c>
      <c r="F59" s="47">
        <v>0</v>
      </c>
      <c r="G59" s="47">
        <v>256</v>
      </c>
      <c r="H59" s="47">
        <v>33306</v>
      </c>
      <c r="I59" s="47">
        <v>33851</v>
      </c>
      <c r="J59" s="31" t="s">
        <v>253</v>
      </c>
      <c r="K59" s="47">
        <v>34583</v>
      </c>
      <c r="L59" s="157" t="s">
        <v>50</v>
      </c>
      <c r="M59" s="158">
        <f t="shared" si="8"/>
        <v>386.49599999999998</v>
      </c>
      <c r="N59" s="159" t="str">
        <f>VLOOKUP(C59,'Trips&amp;Operators'!$C$1:$E$99999,3,FALSE)</f>
        <v>PELLITIER</v>
      </c>
      <c r="O59" s="185" t="s">
        <v>248</v>
      </c>
      <c r="P59" s="160"/>
      <c r="Q59" s="31"/>
      <c r="R59" s="100" t="str">
        <f>VLOOKUP(C59,'Train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9" s="103" t="str">
        <f>VLOOKUP(C59,'Train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9" s="105" t="str">
        <f t="shared" si="9"/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9" s="9" t="str">
        <f t="shared" si="10"/>
        <v>4053</v>
      </c>
      <c r="V59" s="36">
        <f t="shared" si="11"/>
        <v>42663.713750000003</v>
      </c>
      <c r="W59" s="50" t="str">
        <f t="shared" si="12"/>
        <v>Other</v>
      </c>
      <c r="X59" s="50" t="str">
        <f t="shared" si="13"/>
        <v>KEEP</v>
      </c>
      <c r="Y59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{"issue":{"subject":"","project_id":79,"tracker_id":40,"status_id":1,"priority_id":2,"assigned_to_id":23,"start_date":"2016-10-20","description":"","custom_fields":[{"id":1,"name":"Subdivision","value":"Other"},{"id":4,"name":"Milepost","value":"3.4583"},{"id":17,"name":"Train ID","value":"50-20"},{"id":16,"name":"Locomotive ID","value":"4053"},{"id":130,"name":"Impact","value":""},{"id":150,"name":"Time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41" t="str">
        <f t="shared" si="15"/>
        <v>grep -hSE -A100 "Enforcement Action" "%USERPROFILE%\AppData\Local\Temp\OnboardLogs"\RTDC4053\*4053*201610201* | grep -SE "((Enforcement Ac)|(PRM))" -</v>
      </c>
      <c r="AD59" s="1"/>
    </row>
    <row r="60" spans="1:30" hidden="1" x14ac:dyDescent="0.25">
      <c r="A60" s="36">
        <v>42663.414282407408</v>
      </c>
      <c r="B60" s="31" t="s">
        <v>293</v>
      </c>
      <c r="C60" s="31" t="s">
        <v>406</v>
      </c>
      <c r="D60" s="31" t="s">
        <v>98</v>
      </c>
      <c r="E60" s="31" t="s">
        <v>407</v>
      </c>
      <c r="F60" s="47">
        <v>0</v>
      </c>
      <c r="G60" s="47">
        <v>93</v>
      </c>
      <c r="H60" s="47">
        <v>23743</v>
      </c>
      <c r="I60" s="47">
        <v>23576</v>
      </c>
      <c r="J60" s="31" t="s">
        <v>408</v>
      </c>
      <c r="K60" s="47">
        <v>24235</v>
      </c>
      <c r="L60" s="157" t="s">
        <v>51</v>
      </c>
      <c r="M60" s="158">
        <f t="shared" si="8"/>
        <v>-347.952</v>
      </c>
      <c r="N60" s="159" t="str">
        <f>VLOOKUP(C60,'Trips&amp;Operators'!$C$1:$E$99999,3,FALSE)</f>
        <v>PELLITIER</v>
      </c>
      <c r="O60" s="185" t="s">
        <v>248</v>
      </c>
      <c r="P60" s="160"/>
      <c r="Q60" s="31"/>
      <c r="R60" s="100" t="str">
        <f>VLOOKUP(C60,'Train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0" s="103" t="str">
        <f>VLOOKUP(C60,'Train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0" s="105" t="str">
        <f t="shared" si="9"/>
        <v>"C:\Program Files (x86)\AstroGrep\AstroGrep.exe" /spath="%USERPROFILE%\AppData\Local\Temp\OnboardLogs" /stypes="*4054*201610201*" /stext=" 15:.+((SYSTEM_STATE.+slice.+state.+changed )|(ment ac)|(system.+state.+changed )|(\[timeout)|(PRM\|1\|D)|(kpr)|(kdp)|(\|lc)|(penalty))" /e /r /s</v>
      </c>
      <c r="U60" s="9" t="str">
        <f t="shared" si="10"/>
        <v>4054</v>
      </c>
      <c r="V60" s="36">
        <f t="shared" si="11"/>
        <v>42663.664282407408</v>
      </c>
      <c r="W60" s="50" t="str">
        <f t="shared" si="12"/>
        <v>Other</v>
      </c>
      <c r="X60" s="50" t="str">
        <f t="shared" si="13"/>
        <v>KEEP</v>
      </c>
      <c r="Y60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{"issue":{"subject":"","project_id":79,"tracker_id":40,"status_id":1,"priority_id":2,"assigned_to_id":23,"start_date":"2016-10-20","description":"","custom_fields":[{"id":1,"name":"Subdivision","value":"Other"},{"id":4,"name":"Milepost","value":"2.4235"},{"id":17,"name":"Train ID","value":"50-20"},{"id":16,"name":"Locomotive ID","value":"4054"},{"id":130,"name":"Impact","value":""},{"id":150,"name":"Time of Event (Mountain Time)","value":"09:56:34"},{"id":151,"name":"Denver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41" t="str">
        <f t="shared" si="15"/>
        <v>grep -hSE -A100 "Enforcement Action" "%USERPROFILE%\AppData\Local\Temp\OnboardLogs"\RTDC4054\*4054*201610201* | grep -SE "((Enforcement Ac)|(PRM))" -</v>
      </c>
      <c r="AD60" s="1"/>
    </row>
    <row r="61" spans="1:30" x14ac:dyDescent="0.25">
      <c r="A61" s="36">
        <v>42663.477881944447</v>
      </c>
      <c r="B61" s="31" t="s">
        <v>262</v>
      </c>
      <c r="C61" s="31" t="s">
        <v>410</v>
      </c>
      <c r="D61" s="31" t="s">
        <v>49</v>
      </c>
      <c r="E61" s="31" t="s">
        <v>254</v>
      </c>
      <c r="F61" s="47">
        <v>0</v>
      </c>
      <c r="G61" s="47">
        <v>24</v>
      </c>
      <c r="H61" s="47">
        <v>871</v>
      </c>
      <c r="I61" s="47">
        <v>843</v>
      </c>
      <c r="J61" s="31" t="s">
        <v>255</v>
      </c>
      <c r="K61" s="47">
        <v>826</v>
      </c>
      <c r="L61" s="157" t="s">
        <v>51</v>
      </c>
      <c r="M61" s="158">
        <f t="shared" si="8"/>
        <v>8.9760000000000009</v>
      </c>
      <c r="N61" s="159" t="str">
        <f>VLOOKUP(C61,'Trips&amp;Operators'!$C$1:$E$99999,3,FALSE)</f>
        <v>MOSES</v>
      </c>
      <c r="O61" s="185" t="s">
        <v>248</v>
      </c>
      <c r="P61" s="160"/>
      <c r="Q61" s="31"/>
      <c r="R61" s="100" t="str">
        <f>VLOOKUP(C61,'Train Runs'!$A$13:$AE$10024,31,0)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S61" s="103" t="str">
        <f>VLOOKUP(C61,'Train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1" s="105" t="str">
        <f t="shared" si="9"/>
        <v>"C:\Program Files (x86)\AstroGrep\AstroGrep.exe" /spath="%USERPROFILE%\AppData\Local\Temp\OnboardLogs" /stypes="*4001*201610201*" /stext=" 17:.+((SYSTEM_STATE.+slice.+state.+changed )|(ment ac)|(system.+state.+changed )|(\[timeout)|(PRM\|1\|D)|(kpr)|(kdp)|(\|lc)|(penalty))" /e /r /s</v>
      </c>
      <c r="U61" s="9" t="str">
        <f t="shared" si="10"/>
        <v>4001</v>
      </c>
      <c r="V61" s="36">
        <f t="shared" si="11"/>
        <v>42663.727881944447</v>
      </c>
      <c r="W61" s="50" t="str">
        <f t="shared" si="12"/>
        <v>Other</v>
      </c>
      <c r="X61" s="50" t="str">
        <f t="shared" si="13"/>
        <v>KEEP</v>
      </c>
      <c r="Y61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{"issue":{"subject":"","project_id":79,"tracker_id":40,"status_id":1,"priority_id":2,"assigned_to_id":23,"start_date":"2016-10-20","description":"","custom_fields":[{"id":1,"name":"Subdivision","value":"Other"},{"id":4,"name":"Milepost","value":"0.0826"},{"id":17,"name":"Train ID","value":"54-20"},{"id":16,"name":"Locomotive ID","value":"4001"},{"id":130,"name":"Impact","value":""},{"id":150,"name":"Time of Event (Mountain Time)","value":"11:28:09"},{"id":151,"name":"Denver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41" t="str">
        <f t="shared" si="15"/>
        <v>grep -hSE -A100 "Enforcement Action" "%USERPROFILE%\AppData\Local\Temp\OnboardLogs"\RTDC4001\*4001*201610201* | grep -SE "((Enforcement Ac)|(PRM))" -</v>
      </c>
      <c r="AD61" s="1"/>
    </row>
    <row r="62" spans="1:30" x14ac:dyDescent="0.25">
      <c r="A62" s="36">
        <v>42663.756296296298</v>
      </c>
      <c r="B62" s="31" t="s">
        <v>216</v>
      </c>
      <c r="C62" s="31" t="s">
        <v>426</v>
      </c>
      <c r="D62" s="31" t="s">
        <v>98</v>
      </c>
      <c r="E62" s="31" t="s">
        <v>254</v>
      </c>
      <c r="F62" s="47">
        <v>0</v>
      </c>
      <c r="G62" s="47">
        <v>10</v>
      </c>
      <c r="H62" s="47">
        <v>839</v>
      </c>
      <c r="I62" s="47">
        <v>0</v>
      </c>
      <c r="J62" s="31" t="s">
        <v>255</v>
      </c>
      <c r="K62" s="47">
        <v>839</v>
      </c>
      <c r="L62" s="157" t="s">
        <v>51</v>
      </c>
      <c r="M62" s="158">
        <f t="shared" si="8"/>
        <v>-442.99200000000002</v>
      </c>
      <c r="N62" s="159" t="str">
        <f>VLOOKUP(C62,'Trips&amp;Operators'!$C$1:$E$99999,3,FALSE)</f>
        <v>MATTHEWS</v>
      </c>
      <c r="O62" s="185" t="s">
        <v>248</v>
      </c>
      <c r="P62" s="160"/>
      <c r="Q62" s="31"/>
      <c r="R62" s="100" t="str">
        <f>VLOOKUP(C62,'Train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62" s="103" t="str">
        <f>VLOOKUP(C62,'Train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2" s="105" t="str">
        <f t="shared" si="9"/>
        <v>"C:\Program Files (x86)\AstroGrep\AstroGrep.exe" /spath="%USERPROFILE%\AppData\Local\Temp\OnboardLogs" /stypes="*4032*201610210*" /stext=" 00:.+((SYSTEM_STATE.+slice.+state.+changed )|(ment ac)|(system.+state.+changed )|(\[timeout)|(PRM\|1\|D)|(kpr)|(kdp)|(\|lc)|(penalty))" /e /r /s</v>
      </c>
      <c r="U62" s="9" t="str">
        <f t="shared" si="10"/>
        <v>4032</v>
      </c>
      <c r="V62" s="36">
        <f t="shared" si="11"/>
        <v>42664.006296296298</v>
      </c>
      <c r="W62" s="50" t="str">
        <f t="shared" si="12"/>
        <v>Other</v>
      </c>
      <c r="X62" s="50" t="str">
        <f t="shared" si="13"/>
        <v>KEEP</v>
      </c>
      <c r="Y62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{"issue":{"subject":"","project_id":79,"tracker_id":40,"status_id":1,"priority_id":2,"assigned_to_id":23,"start_date":"2016-10-20","description":"","custom_fields":[{"id":1,"name":"Subdivision","value":"Other"},{"id":4,"name":"Milepost","value":"0.0839"},{"id":17,"name":"Train ID","value":"58-20"},{"id":16,"name":"Locomotive ID","value":"4032"},{"id":130,"name":"Impact","value":""},{"id":150,"name":"Time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41" t="str">
        <f t="shared" si="15"/>
        <v>grep -hSE -A100 "Enforcement Action" "%USERPROFILE%\AppData\Local\Temp\OnboardLogs"\RTDC4032\*4032*201610210* | grep -SE "((Enforcement Ac)|(PRM))" -</v>
      </c>
      <c r="AD62" s="1"/>
    </row>
    <row r="63" spans="1:30" hidden="1" x14ac:dyDescent="0.25">
      <c r="A63" s="36">
        <v>42663.502025462964</v>
      </c>
      <c r="B63" s="31" t="s">
        <v>295</v>
      </c>
      <c r="C63" s="31" t="s">
        <v>406</v>
      </c>
      <c r="D63" s="31" t="s">
        <v>49</v>
      </c>
      <c r="E63" s="31" t="s">
        <v>413</v>
      </c>
      <c r="F63" s="47">
        <v>0</v>
      </c>
      <c r="G63" s="47">
        <v>247</v>
      </c>
      <c r="H63" s="47">
        <v>23968</v>
      </c>
      <c r="I63" s="47">
        <v>24507</v>
      </c>
      <c r="J63" s="31" t="s">
        <v>154</v>
      </c>
      <c r="K63" s="47">
        <v>25500</v>
      </c>
      <c r="L63" s="157" t="s">
        <v>50</v>
      </c>
      <c r="M63" s="158">
        <f t="shared" si="8"/>
        <v>524.30399999999997</v>
      </c>
      <c r="N63" s="159" t="str">
        <f>VLOOKUP(C63,'Trips&amp;Operators'!$C$1:$E$99999,3,FALSE)</f>
        <v>PELLITIER</v>
      </c>
      <c r="O63" s="185" t="s">
        <v>248</v>
      </c>
      <c r="P63" s="160"/>
      <c r="Q63" s="31"/>
      <c r="R63" s="100" t="str">
        <f>VLOOKUP(C63,'Train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3" s="103" t="str">
        <f>VLOOKUP(C63,'Train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3" s="105" t="str">
        <f t="shared" si="9"/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63" s="9" t="str">
        <f t="shared" si="10"/>
        <v>4053</v>
      </c>
      <c r="V63" s="36">
        <f t="shared" si="11"/>
        <v>42663.752025462964</v>
      </c>
      <c r="W63" s="50" t="str">
        <f t="shared" si="12"/>
        <v>Other</v>
      </c>
      <c r="X63" s="50" t="str">
        <f t="shared" si="13"/>
        <v>KEEP</v>
      </c>
      <c r="Y63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{"issue":{"subject":"","project_id":79,"tracker_id":40,"status_id":1,"priority_id":2,"assigned_to_id":23,"start_date":"2016-10-20","description":"","custom_fields":[{"id":1,"name":"Subdivision","value":"Other"},{"id":4,"name":"Milepost","value":"2.55"},{"id":17,"name":"Train ID","value":"50-20"},{"id":16,"name":"Locomotive ID","value":"4053"},{"id":130,"name":"Impact","value":""},{"id":150,"name":"Time of Event (Mountain Time)","value":"12:02:55"},{"id":151,"name":"Denver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41" t="str">
        <f t="shared" si="15"/>
        <v>grep -hSE -A100 "Enforcement Action" "%USERPROFILE%\AppData\Local\Temp\OnboardLogs"\RTDC4053\*4053*201610201* | grep -SE "((Enforcement Ac)|(PRM))" -</v>
      </c>
      <c r="AD63" s="1"/>
    </row>
    <row r="64" spans="1:30" hidden="1" x14ac:dyDescent="0.25">
      <c r="A64" s="36">
        <v>42663.515289351853</v>
      </c>
      <c r="B64" s="31" t="s">
        <v>293</v>
      </c>
      <c r="C64" s="31" t="s">
        <v>406</v>
      </c>
      <c r="D64" s="31" t="s">
        <v>49</v>
      </c>
      <c r="E64" s="31" t="s">
        <v>413</v>
      </c>
      <c r="F64" s="47">
        <v>0</v>
      </c>
      <c r="G64" s="47">
        <v>170</v>
      </c>
      <c r="H64" s="47">
        <v>27618</v>
      </c>
      <c r="I64" s="47">
        <v>27370</v>
      </c>
      <c r="J64" s="31" t="s">
        <v>154</v>
      </c>
      <c r="K64" s="47">
        <v>27101</v>
      </c>
      <c r="L64" s="157" t="s">
        <v>51</v>
      </c>
      <c r="M64" s="158">
        <f t="shared" si="8"/>
        <v>142.03200000000001</v>
      </c>
      <c r="N64" s="159" t="str">
        <f>VLOOKUP(C64,'Trips&amp;Operators'!$C$1:$E$99999,3,FALSE)</f>
        <v>PELLITIER</v>
      </c>
      <c r="O64" s="185" t="s">
        <v>248</v>
      </c>
      <c r="P64" s="160"/>
      <c r="Q64" s="31"/>
      <c r="R64" s="100" t="str">
        <f>VLOOKUP(C64,'Train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4" s="103" t="str">
        <f>VLOOKUP(C64,'Train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4" s="105" t="str">
        <f t="shared" si="9"/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64" s="9" t="str">
        <f t="shared" si="10"/>
        <v>4054</v>
      </c>
      <c r="V64" s="36">
        <f t="shared" si="11"/>
        <v>42663.765289351853</v>
      </c>
      <c r="W64" s="50" t="str">
        <f t="shared" si="12"/>
        <v>Other</v>
      </c>
      <c r="X64" s="50" t="str">
        <f t="shared" si="13"/>
        <v>KEEP</v>
      </c>
      <c r="Y64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{"issue":{"subject":"","project_id":79,"tracker_id":40,"status_id":1,"priority_id":2,"assigned_to_id":23,"start_date":"2016-10-20","description":"","custom_fields":[{"id":1,"name":"Subdivision","value":"Other"},{"id":4,"name":"Milepost","value":"2.7101"},{"id":17,"name":"Train ID","value":"50-20"},{"id":16,"name":"Locomotive ID","value":"4054"},{"id":130,"name":"Impact","value":""},{"id":150,"name":"Time of Event (Mountain Time)","value":"12:22:01"},{"id":151,"name":"Denver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41" t="str">
        <f t="shared" si="15"/>
        <v>grep -hSE -A100 "Enforcement Action" "%USERPROFILE%\AppData\Local\Temp\OnboardLogs"\RTDC4054\*4054*201610201* | grep -SE "((Enforcement Ac)|(PRM))" -</v>
      </c>
      <c r="AD64" s="1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P67"/>
      <c r="R67"/>
      <c r="S67"/>
      <c r="T67"/>
      <c r="V67"/>
      <c r="AC67"/>
    </row>
  </sheetData>
  <autoFilter ref="A6:AC66">
    <filterColumn colId="2">
      <filters blank="1">
        <filter val="112-20"/>
        <filter val="121-20"/>
        <filter val="123-20"/>
        <filter val="125-20"/>
        <filter val="130-20"/>
        <filter val="132-20"/>
        <filter val="138-20"/>
        <filter val="147-20"/>
        <filter val="157-20"/>
        <filter val="160-20"/>
        <filter val="161-20"/>
        <filter val="172-20"/>
        <filter val="180-20"/>
        <filter val="188-20"/>
        <filter val="199-20"/>
        <filter val="207-20"/>
        <filter val="217-20"/>
        <filter val="226-20"/>
        <filter val="239-20"/>
        <filter val="241-20"/>
        <filter val="242-20"/>
        <filter val="311-20"/>
        <filter val="54-20"/>
        <filter val="55-20"/>
        <filter val="58-20"/>
        <filter val="59-20"/>
        <filter val="801-20"/>
        <filter val="809-20"/>
        <filter val="814-20"/>
        <filter val="819-20"/>
        <filter val="820-20"/>
        <filter val="827-20"/>
        <filter val="829-20"/>
        <filter val="831-20"/>
        <filter val="834-20"/>
        <filter val="835-20"/>
        <filter val="840-20"/>
      </filters>
    </filterColumn>
    <sortState ref="A7:AC66">
      <sortCondition ref="W7:W64"/>
      <sortCondition ref="E7:E64"/>
      <sortCondition ref="K7:K64"/>
      <sortCondition ref="F7:F6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64">
    <cfRule type="cellIs" dxfId="1" priority="2" operator="equal">
      <formula>"Y"</formula>
    </cfRule>
  </conditionalFormatting>
  <conditionalFormatting sqref="A7:P64">
    <cfRule type="expression" dxfId="0" priority="1">
      <formula>$O7="Y"</formula>
    </cfRule>
  </conditionalFormatting>
  <hyperlinks>
    <hyperlink ref="Z2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AB7:AB64</xm:sqref>
        </x14:dataValidation>
        <x14:dataValidation type="list" allowBlank="1" showInputMessage="1" showErrorMessage="1">
          <x14:formula1>
            <xm:f>'Redmine List Values'!$A$2:$A$7</xm:f>
          </x14:formula1>
          <xm:sqref>AA7:AA64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2016-10-20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-20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Runs'!$A$13:$A$100021,1,FALSE)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-20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Runs'!$A$13:$A$100021,1,FALSE)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-20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Runs'!$A$13:$A$100021,1,FALSE)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-20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Runs'!$A$13:$A$100021,1,FALSE)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-20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Runs'!$A$13:$A$100021,1,FALSE)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-20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8" s="31" t="e">
        <f>VLOOKUP(B8,'Train Runs'!$A$13:$A$100021,1,FALSE)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-20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9" s="31" t="e">
        <f>VLOOKUP(B9,'Train Runs'!$A$13:$A$100021,1,FALSE)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-20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0" s="31" t="e">
        <f>VLOOKUP(B10,'Train Runs'!$A$13:$A$100021,1,FALSE)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-20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1" s="31" t="e">
        <f>VLOOKUP(B11,'Train Runs'!$A$13:$A$100021,1,FALSE)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-20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2" s="31" t="e">
        <f>VLOOKUP(B12,'Train Runs'!$A$13:$A$100021,1,FALSE)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-20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3" s="31" t="e">
        <f>VLOOKUP(B13,'Train Runs'!$A$13:$A$100021,1,FALSE)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-20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4" s="31" t="e">
        <f>VLOOKUP(B14,'Train Runs'!$A$13:$A$100021,1,FALSE)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-20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5" s="31" t="e">
        <f>VLOOKUP(B15,'Train Runs'!$A$13:$A$100021,1,FALSE)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-20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6" s="31" t="e">
        <f>VLOOKUP(B16,'Train Runs'!$A$13:$A$100021,1,FALSE)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42663.05269675926</v>
      </c>
      <c r="B2" s="21" t="s">
        <v>198</v>
      </c>
      <c r="C2" s="21" t="s">
        <v>366</v>
      </c>
      <c r="D2" s="21">
        <v>1480000</v>
      </c>
      <c r="E2" s="21" t="s">
        <v>191</v>
      </c>
      <c r="F2" s="21" t="str">
        <f t="shared" ref="F2:F65" si="0">B2</f>
        <v>rtdc.l.rtdc.4046:itc</v>
      </c>
      <c r="G2" s="8">
        <f t="shared" ref="G2:G65" si="1">A2</f>
        <v>42663.05269675926</v>
      </c>
    </row>
    <row r="3" spans="1:7" x14ac:dyDescent="0.25">
      <c r="A3" s="8">
        <v>42663.054305555554</v>
      </c>
      <c r="B3" s="21" t="s">
        <v>262</v>
      </c>
      <c r="C3" s="21" t="s">
        <v>357</v>
      </c>
      <c r="D3" s="21">
        <v>1300000</v>
      </c>
      <c r="E3" s="21" t="s">
        <v>114</v>
      </c>
      <c r="F3" s="21" t="str">
        <f t="shared" si="0"/>
        <v>rtdc.l.rtdc.4001:itc</v>
      </c>
      <c r="G3" s="8">
        <f t="shared" si="1"/>
        <v>42663.054305555554</v>
      </c>
    </row>
    <row r="4" spans="1:7" x14ac:dyDescent="0.25">
      <c r="A4" s="8">
        <v>42663.127766203703</v>
      </c>
      <c r="B4" s="21" t="s">
        <v>281</v>
      </c>
      <c r="C4" s="21" t="s">
        <v>438</v>
      </c>
      <c r="D4" s="21">
        <v>2010000</v>
      </c>
      <c r="E4" s="21" t="s">
        <v>359</v>
      </c>
      <c r="F4" s="21" t="str">
        <f t="shared" si="0"/>
        <v>rtdc.l.rtdc.4030:itc</v>
      </c>
      <c r="G4" s="8">
        <f t="shared" si="1"/>
        <v>42663.127766203703</v>
      </c>
    </row>
    <row r="5" spans="1:7" x14ac:dyDescent="0.25">
      <c r="A5" s="8">
        <v>42663.136574074073</v>
      </c>
      <c r="B5" s="21" t="s">
        <v>196</v>
      </c>
      <c r="C5" s="21" t="s">
        <v>439</v>
      </c>
      <c r="D5" s="21">
        <v>2010000</v>
      </c>
      <c r="E5" s="21" t="s">
        <v>359</v>
      </c>
      <c r="F5" s="21" t="str">
        <f t="shared" si="0"/>
        <v>rtdc.l.rtdc.4044:itc</v>
      </c>
      <c r="G5" s="8">
        <f t="shared" si="1"/>
        <v>42663.136574074073</v>
      </c>
    </row>
    <row r="6" spans="1:7" x14ac:dyDescent="0.25">
      <c r="A6" s="8">
        <v>42663.162847222222</v>
      </c>
      <c r="B6" s="21" t="s">
        <v>257</v>
      </c>
      <c r="C6" s="21" t="s">
        <v>440</v>
      </c>
      <c r="D6" s="21">
        <v>1360000</v>
      </c>
      <c r="E6" s="21" t="s">
        <v>441</v>
      </c>
      <c r="F6" s="21" t="str">
        <f t="shared" si="0"/>
        <v>rtdc.l.rtdc.4028:itc</v>
      </c>
      <c r="G6" s="8">
        <f t="shared" si="1"/>
        <v>42663.162847222222</v>
      </c>
    </row>
    <row r="7" spans="1:7" x14ac:dyDescent="0.25">
      <c r="A7" s="8">
        <v>42663.163402777776</v>
      </c>
      <c r="B7" s="21" t="s">
        <v>257</v>
      </c>
      <c r="C7" s="21" t="s">
        <v>442</v>
      </c>
      <c r="D7" s="21">
        <v>1360000</v>
      </c>
      <c r="E7" s="21" t="s">
        <v>441</v>
      </c>
      <c r="F7" s="21" t="str">
        <f t="shared" si="0"/>
        <v>rtdc.l.rtdc.4028:itc</v>
      </c>
      <c r="G7" s="8">
        <f t="shared" si="1"/>
        <v>42663.163402777776</v>
      </c>
    </row>
    <row r="8" spans="1:7" x14ac:dyDescent="0.25">
      <c r="A8" s="8">
        <v>42663.165983796294</v>
      </c>
      <c r="B8" s="21" t="s">
        <v>318</v>
      </c>
      <c r="C8" s="21" t="s">
        <v>443</v>
      </c>
      <c r="D8" s="21">
        <v>1090000</v>
      </c>
      <c r="E8" s="21" t="s">
        <v>294</v>
      </c>
      <c r="F8" s="21" t="str">
        <f t="shared" si="0"/>
        <v>rtdc.l.rtdc.4016:itc</v>
      </c>
      <c r="G8" s="8">
        <f t="shared" si="1"/>
        <v>42663.165983796294</v>
      </c>
    </row>
    <row r="9" spans="1:7" ht="15.75" thickBot="1" x14ac:dyDescent="0.3">
      <c r="A9" s="25">
        <v>42663.171064814815</v>
      </c>
      <c r="B9" s="21" t="s">
        <v>281</v>
      </c>
      <c r="C9" s="21" t="s">
        <v>444</v>
      </c>
      <c r="D9" s="21">
        <v>2010000</v>
      </c>
      <c r="E9" s="21" t="s">
        <v>359</v>
      </c>
      <c r="F9" s="21" t="str">
        <f t="shared" si="0"/>
        <v>rtdc.l.rtdc.4030:itc</v>
      </c>
      <c r="G9" s="8">
        <f t="shared" si="1"/>
        <v>42663.171064814815</v>
      </c>
    </row>
    <row r="10" spans="1:7" x14ac:dyDescent="0.25">
      <c r="A10" s="8">
        <v>42663.177476851852</v>
      </c>
      <c r="B10" s="21" t="s">
        <v>403</v>
      </c>
      <c r="C10" s="21" t="s">
        <v>440</v>
      </c>
      <c r="D10" s="21">
        <v>1360000</v>
      </c>
      <c r="E10" s="21" t="s">
        <v>441</v>
      </c>
      <c r="F10" s="21" t="str">
        <f t="shared" si="0"/>
        <v>rtdc.l.rtdc.4006:itc</v>
      </c>
      <c r="G10" s="8">
        <f t="shared" si="1"/>
        <v>42663.177476851852</v>
      </c>
    </row>
    <row r="11" spans="1:7" x14ac:dyDescent="0.25">
      <c r="A11" s="8">
        <v>42663.185300925928</v>
      </c>
      <c r="B11" s="21" t="s">
        <v>273</v>
      </c>
      <c r="C11" s="21" t="s">
        <v>445</v>
      </c>
      <c r="D11" s="21">
        <v>1760000</v>
      </c>
      <c r="E11" s="21" t="s">
        <v>361</v>
      </c>
      <c r="F11" s="21" t="str">
        <f t="shared" si="0"/>
        <v>rtdc.l.rtdc.4011:itc</v>
      </c>
      <c r="G11" s="8">
        <f t="shared" si="1"/>
        <v>42663.185300925928</v>
      </c>
    </row>
    <row r="12" spans="1:7" x14ac:dyDescent="0.25">
      <c r="A12" s="8">
        <v>42663.196701388886</v>
      </c>
      <c r="B12" s="21" t="s">
        <v>261</v>
      </c>
      <c r="C12" s="21" t="s">
        <v>446</v>
      </c>
      <c r="D12" s="21">
        <v>900000</v>
      </c>
      <c r="E12" s="21" t="s">
        <v>296</v>
      </c>
      <c r="F12" s="21" t="str">
        <f t="shared" si="0"/>
        <v>rtdc.l.rtdc.4042:itc</v>
      </c>
      <c r="G12" s="8">
        <f t="shared" si="1"/>
        <v>42663.196701388886</v>
      </c>
    </row>
    <row r="13" spans="1:7" x14ac:dyDescent="0.25">
      <c r="A13" s="8">
        <v>42663.204837962963</v>
      </c>
      <c r="B13" s="21" t="s">
        <v>400</v>
      </c>
      <c r="C13" s="21" t="s">
        <v>447</v>
      </c>
      <c r="D13" s="21">
        <v>1090000</v>
      </c>
      <c r="E13" s="21" t="s">
        <v>294</v>
      </c>
      <c r="F13" s="21" t="str">
        <f t="shared" si="0"/>
        <v>rtdc.l.rtdc.4037:itc</v>
      </c>
      <c r="G13" s="8">
        <f t="shared" si="1"/>
        <v>42663.204837962963</v>
      </c>
    </row>
    <row r="14" spans="1:7" x14ac:dyDescent="0.25">
      <c r="A14" s="8">
        <v>42663.205520833333</v>
      </c>
      <c r="B14" s="21" t="s">
        <v>196</v>
      </c>
      <c r="C14" s="21" t="s">
        <v>448</v>
      </c>
      <c r="D14" s="21">
        <v>1110000</v>
      </c>
      <c r="E14" s="21" t="s">
        <v>360</v>
      </c>
      <c r="F14" s="21" t="str">
        <f t="shared" si="0"/>
        <v>rtdc.l.rtdc.4044:itc</v>
      </c>
      <c r="G14" s="8">
        <f t="shared" si="1"/>
        <v>42663.205520833333</v>
      </c>
    </row>
    <row r="15" spans="1:7" x14ac:dyDescent="0.25">
      <c r="A15" s="8">
        <v>42663.206875000003</v>
      </c>
      <c r="B15" s="21" t="s">
        <v>257</v>
      </c>
      <c r="C15" s="21" t="s">
        <v>449</v>
      </c>
      <c r="D15" s="21">
        <v>1360000</v>
      </c>
      <c r="E15" s="21" t="s">
        <v>441</v>
      </c>
      <c r="F15" s="21" t="str">
        <f t="shared" si="0"/>
        <v>rtdc.l.rtdc.4028:itc</v>
      </c>
      <c r="G15" s="8">
        <f t="shared" si="1"/>
        <v>42663.206875000003</v>
      </c>
    </row>
    <row r="16" spans="1:7" x14ac:dyDescent="0.25">
      <c r="A16" s="8">
        <v>42663.20789351852</v>
      </c>
      <c r="B16" s="21" t="s">
        <v>257</v>
      </c>
      <c r="C16" s="21" t="s">
        <v>449</v>
      </c>
      <c r="D16" s="21">
        <v>1360000</v>
      </c>
      <c r="E16" s="21" t="s">
        <v>441</v>
      </c>
      <c r="F16" s="21" t="str">
        <f t="shared" si="0"/>
        <v>rtdc.l.rtdc.4028:itc</v>
      </c>
      <c r="G16" s="8">
        <f t="shared" si="1"/>
        <v>42663.20789351852</v>
      </c>
    </row>
    <row r="17" spans="1:7" x14ac:dyDescent="0.25">
      <c r="A17" s="8">
        <v>42663.211597222224</v>
      </c>
      <c r="B17" s="21" t="s">
        <v>293</v>
      </c>
      <c r="C17" s="21" t="s">
        <v>450</v>
      </c>
      <c r="D17" s="21">
        <v>1830000</v>
      </c>
      <c r="E17" s="21" t="s">
        <v>451</v>
      </c>
      <c r="F17" s="21" t="str">
        <f t="shared" si="0"/>
        <v>rtdc.l.rtdc.4054:itc</v>
      </c>
      <c r="G17" s="8">
        <f t="shared" si="1"/>
        <v>42663.211597222224</v>
      </c>
    </row>
    <row r="18" spans="1:7" x14ac:dyDescent="0.25">
      <c r="A18" s="8">
        <v>42663.211631944447</v>
      </c>
      <c r="B18" s="21" t="s">
        <v>257</v>
      </c>
      <c r="C18" s="21" t="s">
        <v>449</v>
      </c>
      <c r="D18" s="21">
        <v>1360000</v>
      </c>
      <c r="E18" s="21" t="s">
        <v>441</v>
      </c>
      <c r="F18" s="21" t="str">
        <f t="shared" si="0"/>
        <v>rtdc.l.rtdc.4028:itc</v>
      </c>
      <c r="G18" s="8">
        <f t="shared" si="1"/>
        <v>42663.211631944447</v>
      </c>
    </row>
    <row r="19" spans="1:7" x14ac:dyDescent="0.25">
      <c r="A19" s="8">
        <v>42663.214849537035</v>
      </c>
      <c r="B19" s="21" t="s">
        <v>280</v>
      </c>
      <c r="C19" s="21" t="s">
        <v>452</v>
      </c>
      <c r="D19" s="21">
        <v>2010000</v>
      </c>
      <c r="E19" s="21" t="s">
        <v>359</v>
      </c>
      <c r="F19" s="21" t="str">
        <f t="shared" si="0"/>
        <v>rtdc.l.rtdc.4029:itc</v>
      </c>
      <c r="G19" s="8">
        <f t="shared" si="1"/>
        <v>42663.214849537035</v>
      </c>
    </row>
    <row r="20" spans="1:7" x14ac:dyDescent="0.25">
      <c r="A20" s="8">
        <v>42663.21597222222</v>
      </c>
      <c r="B20" s="21" t="s">
        <v>280</v>
      </c>
      <c r="C20" s="21" t="s">
        <v>452</v>
      </c>
      <c r="D20" s="21">
        <v>2010000</v>
      </c>
      <c r="E20" s="21" t="s">
        <v>359</v>
      </c>
      <c r="F20" s="21" t="str">
        <f t="shared" si="0"/>
        <v>rtdc.l.rtdc.4029:itc</v>
      </c>
      <c r="G20" s="8">
        <f t="shared" si="1"/>
        <v>42663.21597222222</v>
      </c>
    </row>
    <row r="21" spans="1:7" x14ac:dyDescent="0.25">
      <c r="A21" s="8">
        <v>42663.22278935185</v>
      </c>
      <c r="B21" s="21" t="s">
        <v>188</v>
      </c>
      <c r="C21" s="21" t="s">
        <v>453</v>
      </c>
      <c r="D21" s="21">
        <v>1190000</v>
      </c>
      <c r="E21" s="21" t="s">
        <v>321</v>
      </c>
      <c r="F21" s="21" t="str">
        <f t="shared" si="0"/>
        <v>rtdc.l.rtdc.4018:itc</v>
      </c>
      <c r="G21" s="8">
        <f t="shared" si="1"/>
        <v>42663.22278935185</v>
      </c>
    </row>
    <row r="22" spans="1:7" x14ac:dyDescent="0.25">
      <c r="A22" s="27">
        <v>42663.223275462966</v>
      </c>
      <c r="B22" s="21" t="s">
        <v>272</v>
      </c>
      <c r="C22" s="21" t="s">
        <v>454</v>
      </c>
      <c r="D22" s="21">
        <v>1760000</v>
      </c>
      <c r="E22" s="21" t="s">
        <v>361</v>
      </c>
      <c r="F22" s="21" t="str">
        <f t="shared" si="0"/>
        <v>rtdc.l.rtdc.4012:itc</v>
      </c>
      <c r="G22" s="8">
        <f t="shared" si="1"/>
        <v>42663.223275462966</v>
      </c>
    </row>
    <row r="23" spans="1:7" x14ac:dyDescent="0.25">
      <c r="A23" s="8">
        <v>42663.235543981478</v>
      </c>
      <c r="B23" s="21" t="s">
        <v>263</v>
      </c>
      <c r="C23" s="21" t="s">
        <v>455</v>
      </c>
      <c r="D23" s="21">
        <v>900000</v>
      </c>
      <c r="E23" s="21" t="s">
        <v>296</v>
      </c>
      <c r="F23" s="21" t="str">
        <f t="shared" si="0"/>
        <v>rtdc.l.rtdc.4041:itc</v>
      </c>
      <c r="G23" s="8">
        <f t="shared" si="1"/>
        <v>42663.235543981478</v>
      </c>
    </row>
    <row r="24" spans="1:7" x14ac:dyDescent="0.25">
      <c r="A24" s="8">
        <v>42663.24013888889</v>
      </c>
      <c r="B24" s="21" t="s">
        <v>456</v>
      </c>
      <c r="C24" s="21" t="s">
        <v>457</v>
      </c>
      <c r="D24" s="21">
        <v>1090000</v>
      </c>
      <c r="E24" s="21" t="s">
        <v>294</v>
      </c>
      <c r="F24" s="21" t="str">
        <f t="shared" si="0"/>
        <v>rtdc.l.rtdc.4038:itc</v>
      </c>
      <c r="G24" s="8">
        <f t="shared" si="1"/>
        <v>42663.24013888889</v>
      </c>
    </row>
    <row r="25" spans="1:7" x14ac:dyDescent="0.25">
      <c r="A25" s="8">
        <v>42663.243958333333</v>
      </c>
      <c r="B25" s="21" t="s">
        <v>318</v>
      </c>
      <c r="C25" s="21" t="s">
        <v>392</v>
      </c>
      <c r="D25" s="21">
        <v>1830000</v>
      </c>
      <c r="E25" s="21" t="s">
        <v>451</v>
      </c>
      <c r="F25" s="21" t="str">
        <f t="shared" si="0"/>
        <v>rtdc.l.rtdc.4016:itc</v>
      </c>
      <c r="G25" s="8">
        <f t="shared" si="1"/>
        <v>42663.243958333333</v>
      </c>
    </row>
    <row r="26" spans="1:7" x14ac:dyDescent="0.25">
      <c r="A26" s="8">
        <v>42663.246249999997</v>
      </c>
      <c r="B26" s="21" t="s">
        <v>214</v>
      </c>
      <c r="C26" s="21" t="s">
        <v>458</v>
      </c>
      <c r="D26" s="21">
        <v>2100000</v>
      </c>
      <c r="E26" s="21" t="s">
        <v>459</v>
      </c>
      <c r="F26" s="21" t="str">
        <f t="shared" si="0"/>
        <v>rtdc.l.rtdc.4039:itc</v>
      </c>
      <c r="G26" s="8">
        <f t="shared" si="1"/>
        <v>42663.246249999997</v>
      </c>
    </row>
    <row r="27" spans="1:7" x14ac:dyDescent="0.25">
      <c r="A27" s="8">
        <v>42663.246388888889</v>
      </c>
      <c r="B27" s="21" t="s">
        <v>211</v>
      </c>
      <c r="C27" s="21" t="s">
        <v>393</v>
      </c>
      <c r="D27" s="21">
        <v>1110000</v>
      </c>
      <c r="E27" s="21" t="s">
        <v>360</v>
      </c>
      <c r="F27" s="21" t="str">
        <f t="shared" si="0"/>
        <v>rtdc.l.rtdc.4043:itc</v>
      </c>
      <c r="G27" s="8">
        <f t="shared" si="1"/>
        <v>42663.246388888889</v>
      </c>
    </row>
    <row r="28" spans="1:7" x14ac:dyDescent="0.25">
      <c r="A28" s="8">
        <v>42663.246932870374</v>
      </c>
      <c r="B28" s="21" t="s">
        <v>403</v>
      </c>
      <c r="C28" s="21" t="s">
        <v>460</v>
      </c>
      <c r="D28" s="21">
        <v>1360000</v>
      </c>
      <c r="E28" s="21" t="s">
        <v>441</v>
      </c>
      <c r="F28" s="21" t="str">
        <f t="shared" si="0"/>
        <v>rtdc.l.rtdc.4006:itc</v>
      </c>
      <c r="G28" s="8">
        <f t="shared" si="1"/>
        <v>42663.246932870374</v>
      </c>
    </row>
    <row r="29" spans="1:7" x14ac:dyDescent="0.25">
      <c r="A29" s="8">
        <v>42663.248136574075</v>
      </c>
      <c r="B29" s="21" t="s">
        <v>403</v>
      </c>
      <c r="C29" s="21" t="s">
        <v>460</v>
      </c>
      <c r="D29" s="21">
        <v>1360000</v>
      </c>
      <c r="E29" s="21" t="s">
        <v>441</v>
      </c>
      <c r="F29" s="21" t="str">
        <f t="shared" si="0"/>
        <v>rtdc.l.rtdc.4006:itc</v>
      </c>
      <c r="G29" s="8">
        <f t="shared" si="1"/>
        <v>42663.248136574075</v>
      </c>
    </row>
    <row r="30" spans="1:7" x14ac:dyDescent="0.25">
      <c r="A30" s="8">
        <v>42663.254074074073</v>
      </c>
      <c r="B30" s="21" t="s">
        <v>281</v>
      </c>
      <c r="C30" s="21" t="s">
        <v>461</v>
      </c>
      <c r="D30" s="21">
        <v>2010000</v>
      </c>
      <c r="E30" s="21" t="s">
        <v>359</v>
      </c>
      <c r="F30" s="21" t="str">
        <f t="shared" si="0"/>
        <v>rtdc.l.rtdc.4030:itc</v>
      </c>
      <c r="G30" s="8">
        <f t="shared" si="1"/>
        <v>42663.254074074073</v>
      </c>
    </row>
    <row r="31" spans="1:7" x14ac:dyDescent="0.25">
      <c r="A31" s="8">
        <v>42663.257743055554</v>
      </c>
      <c r="B31" s="21" t="s">
        <v>256</v>
      </c>
      <c r="C31" s="21" t="s">
        <v>462</v>
      </c>
      <c r="D31" s="21">
        <v>2100000</v>
      </c>
      <c r="E31" s="21" t="s">
        <v>459</v>
      </c>
      <c r="F31" s="21" t="str">
        <f t="shared" si="0"/>
        <v>rtdc.l.rtdc.4040:itc</v>
      </c>
      <c r="G31" s="8">
        <f t="shared" si="1"/>
        <v>42663.257743055554</v>
      </c>
    </row>
    <row r="32" spans="1:7" x14ac:dyDescent="0.25">
      <c r="A32" s="8">
        <v>42663.257928240739</v>
      </c>
      <c r="B32" s="21" t="s">
        <v>319</v>
      </c>
      <c r="C32" s="21" t="s">
        <v>463</v>
      </c>
      <c r="D32" s="21">
        <v>1830000</v>
      </c>
      <c r="E32" s="21" t="s">
        <v>451</v>
      </c>
      <c r="F32" s="21" t="str">
        <f t="shared" si="0"/>
        <v>rtdc.l.rtdc.4015:itc</v>
      </c>
      <c r="G32" s="8">
        <f t="shared" si="1"/>
        <v>42663.257928240739</v>
      </c>
    </row>
    <row r="33" spans="1:7" x14ac:dyDescent="0.25">
      <c r="A33" s="8">
        <v>42663.258680555555</v>
      </c>
      <c r="B33" s="21" t="s">
        <v>251</v>
      </c>
      <c r="C33" s="21" t="s">
        <v>464</v>
      </c>
      <c r="D33" s="21">
        <v>1190000</v>
      </c>
      <c r="E33" s="21" t="s">
        <v>321</v>
      </c>
      <c r="F33" s="21" t="str">
        <f t="shared" si="0"/>
        <v>rtdc.l.rtdc.4017:itc</v>
      </c>
      <c r="G33" s="8">
        <f t="shared" si="1"/>
        <v>42663.258680555555</v>
      </c>
    </row>
    <row r="34" spans="1:7" x14ac:dyDescent="0.25">
      <c r="A34" s="8">
        <v>42663.258831018517</v>
      </c>
      <c r="B34" s="21" t="s">
        <v>273</v>
      </c>
      <c r="C34" s="21" t="s">
        <v>397</v>
      </c>
      <c r="D34" s="21">
        <v>1760000</v>
      </c>
      <c r="E34" s="21" t="s">
        <v>361</v>
      </c>
      <c r="F34" s="21" t="str">
        <f t="shared" si="0"/>
        <v>rtdc.l.rtdc.4011:itc</v>
      </c>
      <c r="G34" s="8">
        <f t="shared" si="1"/>
        <v>42663.258831018517</v>
      </c>
    </row>
    <row r="35" spans="1:7" x14ac:dyDescent="0.25">
      <c r="A35" s="8">
        <v>42663.266840277778</v>
      </c>
      <c r="B35" s="21" t="s">
        <v>261</v>
      </c>
      <c r="C35" s="21" t="s">
        <v>394</v>
      </c>
      <c r="D35" s="21">
        <v>900000</v>
      </c>
      <c r="E35" s="21" t="s">
        <v>296</v>
      </c>
      <c r="F35" s="21" t="str">
        <f t="shared" si="0"/>
        <v>rtdc.l.rtdc.4042:itc</v>
      </c>
      <c r="G35" s="8">
        <f t="shared" si="1"/>
        <v>42663.266840277778</v>
      </c>
    </row>
    <row r="36" spans="1:7" x14ac:dyDescent="0.25">
      <c r="A36" s="8">
        <v>42663.271631944444</v>
      </c>
      <c r="B36" s="21" t="s">
        <v>318</v>
      </c>
      <c r="C36" s="21" t="s">
        <v>465</v>
      </c>
      <c r="D36" s="21">
        <v>1830000</v>
      </c>
      <c r="E36" s="21" t="s">
        <v>451</v>
      </c>
      <c r="F36" s="21" t="str">
        <f t="shared" si="0"/>
        <v>rtdc.l.rtdc.4016:itc</v>
      </c>
      <c r="G36" s="8">
        <f t="shared" si="1"/>
        <v>42663.271631944444</v>
      </c>
    </row>
    <row r="37" spans="1:7" x14ac:dyDescent="0.25">
      <c r="A37" s="8">
        <v>42663.274317129632</v>
      </c>
      <c r="B37" s="21" t="s">
        <v>400</v>
      </c>
      <c r="C37" s="21" t="s">
        <v>466</v>
      </c>
      <c r="D37" s="21">
        <v>1090000</v>
      </c>
      <c r="E37" s="21" t="s">
        <v>294</v>
      </c>
      <c r="F37" s="21" t="str">
        <f t="shared" si="0"/>
        <v>rtdc.l.rtdc.4037:itc</v>
      </c>
      <c r="G37" s="8">
        <f t="shared" si="1"/>
        <v>42663.274317129632</v>
      </c>
    </row>
    <row r="38" spans="1:7" x14ac:dyDescent="0.25">
      <c r="A38" s="8">
        <v>42663.276018518518</v>
      </c>
      <c r="B38" s="21" t="s">
        <v>214</v>
      </c>
      <c r="C38" s="21" t="s">
        <v>467</v>
      </c>
      <c r="D38" s="21">
        <v>2100000</v>
      </c>
      <c r="E38" s="21" t="s">
        <v>459</v>
      </c>
      <c r="F38" s="21" t="str">
        <f t="shared" si="0"/>
        <v>rtdc.l.rtdc.4039:itc</v>
      </c>
      <c r="G38" s="8">
        <f t="shared" si="1"/>
        <v>42663.276018518518</v>
      </c>
    </row>
    <row r="39" spans="1:7" x14ac:dyDescent="0.25">
      <c r="A39" s="8">
        <v>42663.276516203703</v>
      </c>
      <c r="B39" s="21" t="s">
        <v>431</v>
      </c>
      <c r="C39" s="21" t="s">
        <v>468</v>
      </c>
      <c r="D39" s="21">
        <v>1360000</v>
      </c>
      <c r="E39" s="21" t="s">
        <v>441</v>
      </c>
      <c r="F39" s="21" t="str">
        <f t="shared" si="0"/>
        <v>rtdc.l.rtdc.4005:itc</v>
      </c>
      <c r="G39" s="8">
        <f t="shared" si="1"/>
        <v>42663.276516203703</v>
      </c>
    </row>
    <row r="40" spans="1:7" x14ac:dyDescent="0.25">
      <c r="A40" s="8">
        <v>42663.278194444443</v>
      </c>
      <c r="B40" s="26" t="s">
        <v>196</v>
      </c>
      <c r="C40" s="21" t="s">
        <v>396</v>
      </c>
      <c r="D40" s="21">
        <v>1110000</v>
      </c>
      <c r="E40" s="21" t="s">
        <v>360</v>
      </c>
      <c r="F40" s="21" t="str">
        <f t="shared" si="0"/>
        <v>rtdc.l.rtdc.4044:itc</v>
      </c>
      <c r="G40" s="8">
        <f t="shared" si="1"/>
        <v>42663.278194444443</v>
      </c>
    </row>
    <row r="41" spans="1:7" x14ac:dyDescent="0.25">
      <c r="A41" s="8">
        <v>42663.288645833331</v>
      </c>
      <c r="B41" s="21" t="s">
        <v>280</v>
      </c>
      <c r="C41" s="21" t="s">
        <v>469</v>
      </c>
      <c r="D41" s="21">
        <v>2010000</v>
      </c>
      <c r="E41" s="21" t="s">
        <v>359</v>
      </c>
      <c r="F41" s="21" t="str">
        <f t="shared" si="0"/>
        <v>rtdc.l.rtdc.4029:itc</v>
      </c>
      <c r="G41" s="8">
        <f t="shared" si="1"/>
        <v>42663.288645833331</v>
      </c>
    </row>
    <row r="42" spans="1:7" x14ac:dyDescent="0.25">
      <c r="A42" s="8">
        <v>42663.296157407407</v>
      </c>
      <c r="B42" s="21" t="s">
        <v>272</v>
      </c>
      <c r="C42" s="21" t="s">
        <v>470</v>
      </c>
      <c r="D42" s="21">
        <v>1760000</v>
      </c>
      <c r="E42" s="21" t="s">
        <v>361</v>
      </c>
      <c r="F42" s="21" t="str">
        <f t="shared" si="0"/>
        <v>rtdc.l.rtdc.4012:itc</v>
      </c>
      <c r="G42" s="8">
        <f t="shared" si="1"/>
        <v>42663.296157407407</v>
      </c>
    </row>
    <row r="43" spans="1:7" x14ac:dyDescent="0.25">
      <c r="A43" s="8">
        <v>42663.297048611108</v>
      </c>
      <c r="B43" s="21" t="s">
        <v>188</v>
      </c>
      <c r="C43" s="21" t="s">
        <v>471</v>
      </c>
      <c r="D43" s="21">
        <v>1190000</v>
      </c>
      <c r="E43" s="21" t="s">
        <v>321</v>
      </c>
      <c r="F43" s="21" t="str">
        <f t="shared" si="0"/>
        <v>rtdc.l.rtdc.4018:itc</v>
      </c>
      <c r="G43" s="8">
        <f t="shared" si="1"/>
        <v>42663.297048611108</v>
      </c>
    </row>
    <row r="44" spans="1:7" x14ac:dyDescent="0.25">
      <c r="A44" s="8">
        <v>42663.297824074078</v>
      </c>
      <c r="B44" s="21" t="s">
        <v>319</v>
      </c>
      <c r="C44" s="21" t="s">
        <v>465</v>
      </c>
      <c r="D44" s="21">
        <v>1830000</v>
      </c>
      <c r="E44" s="21" t="s">
        <v>451</v>
      </c>
      <c r="F44" s="21" t="str">
        <f t="shared" si="0"/>
        <v>rtdc.l.rtdc.4015:itc</v>
      </c>
      <c r="G44" s="8">
        <f t="shared" si="1"/>
        <v>42663.297824074078</v>
      </c>
    </row>
    <row r="45" spans="1:7" x14ac:dyDescent="0.25">
      <c r="A45" s="8">
        <v>42663.298576388886</v>
      </c>
      <c r="B45" s="21" t="s">
        <v>319</v>
      </c>
      <c r="C45" s="21" t="s">
        <v>472</v>
      </c>
      <c r="D45" s="21">
        <v>1830000</v>
      </c>
      <c r="E45" s="21" t="s">
        <v>451</v>
      </c>
      <c r="F45" s="21" t="str">
        <f t="shared" si="0"/>
        <v>rtdc.l.rtdc.4015:itc</v>
      </c>
      <c r="G45" s="8">
        <f t="shared" si="1"/>
        <v>42663.298576388886</v>
      </c>
    </row>
    <row r="46" spans="1:7" x14ac:dyDescent="0.25">
      <c r="A46" s="8">
        <v>42663.298703703702</v>
      </c>
      <c r="B46" s="21" t="s">
        <v>256</v>
      </c>
      <c r="C46" s="21" t="s">
        <v>473</v>
      </c>
      <c r="D46" s="21">
        <v>2100000</v>
      </c>
      <c r="E46" s="21" t="s">
        <v>459</v>
      </c>
      <c r="F46" s="21" t="str">
        <f t="shared" si="0"/>
        <v>rtdc.l.rtdc.4040:itc</v>
      </c>
      <c r="G46" s="8">
        <f t="shared" si="1"/>
        <v>42663.298703703702</v>
      </c>
    </row>
    <row r="47" spans="1:7" x14ac:dyDescent="0.25">
      <c r="A47" s="8">
        <v>42663.308865740742</v>
      </c>
      <c r="B47" s="21" t="s">
        <v>263</v>
      </c>
      <c r="C47" s="21" t="s">
        <v>474</v>
      </c>
      <c r="D47" s="21">
        <v>900000</v>
      </c>
      <c r="E47" s="21" t="s">
        <v>296</v>
      </c>
      <c r="F47" s="21" t="str">
        <f t="shared" si="0"/>
        <v>rtdc.l.rtdc.4041:itc</v>
      </c>
      <c r="G47" s="8">
        <f t="shared" si="1"/>
        <v>42663.308865740742</v>
      </c>
    </row>
    <row r="48" spans="1:7" x14ac:dyDescent="0.25">
      <c r="A48" s="8">
        <v>42663.310671296298</v>
      </c>
      <c r="B48" s="21" t="s">
        <v>456</v>
      </c>
      <c r="C48" s="21" t="s">
        <v>475</v>
      </c>
      <c r="D48" s="21">
        <v>1090000</v>
      </c>
      <c r="E48" s="21" t="s">
        <v>294</v>
      </c>
      <c r="F48" s="21" t="str">
        <f t="shared" si="0"/>
        <v>rtdc.l.rtdc.4038:itc</v>
      </c>
      <c r="G48" s="8">
        <f t="shared" si="1"/>
        <v>42663.310671296298</v>
      </c>
    </row>
    <row r="49" spans="1:7" x14ac:dyDescent="0.25">
      <c r="A49" s="8">
        <v>42663.312222222223</v>
      </c>
      <c r="B49" s="21" t="s">
        <v>318</v>
      </c>
      <c r="C49" s="21" t="s">
        <v>398</v>
      </c>
      <c r="D49" s="21">
        <v>1830000</v>
      </c>
      <c r="E49" s="21" t="s">
        <v>451</v>
      </c>
      <c r="F49" s="21" t="str">
        <f t="shared" si="0"/>
        <v>rtdc.l.rtdc.4016:itc</v>
      </c>
      <c r="G49" s="8">
        <f t="shared" si="1"/>
        <v>42663.312222222223</v>
      </c>
    </row>
    <row r="50" spans="1:7" x14ac:dyDescent="0.25">
      <c r="A50" s="8">
        <v>42663.316354166665</v>
      </c>
      <c r="B50" s="21" t="s">
        <v>211</v>
      </c>
      <c r="C50" s="21" t="s">
        <v>476</v>
      </c>
      <c r="D50" s="21">
        <v>1110000</v>
      </c>
      <c r="E50" s="21" t="s">
        <v>360</v>
      </c>
      <c r="F50" s="21" t="str">
        <f t="shared" si="0"/>
        <v>rtdc.l.rtdc.4043:itc</v>
      </c>
      <c r="G50" s="8">
        <f t="shared" si="1"/>
        <v>42663.316354166665</v>
      </c>
    </row>
    <row r="51" spans="1:7" x14ac:dyDescent="0.25">
      <c r="A51" s="8">
        <v>42663.317256944443</v>
      </c>
      <c r="B51" s="21" t="s">
        <v>214</v>
      </c>
      <c r="C51" s="21" t="s">
        <v>477</v>
      </c>
      <c r="D51" s="21">
        <v>2100000</v>
      </c>
      <c r="E51" s="21" t="s">
        <v>459</v>
      </c>
      <c r="F51" s="21" t="str">
        <f t="shared" si="0"/>
        <v>rtdc.l.rtdc.4039:itc</v>
      </c>
      <c r="G51" s="8">
        <f t="shared" si="1"/>
        <v>42663.317256944443</v>
      </c>
    </row>
    <row r="52" spans="1:7" x14ac:dyDescent="0.25">
      <c r="A52" s="8">
        <v>42663.319189814814</v>
      </c>
      <c r="B52" s="21" t="s">
        <v>403</v>
      </c>
      <c r="C52" s="21" t="s">
        <v>478</v>
      </c>
      <c r="D52" s="21">
        <v>1360000</v>
      </c>
      <c r="E52" s="21" t="s">
        <v>441</v>
      </c>
      <c r="F52" s="21" t="str">
        <f t="shared" si="0"/>
        <v>rtdc.l.rtdc.4006:itc</v>
      </c>
      <c r="G52" s="8">
        <f t="shared" si="1"/>
        <v>42663.319189814814</v>
      </c>
    </row>
    <row r="53" spans="1:7" x14ac:dyDescent="0.25">
      <c r="A53" s="8">
        <v>42663.324247685188</v>
      </c>
      <c r="B53" s="21" t="s">
        <v>281</v>
      </c>
      <c r="C53" s="21" t="s">
        <v>479</v>
      </c>
      <c r="D53" s="21">
        <v>2010000</v>
      </c>
      <c r="E53" s="21" t="s">
        <v>359</v>
      </c>
      <c r="F53" s="21" t="str">
        <f t="shared" si="0"/>
        <v>rtdc.l.rtdc.4030:itc</v>
      </c>
      <c r="G53" s="8">
        <f t="shared" si="1"/>
        <v>42663.324247685188</v>
      </c>
    </row>
    <row r="54" spans="1:7" x14ac:dyDescent="0.25">
      <c r="A54" s="8">
        <v>42663.330324074072</v>
      </c>
      <c r="B54" s="21" t="s">
        <v>273</v>
      </c>
      <c r="C54" s="21" t="s">
        <v>480</v>
      </c>
      <c r="D54" s="21">
        <v>1760000</v>
      </c>
      <c r="E54" s="21" t="s">
        <v>361</v>
      </c>
      <c r="F54" s="21" t="str">
        <f t="shared" si="0"/>
        <v>rtdc.l.rtdc.4011:itc</v>
      </c>
      <c r="G54" s="8">
        <f t="shared" si="1"/>
        <v>42663.330324074072</v>
      </c>
    </row>
    <row r="55" spans="1:7" x14ac:dyDescent="0.25">
      <c r="A55" s="8">
        <v>42663.337951388887</v>
      </c>
      <c r="B55" s="21" t="s">
        <v>251</v>
      </c>
      <c r="C55" s="21" t="s">
        <v>399</v>
      </c>
      <c r="D55" s="21">
        <v>1190000</v>
      </c>
      <c r="E55" s="21" t="s">
        <v>321</v>
      </c>
      <c r="F55" s="21" t="str">
        <f t="shared" si="0"/>
        <v>rtdc.l.rtdc.4017:itc</v>
      </c>
      <c r="G55" s="8">
        <f t="shared" si="1"/>
        <v>42663.337951388887</v>
      </c>
    </row>
    <row r="56" spans="1:7" x14ac:dyDescent="0.25">
      <c r="A56" s="8">
        <v>42663.339444444442</v>
      </c>
      <c r="B56" s="21" t="s">
        <v>319</v>
      </c>
      <c r="C56" s="21" t="s">
        <v>481</v>
      </c>
      <c r="D56" s="21">
        <v>1830000</v>
      </c>
      <c r="E56" s="21" t="s">
        <v>451</v>
      </c>
      <c r="F56" s="21" t="str">
        <f t="shared" si="0"/>
        <v>rtdc.l.rtdc.4015:itc</v>
      </c>
      <c r="G56" s="8">
        <f t="shared" si="1"/>
        <v>42663.339444444442</v>
      </c>
    </row>
    <row r="57" spans="1:7" x14ac:dyDescent="0.25">
      <c r="A57" s="8">
        <v>42663.340856481482</v>
      </c>
      <c r="B57" s="21" t="s">
        <v>261</v>
      </c>
      <c r="C57" s="21" t="s">
        <v>482</v>
      </c>
      <c r="D57" s="21">
        <v>900000</v>
      </c>
      <c r="E57" s="21" t="s">
        <v>296</v>
      </c>
      <c r="F57" s="21" t="str">
        <f t="shared" si="0"/>
        <v>rtdc.l.rtdc.4042:itc</v>
      </c>
      <c r="G57" s="8">
        <f t="shared" si="1"/>
        <v>42663.340856481482</v>
      </c>
    </row>
    <row r="58" spans="1:7" x14ac:dyDescent="0.25">
      <c r="A58" s="8">
        <v>42663.341435185182</v>
      </c>
      <c r="B58" s="21" t="s">
        <v>256</v>
      </c>
      <c r="C58" s="21" t="s">
        <v>483</v>
      </c>
      <c r="D58" s="21">
        <v>2100000</v>
      </c>
      <c r="E58" s="21" t="s">
        <v>459</v>
      </c>
      <c r="F58" s="21" t="str">
        <f t="shared" si="0"/>
        <v>rtdc.l.rtdc.4040:itc</v>
      </c>
      <c r="G58" s="8">
        <f t="shared" si="1"/>
        <v>42663.341435185182</v>
      </c>
    </row>
    <row r="59" spans="1:7" x14ac:dyDescent="0.25">
      <c r="A59" s="8">
        <v>42663.345254629632</v>
      </c>
      <c r="B59" s="21" t="s">
        <v>400</v>
      </c>
      <c r="C59" s="21" t="s">
        <v>401</v>
      </c>
      <c r="D59" s="21">
        <v>1090000</v>
      </c>
      <c r="E59" s="21" t="s">
        <v>294</v>
      </c>
      <c r="F59" s="21" t="str">
        <f t="shared" si="0"/>
        <v>rtdc.l.rtdc.4037:itc</v>
      </c>
      <c r="G59" s="8">
        <f t="shared" si="1"/>
        <v>42663.345254629632</v>
      </c>
    </row>
    <row r="60" spans="1:7" x14ac:dyDescent="0.25">
      <c r="A60" s="8">
        <v>42663.349178240744</v>
      </c>
      <c r="B60" s="21" t="s">
        <v>431</v>
      </c>
      <c r="C60" s="21" t="s">
        <v>484</v>
      </c>
      <c r="D60" s="21">
        <v>1360000</v>
      </c>
      <c r="E60" s="21" t="s">
        <v>441</v>
      </c>
      <c r="F60" s="21" t="str">
        <f t="shared" si="0"/>
        <v>rtdc.l.rtdc.4005:itc</v>
      </c>
      <c r="G60" s="8">
        <f t="shared" si="1"/>
        <v>42663.349178240744</v>
      </c>
    </row>
    <row r="61" spans="1:7" x14ac:dyDescent="0.25">
      <c r="A61" s="8">
        <v>42663.350254629629</v>
      </c>
      <c r="B61" s="21" t="s">
        <v>196</v>
      </c>
      <c r="C61" s="21" t="s">
        <v>485</v>
      </c>
      <c r="D61" s="21">
        <v>1110000</v>
      </c>
      <c r="E61" s="21" t="s">
        <v>360</v>
      </c>
      <c r="F61" s="21" t="str">
        <f t="shared" si="0"/>
        <v>rtdc.l.rtdc.4044:itc</v>
      </c>
      <c r="G61" s="8">
        <f t="shared" si="1"/>
        <v>42663.350254629629</v>
      </c>
    </row>
    <row r="62" spans="1:7" x14ac:dyDescent="0.25">
      <c r="A62" s="8">
        <v>42663.356608796297</v>
      </c>
      <c r="B62" s="21" t="s">
        <v>295</v>
      </c>
      <c r="C62" s="21" t="s">
        <v>486</v>
      </c>
      <c r="D62" s="21">
        <v>1830000</v>
      </c>
      <c r="E62" s="21" t="s">
        <v>451</v>
      </c>
      <c r="F62" s="21" t="str">
        <f t="shared" si="0"/>
        <v>rtdc.l.rtdc.4053:itc</v>
      </c>
      <c r="G62" s="8">
        <f t="shared" si="1"/>
        <v>42663.356608796297</v>
      </c>
    </row>
    <row r="63" spans="1:7" x14ac:dyDescent="0.25">
      <c r="A63" s="8">
        <v>42663.358912037038</v>
      </c>
      <c r="B63" s="21" t="s">
        <v>214</v>
      </c>
      <c r="C63" s="21" t="s">
        <v>487</v>
      </c>
      <c r="D63" s="21">
        <v>2100000</v>
      </c>
      <c r="E63" s="21" t="s">
        <v>459</v>
      </c>
      <c r="F63" s="21" t="str">
        <f t="shared" si="0"/>
        <v>rtdc.l.rtdc.4039:itc</v>
      </c>
      <c r="G63" s="8">
        <f t="shared" si="1"/>
        <v>42663.358912037038</v>
      </c>
    </row>
    <row r="64" spans="1:7" x14ac:dyDescent="0.25">
      <c r="A64" s="27">
        <v>42663.359780092593</v>
      </c>
      <c r="B64" s="21" t="s">
        <v>280</v>
      </c>
      <c r="C64" s="21" t="s">
        <v>488</v>
      </c>
      <c r="D64" s="21">
        <v>2010000</v>
      </c>
      <c r="E64" s="21" t="s">
        <v>359</v>
      </c>
      <c r="F64" s="21" t="str">
        <f t="shared" si="0"/>
        <v>rtdc.l.rtdc.4029:itc</v>
      </c>
      <c r="G64" s="8">
        <f t="shared" si="1"/>
        <v>42663.359780092593</v>
      </c>
    </row>
    <row r="65" spans="1:7" x14ac:dyDescent="0.25">
      <c r="A65" s="8">
        <v>42663.368969907409</v>
      </c>
      <c r="B65" s="21" t="s">
        <v>272</v>
      </c>
      <c r="C65" s="21" t="s">
        <v>489</v>
      </c>
      <c r="D65" s="21">
        <v>1760000</v>
      </c>
      <c r="E65" s="21" t="s">
        <v>361</v>
      </c>
      <c r="F65" s="21" t="str">
        <f t="shared" si="0"/>
        <v>rtdc.l.rtdc.4012:itc</v>
      </c>
      <c r="G65" s="8">
        <f t="shared" si="1"/>
        <v>42663.368969907409</v>
      </c>
    </row>
    <row r="66" spans="1:7" x14ac:dyDescent="0.25">
      <c r="A66" s="8">
        <v>42663.369664351849</v>
      </c>
      <c r="B66" s="21" t="s">
        <v>188</v>
      </c>
      <c r="C66" s="21" t="s">
        <v>490</v>
      </c>
      <c r="D66" s="21">
        <v>1190000</v>
      </c>
      <c r="E66" s="21" t="s">
        <v>321</v>
      </c>
      <c r="F66" s="21" t="str">
        <f t="shared" ref="F66:F129" si="2">B66</f>
        <v>rtdc.l.rtdc.4018:itc</v>
      </c>
      <c r="G66" s="8">
        <f t="shared" ref="G66:G129" si="3">A66</f>
        <v>42663.369664351849</v>
      </c>
    </row>
    <row r="67" spans="1:7" x14ac:dyDescent="0.25">
      <c r="A67" s="8">
        <v>42663.374050925922</v>
      </c>
      <c r="B67" s="21" t="s">
        <v>256</v>
      </c>
      <c r="C67" s="21" t="s">
        <v>491</v>
      </c>
      <c r="D67" s="21">
        <v>2100000</v>
      </c>
      <c r="E67" s="21" t="s">
        <v>459</v>
      </c>
      <c r="F67" s="21" t="str">
        <f t="shared" si="2"/>
        <v>rtdc.l.rtdc.4040:itc</v>
      </c>
      <c r="G67" s="8">
        <f t="shared" si="3"/>
        <v>42663.374050925922</v>
      </c>
    </row>
    <row r="68" spans="1:7" x14ac:dyDescent="0.25">
      <c r="A68" s="8">
        <v>42663.378680555557</v>
      </c>
      <c r="B68" s="21" t="s">
        <v>263</v>
      </c>
      <c r="C68" s="21" t="s">
        <v>402</v>
      </c>
      <c r="D68" s="21">
        <v>900000</v>
      </c>
      <c r="E68" s="21" t="s">
        <v>296</v>
      </c>
      <c r="F68" s="21" t="str">
        <f t="shared" si="2"/>
        <v>rtdc.l.rtdc.4041:itc</v>
      </c>
      <c r="G68" s="8">
        <f t="shared" si="3"/>
        <v>42663.378680555557</v>
      </c>
    </row>
    <row r="69" spans="1:7" x14ac:dyDescent="0.25">
      <c r="A69" s="8">
        <v>42663.383206018516</v>
      </c>
      <c r="B69" s="21" t="s">
        <v>456</v>
      </c>
      <c r="C69" s="21" t="s">
        <v>492</v>
      </c>
      <c r="D69" s="21">
        <v>1090000</v>
      </c>
      <c r="E69" s="21" t="s">
        <v>294</v>
      </c>
      <c r="F69" s="21" t="str">
        <f t="shared" si="2"/>
        <v>rtdc.l.rtdc.4038:itc</v>
      </c>
      <c r="G69" s="8">
        <f t="shared" si="3"/>
        <v>42663.383206018516</v>
      </c>
    </row>
    <row r="70" spans="1:7" x14ac:dyDescent="0.25">
      <c r="A70" s="8">
        <v>42663.390555555554</v>
      </c>
      <c r="B70" s="21" t="s">
        <v>403</v>
      </c>
      <c r="C70" s="21" t="s">
        <v>404</v>
      </c>
      <c r="D70" s="21">
        <v>1360000</v>
      </c>
      <c r="E70" s="21" t="s">
        <v>441</v>
      </c>
      <c r="F70" s="21" t="str">
        <f t="shared" si="2"/>
        <v>rtdc.l.rtdc.4006:itc</v>
      </c>
      <c r="G70" s="8">
        <f t="shared" si="3"/>
        <v>42663.390555555554</v>
      </c>
    </row>
    <row r="71" spans="1:7" x14ac:dyDescent="0.25">
      <c r="A71" s="8">
        <v>42663.391168981485</v>
      </c>
      <c r="B71" s="21" t="s">
        <v>211</v>
      </c>
      <c r="C71" s="21" t="s">
        <v>493</v>
      </c>
      <c r="D71" s="21">
        <v>1110000</v>
      </c>
      <c r="E71" s="21" t="s">
        <v>360</v>
      </c>
      <c r="F71" s="21" t="str">
        <f t="shared" si="2"/>
        <v>rtdc.l.rtdc.4043:itc</v>
      </c>
      <c r="G71" s="8">
        <f t="shared" si="3"/>
        <v>42663.391168981485</v>
      </c>
    </row>
    <row r="72" spans="1:7" x14ac:dyDescent="0.25">
      <c r="A72" s="8">
        <v>42663.395682870374</v>
      </c>
      <c r="B72" s="21" t="s">
        <v>281</v>
      </c>
      <c r="C72" s="21" t="s">
        <v>494</v>
      </c>
      <c r="D72" s="21">
        <v>2010000</v>
      </c>
      <c r="E72" s="21" t="s">
        <v>359</v>
      </c>
      <c r="F72" s="21" t="str">
        <f t="shared" si="2"/>
        <v>rtdc.l.rtdc.4030:itc</v>
      </c>
      <c r="G72" s="8">
        <f t="shared" si="3"/>
        <v>42663.395682870374</v>
      </c>
    </row>
    <row r="73" spans="1:7" x14ac:dyDescent="0.25">
      <c r="A73" s="8">
        <v>42663.400277777779</v>
      </c>
      <c r="B73" s="21" t="s">
        <v>403</v>
      </c>
      <c r="C73" s="21" t="s">
        <v>404</v>
      </c>
      <c r="D73" s="21">
        <v>1360000</v>
      </c>
      <c r="E73" s="21" t="s">
        <v>441</v>
      </c>
      <c r="F73" s="21" t="str">
        <f t="shared" si="2"/>
        <v>rtdc.l.rtdc.4006:itc</v>
      </c>
      <c r="G73" s="8">
        <f t="shared" si="3"/>
        <v>42663.400277777779</v>
      </c>
    </row>
    <row r="74" spans="1:7" x14ac:dyDescent="0.25">
      <c r="A74" s="8">
        <v>42663.400358796294</v>
      </c>
      <c r="B74" s="21" t="s">
        <v>214</v>
      </c>
      <c r="C74" s="21" t="s">
        <v>405</v>
      </c>
      <c r="D74" s="21">
        <v>2100000</v>
      </c>
      <c r="E74" s="21" t="s">
        <v>459</v>
      </c>
      <c r="F74" s="21" t="str">
        <f t="shared" si="2"/>
        <v>rtdc.l.rtdc.4039:itc</v>
      </c>
      <c r="G74" s="8">
        <f t="shared" si="3"/>
        <v>42663.400358796294</v>
      </c>
    </row>
    <row r="75" spans="1:7" x14ac:dyDescent="0.25">
      <c r="A75" s="8">
        <v>42663.403379629628</v>
      </c>
      <c r="B75" s="21" t="s">
        <v>273</v>
      </c>
      <c r="C75" s="21" t="s">
        <v>495</v>
      </c>
      <c r="D75" s="21">
        <v>1760000</v>
      </c>
      <c r="E75" s="21" t="s">
        <v>361</v>
      </c>
      <c r="F75" s="21" t="str">
        <f t="shared" si="2"/>
        <v>rtdc.l.rtdc.4011:itc</v>
      </c>
      <c r="G75" s="8">
        <f t="shared" si="3"/>
        <v>42663.403379629628</v>
      </c>
    </row>
    <row r="76" spans="1:7" x14ac:dyDescent="0.25">
      <c r="A76" s="8">
        <v>42663.410810185182</v>
      </c>
      <c r="B76" s="21" t="s">
        <v>293</v>
      </c>
      <c r="C76" s="21" t="s">
        <v>406</v>
      </c>
      <c r="D76" s="21">
        <v>330000</v>
      </c>
      <c r="E76" s="21" t="s">
        <v>496</v>
      </c>
      <c r="F76" s="21" t="str">
        <f t="shared" si="2"/>
        <v>rtdc.l.rtdc.4054:itc</v>
      </c>
      <c r="G76" s="8">
        <f t="shared" si="3"/>
        <v>42663.410810185182</v>
      </c>
    </row>
    <row r="77" spans="1:7" x14ac:dyDescent="0.25">
      <c r="A77" s="8">
        <v>42663.410879629628</v>
      </c>
      <c r="B77" s="21" t="s">
        <v>251</v>
      </c>
      <c r="C77" s="21" t="s">
        <v>497</v>
      </c>
      <c r="D77" s="21">
        <v>1190000</v>
      </c>
      <c r="E77" s="21" t="s">
        <v>321</v>
      </c>
      <c r="F77" s="21" t="str">
        <f t="shared" si="2"/>
        <v>rtdc.l.rtdc.4017:itc</v>
      </c>
      <c r="G77" s="8">
        <f t="shared" si="3"/>
        <v>42663.410879629628</v>
      </c>
    </row>
    <row r="78" spans="1:7" x14ac:dyDescent="0.25">
      <c r="A78" s="8">
        <v>42663.412719907406</v>
      </c>
      <c r="B78" s="21" t="s">
        <v>293</v>
      </c>
      <c r="C78" s="21" t="s">
        <v>406</v>
      </c>
      <c r="D78" s="21">
        <v>330000</v>
      </c>
      <c r="E78" s="21" t="s">
        <v>496</v>
      </c>
      <c r="F78" s="21" t="str">
        <f t="shared" si="2"/>
        <v>rtdc.l.rtdc.4054:itc</v>
      </c>
      <c r="G78" s="8">
        <f t="shared" si="3"/>
        <v>42663.412719907406</v>
      </c>
    </row>
    <row r="79" spans="1:7" x14ac:dyDescent="0.25">
      <c r="A79" s="8">
        <v>42663.413460648146</v>
      </c>
      <c r="B79" s="21" t="s">
        <v>261</v>
      </c>
      <c r="C79" s="21" t="s">
        <v>498</v>
      </c>
      <c r="D79" s="21">
        <v>900000</v>
      </c>
      <c r="E79" s="21" t="s">
        <v>296</v>
      </c>
      <c r="F79" s="21" t="str">
        <f t="shared" si="2"/>
        <v>rtdc.l.rtdc.4042:itc</v>
      </c>
      <c r="G79" s="8">
        <f t="shared" si="3"/>
        <v>42663.413460648146</v>
      </c>
    </row>
    <row r="80" spans="1:7" x14ac:dyDescent="0.25">
      <c r="A80" s="8">
        <v>42663.418726851851</v>
      </c>
      <c r="B80" s="21" t="s">
        <v>256</v>
      </c>
      <c r="C80" s="21" t="s">
        <v>499</v>
      </c>
      <c r="D80" s="21">
        <v>2100000</v>
      </c>
      <c r="E80" s="21" t="s">
        <v>459</v>
      </c>
      <c r="F80" s="21" t="str">
        <f t="shared" si="2"/>
        <v>rtdc.l.rtdc.4040:itc</v>
      </c>
      <c r="G80" s="8">
        <f t="shared" si="3"/>
        <v>42663.418726851851</v>
      </c>
    </row>
    <row r="81" spans="1:7" x14ac:dyDescent="0.25">
      <c r="A81" s="8">
        <v>42663.418981481482</v>
      </c>
      <c r="B81" s="21" t="s">
        <v>400</v>
      </c>
      <c r="C81" s="21" t="s">
        <v>500</v>
      </c>
      <c r="D81" s="21">
        <v>1090000</v>
      </c>
      <c r="E81" s="21" t="s">
        <v>294</v>
      </c>
      <c r="F81" s="21" t="str">
        <f t="shared" si="2"/>
        <v>rtdc.l.rtdc.4037:itc</v>
      </c>
      <c r="G81" s="8">
        <f t="shared" si="3"/>
        <v>42663.418981481482</v>
      </c>
    </row>
    <row r="82" spans="1:7" x14ac:dyDescent="0.25">
      <c r="A82" s="8">
        <v>42663.421770833331</v>
      </c>
      <c r="B82" s="21" t="s">
        <v>295</v>
      </c>
      <c r="C82" s="21" t="s">
        <v>406</v>
      </c>
      <c r="D82" s="21">
        <v>330000</v>
      </c>
      <c r="E82" s="21" t="s">
        <v>496</v>
      </c>
      <c r="F82" s="21" t="str">
        <f t="shared" si="2"/>
        <v>rtdc.l.rtdc.4053:itc</v>
      </c>
      <c r="G82" s="8">
        <f t="shared" si="3"/>
        <v>42663.421770833331</v>
      </c>
    </row>
    <row r="83" spans="1:7" x14ac:dyDescent="0.25">
      <c r="A83" s="8">
        <v>42663.423298611109</v>
      </c>
      <c r="B83" s="21" t="s">
        <v>295</v>
      </c>
      <c r="C83" s="21" t="s">
        <v>406</v>
      </c>
      <c r="D83" s="21">
        <v>330000</v>
      </c>
      <c r="E83" s="21" t="s">
        <v>496</v>
      </c>
      <c r="F83" s="21" t="str">
        <f t="shared" si="2"/>
        <v>rtdc.l.rtdc.4053:itc</v>
      </c>
      <c r="G83" s="8">
        <f t="shared" si="3"/>
        <v>42663.423298611109</v>
      </c>
    </row>
    <row r="84" spans="1:7" x14ac:dyDescent="0.25">
      <c r="A84" s="8">
        <v>42663.423495370371</v>
      </c>
      <c r="B84" s="21" t="s">
        <v>196</v>
      </c>
      <c r="C84" s="21" t="s">
        <v>501</v>
      </c>
      <c r="D84" s="21">
        <v>1110000</v>
      </c>
      <c r="E84" s="21" t="s">
        <v>360</v>
      </c>
      <c r="F84" s="21" t="str">
        <f t="shared" si="2"/>
        <v>rtdc.l.rtdc.4044:itc</v>
      </c>
      <c r="G84" s="8">
        <f t="shared" si="3"/>
        <v>42663.423495370371</v>
      </c>
    </row>
    <row r="85" spans="1:7" x14ac:dyDescent="0.25">
      <c r="A85" s="8">
        <v>42663.424259259256</v>
      </c>
      <c r="B85" s="21" t="s">
        <v>431</v>
      </c>
      <c r="C85" s="21" t="s">
        <v>502</v>
      </c>
      <c r="D85" s="21">
        <v>1360000</v>
      </c>
      <c r="E85" s="21" t="s">
        <v>441</v>
      </c>
      <c r="F85" s="21" t="str">
        <f t="shared" si="2"/>
        <v>rtdc.l.rtdc.4005:itc</v>
      </c>
      <c r="G85" s="8">
        <f t="shared" si="3"/>
        <v>42663.424259259256</v>
      </c>
    </row>
    <row r="86" spans="1:7" x14ac:dyDescent="0.25">
      <c r="A86" s="8">
        <v>42663.433888888889</v>
      </c>
      <c r="B86" s="21" t="s">
        <v>280</v>
      </c>
      <c r="C86" s="21" t="s">
        <v>503</v>
      </c>
      <c r="D86" s="21">
        <v>1830000</v>
      </c>
      <c r="E86" s="21" t="s">
        <v>451</v>
      </c>
      <c r="F86" s="21" t="str">
        <f t="shared" si="2"/>
        <v>rtdc.l.rtdc.4029:itc</v>
      </c>
      <c r="G86" s="8">
        <f t="shared" si="3"/>
        <v>42663.433888888889</v>
      </c>
    </row>
    <row r="87" spans="1:7" x14ac:dyDescent="0.25">
      <c r="A87" s="8">
        <v>42663.43990740741</v>
      </c>
      <c r="B87" s="21" t="s">
        <v>272</v>
      </c>
      <c r="C87" s="21" t="s">
        <v>504</v>
      </c>
      <c r="D87" s="21">
        <v>1760000</v>
      </c>
      <c r="E87" s="21" t="s">
        <v>361</v>
      </c>
      <c r="F87" s="21" t="str">
        <f t="shared" si="2"/>
        <v>rtdc.l.rtdc.4012:itc</v>
      </c>
      <c r="G87" s="8">
        <f t="shared" si="3"/>
        <v>42663.43990740741</v>
      </c>
    </row>
    <row r="88" spans="1:7" x14ac:dyDescent="0.25">
      <c r="A88" s="8">
        <v>42663.442303240743</v>
      </c>
      <c r="B88" s="21" t="s">
        <v>214</v>
      </c>
      <c r="C88" s="21" t="s">
        <v>505</v>
      </c>
      <c r="D88" s="21">
        <v>2100000</v>
      </c>
      <c r="E88" s="21" t="s">
        <v>459</v>
      </c>
      <c r="F88" s="21" t="str">
        <f t="shared" si="2"/>
        <v>rtdc.l.rtdc.4039:itc</v>
      </c>
      <c r="G88" s="8">
        <f t="shared" si="3"/>
        <v>42663.442303240743</v>
      </c>
    </row>
    <row r="89" spans="1:7" x14ac:dyDescent="0.25">
      <c r="A89" s="8">
        <v>42663.444849537038</v>
      </c>
      <c r="B89" s="21" t="s">
        <v>188</v>
      </c>
      <c r="C89" s="21" t="s">
        <v>409</v>
      </c>
      <c r="D89" s="21">
        <v>1190000</v>
      </c>
      <c r="E89" s="21" t="s">
        <v>321</v>
      </c>
      <c r="F89" s="21" t="str">
        <f t="shared" si="2"/>
        <v>rtdc.l.rtdc.4018:itc</v>
      </c>
      <c r="G89" s="8">
        <f t="shared" si="3"/>
        <v>42663.444849537038</v>
      </c>
    </row>
    <row r="90" spans="1:7" x14ac:dyDescent="0.25">
      <c r="A90" s="8">
        <v>42663.446516203701</v>
      </c>
      <c r="B90" s="21" t="s">
        <v>263</v>
      </c>
      <c r="C90" s="21" t="s">
        <v>506</v>
      </c>
      <c r="D90" s="21">
        <v>900000</v>
      </c>
      <c r="E90" s="21" t="s">
        <v>296</v>
      </c>
      <c r="F90" s="21" t="str">
        <f t="shared" si="2"/>
        <v>rtdc.l.rtdc.4041:itc</v>
      </c>
      <c r="G90" s="8">
        <f t="shared" si="3"/>
        <v>42663.446516203701</v>
      </c>
    </row>
    <row r="91" spans="1:7" x14ac:dyDescent="0.25">
      <c r="A91" s="8">
        <v>42663.456458333334</v>
      </c>
      <c r="B91" s="21" t="s">
        <v>456</v>
      </c>
      <c r="C91" s="21" t="s">
        <v>507</v>
      </c>
      <c r="D91" s="21">
        <v>2270000</v>
      </c>
      <c r="E91" s="21" t="s">
        <v>508</v>
      </c>
      <c r="F91" s="21" t="str">
        <f t="shared" si="2"/>
        <v>rtdc.l.rtdc.4038:itc</v>
      </c>
      <c r="G91" s="8">
        <f t="shared" si="3"/>
        <v>42663.456458333334</v>
      </c>
    </row>
    <row r="92" spans="1:7" x14ac:dyDescent="0.25">
      <c r="A92" s="8">
        <v>42663.457928240743</v>
      </c>
      <c r="B92" s="21" t="s">
        <v>256</v>
      </c>
      <c r="C92" s="21" t="s">
        <v>509</v>
      </c>
      <c r="D92" s="21">
        <v>2100000</v>
      </c>
      <c r="E92" s="21" t="s">
        <v>459</v>
      </c>
      <c r="F92" s="21" t="str">
        <f t="shared" si="2"/>
        <v>rtdc.l.rtdc.4040:itc</v>
      </c>
      <c r="G92" s="8">
        <f t="shared" si="3"/>
        <v>42663.457928240743</v>
      </c>
    </row>
    <row r="93" spans="1:7" x14ac:dyDescent="0.25">
      <c r="A93" s="8">
        <v>42663.462766203702</v>
      </c>
      <c r="B93" s="21" t="s">
        <v>211</v>
      </c>
      <c r="C93" s="21" t="s">
        <v>510</v>
      </c>
      <c r="D93" s="21">
        <v>1110000</v>
      </c>
      <c r="E93" s="21" t="s">
        <v>360</v>
      </c>
      <c r="F93" s="21" t="str">
        <f t="shared" si="2"/>
        <v>rtdc.l.rtdc.4043:itc</v>
      </c>
      <c r="G93" s="8">
        <f t="shared" si="3"/>
        <v>42663.462766203702</v>
      </c>
    </row>
    <row r="94" spans="1:7" x14ac:dyDescent="0.25">
      <c r="A94" s="8">
        <v>42663.46465277778</v>
      </c>
      <c r="B94" s="21" t="s">
        <v>403</v>
      </c>
      <c r="C94" s="21" t="s">
        <v>411</v>
      </c>
      <c r="D94" s="21">
        <v>2020000</v>
      </c>
      <c r="E94" s="21" t="s">
        <v>511</v>
      </c>
      <c r="F94" s="21" t="str">
        <f t="shared" si="2"/>
        <v>rtdc.l.rtdc.4006:itc</v>
      </c>
      <c r="G94" s="8">
        <f t="shared" si="3"/>
        <v>42663.46465277778</v>
      </c>
    </row>
    <row r="95" spans="1:7" x14ac:dyDescent="0.25">
      <c r="A95" s="8">
        <v>42663.46465277778</v>
      </c>
      <c r="B95" s="21" t="s">
        <v>281</v>
      </c>
      <c r="C95" s="21" t="s">
        <v>512</v>
      </c>
      <c r="D95" s="21">
        <v>1830000</v>
      </c>
      <c r="E95" s="21" t="s">
        <v>451</v>
      </c>
      <c r="F95" s="21" t="str">
        <f t="shared" si="2"/>
        <v>rtdc.l.rtdc.4030:itc</v>
      </c>
      <c r="G95" s="8">
        <f t="shared" si="3"/>
        <v>42663.46465277778</v>
      </c>
    </row>
    <row r="96" spans="1:7" x14ac:dyDescent="0.25">
      <c r="A96" s="8">
        <v>42663.467407407406</v>
      </c>
      <c r="B96" s="21" t="s">
        <v>197</v>
      </c>
      <c r="C96" s="21" t="s">
        <v>513</v>
      </c>
      <c r="D96" s="21">
        <v>1340000</v>
      </c>
      <c r="E96" s="21" t="s">
        <v>514</v>
      </c>
      <c r="F96" s="21" t="str">
        <f t="shared" si="2"/>
        <v>rtdc.l.rtdc.4007:itc</v>
      </c>
      <c r="G96" s="8">
        <f t="shared" si="3"/>
        <v>42663.467407407406</v>
      </c>
    </row>
    <row r="97" spans="1:7" x14ac:dyDescent="0.25">
      <c r="A97" s="8">
        <v>42663.468101851853</v>
      </c>
      <c r="B97" s="21" t="s">
        <v>293</v>
      </c>
      <c r="C97" s="21" t="s">
        <v>406</v>
      </c>
      <c r="D97" s="21">
        <v>330000</v>
      </c>
      <c r="E97" s="21" t="s">
        <v>496</v>
      </c>
      <c r="F97" s="21" t="str">
        <f t="shared" si="2"/>
        <v>rtdc.l.rtdc.4054:itc</v>
      </c>
      <c r="G97" s="8">
        <f t="shared" si="3"/>
        <v>42663.468101851853</v>
      </c>
    </row>
    <row r="98" spans="1:7" x14ac:dyDescent="0.25">
      <c r="A98" s="8">
        <v>42663.469317129631</v>
      </c>
      <c r="B98" s="21" t="s">
        <v>293</v>
      </c>
      <c r="C98" s="21" t="s">
        <v>406</v>
      </c>
      <c r="D98" s="21">
        <v>330000</v>
      </c>
      <c r="E98" s="21" t="s">
        <v>496</v>
      </c>
      <c r="F98" s="21" t="str">
        <f t="shared" si="2"/>
        <v>rtdc.l.rtdc.4054:itc</v>
      </c>
      <c r="G98" s="8">
        <f t="shared" si="3"/>
        <v>42663.469317129631</v>
      </c>
    </row>
    <row r="99" spans="1:7" x14ac:dyDescent="0.25">
      <c r="A99" s="8">
        <v>42663.470706018517</v>
      </c>
      <c r="B99" s="21" t="s">
        <v>262</v>
      </c>
      <c r="C99" s="21" t="s">
        <v>410</v>
      </c>
      <c r="D99" s="21">
        <v>2040000</v>
      </c>
      <c r="E99" s="21" t="s">
        <v>363</v>
      </c>
      <c r="F99" s="21" t="str">
        <f t="shared" si="2"/>
        <v>rtdc.l.rtdc.4001:itc</v>
      </c>
      <c r="G99" s="8">
        <f t="shared" si="3"/>
        <v>42663.470706018517</v>
      </c>
    </row>
    <row r="100" spans="1:7" x14ac:dyDescent="0.25">
      <c r="A100" s="8">
        <v>42663.4762962963</v>
      </c>
      <c r="B100" s="21" t="s">
        <v>273</v>
      </c>
      <c r="C100" s="21" t="s">
        <v>515</v>
      </c>
      <c r="D100" s="21">
        <v>2250000</v>
      </c>
      <c r="E100" s="21" t="s">
        <v>516</v>
      </c>
      <c r="F100" s="21" t="str">
        <f t="shared" si="2"/>
        <v>rtdc.l.rtdc.4011:itc</v>
      </c>
      <c r="G100" s="8">
        <f t="shared" si="3"/>
        <v>42663.4762962963</v>
      </c>
    </row>
    <row r="101" spans="1:7" x14ac:dyDescent="0.25">
      <c r="A101" s="8">
        <v>42663.480312500003</v>
      </c>
      <c r="B101" s="21" t="s">
        <v>251</v>
      </c>
      <c r="C101" s="21" t="s">
        <v>517</v>
      </c>
      <c r="D101" s="21">
        <v>1190000</v>
      </c>
      <c r="E101" s="21" t="s">
        <v>321</v>
      </c>
      <c r="F101" s="21" t="str">
        <f t="shared" si="2"/>
        <v>rtdc.l.rtdc.4017:itc</v>
      </c>
      <c r="G101" s="8">
        <f t="shared" si="3"/>
        <v>42663.480312500003</v>
      </c>
    </row>
    <row r="102" spans="1:7" x14ac:dyDescent="0.25">
      <c r="A102" s="8">
        <v>42663.4846875</v>
      </c>
      <c r="B102" s="21" t="s">
        <v>214</v>
      </c>
      <c r="C102" s="21" t="s">
        <v>518</v>
      </c>
      <c r="D102" s="21">
        <v>2100000</v>
      </c>
      <c r="E102" s="21" t="s">
        <v>459</v>
      </c>
      <c r="F102" s="21" t="str">
        <f t="shared" si="2"/>
        <v>rtdc.l.rtdc.4039:itc</v>
      </c>
      <c r="G102" s="8">
        <f t="shared" si="3"/>
        <v>42663.4846875</v>
      </c>
    </row>
    <row r="103" spans="1:7" x14ac:dyDescent="0.25">
      <c r="A103" s="8">
        <v>42663.486273148148</v>
      </c>
      <c r="B103" s="21" t="s">
        <v>261</v>
      </c>
      <c r="C103" s="21" t="s">
        <v>519</v>
      </c>
      <c r="D103" s="21">
        <v>1810000</v>
      </c>
      <c r="E103" s="21" t="s">
        <v>520</v>
      </c>
      <c r="F103" s="21" t="str">
        <f t="shared" si="2"/>
        <v>rtdc.l.rtdc.4042:itc</v>
      </c>
      <c r="G103" s="8">
        <f t="shared" si="3"/>
        <v>42663.486273148148</v>
      </c>
    </row>
    <row r="104" spans="1:7" x14ac:dyDescent="0.25">
      <c r="A104" s="8">
        <v>42663.486550925925</v>
      </c>
      <c r="B104" s="21" t="s">
        <v>292</v>
      </c>
      <c r="C104" s="21" t="s">
        <v>412</v>
      </c>
      <c r="D104" s="21">
        <v>1760000</v>
      </c>
      <c r="E104" s="21" t="s">
        <v>361</v>
      </c>
      <c r="F104" s="21" t="str">
        <f t="shared" si="2"/>
        <v>rtdc.l.rtdc.4002:itc</v>
      </c>
      <c r="G104" s="8">
        <f t="shared" si="3"/>
        <v>42663.486550925925</v>
      </c>
    </row>
    <row r="105" spans="1:7" x14ac:dyDescent="0.25">
      <c r="A105" s="8">
        <v>42663.48914351852</v>
      </c>
      <c r="B105" s="21" t="s">
        <v>295</v>
      </c>
      <c r="C105" s="21" t="s">
        <v>406</v>
      </c>
      <c r="D105" s="21">
        <v>330000</v>
      </c>
      <c r="E105" s="21" t="s">
        <v>496</v>
      </c>
      <c r="F105" s="21" t="str">
        <f t="shared" si="2"/>
        <v>rtdc.l.rtdc.4053:itc</v>
      </c>
      <c r="G105" s="8">
        <f t="shared" si="3"/>
        <v>42663.48914351852</v>
      </c>
    </row>
    <row r="106" spans="1:7" x14ac:dyDescent="0.25">
      <c r="A106" s="8">
        <v>42663.492581018516</v>
      </c>
      <c r="B106" s="21" t="s">
        <v>400</v>
      </c>
      <c r="C106" s="21" t="s">
        <v>414</v>
      </c>
      <c r="D106" s="21">
        <v>2270000</v>
      </c>
      <c r="E106" s="21" t="s">
        <v>508</v>
      </c>
      <c r="F106" s="21" t="str">
        <f t="shared" si="2"/>
        <v>rtdc.l.rtdc.4037:itc</v>
      </c>
      <c r="G106" s="8">
        <f t="shared" si="3"/>
        <v>42663.492581018516</v>
      </c>
    </row>
    <row r="107" spans="1:7" x14ac:dyDescent="0.25">
      <c r="A107" s="8">
        <v>42663.499178240738</v>
      </c>
      <c r="B107" s="21" t="s">
        <v>256</v>
      </c>
      <c r="C107" s="21" t="s">
        <v>415</v>
      </c>
      <c r="D107" s="21">
        <v>2100000</v>
      </c>
      <c r="E107" s="21" t="s">
        <v>459</v>
      </c>
      <c r="F107" s="21" t="str">
        <f t="shared" si="2"/>
        <v>rtdc.l.rtdc.4040:itc</v>
      </c>
      <c r="G107" s="8">
        <f t="shared" si="3"/>
        <v>42663.499178240738</v>
      </c>
    </row>
    <row r="108" spans="1:7" x14ac:dyDescent="0.25">
      <c r="A108" s="8">
        <v>42663.49927083333</v>
      </c>
      <c r="B108" s="21" t="s">
        <v>196</v>
      </c>
      <c r="C108" s="21" t="s">
        <v>521</v>
      </c>
      <c r="D108" s="21">
        <v>1140000</v>
      </c>
      <c r="E108" s="21" t="s">
        <v>364</v>
      </c>
      <c r="F108" s="21" t="str">
        <f t="shared" si="2"/>
        <v>rtdc.l.rtdc.4044:itc</v>
      </c>
      <c r="G108" s="8">
        <f t="shared" si="3"/>
        <v>42663.49927083333</v>
      </c>
    </row>
    <row r="109" spans="1:7" x14ac:dyDescent="0.25">
      <c r="A109" s="8">
        <v>42663.50335648148</v>
      </c>
      <c r="B109" s="21" t="s">
        <v>431</v>
      </c>
      <c r="C109" s="21" t="s">
        <v>522</v>
      </c>
      <c r="D109" s="21">
        <v>2020000</v>
      </c>
      <c r="E109" s="21" t="s">
        <v>511</v>
      </c>
      <c r="F109" s="21" t="str">
        <f t="shared" si="2"/>
        <v>rtdc.l.rtdc.4005:itc</v>
      </c>
      <c r="G109" s="8">
        <f t="shared" si="3"/>
        <v>42663.50335648148</v>
      </c>
    </row>
    <row r="110" spans="1:7" x14ac:dyDescent="0.25">
      <c r="A110" s="8">
        <v>42663.506944444445</v>
      </c>
      <c r="B110" s="21" t="s">
        <v>293</v>
      </c>
      <c r="C110" s="21" t="s">
        <v>406</v>
      </c>
      <c r="D110" s="21">
        <v>330000</v>
      </c>
      <c r="E110" s="21" t="s">
        <v>496</v>
      </c>
      <c r="F110" s="21" t="str">
        <f t="shared" si="2"/>
        <v>rtdc.l.rtdc.4054:itc</v>
      </c>
      <c r="G110" s="8">
        <f t="shared" si="3"/>
        <v>42663.506944444445</v>
      </c>
    </row>
    <row r="111" spans="1:7" x14ac:dyDescent="0.25">
      <c r="A111" s="8">
        <v>42663.507939814815</v>
      </c>
      <c r="B111" s="21" t="s">
        <v>272</v>
      </c>
      <c r="C111" s="21" t="s">
        <v>523</v>
      </c>
      <c r="D111" s="21">
        <v>2250000</v>
      </c>
      <c r="E111" s="21" t="s">
        <v>516</v>
      </c>
      <c r="F111" s="21" t="str">
        <f t="shared" si="2"/>
        <v>rtdc.l.rtdc.4012:itc</v>
      </c>
      <c r="G111" s="8">
        <f t="shared" si="3"/>
        <v>42663.507939814815</v>
      </c>
    </row>
    <row r="112" spans="1:7" x14ac:dyDescent="0.25">
      <c r="A112" s="8">
        <v>42663.508472222224</v>
      </c>
      <c r="B112" s="21" t="s">
        <v>280</v>
      </c>
      <c r="C112" s="21" t="s">
        <v>524</v>
      </c>
      <c r="D112" s="21">
        <v>1820000</v>
      </c>
      <c r="E112" s="21" t="s">
        <v>362</v>
      </c>
      <c r="F112" s="21" t="str">
        <f t="shared" si="2"/>
        <v>rtdc.l.rtdc.4029:itc</v>
      </c>
      <c r="G112" s="8">
        <f t="shared" si="3"/>
        <v>42663.508472222224</v>
      </c>
    </row>
    <row r="113" spans="1:7" x14ac:dyDescent="0.25">
      <c r="A113" s="8">
        <v>42663.516736111109</v>
      </c>
      <c r="B113" s="21" t="s">
        <v>263</v>
      </c>
      <c r="C113" s="21" t="s">
        <v>525</v>
      </c>
      <c r="D113" s="21">
        <v>1810000</v>
      </c>
      <c r="E113" s="21" t="s">
        <v>520</v>
      </c>
      <c r="F113" s="21" t="str">
        <f t="shared" si="2"/>
        <v>rtdc.l.rtdc.4041:itc</v>
      </c>
      <c r="G113" s="8">
        <f t="shared" si="3"/>
        <v>42663.516736111109</v>
      </c>
    </row>
    <row r="114" spans="1:7" x14ac:dyDescent="0.25">
      <c r="A114" s="8">
        <v>42663.519108796296</v>
      </c>
      <c r="B114" s="21" t="s">
        <v>188</v>
      </c>
      <c r="C114" s="21" t="s">
        <v>526</v>
      </c>
      <c r="D114" s="21">
        <v>1740000</v>
      </c>
      <c r="E114" s="21" t="s">
        <v>322</v>
      </c>
      <c r="F114" s="21" t="str">
        <f t="shared" si="2"/>
        <v>rtdc.l.rtdc.4018:itc</v>
      </c>
      <c r="G114" s="8">
        <f t="shared" si="3"/>
        <v>42663.519108796296</v>
      </c>
    </row>
    <row r="115" spans="1:7" x14ac:dyDescent="0.25">
      <c r="A115" s="8">
        <v>42663.521701388891</v>
      </c>
      <c r="B115" s="21" t="s">
        <v>188</v>
      </c>
      <c r="C115" s="21" t="s">
        <v>526</v>
      </c>
      <c r="D115" s="21">
        <v>1740000</v>
      </c>
      <c r="E115" s="21" t="s">
        <v>322</v>
      </c>
      <c r="F115" s="21" t="str">
        <f t="shared" si="2"/>
        <v>rtdc.l.rtdc.4018:itc</v>
      </c>
      <c r="G115" s="8">
        <f t="shared" si="3"/>
        <v>42663.521701388891</v>
      </c>
    </row>
    <row r="116" spans="1:7" x14ac:dyDescent="0.25">
      <c r="A116" s="8">
        <v>42663.522453703707</v>
      </c>
      <c r="B116" s="21" t="s">
        <v>295</v>
      </c>
      <c r="C116" s="21" t="s">
        <v>406</v>
      </c>
      <c r="D116" s="21">
        <v>330000</v>
      </c>
      <c r="E116" s="21" t="s">
        <v>496</v>
      </c>
      <c r="F116" s="21" t="str">
        <f t="shared" si="2"/>
        <v>rtdc.l.rtdc.4053:itc</v>
      </c>
      <c r="G116" s="8">
        <f t="shared" si="3"/>
        <v>42663.522453703707</v>
      </c>
    </row>
    <row r="117" spans="1:7" x14ac:dyDescent="0.25">
      <c r="A117" s="8">
        <v>42663.525219907409</v>
      </c>
      <c r="B117" s="21" t="s">
        <v>214</v>
      </c>
      <c r="C117" s="21" t="s">
        <v>416</v>
      </c>
      <c r="D117" s="21">
        <v>2100000</v>
      </c>
      <c r="E117" s="21" t="s">
        <v>459</v>
      </c>
      <c r="F117" s="21" t="str">
        <f t="shared" si="2"/>
        <v>rtdc.l.rtdc.4039:itc</v>
      </c>
      <c r="G117" s="8">
        <f t="shared" si="3"/>
        <v>42663.525219907409</v>
      </c>
    </row>
    <row r="118" spans="1:7" x14ac:dyDescent="0.25">
      <c r="A118" s="8">
        <v>42663.529120370367</v>
      </c>
      <c r="B118" s="21" t="s">
        <v>211</v>
      </c>
      <c r="C118" s="21" t="s">
        <v>527</v>
      </c>
      <c r="D118" s="21">
        <v>1140000</v>
      </c>
      <c r="E118" s="21" t="s">
        <v>364</v>
      </c>
      <c r="F118" s="21" t="str">
        <f t="shared" si="2"/>
        <v>rtdc.l.rtdc.4043:itc</v>
      </c>
      <c r="G118" s="8">
        <f t="shared" si="3"/>
        <v>42663.529120370367</v>
      </c>
    </row>
    <row r="119" spans="1:7" x14ac:dyDescent="0.25">
      <c r="A119" s="8">
        <v>42663.529710648145</v>
      </c>
      <c r="B119" s="21" t="s">
        <v>456</v>
      </c>
      <c r="C119" s="21" t="s">
        <v>528</v>
      </c>
      <c r="D119" s="21">
        <v>940000</v>
      </c>
      <c r="E119" s="21" t="s">
        <v>529</v>
      </c>
      <c r="F119" s="21" t="str">
        <f t="shared" si="2"/>
        <v>rtdc.l.rtdc.4038:itc</v>
      </c>
      <c r="G119" s="8">
        <f t="shared" si="3"/>
        <v>42663.529710648145</v>
      </c>
    </row>
    <row r="120" spans="1:7" x14ac:dyDescent="0.25">
      <c r="A120" s="8">
        <v>42663.53837962963</v>
      </c>
      <c r="B120" s="21" t="s">
        <v>403</v>
      </c>
      <c r="C120" s="21" t="s">
        <v>530</v>
      </c>
      <c r="D120" s="21">
        <v>2020000</v>
      </c>
      <c r="E120" s="21" t="s">
        <v>511</v>
      </c>
      <c r="F120" s="21" t="str">
        <f t="shared" si="2"/>
        <v>rtdc.l.rtdc.4006:itc</v>
      </c>
      <c r="G120" s="8">
        <f t="shared" si="3"/>
        <v>42663.53837962963</v>
      </c>
    </row>
    <row r="121" spans="1:7" x14ac:dyDescent="0.25">
      <c r="A121" s="8">
        <v>42663.548217592594</v>
      </c>
      <c r="B121" s="21" t="s">
        <v>281</v>
      </c>
      <c r="C121" s="21" t="s">
        <v>531</v>
      </c>
      <c r="D121" s="21">
        <v>1820000</v>
      </c>
      <c r="E121" s="21" t="s">
        <v>362</v>
      </c>
      <c r="F121" s="21" t="str">
        <f t="shared" si="2"/>
        <v>rtdc.l.rtdc.4030:itc</v>
      </c>
      <c r="G121" s="8">
        <f t="shared" si="3"/>
        <v>42663.548217592594</v>
      </c>
    </row>
    <row r="122" spans="1:7" x14ac:dyDescent="0.25">
      <c r="A122" s="8">
        <v>42663.548877314817</v>
      </c>
      <c r="B122" s="26" t="s">
        <v>256</v>
      </c>
      <c r="C122" s="21" t="s">
        <v>532</v>
      </c>
      <c r="D122" s="21">
        <v>1540000</v>
      </c>
      <c r="E122" s="21" t="s">
        <v>297</v>
      </c>
      <c r="F122" s="21" t="str">
        <f t="shared" si="2"/>
        <v>rtdc.l.rtdc.4040:itc</v>
      </c>
      <c r="G122" s="8">
        <f t="shared" si="3"/>
        <v>42663.548877314817</v>
      </c>
    </row>
    <row r="123" spans="1:7" x14ac:dyDescent="0.25">
      <c r="A123" s="8">
        <v>42663.549872685187</v>
      </c>
      <c r="B123" s="21" t="s">
        <v>273</v>
      </c>
      <c r="C123" s="21" t="s">
        <v>533</v>
      </c>
      <c r="D123" s="21">
        <v>2040000</v>
      </c>
      <c r="E123" s="21" t="s">
        <v>363</v>
      </c>
      <c r="F123" s="21" t="str">
        <f t="shared" si="2"/>
        <v>rtdc.l.rtdc.4011:itc</v>
      </c>
      <c r="G123" s="8">
        <f t="shared" si="3"/>
        <v>42663.549872685187</v>
      </c>
    </row>
    <row r="124" spans="1:7" x14ac:dyDescent="0.25">
      <c r="A124" s="8">
        <v>42663.552511574075</v>
      </c>
      <c r="B124" s="21" t="s">
        <v>251</v>
      </c>
      <c r="C124" s="21" t="s">
        <v>417</v>
      </c>
      <c r="D124" s="21">
        <v>1740000</v>
      </c>
      <c r="E124" s="21" t="s">
        <v>322</v>
      </c>
      <c r="F124" s="21" t="str">
        <f t="shared" si="2"/>
        <v>rtdc.l.rtdc.4017:itc</v>
      </c>
      <c r="G124" s="8">
        <f t="shared" si="3"/>
        <v>42663.552511574075</v>
      </c>
    </row>
    <row r="125" spans="1:7" x14ac:dyDescent="0.25">
      <c r="A125" s="8">
        <v>42663.557118055556</v>
      </c>
      <c r="B125" s="21" t="s">
        <v>261</v>
      </c>
      <c r="C125" s="21" t="s">
        <v>534</v>
      </c>
      <c r="D125" s="21">
        <v>1810000</v>
      </c>
      <c r="E125" s="21" t="s">
        <v>520</v>
      </c>
      <c r="F125" s="21" t="str">
        <f t="shared" si="2"/>
        <v>rtdc.l.rtdc.4042:itc</v>
      </c>
      <c r="G125" s="8">
        <f t="shared" si="3"/>
        <v>42663.557118055556</v>
      </c>
    </row>
    <row r="126" spans="1:7" x14ac:dyDescent="0.25">
      <c r="A126" s="8">
        <v>42663.562673611108</v>
      </c>
      <c r="B126" s="21" t="s">
        <v>400</v>
      </c>
      <c r="C126" s="21" t="s">
        <v>535</v>
      </c>
      <c r="D126" s="21">
        <v>940000</v>
      </c>
      <c r="E126" s="21" t="s">
        <v>529</v>
      </c>
      <c r="F126" s="21" t="str">
        <f t="shared" si="2"/>
        <v>rtdc.l.rtdc.4037:itc</v>
      </c>
      <c r="G126" s="8">
        <f t="shared" si="3"/>
        <v>42663.562673611108</v>
      </c>
    </row>
    <row r="127" spans="1:7" x14ac:dyDescent="0.25">
      <c r="A127" s="8">
        <v>42663.569513888891</v>
      </c>
      <c r="B127" s="21" t="s">
        <v>214</v>
      </c>
      <c r="C127" s="21" t="s">
        <v>536</v>
      </c>
      <c r="D127" s="21">
        <v>1540000</v>
      </c>
      <c r="E127" s="21" t="s">
        <v>297</v>
      </c>
      <c r="F127" s="21" t="str">
        <f t="shared" si="2"/>
        <v>rtdc.l.rtdc.4039:itc</v>
      </c>
      <c r="G127" s="8">
        <f t="shared" si="3"/>
        <v>42663.569513888891</v>
      </c>
    </row>
    <row r="128" spans="1:7" x14ac:dyDescent="0.25">
      <c r="A128" s="8">
        <v>42663.569907407407</v>
      </c>
      <c r="B128" s="21" t="s">
        <v>196</v>
      </c>
      <c r="C128" s="21" t="s">
        <v>537</v>
      </c>
      <c r="D128" s="21">
        <v>1140000</v>
      </c>
      <c r="E128" s="21" t="s">
        <v>364</v>
      </c>
      <c r="F128" s="21" t="str">
        <f t="shared" si="2"/>
        <v>rtdc.l.rtdc.4044:itc</v>
      </c>
      <c r="G128" s="8">
        <f t="shared" si="3"/>
        <v>42663.569907407407</v>
      </c>
    </row>
    <row r="129" spans="1:7" x14ac:dyDescent="0.25">
      <c r="A129" s="8">
        <v>42663.574965277781</v>
      </c>
      <c r="B129" s="21" t="s">
        <v>431</v>
      </c>
      <c r="C129" s="21" t="s">
        <v>538</v>
      </c>
      <c r="D129" s="21">
        <v>2020000</v>
      </c>
      <c r="E129" s="21" t="s">
        <v>511</v>
      </c>
      <c r="F129" s="21" t="str">
        <f t="shared" si="2"/>
        <v>rtdc.l.rtdc.4005:itc</v>
      </c>
      <c r="G129" s="8">
        <f t="shared" si="3"/>
        <v>42663.574965277781</v>
      </c>
    </row>
    <row r="130" spans="1:7" x14ac:dyDescent="0.25">
      <c r="A130" s="8">
        <v>42663.579861111109</v>
      </c>
      <c r="B130" s="21" t="s">
        <v>280</v>
      </c>
      <c r="C130" s="21" t="s">
        <v>539</v>
      </c>
      <c r="D130" s="21">
        <v>1820000</v>
      </c>
      <c r="E130" s="21" t="s">
        <v>362</v>
      </c>
      <c r="F130" s="21" t="str">
        <f t="shared" ref="F130:F193" si="4">B130</f>
        <v>rtdc.l.rtdc.4029:itc</v>
      </c>
      <c r="G130" s="8">
        <f t="shared" ref="G130:G193" si="5">A130</f>
        <v>42663.579861111109</v>
      </c>
    </row>
    <row r="131" spans="1:7" x14ac:dyDescent="0.25">
      <c r="A131" s="8">
        <v>42663.588796296295</v>
      </c>
      <c r="B131" s="21" t="s">
        <v>272</v>
      </c>
      <c r="C131" s="21" t="s">
        <v>540</v>
      </c>
      <c r="D131" s="21">
        <v>2040000</v>
      </c>
      <c r="E131" s="21" t="s">
        <v>363</v>
      </c>
      <c r="F131" s="21" t="str">
        <f t="shared" si="4"/>
        <v>rtdc.l.rtdc.4012:itc</v>
      </c>
      <c r="G131" s="8">
        <f t="shared" si="5"/>
        <v>42663.588796296295</v>
      </c>
    </row>
    <row r="132" spans="1:7" x14ac:dyDescent="0.25">
      <c r="A132" s="8">
        <v>42663.589594907404</v>
      </c>
      <c r="B132" s="21" t="s">
        <v>188</v>
      </c>
      <c r="C132" s="21" t="s">
        <v>541</v>
      </c>
      <c r="D132" s="21">
        <v>1740000</v>
      </c>
      <c r="E132" s="21" t="s">
        <v>322</v>
      </c>
      <c r="F132" s="21" t="str">
        <f t="shared" si="4"/>
        <v>rtdc.l.rtdc.4018:itc</v>
      </c>
      <c r="G132" s="8">
        <f t="shared" si="5"/>
        <v>42663.589594907404</v>
      </c>
    </row>
    <row r="133" spans="1:7" x14ac:dyDescent="0.25">
      <c r="A133" s="8">
        <v>42663.595995370371</v>
      </c>
      <c r="B133" s="21" t="s">
        <v>256</v>
      </c>
      <c r="C133" s="21" t="s">
        <v>542</v>
      </c>
      <c r="D133" s="21">
        <v>1540000</v>
      </c>
      <c r="E133" s="21" t="s">
        <v>297</v>
      </c>
      <c r="F133" s="21" t="str">
        <f t="shared" si="4"/>
        <v>rtdc.l.rtdc.4040:itc</v>
      </c>
      <c r="G133" s="8">
        <f t="shared" si="5"/>
        <v>42663.595995370371</v>
      </c>
    </row>
    <row r="134" spans="1:7" x14ac:dyDescent="0.25">
      <c r="A134" s="8">
        <v>42663.596238425926</v>
      </c>
      <c r="B134" s="21" t="s">
        <v>263</v>
      </c>
      <c r="C134" s="21" t="s">
        <v>418</v>
      </c>
      <c r="D134" s="21">
        <v>1810000</v>
      </c>
      <c r="E134" s="21" t="s">
        <v>520</v>
      </c>
      <c r="F134" s="21" t="str">
        <f t="shared" si="4"/>
        <v>rtdc.l.rtdc.4041:itc</v>
      </c>
      <c r="G134" s="8">
        <f t="shared" si="5"/>
        <v>42663.596238425926</v>
      </c>
    </row>
    <row r="135" spans="1:7" x14ac:dyDescent="0.25">
      <c r="A135" s="8">
        <v>42663.598761574074</v>
      </c>
      <c r="B135" s="21" t="s">
        <v>456</v>
      </c>
      <c r="C135" s="21" t="s">
        <v>543</v>
      </c>
      <c r="D135" s="21">
        <v>940000</v>
      </c>
      <c r="E135" s="21" t="s">
        <v>529</v>
      </c>
      <c r="F135" s="21" t="str">
        <f t="shared" si="4"/>
        <v>rtdc.l.rtdc.4038:itc</v>
      </c>
      <c r="G135" s="8">
        <f t="shared" si="5"/>
        <v>42663.598761574074</v>
      </c>
    </row>
    <row r="136" spans="1:7" x14ac:dyDescent="0.25">
      <c r="A136" s="8">
        <v>42663.605428240742</v>
      </c>
      <c r="B136" s="21" t="s">
        <v>211</v>
      </c>
      <c r="C136" s="21" t="s">
        <v>544</v>
      </c>
      <c r="D136" s="21">
        <v>1140000</v>
      </c>
      <c r="E136" s="21" t="s">
        <v>364</v>
      </c>
      <c r="F136" s="21" t="str">
        <f t="shared" si="4"/>
        <v>rtdc.l.rtdc.4043:itc</v>
      </c>
      <c r="G136" s="8">
        <f t="shared" si="5"/>
        <v>42663.605428240742</v>
      </c>
    </row>
    <row r="137" spans="1:7" x14ac:dyDescent="0.25">
      <c r="A137" s="8">
        <v>42663.609490740739</v>
      </c>
      <c r="B137" s="21" t="s">
        <v>214</v>
      </c>
      <c r="C137" s="21" t="s">
        <v>545</v>
      </c>
      <c r="D137" s="21">
        <v>1540000</v>
      </c>
      <c r="E137" s="21" t="s">
        <v>297</v>
      </c>
      <c r="F137" s="21" t="str">
        <f t="shared" si="4"/>
        <v>rtdc.l.rtdc.4039:itc</v>
      </c>
      <c r="G137" s="8">
        <f t="shared" si="5"/>
        <v>42663.609490740739</v>
      </c>
    </row>
    <row r="138" spans="1:7" x14ac:dyDescent="0.25">
      <c r="A138" s="8">
        <v>42663.611631944441</v>
      </c>
      <c r="B138" s="21" t="s">
        <v>403</v>
      </c>
      <c r="C138" s="21" t="s">
        <v>546</v>
      </c>
      <c r="D138" s="21">
        <v>2020000</v>
      </c>
      <c r="E138" s="21" t="s">
        <v>511</v>
      </c>
      <c r="F138" s="21" t="str">
        <f t="shared" si="4"/>
        <v>rtdc.l.rtdc.4006:itc</v>
      </c>
      <c r="G138" s="8">
        <f t="shared" si="5"/>
        <v>42663.611631944441</v>
      </c>
    </row>
    <row r="139" spans="1:7" x14ac:dyDescent="0.25">
      <c r="A139" s="8">
        <v>42663.620347222219</v>
      </c>
      <c r="B139" s="21" t="s">
        <v>281</v>
      </c>
      <c r="C139" s="21" t="s">
        <v>547</v>
      </c>
      <c r="D139" s="21">
        <v>1820000</v>
      </c>
      <c r="E139" s="21" t="s">
        <v>362</v>
      </c>
      <c r="F139" s="21" t="str">
        <f t="shared" si="4"/>
        <v>rtdc.l.rtdc.4030:itc</v>
      </c>
      <c r="G139" s="8">
        <f t="shared" si="5"/>
        <v>42663.620347222219</v>
      </c>
    </row>
    <row r="140" spans="1:7" x14ac:dyDescent="0.25">
      <c r="A140" s="8">
        <v>42663.624282407407</v>
      </c>
      <c r="B140" s="21" t="s">
        <v>273</v>
      </c>
      <c r="C140" s="21" t="s">
        <v>548</v>
      </c>
      <c r="D140" s="21">
        <v>2040000</v>
      </c>
      <c r="E140" s="21" t="s">
        <v>363</v>
      </c>
      <c r="F140" s="21" t="str">
        <f t="shared" si="4"/>
        <v>rtdc.l.rtdc.4011:itc</v>
      </c>
      <c r="G140" s="8">
        <f t="shared" si="5"/>
        <v>42663.624282407407</v>
      </c>
    </row>
    <row r="141" spans="1:7" x14ac:dyDescent="0.25">
      <c r="A141" s="8">
        <v>42663.629305555558</v>
      </c>
      <c r="B141" s="21" t="s">
        <v>251</v>
      </c>
      <c r="C141" s="21" t="s">
        <v>549</v>
      </c>
      <c r="D141" s="21">
        <v>1740000</v>
      </c>
      <c r="E141" s="21" t="s">
        <v>322</v>
      </c>
      <c r="F141" s="21" t="str">
        <f t="shared" si="4"/>
        <v>rtdc.l.rtdc.4017:itc</v>
      </c>
      <c r="G141" s="8">
        <f t="shared" si="5"/>
        <v>42663.629305555558</v>
      </c>
    </row>
    <row r="142" spans="1:7" x14ac:dyDescent="0.25">
      <c r="A142" s="8">
        <v>42663.632418981484</v>
      </c>
      <c r="B142" s="21" t="s">
        <v>261</v>
      </c>
      <c r="C142" s="21" t="s">
        <v>550</v>
      </c>
      <c r="D142" s="21">
        <v>1810000</v>
      </c>
      <c r="E142" s="21" t="s">
        <v>520</v>
      </c>
      <c r="F142" s="21" t="str">
        <f t="shared" si="4"/>
        <v>rtdc.l.rtdc.4042:itc</v>
      </c>
      <c r="G142" s="8">
        <f t="shared" si="5"/>
        <v>42663.632418981484</v>
      </c>
    </row>
    <row r="143" spans="1:7" x14ac:dyDescent="0.25">
      <c r="A143" s="8">
        <v>42663.633877314816</v>
      </c>
      <c r="B143" s="21" t="s">
        <v>400</v>
      </c>
      <c r="C143" s="21" t="s">
        <v>419</v>
      </c>
      <c r="D143" s="21">
        <v>940000</v>
      </c>
      <c r="E143" s="21" t="s">
        <v>529</v>
      </c>
      <c r="F143" s="21" t="str">
        <f t="shared" si="4"/>
        <v>rtdc.l.rtdc.4037:itc</v>
      </c>
      <c r="G143" s="8">
        <f t="shared" si="5"/>
        <v>42663.633877314816</v>
      </c>
    </row>
    <row r="144" spans="1:7" x14ac:dyDescent="0.25">
      <c r="A144" s="8">
        <v>42663.637708333335</v>
      </c>
      <c r="B144" s="21" t="s">
        <v>256</v>
      </c>
      <c r="C144" s="21" t="s">
        <v>551</v>
      </c>
      <c r="D144" s="21">
        <v>1540000</v>
      </c>
      <c r="E144" s="21" t="s">
        <v>297</v>
      </c>
      <c r="F144" s="21" t="str">
        <f t="shared" si="4"/>
        <v>rtdc.l.rtdc.4040:itc</v>
      </c>
      <c r="G144" s="8">
        <f t="shared" si="5"/>
        <v>42663.637708333335</v>
      </c>
    </row>
    <row r="145" spans="1:7" x14ac:dyDescent="0.25">
      <c r="A145" s="8">
        <v>42663.642627314817</v>
      </c>
      <c r="B145" s="21" t="s">
        <v>196</v>
      </c>
      <c r="C145" s="21" t="s">
        <v>552</v>
      </c>
      <c r="D145" s="21">
        <v>1140000</v>
      </c>
      <c r="E145" s="21" t="s">
        <v>364</v>
      </c>
      <c r="F145" s="21" t="str">
        <f t="shared" si="4"/>
        <v>rtdc.l.rtdc.4044:itc</v>
      </c>
      <c r="G145" s="8">
        <f t="shared" si="5"/>
        <v>42663.642627314817</v>
      </c>
    </row>
    <row r="146" spans="1:7" x14ac:dyDescent="0.25">
      <c r="A146" s="8">
        <v>42663.647604166668</v>
      </c>
      <c r="B146" s="21" t="s">
        <v>431</v>
      </c>
      <c r="C146" s="21" t="s">
        <v>553</v>
      </c>
      <c r="D146" s="21">
        <v>2020000</v>
      </c>
      <c r="E146" s="21" t="s">
        <v>511</v>
      </c>
      <c r="F146" s="21" t="str">
        <f t="shared" si="4"/>
        <v>rtdc.l.rtdc.4005:itc</v>
      </c>
      <c r="G146" s="8">
        <f t="shared" si="5"/>
        <v>42663.647604166668</v>
      </c>
    </row>
    <row r="147" spans="1:7" x14ac:dyDescent="0.25">
      <c r="A147" s="8">
        <v>42663.651747685188</v>
      </c>
      <c r="B147" s="21" t="s">
        <v>214</v>
      </c>
      <c r="C147" s="21" t="s">
        <v>554</v>
      </c>
      <c r="D147" s="21">
        <v>1540000</v>
      </c>
      <c r="E147" s="21" t="s">
        <v>297</v>
      </c>
      <c r="F147" s="21" t="str">
        <f t="shared" si="4"/>
        <v>rtdc.l.rtdc.4039:itc</v>
      </c>
      <c r="G147" s="8">
        <f t="shared" si="5"/>
        <v>42663.651747685188</v>
      </c>
    </row>
    <row r="148" spans="1:7" x14ac:dyDescent="0.25">
      <c r="A148" s="8">
        <v>42663.653368055559</v>
      </c>
      <c r="B148" s="21" t="s">
        <v>280</v>
      </c>
      <c r="C148" s="21" t="s">
        <v>555</v>
      </c>
      <c r="D148" s="21">
        <v>1820000</v>
      </c>
      <c r="E148" s="21" t="s">
        <v>362</v>
      </c>
      <c r="F148" s="21" t="str">
        <f t="shared" si="4"/>
        <v>rtdc.l.rtdc.4029:itc</v>
      </c>
      <c r="G148" s="8">
        <f t="shared" si="5"/>
        <v>42663.653368055559</v>
      </c>
    </row>
    <row r="149" spans="1:7" x14ac:dyDescent="0.25">
      <c r="A149" s="8">
        <v>42663.659699074073</v>
      </c>
      <c r="B149" s="21" t="s">
        <v>272</v>
      </c>
      <c r="C149" s="21" t="s">
        <v>556</v>
      </c>
      <c r="D149" s="21">
        <v>2040000</v>
      </c>
      <c r="E149" s="21" t="s">
        <v>363</v>
      </c>
      <c r="F149" s="21" t="str">
        <f t="shared" si="4"/>
        <v>rtdc.l.rtdc.4012:itc</v>
      </c>
      <c r="G149" s="8">
        <f t="shared" si="5"/>
        <v>42663.659699074073</v>
      </c>
    </row>
    <row r="150" spans="1:7" x14ac:dyDescent="0.25">
      <c r="A150" s="8">
        <v>42663.661412037036</v>
      </c>
      <c r="B150" s="21" t="s">
        <v>188</v>
      </c>
      <c r="C150" s="21" t="s">
        <v>422</v>
      </c>
      <c r="D150" s="21">
        <v>1740000</v>
      </c>
      <c r="E150" s="21" t="s">
        <v>322</v>
      </c>
      <c r="F150" s="21" t="str">
        <f t="shared" si="4"/>
        <v>rtdc.l.rtdc.4018:itc</v>
      </c>
      <c r="G150" s="8">
        <f t="shared" si="5"/>
        <v>42663.661412037036</v>
      </c>
    </row>
    <row r="151" spans="1:7" x14ac:dyDescent="0.25">
      <c r="A151" s="8">
        <v>42663.661805555559</v>
      </c>
      <c r="B151" s="21" t="s">
        <v>295</v>
      </c>
      <c r="C151" s="21" t="s">
        <v>420</v>
      </c>
      <c r="D151" s="21">
        <v>1230000</v>
      </c>
      <c r="E151" s="21" t="s">
        <v>215</v>
      </c>
      <c r="F151" s="21" t="str">
        <f t="shared" si="4"/>
        <v>rtdc.l.rtdc.4053:itc</v>
      </c>
      <c r="G151" s="8">
        <f t="shared" si="5"/>
        <v>42663.661805555559</v>
      </c>
    </row>
    <row r="152" spans="1:7" x14ac:dyDescent="0.25">
      <c r="A152" s="8">
        <v>42663.662905092591</v>
      </c>
      <c r="B152" s="21" t="s">
        <v>295</v>
      </c>
      <c r="C152" s="21" t="s">
        <v>420</v>
      </c>
      <c r="D152" s="21">
        <v>1230000</v>
      </c>
      <c r="E152" s="21" t="s">
        <v>215</v>
      </c>
      <c r="F152" s="21" t="str">
        <f t="shared" si="4"/>
        <v>rtdc.l.rtdc.4053:itc</v>
      </c>
      <c r="G152" s="8">
        <f t="shared" si="5"/>
        <v>42663.662905092591</v>
      </c>
    </row>
    <row r="153" spans="1:7" x14ac:dyDescent="0.25">
      <c r="A153" s="8">
        <v>42663.664201388892</v>
      </c>
      <c r="B153" s="21" t="s">
        <v>263</v>
      </c>
      <c r="C153" s="21" t="s">
        <v>557</v>
      </c>
      <c r="D153" s="21">
        <v>1810000</v>
      </c>
      <c r="E153" s="21" t="s">
        <v>520</v>
      </c>
      <c r="F153" s="21" t="str">
        <f t="shared" si="4"/>
        <v>rtdc.l.rtdc.4041:itc</v>
      </c>
      <c r="G153" s="8">
        <f t="shared" si="5"/>
        <v>42663.664201388892</v>
      </c>
    </row>
    <row r="154" spans="1:7" x14ac:dyDescent="0.25">
      <c r="A154" s="8">
        <v>42663.673171296294</v>
      </c>
      <c r="B154" s="21" t="s">
        <v>456</v>
      </c>
      <c r="C154" s="21" t="s">
        <v>558</v>
      </c>
      <c r="D154" s="21">
        <v>940000</v>
      </c>
      <c r="E154" s="21" t="s">
        <v>529</v>
      </c>
      <c r="F154" s="21" t="str">
        <f t="shared" si="4"/>
        <v>rtdc.l.rtdc.4038:itc</v>
      </c>
      <c r="G154" s="8">
        <f t="shared" si="5"/>
        <v>42663.673171296294</v>
      </c>
    </row>
    <row r="155" spans="1:7" x14ac:dyDescent="0.25">
      <c r="A155" s="8">
        <v>42663.673506944448</v>
      </c>
      <c r="B155" s="21" t="s">
        <v>293</v>
      </c>
      <c r="C155" s="21" t="s">
        <v>559</v>
      </c>
      <c r="D155" s="21">
        <v>1230000</v>
      </c>
      <c r="E155" s="21" t="s">
        <v>215</v>
      </c>
      <c r="F155" s="21" t="str">
        <f t="shared" si="4"/>
        <v>rtdc.l.rtdc.4054:itc</v>
      </c>
      <c r="G155" s="8">
        <f t="shared" si="5"/>
        <v>42663.673506944448</v>
      </c>
    </row>
    <row r="156" spans="1:7" x14ac:dyDescent="0.25">
      <c r="A156" s="8">
        <v>42663.674618055556</v>
      </c>
      <c r="B156" s="21" t="s">
        <v>211</v>
      </c>
      <c r="C156" s="21" t="s">
        <v>560</v>
      </c>
      <c r="D156" s="21">
        <v>1140000</v>
      </c>
      <c r="E156" s="21" t="s">
        <v>364</v>
      </c>
      <c r="F156" s="21" t="str">
        <f t="shared" si="4"/>
        <v>rtdc.l.rtdc.4043:itc</v>
      </c>
      <c r="G156" s="8">
        <f t="shared" si="5"/>
        <v>42663.674618055556</v>
      </c>
    </row>
    <row r="157" spans="1:7" x14ac:dyDescent="0.25">
      <c r="A157" s="8">
        <v>42663.677199074074</v>
      </c>
      <c r="B157" s="21" t="s">
        <v>256</v>
      </c>
      <c r="C157" s="21" t="s">
        <v>421</v>
      </c>
      <c r="D157" s="21">
        <v>1540000</v>
      </c>
      <c r="E157" s="21" t="s">
        <v>297</v>
      </c>
      <c r="F157" s="21" t="str">
        <f t="shared" si="4"/>
        <v>rtdc.l.rtdc.4040:itc</v>
      </c>
      <c r="G157" s="8">
        <f t="shared" si="5"/>
        <v>42663.677199074074</v>
      </c>
    </row>
    <row r="158" spans="1:7" x14ac:dyDescent="0.25">
      <c r="A158" s="8">
        <v>42663.681041666663</v>
      </c>
      <c r="B158" s="21" t="s">
        <v>456</v>
      </c>
      <c r="C158" s="21" t="s">
        <v>558</v>
      </c>
      <c r="D158" s="21">
        <v>940000</v>
      </c>
      <c r="E158" s="21" t="s">
        <v>529</v>
      </c>
      <c r="F158" s="21" t="str">
        <f t="shared" si="4"/>
        <v>rtdc.l.rtdc.4038:itc</v>
      </c>
      <c r="G158" s="8">
        <f t="shared" si="5"/>
        <v>42663.681041666663</v>
      </c>
    </row>
    <row r="159" spans="1:7" x14ac:dyDescent="0.25">
      <c r="A159" s="8">
        <v>42663.684155092589</v>
      </c>
      <c r="B159" s="21" t="s">
        <v>403</v>
      </c>
      <c r="C159" s="21" t="s">
        <v>561</v>
      </c>
      <c r="D159" s="21">
        <v>2020000</v>
      </c>
      <c r="E159" s="21" t="s">
        <v>511</v>
      </c>
      <c r="F159" s="21" t="str">
        <f t="shared" si="4"/>
        <v>rtdc.l.rtdc.4006:itc</v>
      </c>
      <c r="G159" s="8">
        <f t="shared" si="5"/>
        <v>42663.684155092589</v>
      </c>
    </row>
    <row r="160" spans="1:7" x14ac:dyDescent="0.25">
      <c r="A160" s="8">
        <v>42663.69127314815</v>
      </c>
      <c r="B160" s="21" t="s">
        <v>281</v>
      </c>
      <c r="C160" s="21" t="s">
        <v>562</v>
      </c>
      <c r="D160" s="21">
        <v>1820000</v>
      </c>
      <c r="E160" s="21" t="s">
        <v>362</v>
      </c>
      <c r="F160" s="21" t="str">
        <f t="shared" si="4"/>
        <v>rtdc.l.rtdc.4030:itc</v>
      </c>
      <c r="G160" s="8">
        <f t="shared" si="5"/>
        <v>42663.69127314815</v>
      </c>
    </row>
    <row r="161" spans="1:7" x14ac:dyDescent="0.25">
      <c r="A161" s="8">
        <v>42663.693842592591</v>
      </c>
      <c r="B161" s="21" t="s">
        <v>214</v>
      </c>
      <c r="C161" s="21" t="s">
        <v>563</v>
      </c>
      <c r="D161" s="21">
        <v>1540000</v>
      </c>
      <c r="E161" s="21" t="s">
        <v>297</v>
      </c>
      <c r="F161" s="21" t="str">
        <f t="shared" si="4"/>
        <v>rtdc.l.rtdc.4039:itc</v>
      </c>
      <c r="G161" s="8">
        <f t="shared" si="5"/>
        <v>42663.693842592591</v>
      </c>
    </row>
    <row r="162" spans="1:7" x14ac:dyDescent="0.25">
      <c r="A162" s="8">
        <v>42663.695497685185</v>
      </c>
      <c r="B162" s="21" t="s">
        <v>273</v>
      </c>
      <c r="C162" s="21" t="s">
        <v>564</v>
      </c>
      <c r="D162" s="21">
        <v>2040000</v>
      </c>
      <c r="E162" s="21" t="s">
        <v>363</v>
      </c>
      <c r="F162" s="21" t="str">
        <f t="shared" si="4"/>
        <v>rtdc.l.rtdc.4011:itc</v>
      </c>
      <c r="G162" s="8">
        <f t="shared" si="5"/>
        <v>42663.695497685185</v>
      </c>
    </row>
    <row r="163" spans="1:7" x14ac:dyDescent="0.25">
      <c r="A163" s="8">
        <v>42663.697326388887</v>
      </c>
      <c r="B163" s="21" t="s">
        <v>295</v>
      </c>
      <c r="C163" s="21" t="s">
        <v>423</v>
      </c>
      <c r="D163" s="21">
        <v>1230000</v>
      </c>
      <c r="E163" s="21" t="s">
        <v>215</v>
      </c>
      <c r="F163" s="21" t="str">
        <f t="shared" si="4"/>
        <v>rtdc.l.rtdc.4053:itc</v>
      </c>
      <c r="G163" s="8">
        <f t="shared" si="5"/>
        <v>42663.697326388887</v>
      </c>
    </row>
    <row r="164" spans="1:7" x14ac:dyDescent="0.25">
      <c r="A164" s="8">
        <v>42663.702222222222</v>
      </c>
      <c r="B164" s="21" t="s">
        <v>251</v>
      </c>
      <c r="C164" s="21" t="s">
        <v>565</v>
      </c>
      <c r="D164" s="21">
        <v>1740000</v>
      </c>
      <c r="E164" s="21" t="s">
        <v>322</v>
      </c>
      <c r="F164" s="21" t="str">
        <f t="shared" si="4"/>
        <v>rtdc.l.rtdc.4017:itc</v>
      </c>
      <c r="G164" s="8">
        <f t="shared" si="5"/>
        <v>42663.702222222222</v>
      </c>
    </row>
    <row r="165" spans="1:7" x14ac:dyDescent="0.25">
      <c r="A165" s="8">
        <v>42663.702974537038</v>
      </c>
      <c r="B165" s="21" t="s">
        <v>261</v>
      </c>
      <c r="C165" s="21" t="s">
        <v>425</v>
      </c>
      <c r="D165" s="21">
        <v>1810000</v>
      </c>
      <c r="E165" s="21" t="s">
        <v>520</v>
      </c>
      <c r="F165" s="21" t="str">
        <f t="shared" si="4"/>
        <v>rtdc.l.rtdc.4042:itc</v>
      </c>
      <c r="G165" s="8">
        <f t="shared" si="5"/>
        <v>42663.702974537038</v>
      </c>
    </row>
    <row r="166" spans="1:7" x14ac:dyDescent="0.25">
      <c r="A166" s="8">
        <v>42663.70857638889</v>
      </c>
      <c r="B166" s="21" t="s">
        <v>400</v>
      </c>
      <c r="C166" s="21" t="s">
        <v>566</v>
      </c>
      <c r="D166" s="21">
        <v>940000</v>
      </c>
      <c r="E166" s="21" t="s">
        <v>529</v>
      </c>
      <c r="F166" s="21" t="str">
        <f t="shared" si="4"/>
        <v>rtdc.l.rtdc.4037:itc</v>
      </c>
      <c r="G166" s="8">
        <f t="shared" si="5"/>
        <v>42663.70857638889</v>
      </c>
    </row>
    <row r="167" spans="1:7" x14ac:dyDescent="0.25">
      <c r="A167" s="8">
        <v>42663.714270833334</v>
      </c>
      <c r="B167" s="21" t="s">
        <v>293</v>
      </c>
      <c r="C167" s="21" t="s">
        <v>567</v>
      </c>
      <c r="D167" s="21">
        <v>1230000</v>
      </c>
      <c r="E167" s="21" t="s">
        <v>215</v>
      </c>
      <c r="F167" s="21" t="str">
        <f t="shared" si="4"/>
        <v>rtdc.l.rtdc.4054:itc</v>
      </c>
      <c r="G167" s="8">
        <f t="shared" si="5"/>
        <v>42663.714270833334</v>
      </c>
    </row>
    <row r="168" spans="1:7" x14ac:dyDescent="0.25">
      <c r="A168" s="8">
        <v>42663.717951388891</v>
      </c>
      <c r="B168" s="21" t="s">
        <v>196</v>
      </c>
      <c r="C168" s="21" t="s">
        <v>568</v>
      </c>
      <c r="D168" s="21">
        <v>1180000</v>
      </c>
      <c r="E168" s="21" t="s">
        <v>189</v>
      </c>
      <c r="F168" s="21" t="str">
        <f t="shared" si="4"/>
        <v>rtdc.l.rtdc.4044:itc</v>
      </c>
      <c r="G168" s="8">
        <f t="shared" si="5"/>
        <v>42663.717951388891</v>
      </c>
    </row>
    <row r="169" spans="1:7" x14ac:dyDescent="0.25">
      <c r="A169" s="8">
        <v>42663.719895833332</v>
      </c>
      <c r="B169" s="21" t="s">
        <v>318</v>
      </c>
      <c r="C169" s="21" t="s">
        <v>424</v>
      </c>
      <c r="D169" s="21">
        <v>2250000</v>
      </c>
      <c r="E169" s="21" t="s">
        <v>516</v>
      </c>
      <c r="F169" s="21" t="str">
        <f t="shared" si="4"/>
        <v>rtdc.l.rtdc.4016:itc</v>
      </c>
      <c r="G169" s="8">
        <f t="shared" si="5"/>
        <v>42663.719895833332</v>
      </c>
    </row>
    <row r="170" spans="1:7" x14ac:dyDescent="0.25">
      <c r="A170" s="8">
        <v>42663.719930555555</v>
      </c>
      <c r="B170" s="21" t="s">
        <v>256</v>
      </c>
      <c r="C170" s="21" t="s">
        <v>569</v>
      </c>
      <c r="D170" s="21">
        <v>1540000</v>
      </c>
      <c r="E170" s="21" t="s">
        <v>297</v>
      </c>
      <c r="F170" s="21" t="str">
        <f t="shared" si="4"/>
        <v>rtdc.l.rtdc.4040:itc</v>
      </c>
      <c r="G170" s="8">
        <f t="shared" si="5"/>
        <v>42663.719930555555</v>
      </c>
    </row>
    <row r="171" spans="1:7" x14ac:dyDescent="0.25">
      <c r="A171" s="8">
        <v>42663.720081018517</v>
      </c>
      <c r="B171" s="21" t="s">
        <v>431</v>
      </c>
      <c r="C171" s="21" t="s">
        <v>570</v>
      </c>
      <c r="D171" s="21">
        <v>2020000</v>
      </c>
      <c r="E171" s="21" t="s">
        <v>511</v>
      </c>
      <c r="F171" s="21" t="str">
        <f t="shared" si="4"/>
        <v>rtdc.l.rtdc.4005:itc</v>
      </c>
      <c r="G171" s="8">
        <f t="shared" si="5"/>
        <v>42663.720081018517</v>
      </c>
    </row>
    <row r="172" spans="1:7" x14ac:dyDescent="0.25">
      <c r="A172" s="8">
        <v>42663.727314814816</v>
      </c>
      <c r="B172" s="21" t="s">
        <v>280</v>
      </c>
      <c r="C172" s="21" t="s">
        <v>571</v>
      </c>
      <c r="D172" s="21">
        <v>1140000</v>
      </c>
      <c r="E172" s="21" t="s">
        <v>364</v>
      </c>
      <c r="F172" s="21" t="str">
        <f t="shared" si="4"/>
        <v>rtdc.l.rtdc.4029:itc</v>
      </c>
      <c r="G172" s="8">
        <f t="shared" si="5"/>
        <v>42663.727314814816</v>
      </c>
    </row>
    <row r="173" spans="1:7" x14ac:dyDescent="0.25">
      <c r="A173" s="8">
        <v>42663.734236111108</v>
      </c>
      <c r="B173" s="21" t="s">
        <v>272</v>
      </c>
      <c r="C173" s="21" t="s">
        <v>572</v>
      </c>
      <c r="D173" s="21">
        <v>2040000</v>
      </c>
      <c r="E173" s="21" t="s">
        <v>363</v>
      </c>
      <c r="F173" s="21" t="str">
        <f t="shared" si="4"/>
        <v>rtdc.l.rtdc.4012:itc</v>
      </c>
      <c r="G173" s="8">
        <f t="shared" si="5"/>
        <v>42663.734236111108</v>
      </c>
    </row>
    <row r="174" spans="1:7" x14ac:dyDescent="0.25">
      <c r="A174" s="8">
        <v>42663.735162037039</v>
      </c>
      <c r="B174" s="21" t="s">
        <v>214</v>
      </c>
      <c r="C174" s="21" t="s">
        <v>427</v>
      </c>
      <c r="D174" s="21">
        <v>1540000</v>
      </c>
      <c r="E174" s="21" t="s">
        <v>297</v>
      </c>
      <c r="F174" s="21" t="str">
        <f t="shared" si="4"/>
        <v>rtdc.l.rtdc.4039:itc</v>
      </c>
      <c r="G174" s="8">
        <f t="shared" si="5"/>
        <v>42663.735162037039</v>
      </c>
    </row>
    <row r="175" spans="1:7" x14ac:dyDescent="0.25">
      <c r="A175" s="8">
        <v>42663.735844907409</v>
      </c>
      <c r="B175" s="21" t="s">
        <v>263</v>
      </c>
      <c r="C175" s="21" t="s">
        <v>573</v>
      </c>
      <c r="D175" s="21">
        <v>1810000</v>
      </c>
      <c r="E175" s="21" t="s">
        <v>520</v>
      </c>
      <c r="F175" s="21" t="str">
        <f t="shared" si="4"/>
        <v>rtdc.l.rtdc.4041:itc</v>
      </c>
      <c r="G175" s="8">
        <f t="shared" si="5"/>
        <v>42663.735844907409</v>
      </c>
    </row>
    <row r="176" spans="1:7" x14ac:dyDescent="0.25">
      <c r="A176" s="8">
        <v>42663.735902777778</v>
      </c>
      <c r="B176" s="21" t="s">
        <v>188</v>
      </c>
      <c r="C176" s="21" t="s">
        <v>574</v>
      </c>
      <c r="D176" s="21">
        <v>2370000</v>
      </c>
      <c r="E176" s="21" t="s">
        <v>298</v>
      </c>
      <c r="F176" s="21" t="str">
        <f t="shared" si="4"/>
        <v>rtdc.l.rtdc.4018:itc</v>
      </c>
      <c r="G176" s="8">
        <f t="shared" si="5"/>
        <v>42663.735902777778</v>
      </c>
    </row>
    <row r="177" spans="1:7" x14ac:dyDescent="0.25">
      <c r="A177" s="8">
        <v>42663.738263888888</v>
      </c>
      <c r="B177" s="21" t="s">
        <v>295</v>
      </c>
      <c r="C177" s="21" t="s">
        <v>428</v>
      </c>
      <c r="D177" s="21">
        <v>1230000</v>
      </c>
      <c r="E177" s="21" t="s">
        <v>215</v>
      </c>
      <c r="F177" s="21" t="str">
        <f t="shared" si="4"/>
        <v>rtdc.l.rtdc.4053:itc</v>
      </c>
      <c r="G177" s="8">
        <f t="shared" si="5"/>
        <v>42663.738263888888</v>
      </c>
    </row>
    <row r="178" spans="1:7" x14ac:dyDescent="0.25">
      <c r="A178" s="8">
        <v>42663.740613425929</v>
      </c>
      <c r="B178" s="21" t="s">
        <v>216</v>
      </c>
      <c r="C178" s="21" t="s">
        <v>426</v>
      </c>
      <c r="D178" s="21">
        <v>150000</v>
      </c>
      <c r="E178" s="21" t="s">
        <v>299</v>
      </c>
      <c r="F178" s="21" t="str">
        <f t="shared" si="4"/>
        <v>rtdc.l.rtdc.4032:itc</v>
      </c>
      <c r="G178" s="8">
        <f t="shared" si="5"/>
        <v>42663.740613425929</v>
      </c>
    </row>
    <row r="179" spans="1:7" x14ac:dyDescent="0.25">
      <c r="A179" s="8">
        <v>42663.746620370373</v>
      </c>
      <c r="B179" s="21" t="s">
        <v>456</v>
      </c>
      <c r="C179" s="21" t="s">
        <v>575</v>
      </c>
      <c r="D179" s="21">
        <v>1740000</v>
      </c>
      <c r="E179" s="21" t="s">
        <v>322</v>
      </c>
      <c r="F179" s="21" t="str">
        <f t="shared" si="4"/>
        <v>rtdc.l.rtdc.4038:itc</v>
      </c>
      <c r="G179" s="8">
        <f t="shared" si="5"/>
        <v>42663.746620370373</v>
      </c>
    </row>
    <row r="180" spans="1:7" x14ac:dyDescent="0.25">
      <c r="A180" s="8">
        <v>42663.750254629631</v>
      </c>
      <c r="B180" s="21" t="s">
        <v>365</v>
      </c>
      <c r="C180" s="21" t="s">
        <v>576</v>
      </c>
      <c r="D180" s="21">
        <v>1480000</v>
      </c>
      <c r="E180" s="21" t="s">
        <v>191</v>
      </c>
      <c r="F180" s="21" t="str">
        <f t="shared" si="4"/>
        <v>rtdc.l.rtdc.4008:itc</v>
      </c>
      <c r="G180" s="8">
        <f t="shared" si="5"/>
        <v>42663.750254629631</v>
      </c>
    </row>
    <row r="181" spans="1:7" x14ac:dyDescent="0.25">
      <c r="A181" s="8">
        <v>42663.752245370371</v>
      </c>
      <c r="B181" s="21" t="s">
        <v>211</v>
      </c>
      <c r="C181" s="21" t="s">
        <v>577</v>
      </c>
      <c r="D181" s="21">
        <v>1180000</v>
      </c>
      <c r="E181" s="21" t="s">
        <v>189</v>
      </c>
      <c r="F181" s="21" t="str">
        <f t="shared" si="4"/>
        <v>rtdc.l.rtdc.4043:itc</v>
      </c>
      <c r="G181" s="8">
        <f t="shared" si="5"/>
        <v>42663.752245370371</v>
      </c>
    </row>
    <row r="182" spans="1:7" x14ac:dyDescent="0.25">
      <c r="A182" s="8">
        <v>42663.755856481483</v>
      </c>
      <c r="B182" s="21" t="s">
        <v>293</v>
      </c>
      <c r="C182" s="21" t="s">
        <v>578</v>
      </c>
      <c r="D182" s="21">
        <v>1230000</v>
      </c>
      <c r="E182" s="21" t="s">
        <v>215</v>
      </c>
      <c r="F182" s="21" t="str">
        <f t="shared" si="4"/>
        <v>rtdc.l.rtdc.4054:itc</v>
      </c>
      <c r="G182" s="8">
        <f t="shared" si="5"/>
        <v>42663.755856481483</v>
      </c>
    </row>
    <row r="183" spans="1:7" x14ac:dyDescent="0.25">
      <c r="A183" s="8">
        <v>42663.7578587963</v>
      </c>
      <c r="B183" s="21" t="s">
        <v>403</v>
      </c>
      <c r="C183" s="21" t="s">
        <v>429</v>
      </c>
      <c r="D183" s="21">
        <v>1300000</v>
      </c>
      <c r="E183" s="21" t="s">
        <v>114</v>
      </c>
      <c r="F183" s="21" t="str">
        <f t="shared" si="4"/>
        <v>rtdc.l.rtdc.4006:itc</v>
      </c>
      <c r="G183" s="8">
        <f t="shared" si="5"/>
        <v>42663.7578587963</v>
      </c>
    </row>
    <row r="184" spans="1:7" x14ac:dyDescent="0.25">
      <c r="A184" s="8">
        <v>42663.758599537039</v>
      </c>
      <c r="B184" s="21" t="s">
        <v>281</v>
      </c>
      <c r="C184" s="21" t="s">
        <v>579</v>
      </c>
      <c r="D184" s="21">
        <v>1140000</v>
      </c>
      <c r="E184" s="21" t="s">
        <v>364</v>
      </c>
      <c r="F184" s="21" t="str">
        <f t="shared" si="4"/>
        <v>rtdc.l.rtdc.4030:itc</v>
      </c>
      <c r="G184" s="8">
        <f t="shared" si="5"/>
        <v>42663.758599537039</v>
      </c>
    </row>
    <row r="185" spans="1:7" x14ac:dyDescent="0.25">
      <c r="A185" s="8">
        <v>42663.762835648151</v>
      </c>
      <c r="B185" s="21" t="s">
        <v>256</v>
      </c>
      <c r="C185" s="21" t="s">
        <v>580</v>
      </c>
      <c r="D185" s="21">
        <v>1540000</v>
      </c>
      <c r="E185" s="21" t="s">
        <v>297</v>
      </c>
      <c r="F185" s="21" t="str">
        <f t="shared" si="4"/>
        <v>rtdc.l.rtdc.4040:itc</v>
      </c>
      <c r="G185" s="8">
        <f t="shared" si="5"/>
        <v>42663.762835648151</v>
      </c>
    </row>
    <row r="186" spans="1:7" x14ac:dyDescent="0.25">
      <c r="A186" s="8">
        <v>42663.769212962965</v>
      </c>
      <c r="B186" s="21" t="s">
        <v>273</v>
      </c>
      <c r="C186" s="21" t="s">
        <v>581</v>
      </c>
      <c r="D186" s="21">
        <v>1480000</v>
      </c>
      <c r="E186" s="21" t="s">
        <v>191</v>
      </c>
      <c r="F186" s="21" t="str">
        <f t="shared" si="4"/>
        <v>rtdc.l.rtdc.4011:itc</v>
      </c>
      <c r="G186" s="8">
        <f t="shared" si="5"/>
        <v>42663.769212962965</v>
      </c>
    </row>
    <row r="187" spans="1:7" x14ac:dyDescent="0.25">
      <c r="A187" s="8">
        <v>42663.773182870369</v>
      </c>
      <c r="B187" s="21" t="s">
        <v>251</v>
      </c>
      <c r="C187" s="21" t="s">
        <v>582</v>
      </c>
      <c r="D187" s="21">
        <v>2370000</v>
      </c>
      <c r="E187" s="21" t="s">
        <v>298</v>
      </c>
      <c r="F187" s="21" t="str">
        <f t="shared" si="4"/>
        <v>rtdc.l.rtdc.4017:itc</v>
      </c>
      <c r="G187" s="8">
        <f t="shared" si="5"/>
        <v>42663.773182870369</v>
      </c>
    </row>
    <row r="188" spans="1:7" x14ac:dyDescent="0.25">
      <c r="A188" s="8">
        <v>42663.777002314811</v>
      </c>
      <c r="B188" s="21" t="s">
        <v>261</v>
      </c>
      <c r="C188" s="21" t="s">
        <v>583</v>
      </c>
      <c r="D188" s="21">
        <v>1810000</v>
      </c>
      <c r="E188" s="21" t="s">
        <v>520</v>
      </c>
      <c r="F188" s="21" t="str">
        <f t="shared" si="4"/>
        <v>rtdc.l.rtdc.4042:itc</v>
      </c>
      <c r="G188" s="8">
        <f t="shared" si="5"/>
        <v>42663.777002314811</v>
      </c>
    </row>
    <row r="189" spans="1:7" x14ac:dyDescent="0.25">
      <c r="A189" s="8">
        <v>42663.777037037034</v>
      </c>
      <c r="B189" s="21" t="s">
        <v>214</v>
      </c>
      <c r="C189" s="21" t="s">
        <v>584</v>
      </c>
      <c r="D189" s="21">
        <v>1540000</v>
      </c>
      <c r="E189" s="21" t="s">
        <v>297</v>
      </c>
      <c r="F189" s="21" t="str">
        <f t="shared" si="4"/>
        <v>rtdc.l.rtdc.4039:itc</v>
      </c>
      <c r="G189" s="8">
        <f t="shared" si="5"/>
        <v>42663.777037037034</v>
      </c>
    </row>
    <row r="190" spans="1:7" x14ac:dyDescent="0.25">
      <c r="A190" s="8">
        <v>42663.780081018522</v>
      </c>
      <c r="B190" s="21" t="s">
        <v>295</v>
      </c>
      <c r="C190" s="21" t="s">
        <v>585</v>
      </c>
      <c r="D190" s="21">
        <v>1230000</v>
      </c>
      <c r="E190" s="21" t="s">
        <v>215</v>
      </c>
      <c r="F190" s="21" t="str">
        <f t="shared" si="4"/>
        <v>rtdc.l.rtdc.4053:itc</v>
      </c>
      <c r="G190" s="8">
        <f t="shared" si="5"/>
        <v>42663.780081018522</v>
      </c>
    </row>
    <row r="191" spans="1:7" x14ac:dyDescent="0.25">
      <c r="A191" s="8">
        <v>42663.787233796298</v>
      </c>
      <c r="B191" s="21" t="s">
        <v>400</v>
      </c>
      <c r="C191" s="21" t="s">
        <v>586</v>
      </c>
      <c r="D191" s="21">
        <v>1740000</v>
      </c>
      <c r="E191" s="21" t="s">
        <v>322</v>
      </c>
      <c r="F191" s="21" t="str">
        <f t="shared" si="4"/>
        <v>rtdc.l.rtdc.4037:itc</v>
      </c>
      <c r="G191" s="8">
        <f t="shared" si="5"/>
        <v>42663.787233796298</v>
      </c>
    </row>
    <row r="192" spans="1:7" x14ac:dyDescent="0.25">
      <c r="A192" s="8">
        <v>42663.788611111115</v>
      </c>
      <c r="B192" s="21" t="s">
        <v>196</v>
      </c>
      <c r="C192" s="21" t="s">
        <v>587</v>
      </c>
      <c r="D192" s="21">
        <v>1180000</v>
      </c>
      <c r="E192" s="21" t="s">
        <v>189</v>
      </c>
      <c r="F192" s="21" t="str">
        <f t="shared" si="4"/>
        <v>rtdc.l.rtdc.4044:itc</v>
      </c>
      <c r="G192" s="8">
        <f t="shared" si="5"/>
        <v>42663.788611111115</v>
      </c>
    </row>
    <row r="193" spans="1:7" x14ac:dyDescent="0.25">
      <c r="A193" s="8">
        <v>42663.795567129629</v>
      </c>
      <c r="B193" s="21" t="s">
        <v>431</v>
      </c>
      <c r="C193" s="21" t="s">
        <v>588</v>
      </c>
      <c r="D193" s="21">
        <v>2020000</v>
      </c>
      <c r="E193" s="21" t="s">
        <v>511</v>
      </c>
      <c r="F193" s="21" t="str">
        <f t="shared" si="4"/>
        <v>rtdc.l.rtdc.4005:itc</v>
      </c>
      <c r="G193" s="8">
        <f t="shared" si="5"/>
        <v>42663.795567129629</v>
      </c>
    </row>
    <row r="194" spans="1:7" x14ac:dyDescent="0.25">
      <c r="A194" s="8">
        <v>42663.797025462962</v>
      </c>
      <c r="B194" s="21" t="s">
        <v>293</v>
      </c>
      <c r="C194" s="21" t="s">
        <v>589</v>
      </c>
      <c r="D194" s="21">
        <v>1230000</v>
      </c>
      <c r="E194" s="21" t="s">
        <v>215</v>
      </c>
      <c r="F194" s="21" t="str">
        <f t="shared" ref="F194:F235" si="6">B194</f>
        <v>rtdc.l.rtdc.4054:itc</v>
      </c>
      <c r="G194" s="8">
        <f t="shared" ref="G194:G235" si="7">A194</f>
        <v>42663.797025462962</v>
      </c>
    </row>
    <row r="195" spans="1:7" x14ac:dyDescent="0.25">
      <c r="A195" s="8">
        <v>42663.800254629627</v>
      </c>
      <c r="B195" s="21" t="s">
        <v>272</v>
      </c>
      <c r="C195" s="21" t="s">
        <v>590</v>
      </c>
      <c r="D195" s="21">
        <v>1480000</v>
      </c>
      <c r="E195" s="21" t="s">
        <v>191</v>
      </c>
      <c r="F195" s="21" t="str">
        <f t="shared" si="6"/>
        <v>rtdc.l.rtdc.4012:itc</v>
      </c>
      <c r="G195" s="8">
        <f t="shared" si="7"/>
        <v>42663.800254629627</v>
      </c>
    </row>
    <row r="196" spans="1:7" x14ac:dyDescent="0.25">
      <c r="A196" s="8">
        <v>42663.800578703704</v>
      </c>
      <c r="B196" s="21" t="s">
        <v>256</v>
      </c>
      <c r="C196" s="21" t="s">
        <v>591</v>
      </c>
      <c r="D196" s="21">
        <v>1540000</v>
      </c>
      <c r="E196" s="21" t="s">
        <v>297</v>
      </c>
      <c r="F196" s="21" t="str">
        <f t="shared" si="6"/>
        <v>rtdc.l.rtdc.4040:itc</v>
      </c>
      <c r="G196" s="8">
        <f t="shared" si="7"/>
        <v>42663.800578703704</v>
      </c>
    </row>
    <row r="197" spans="1:7" x14ac:dyDescent="0.25">
      <c r="A197" s="8">
        <v>42663.81108796296</v>
      </c>
      <c r="B197" s="21" t="s">
        <v>280</v>
      </c>
      <c r="C197" s="21" t="s">
        <v>592</v>
      </c>
      <c r="D197" s="21">
        <v>2370000</v>
      </c>
      <c r="E197" s="21" t="s">
        <v>298</v>
      </c>
      <c r="F197" s="21" t="str">
        <f t="shared" si="6"/>
        <v>rtdc.l.rtdc.4029:itc</v>
      </c>
      <c r="G197" s="8">
        <f t="shared" si="7"/>
        <v>42663.81108796296</v>
      </c>
    </row>
    <row r="198" spans="1:7" x14ac:dyDescent="0.25">
      <c r="A198" s="8">
        <v>42663.811307870368</v>
      </c>
      <c r="B198" s="21" t="s">
        <v>188</v>
      </c>
      <c r="C198" s="21" t="s">
        <v>593</v>
      </c>
      <c r="D198" s="21">
        <v>1140000</v>
      </c>
      <c r="E198" s="21" t="s">
        <v>364</v>
      </c>
      <c r="F198" s="21" t="str">
        <f t="shared" si="6"/>
        <v>rtdc.l.rtdc.4018:itc</v>
      </c>
      <c r="G198" s="8">
        <f t="shared" si="7"/>
        <v>42663.811307870368</v>
      </c>
    </row>
    <row r="199" spans="1:7" x14ac:dyDescent="0.25">
      <c r="A199" s="8">
        <v>42663.818553240744</v>
      </c>
      <c r="B199" s="21" t="s">
        <v>456</v>
      </c>
      <c r="C199" s="21" t="s">
        <v>594</v>
      </c>
      <c r="D199" s="21">
        <v>1740000</v>
      </c>
      <c r="E199" s="21" t="s">
        <v>322</v>
      </c>
      <c r="F199" s="21" t="str">
        <f t="shared" si="6"/>
        <v>rtdc.l.rtdc.4038:itc</v>
      </c>
      <c r="G199" s="8">
        <f t="shared" si="7"/>
        <v>42663.818553240744</v>
      </c>
    </row>
    <row r="200" spans="1:7" x14ac:dyDescent="0.25">
      <c r="A200" s="8">
        <v>42663.818993055553</v>
      </c>
      <c r="B200" s="21" t="s">
        <v>214</v>
      </c>
      <c r="C200" s="21" t="s">
        <v>430</v>
      </c>
      <c r="D200" s="21">
        <v>1540000</v>
      </c>
      <c r="E200" s="21" t="s">
        <v>297</v>
      </c>
      <c r="F200" s="21" t="str">
        <f t="shared" si="6"/>
        <v>rtdc.l.rtdc.4039:itc</v>
      </c>
      <c r="G200" s="8">
        <f t="shared" si="7"/>
        <v>42663.818993055553</v>
      </c>
    </row>
    <row r="201" spans="1:7" x14ac:dyDescent="0.25">
      <c r="A201" s="8">
        <v>42663.824745370373</v>
      </c>
      <c r="B201" s="21" t="s">
        <v>211</v>
      </c>
      <c r="C201" s="21" t="s">
        <v>595</v>
      </c>
      <c r="D201" s="21">
        <v>1180000</v>
      </c>
      <c r="E201" s="21" t="s">
        <v>189</v>
      </c>
      <c r="F201" s="21" t="str">
        <f t="shared" si="6"/>
        <v>rtdc.l.rtdc.4043:itc</v>
      </c>
      <c r="G201" s="8">
        <f t="shared" si="7"/>
        <v>42663.824745370373</v>
      </c>
    </row>
    <row r="202" spans="1:7" x14ac:dyDescent="0.25">
      <c r="A202" s="27">
        <v>42663.829016203701</v>
      </c>
      <c r="B202" s="21" t="s">
        <v>403</v>
      </c>
      <c r="C202" s="21" t="s">
        <v>596</v>
      </c>
      <c r="D202" s="21">
        <v>1300000</v>
      </c>
      <c r="E202" s="21" t="s">
        <v>114</v>
      </c>
      <c r="F202" s="21" t="str">
        <f t="shared" si="6"/>
        <v>rtdc.l.rtdc.4006:itc</v>
      </c>
      <c r="G202" s="8">
        <f t="shared" si="7"/>
        <v>42663.829016203701</v>
      </c>
    </row>
    <row r="203" spans="1:7" x14ac:dyDescent="0.25">
      <c r="A203" s="8">
        <v>42663.837326388886</v>
      </c>
      <c r="B203" s="21" t="s">
        <v>256</v>
      </c>
      <c r="C203" s="21" t="s">
        <v>597</v>
      </c>
      <c r="D203" s="21">
        <v>1540000</v>
      </c>
      <c r="E203" s="21" t="s">
        <v>297</v>
      </c>
      <c r="F203" s="21" t="str">
        <f t="shared" si="6"/>
        <v>rtdc.l.rtdc.4040:itc</v>
      </c>
      <c r="G203" s="8">
        <f t="shared" si="7"/>
        <v>42663.837326388886</v>
      </c>
    </row>
    <row r="204" spans="1:7" x14ac:dyDescent="0.25">
      <c r="A204" s="8">
        <v>42663.845636574071</v>
      </c>
      <c r="B204" s="21" t="s">
        <v>273</v>
      </c>
      <c r="C204" s="21" t="s">
        <v>598</v>
      </c>
      <c r="D204" s="21">
        <v>1480000</v>
      </c>
      <c r="E204" s="21" t="s">
        <v>191</v>
      </c>
      <c r="F204" s="21" t="str">
        <f t="shared" si="6"/>
        <v>rtdc.l.rtdc.4011:itc</v>
      </c>
      <c r="G204" s="8">
        <f t="shared" si="7"/>
        <v>42663.845636574071</v>
      </c>
    </row>
    <row r="205" spans="1:7" x14ac:dyDescent="0.25">
      <c r="A205" s="8">
        <v>42663.848182870373</v>
      </c>
      <c r="B205" s="21" t="s">
        <v>281</v>
      </c>
      <c r="C205" s="21" t="s">
        <v>599</v>
      </c>
      <c r="D205" s="21">
        <v>2370000</v>
      </c>
      <c r="E205" s="21" t="s">
        <v>298</v>
      </c>
      <c r="F205" s="21" t="str">
        <f t="shared" si="6"/>
        <v>rtdc.l.rtdc.4030:itc</v>
      </c>
      <c r="G205" s="8">
        <f t="shared" si="7"/>
        <v>42663.848182870373</v>
      </c>
    </row>
    <row r="206" spans="1:7" x14ac:dyDescent="0.25">
      <c r="A206" s="8">
        <v>42663.860289351855</v>
      </c>
      <c r="B206" s="21" t="s">
        <v>214</v>
      </c>
      <c r="C206" s="21" t="s">
        <v>600</v>
      </c>
      <c r="D206" s="21">
        <v>1540000</v>
      </c>
      <c r="E206" s="21" t="s">
        <v>297</v>
      </c>
      <c r="F206" s="21" t="str">
        <f t="shared" si="6"/>
        <v>rtdc.l.rtdc.4039:itc</v>
      </c>
      <c r="G206" s="8">
        <f t="shared" si="7"/>
        <v>42663.860289351855</v>
      </c>
    </row>
    <row r="207" spans="1:7" x14ac:dyDescent="0.25">
      <c r="A207" s="8">
        <v>42663.864212962966</v>
      </c>
      <c r="B207" s="21" t="s">
        <v>403</v>
      </c>
      <c r="C207" s="21" t="s">
        <v>596</v>
      </c>
      <c r="D207" s="21">
        <v>1300000</v>
      </c>
      <c r="E207" s="21" t="s">
        <v>114</v>
      </c>
      <c r="F207" s="21" t="str">
        <f t="shared" si="6"/>
        <v>rtdc.l.rtdc.4006:itc</v>
      </c>
      <c r="G207" s="8">
        <f t="shared" si="7"/>
        <v>42663.864212962966</v>
      </c>
    </row>
    <row r="208" spans="1:7" x14ac:dyDescent="0.25">
      <c r="A208" s="8">
        <v>42663.867106481484</v>
      </c>
      <c r="B208" s="21" t="s">
        <v>196</v>
      </c>
      <c r="C208" s="21" t="s">
        <v>601</v>
      </c>
      <c r="D208" s="21">
        <v>1180000</v>
      </c>
      <c r="E208" s="21" t="s">
        <v>189</v>
      </c>
      <c r="F208" s="21" t="str">
        <f t="shared" si="6"/>
        <v>rtdc.l.rtdc.4044:itc</v>
      </c>
      <c r="G208" s="8">
        <f t="shared" si="7"/>
        <v>42663.867106481484</v>
      </c>
    </row>
    <row r="209" spans="1:7" x14ac:dyDescent="0.25">
      <c r="A209" s="8">
        <v>42663.871678240743</v>
      </c>
      <c r="B209" s="21" t="s">
        <v>431</v>
      </c>
      <c r="C209" s="21" t="s">
        <v>432</v>
      </c>
      <c r="D209" s="21">
        <v>1300000</v>
      </c>
      <c r="E209" s="21" t="s">
        <v>114</v>
      </c>
      <c r="F209" s="21" t="str">
        <f t="shared" si="6"/>
        <v>rtdc.l.rtdc.4005:itc</v>
      </c>
      <c r="G209" s="8">
        <f t="shared" si="7"/>
        <v>42663.871678240743</v>
      </c>
    </row>
    <row r="210" spans="1:7" x14ac:dyDescent="0.25">
      <c r="A210" s="8">
        <v>42663.886423611111</v>
      </c>
      <c r="B210" s="21" t="s">
        <v>272</v>
      </c>
      <c r="C210" s="21" t="s">
        <v>602</v>
      </c>
      <c r="D210" s="21">
        <v>1480000</v>
      </c>
      <c r="E210" s="21" t="s">
        <v>191</v>
      </c>
      <c r="F210" s="21" t="str">
        <f t="shared" si="6"/>
        <v>rtdc.l.rtdc.4012:itc</v>
      </c>
      <c r="G210" s="8">
        <f t="shared" si="7"/>
        <v>42663.886423611111</v>
      </c>
    </row>
    <row r="211" spans="1:7" x14ac:dyDescent="0.25">
      <c r="A211" s="8">
        <v>42663.886655092596</v>
      </c>
      <c r="B211" s="21" t="s">
        <v>256</v>
      </c>
      <c r="C211" s="21" t="s">
        <v>603</v>
      </c>
      <c r="D211" s="21">
        <v>1230000</v>
      </c>
      <c r="E211" s="21" t="s">
        <v>215</v>
      </c>
      <c r="F211" s="21" t="str">
        <f t="shared" si="6"/>
        <v>rtdc.l.rtdc.4040:itc</v>
      </c>
      <c r="G211" s="8">
        <f t="shared" si="7"/>
        <v>42663.886655092596</v>
      </c>
    </row>
    <row r="212" spans="1:7" x14ac:dyDescent="0.25">
      <c r="A212" s="8">
        <v>42663.887812499997</v>
      </c>
      <c r="B212" s="21" t="s">
        <v>280</v>
      </c>
      <c r="C212" s="21" t="s">
        <v>604</v>
      </c>
      <c r="D212" s="21">
        <v>2370000</v>
      </c>
      <c r="E212" s="21" t="s">
        <v>298</v>
      </c>
      <c r="F212" s="21" t="str">
        <f t="shared" si="6"/>
        <v>rtdc.l.rtdc.4029:itc</v>
      </c>
      <c r="G212" s="8">
        <f t="shared" si="7"/>
        <v>42663.887812499997</v>
      </c>
    </row>
    <row r="213" spans="1:7" x14ac:dyDescent="0.25">
      <c r="A213" s="8">
        <v>42663.900706018518</v>
      </c>
      <c r="B213" s="21" t="s">
        <v>214</v>
      </c>
      <c r="C213" s="21" t="s">
        <v>605</v>
      </c>
      <c r="D213" s="21">
        <v>1230000</v>
      </c>
      <c r="E213" s="21" t="s">
        <v>215</v>
      </c>
      <c r="F213" s="21" t="str">
        <f t="shared" si="6"/>
        <v>rtdc.l.rtdc.4039:itc</v>
      </c>
      <c r="G213" s="8">
        <f t="shared" si="7"/>
        <v>42663.900706018518</v>
      </c>
    </row>
    <row r="214" spans="1:7" x14ac:dyDescent="0.25">
      <c r="A214" s="8">
        <v>42663.908530092594</v>
      </c>
      <c r="B214" s="21" t="s">
        <v>403</v>
      </c>
      <c r="C214" s="21" t="s">
        <v>606</v>
      </c>
      <c r="D214" s="21">
        <v>1300000</v>
      </c>
      <c r="E214" s="21" t="s">
        <v>114</v>
      </c>
      <c r="F214" s="21" t="str">
        <f t="shared" si="6"/>
        <v>rtdc.l.rtdc.4006:itc</v>
      </c>
      <c r="G214" s="8">
        <f t="shared" si="7"/>
        <v>42663.908530092594</v>
      </c>
    </row>
    <row r="215" spans="1:7" x14ac:dyDescent="0.25">
      <c r="A215" s="8">
        <v>42663.910300925927</v>
      </c>
      <c r="B215" s="21" t="s">
        <v>211</v>
      </c>
      <c r="C215" s="21" t="s">
        <v>607</v>
      </c>
      <c r="D215" s="21">
        <v>1180000</v>
      </c>
      <c r="E215" s="21" t="s">
        <v>189</v>
      </c>
      <c r="F215" s="21" t="str">
        <f t="shared" si="6"/>
        <v>rtdc.l.rtdc.4043:itc</v>
      </c>
      <c r="G215" s="8">
        <f t="shared" si="7"/>
        <v>42663.910300925927</v>
      </c>
    </row>
    <row r="216" spans="1:7" x14ac:dyDescent="0.25">
      <c r="A216" s="8">
        <v>42663.927662037036</v>
      </c>
      <c r="B216" s="21" t="s">
        <v>256</v>
      </c>
      <c r="C216" s="21" t="s">
        <v>608</v>
      </c>
      <c r="D216" s="21">
        <v>1230000</v>
      </c>
      <c r="E216" s="21" t="s">
        <v>215</v>
      </c>
      <c r="F216" s="21" t="str">
        <f t="shared" si="6"/>
        <v>rtdc.l.rtdc.4040:itc</v>
      </c>
      <c r="G216" s="8">
        <f t="shared" si="7"/>
        <v>42663.927662037036</v>
      </c>
    </row>
    <row r="217" spans="1:7" x14ac:dyDescent="0.25">
      <c r="A217" s="8">
        <v>42663.928923611114</v>
      </c>
      <c r="B217" s="21" t="s">
        <v>273</v>
      </c>
      <c r="C217" s="21" t="s">
        <v>609</v>
      </c>
      <c r="D217" s="21">
        <v>1480000</v>
      </c>
      <c r="E217" s="21" t="s">
        <v>191</v>
      </c>
      <c r="F217" s="21" t="str">
        <f t="shared" si="6"/>
        <v>rtdc.l.rtdc.4011:itc</v>
      </c>
      <c r="G217" s="8">
        <f t="shared" si="7"/>
        <v>42663.928923611114</v>
      </c>
    </row>
    <row r="218" spans="1:7" x14ac:dyDescent="0.25">
      <c r="A218" s="8">
        <v>42663.929768518516</v>
      </c>
      <c r="B218" s="21" t="s">
        <v>281</v>
      </c>
      <c r="C218" s="21" t="s">
        <v>610</v>
      </c>
      <c r="D218" s="21">
        <v>2370000</v>
      </c>
      <c r="E218" s="21" t="s">
        <v>298</v>
      </c>
      <c r="F218" s="21" t="str">
        <f t="shared" si="6"/>
        <v>rtdc.l.rtdc.4030:itc</v>
      </c>
      <c r="G218" s="8">
        <f t="shared" si="7"/>
        <v>42663.929768518516</v>
      </c>
    </row>
    <row r="219" spans="1:7" x14ac:dyDescent="0.25">
      <c r="A219" s="8">
        <v>42663.942673611113</v>
      </c>
      <c r="B219" s="21" t="s">
        <v>214</v>
      </c>
      <c r="C219" s="21" t="s">
        <v>611</v>
      </c>
      <c r="D219" s="21">
        <v>1230000</v>
      </c>
      <c r="E219" s="21" t="s">
        <v>215</v>
      </c>
      <c r="F219" s="21" t="str">
        <f t="shared" si="6"/>
        <v>rtdc.l.rtdc.4039:itc</v>
      </c>
      <c r="G219" s="8">
        <f t="shared" si="7"/>
        <v>42663.942673611113</v>
      </c>
    </row>
    <row r="220" spans="1:7" x14ac:dyDescent="0.25">
      <c r="A220" s="8">
        <v>42663.945185185185</v>
      </c>
      <c r="B220" s="21" t="s">
        <v>431</v>
      </c>
      <c r="C220" s="21" t="s">
        <v>612</v>
      </c>
      <c r="D220" s="21">
        <v>1300000</v>
      </c>
      <c r="E220" s="21" t="s">
        <v>114</v>
      </c>
      <c r="F220" s="21" t="str">
        <f t="shared" si="6"/>
        <v>rtdc.l.rtdc.4005:itc</v>
      </c>
      <c r="G220" s="8">
        <f t="shared" si="7"/>
        <v>42663.945185185185</v>
      </c>
    </row>
    <row r="221" spans="1:7" x14ac:dyDescent="0.25">
      <c r="A221" s="8">
        <v>42663.954317129632</v>
      </c>
      <c r="B221" s="21" t="s">
        <v>196</v>
      </c>
      <c r="C221" s="21" t="s">
        <v>613</v>
      </c>
      <c r="D221" s="21">
        <v>1180000</v>
      </c>
      <c r="E221" s="21" t="s">
        <v>189</v>
      </c>
      <c r="F221" s="21" t="str">
        <f t="shared" si="6"/>
        <v>rtdc.l.rtdc.4044:itc</v>
      </c>
      <c r="G221" s="8">
        <f t="shared" si="7"/>
        <v>42663.954317129632</v>
      </c>
    </row>
    <row r="222" spans="1:7" x14ac:dyDescent="0.25">
      <c r="A222" s="8">
        <v>42663.966273148151</v>
      </c>
      <c r="B222" s="21" t="s">
        <v>272</v>
      </c>
      <c r="C222" s="21" t="s">
        <v>614</v>
      </c>
      <c r="D222" s="21">
        <v>1480000</v>
      </c>
      <c r="E222" s="21" t="s">
        <v>191</v>
      </c>
      <c r="F222" s="21" t="str">
        <f t="shared" si="6"/>
        <v>rtdc.l.rtdc.4012:itc</v>
      </c>
      <c r="G222" s="8">
        <f t="shared" si="7"/>
        <v>42663.966273148151</v>
      </c>
    </row>
    <row r="223" spans="1:7" x14ac:dyDescent="0.25">
      <c r="A223" s="8">
        <v>42663.975300925929</v>
      </c>
      <c r="B223" s="21" t="s">
        <v>280</v>
      </c>
      <c r="C223" s="21" t="s">
        <v>433</v>
      </c>
      <c r="D223" s="21">
        <v>2370000</v>
      </c>
      <c r="E223" s="21" t="s">
        <v>298</v>
      </c>
      <c r="F223" s="21" t="str">
        <f t="shared" si="6"/>
        <v>rtdc.l.rtdc.4029:itc</v>
      </c>
      <c r="G223" s="8">
        <f t="shared" si="7"/>
        <v>42663.975300925929</v>
      </c>
    </row>
    <row r="224" spans="1:7" x14ac:dyDescent="0.25">
      <c r="A224" s="8">
        <v>42663.985682870371</v>
      </c>
      <c r="B224" t="s">
        <v>403</v>
      </c>
      <c r="C224" t="s">
        <v>435</v>
      </c>
      <c r="D224">
        <v>1300000</v>
      </c>
      <c r="E224" t="s">
        <v>114</v>
      </c>
      <c r="F224" s="21" t="str">
        <f t="shared" si="6"/>
        <v>rtdc.l.rtdc.4006:itc</v>
      </c>
      <c r="G224" s="8">
        <f t="shared" si="7"/>
        <v>42663.985682870371</v>
      </c>
    </row>
    <row r="225" spans="1:7" x14ac:dyDescent="0.25">
      <c r="A225" s="8">
        <v>42663.99077546296</v>
      </c>
      <c r="B225" t="s">
        <v>211</v>
      </c>
      <c r="C225" t="s">
        <v>615</v>
      </c>
      <c r="D225">
        <v>1180000</v>
      </c>
      <c r="E225" t="s">
        <v>189</v>
      </c>
      <c r="F225" s="21" t="str">
        <f t="shared" si="6"/>
        <v>rtdc.l.rtdc.4043:itc</v>
      </c>
      <c r="G225" s="8">
        <f t="shared" si="7"/>
        <v>42663.99077546296</v>
      </c>
    </row>
    <row r="226" spans="1:7" x14ac:dyDescent="0.25">
      <c r="A226" s="8">
        <v>42664.015092592592</v>
      </c>
      <c r="B226" t="s">
        <v>281</v>
      </c>
      <c r="C226" t="s">
        <v>616</v>
      </c>
      <c r="D226">
        <v>2370000</v>
      </c>
      <c r="E226" t="s">
        <v>298</v>
      </c>
      <c r="F226" s="21" t="str">
        <f t="shared" si="6"/>
        <v>rtdc.l.rtdc.4030:itc</v>
      </c>
      <c r="G226" s="8">
        <f t="shared" si="7"/>
        <v>42664.015092592592</v>
      </c>
    </row>
    <row r="227" spans="1:7" x14ac:dyDescent="0.25">
      <c r="A227" s="8">
        <v>42664.024699074071</v>
      </c>
      <c r="B227" t="s">
        <v>273</v>
      </c>
      <c r="C227" t="s">
        <v>617</v>
      </c>
      <c r="D227">
        <v>1480000</v>
      </c>
      <c r="E227" t="s">
        <v>191</v>
      </c>
      <c r="F227" s="21" t="str">
        <f t="shared" si="6"/>
        <v>rtdc.l.rtdc.4011:itc</v>
      </c>
      <c r="G227" s="8">
        <f t="shared" si="7"/>
        <v>42664.024699074071</v>
      </c>
    </row>
    <row r="228" spans="1:7" x14ac:dyDescent="0.25">
      <c r="A228" s="8">
        <v>42664.044756944444</v>
      </c>
      <c r="B228" t="s">
        <v>431</v>
      </c>
      <c r="C228" t="s">
        <v>437</v>
      </c>
      <c r="D228">
        <v>1300000</v>
      </c>
      <c r="E228" t="s">
        <v>114</v>
      </c>
      <c r="F228" s="21" t="str">
        <f t="shared" si="6"/>
        <v>rtdc.l.rtdc.4005:itc</v>
      </c>
      <c r="G228" s="8">
        <f t="shared" si="7"/>
        <v>42664.044756944444</v>
      </c>
    </row>
    <row r="229" spans="1:7" x14ac:dyDescent="0.25">
      <c r="A229" s="8">
        <v>42664.050081018519</v>
      </c>
      <c r="B229" t="s">
        <v>196</v>
      </c>
      <c r="C229" t="s">
        <v>618</v>
      </c>
      <c r="D229">
        <v>1180000</v>
      </c>
      <c r="E229" t="s">
        <v>189</v>
      </c>
      <c r="F229" s="21" t="str">
        <f t="shared" si="6"/>
        <v>rtdc.l.rtdc.4044:itc</v>
      </c>
      <c r="G229" s="8">
        <f t="shared" si="7"/>
        <v>42664.050081018519</v>
      </c>
    </row>
    <row r="230" spans="1:7" x14ac:dyDescent="0.25">
      <c r="A230" s="8">
        <v>42664.051400462966</v>
      </c>
      <c r="B230" t="s">
        <v>196</v>
      </c>
      <c r="C230" t="s">
        <v>618</v>
      </c>
      <c r="D230">
        <v>1180000</v>
      </c>
      <c r="E230" t="s">
        <v>189</v>
      </c>
      <c r="F230" s="21" t="str">
        <f t="shared" si="6"/>
        <v>rtdc.l.rtdc.4044:itc</v>
      </c>
      <c r="G230" s="8">
        <f t="shared" si="7"/>
        <v>42664.051400462966</v>
      </c>
    </row>
    <row r="231" spans="1:7" x14ac:dyDescent="0.25">
      <c r="A231" s="8">
        <v>42664.052858796298</v>
      </c>
      <c r="B231" t="s">
        <v>280</v>
      </c>
      <c r="C231" t="s">
        <v>436</v>
      </c>
      <c r="D231">
        <v>2370000</v>
      </c>
      <c r="E231" t="s">
        <v>298</v>
      </c>
      <c r="F231" s="21" t="str">
        <f t="shared" si="6"/>
        <v>rtdc.l.rtdc.4029:itc</v>
      </c>
      <c r="G231" s="8">
        <f t="shared" si="7"/>
        <v>42664.052858796298</v>
      </c>
    </row>
    <row r="232" spans="1:7" x14ac:dyDescent="0.25">
      <c r="A232" s="8">
        <v>42664.076736111114</v>
      </c>
      <c r="B232" t="s">
        <v>272</v>
      </c>
      <c r="C232" t="s">
        <v>619</v>
      </c>
      <c r="D232">
        <v>1480000</v>
      </c>
      <c r="E232" t="s">
        <v>191</v>
      </c>
      <c r="F232" s="21" t="str">
        <f t="shared" si="6"/>
        <v>rtdc.l.rtdc.4012:itc</v>
      </c>
      <c r="G232" s="8">
        <f t="shared" si="7"/>
        <v>42664.076736111114</v>
      </c>
    </row>
    <row r="233" spans="1:7" x14ac:dyDescent="0.25">
      <c r="A233" s="8">
        <v>42661.88758101852</v>
      </c>
      <c r="B233" t="s">
        <v>281</v>
      </c>
      <c r="C233" t="s">
        <v>324</v>
      </c>
      <c r="D233">
        <v>1800000</v>
      </c>
      <c r="E233" t="s">
        <v>209</v>
      </c>
      <c r="F233" s="21" t="str">
        <f t="shared" si="6"/>
        <v>rtdc.l.rtdc.4030:itc</v>
      </c>
      <c r="G233" s="8">
        <f t="shared" si="7"/>
        <v>42661.88758101852</v>
      </c>
    </row>
    <row r="234" spans="1:7" x14ac:dyDescent="0.25">
      <c r="A234" s="8">
        <v>42661.902175925927</v>
      </c>
      <c r="B234" t="s">
        <v>293</v>
      </c>
      <c r="C234" t="s">
        <v>325</v>
      </c>
      <c r="D234">
        <v>1480000</v>
      </c>
      <c r="E234" t="s">
        <v>191</v>
      </c>
      <c r="F234" s="21" t="str">
        <f t="shared" si="6"/>
        <v>rtdc.l.rtdc.4054:itc</v>
      </c>
      <c r="G234" s="8">
        <f t="shared" si="7"/>
        <v>42661.902175925927</v>
      </c>
    </row>
    <row r="235" spans="1:7" x14ac:dyDescent="0.25">
      <c r="A235" s="8">
        <v>42661.910914351851</v>
      </c>
      <c r="B235" t="s">
        <v>211</v>
      </c>
      <c r="C235" t="s">
        <v>326</v>
      </c>
      <c r="D235">
        <v>1180000</v>
      </c>
      <c r="E235" t="s">
        <v>189</v>
      </c>
      <c r="F235" s="21" t="str">
        <f t="shared" si="6"/>
        <v>rtdc.l.rtdc.4043:itc</v>
      </c>
      <c r="G235" s="8">
        <f t="shared" si="7"/>
        <v>42661.910914351851</v>
      </c>
    </row>
    <row r="236" spans="1:7" x14ac:dyDescent="0.25">
      <c r="A236" s="8">
        <v>42661.915162037039</v>
      </c>
      <c r="B236" t="s">
        <v>188</v>
      </c>
      <c r="C236" t="s">
        <v>327</v>
      </c>
      <c r="D236">
        <v>1230000</v>
      </c>
      <c r="E236" t="s">
        <v>215</v>
      </c>
      <c r="F236" s="21" t="str">
        <f t="shared" ref="F236:F265" si="8">B236</f>
        <v>rtdc.l.rtdc.4018:itc</v>
      </c>
      <c r="G236" s="8">
        <f t="shared" ref="G236:G265" si="9">A236</f>
        <v>42661.915162037039</v>
      </c>
    </row>
    <row r="237" spans="1:7" x14ac:dyDescent="0.25">
      <c r="A237" s="8">
        <v>42661.925324074073</v>
      </c>
      <c r="B237" t="s">
        <v>295</v>
      </c>
      <c r="C237" t="s">
        <v>328</v>
      </c>
      <c r="D237">
        <v>1480000</v>
      </c>
      <c r="E237" t="s">
        <v>191</v>
      </c>
      <c r="F237" s="21" t="str">
        <f t="shared" si="8"/>
        <v>rtdc.l.rtdc.4053:itc</v>
      </c>
      <c r="G237" s="8">
        <f t="shared" si="9"/>
        <v>42661.925324074073</v>
      </c>
    </row>
    <row r="238" spans="1:7" x14ac:dyDescent="0.25">
      <c r="A238" s="8">
        <v>42661.934999999998</v>
      </c>
      <c r="B238" t="s">
        <v>319</v>
      </c>
      <c r="C238" t="s">
        <v>329</v>
      </c>
      <c r="D238">
        <v>2370000</v>
      </c>
      <c r="E238" t="s">
        <v>298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293</v>
      </c>
      <c r="C239" t="s">
        <v>330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280</v>
      </c>
      <c r="C240" t="s">
        <v>331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280</v>
      </c>
      <c r="C241" t="s">
        <v>332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251</v>
      </c>
      <c r="C242" t="s">
        <v>333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257</v>
      </c>
      <c r="C243" t="s">
        <v>334</v>
      </c>
      <c r="D243">
        <v>110000</v>
      </c>
      <c r="E243" t="s">
        <v>323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320</v>
      </c>
      <c r="D244">
        <v>150000</v>
      </c>
      <c r="E244" t="s">
        <v>299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335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281</v>
      </c>
      <c r="C246" t="s">
        <v>336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318</v>
      </c>
      <c r="C247" t="s">
        <v>337</v>
      </c>
      <c r="D247">
        <v>2350000</v>
      </c>
      <c r="E247" t="s">
        <v>282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338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339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339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280</v>
      </c>
      <c r="C251" t="s">
        <v>340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319</v>
      </c>
      <c r="C252" t="s">
        <v>341</v>
      </c>
      <c r="D252">
        <v>2350000</v>
      </c>
      <c r="E252" t="s">
        <v>282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342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318</v>
      </c>
      <c r="C254" t="s">
        <v>343</v>
      </c>
      <c r="D254">
        <v>2350000</v>
      </c>
      <c r="E254" t="s">
        <v>282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40.04</v>
      </c>
      <c r="B2" s="165">
        <v>0.06</v>
      </c>
      <c r="C2" s="165">
        <v>28.34</v>
      </c>
      <c r="D2" s="8">
        <v>42663</v>
      </c>
      <c r="E2" s="165">
        <v>0.63</v>
      </c>
      <c r="F2" s="165" t="s">
        <v>258</v>
      </c>
      <c r="G2" s="165">
        <v>291.02</v>
      </c>
      <c r="H2" s="165">
        <v>0</v>
      </c>
      <c r="I2" s="165">
        <v>0</v>
      </c>
      <c r="J2" s="165">
        <v>1031.04</v>
      </c>
      <c r="K2" s="165" t="s">
        <v>259</v>
      </c>
      <c r="L2" s="165">
        <v>40.04</v>
      </c>
      <c r="M2" s="165">
        <v>1476943200</v>
      </c>
      <c r="N2" s="165">
        <v>6.08</v>
      </c>
      <c r="O2" s="165">
        <v>168</v>
      </c>
      <c r="P2" s="165">
        <v>0.86</v>
      </c>
      <c r="Q2"/>
    </row>
    <row r="3" spans="1:17" x14ac:dyDescent="0.25">
      <c r="A3" s="165">
        <v>38.450000000000003</v>
      </c>
      <c r="B3" s="165">
        <v>0.02</v>
      </c>
      <c r="C3" s="165">
        <v>28.48</v>
      </c>
      <c r="D3" s="8">
        <v>42663.041666666664</v>
      </c>
      <c r="E3" s="165">
        <v>0.67</v>
      </c>
      <c r="F3" s="165" t="s">
        <v>258</v>
      </c>
      <c r="G3" s="165">
        <v>291.11</v>
      </c>
      <c r="H3" s="165">
        <v>0</v>
      </c>
      <c r="I3" s="165">
        <v>0</v>
      </c>
      <c r="J3" s="165">
        <v>1031.73</v>
      </c>
      <c r="K3" s="165" t="s">
        <v>259</v>
      </c>
      <c r="L3" s="165">
        <v>38.450000000000003</v>
      </c>
      <c r="M3" s="165">
        <v>1476946800</v>
      </c>
      <c r="N3" s="165">
        <v>6.57</v>
      </c>
      <c r="O3" s="165">
        <v>206</v>
      </c>
      <c r="P3" s="165">
        <v>0.66</v>
      </c>
      <c r="Q3"/>
    </row>
    <row r="4" spans="1:17" x14ac:dyDescent="0.25">
      <c r="A4" s="165">
        <v>36.770000000000003</v>
      </c>
      <c r="B4" s="165">
        <v>0.02</v>
      </c>
      <c r="C4" s="165">
        <v>27.66</v>
      </c>
      <c r="D4" s="8">
        <v>42663.083333333336</v>
      </c>
      <c r="E4" s="165">
        <v>0.69</v>
      </c>
      <c r="F4" s="165" t="s">
        <v>258</v>
      </c>
      <c r="G4" s="165">
        <v>291.19</v>
      </c>
      <c r="H4" s="165">
        <v>0</v>
      </c>
      <c r="I4" s="165">
        <v>0</v>
      </c>
      <c r="J4" s="165">
        <v>1032.4000000000001</v>
      </c>
      <c r="K4" s="165" t="s">
        <v>259</v>
      </c>
      <c r="L4" s="165">
        <v>36.770000000000003</v>
      </c>
      <c r="M4" s="165">
        <v>1476950400</v>
      </c>
      <c r="N4" s="165">
        <v>5.66</v>
      </c>
      <c r="O4" s="165">
        <v>169</v>
      </c>
      <c r="P4" s="165">
        <v>1.95</v>
      </c>
      <c r="Q4"/>
    </row>
    <row r="5" spans="1:17" x14ac:dyDescent="0.25">
      <c r="A5" s="165">
        <v>35.619999999999997</v>
      </c>
      <c r="B5" s="165">
        <v>0.05</v>
      </c>
      <c r="C5" s="165">
        <v>26.94</v>
      </c>
      <c r="D5" s="8">
        <v>42663.125</v>
      </c>
      <c r="E5" s="165">
        <v>0.7</v>
      </c>
      <c r="F5" s="165" t="s">
        <v>258</v>
      </c>
      <c r="G5" s="165">
        <v>291.27</v>
      </c>
      <c r="H5" s="165">
        <v>0</v>
      </c>
      <c r="I5" s="165">
        <v>0</v>
      </c>
      <c r="J5" s="165">
        <v>1033.04</v>
      </c>
      <c r="K5" s="165" t="s">
        <v>259</v>
      </c>
      <c r="L5" s="165">
        <v>35.619999999999997</v>
      </c>
      <c r="M5" s="165">
        <v>1476954000</v>
      </c>
      <c r="N5" s="165">
        <v>4.87</v>
      </c>
      <c r="O5" s="165">
        <v>171</v>
      </c>
      <c r="P5" s="165">
        <v>2.77</v>
      </c>
      <c r="Q5"/>
    </row>
    <row r="6" spans="1:17" x14ac:dyDescent="0.25">
      <c r="A6" s="165">
        <v>34.61</v>
      </c>
      <c r="B6" s="165">
        <v>0.01</v>
      </c>
      <c r="C6" s="165">
        <v>26.29</v>
      </c>
      <c r="D6" s="8">
        <v>42663.166666666664</v>
      </c>
      <c r="E6" s="165">
        <v>0.71</v>
      </c>
      <c r="F6" s="165" t="s">
        <v>258</v>
      </c>
      <c r="G6" s="165">
        <v>289.62</v>
      </c>
      <c r="H6" s="165">
        <v>0</v>
      </c>
      <c r="I6" s="165">
        <v>0</v>
      </c>
      <c r="J6" s="165">
        <v>1033.57</v>
      </c>
      <c r="K6" s="165" t="s">
        <v>259</v>
      </c>
      <c r="L6" s="165">
        <v>34.61</v>
      </c>
      <c r="M6" s="165">
        <v>1476957600</v>
      </c>
      <c r="N6" s="165">
        <v>4.5199999999999996</v>
      </c>
      <c r="O6" s="165">
        <v>165</v>
      </c>
      <c r="P6" s="165">
        <v>2.34</v>
      </c>
      <c r="Q6"/>
    </row>
    <row r="7" spans="1:17" x14ac:dyDescent="0.25">
      <c r="A7" s="165">
        <v>30.87</v>
      </c>
      <c r="B7" s="165">
        <v>0.01</v>
      </c>
      <c r="C7" s="165">
        <v>25.83</v>
      </c>
      <c r="D7" s="8">
        <v>42663.208333333336</v>
      </c>
      <c r="E7" s="165">
        <v>0.73</v>
      </c>
      <c r="F7" s="165" t="s">
        <v>258</v>
      </c>
      <c r="G7" s="165">
        <v>287.3</v>
      </c>
      <c r="H7" s="165">
        <v>0</v>
      </c>
      <c r="I7" s="165">
        <v>0</v>
      </c>
      <c r="J7" s="165">
        <v>1034</v>
      </c>
      <c r="K7" s="165" t="s">
        <v>259</v>
      </c>
      <c r="L7" s="165">
        <v>33.520000000000003</v>
      </c>
      <c r="M7" s="165">
        <v>1476961200</v>
      </c>
      <c r="N7" s="165">
        <v>5.28</v>
      </c>
      <c r="O7" s="165">
        <v>182</v>
      </c>
      <c r="P7" s="165">
        <v>3.12</v>
      </c>
      <c r="Q7"/>
    </row>
    <row r="8" spans="1:17" x14ac:dyDescent="0.25">
      <c r="A8" s="165">
        <v>32.42</v>
      </c>
      <c r="B8" s="165">
        <v>0.01</v>
      </c>
      <c r="C8" s="165">
        <v>24.86</v>
      </c>
      <c r="D8" s="8">
        <v>42663.25</v>
      </c>
      <c r="E8" s="165">
        <v>0.73</v>
      </c>
      <c r="F8" s="165" t="s">
        <v>258</v>
      </c>
      <c r="G8" s="165">
        <v>285.47000000000003</v>
      </c>
      <c r="H8" s="165">
        <v>0</v>
      </c>
      <c r="I8" s="165">
        <v>0</v>
      </c>
      <c r="J8" s="165">
        <v>1034.06</v>
      </c>
      <c r="K8" s="165" t="s">
        <v>259</v>
      </c>
      <c r="L8" s="165">
        <v>32.42</v>
      </c>
      <c r="M8" s="165">
        <v>1476964800</v>
      </c>
      <c r="N8" s="165">
        <v>4.46</v>
      </c>
      <c r="O8" s="165">
        <v>176</v>
      </c>
      <c r="P8" s="165">
        <v>2.5299999999999998</v>
      </c>
      <c r="Q8"/>
    </row>
    <row r="9" spans="1:17" x14ac:dyDescent="0.25">
      <c r="A9" s="165">
        <v>32.28</v>
      </c>
      <c r="B9" s="165">
        <v>0.06</v>
      </c>
      <c r="C9" s="165">
        <v>24.73</v>
      </c>
      <c r="D9" s="8">
        <v>42663.291666666664</v>
      </c>
      <c r="E9" s="165">
        <v>0.73</v>
      </c>
      <c r="F9" s="165" t="s">
        <v>258</v>
      </c>
      <c r="G9" s="165">
        <v>284.75</v>
      </c>
      <c r="H9" s="165">
        <v>0</v>
      </c>
      <c r="I9" s="165">
        <v>0</v>
      </c>
      <c r="J9" s="165">
        <v>1033.54</v>
      </c>
      <c r="K9" s="165" t="s">
        <v>259</v>
      </c>
      <c r="L9" s="165">
        <v>32.28</v>
      </c>
      <c r="M9" s="165">
        <v>1476968400</v>
      </c>
      <c r="N9" s="165">
        <v>3.5</v>
      </c>
      <c r="O9" s="165">
        <v>168</v>
      </c>
      <c r="P9" s="165">
        <v>2.86</v>
      </c>
      <c r="Q9"/>
    </row>
    <row r="10" spans="1:17" x14ac:dyDescent="0.25">
      <c r="A10" s="165">
        <v>34.92</v>
      </c>
      <c r="B10" s="165">
        <v>0.06</v>
      </c>
      <c r="C10" s="165">
        <v>25.77</v>
      </c>
      <c r="D10" s="8">
        <v>42663.333333333336</v>
      </c>
      <c r="E10" s="165">
        <v>0.69</v>
      </c>
      <c r="F10" s="165" t="s">
        <v>276</v>
      </c>
      <c r="G10" s="165">
        <v>284.52</v>
      </c>
      <c r="H10" s="165">
        <v>0</v>
      </c>
      <c r="I10" s="165">
        <v>0</v>
      </c>
      <c r="J10" s="165">
        <v>1032.6099999999999</v>
      </c>
      <c r="K10" s="165" t="s">
        <v>259</v>
      </c>
      <c r="L10" s="165">
        <v>34.92</v>
      </c>
      <c r="M10" s="165">
        <v>1476972000</v>
      </c>
      <c r="N10" s="165">
        <v>3.09</v>
      </c>
      <c r="O10" s="165">
        <v>182</v>
      </c>
      <c r="P10" s="165">
        <v>2.5099999999999998</v>
      </c>
      <c r="Q10"/>
    </row>
    <row r="11" spans="1:17" x14ac:dyDescent="0.25">
      <c r="A11" s="165">
        <v>40.07</v>
      </c>
      <c r="B11" s="165">
        <v>0.06</v>
      </c>
      <c r="C11" s="165">
        <v>25.17</v>
      </c>
      <c r="D11" s="8">
        <v>42663.375</v>
      </c>
      <c r="E11" s="165">
        <v>0.55000000000000004</v>
      </c>
      <c r="F11" s="165" t="s">
        <v>276</v>
      </c>
      <c r="G11" s="165">
        <v>284.18</v>
      </c>
      <c r="H11" s="165">
        <v>0</v>
      </c>
      <c r="I11" s="165">
        <v>0</v>
      </c>
      <c r="J11" s="165">
        <v>1031.3599999999999</v>
      </c>
      <c r="K11" s="165" t="s">
        <v>259</v>
      </c>
      <c r="L11" s="165">
        <v>40.07</v>
      </c>
      <c r="M11" s="165">
        <v>1476975600</v>
      </c>
      <c r="N11" s="165">
        <v>2.92</v>
      </c>
      <c r="O11" s="165">
        <v>180</v>
      </c>
      <c r="P11" s="165">
        <v>2.89</v>
      </c>
      <c r="Q11"/>
    </row>
    <row r="12" spans="1:17" x14ac:dyDescent="0.25">
      <c r="A12" s="165">
        <v>45.31</v>
      </c>
      <c r="B12" s="165">
        <v>0.06</v>
      </c>
      <c r="C12" s="165">
        <v>24.62</v>
      </c>
      <c r="D12" s="8">
        <v>42663.416666666664</v>
      </c>
      <c r="E12" s="165">
        <v>0.42</v>
      </c>
      <c r="F12" s="165" t="s">
        <v>276</v>
      </c>
      <c r="G12" s="165">
        <v>283.55</v>
      </c>
      <c r="H12" s="165">
        <v>0</v>
      </c>
      <c r="I12" s="165">
        <v>0</v>
      </c>
      <c r="J12" s="165">
        <v>1029.6500000000001</v>
      </c>
      <c r="K12" s="165" t="s">
        <v>259</v>
      </c>
      <c r="L12" s="165">
        <v>46.43</v>
      </c>
      <c r="M12" s="165">
        <v>1476979200</v>
      </c>
      <c r="N12" s="165">
        <v>2.85</v>
      </c>
      <c r="O12" s="165">
        <v>158</v>
      </c>
      <c r="P12" s="165">
        <v>3.33</v>
      </c>
      <c r="Q12"/>
    </row>
    <row r="13" spans="1:17" x14ac:dyDescent="0.25">
      <c r="A13" s="165">
        <v>51.14</v>
      </c>
      <c r="B13" s="165">
        <v>0.06</v>
      </c>
      <c r="C13" s="165">
        <v>23.97</v>
      </c>
      <c r="D13" s="8">
        <v>42663.458333333336</v>
      </c>
      <c r="E13" s="165">
        <v>0.34</v>
      </c>
      <c r="F13" s="165" t="s">
        <v>276</v>
      </c>
      <c r="G13" s="165">
        <v>282.81</v>
      </c>
      <c r="H13" s="165">
        <v>0</v>
      </c>
      <c r="I13" s="165">
        <v>0</v>
      </c>
      <c r="J13" s="165">
        <v>1027.57</v>
      </c>
      <c r="K13" s="165" t="s">
        <v>259</v>
      </c>
      <c r="L13" s="165">
        <v>51.14</v>
      </c>
      <c r="M13" s="165">
        <v>1476982800</v>
      </c>
      <c r="N13" s="165">
        <v>2.85</v>
      </c>
      <c r="O13" s="165">
        <v>145</v>
      </c>
      <c r="P13" s="165">
        <v>4.0999999999999996</v>
      </c>
      <c r="Q13"/>
    </row>
    <row r="14" spans="1:17" x14ac:dyDescent="0.25">
      <c r="A14" s="165">
        <v>54.15</v>
      </c>
      <c r="B14" s="165">
        <v>0.09</v>
      </c>
      <c r="C14" s="165">
        <v>23.46</v>
      </c>
      <c r="D14" s="8">
        <v>42663.5</v>
      </c>
      <c r="E14" s="165">
        <v>0.3</v>
      </c>
      <c r="F14" s="165" t="s">
        <v>276</v>
      </c>
      <c r="G14" s="165">
        <v>281.87</v>
      </c>
      <c r="H14" s="165">
        <v>0</v>
      </c>
      <c r="I14" s="165">
        <v>0</v>
      </c>
      <c r="J14" s="165">
        <v>1025.8499999999999</v>
      </c>
      <c r="K14" s="165" t="s">
        <v>259</v>
      </c>
      <c r="L14" s="165">
        <v>54.15</v>
      </c>
      <c r="M14" s="165">
        <v>1476986400</v>
      </c>
      <c r="N14" s="165">
        <v>2.86</v>
      </c>
      <c r="O14" s="165">
        <v>120</v>
      </c>
      <c r="P14" s="165">
        <v>3.61</v>
      </c>
      <c r="Q14"/>
    </row>
    <row r="15" spans="1:17" x14ac:dyDescent="0.25">
      <c r="A15" s="165">
        <v>57.12</v>
      </c>
      <c r="B15" s="165">
        <v>0.09</v>
      </c>
      <c r="C15" s="165">
        <v>22.72</v>
      </c>
      <c r="D15" s="8">
        <v>42663.541666666664</v>
      </c>
      <c r="E15" s="165">
        <v>0.26</v>
      </c>
      <c r="F15" s="165" t="s">
        <v>276</v>
      </c>
      <c r="G15" s="165">
        <v>280.64</v>
      </c>
      <c r="H15" s="165">
        <v>0</v>
      </c>
      <c r="I15" s="165">
        <v>0</v>
      </c>
      <c r="J15" s="165">
        <v>1024.58</v>
      </c>
      <c r="K15" s="165" t="s">
        <v>259</v>
      </c>
      <c r="L15" s="165">
        <v>57.12</v>
      </c>
      <c r="M15" s="165">
        <v>1476990000</v>
      </c>
      <c r="N15" s="165">
        <v>2.87</v>
      </c>
      <c r="O15" s="165">
        <v>96</v>
      </c>
      <c r="P15" s="165">
        <v>2.33</v>
      </c>
      <c r="Q15"/>
    </row>
    <row r="16" spans="1:17" x14ac:dyDescent="0.25">
      <c r="A16" s="165">
        <v>60</v>
      </c>
      <c r="B16" s="165">
        <v>7.0000000000000007E-2</v>
      </c>
      <c r="C16" s="165">
        <v>21.66</v>
      </c>
      <c r="D16" s="8">
        <v>42663.583333333336</v>
      </c>
      <c r="E16" s="165">
        <v>0.23</v>
      </c>
      <c r="F16" s="165" t="s">
        <v>276</v>
      </c>
      <c r="G16" s="165">
        <v>279.20999999999998</v>
      </c>
      <c r="H16" s="165">
        <v>0</v>
      </c>
      <c r="I16" s="165">
        <v>0</v>
      </c>
      <c r="J16" s="165">
        <v>1023.41</v>
      </c>
      <c r="K16" s="165" t="s">
        <v>259</v>
      </c>
      <c r="L16" s="165">
        <v>60</v>
      </c>
      <c r="M16" s="165">
        <v>1476993600</v>
      </c>
      <c r="N16" s="165">
        <v>2.9</v>
      </c>
      <c r="O16" s="165">
        <v>66</v>
      </c>
      <c r="P16" s="165">
        <v>2.91</v>
      </c>
      <c r="Q16"/>
    </row>
    <row r="17" spans="1:17" x14ac:dyDescent="0.25">
      <c r="A17" s="165">
        <v>61.12</v>
      </c>
      <c r="B17" s="165">
        <v>0.08</v>
      </c>
      <c r="C17" s="165">
        <v>20.010000000000002</v>
      </c>
      <c r="D17" s="8">
        <v>42663.625</v>
      </c>
      <c r="E17" s="165">
        <v>0.2</v>
      </c>
      <c r="F17" s="165" t="s">
        <v>276</v>
      </c>
      <c r="G17" s="165">
        <v>277.77</v>
      </c>
      <c r="H17" s="165">
        <v>0</v>
      </c>
      <c r="I17" s="165">
        <v>0</v>
      </c>
      <c r="J17" s="165">
        <v>1022.46</v>
      </c>
      <c r="K17" s="165" t="s">
        <v>259</v>
      </c>
      <c r="L17" s="165">
        <v>61.12</v>
      </c>
      <c r="M17" s="165">
        <v>1476997200</v>
      </c>
      <c r="N17" s="165">
        <v>2.87</v>
      </c>
      <c r="O17" s="165">
        <v>59</v>
      </c>
      <c r="P17" s="165">
        <v>2.8</v>
      </c>
      <c r="Q17"/>
    </row>
    <row r="18" spans="1:17" x14ac:dyDescent="0.25">
      <c r="A18" s="165">
        <v>62.25</v>
      </c>
      <c r="B18" s="165">
        <v>0.1</v>
      </c>
      <c r="C18" s="165">
        <v>19.22</v>
      </c>
      <c r="D18" s="8">
        <v>42663.666666666664</v>
      </c>
      <c r="E18" s="165">
        <v>0.19</v>
      </c>
      <c r="F18" s="165" t="s">
        <v>276</v>
      </c>
      <c r="G18" s="165">
        <v>276.25</v>
      </c>
      <c r="H18" s="165">
        <v>0</v>
      </c>
      <c r="I18" s="165">
        <v>0</v>
      </c>
      <c r="J18" s="165">
        <v>1021.78</v>
      </c>
      <c r="K18" s="165" t="s">
        <v>259</v>
      </c>
      <c r="L18" s="165">
        <v>62.25</v>
      </c>
      <c r="M18" s="165">
        <v>1477000800</v>
      </c>
      <c r="N18" s="165">
        <v>2.89</v>
      </c>
      <c r="O18" s="165">
        <v>68</v>
      </c>
      <c r="P18" s="165">
        <v>2.23</v>
      </c>
      <c r="Q18"/>
    </row>
    <row r="19" spans="1:17" x14ac:dyDescent="0.25">
      <c r="A19" s="165">
        <v>61.2</v>
      </c>
      <c r="B19" s="165">
        <v>0.1</v>
      </c>
      <c r="C19" s="165">
        <v>19.18</v>
      </c>
      <c r="D19" s="8">
        <v>42663.708333333336</v>
      </c>
      <c r="E19" s="165">
        <v>0.19</v>
      </c>
      <c r="F19" s="165" t="s">
        <v>276</v>
      </c>
      <c r="G19" s="165">
        <v>274.72000000000003</v>
      </c>
      <c r="H19" s="165">
        <v>0</v>
      </c>
      <c r="I19" s="165">
        <v>0</v>
      </c>
      <c r="J19" s="165">
        <v>1021.36</v>
      </c>
      <c r="K19" s="165" t="s">
        <v>259</v>
      </c>
      <c r="L19" s="165">
        <v>61.2</v>
      </c>
      <c r="M19" s="165">
        <v>1477004400</v>
      </c>
      <c r="N19" s="165">
        <v>5.05</v>
      </c>
      <c r="O19" s="165">
        <v>64</v>
      </c>
      <c r="P19" s="165">
        <v>2.75</v>
      </c>
      <c r="Q19"/>
    </row>
    <row r="20" spans="1:17" x14ac:dyDescent="0.25">
      <c r="A20" s="165">
        <v>57.8</v>
      </c>
      <c r="B20" s="165">
        <v>0.14000000000000001</v>
      </c>
      <c r="C20" s="165">
        <v>19.68</v>
      </c>
      <c r="D20" s="8">
        <v>42663.75</v>
      </c>
      <c r="E20" s="165">
        <v>0.22</v>
      </c>
      <c r="F20" s="165" t="s">
        <v>276</v>
      </c>
      <c r="G20" s="165">
        <v>273.57</v>
      </c>
      <c r="H20" s="165">
        <v>0</v>
      </c>
      <c r="I20" s="165">
        <v>0</v>
      </c>
      <c r="J20" s="165">
        <v>1021.17</v>
      </c>
      <c r="K20" s="165" t="s">
        <v>259</v>
      </c>
      <c r="L20" s="165">
        <v>57.8</v>
      </c>
      <c r="M20" s="165">
        <v>1477008000</v>
      </c>
      <c r="N20" s="165">
        <v>5.32</v>
      </c>
      <c r="O20" s="165">
        <v>37</v>
      </c>
      <c r="P20" s="165">
        <v>2.0699999999999998</v>
      </c>
      <c r="Q20"/>
    </row>
    <row r="21" spans="1:17" x14ac:dyDescent="0.25">
      <c r="A21" s="165">
        <v>52.23</v>
      </c>
      <c r="B21" s="165">
        <v>0.15</v>
      </c>
      <c r="C21" s="165">
        <v>21.32</v>
      </c>
      <c r="D21" s="8">
        <v>42663.791666666664</v>
      </c>
      <c r="E21" s="165">
        <v>0.28999999999999998</v>
      </c>
      <c r="F21" s="165" t="s">
        <v>258</v>
      </c>
      <c r="G21" s="165">
        <v>273.05</v>
      </c>
      <c r="H21" s="165">
        <v>0</v>
      </c>
      <c r="I21" s="165">
        <v>0</v>
      </c>
      <c r="J21" s="165">
        <v>1021.24</v>
      </c>
      <c r="K21" s="165" t="s">
        <v>259</v>
      </c>
      <c r="L21" s="165">
        <v>52.23</v>
      </c>
      <c r="M21" s="165">
        <v>1477011600</v>
      </c>
      <c r="N21" s="165">
        <v>5.84</v>
      </c>
      <c r="O21" s="165">
        <v>14</v>
      </c>
      <c r="P21" s="165">
        <v>1.67</v>
      </c>
      <c r="Q21"/>
    </row>
    <row r="22" spans="1:17" x14ac:dyDescent="0.25">
      <c r="A22" s="165">
        <v>48.79</v>
      </c>
      <c r="B22" s="165">
        <v>0.09</v>
      </c>
      <c r="C22" s="165">
        <v>23.29</v>
      </c>
      <c r="D22" s="8">
        <v>42663.833333333336</v>
      </c>
      <c r="E22" s="165">
        <v>0.36</v>
      </c>
      <c r="F22" s="165" t="s">
        <v>258</v>
      </c>
      <c r="G22" s="165">
        <v>272.91000000000003</v>
      </c>
      <c r="H22" s="165">
        <v>0</v>
      </c>
      <c r="I22" s="165">
        <v>0</v>
      </c>
      <c r="J22" s="165">
        <v>1021.71</v>
      </c>
      <c r="K22" s="165" t="s">
        <v>259</v>
      </c>
      <c r="L22" s="165">
        <v>48.79</v>
      </c>
      <c r="M22" s="165">
        <v>1477015200</v>
      </c>
      <c r="N22" s="165">
        <v>6.58</v>
      </c>
      <c r="O22" s="165">
        <v>299</v>
      </c>
      <c r="P22" s="165">
        <v>1.37</v>
      </c>
      <c r="Q22"/>
    </row>
    <row r="23" spans="1:17" x14ac:dyDescent="0.25">
      <c r="A23" s="165">
        <v>46.41</v>
      </c>
      <c r="B23" s="165">
        <v>7.0000000000000007E-2</v>
      </c>
      <c r="C23" s="165">
        <v>24.14</v>
      </c>
      <c r="D23" s="8">
        <v>42663.875</v>
      </c>
      <c r="E23" s="165">
        <v>0.41</v>
      </c>
      <c r="F23" s="165" t="s">
        <v>258</v>
      </c>
      <c r="G23" s="165">
        <v>272.77</v>
      </c>
      <c r="H23" s="165">
        <v>0</v>
      </c>
      <c r="I23" s="165">
        <v>0</v>
      </c>
      <c r="J23" s="165">
        <v>1022.03</v>
      </c>
      <c r="K23" s="165" t="s">
        <v>259</v>
      </c>
      <c r="L23" s="165">
        <v>46.41</v>
      </c>
      <c r="M23" s="165">
        <v>1477018800</v>
      </c>
      <c r="N23" s="165">
        <v>7.58</v>
      </c>
      <c r="O23" s="165">
        <v>228</v>
      </c>
      <c r="P23" s="165">
        <v>2.52</v>
      </c>
      <c r="Q23"/>
    </row>
    <row r="24" spans="1:17" x14ac:dyDescent="0.25">
      <c r="A24" s="165">
        <v>44.95</v>
      </c>
      <c r="B24" s="165">
        <v>0.1</v>
      </c>
      <c r="C24" s="165">
        <v>23.98</v>
      </c>
      <c r="D24" s="8">
        <v>42663.916666666664</v>
      </c>
      <c r="E24" s="165">
        <v>0.43</v>
      </c>
      <c r="F24" s="165" t="s">
        <v>258</v>
      </c>
      <c r="G24" s="165">
        <v>272.52</v>
      </c>
      <c r="H24" s="165">
        <v>0</v>
      </c>
      <c r="I24" s="165">
        <v>0</v>
      </c>
      <c r="J24" s="165">
        <v>1021.95</v>
      </c>
      <c r="K24" s="165" t="s">
        <v>259</v>
      </c>
      <c r="L24" s="165">
        <v>44.95</v>
      </c>
      <c r="M24" s="165">
        <v>1477022400</v>
      </c>
      <c r="N24" s="165">
        <v>6.91</v>
      </c>
      <c r="O24" s="165">
        <v>209</v>
      </c>
      <c r="P24" s="165">
        <v>2.92</v>
      </c>
      <c r="Q24"/>
    </row>
    <row r="25" spans="1:17" x14ac:dyDescent="0.25">
      <c r="A25" s="165">
        <v>41.62</v>
      </c>
      <c r="B25" s="165">
        <v>0.09</v>
      </c>
      <c r="C25" s="165">
        <v>23.4</v>
      </c>
      <c r="D25" s="8">
        <v>42663.958333333336</v>
      </c>
      <c r="E25" s="165">
        <v>0.46</v>
      </c>
      <c r="F25" s="165" t="s">
        <v>258</v>
      </c>
      <c r="G25" s="165">
        <v>272.26</v>
      </c>
      <c r="H25" s="165">
        <v>0</v>
      </c>
      <c r="I25" s="165">
        <v>0</v>
      </c>
      <c r="J25" s="165">
        <v>1021.7</v>
      </c>
      <c r="K25" s="165" t="s">
        <v>259</v>
      </c>
      <c r="L25" s="165">
        <v>42.89</v>
      </c>
      <c r="M25" s="165">
        <v>1477026000</v>
      </c>
      <c r="N25" s="165">
        <v>6.99</v>
      </c>
      <c r="O25" s="165">
        <v>206</v>
      </c>
      <c r="P25" s="165">
        <v>3.01</v>
      </c>
      <c r="Q25"/>
    </row>
    <row r="26" spans="1:17" x14ac:dyDescent="0.25">
      <c r="A26" s="165">
        <v>41.19</v>
      </c>
      <c r="B26" s="165">
        <v>0.2</v>
      </c>
      <c r="C26" s="165">
        <v>21.94</v>
      </c>
      <c r="D26" s="8">
        <v>42664</v>
      </c>
      <c r="E26" s="165">
        <v>0.46</v>
      </c>
      <c r="F26" s="165" t="s">
        <v>258</v>
      </c>
      <c r="G26" s="165">
        <v>271.92</v>
      </c>
      <c r="H26" s="165">
        <v>0</v>
      </c>
      <c r="I26" s="165">
        <v>0</v>
      </c>
      <c r="J26" s="165">
        <v>1021.53</v>
      </c>
      <c r="K26" s="165" t="s">
        <v>259</v>
      </c>
      <c r="L26" s="165">
        <v>41.19</v>
      </c>
      <c r="M26" s="165">
        <v>1477029600</v>
      </c>
      <c r="N26" s="165">
        <v>7.54</v>
      </c>
      <c r="O26" s="165">
        <v>209</v>
      </c>
      <c r="P26" s="165">
        <v>2.95</v>
      </c>
      <c r="Q26"/>
    </row>
    <row r="27" spans="1:17" x14ac:dyDescent="0.25">
      <c r="A27" s="165">
        <v>38.950000000000003</v>
      </c>
      <c r="B27" s="165">
        <v>0.28000000000000003</v>
      </c>
      <c r="C27" s="165">
        <v>20.63</v>
      </c>
      <c r="D27" s="8">
        <v>42664.041666666664</v>
      </c>
      <c r="E27" s="165">
        <v>0.47</v>
      </c>
      <c r="F27" s="165" t="s">
        <v>213</v>
      </c>
      <c r="G27" s="165">
        <v>271.36</v>
      </c>
      <c r="H27" s="165">
        <v>0</v>
      </c>
      <c r="I27" s="165">
        <v>0</v>
      </c>
      <c r="J27" s="165">
        <v>1021.65</v>
      </c>
      <c r="K27" s="165" t="s">
        <v>212</v>
      </c>
      <c r="L27" s="165">
        <v>38.950000000000003</v>
      </c>
      <c r="M27" s="165">
        <v>1477033200</v>
      </c>
      <c r="N27" s="165">
        <v>7.85</v>
      </c>
      <c r="O27" s="165">
        <v>210</v>
      </c>
      <c r="P27" s="165">
        <v>2.48</v>
      </c>
      <c r="Q27"/>
    </row>
    <row r="28" spans="1:17" x14ac:dyDescent="0.25">
      <c r="A28" s="165">
        <v>38.71</v>
      </c>
      <c r="B28" s="165">
        <v>0.26</v>
      </c>
      <c r="C28" s="165">
        <v>22.69</v>
      </c>
      <c r="D28" s="8">
        <v>42664.083333333336</v>
      </c>
      <c r="E28" s="165">
        <v>0.52</v>
      </c>
      <c r="F28" s="165" t="s">
        <v>213</v>
      </c>
      <c r="G28" s="165">
        <v>270.81</v>
      </c>
      <c r="H28" s="165">
        <v>0</v>
      </c>
      <c r="I28" s="165">
        <v>0</v>
      </c>
      <c r="J28" s="165">
        <v>1021.73</v>
      </c>
      <c r="K28" s="165" t="s">
        <v>212</v>
      </c>
      <c r="L28" s="165">
        <v>38.71</v>
      </c>
      <c r="M28" s="165">
        <v>1477036800</v>
      </c>
      <c r="N28" s="165">
        <v>7.02</v>
      </c>
      <c r="O28" s="165">
        <v>228</v>
      </c>
      <c r="P28" s="165">
        <v>1.47</v>
      </c>
      <c r="Q28"/>
    </row>
    <row r="29" spans="1:17" x14ac:dyDescent="0.25">
      <c r="A29" s="165">
        <v>37.549999999999997</v>
      </c>
      <c r="B29" s="165">
        <v>0.24</v>
      </c>
      <c r="C29" s="165">
        <v>22.78</v>
      </c>
      <c r="D29" s="8">
        <v>42664.125</v>
      </c>
      <c r="E29" s="165">
        <v>0.55000000000000004</v>
      </c>
      <c r="F29" s="165" t="s">
        <v>258</v>
      </c>
      <c r="G29" s="165">
        <v>270.26</v>
      </c>
      <c r="H29" s="165">
        <v>0</v>
      </c>
      <c r="I29" s="165">
        <v>0</v>
      </c>
      <c r="J29" s="165">
        <v>1021.78</v>
      </c>
      <c r="K29" s="165" t="s">
        <v>259</v>
      </c>
      <c r="L29" s="165">
        <v>37.549999999999997</v>
      </c>
      <c r="M29" s="165">
        <v>1477040400</v>
      </c>
      <c r="N29" s="165">
        <v>5.0599999999999996</v>
      </c>
      <c r="O29" s="165">
        <v>209</v>
      </c>
      <c r="P29" s="165">
        <v>0.86</v>
      </c>
      <c r="Q29"/>
    </row>
    <row r="31" spans="1:17" x14ac:dyDescent="0.25">
      <c r="A31" s="136" t="s">
        <v>260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42663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271</v>
      </c>
      <c r="J17" s="33"/>
      <c r="K17" s="34"/>
      <c r="L17" s="34"/>
    </row>
    <row r="18" spans="3:13" x14ac:dyDescent="0.25">
      <c r="C18" t="s">
        <v>763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765</v>
      </c>
      <c r="J20" t="s">
        <v>87</v>
      </c>
      <c r="M20" s="68" t="s">
        <v>190</v>
      </c>
    </row>
    <row r="21" spans="3:13" x14ac:dyDescent="0.25">
      <c r="C21" t="s">
        <v>766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767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768</v>
      </c>
      <c r="J23" s="29" t="s">
        <v>95</v>
      </c>
      <c r="K23" s="21"/>
      <c r="M23" s="69">
        <v>-6</v>
      </c>
    </row>
    <row r="24" spans="3:13" x14ac:dyDescent="0.25">
      <c r="C24" t="s">
        <v>769</v>
      </c>
      <c r="J24" s="21" t="s">
        <v>109</v>
      </c>
      <c r="K24" s="21"/>
      <c r="M24" s="68" t="s">
        <v>111</v>
      </c>
    </row>
    <row r="25" spans="3:13" x14ac:dyDescent="0.25">
      <c r="C25" t="s">
        <v>770</v>
      </c>
      <c r="J25" t="s">
        <v>152</v>
      </c>
      <c r="M25" s="68" t="b">
        <v>1</v>
      </c>
    </row>
    <row r="26" spans="3:13" x14ac:dyDescent="0.25">
      <c r="C26" t="s">
        <v>771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C:\Users\stu\Documents\GitHub\eaglep3-reporting\EC\2016-10-20-refined-times.txt</v>
      </c>
    </row>
    <row r="27" spans="3:13" x14ac:dyDescent="0.25">
      <c r="C27" t="s">
        <v>772</v>
      </c>
      <c r="J27" t="s">
        <v>218</v>
      </c>
      <c r="M27" s="68" t="str">
        <f>"C:\Users\stu\Documents\GitHub\eaglep3-reporting\EC\"&amp;TEXT(A2,"YYYY-MM-DD")&amp;"-Enforcements.txt"</f>
        <v>C:\Users\stu\Documents\GitHub\eaglep3-reporting\EC\2016-10-20-Enforcements.txt</v>
      </c>
    </row>
    <row r="28" spans="3:13" x14ac:dyDescent="0.25">
      <c r="J28" t="s">
        <v>219</v>
      </c>
      <c r="M28" s="106" t="str">
        <f>"C:\Users\stu\Documents\GitHub\eaglep3-reporting\EC\"&amp;TEXT(A2,"YYYY-MM-DD")&amp;"-Runs-Refined.txt"</f>
        <v>C:\Users\stu\Documents\GitHub\eaglep3-reporting\EC\2016-10-20-Runs-Refined.txt</v>
      </c>
    </row>
    <row r="29" spans="3:13" x14ac:dyDescent="0.25">
      <c r="J29" t="s">
        <v>220</v>
      </c>
      <c r="M29" s="106" t="str">
        <f>"C:\Users\stu\Documents\GitHub\eaglep3-reporting\EC\"&amp;TEXT(A2,"YYYY-MM-DD")&amp;"-Trips.txt"</f>
        <v>C:\Users\stu\Documents\GitHub\eaglep3-reporting\EC\2016-10-20-Trips.txt</v>
      </c>
    </row>
    <row r="30" spans="3:13" x14ac:dyDescent="0.25">
      <c r="J30" t="s">
        <v>221</v>
      </c>
      <c r="M30" s="106" t="str">
        <f>"C:\Users\stu\Documents\GitHub\eaglep3-reporting\EC\"&amp;TEXT(A2,"YYYY-MM-DD")&amp;"-Weather.txt"</f>
        <v>C:\Users\stu\Documents\GitHub\eaglep3-reporting\EC\2016-10-20-Weather.txt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2016-10-21T19:04:10Z</dcterms:modified>
</cp:coreProperties>
</file>